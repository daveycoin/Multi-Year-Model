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Enrollment" sheetId="3" state="visible" r:id="rId5"/>
    <sheet name="Forecast Detail" sheetId="4" state="visible" r:id="rId6"/>
    <sheet name="Trend" sheetId="5" state="visible" r:id="rId7"/>
    <sheet name="Cash Flow" sheetId="6" state="visible" r:id="rId8"/>
    <sheet name="CF Summary" sheetId="7" state="visible" r:id="rId9"/>
    <sheet name="QB Import" sheetId="8" state="visible" r:id="rId10"/>
    <sheet name="Actuals Import" sheetId="9" state="visible" r:id="rId11"/>
    <sheet name="Read Me" sheetId="10" state="visible" r:id="rId12"/>
  </sheets>
  <definedNames>
    <definedName function="false" hidden="false" localSheetId="5" name="_xlnm.Print_Titles" vbProcedure="false">'Cash Flow'!$A:$A</definedName>
    <definedName function="false" hidden="true" localSheetId="3" name="_xlnm._FilterDatabase" vbProcedure="false">'Forecast Detail'!$A$7:$O$188</definedName>
    <definedName function="false" hidden="false" localSheetId="0" name="_xlnm.Print_Area" vbProcedure="false">Summary!$A$1:$G$41</definedName>
    <definedName function="false" hidden="true" localSheetId="4" name="_xlnm._FilterDatabase" vbProcedure="false">Trend!$A$46:$T$227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<sst xmlns="http://schemas.openxmlformats.org/spreadsheetml/2006/main" count="1750" uniqueCount="726">
  <si>
    <t xml:space="preserve">TRINITY PRESBYTERIAN SCHOOL</t>
  </si>
  <si>
    <t xml:space="preserve">Five-Year Financial Forecast - Summary by Major Category</t>
  </si>
  <si>
    <t xml:space="preserve">Fiscal year ending June 30</t>
  </si>
  <si>
    <t xml:space="preserve">5-yr CAGR</t>
  </si>
  <si>
    <t xml:space="preserve">Enrollment (students)</t>
  </si>
  <si>
    <t xml:space="preserve">Tuition rate increase</t>
  </si>
  <si>
    <t xml:space="preserve">Salary increase</t>
  </si>
  <si>
    <t xml:space="preserve">REVENUE</t>
  </si>
  <si>
    <t xml:space="preserve">1 Tuition and Fees</t>
  </si>
  <si>
    <t xml:space="preserve">2 Interest and Other Income</t>
  </si>
  <si>
    <t xml:space="preserve">4 Other Miscellaneous Income</t>
  </si>
  <si>
    <t xml:space="preserve">5 Athletic Income</t>
  </si>
  <si>
    <t xml:space="preserve">Total Revenue</t>
  </si>
  <si>
    <t xml:space="preserve">EXPENSES</t>
  </si>
  <si>
    <t xml:space="preserve">1 Salaries and Benefits</t>
  </si>
  <si>
    <t xml:space="preserve">2 Instructional Expenses</t>
  </si>
  <si>
    <t xml:space="preserve">3 Operations</t>
  </si>
  <si>
    <t xml:space="preserve">4 Administrative</t>
  </si>
  <si>
    <t xml:space="preserve">5 Athletic Expenses</t>
  </si>
  <si>
    <t xml:space="preserve">Strategic Plan Initiatives (operating, net)</t>
  </si>
  <si>
    <t xml:space="preserve">Total Expenses</t>
  </si>
  <si>
    <t xml:space="preserve">Net Operating Revenue</t>
  </si>
  <si>
    <t xml:space="preserve">Other Revenue (Development)</t>
  </si>
  <si>
    <t xml:space="preserve">Other Expenditures (Development)</t>
  </si>
  <si>
    <t xml:space="preserve">Net Other Revenue</t>
  </si>
  <si>
    <t xml:space="preserve">NET REVENUE (SURPLUS / DEFICIT)</t>
  </si>
  <si>
    <t xml:space="preserve">KEY METRICS</t>
  </si>
  <si>
    <t xml:space="preserve">Salaries &amp; benefits % of total revenue</t>
  </si>
  <si>
    <t xml:space="preserve">Net tuition &amp; fees per student</t>
  </si>
  <si>
    <t xml:space="preserve">Net revenue margin (% of revenue)</t>
  </si>
  <si>
    <t xml:space="preserve">Capital projects &amp; initiatives (cash)</t>
  </si>
  <si>
    <t xml:space="preserve">Ending cash &amp; reserves</t>
  </si>
  <si>
    <t xml:space="preserve">Lowest month-end operating cash</t>
  </si>
  <si>
    <t xml:space="preserve">Days cash on hand</t>
  </si>
  <si>
    <t xml:space="preserve">Source: FY27 = QuickBooks budget import; FY28-FY31 = forecast per Inputs and Forecast Detail. Cash on a cash basis.</t>
  </si>
  <si>
    <t xml:space="preserve">IMPORT CHECKS (not printed)</t>
  </si>
  <si>
    <t xml:space="preserve">Revenue: import detail vs summary FY27</t>
  </si>
  <si>
    <t xml:space="preserve">Expenses: import detail vs summary FY27</t>
  </si>
  <si>
    <t xml:space="preserve">Overall status</t>
  </si>
  <si>
    <t xml:space="preserve">Other net: import detail vs summary FY27</t>
  </si>
  <si>
    <t xml:space="preserve">Net Revenue: summary FY27 vs QuickBooks 'Net Revenue' line</t>
  </si>
  <si>
    <t xml:space="preserve">Accounts on import not in Forecast Detail (count)</t>
  </si>
  <si>
    <t xml:space="preserve">Forecast Detail rows with no method (count)</t>
  </si>
  <si>
    <t xml:space="preserve">INPUTS &amp; ASSUMPTIONS</t>
  </si>
  <si>
    <t xml:space="preserve">Blue-on-yellow cells are inputs. Everything else is calculated. FY27 amounts come from the QuickBooks import.</t>
  </si>
  <si>
    <t xml:space="preserve">Fiscal year</t>
  </si>
  <si>
    <t xml:space="preserve">Fiscal year ending</t>
  </si>
  <si>
    <t xml:space="preserve">Fiscal year starting</t>
  </si>
  <si>
    <t xml:space="preserve">Growth assumptions</t>
  </si>
  <si>
    <t xml:space="preserve">Tuition rate increase %</t>
  </si>
  <si>
    <t xml:space="preserve">FY27 shown for reference; rates already set in the budget</t>
  </si>
  <si>
    <t xml:space="preserve">Salary increase %</t>
  </si>
  <si>
    <t xml:space="preserve">Applies to lines using the 'Salary' method</t>
  </si>
  <si>
    <t xml:space="preserve">Benefits cost increase % (medical, dental)</t>
  </si>
  <si>
    <t xml:space="preserve">Lines using the 'Benefits' method</t>
  </si>
  <si>
    <t xml:space="preserve">General inflation %</t>
  </si>
  <si>
    <t xml:space="preserve">Lines using 'Inflation' and 'Per Student'</t>
  </si>
  <si>
    <t xml:space="preserve">Yield on interest-earning balances %</t>
  </si>
  <si>
    <t xml:space="preserve">Applied to prior year-end balances; 'Reserve Yield' method</t>
  </si>
  <si>
    <t xml:space="preserve">Final mortgage payment date</t>
  </si>
  <si>
    <t xml:space="preserve">Lines using the 'Debt' method stop after this month</t>
  </si>
  <si>
    <t xml:space="preserve">Months of debt service paid in fiscal year</t>
  </si>
  <si>
    <t xml:space="preserve">Interest-earning balance at prior year-end</t>
  </si>
  <si>
    <t xml:space="preserve">Opening earning balances + reserve funding to date</t>
  </si>
  <si>
    <t xml:space="preserve">Strategic plan initiatives  (Operating = flows through the P&amp;L; Capital = cash only, no P&amp;L)</t>
  </si>
  <si>
    <t xml:space="preserve">Initiative</t>
  </si>
  <si>
    <t xml:space="preserve">Type</t>
  </si>
  <si>
    <t xml:space="preserve">On? (Y/N)</t>
  </si>
  <si>
    <t xml:space="preserve">Spend month (0=even, 1=Jul)</t>
  </si>
  <si>
    <t xml:space="preserve">Additional Lower School teacher (per prior model: +$50k/yr)</t>
  </si>
  <si>
    <t xml:space="preserve">Operating</t>
  </si>
  <si>
    <t xml:space="preserve">Y</t>
  </si>
  <si>
    <t xml:space="preserve">Lower School reconfiguration (enter cost)</t>
  </si>
  <si>
    <t xml:space="preserve">Capital</t>
  </si>
  <si>
    <t xml:space="preserve">Operating initiatives - net cost to P&amp;L</t>
  </si>
  <si>
    <t xml:space="preserve">Capital initiatives - net cash cost</t>
  </si>
  <si>
    <t xml:space="preserve">Capital projects &amp; equipment (cash only; outside the operating P&amp;L)</t>
  </si>
  <si>
    <t xml:space="preserve">Project</t>
  </si>
  <si>
    <t xml:space="preserve">Example: roof replacement</t>
  </si>
  <si>
    <t xml:space="preserve">Total capital projects</t>
  </si>
  <si>
    <t xml:space="preserve">Reserve funding (transfer from operating cash to reserves; cash-neutral overall)</t>
  </si>
  <si>
    <t xml:space="preserve">Transfer</t>
  </si>
  <si>
    <t xml:space="preserve">Month (0=even, 1=Jul)</t>
  </si>
  <si>
    <t xml:space="preserve">Operating reserve funding</t>
  </si>
  <si>
    <t xml:space="preserve">Repair &amp; replacement (R&amp;R) reserve funding</t>
  </si>
  <si>
    <t xml:space="preserve">Total reserve funding</t>
  </si>
  <si>
    <t xml:space="preserve">Opening cash &amp; reserve balances</t>
  </si>
  <si>
    <t xml:space="preserve">Balances as of (start of FY27 = 6/30/2026 recommended)</t>
  </si>
  <si>
    <t xml:space="preserve">Account</t>
  </si>
  <si>
    <t xml:space="preserve">Available for operations? (Y/N)</t>
  </si>
  <si>
    <t xml:space="preserve">Earns interest? (Y/N)</t>
  </si>
  <si>
    <t xml:space="preserve">Balance</t>
  </si>
  <si>
    <t xml:space="preserve">Operating Account</t>
  </si>
  <si>
    <t xml:space="preserve">N</t>
  </si>
  <si>
    <t xml:space="preserve">Balances seeded from the 1/31/26 figures in the old model - UPDATE.</t>
  </si>
  <si>
    <t xml:space="preserve">Contingency</t>
  </si>
  <si>
    <t xml:space="preserve">S4K</t>
  </si>
  <si>
    <t xml:space="preserve">PPP Reserve Account</t>
  </si>
  <si>
    <t xml:space="preserve">Development Account</t>
  </si>
  <si>
    <t xml:space="preserve">Operating cash available (opening)</t>
  </si>
  <si>
    <t xml:space="preserve">Reserves &amp; restricted (opening)</t>
  </si>
  <si>
    <t xml:space="preserve">Interest-earning balances (opening)</t>
  </si>
  <si>
    <t xml:space="preserve">Tuition payment plans (drives monthly cash receipts)</t>
  </si>
  <si>
    <t xml:space="preserve">Plan</t>
  </si>
  <si>
    <t xml:space="preserve">Families</t>
  </si>
  <si>
    <t xml:space="preserve">% of tuition</t>
  </si>
  <si>
    <t xml:space="preserve">Plan A - 1 annual payment (June 30)</t>
  </si>
  <si>
    <t xml:space="preserve">Plan B - 4 payments (May/Aug/Nov/Feb)</t>
  </si>
  <si>
    <t xml:space="preserve">Plan C - 12 monthly payments (May-April), incl. S4K &amp; employees</t>
  </si>
  <si>
    <t xml:space="preserve">Total families in plans</t>
  </si>
  <si>
    <t xml:space="preserve">Payment schedule: % of a plan's annual tuition received in each period</t>
  </si>
  <si>
    <t xml:space="preserve">Prior May</t>
  </si>
  <si>
    <t xml:space="preserve">Prior 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</si>
  <si>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</si>
  <si>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</si>
  <si>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</si>
  <si>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</si>
  <si>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</si>
  <si>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</si>
  <si>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</si>
  <si>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</si>
  <si>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</si>
  <si>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</si>
  <si>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</si>
  <si>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</si>
  <si>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Total</t>
  </si>
  <si>
    <t xml:space="preserve">Plan A</t>
  </si>
  <si>
    <t xml:space="preserve">Plan B</t>
  </si>
  <si>
    <t xml:space="preserve">Plan C</t>
  </si>
  <si>
    <t xml:space="preserve">Cash timing profiles: % of a fiscal year's amount received/paid in each period (used by Forecast Detail column F)</t>
  </si>
  <si>
    <t xml:space="preserve">Profile</t>
  </si>
  <si>
    <t xml:space="preserve">Tuition Plan</t>
  </si>
  <si>
    <t xml:space="preserve">Even</t>
  </si>
  <si>
    <t xml:space="preserve">Jul Lump</t>
  </si>
  <si>
    <t xml:space="preserve">Custom A</t>
  </si>
  <si>
    <t xml:space="preserve">Custom B</t>
  </si>
  <si>
    <t xml:space="preserve">Profile rows must total 100%</t>
  </si>
  <si>
    <t xml:space="preserve">Prior-year actuals &amp; trend recommendation (see Actuals Import and Trend tabs)</t>
  </si>
  <si>
    <t xml:space="preserve">Actuals slot (paste export on Actuals Import)</t>
  </si>
  <si>
    <t xml:space="preserve">FY ending (e.g. 2026)</t>
  </si>
  <si>
    <t xml:space="preserve">Slot 1 (oldest): paste at A1 on Actuals Import</t>
  </si>
  <si>
    <t xml:space="preserve">Enter the fiscal year (ending June 30) of each pasted export, oldest to newest. Blank = slot unused.</t>
  </si>
  <si>
    <t xml:space="preserve">Slot 2 (next): paste at J1 on Actuals Import</t>
  </si>
  <si>
    <t xml:space="preserve">Slot 3 (next): paste at S1 on Actuals Import</t>
  </si>
  <si>
    <t xml:space="preserve">Slot 4 (next): paste at AB1 on Actuals Import</t>
  </si>
  <si>
    <t xml:space="preserve">Slot 5 (newest): paste at AK1 on Actuals Import</t>
  </si>
  <si>
    <t xml:space="preserve">Default recommendation method</t>
  </si>
  <si>
    <t xml:space="preserve">Linear Trend</t>
  </si>
  <si>
    <t xml:space="preserve">Last Actual / Average / Linear Trend / Growth (override per line on Trend tab)</t>
  </si>
  <si>
    <t xml:space="preserve">Round recommendation to nearest $</t>
  </si>
  <si>
    <t xml:space="preserve">Flag lines that differ from FY27 budget by more than</t>
  </si>
  <si>
    <t xml:space="preserve">ENROLLMENT &amp; TUITION RATES</t>
  </si>
  <si>
    <t xml:space="preserve">FY27 enrollment and rates are inputs. Later years roll each grade forward: prior grade x retention + new students.</t>
  </si>
  <si>
    <t xml:space="preserve">Enrollment by grade</t>
  </si>
  <si>
    <t xml:space="preserve">Grade</t>
  </si>
  <si>
    <t xml:space="preserve">K-3 (5 day)</t>
  </si>
  <si>
    <t xml:space="preserve">K-3 (3 day)</t>
  </si>
  <si>
    <t xml:space="preserve">K-4</t>
  </si>
  <si>
    <t xml:space="preserve">K5</t>
  </si>
  <si>
    <t xml:space="preserve">1st</t>
  </si>
  <si>
    <t xml:space="preserve">2nd</t>
  </si>
  <si>
    <t xml:space="preserve">3rd</t>
  </si>
  <si>
    <t xml:space="preserve">4th</t>
  </si>
  <si>
    <t xml:space="preserve">5th</t>
  </si>
  <si>
    <t xml:space="preserve">6th</t>
  </si>
  <si>
    <t xml:space="preserve">7th</t>
  </si>
  <si>
    <t xml:space="preserve">8th</t>
  </si>
  <si>
    <t xml:space="preserve">9th</t>
  </si>
  <si>
    <t xml:space="preserve">10th</t>
  </si>
  <si>
    <t xml:space="preserve">11th</t>
  </si>
  <si>
    <t xml:space="preserve">12th</t>
  </si>
  <si>
    <t xml:space="preserve">Total enrollment</t>
  </si>
  <si>
    <t xml:space="preserve">  Change vs prior year</t>
  </si>
  <si>
    <t xml:space="preserve">Tuition potential (enrollment x rate)</t>
  </si>
  <si>
    <t xml:space="preserve">Tuition index (FY27 = 1.000)</t>
  </si>
  <si>
    <t xml:space="preserve">Average rate per student</t>
  </si>
  <si>
    <t xml:space="preserve">Tuition rate by grade (before discounts)</t>
  </si>
  <si>
    <t xml:space="preserve">K-3 (3 day) (rate not in old model - enter)</t>
  </si>
  <si>
    <t xml:space="preserve">Roll-forward assumptions</t>
  </si>
  <si>
    <t xml:space="preserve">Retention into grade</t>
  </si>
  <si>
    <t xml:space="preserve">n/a</t>
  </si>
  <si>
    <t xml:space="preserve">K-4 is fed by both K-3 programs. Retention is the share of the prior grade that advances; new students are additions.</t>
  </si>
  <si>
    <t xml:space="preserve">FORECAST DETAIL - by QuickBooks account</t>
  </si>
  <si>
    <t xml:space="preserve">FY27 = QuickBooks budget import. Choose a forecast method per line (column E). Use 'Manual' + columns L:O to type amounts directly.</t>
  </si>
  <si>
    <t xml:space="preserve">Tuition index</t>
  </si>
  <si>
    <t xml:space="preserve">Salary-method lines total</t>
  </si>
  <si>
    <t xml:space="preserve">Major Category</t>
  </si>
  <si>
    <t xml:space="preserve">Key</t>
  </si>
  <si>
    <t xml:space="preserve">Description</t>
  </si>
  <si>
    <t xml:space="preserve">Method</t>
  </si>
  <si>
    <t xml:space="preserve">Cash Timing</t>
  </si>
  <si>
    <t xml:space="preserve">Revenue</t>
  </si>
  <si>
    <t xml:space="preserve">400186</t>
  </si>
  <si>
    <t xml:space="preserve">400186 Tuition Income</t>
  </si>
  <si>
    <t xml:space="preserve">Tuition Index</t>
  </si>
  <si>
    <t xml:space="preserve">400187</t>
  </si>
  <si>
    <t xml:space="preserve">400187 Scholarship for Kids Tuition</t>
  </si>
  <si>
    <t xml:space="preserve">Manual</t>
  </si>
  <si>
    <t xml:space="preserve">400188</t>
  </si>
  <si>
    <t xml:space="preserve">400188 Choose Act Tuition</t>
  </si>
  <si>
    <t xml:space="preserve">Flat</t>
  </si>
  <si>
    <t xml:space="preserve">400189</t>
  </si>
  <si>
    <t xml:space="preserve">400189 AOSF Tuition</t>
  </si>
  <si>
    <t xml:space="preserve">400180</t>
  </si>
  <si>
    <t xml:space="preserve">400180 Building Fees</t>
  </si>
  <si>
    <t xml:space="preserve">400181</t>
  </si>
  <si>
    <t xml:space="preserve">400181 Enrollment Fees</t>
  </si>
  <si>
    <t xml:space="preserve">Enrollment</t>
  </si>
  <si>
    <t xml:space="preserve">400183</t>
  </si>
  <si>
    <t xml:space="preserve">400183 Tuition Insurance Income</t>
  </si>
  <si>
    <t xml:space="preserve">400184</t>
  </si>
  <si>
    <t xml:space="preserve">400184 Application Fees</t>
  </si>
  <si>
    <t xml:space="preserve">400185</t>
  </si>
  <si>
    <t xml:space="preserve">400185 Enrollment Fee Waived - Alumni Credit</t>
  </si>
  <si>
    <t xml:space="preserve">400199</t>
  </si>
  <si>
    <t xml:space="preserve">400199 Fee - Tuition Discount</t>
  </si>
  <si>
    <t xml:space="preserve">400201</t>
  </si>
  <si>
    <t xml:space="preserve">400201 Referral Fee - Tuition Discount</t>
  </si>
  <si>
    <t xml:space="preserve">400126</t>
  </si>
  <si>
    <t xml:space="preserve">400126 Late Fees</t>
  </si>
  <si>
    <t xml:space="preserve">400127</t>
  </si>
  <si>
    <t xml:space="preserve">400127 Waived Late Fees</t>
  </si>
  <si>
    <t xml:space="preserve">400128</t>
  </si>
  <si>
    <t xml:space="preserve">400128 Late Fees - Past Due Accounts</t>
  </si>
  <si>
    <t xml:space="preserve">400193</t>
  </si>
  <si>
    <t xml:space="preserve">400193 Pastoral Discount</t>
  </si>
  <si>
    <t xml:space="preserve">400194</t>
  </si>
  <si>
    <t xml:space="preserve">400194 Grace Based Financial Assistance</t>
  </si>
  <si>
    <t xml:space="preserve">400195</t>
  </si>
  <si>
    <t xml:space="preserve">400195 Multi-Child Discounts</t>
  </si>
  <si>
    <t xml:space="preserve">400196</t>
  </si>
  <si>
    <t xml:space="preserve">400196 Military Discount</t>
  </si>
  <si>
    <t xml:space="preserve">400133</t>
  </si>
  <si>
    <t xml:space="preserve">400133 Cat Quest Revenue</t>
  </si>
  <si>
    <t xml:space="preserve">400134</t>
  </si>
  <si>
    <t xml:space="preserve">400134 Summer Quest Income</t>
  </si>
  <si>
    <t xml:space="preserve">400197</t>
  </si>
  <si>
    <t xml:space="preserve">400197 Cat Quest Expenses (Contra)</t>
  </si>
  <si>
    <t xml:space="preserve">400198</t>
  </si>
  <si>
    <t xml:space="preserve">400198 Summer Cat Quest Expenses (Contra)</t>
  </si>
  <si>
    <t xml:space="preserve">400080</t>
  </si>
  <si>
    <t xml:space="preserve">400080 Contribution from Charitable Trust</t>
  </si>
  <si>
    <t xml:space="preserve">400081</t>
  </si>
  <si>
    <t xml:space="preserve">400081 Scholarship Income Charitable Trust</t>
  </si>
  <si>
    <t xml:space="preserve">400084</t>
  </si>
  <si>
    <t xml:space="preserve">400084 Trinity Church Contribution</t>
  </si>
  <si>
    <t xml:space="preserve">400191</t>
  </si>
  <si>
    <t xml:space="preserve">400191 Corporate Sponsors - General Fund Contribution</t>
  </si>
  <si>
    <t xml:space="preserve">400192</t>
  </si>
  <si>
    <t xml:space="preserve">400192 Annual Fund Unrestricted-General Fund Contribution</t>
  </si>
  <si>
    <t xml:space="preserve">400124</t>
  </si>
  <si>
    <t xml:space="preserve">400124 Interest Income Reserve Acct Synovus</t>
  </si>
  <si>
    <t xml:space="preserve">Reserve Yield</t>
  </si>
  <si>
    <t xml:space="preserve">400125</t>
  </si>
  <si>
    <t xml:space="preserve">400125 Interest Income Contingency Synovus</t>
  </si>
  <si>
    <t xml:space="preserve">400182</t>
  </si>
  <si>
    <t xml:space="preserve">400182 Scholarship for Kids Interest Income</t>
  </si>
  <si>
    <t xml:space="preserve">400027</t>
  </si>
  <si>
    <t xml:space="preserve">400027 Contingency Income Athletic Playoffs</t>
  </si>
  <si>
    <t xml:space="preserve">400082</t>
  </si>
  <si>
    <t xml:space="preserve">400082 Grant Income</t>
  </si>
  <si>
    <t xml:space="preserve">400132</t>
  </si>
  <si>
    <t xml:space="preserve">400132 Facility Rental/Usage Income</t>
  </si>
  <si>
    <t xml:space="preserve">400143</t>
  </si>
  <si>
    <t xml:space="preserve">400143 Speech Therapy Fees</t>
  </si>
  <si>
    <t xml:space="preserve">400144</t>
  </si>
  <si>
    <t xml:space="preserve">400144 Credit Card Rebates</t>
  </si>
  <si>
    <t xml:space="preserve">400145</t>
  </si>
  <si>
    <t xml:space="preserve">400145 Sale of AP Textbooks</t>
  </si>
  <si>
    <t xml:space="preserve">400147</t>
  </si>
  <si>
    <t xml:space="preserve">400147 Coke Machines Proceeds</t>
  </si>
  <si>
    <t xml:space="preserve">400148</t>
  </si>
  <si>
    <t xml:space="preserve">400148 Convenience Fee Income</t>
  </si>
  <si>
    <t xml:space="preserve">400149</t>
  </si>
  <si>
    <t xml:space="preserve">400149 AP Testing Fees</t>
  </si>
  <si>
    <t xml:space="preserve">400165</t>
  </si>
  <si>
    <t xml:space="preserve">400165 Lost Textbook Fines</t>
  </si>
  <si>
    <t xml:space="preserve">400166</t>
  </si>
  <si>
    <t xml:space="preserve">400166 School Picture Income</t>
  </si>
  <si>
    <t xml:space="preserve">400169</t>
  </si>
  <si>
    <t xml:space="preserve">400169 Other Income For Non-Classified Activities</t>
  </si>
  <si>
    <t xml:space="preserve">400170</t>
  </si>
  <si>
    <t xml:space="preserve">400170 Hospitality Collections from Employees</t>
  </si>
  <si>
    <t xml:space="preserve">400129</t>
  </si>
  <si>
    <t xml:space="preserve">400129 Tutoring Fees Lower School</t>
  </si>
  <si>
    <t xml:space="preserve">400130</t>
  </si>
  <si>
    <t xml:space="preserve">400130 Tutoring Fees Middle School</t>
  </si>
  <si>
    <t xml:space="preserve">400131</t>
  </si>
  <si>
    <t xml:space="preserve">400131 Tutoring Fees Upper School</t>
  </si>
  <si>
    <t xml:space="preserve">400151</t>
  </si>
  <si>
    <t xml:space="preserve">400151 ACT Prep Income</t>
  </si>
  <si>
    <t xml:space="preserve">400086</t>
  </si>
  <si>
    <t xml:space="preserve">400086 Twas the Night Revenue</t>
  </si>
  <si>
    <t xml:space="preserve">400200</t>
  </si>
  <si>
    <t xml:space="preserve">400200 Twas the Night Costs Contra</t>
  </si>
  <si>
    <t xml:space="preserve">Expense</t>
  </si>
  <si>
    <t xml:space="preserve">500267</t>
  </si>
  <si>
    <t xml:space="preserve">500267 Expenses for 401K plan</t>
  </si>
  <si>
    <t xml:space="preserve">% of Salaries</t>
  </si>
  <si>
    <t xml:space="preserve">500268</t>
  </si>
  <si>
    <t xml:space="preserve">500268 Medical Insurance Expense</t>
  </si>
  <si>
    <t xml:space="preserve">Benefits</t>
  </si>
  <si>
    <t xml:space="preserve">500269</t>
  </si>
  <si>
    <t xml:space="preserve">500269 Dental/Life Insurance Expense</t>
  </si>
  <si>
    <t xml:space="preserve">500270</t>
  </si>
  <si>
    <t xml:space="preserve">500270 Staff Tuition Benefits</t>
  </si>
  <si>
    <t xml:space="preserve">500271</t>
  </si>
  <si>
    <t xml:space="preserve">500271 Staff Benefit After School Care</t>
  </si>
  <si>
    <t xml:space="preserve">500272</t>
  </si>
  <si>
    <t xml:space="preserve">500272 Head of School Auto Allowance</t>
  </si>
  <si>
    <t xml:space="preserve">500273</t>
  </si>
  <si>
    <t xml:space="preserve">500273 State Unemployment Insurance</t>
  </si>
  <si>
    <t xml:space="preserve">500274</t>
  </si>
  <si>
    <t xml:space="preserve">500274 Federal Payroll Taxes</t>
  </si>
  <si>
    <t xml:space="preserve">500275</t>
  </si>
  <si>
    <t xml:space="preserve">500275 Administrative Salaries</t>
  </si>
  <si>
    <t xml:space="preserve">Salary</t>
  </si>
  <si>
    <t xml:space="preserve">500276</t>
  </si>
  <si>
    <t xml:space="preserve">500276 Teacher Salaries</t>
  </si>
  <si>
    <t xml:space="preserve">500277</t>
  </si>
  <si>
    <t xml:space="preserve">500277 Faculty/Staff Stipends</t>
  </si>
  <si>
    <t xml:space="preserve">500278</t>
  </si>
  <si>
    <t xml:space="preserve">500278 Substitute Expenses Upper School</t>
  </si>
  <si>
    <t xml:space="preserve">500279</t>
  </si>
  <si>
    <t xml:space="preserve">500279 Substitute Expense Lower School</t>
  </si>
  <si>
    <t xml:space="preserve">500280</t>
  </si>
  <si>
    <t xml:space="preserve">500280 Maintenance Salaries</t>
  </si>
  <si>
    <t xml:space="preserve">500023</t>
  </si>
  <si>
    <t xml:space="preserve">500023 Teacher Development</t>
  </si>
  <si>
    <t xml:space="preserve">All School Supplies</t>
  </si>
  <si>
    <t xml:space="preserve">Inflation</t>
  </si>
  <si>
    <t xml:space="preserve">500168</t>
  </si>
  <si>
    <t xml:space="preserve">500168 All School Supplies</t>
  </si>
  <si>
    <t xml:space="preserve">500169</t>
  </si>
  <si>
    <t xml:space="preserve">500169 School Machine Supplies DO NOT USE</t>
  </si>
  <si>
    <t xml:space="preserve">500170</t>
  </si>
  <si>
    <t xml:space="preserve">500170 Copy and Duplication Paper DO NOT USE</t>
  </si>
  <si>
    <t xml:space="preserve">500171</t>
  </si>
  <si>
    <t xml:space="preserve">500171 Supplies Teachers Lounge</t>
  </si>
  <si>
    <t xml:space="preserve">Band Activities</t>
  </si>
  <si>
    <t xml:space="preserve">Clubs</t>
  </si>
  <si>
    <t xml:space="preserve">Combined Libraries</t>
  </si>
  <si>
    <t xml:space="preserve">Drama Expenses</t>
  </si>
  <si>
    <t xml:space="preserve">Fine Arts</t>
  </si>
  <si>
    <t xml:space="preserve">500025</t>
  </si>
  <si>
    <t xml:space="preserve">500025 In-Service Expenses</t>
  </si>
  <si>
    <t xml:space="preserve">500219</t>
  </si>
  <si>
    <t xml:space="preserve">500219 ACT Prep Expense</t>
  </si>
  <si>
    <t xml:space="preserve">500312</t>
  </si>
  <si>
    <t xml:space="preserve">500312 Honor Society Expenses</t>
  </si>
  <si>
    <t xml:space="preserve">Lower School Expenses</t>
  </si>
  <si>
    <t xml:space="preserve">500181</t>
  </si>
  <si>
    <t xml:space="preserve">500181 Lower School Activity Fee</t>
  </si>
  <si>
    <t xml:space="preserve">500193</t>
  </si>
  <si>
    <t xml:space="preserve">500193 Math Department Expenses</t>
  </si>
  <si>
    <t xml:space="preserve">500194</t>
  </si>
  <si>
    <t xml:space="preserve">500194 English Department Expense</t>
  </si>
  <si>
    <t xml:space="preserve">500195</t>
  </si>
  <si>
    <t xml:space="preserve">500195 Curriculum Review</t>
  </si>
  <si>
    <t xml:space="preserve">500196</t>
  </si>
  <si>
    <t xml:space="preserve">500196 History Department Expense</t>
  </si>
  <si>
    <t xml:space="preserve">500197</t>
  </si>
  <si>
    <t xml:space="preserve">500197 Foreign Language Expenses</t>
  </si>
  <si>
    <t xml:space="preserve">500198</t>
  </si>
  <si>
    <t xml:space="preserve">500198 Christian Studies Department</t>
  </si>
  <si>
    <t xml:space="preserve">500199</t>
  </si>
  <si>
    <t xml:space="preserve">500199 Science Department</t>
  </si>
  <si>
    <t xml:space="preserve">500200</t>
  </si>
  <si>
    <t xml:space="preserve">500200 Tech and Media Class Expenses</t>
  </si>
  <si>
    <t xml:space="preserve">500203</t>
  </si>
  <si>
    <t xml:space="preserve">500203 Middle School/Upper School Supplies</t>
  </si>
  <si>
    <t xml:space="preserve">500204</t>
  </si>
  <si>
    <t xml:space="preserve">500204 Winterim Class Expense</t>
  </si>
  <si>
    <t xml:space="preserve">500205</t>
  </si>
  <si>
    <t xml:space="preserve">500205 MakerSpace Expenses</t>
  </si>
  <si>
    <t xml:space="preserve">500207</t>
  </si>
  <si>
    <t xml:space="preserve">500207 MS/US Activities Billed</t>
  </si>
  <si>
    <t xml:space="preserve">500208</t>
  </si>
  <si>
    <t xml:space="preserve">500208 Academic Testing AP</t>
  </si>
  <si>
    <t xml:space="preserve">500209</t>
  </si>
  <si>
    <t xml:space="preserve">500209 MS/US Principal Activities</t>
  </si>
  <si>
    <t xml:space="preserve">500211</t>
  </si>
  <si>
    <t xml:space="preserve">500211 Consumables/Workbooks US&amp;MS</t>
  </si>
  <si>
    <t xml:space="preserve">500212</t>
  </si>
  <si>
    <t xml:space="preserve">500212 MS Textbooks</t>
  </si>
  <si>
    <t xml:space="preserve">500213</t>
  </si>
  <si>
    <t xml:space="preserve">500213 Textbooks AP</t>
  </si>
  <si>
    <t xml:space="preserve">500214</t>
  </si>
  <si>
    <t xml:space="preserve">500214 Textbooks US</t>
  </si>
  <si>
    <t xml:space="preserve">500215</t>
  </si>
  <si>
    <t xml:space="preserve">500215 Innovation Class Expenses</t>
  </si>
  <si>
    <t xml:space="preserve">500216</t>
  </si>
  <si>
    <t xml:space="preserve">500216 OnLine Course Expense</t>
  </si>
  <si>
    <t xml:space="preserve">Student Activities Expenses</t>
  </si>
  <si>
    <t xml:space="preserve">500283</t>
  </si>
  <si>
    <t xml:space="preserve">500283 All School Activity Expenses</t>
  </si>
  <si>
    <t xml:space="preserve">500311</t>
  </si>
  <si>
    <t xml:space="preserve">500311 Graduation Activities</t>
  </si>
  <si>
    <t xml:space="preserve">500313</t>
  </si>
  <si>
    <t xml:space="preserve">500313 Junior Class Prom</t>
  </si>
  <si>
    <t xml:space="preserve">500318</t>
  </si>
  <si>
    <t xml:space="preserve">500318 Purchases Student Activities Billable</t>
  </si>
  <si>
    <t xml:space="preserve">500340</t>
  </si>
  <si>
    <t xml:space="preserve">500340 Senior Class Expenses</t>
  </si>
  <si>
    <t xml:space="preserve">500428</t>
  </si>
  <si>
    <t xml:space="preserve">500428 Wildcat Carnival</t>
  </si>
  <si>
    <t xml:space="preserve">500434</t>
  </si>
  <si>
    <t xml:space="preserve">500434 MS/US Field Trips Billable</t>
  </si>
  <si>
    <t xml:space="preserve">Business Office Expenses</t>
  </si>
  <si>
    <t xml:space="preserve">500010</t>
  </si>
  <si>
    <t xml:space="preserve">500010 Postage Expense</t>
  </si>
  <si>
    <t xml:space="preserve">500241</t>
  </si>
  <si>
    <t xml:space="preserve">500241 FACTS Enrollment Fee Expense</t>
  </si>
  <si>
    <t xml:space="preserve">500242</t>
  </si>
  <si>
    <t xml:space="preserve">500242 FACTS Hosting Fee</t>
  </si>
  <si>
    <t xml:space="preserve">500243</t>
  </si>
  <si>
    <t xml:space="preserve">500243 FACTS Implementation Fee</t>
  </si>
  <si>
    <t xml:space="preserve">500244</t>
  </si>
  <si>
    <t xml:space="preserve">500244 FACTS Returned Payment Fee</t>
  </si>
  <si>
    <t xml:space="preserve">500245</t>
  </si>
  <si>
    <t xml:space="preserve">500245 FACTS Online Enrollment Fee</t>
  </si>
  <si>
    <t xml:space="preserve">500246</t>
  </si>
  <si>
    <t xml:space="preserve">500246 FACTS Application Fee</t>
  </si>
  <si>
    <t xml:space="preserve">500247</t>
  </si>
  <si>
    <t xml:space="preserve">500247 FACTS Services Expense</t>
  </si>
  <si>
    <t xml:space="preserve">500248</t>
  </si>
  <si>
    <t xml:space="preserve">500248 Pre-Employment Expenses</t>
  </si>
  <si>
    <t xml:space="preserve">500249</t>
  </si>
  <si>
    <t xml:space="preserve">500249 Business Office Expenses</t>
  </si>
  <si>
    <t xml:space="preserve">500251</t>
  </si>
  <si>
    <t xml:space="preserve">500251 Payroll Processing Fees</t>
  </si>
  <si>
    <t xml:space="preserve">500252</t>
  </si>
  <si>
    <t xml:space="preserve">500252 Banking Fees</t>
  </si>
  <si>
    <t xml:space="preserve">Food Service</t>
  </si>
  <si>
    <t xml:space="preserve">Per Student</t>
  </si>
  <si>
    <t xml:space="preserve">500026</t>
  </si>
  <si>
    <t xml:space="preserve">500026 Insurance Expense</t>
  </si>
  <si>
    <t xml:space="preserve">500250</t>
  </si>
  <si>
    <t xml:space="preserve">500250 Copier Leases</t>
  </si>
  <si>
    <t xml:space="preserve">500357</t>
  </si>
  <si>
    <t xml:space="preserve">500357 Outsourced Tech Support</t>
  </si>
  <si>
    <t xml:space="preserve">500221</t>
  </si>
  <si>
    <t xml:space="preserve">500221 Repairs Athletic Facilities</t>
  </si>
  <si>
    <t xml:space="preserve">500222</t>
  </si>
  <si>
    <t xml:space="preserve">500222 Janitorial Services</t>
  </si>
  <si>
    <t xml:space="preserve">500223</t>
  </si>
  <si>
    <t xml:space="preserve">500223 Maintenance Contracts Facilities</t>
  </si>
  <si>
    <t xml:space="preserve">500224</t>
  </si>
  <si>
    <t xml:space="preserve">500224 Equipment General</t>
  </si>
  <si>
    <t xml:space="preserve">500226</t>
  </si>
  <si>
    <t xml:space="preserve">500226 Grounds Contracts</t>
  </si>
  <si>
    <t xml:space="preserve">500227</t>
  </si>
  <si>
    <t xml:space="preserve">500227 Grounds Equipment</t>
  </si>
  <si>
    <t xml:space="preserve">500228</t>
  </si>
  <si>
    <t xml:space="preserve">500228 Grounds Costs and Expenses</t>
  </si>
  <si>
    <t xml:space="preserve">500230</t>
  </si>
  <si>
    <t xml:space="preserve">500230 Repairs and Maintenance School Property</t>
  </si>
  <si>
    <t xml:space="preserve">500234</t>
  </si>
  <si>
    <t xml:space="preserve">500234 Janitorial Supplies</t>
  </si>
  <si>
    <t xml:space="preserve">500236</t>
  </si>
  <si>
    <t xml:space="preserve">500236 Repairs Willet Hall</t>
  </si>
  <si>
    <t xml:space="preserve">Maintenance-Budget Only</t>
  </si>
  <si>
    <t xml:space="preserve">500237</t>
  </si>
  <si>
    <t xml:space="preserve">500237 Utilities - Power</t>
  </si>
  <si>
    <t xml:space="preserve">500238</t>
  </si>
  <si>
    <t xml:space="preserve">500238 Utilities Water</t>
  </si>
  <si>
    <t xml:space="preserve">500239</t>
  </si>
  <si>
    <t xml:space="preserve">500239 Utilities Telephone &amp; Cell</t>
  </si>
  <si>
    <t xml:space="preserve">500240</t>
  </si>
  <si>
    <t xml:space="preserve">500240 Utilities Gas</t>
  </si>
  <si>
    <t xml:space="preserve">500017</t>
  </si>
  <si>
    <t xml:space="preserve">500017 Admissions</t>
  </si>
  <si>
    <t xml:space="preserve">500018</t>
  </si>
  <si>
    <t xml:space="preserve">500018 College Counseling</t>
  </si>
  <si>
    <t xml:space="preserve">500019</t>
  </si>
  <si>
    <t xml:space="preserve">500019 Guidance Office</t>
  </si>
  <si>
    <t xml:space="preserve">500020</t>
  </si>
  <si>
    <t xml:space="preserve">500020 Head of School Expenses</t>
  </si>
  <si>
    <t xml:space="preserve">500022</t>
  </si>
  <si>
    <t xml:space="preserve">500022 Board Expense</t>
  </si>
  <si>
    <t xml:space="preserve">500024</t>
  </si>
  <si>
    <t xml:space="preserve">500024 Faculty Appreciation</t>
  </si>
  <si>
    <t xml:space="preserve">500056</t>
  </si>
  <si>
    <t xml:space="preserve">500056 Athletic Contingency Playoff Expenses</t>
  </si>
  <si>
    <t xml:space="preserve">500127</t>
  </si>
  <si>
    <t xml:space="preserve">500127 Cirrus Lease</t>
  </si>
  <si>
    <t xml:space="preserve">500256</t>
  </si>
  <si>
    <t xml:space="preserve">500256 Audit Fees - Financials</t>
  </si>
  <si>
    <t xml:space="preserve">500257</t>
  </si>
  <si>
    <t xml:space="preserve">500257 SAIS/SACS Audit Fees</t>
  </si>
  <si>
    <t xml:space="preserve">500260</t>
  </si>
  <si>
    <t xml:space="preserve">500260 Bad Debt Expense</t>
  </si>
  <si>
    <t xml:space="preserve">500265</t>
  </si>
  <si>
    <t xml:space="preserve">500265 Strategic Plan Expenses</t>
  </si>
  <si>
    <t xml:space="preserve">500266</t>
  </si>
  <si>
    <t xml:space="preserve">500266 Dues and Subscriptions</t>
  </si>
  <si>
    <t xml:space="preserve">500393</t>
  </si>
  <si>
    <t xml:space="preserve">500393 Premium Paid for Tuition Insurance</t>
  </si>
  <si>
    <t xml:space="preserve">Advancement Activities</t>
  </si>
  <si>
    <t xml:space="preserve">Advertising and Marketing</t>
  </si>
  <si>
    <t xml:space="preserve">500123</t>
  </si>
  <si>
    <t xml:space="preserve">500123 Mortgage Principal</t>
  </si>
  <si>
    <t xml:space="preserve">Debt</t>
  </si>
  <si>
    <t xml:space="preserve">500125</t>
  </si>
  <si>
    <t xml:space="preserve">500125 Mortgage Interest Expense</t>
  </si>
  <si>
    <t xml:space="preserve">Technology Expenses</t>
  </si>
  <si>
    <t xml:space="preserve">500202</t>
  </si>
  <si>
    <t xml:space="preserve">500202 Computer Classroom Expenses</t>
  </si>
  <si>
    <t xml:space="preserve">500354</t>
  </si>
  <si>
    <t xml:space="preserve">500354 Technology Supplies 1 to 1</t>
  </si>
  <si>
    <t xml:space="preserve">500355</t>
  </si>
  <si>
    <t xml:space="preserve">500355 Administrative Software</t>
  </si>
  <si>
    <t xml:space="preserve">500356</t>
  </si>
  <si>
    <t xml:space="preserve">500356 Software Costs Upper School</t>
  </si>
  <si>
    <t xml:space="preserve">500358</t>
  </si>
  <si>
    <t xml:space="preserve">500358 Technology Equipment</t>
  </si>
  <si>
    <t xml:space="preserve">500359</t>
  </si>
  <si>
    <t xml:space="preserve">500359 Technology Equipment Reserve</t>
  </si>
  <si>
    <t xml:space="preserve">500360</t>
  </si>
  <si>
    <t xml:space="preserve">500360 Lease for Network Switches</t>
  </si>
  <si>
    <t xml:space="preserve">500361</t>
  </si>
  <si>
    <t xml:space="preserve">500361 Software Lower School</t>
  </si>
  <si>
    <t xml:space="preserve">500362</t>
  </si>
  <si>
    <t xml:space="preserve">500362 Technology Software Administrative</t>
  </si>
  <si>
    <t xml:space="preserve">500363</t>
  </si>
  <si>
    <t xml:space="preserve">500363 Technology General Office Supplies</t>
  </si>
  <si>
    <t xml:space="preserve">500364</t>
  </si>
  <si>
    <t xml:space="preserve">500364 Repairs Technology</t>
  </si>
  <si>
    <t xml:space="preserve">500365</t>
  </si>
  <si>
    <t xml:space="preserve">500365 Communication Costs</t>
  </si>
  <si>
    <t xml:space="preserve">500367</t>
  </si>
  <si>
    <t xml:space="preserve">500367 Technology Installation Expense</t>
  </si>
  <si>
    <t xml:space="preserve">500377</t>
  </si>
  <si>
    <t xml:space="preserve">500377 Apple Lease #10</t>
  </si>
  <si>
    <t xml:space="preserve">500378</t>
  </si>
  <si>
    <t xml:space="preserve">500378 Apple Lease #9</t>
  </si>
  <si>
    <t xml:space="preserve">500403</t>
  </si>
  <si>
    <t xml:space="preserve">500403 Billings for Deductible for Students 1 to 1</t>
  </si>
  <si>
    <t xml:space="preserve">500404</t>
  </si>
  <si>
    <t xml:space="preserve">500404 Technology Insurance Premiums</t>
  </si>
  <si>
    <t xml:space="preserve">500057</t>
  </si>
  <si>
    <t xml:space="preserve">500057 Summer Camp Exp DO NOT USE</t>
  </si>
  <si>
    <t xml:space="preserve">Other Revenue</t>
  </si>
  <si>
    <t xml:space="preserve">Development Income</t>
  </si>
  <si>
    <t xml:space="preserve">Other Expense</t>
  </si>
  <si>
    <t xml:space="preserve">Development Expenses</t>
  </si>
  <si>
    <t xml:space="preserve">To add an account: insert a row above this note (inside the table), fill columns A:F, copy G:K formulas down from the row above.</t>
  </si>
  <si>
    <t xml:space="preserve">PRIOR-YEAR TRENDS &amp; RECOMMENDED BUDGET</t>
  </si>
  <si>
    <t xml:space="preserve">Load up to 5 years of actuals on Actuals Import. Four trend methods are computed for every account; the selected one becomes the recommendation.</t>
  </si>
  <si>
    <t xml:space="preserve">Years of actuals loaded</t>
  </si>
  <si>
    <t xml:space="preserve">First year</t>
  </si>
  <si>
    <t xml:space="preserve">Latest year</t>
  </si>
  <si>
    <t xml:space="preserve">Target year</t>
  </si>
  <si>
    <t xml:space="preserve">Fiscal year ending (from Inputs)</t>
  </si>
  <si>
    <t xml:space="preserve">Major category</t>
  </si>
  <si>
    <t xml:space="preserve">Avg annual growth (actuals)</t>
  </si>
  <si>
    <t xml:space="preserve">FY27 budget vs last actual</t>
  </si>
  <si>
    <t xml:space="preserve">Strategic Plan Initiatives</t>
  </si>
  <si>
    <t xml:space="preserve">Forecast columns come from the Summary tab; forecast totals include Strategic Plan Initiatives.</t>
  </si>
  <si>
    <t xml:space="preserve">Chart data (do not edit)</t>
  </si>
  <si>
    <t xml:space="preserve">Account-level trend and recommendation</t>
  </si>
  <si>
    <t xml:space="preserve">Last actual</t>
  </si>
  <si>
    <t xml:space="preserve">Average</t>
  </si>
  <si>
    <t xml:space="preserve">Linear trend</t>
  </si>
  <si>
    <t xml:space="preserve">Growth-based</t>
  </si>
  <si>
    <t xml:space="preserve">Override method</t>
  </si>
  <si>
    <t xml:space="preserve">Method used</t>
  </si>
  <si>
    <t xml:space="preserve">Rec vs FY27 budget</t>
  </si>
  <si>
    <t xml:space="preserve">Flag</t>
  </si>
  <si>
    <t xml:space="preserve">MONTHLY CASH FLOW - 5 YEARS</t>
  </si>
  <si>
    <t xml:space="preserve">Month ending</t>
  </si>
  <si>
    <t xml:space="preserve">Fiscal year #</t>
  </si>
  <si>
    <t xml:space="preserve">Fiscal month # (1 = July)</t>
  </si>
  <si>
    <t xml:space="preserve">CASH RECEIPTS (by timing profile)</t>
  </si>
  <si>
    <t xml:space="preserve">  Tuition Plan</t>
  </si>
  <si>
    <t xml:space="preserve">  Even</t>
  </si>
  <si>
    <t xml:space="preserve">  Jul Lump</t>
  </si>
  <si>
    <t xml:space="preserve">  Custom A</t>
  </si>
  <si>
    <t xml:space="preserve">  Custom B</t>
  </si>
  <si>
    <t xml:space="preserve">Total receipts</t>
  </si>
  <si>
    <t xml:space="preserve">CASH DISBURSEMENTS (by timing profile)</t>
  </si>
  <si>
    <t xml:space="preserve">  Strategic plan initiatives - operating, net</t>
  </si>
  <si>
    <t xml:space="preserve">Total operating disbursements</t>
  </si>
  <si>
    <t xml:space="preserve">NET OPERATING CASH FLOW</t>
  </si>
  <si>
    <t xml:space="preserve">Capital projects &amp; capital initiatives</t>
  </si>
  <si>
    <t xml:space="preserve">Transfers to reserves</t>
  </si>
  <si>
    <t xml:space="preserve">Operating cash - beginning</t>
  </si>
  <si>
    <t xml:space="preserve">  Net operating cash flow</t>
  </si>
  <si>
    <t xml:space="preserve">  Capital &amp; reserve transfers</t>
  </si>
  <si>
    <t xml:space="preserve">Operating cash - ending</t>
  </si>
  <si>
    <t xml:space="preserve">Reserves &amp; restricted - beginning</t>
  </si>
  <si>
    <t xml:space="preserve">  Transfers in</t>
  </si>
  <si>
    <t xml:space="preserve">Reserves &amp; restricted - ending</t>
  </si>
  <si>
    <t xml:space="preserve">TOTAL CASH &amp; RESERVES - ending</t>
  </si>
  <si>
    <t xml:space="preserve">Operating cash below zero?</t>
  </si>
  <si>
    <t xml:space="preserve">CASH FLOW SUMMARY (annual)</t>
  </si>
  <si>
    <t xml:space="preserve">Operating cash - beginning of year</t>
  </si>
  <si>
    <t xml:space="preserve">Cash receipts</t>
  </si>
  <si>
    <t xml:space="preserve">Operating disbursements (incl. strategic plan)</t>
  </si>
  <si>
    <t xml:space="preserve">Net operating cash flow</t>
  </si>
  <si>
    <t xml:space="preserve">Operating cash - end of year</t>
  </si>
  <si>
    <t xml:space="preserve">Reserves &amp; restricted - end of year</t>
  </si>
  <si>
    <t xml:space="preserve">Total cash &amp; reserves - end of year</t>
  </si>
  <si>
    <t xml:space="preserve">  Month of low point</t>
  </si>
  <si>
    <t xml:space="preserve">Days cash on hand (total cash / daily expenses)</t>
  </si>
  <si>
    <t xml:space="preserve">Cash flow is on a cash basis: tuition follows the payment-plan profile, prepayments for next year (May/June) are included.</t>
  </si>
  <si>
    <t xml:space="preserve">Supporting calculation: annual amounts by cash-timing profile (feeds the monthly Cash Flow tab)</t>
  </si>
  <si>
    <t xml:space="preserve">Revenue lines</t>
  </si>
  <si>
    <t xml:space="preserve">Next FY (est.)</t>
  </si>
  <si>
    <t xml:space="preserve">  (FY32 is estimated from FY31 x growth; only used for May/June prepayments in the final year)</t>
  </si>
  <si>
    <t xml:space="preserve">Expense lines</t>
  </si>
  <si>
    <t xml:space="preserve">Budget Overview__Budget_FY27_P&amp;L___Report</t>
  </si>
  <si>
    <t xml:space="preserve">HOW TO IMPORT</t>
  </si>
  <si>
    <t xml:space="preserve">July, 2026-June, 2027</t>
  </si>
  <si>
    <t xml:space="preserve">1. In QuickBooks, export the Budget Overview P&amp;L report to Excel.</t>
  </si>
  <si>
    <t xml:space="preserve">2. Clear columns A:C on this tab (do NOT touch columns D:I).</t>
  </si>
  <si>
    <t xml:space="preserve">Jul 2026 - Jun 2027</t>
  </si>
  <si>
    <t xml:space="preserve">3. Paste the whole export so its first row lands in A1.</t>
  </si>
  <si>
    <t xml:space="preserve">4. Check the status line at the top of the Summary tab.</t>
  </si>
  <si>
    <t xml:space="preserve">Columns D:I (green) are helper formulas that read the pasted data.</t>
  </si>
  <si>
    <t xml:space="preserve">Gross Tuition</t>
  </si>
  <si>
    <t xml:space="preserve">Any account flagged UNMAPPED in column I is held flat in the forecast</t>
  </si>
  <si>
    <t xml:space="preserve">under its Major Category; add it to Forecast Detail to forecast it.</t>
  </si>
  <si>
    <t xml:space="preserve">Total for Gross Tuition</t>
  </si>
  <si>
    <t xml:space="preserve">Other Tuition-Related Fees</t>
  </si>
  <si>
    <t xml:space="preserve">Other Income-Late Fees</t>
  </si>
  <si>
    <t xml:space="preserve">Total for Other Income-Late Fees</t>
  </si>
  <si>
    <t xml:space="preserve">Total for Other Tuition-Related Fees</t>
  </si>
  <si>
    <t xml:space="preserve">Tuition Discounts</t>
  </si>
  <si>
    <t xml:space="preserve">Total for Tuition Discounts</t>
  </si>
  <si>
    <t xml:space="preserve">Total for 1 Tuition and Fees</t>
  </si>
  <si>
    <t xml:space="preserve">After School/Summer Day Care</t>
  </si>
  <si>
    <t xml:space="preserve">Total for After School/Summer Day Care</t>
  </si>
  <si>
    <t xml:space="preserve">Contributions from Endowments</t>
  </si>
  <si>
    <t xml:space="preserve">Total for Contributions from Endowments</t>
  </si>
  <si>
    <t xml:space="preserve">Interest Income</t>
  </si>
  <si>
    <t xml:space="preserve">Total for Interest Income</t>
  </si>
  <si>
    <t xml:space="preserve">Total for 2 Interest and Other Income</t>
  </si>
  <si>
    <t xml:space="preserve">Fees from Tutoring Services</t>
  </si>
  <si>
    <t xml:space="preserve">Total for Fees from Tutoring Services</t>
  </si>
  <si>
    <t xml:space="preserve">Net Revenue Twas the Night</t>
  </si>
  <si>
    <t xml:space="preserve">Total for Net Revenue Twas the Night</t>
  </si>
  <si>
    <t xml:space="preserve">Total for 4 Other Miscellaneous Income</t>
  </si>
  <si>
    <t xml:space="preserve">Total for Revenue</t>
  </si>
  <si>
    <t xml:space="preserve">Cost of Goods Sold</t>
  </si>
  <si>
    <t xml:space="preserve">Gross Profit</t>
  </si>
  <si>
    <t xml:space="preserve">Expenditures</t>
  </si>
  <si>
    <t xml:space="preserve">Total for 1 Salaries and Benefits</t>
  </si>
  <si>
    <t xml:space="preserve">Total for All School Supplies</t>
  </si>
  <si>
    <t xml:space="preserve">General Instructional Activities</t>
  </si>
  <si>
    <t xml:space="preserve">Total for General Instructional Activities</t>
  </si>
  <si>
    <t xml:space="preserve">Total for Lower School Expenses</t>
  </si>
  <si>
    <t xml:space="preserve">Middle/Upper School Division</t>
  </si>
  <si>
    <t xml:space="preserve">Total for Middle/Upper School Division</t>
  </si>
  <si>
    <t xml:space="preserve">Total for Student Activities Expenses</t>
  </si>
  <si>
    <t xml:space="preserve">Total for 2 Instructional Expenses</t>
  </si>
  <si>
    <t xml:space="preserve">Total for Business Office Expenses</t>
  </si>
  <si>
    <t xml:space="preserve">General Operational Expenses</t>
  </si>
  <si>
    <t xml:space="preserve">Total for General Operational Expenses</t>
  </si>
  <si>
    <t xml:space="preserve">Maintenance/Grounds/Utilities Expenses</t>
  </si>
  <si>
    <t xml:space="preserve">Utilities</t>
  </si>
  <si>
    <t xml:space="preserve">Total for Utilities</t>
  </si>
  <si>
    <t xml:space="preserve">Total for Maintenance/Grounds/Utilities Expenses</t>
  </si>
  <si>
    <t xml:space="preserve">Total for 3 Operations</t>
  </si>
  <si>
    <t xml:space="preserve">Administrative Activities-General</t>
  </si>
  <si>
    <t xml:space="preserve">Total for Administrative Activities-General</t>
  </si>
  <si>
    <t xml:space="preserve">Debt Service</t>
  </si>
  <si>
    <t xml:space="preserve">Total for Debt Service</t>
  </si>
  <si>
    <t xml:space="preserve">Total for Technology Expenses</t>
  </si>
  <si>
    <t xml:space="preserve">Total for 4 Administrative</t>
  </si>
  <si>
    <t xml:space="preserve">Athletic Expenses - General</t>
  </si>
  <si>
    <t xml:space="preserve">Total for Athletic Expenses - General</t>
  </si>
  <si>
    <t xml:space="preserve">Total for 5 Athletic Expenses</t>
  </si>
  <si>
    <t xml:space="preserve">Total for Expenditures</t>
  </si>
  <si>
    <t xml:space="preserve">Total for Other Revenue</t>
  </si>
  <si>
    <t xml:space="preserve">Other Expenditures</t>
  </si>
  <si>
    <t xml:space="preserve">Total for Other Expenditures</t>
  </si>
  <si>
    <t xml:space="preserve">Net Revenue</t>
  </si>
  <si>
    <t xml:space="preserve"> Tuesday, September 22, 2026 09:32 AM GMT-05:00</t>
  </si>
  <si>
    <t xml:space="preserve">HOW TO LOAD PRIOR-YEAR ACTUALS</t>
  </si>
  <si>
    <t xml:space="preserve">Each block of columns holds one prior-year QuickBooks P&amp;L export (same layout as the budget export).</t>
  </si>
  <si>
    <t xml:space="preserve">Slot 1 = paste at A1, slot 2 = J1, slot 3 = S1, slot 4 = AB1, slot 5 = AK1 (oldest to newest).</t>
  </si>
  <si>
    <t xml:space="preserve">Set the fiscal year of each slot on the Inputs tab (leave blank to skip a slot).</t>
  </si>
  <si>
    <t xml:space="preserve">Only paste into the first three columns of each block; the green columns beside them are helper formulas.</t>
  </si>
  <si>
    <t xml:space="preserve">Account numbers / major-category headers must match the budget export for lines to line up on the Trend tab.</t>
  </si>
  <si>
    <t xml:space="preserve">FIVE-YEAR FORECAST MODEL - READ ME</t>
  </si>
  <si>
    <t xml:space="preserve">TABS</t>
  </si>
  <si>
    <t xml:space="preserve">  Summary          One-page print view by QuickBooks Major Category (the accounts under '1 Tuition and Fees', '1 Salaries and Benefits', etc.).</t>
  </si>
  <si>
    <t xml:space="preserve">  Inputs           All assumptions: growth %, strategic plan initiatives, capital projects, reserve funding, opening cash, payment plans, cash timing.</t>
  </si>
  <si>
    <t xml:space="preserve">  Enrollment       FY27 enrollment and rates by grade; later years roll forward by grade using retention and new-student inputs.</t>
  </si>
  <si>
    <t xml:space="preserve">  Forecast Detail  One row per QuickBooks account. Pick a forecast method and cash timing per line.</t>
  </si>
  <si>
    <t xml:space="preserve">  Cash Flow        Monthly cash flow, 60 months (5 fiscal years, July-June).</t>
  </si>
  <si>
    <t xml:space="preserve">  CF Summary       Annual cash flow summary, low-point cash and days cash on hand.</t>
  </si>
  <si>
    <t xml:space="preserve">  Trend            Up to 5 prior years of actuals by category and by account, with a recommended next-year budget for every line.</t>
  </si>
  <si>
    <t xml:space="preserve">  Actuals Import  Five paste slots (A1, J1, S1, AB1, AK1) for prior-year QuickBooks P&amp;L exports; years are set on Inputs.</t>
  </si>
  <si>
    <t xml:space="preserve">  QB Import        Paste the QuickBooks budget export here (A1). Helper formulas in D:I map every account to its Major Category.</t>
  </si>
  <si>
    <t xml:space="preserve">HOW MAJOR CATEGORIES ARE FOUND</t>
  </si>
  <si>
    <t xml:space="preserve">  Any row whose label begins with a single digit and a space (e.g. '1 Tuition and Fees') starts a Major Category. Every account beneath it, including</t>
  </si>
  <si>
    <t xml:space="preserve">  subgroups such as 'Gross Tuition' or 'Tuition Discounts', rolls up into it until the next such row or the next section (Revenue / Expenditures / Other Revenue / Other Expenditures).</t>
  </si>
  <si>
    <t xml:space="preserve">  Rows that carry an amount but have no account number (e.g. 'Food Service') are treated as their own detail line.</t>
  </si>
  <si>
    <t xml:space="preserve">UPDATING FROM A NEW QUICKBOOKS EXPORT</t>
  </si>
  <si>
    <t xml:space="preserve">  1. Clear QB Import columns A:C, paste the new export at A1.  2. Read the status on Summary!A3.  3. If accounts show as UNMAPPED, add them to Forecast Detail.</t>
  </si>
  <si>
    <t xml:space="preserve">  Unmapped accounts are still counted (held flat) so totals never drop out of the forecast.</t>
  </si>
  <si>
    <t xml:space="preserve">FORECAST METHODS (Forecast Detail column E)</t>
  </si>
  <si>
    <t xml:space="preserve">  Flat              Same as prior year.</t>
  </si>
  <si>
    <t xml:space="preserve">  Inflation         Prior year x (1 + general inflation).</t>
  </si>
  <si>
    <t xml:space="preserve">  Salary            Prior year x (1 + salary increase).</t>
  </si>
  <si>
    <t xml:space="preserve">  Benefits          Prior year x (1 + benefits increase).</t>
  </si>
  <si>
    <t xml:space="preserve">  Per Student       Prior year x enrollment change x (1 + inflation).</t>
  </si>
  <si>
    <t xml:space="preserve">  Enrollment        Prior year x enrollment change.</t>
  </si>
  <si>
    <t xml:space="preserve">  Tuition Index     Prior year x change in the tuition index (enrollment by grade x rate by grade). Calibrated to the QuickBooks FY27 budget.</t>
  </si>
  <si>
    <t xml:space="preserve">  % of Salaries     Keeps the FY27 ratio to total 'Salary' lines (payroll taxes, 401K).</t>
  </si>
  <si>
    <t xml:space="preserve">  Debt              FY27 amount x months of payments remaining (see final mortgage payment date).</t>
  </si>
  <si>
    <t xml:space="preserve">  Reserve Yield     Yield % x prior year-end interest-earning balances (Inputs).</t>
  </si>
  <si>
    <t xml:space="preserve">  Trend             FY28 = recommendation from the Trend tab; later years grow with inflation.</t>
  </si>
  <si>
    <t xml:space="preserve">  Manual            Type the amount for each year in Forecast Detail columns L:O.</t>
  </si>
  <si>
    <t xml:space="preserve">USING PRIOR-YEAR ACTUALS</t>
  </si>
  <si>
    <t xml:space="preserve">  1. Inputs: enter the fiscal year of each actuals export (slots 1-5, oldest to newest).  2. Actuals Import: paste each export at its slot (A1, J1, S1, AB1, AK1).</t>
  </si>
  <si>
    <t xml:space="preserve">  3. Trend: review the category trends and the four methods per account (Last Actual, Average, Linear Trend, Growth); pick a default on Inputs or override per line.</t>
  </si>
  <si>
    <t xml:space="preserve">  4. To budget from the recommendation, set the line's method on Forecast Detail to Trend. Actuals must use the same account numbers / category headers as the budget export.</t>
  </si>
  <si>
    <t xml:space="preserve">SIMPLIFICATIONS TO KNOW ABOUT</t>
  </si>
  <si>
    <t xml:space="preserve">  - Mortgage principal and interest are kept as expenses exactly as in QuickBooks; interest is not stepped down as principal is repaid.</t>
  </si>
  <si>
    <t xml:space="preserve">  - Interest income is based on prior year-end balances (opening balances + reserve funding), not the monthly cash flow, to avoid circularity.</t>
  </si>
  <si>
    <t xml:space="preserve">  - The cash flow starts July of FY27 from the opening balances on Inputs; May/June collections for FY27 tuition are assumed to be in those balances.</t>
  </si>
  <si>
    <t xml:space="preserve">  - Scholarship programs (S4K, Choose Act, AOSF) are driven by the method chosen on their own lines, not by student counts.</t>
  </si>
  <si>
    <t xml:space="preserve">  - Strategic Plan Initiatives are incremental to the QuickBooks account '500265 Strategic Plan Expenses'.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</si>
</sst>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#,##0;\(#,##0\);\-"/>
    <numFmt numFmtId="168" formatCode="0"/>
    <numFmt numFmtId="169" formatCode="m/d/yyyy"/>
    <numFmt numFmtId="170" formatCode="0.0000"/>
    <numFmt numFmtId="171" formatCode="@"/>
    <numFmt numFmtId="172" formatCode="mmm\-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color rgb="FFC00000"/>
      </font>
    </dxf>
    <dxf>
      <font>
        <name val="Arial"/>
        <charset val="1"/>
        <family val="0"/>
        <b val="1"/>
        <color rgb="FF00803C"/>
      </font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color rgb="FFFFFFFF"/>
        <sz val="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3C"/>
      <rgbColor rgb="FFC0C0C0"/>
      <rgbColor rgb="FF808080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expenses: actuals, FY27 budget and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Trend!A42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Trend!$B$41:$K$41</c:f>
              <c:strCache>
                <c:ptCount val="10"/>
                <c:pt idx="0">
                  <c:v>(unused)</c:v>
                </c:pt>
                <c:pt idx="1">
                  <c:v>(unused)</c:v>
                </c:pt>
                <c:pt idx="2">
                  <c:v>(unused)</c:v>
                </c:pt>
                <c:pt idx="3">
                  <c:v>(unused)</c:v>
                </c:pt>
                <c:pt idx="4">
                  <c:v>(unused)</c:v>
                </c:pt>
                <c:pt idx="5">
                  <c:v>FY27 Budget</c:v>
                </c:pt>
                <c:pt idx="6">
                  <c:v>FY28 Fcst</c:v>
                </c:pt>
                <c:pt idx="7">
                  <c:v>FY29 Fcst</c:v>
                </c:pt>
                <c:pt idx="8">
                  <c:v>FY30 Fcst</c:v>
                </c:pt>
                <c:pt idx="9">
                  <c:v>FY31 Fcst</c:v>
                </c:pt>
              </c:strCache>
            </c:strRef>
          </c:cat>
          <c:val>
            <c:numRef>
              <c:f>Trend!$B$42:$K$42</c:f>
              <c:numCache>
                <c:formatCode>#,##0;\(#,##0\);\-</c:formatCode>
                <c:ptCount val="10"/>
                <c:pt idx="5">
                  <c:v>9304382</c:v>
                </c:pt>
                <c:pt idx="6">
                  <c:v>9754923.46920146</c:v>
                </c:pt>
                <c:pt idx="7">
                  <c:v>10033551.3081712</c:v>
                </c:pt>
                <c:pt idx="8">
                  <c:v>10345474.6561197</c:v>
                </c:pt>
                <c:pt idx="9">
                  <c:v>10650942.1349701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Trend!A43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Trend!$B$41:$K$41</c:f>
              <c:strCache>
                <c:ptCount val="10"/>
                <c:pt idx="0">
                  <c:v>(unused)</c:v>
                </c:pt>
                <c:pt idx="1">
                  <c:v>(unused)</c:v>
                </c:pt>
                <c:pt idx="2">
                  <c:v>(unused)</c:v>
                </c:pt>
                <c:pt idx="3">
                  <c:v>(unused)</c:v>
                </c:pt>
                <c:pt idx="4">
                  <c:v>(unused)</c:v>
                </c:pt>
                <c:pt idx="5">
                  <c:v>FY27 Budget</c:v>
                </c:pt>
                <c:pt idx="6">
                  <c:v>FY28 Fcst</c:v>
                </c:pt>
                <c:pt idx="7">
                  <c:v>FY29 Fcst</c:v>
                </c:pt>
                <c:pt idx="8">
                  <c:v>FY30 Fcst</c:v>
                </c:pt>
                <c:pt idx="9">
                  <c:v>FY31 Fcst</c:v>
                </c:pt>
              </c:strCache>
            </c:strRef>
          </c:cat>
          <c:val>
            <c:numRef>
              <c:f>Trend!$B$43:$K$43</c:f>
              <c:numCache>
                <c:formatCode>#,##0;\(#,##0\);\-</c:formatCode>
                <c:ptCount val="10"/>
                <c:pt idx="5">
                  <c:v>9302740</c:v>
                </c:pt>
                <c:pt idx="6">
                  <c:v>9651691.7906983</c:v>
                </c:pt>
                <c:pt idx="7">
                  <c:v>9981580.53625986</c:v>
                </c:pt>
                <c:pt idx="8">
                  <c:v>10191060.0022617</c:v>
                </c:pt>
                <c:pt idx="9">
                  <c:v>10471581.2221874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658043"/>
        <c:axId val="58840400"/>
      </c:lineChart>
      <c:catAx>
        <c:axId val="596580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40400"/>
        <c:crosses val="autoZero"/>
        <c:auto val="1"/>
        <c:lblAlgn val="ctr"/>
        <c:lblOffset val="100"/>
        <c:noMultiLvlLbl val="0"/>
      </c:catAx>
      <c:valAx>
        <c:axId val="58840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580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160920</xdr:rowOff>
    </xdr:from>
    <xdr:to>
      <xdr:col>5</xdr:col>
      <xdr:colOff>380880</xdr:colOff>
      <xdr:row>35</xdr:row>
      <xdr:rowOff>172440</xdr:rowOff>
    </xdr:to>
    <xdr:graphicFrame>
      <xdr:nvGraphicFramePr>
        <xdr:cNvPr id="0" name="Chart 1"/>
        <xdr:cNvGraphicFramePr/>
      </xdr:nvGraphicFramePr>
      <xdr:xfrm>
        <a:off x="0" y="4000680"/>
        <a:ext cx="93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4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tr">
        <f aca="false">"Data check: "&amp;B46</f>
        <v>Data check: OK - ties to QuickBooks</v>
      </c>
    </row>
    <row r="5" customFormat="false" ht="15" hidden="false" customHeight="false" outlineLevel="0" collapsed="false">
      <c r="A5" s="4" t="s">
        <v>2</v>
      </c>
      <c r="B5" s="5" t="str">
        <f aca="false">Inputs!C$4</f>
        <v>FY27</v>
      </c>
      <c r="C5" s="5" t="str">
        <f aca="false">Inputs!D$4</f>
        <v>FY28</v>
      </c>
      <c r="D5" s="5" t="str">
        <f aca="false">Inputs!E$4</f>
        <v>FY29</v>
      </c>
      <c r="E5" s="5" t="str">
        <f aca="false">Inputs!F$4</f>
        <v>FY30</v>
      </c>
      <c r="F5" s="5" t="str">
        <f aca="false">Inputs!G$4</f>
        <v>FY31</v>
      </c>
      <c r="G5" s="5" t="s">
        <v>3</v>
      </c>
    </row>
    <row r="6" customFormat="false" ht="15" hidden="false" customHeight="false" outlineLevel="0" collapsed="false">
      <c r="A6" s="6" t="s">
        <v>4</v>
      </c>
      <c r="B6" s="7" t="n">
        <f aca="false">Enrollment!B21</f>
        <v>582</v>
      </c>
      <c r="C6" s="7" t="n">
        <f aca="false">Enrollment!C21</f>
        <v>591</v>
      </c>
      <c r="D6" s="7" t="n">
        <f aca="false">Enrollment!D21</f>
        <v>588</v>
      </c>
      <c r="E6" s="7" t="n">
        <f aca="false">Enrollment!E21</f>
        <v>583</v>
      </c>
      <c r="F6" s="7" t="n">
        <f aca="false">Enrollment!F21</f>
        <v>579</v>
      </c>
    </row>
    <row r="7" customFormat="false" ht="15" hidden="false" customHeight="false" outlineLevel="0" collapsed="false">
      <c r="A7" s="6" t="s">
        <v>5</v>
      </c>
      <c r="B7" s="8" t="n">
        <f aca="false">Inputs!C9</f>
        <v>0.04</v>
      </c>
      <c r="C7" s="8" t="n">
        <f aca="false">Inputs!D9</f>
        <v>0.05</v>
      </c>
      <c r="D7" s="8" t="n">
        <f aca="false">Inputs!E9</f>
        <v>0.045</v>
      </c>
      <c r="E7" s="8" t="n">
        <f aca="false">Inputs!F9</f>
        <v>0.045</v>
      </c>
      <c r="F7" s="8" t="n">
        <f aca="false">Inputs!G9</f>
        <v>0.04</v>
      </c>
    </row>
    <row r="8" customFormat="false" ht="15" hidden="false" customHeight="false" outlineLevel="0" collapsed="false">
      <c r="A8" s="6" t="s">
        <v>6</v>
      </c>
      <c r="B8" s="8" t="n">
        <f aca="false">Inputs!C10</f>
        <v>0.025</v>
      </c>
      <c r="C8" s="8" t="n">
        <f aca="false">Inputs!D10</f>
        <v>0.03</v>
      </c>
      <c r="D8" s="8" t="n">
        <f aca="false">Inputs!E10</f>
        <v>0.03</v>
      </c>
      <c r="E8" s="8" t="n">
        <f aca="false">Inputs!F10</f>
        <v>0.03</v>
      </c>
      <c r="F8" s="8" t="n">
        <f aca="false">Inputs!G10</f>
        <v>0.03</v>
      </c>
    </row>
    <row r="10" customFormat="false" ht="15" hidden="false" customHeight="false" outlineLevel="0" collapsed="false">
      <c r="A10" s="9" t="s">
        <v>7</v>
      </c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6" t="s">
        <v>8</v>
      </c>
      <c r="B11" s="11" t="n">
        <f aca="false">SUMIFS('Forecast Detail'!G$8:G$400,'Forecast Detail'!$B$8:$B$400,$A11)+SUMIFS('QB Import'!$B$1:$B$600,'QB Import'!$F$1:$F$600,$A11,'QB Import'!$I$1:$I$600,"UNMAPPED")</f>
        <v>8799382</v>
      </c>
      <c r="C11" s="11" t="n">
        <f aca="false">SUMIFS('Forecast Detail'!H$8:H$400,'Forecast Detail'!$B$8:$B$400,$A11)+SUMIFS('QB Import'!$B$1:$B$600,'QB Import'!$F$1:$F$600,$A11,'QB Import'!$I$1:$I$600,"UNMAPPED")</f>
        <v>9300918.43818146</v>
      </c>
      <c r="D11" s="11" t="n">
        <f aca="false">SUMIFS('Forecast Detail'!I$8:I$400,'Forecast Detail'!$B$8:$B$400,$A11)+SUMIFS('QB Import'!$B$1:$B$600,'QB Import'!$F$1:$F$600,$A11,'QB Import'!$I$1:$I$600,"UNMAPPED")</f>
        <v>9629546.2771512</v>
      </c>
      <c r="E11" s="11" t="n">
        <f aca="false">SUMIFS('Forecast Detail'!J$8:J$400,'Forecast Detail'!$B$8:$B$400,$A11)+SUMIFS('QB Import'!$B$1:$B$600,'QB Import'!$F$1:$F$600,$A11,'QB Import'!$I$1:$I$600,"UNMAPPED")</f>
        <v>9941469.62509973</v>
      </c>
      <c r="F11" s="11" t="n">
        <f aca="false">SUMIFS('Forecast Detail'!K$8:K$400,'Forecast Detail'!$B$8:$B$400,$A11)+SUMIFS('QB Import'!$B$1:$B$600,'QB Import'!$F$1:$F$600,$A11,'QB Import'!$I$1:$I$600,"UNMAPPED")</f>
        <v>10246937.1039501</v>
      </c>
      <c r="G11" s="8" t="n">
        <f aca="false">IF(AND(B11&gt;0,F11&gt;0),(F11/B11)^(1/4)-1,"")</f>
        <v>0.0388084524464143</v>
      </c>
    </row>
    <row r="12" customFormat="false" ht="15" hidden="false" customHeight="false" outlineLevel="0" collapsed="false">
      <c r="A12" s="6" t="s">
        <v>9</v>
      </c>
      <c r="B12" s="11" t="n">
        <f aca="false">SUMIFS('Forecast Detail'!G$8:G$400,'Forecast Detail'!$B$8:$B$400,$A12)+SUMIFS('QB Import'!$B$1:$B$600,'QB Import'!$F$1:$F$600,$A12,'QB Import'!$I$1:$I$600,"UNMAPPED")</f>
        <v>445000</v>
      </c>
      <c r="C12" s="11" t="n">
        <f aca="false">SUMIFS('Forecast Detail'!H$8:H$400,'Forecast Detail'!$B$8:$B$400,$A12)+SUMIFS('QB Import'!$B$1:$B$600,'QB Import'!$F$1:$F$600,$A12,'QB Import'!$I$1:$I$600,"UNMAPPED")</f>
        <v>394005.03102</v>
      </c>
      <c r="D12" s="11" t="n">
        <f aca="false">SUMIFS('Forecast Detail'!I$8:I$400,'Forecast Detail'!$B$8:$B$400,$A12)+SUMIFS('QB Import'!$B$1:$B$600,'QB Import'!$F$1:$F$600,$A12,'QB Import'!$I$1:$I$600,"UNMAPPED")</f>
        <v>344005.03102</v>
      </c>
      <c r="E12" s="11" t="n">
        <f aca="false">SUMIFS('Forecast Detail'!J$8:J$400,'Forecast Detail'!$B$8:$B$400,$A12)+SUMIFS('QB Import'!$B$1:$B$600,'QB Import'!$F$1:$F$600,$A12,'QB Import'!$I$1:$I$600,"UNMAPPED")</f>
        <v>344005.03102</v>
      </c>
      <c r="F12" s="11" t="n">
        <f aca="false">SUMIFS('Forecast Detail'!K$8:K$400,'Forecast Detail'!$B$8:$B$400,$A12)+SUMIFS('QB Import'!$B$1:$B$600,'QB Import'!$F$1:$F$600,$A12,'QB Import'!$I$1:$I$600,"UNMAPPED")</f>
        <v>344005.03102</v>
      </c>
      <c r="G12" s="8" t="n">
        <f aca="false">IF(AND(B12&gt;0,F12&gt;0),(F12/B12)^(1/4)-1,"")</f>
        <v>-0.0623274642717862</v>
      </c>
    </row>
    <row r="13" customFormat="false" ht="15" hidden="false" customHeight="false" outlineLevel="0" collapsed="false">
      <c r="A13" s="6" t="s">
        <v>10</v>
      </c>
      <c r="B13" s="11" t="n">
        <f aca="false">SUMIFS('Forecast Detail'!G$8:G$400,'Forecast Detail'!$B$8:$B$400,$A13)+SUMIFS('QB Import'!$B$1:$B$600,'QB Import'!$F$1:$F$600,$A13,'QB Import'!$I$1:$I$600,"UNMAPPED")</f>
        <v>60000</v>
      </c>
      <c r="C13" s="11" t="n">
        <f aca="false">SUMIFS('Forecast Detail'!H$8:H$400,'Forecast Detail'!$B$8:$B$400,$A13)+SUMIFS('QB Import'!$B$1:$B$600,'QB Import'!$F$1:$F$600,$A13,'QB Import'!$I$1:$I$600,"UNMAPPED")</f>
        <v>60000</v>
      </c>
      <c r="D13" s="11" t="n">
        <f aca="false">SUMIFS('Forecast Detail'!I$8:I$400,'Forecast Detail'!$B$8:$B$400,$A13)+SUMIFS('QB Import'!$B$1:$B$600,'QB Import'!$F$1:$F$600,$A13,'QB Import'!$I$1:$I$600,"UNMAPPED")</f>
        <v>60000</v>
      </c>
      <c r="E13" s="11" t="n">
        <f aca="false">SUMIFS('Forecast Detail'!J$8:J$400,'Forecast Detail'!$B$8:$B$400,$A13)+SUMIFS('QB Import'!$B$1:$B$600,'QB Import'!$F$1:$F$600,$A13,'QB Import'!$I$1:$I$600,"UNMAPPED")</f>
        <v>60000</v>
      </c>
      <c r="F13" s="11" t="n">
        <f aca="false">SUMIFS('Forecast Detail'!K$8:K$400,'Forecast Detail'!$B$8:$B$400,$A13)+SUMIFS('QB Import'!$B$1:$B$600,'QB Import'!$F$1:$F$600,$A13,'QB Import'!$I$1:$I$600,"UNMAPPED")</f>
        <v>60000</v>
      </c>
      <c r="G13" s="8" t="n">
        <f aca="false">IF(AND(B13&gt;0,F13&gt;0),(F13/B13)^(1/4)-1,"")</f>
        <v>0</v>
      </c>
    </row>
    <row r="14" customFormat="false" ht="15" hidden="false" customHeight="false" outlineLevel="0" collapsed="false">
      <c r="A14" s="6" t="s">
        <v>11</v>
      </c>
      <c r="B14" s="11" t="n">
        <f aca="false">SUMIFS('Forecast Detail'!G$8:G$400,'Forecast Detail'!$B$8:$B$400,$A14)+SUMIFS('QB Import'!$B$1:$B$600,'QB Import'!$F$1:$F$600,$A14,'QB Import'!$I$1:$I$600,"UNMAPPED")</f>
        <v>0</v>
      </c>
      <c r="C14" s="11" t="n">
        <f aca="false">SUMIFS('Forecast Detail'!H$8:H$400,'Forecast Detail'!$B$8:$B$400,$A14)+SUMIFS('QB Import'!$B$1:$B$600,'QB Import'!$F$1:$F$600,$A14,'QB Import'!$I$1:$I$600,"UNMAPPED")</f>
        <v>0</v>
      </c>
      <c r="D14" s="11" t="n">
        <f aca="false">SUMIFS('Forecast Detail'!I$8:I$400,'Forecast Detail'!$B$8:$B$400,$A14)+SUMIFS('QB Import'!$B$1:$B$600,'QB Import'!$F$1:$F$600,$A14,'QB Import'!$I$1:$I$600,"UNMAPPED")</f>
        <v>0</v>
      </c>
      <c r="E14" s="11" t="n">
        <f aca="false">SUMIFS('Forecast Detail'!J$8:J$400,'Forecast Detail'!$B$8:$B$400,$A14)+SUMIFS('QB Import'!$B$1:$B$600,'QB Import'!$F$1:$F$600,$A14,'QB Import'!$I$1:$I$600,"UNMAPPED")</f>
        <v>0</v>
      </c>
      <c r="F14" s="11" t="n">
        <f aca="false">SUMIFS('Forecast Detail'!K$8:K$400,'Forecast Detail'!$B$8:$B$400,$A14)+SUMIFS('QB Import'!$B$1:$B$600,'QB Import'!$F$1:$F$600,$A14,'QB Import'!$I$1:$I$600,"UNMAPPED")</f>
        <v>0</v>
      </c>
      <c r="G14" s="8" t="str">
        <f aca="false">IF(AND(B14&gt;0,F14&gt;0),(F14/B14)^(1/4)-1,"")</f>
        <v/>
      </c>
    </row>
    <row r="15" customFormat="false" ht="15" hidden="false" customHeight="false" outlineLevel="0" collapsed="false">
      <c r="A15" s="12" t="s">
        <v>12</v>
      </c>
      <c r="B15" s="13" t="n">
        <f aca="false">SUM(B11:B14)</f>
        <v>9304382</v>
      </c>
      <c r="C15" s="13" t="n">
        <f aca="false">SUM(C11:C14)</f>
        <v>9754923.46920146</v>
      </c>
      <c r="D15" s="13" t="n">
        <f aca="false">SUM(D11:D14)</f>
        <v>10033551.3081712</v>
      </c>
      <c r="E15" s="13" t="n">
        <f aca="false">SUM(E11:E14)</f>
        <v>10345474.6561197</v>
      </c>
      <c r="F15" s="13" t="n">
        <f aca="false">SUM(F11:F14)</f>
        <v>10650942.1349701</v>
      </c>
      <c r="G15" s="8" t="n">
        <f aca="false">IF(AND(B15&gt;0,F15&gt;0),(F15/B15)^(1/4)-1,"")</f>
        <v>0.0343681114226293</v>
      </c>
    </row>
    <row r="17" customFormat="false" ht="15" hidden="false" customHeight="false" outlineLevel="0" collapsed="false">
      <c r="A17" s="9" t="s">
        <v>13</v>
      </c>
      <c r="B17" s="10"/>
      <c r="C17" s="10"/>
      <c r="D17" s="10"/>
      <c r="E17" s="10"/>
      <c r="F17" s="10"/>
      <c r="G17" s="10"/>
    </row>
    <row r="18" customFormat="false" ht="15" hidden="false" customHeight="false" outlineLevel="0" collapsed="false">
      <c r="A18" s="6" t="s">
        <v>14</v>
      </c>
      <c r="B18" s="11" t="n">
        <f aca="false">SUMIFS('Forecast Detail'!G$8:G$400,'Forecast Detail'!$B$8:$B$400,$A18)+SUMIFS('QB Import'!$B$1:$B$600,'QB Import'!$F$1:$F$600,$A18,'QB Import'!$I$1:$I$600,"UNMAPPED")</f>
        <v>6253109</v>
      </c>
      <c r="C18" s="11" t="n">
        <f aca="false">SUMIFS('Forecast Detail'!H$8:H$400,'Forecast Detail'!$B$8:$B$400,$A18)+SUMIFS('QB Import'!$B$1:$B$600,'QB Import'!$F$1:$F$600,$A18,'QB Import'!$I$1:$I$600,"UNMAPPED")</f>
        <v>6455524.83884263</v>
      </c>
      <c r="D18" s="11" t="n">
        <f aca="false">SUMIFS('Forecast Detail'!I$8:I$400,'Forecast Detail'!$B$8:$B$400,$A18)+SUMIFS('QB Import'!$B$1:$B$600,'QB Import'!$F$1:$F$600,$A18,'QB Import'!$I$1:$I$600,"UNMAPPED")</f>
        <v>6653066.151931</v>
      </c>
      <c r="E18" s="11" t="n">
        <f aca="false">SUMIFS('Forecast Detail'!J$8:J$400,'Forecast Detail'!$B$8:$B$400,$A18)+SUMIFS('QB Import'!$B$1:$B$600,'QB Import'!$F$1:$F$600,$A18,'QB Import'!$I$1:$I$600,"UNMAPPED")</f>
        <v>6854595.47992527</v>
      </c>
      <c r="F18" s="11" t="n">
        <f aca="false">SUMIFS('Forecast Detail'!K$8:K$400,'Forecast Detail'!$B$8:$B$400,$A18)+SUMIFS('QB Import'!$B$1:$B$600,'QB Import'!$F$1:$F$600,$A18,'QB Import'!$I$1:$I$600,"UNMAPPED")</f>
        <v>7061481.90590804</v>
      </c>
      <c r="G18" s="8" t="n">
        <f aca="false">IF(AND(B18&gt;0,F18&gt;0),(F18/B18)^(1/4)-1,"")</f>
        <v>0.030860651972856</v>
      </c>
    </row>
    <row r="19" customFormat="false" ht="15" hidden="false" customHeight="false" outlineLevel="0" collapsed="false">
      <c r="A19" s="6" t="s">
        <v>15</v>
      </c>
      <c r="B19" s="11" t="n">
        <f aca="false">SUMIFS('Forecast Detail'!G$8:G$400,'Forecast Detail'!$B$8:$B$400,$A19)+SUMIFS('QB Import'!$B$1:$B$600,'QB Import'!$F$1:$F$600,$A19,'QB Import'!$I$1:$I$600,"UNMAPPED")</f>
        <v>252750</v>
      </c>
      <c r="C19" s="11" t="n">
        <f aca="false">SUMIFS('Forecast Detail'!H$8:H$400,'Forecast Detail'!$B$8:$B$400,$A19)+SUMIFS('QB Import'!$B$1:$B$600,'QB Import'!$F$1:$F$600,$A19,'QB Import'!$I$1:$I$600,"UNMAPPED")</f>
        <v>260332.5</v>
      </c>
      <c r="D19" s="11" t="n">
        <f aca="false">SUMIFS('Forecast Detail'!I$8:I$400,'Forecast Detail'!$B$8:$B$400,$A19)+SUMIFS('QB Import'!$B$1:$B$600,'QB Import'!$F$1:$F$600,$A19,'QB Import'!$I$1:$I$600,"UNMAPPED")</f>
        <v>268142.475</v>
      </c>
      <c r="E19" s="11" t="n">
        <f aca="false">SUMIFS('Forecast Detail'!J$8:J$400,'Forecast Detail'!$B$8:$B$400,$A19)+SUMIFS('QB Import'!$B$1:$B$600,'QB Import'!$F$1:$F$600,$A19,'QB Import'!$I$1:$I$600,"UNMAPPED")</f>
        <v>276186.74925</v>
      </c>
      <c r="F19" s="11" t="n">
        <f aca="false">SUMIFS('Forecast Detail'!K$8:K$400,'Forecast Detail'!$B$8:$B$400,$A19)+SUMIFS('QB Import'!$B$1:$B$600,'QB Import'!$F$1:$F$600,$A19,'QB Import'!$I$1:$I$600,"UNMAPPED")</f>
        <v>284472.3517275</v>
      </c>
      <c r="G19" s="8" t="n">
        <f aca="false">IF(AND(B19&gt;0,F19&gt;0),(F19/B19)^(1/4)-1,"")</f>
        <v>0.03</v>
      </c>
    </row>
    <row r="20" customFormat="false" ht="15" hidden="false" customHeight="false" outlineLevel="0" collapsed="false">
      <c r="A20" s="6" t="s">
        <v>16</v>
      </c>
      <c r="B20" s="11" t="n">
        <f aca="false">SUMIFS('Forecast Detail'!G$8:G$400,'Forecast Detail'!$B$8:$B$400,$A20)+SUMIFS('QB Import'!$B$1:$B$600,'QB Import'!$F$1:$F$600,$A20,'QB Import'!$I$1:$I$600,"UNMAPPED")</f>
        <v>1847250</v>
      </c>
      <c r="C20" s="11" t="n">
        <f aca="false">SUMIFS('Forecast Detail'!H$8:H$400,'Forecast Detail'!$B$8:$B$400,$A20)+SUMIFS('QB Import'!$B$1:$B$600,'QB Import'!$F$1:$F$600,$A20,'QB Import'!$I$1:$I$600,"UNMAPPED")</f>
        <v>1914294.81958763</v>
      </c>
      <c r="D20" s="11" t="n">
        <f aca="false">SUMIFS('Forecast Detail'!I$8:I$400,'Forecast Detail'!$B$8:$B$400,$A20)+SUMIFS('QB Import'!$B$1:$B$600,'QB Import'!$F$1:$F$600,$A20,'QB Import'!$I$1:$I$600,"UNMAPPED")</f>
        <v>1967731.61778351</v>
      </c>
      <c r="E20" s="11" t="n">
        <f aca="false">SUMIFS('Forecast Detail'!J$8:J$400,'Forecast Detail'!$B$8:$B$400,$A20)+SUMIFS('QB Import'!$B$1:$B$600,'QB Import'!$F$1:$F$600,$A20,'QB Import'!$I$1:$I$600,"UNMAPPED")</f>
        <v>2019910.5533445</v>
      </c>
      <c r="F20" s="11" t="n">
        <f aca="false">SUMIFS('Forecast Detail'!K$8:K$400,'Forecast Detail'!$B$8:$B$400,$A20)+SUMIFS('QB Import'!$B$1:$B$600,'QB Import'!$F$1:$F$600,$A20,'QB Import'!$I$1:$I$600,"UNMAPPED")</f>
        <v>2074860.98725549</v>
      </c>
      <c r="G20" s="8" t="n">
        <f aca="false">IF(AND(B20&gt;0,F20&gt;0),(F20/B20)^(1/4)-1,"")</f>
        <v>0.0294750659960421</v>
      </c>
    </row>
    <row r="21" customFormat="false" ht="15" hidden="false" customHeight="false" outlineLevel="0" collapsed="false">
      <c r="A21" s="6" t="s">
        <v>17</v>
      </c>
      <c r="B21" s="11" t="n">
        <f aca="false">SUMIFS('Forecast Detail'!G$8:G$400,'Forecast Detail'!$B$8:$B$400,$A21)+SUMIFS('QB Import'!$B$1:$B$600,'QB Import'!$F$1:$F$600,$A21,'QB Import'!$I$1:$I$600,"UNMAPPED")</f>
        <v>778368</v>
      </c>
      <c r="C21" s="11" t="n">
        <f aca="false">SUMIFS('Forecast Detail'!H$8:H$400,'Forecast Detail'!$B$8:$B$400,$A21)+SUMIFS('QB Import'!$B$1:$B$600,'QB Import'!$F$1:$F$600,$A21,'QB Import'!$I$1:$I$600,"UNMAPPED")</f>
        <v>795138.742268041</v>
      </c>
      <c r="D21" s="11" t="n">
        <f aca="false">SUMIFS('Forecast Detail'!I$8:I$400,'Forecast Detail'!$B$8:$B$400,$A21)+SUMIFS('QB Import'!$B$1:$B$600,'QB Import'!$F$1:$F$600,$A21,'QB Import'!$I$1:$I$600,"UNMAPPED")</f>
        <v>810947.374845361</v>
      </c>
      <c r="E21" s="11" t="n">
        <f aca="false">SUMIFS('Forecast Detail'!J$8:J$400,'Forecast Detail'!$B$8:$B$400,$A21)+SUMIFS('QB Import'!$B$1:$B$600,'QB Import'!$F$1:$F$600,$A21,'QB Import'!$I$1:$I$600,"UNMAPPED")</f>
        <v>703223.515540894</v>
      </c>
      <c r="F21" s="11" t="n">
        <f aca="false">SUMIFS('Forecast Detail'!K$8:K$400,'Forecast Detail'!$B$8:$B$400,$A21)+SUMIFS('QB Import'!$B$1:$B$600,'QB Import'!$F$1:$F$600,$A21,'QB Import'!$I$1:$I$600,"UNMAPPED")</f>
        <v>658007.96196932</v>
      </c>
      <c r="G21" s="8" t="n">
        <f aca="false">IF(AND(B21&gt;0,F21&gt;0),(F21/B21)^(1/4)-1,"")</f>
        <v>-0.04112599764598</v>
      </c>
    </row>
    <row r="22" customFormat="false" ht="15" hidden="false" customHeight="false" outlineLevel="0" collapsed="false">
      <c r="A22" s="6" t="s">
        <v>18</v>
      </c>
      <c r="B22" s="11" t="n">
        <f aca="false">SUMIFS('Forecast Detail'!G$8:G$400,'Forecast Detail'!$B$8:$B$400,$A22)+SUMIFS('QB Import'!$B$1:$B$600,'QB Import'!$F$1:$F$600,$A22,'QB Import'!$I$1:$I$600,"UNMAPPED")</f>
        <v>171263</v>
      </c>
      <c r="C22" s="11" t="n">
        <f aca="false">SUMIFS('Forecast Detail'!H$8:H$400,'Forecast Detail'!$B$8:$B$400,$A22)+SUMIFS('QB Import'!$B$1:$B$600,'QB Import'!$F$1:$F$600,$A22,'QB Import'!$I$1:$I$600,"UNMAPPED")</f>
        <v>176400.89</v>
      </c>
      <c r="D22" s="11" t="n">
        <f aca="false">SUMIFS('Forecast Detail'!I$8:I$400,'Forecast Detail'!$B$8:$B$400,$A22)+SUMIFS('QB Import'!$B$1:$B$600,'QB Import'!$F$1:$F$600,$A22,'QB Import'!$I$1:$I$600,"UNMAPPED")</f>
        <v>181692.9167</v>
      </c>
      <c r="E22" s="11" t="n">
        <f aca="false">SUMIFS('Forecast Detail'!J$8:J$400,'Forecast Detail'!$B$8:$B$400,$A22)+SUMIFS('QB Import'!$B$1:$B$600,'QB Import'!$F$1:$F$600,$A22,'QB Import'!$I$1:$I$600,"UNMAPPED")</f>
        <v>187143.704201</v>
      </c>
      <c r="F22" s="11" t="n">
        <f aca="false">SUMIFS('Forecast Detail'!K$8:K$400,'Forecast Detail'!$B$8:$B$400,$A22)+SUMIFS('QB Import'!$B$1:$B$600,'QB Import'!$F$1:$F$600,$A22,'QB Import'!$I$1:$I$600,"UNMAPPED")</f>
        <v>192758.01532703</v>
      </c>
      <c r="G22" s="8" t="n">
        <f aca="false">IF(AND(B22&gt;0,F22&gt;0),(F22/B22)^(1/4)-1,"")</f>
        <v>0.03</v>
      </c>
    </row>
    <row r="23" customFormat="false" ht="15" hidden="false" customHeight="false" outlineLevel="0" collapsed="false">
      <c r="A23" s="6" t="s">
        <v>19</v>
      </c>
      <c r="B23" s="11" t="n">
        <f aca="false">Inputs!E31</f>
        <v>0</v>
      </c>
      <c r="C23" s="11" t="n">
        <f aca="false">Inputs!F31</f>
        <v>50000</v>
      </c>
      <c r="D23" s="11" t="n">
        <f aca="false">Inputs!G31</f>
        <v>100000</v>
      </c>
      <c r="E23" s="11" t="n">
        <f aca="false">Inputs!H31</f>
        <v>150000</v>
      </c>
      <c r="F23" s="11" t="n">
        <f aca="false">Inputs!I31</f>
        <v>200000</v>
      </c>
    </row>
    <row r="24" customFormat="false" ht="15" hidden="false" customHeight="false" outlineLevel="0" collapsed="false">
      <c r="A24" s="12" t="s">
        <v>20</v>
      </c>
      <c r="B24" s="13" t="n">
        <f aca="false">SUM(B18:B23)</f>
        <v>9302740</v>
      </c>
      <c r="C24" s="13" t="n">
        <f aca="false">SUM(C18:C23)</f>
        <v>9651691.7906983</v>
      </c>
      <c r="D24" s="13" t="n">
        <f aca="false">SUM(D18:D23)</f>
        <v>9981580.53625986</v>
      </c>
      <c r="E24" s="13" t="n">
        <f aca="false">SUM(E18:E23)</f>
        <v>10191060.0022617</v>
      </c>
      <c r="F24" s="13" t="n">
        <f aca="false">SUM(F18:F23)</f>
        <v>10471581.2221874</v>
      </c>
      <c r="G24" s="8" t="n">
        <f aca="false">IF(AND(B24&gt;0,F24&gt;0),(F24/B24)^(1/4)-1,"")</f>
        <v>0.0300311188758753</v>
      </c>
    </row>
    <row r="26" customFormat="false" ht="15" hidden="false" customHeight="false" outlineLevel="0" collapsed="false">
      <c r="A26" s="12" t="s">
        <v>21</v>
      </c>
      <c r="B26" s="13" t="n">
        <f aca="false">B15-B24</f>
        <v>1642</v>
      </c>
      <c r="C26" s="13" t="n">
        <f aca="false">C15-C24</f>
        <v>103231.678503159</v>
      </c>
      <c r="D26" s="13" t="n">
        <f aca="false">D15-D24</f>
        <v>51970.7719113343</v>
      </c>
      <c r="E26" s="13" t="n">
        <f aca="false">E15-E24</f>
        <v>154414.653858073</v>
      </c>
      <c r="F26" s="13" t="n">
        <f aca="false">F15-F24</f>
        <v>179360.91278276</v>
      </c>
    </row>
    <row r="27" customFormat="false" ht="15" hidden="false" customHeight="false" outlineLevel="0" collapsed="false">
      <c r="A27" s="6" t="s">
        <v>22</v>
      </c>
      <c r="B27" s="11" t="n">
        <f aca="false">SUMIFS('Forecast Detail'!G$8:G$400,'Forecast Detail'!$B$8:$B$400,"Other Revenue")+SUMIFS('QB Import'!$B$1:$B$600,'QB Import'!$F$1:$F$600,"Other Revenue",'QB Import'!$I$1:$I$600,"UNMAPPED")</f>
        <v>0</v>
      </c>
      <c r="C27" s="11" t="n">
        <f aca="false">SUMIFS('Forecast Detail'!H$8:H$400,'Forecast Detail'!$B$8:$B$400,"Other Revenue")+SUMIFS('QB Import'!$B$1:$B$600,'QB Import'!$F$1:$F$600,"Other Revenue",'QB Import'!$I$1:$I$600,"UNMAPPED")</f>
        <v>0</v>
      </c>
      <c r="D27" s="11" t="n">
        <f aca="false">SUMIFS('Forecast Detail'!I$8:I$400,'Forecast Detail'!$B$8:$B$400,"Other Revenue")+SUMIFS('QB Import'!$B$1:$B$600,'QB Import'!$F$1:$F$600,"Other Revenue",'QB Import'!$I$1:$I$600,"UNMAPPED")</f>
        <v>0</v>
      </c>
      <c r="E27" s="11" t="n">
        <f aca="false">SUMIFS('Forecast Detail'!J$8:J$400,'Forecast Detail'!$B$8:$B$400,"Other Revenue")+SUMIFS('QB Import'!$B$1:$B$600,'QB Import'!$F$1:$F$600,"Other Revenue",'QB Import'!$I$1:$I$600,"UNMAPPED")</f>
        <v>0</v>
      </c>
      <c r="F27" s="11" t="n">
        <f aca="false">SUMIFS('Forecast Detail'!K$8:K$400,'Forecast Detail'!$B$8:$B$400,"Other Revenue")+SUMIFS('QB Import'!$B$1:$B$600,'QB Import'!$F$1:$F$600,"Other Revenue",'QB Import'!$I$1:$I$600,"UNMAPPED")</f>
        <v>0</v>
      </c>
    </row>
    <row r="28" customFormat="false" ht="15" hidden="false" customHeight="false" outlineLevel="0" collapsed="false">
      <c r="A28" s="6" t="s">
        <v>23</v>
      </c>
      <c r="B28" s="11" t="n">
        <f aca="false">SUMIFS('Forecast Detail'!G$8:G$400,'Forecast Detail'!$B$8:$B$400,"Other Expense")+SUMIFS('QB Import'!$B$1:$B$600,'QB Import'!$F$1:$F$600,"Other Expense",'QB Import'!$I$1:$I$600,"UNMAPPED")</f>
        <v>0</v>
      </c>
      <c r="C28" s="11" t="n">
        <f aca="false">SUMIFS('Forecast Detail'!H$8:H$400,'Forecast Detail'!$B$8:$B$400,"Other Expense")+SUMIFS('QB Import'!$B$1:$B$600,'QB Import'!$F$1:$F$600,"Other Expense",'QB Import'!$I$1:$I$600,"UNMAPPED")</f>
        <v>0</v>
      </c>
      <c r="D28" s="11" t="n">
        <f aca="false">SUMIFS('Forecast Detail'!I$8:I$400,'Forecast Detail'!$B$8:$B$400,"Other Expense")+SUMIFS('QB Import'!$B$1:$B$600,'QB Import'!$F$1:$F$600,"Other Expense",'QB Import'!$I$1:$I$600,"UNMAPPED")</f>
        <v>0</v>
      </c>
      <c r="E28" s="11" t="n">
        <f aca="false">SUMIFS('Forecast Detail'!J$8:J$400,'Forecast Detail'!$B$8:$B$400,"Other Expense")+SUMIFS('QB Import'!$B$1:$B$600,'QB Import'!$F$1:$F$600,"Other Expense",'QB Import'!$I$1:$I$600,"UNMAPPED")</f>
        <v>0</v>
      </c>
      <c r="F28" s="11" t="n">
        <f aca="false">SUMIFS('Forecast Detail'!K$8:K$400,'Forecast Detail'!$B$8:$B$400,"Other Expense")+SUMIFS('QB Import'!$B$1:$B$600,'QB Import'!$F$1:$F$600,"Other Expense",'QB Import'!$I$1:$I$600,"UNMAPPED")</f>
        <v>0</v>
      </c>
    </row>
    <row r="29" customFormat="false" ht="15" hidden="false" customHeight="false" outlineLevel="0" collapsed="false">
      <c r="A29" s="6" t="s">
        <v>24</v>
      </c>
      <c r="B29" s="11" t="n">
        <f aca="false">B27-B28</f>
        <v>0</v>
      </c>
      <c r="C29" s="11" t="n">
        <f aca="false">C27-C28</f>
        <v>0</v>
      </c>
      <c r="D29" s="11" t="n">
        <f aca="false">D27-D28</f>
        <v>0</v>
      </c>
      <c r="E29" s="11" t="n">
        <f aca="false">E27-E28</f>
        <v>0</v>
      </c>
      <c r="F29" s="11" t="n">
        <f aca="false">F27-F28</f>
        <v>0</v>
      </c>
    </row>
    <row r="30" customFormat="false" ht="15" hidden="false" customHeight="false" outlineLevel="0" collapsed="false">
      <c r="A30" s="12" t="s">
        <v>25</v>
      </c>
      <c r="B30" s="14" t="n">
        <f aca="false">B26+B29</f>
        <v>1642</v>
      </c>
      <c r="C30" s="14" t="n">
        <f aca="false">C26+C29</f>
        <v>103231.678503159</v>
      </c>
      <c r="D30" s="14" t="n">
        <f aca="false">D26+D29</f>
        <v>51970.7719113343</v>
      </c>
      <c r="E30" s="14" t="n">
        <f aca="false">E26+E29</f>
        <v>154414.653858073</v>
      </c>
      <c r="F30" s="14" t="n">
        <f aca="false">F26+F29</f>
        <v>179360.91278276</v>
      </c>
    </row>
    <row r="32" customFormat="false" ht="15" hidden="false" customHeight="false" outlineLevel="0" collapsed="false">
      <c r="A32" s="9" t="s">
        <v>26</v>
      </c>
      <c r="B32" s="10"/>
      <c r="C32" s="10"/>
      <c r="D32" s="10"/>
      <c r="E32" s="10"/>
      <c r="F32" s="10"/>
      <c r="G32" s="10"/>
    </row>
    <row r="33" customFormat="false" ht="15" hidden="false" customHeight="false" outlineLevel="0" collapsed="false">
      <c r="A33" s="6" t="s">
        <v>27</v>
      </c>
      <c r="B33" s="8" t="n">
        <f aca="false">IF(B15=0,0,B18/B15)</f>
        <v>0.672060648412759</v>
      </c>
      <c r="C33" s="8" t="n">
        <f aca="false">IF(C15=0,0,C18/C15)</f>
        <v>0.661770936412183</v>
      </c>
      <c r="D33" s="8" t="n">
        <f aca="false">IF(D15=0,0,D18/D15)</f>
        <v>0.663081888714001</v>
      </c>
      <c r="E33" s="8" t="n">
        <f aca="false">IF(E15=0,0,E18/E15)</f>
        <v>0.66256945261284</v>
      </c>
      <c r="F33" s="8" t="n">
        <f aca="false">IF(F15=0,0,F18/F15)</f>
        <v>0.662991293767632</v>
      </c>
    </row>
    <row r="34" customFormat="false" ht="15" hidden="false" customHeight="false" outlineLevel="0" collapsed="false">
      <c r="A34" s="6" t="s">
        <v>28</v>
      </c>
      <c r="B34" s="11" t="n">
        <f aca="false">IF(B6=0,0,B11/B6)</f>
        <v>15119.2130584192</v>
      </c>
      <c r="C34" s="11" t="n">
        <f aca="false">IF(C6=0,0,C11/C6)</f>
        <v>15737.5946500532</v>
      </c>
      <c r="D34" s="11" t="n">
        <f aca="false">IF(D6=0,0,D11/D6)</f>
        <v>16376.7793829102</v>
      </c>
      <c r="E34" s="11" t="n">
        <f aca="false">IF(E6=0,0,E11/E6)</f>
        <v>17052.2635078898</v>
      </c>
      <c r="F34" s="11" t="n">
        <f aca="false">IF(F6=0,0,F11/F6)</f>
        <v>17697.646120812</v>
      </c>
    </row>
    <row r="35" customFormat="false" ht="15" hidden="false" customHeight="false" outlineLevel="0" collapsed="false">
      <c r="A35" s="6" t="s">
        <v>29</v>
      </c>
      <c r="B35" s="8" t="n">
        <f aca="false">IF(B15=0,0,B30/B15)</f>
        <v>0.00017647598733586</v>
      </c>
      <c r="C35" s="8" t="n">
        <f aca="false">IF(C15=0,0,C30/C15)</f>
        <v>0.0105825205937377</v>
      </c>
      <c r="D35" s="8" t="n">
        <f aca="false">IF(D15=0,0,D30/D15)</f>
        <v>0.00517969862465446</v>
      </c>
      <c r="E35" s="8" t="n">
        <f aca="false">IF(E15=0,0,E30/E15)</f>
        <v>0.0149258162617731</v>
      </c>
      <c r="F35" s="8" t="n">
        <f aca="false">IF(F15=0,0,F30/F15)</f>
        <v>0.0168399105459287</v>
      </c>
    </row>
    <row r="36" customFormat="false" ht="15" hidden="false" customHeight="false" outlineLevel="0" collapsed="false">
      <c r="A36" s="6" t="s">
        <v>30</v>
      </c>
      <c r="B36" s="11" t="n">
        <f aca="false">-'CF Summary'!B8</f>
        <v>-0</v>
      </c>
      <c r="C36" s="11" t="n">
        <f aca="false">-'CF Summary'!C8</f>
        <v>-0</v>
      </c>
      <c r="D36" s="11" t="n">
        <f aca="false">-'CF Summary'!D8</f>
        <v>-0</v>
      </c>
      <c r="E36" s="11" t="n">
        <f aca="false">-'CF Summary'!E8</f>
        <v>-0</v>
      </c>
      <c r="F36" s="11" t="n">
        <f aca="false">-'CF Summary'!F8</f>
        <v>-0</v>
      </c>
    </row>
    <row r="37" customFormat="false" ht="15" hidden="false" customHeight="false" outlineLevel="0" collapsed="false">
      <c r="A37" s="6" t="s">
        <v>31</v>
      </c>
      <c r="B37" s="11" t="n">
        <f aca="false">'CF Summary'!B12</f>
        <v>2379207.72559222</v>
      </c>
      <c r="C37" s="11" t="n">
        <f aca="false">'CF Summary'!C12</f>
        <v>2586817.55758533</v>
      </c>
      <c r="D37" s="11" t="n">
        <f aca="false">'CF Summary'!D12</f>
        <v>2738051.00250682</v>
      </c>
      <c r="E37" s="11" t="n">
        <f aca="false">'CF Summary'!E12</f>
        <v>2989594.68721862</v>
      </c>
      <c r="F37" s="11" t="n">
        <f aca="false">'CF Summary'!F12</f>
        <v>3296725.38268154</v>
      </c>
    </row>
    <row r="38" customFormat="false" ht="15" hidden="false" customHeight="false" outlineLevel="0" collapsed="false">
      <c r="A38" s="6" t="s">
        <v>32</v>
      </c>
      <c r="B38" s="11" t="n">
        <f aca="false">'CF Summary'!B13</f>
        <v>-31299.8207246371</v>
      </c>
      <c r="C38" s="11" t="n">
        <f aca="false">'CF Summary'!C13</f>
        <v>131306.317724906</v>
      </c>
      <c r="D38" s="11" t="n">
        <f aca="false">'CF Summary'!D13</f>
        <v>238258.547229831</v>
      </c>
      <c r="E38" s="11" t="n">
        <f aca="false">'CF Summary'!E13</f>
        <v>427586.445421538</v>
      </c>
      <c r="F38" s="11" t="n">
        <f aca="false">'CF Summary'!F13</f>
        <v>653700.894858586</v>
      </c>
    </row>
    <row r="39" customFormat="false" ht="15" hidden="false" customHeight="false" outlineLevel="0" collapsed="false">
      <c r="A39" s="6" t="s">
        <v>33</v>
      </c>
      <c r="B39" s="15" t="n">
        <f aca="false">'CF Summary'!B15</f>
        <v>93.3500043902292</v>
      </c>
      <c r="C39" s="15" t="n">
        <f aca="false">'CF Summary'!C15</f>
        <v>97.8262079844483</v>
      </c>
      <c r="D39" s="15" t="n">
        <f aca="false">'CF Summary'!D15</f>
        <v>100.123283310147</v>
      </c>
      <c r="E39" s="15" t="n">
        <f aca="false">'CF Summary'!E15</f>
        <v>107.074441774715</v>
      </c>
      <c r="F39" s="15" t="n">
        <f aca="false">'CF Summary'!F15</f>
        <v>114.911467441916</v>
      </c>
    </row>
    <row r="41" customFormat="false" ht="15" hidden="false" customHeight="false" outlineLevel="0" collapsed="false">
      <c r="A41" s="3" t="s">
        <v>34</v>
      </c>
    </row>
    <row r="43" customFormat="false" ht="15" hidden="false" customHeight="false" outlineLevel="0" collapsed="false">
      <c r="A43" s="12" t="s">
        <v>35</v>
      </c>
    </row>
    <row r="44" customFormat="false" ht="15" hidden="false" customHeight="false" outlineLevel="0" collapsed="false">
      <c r="A44" s="6" t="s">
        <v>36</v>
      </c>
      <c r="B44" s="11" t="n">
        <f aca="false">SUMIFS('QB Import'!$B$1:$B$600,'QB Import'!$E$1:$E$600,"Revenue",'QB Import'!$G$1:$G$600,1)+SUMIFS('QB Import'!$B$1:$B$600,'QB Import'!$E$1:$E$600,"COGS",'QB Import'!$G$1:$G$600,1)-SUM(B11:B14)</f>
        <v>0</v>
      </c>
    </row>
    <row r="45" customFormat="false" ht="15" hidden="false" customHeight="false" outlineLevel="0" collapsed="false">
      <c r="A45" s="6" t="s">
        <v>37</v>
      </c>
      <c r="B45" s="11" t="n">
        <f aca="false">SUMIFS('QB Import'!$B$1:$B$600,'QB Import'!$E$1:$E$600,"Expense",'QB Import'!$G$1:$G$600,1)-SUM(B18:B22)</f>
        <v>0</v>
      </c>
    </row>
    <row r="46" customFormat="false" ht="15" hidden="false" customHeight="false" outlineLevel="0" collapsed="false">
      <c r="A46" s="12" t="s">
        <v>38</v>
      </c>
      <c r="B46" s="12" t="str">
        <f aca="false">IF(AND(ABS(B44)&lt;1,ABS(B45)&lt;1,ABS(B47)&lt;1,ABS(B48)&lt;1,B49=0,B50=0),"OK - ties to QuickBooks","CHECK - "&amp;B49&amp;" unmapped account(s); see rows 44-50")</f>
        <v>OK - ties to QuickBooks</v>
      </c>
    </row>
    <row r="47" customFormat="false" ht="15" hidden="false" customHeight="false" outlineLevel="0" collapsed="false">
      <c r="A47" s="6" t="s">
        <v>39</v>
      </c>
      <c r="B47" s="11" t="n">
        <f aca="false">SUMIFS('QB Import'!$B$1:$B$600,'QB Import'!$E$1:$E$600,"Other Revenue",'QB Import'!$G$1:$G$600,1)-SUMIFS('QB Import'!$B$1:$B$600,'QB Import'!$E$1:$E$600,"Other Expense",'QB Import'!$G$1:$G$600,1)-B29</f>
        <v>0</v>
      </c>
    </row>
    <row r="48" customFormat="false" ht="15" hidden="false" customHeight="false" outlineLevel="0" collapsed="false">
      <c r="A48" s="6" t="s">
        <v>40</v>
      </c>
      <c r="B48" s="11" t="n">
        <f aca="false">IF(COUNTIF('QB Import'!$D$1:$D$600,"Net Revenue")=0,0,SUMIFS('QB Import'!$B$1:$B$600,'QB Import'!$D$1:$D$600,"Net Revenue")-B30)</f>
        <v>0</v>
      </c>
    </row>
    <row r="49" customFormat="false" ht="15" hidden="false" customHeight="false" outlineLevel="0" collapsed="false">
      <c r="A49" s="6" t="s">
        <v>41</v>
      </c>
      <c r="B49" s="11" t="n">
        <f aca="false">COUNTIF('QB Import'!$I$1:$I$600,"UNMAPPED")</f>
        <v>0</v>
      </c>
    </row>
    <row r="50" customFormat="false" ht="15" hidden="false" customHeight="false" outlineLevel="0" collapsed="false">
      <c r="A50" s="6" t="s">
        <v>42</v>
      </c>
      <c r="B50" s="11" t="n">
        <f aca="false">COUNTA('Forecast Detail'!$C$8:$C$400)-COUNTA('Forecast Detail'!$E$8:$E$400)</f>
        <v>0</v>
      </c>
    </row>
  </sheetData>
  <conditionalFormatting sqref="B30:F30">
    <cfRule type="cellIs" priority="2" operator="lessThan" aboveAverage="0" equalAverage="0" bottom="0" percent="0" rank="0" text="" dxfId="0">
      <formula>0</formula>
    </cfRule>
  </conditionalFormatting>
  <conditionalFormatting sqref="B38:F38">
    <cfRule type="cellIs" priority="3" operator="lessThan" aboveAverage="0" equalAverage="0" bottom="0" percent="0" rank="0" text="" dxfId="1">
      <formula>0</formula>
    </cfRule>
  </conditionalFormatting>
  <conditionalFormatting sqref="B46">
    <cfRule type="expression" priority="4" aboveAverage="0" equalAverage="0" bottom="0" percent="0" rank="0" text="" dxfId="2">
      <formula>LEFT(B46,2)="OK"</formula>
    </cfRule>
    <cfRule type="expression" priority="5" aboveAverage="0" equalAverage="0" bottom="0" percent="0" rank="0" text="" dxfId="0">
      <formula>LEFT(B46,5)="CHECK"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6" min="2" style="0" width="12.5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3" t="s">
        <v>44</v>
      </c>
    </row>
    <row r="4" customFormat="false" ht="15" hidden="false" customHeight="false" outlineLevel="0" collapsed="false">
      <c r="A4" s="4" t="s">
        <v>45</v>
      </c>
      <c r="B4" s="5"/>
      <c r="C4" s="16" t="str">
        <f aca="false">"FY"&amp;TEXT(C5,"yy")</f>
        <v>FY27</v>
      </c>
      <c r="D4" s="16" t="str">
        <f aca="false">"FY"&amp;TEXT(D5,"yy")</f>
        <v>FY28</v>
      </c>
      <c r="E4" s="16" t="str">
        <f aca="false">"FY"&amp;TEXT(E5,"yy")</f>
        <v>FY29</v>
      </c>
      <c r="F4" s="16" t="str">
        <f aca="false">"FY"&amp;TEXT(F5,"yy")</f>
        <v>FY30</v>
      </c>
      <c r="G4" s="16" t="str">
        <f aca="false">"FY"&amp;TEXT(G5,"yy")</f>
        <v>FY31</v>
      </c>
    </row>
    <row r="5" customFormat="false" ht="15" hidden="false" customHeight="false" outlineLevel="0" collapsed="false">
      <c r="A5" s="6" t="s">
        <v>46</v>
      </c>
      <c r="C5" s="17" t="n">
        <v>46568</v>
      </c>
      <c r="D5" s="18" t="n">
        <f aca="false">EOMONTH(C5,12)</f>
        <v>46934</v>
      </c>
      <c r="E5" s="18" t="n">
        <f aca="false">EOMONTH(D5,12)</f>
        <v>47299</v>
      </c>
      <c r="F5" s="18" t="n">
        <f aca="false">EOMONTH(E5,12)</f>
        <v>47664</v>
      </c>
      <c r="G5" s="18" t="n">
        <f aca="false">EOMONTH(F5,12)</f>
        <v>48029</v>
      </c>
    </row>
    <row r="6" customFormat="false" ht="15" hidden="false" customHeight="false" outlineLevel="0" collapsed="false">
      <c r="A6" s="6" t="s">
        <v>47</v>
      </c>
      <c r="C6" s="18" t="n">
        <f aca="false">EOMONTH(C5,-12)+1</f>
        <v>46204</v>
      </c>
      <c r="D6" s="18" t="n">
        <f aca="false">EOMONTH(D5,-12)+1</f>
        <v>46569</v>
      </c>
      <c r="E6" s="18" t="n">
        <f aca="false">EOMONTH(E5,-12)+1</f>
        <v>46935</v>
      </c>
      <c r="F6" s="18" t="n">
        <f aca="false">EOMONTH(F5,-12)+1</f>
        <v>47300</v>
      </c>
      <c r="G6" s="18" t="n">
        <f aca="false">EOMONTH(G5,-12)+1</f>
        <v>47665</v>
      </c>
    </row>
    <row r="8" customFormat="false" ht="15" hidden="false" customHeight="false" outlineLevel="0" collapsed="false">
      <c r="A8" s="9" t="s">
        <v>48</v>
      </c>
      <c r="B8" s="10"/>
      <c r="C8" s="10"/>
      <c r="D8" s="10"/>
      <c r="E8" s="10"/>
      <c r="F8" s="10"/>
      <c r="G8" s="10"/>
    </row>
    <row r="9" customFormat="false" ht="15" hidden="false" customHeight="false" outlineLevel="0" collapsed="false">
      <c r="A9" s="6" t="s">
        <v>49</v>
      </c>
      <c r="C9" s="19" t="n">
        <v>0.04</v>
      </c>
      <c r="D9" s="19" t="n">
        <v>0.05</v>
      </c>
      <c r="E9" s="19" t="n">
        <v>0.045</v>
      </c>
      <c r="F9" s="19" t="n">
        <v>0.045</v>
      </c>
      <c r="G9" s="19" t="n">
        <v>0.04</v>
      </c>
      <c r="H9" s="3" t="s">
        <v>50</v>
      </c>
    </row>
    <row r="10" customFormat="false" ht="15" hidden="false" customHeight="false" outlineLevel="0" collapsed="false">
      <c r="A10" s="6" t="s">
        <v>51</v>
      </c>
      <c r="C10" s="19" t="n">
        <v>0.025</v>
      </c>
      <c r="D10" s="19" t="n">
        <v>0.03</v>
      </c>
      <c r="E10" s="19" t="n">
        <v>0.03</v>
      </c>
      <c r="F10" s="19" t="n">
        <v>0.03</v>
      </c>
      <c r="G10" s="19" t="n">
        <v>0.03</v>
      </c>
      <c r="H10" s="3" t="s">
        <v>52</v>
      </c>
    </row>
    <row r="11" customFormat="false" ht="15" hidden="false" customHeight="false" outlineLevel="0" collapsed="false">
      <c r="A11" s="6" t="s">
        <v>53</v>
      </c>
      <c r="C11" s="19" t="n">
        <v>0.03</v>
      </c>
      <c r="D11" s="19" t="n">
        <v>0.03</v>
      </c>
      <c r="E11" s="19" t="n">
        <v>0.03</v>
      </c>
      <c r="F11" s="19" t="n">
        <v>0.03</v>
      </c>
      <c r="G11" s="19" t="n">
        <v>0.03</v>
      </c>
      <c r="H11" s="3" t="s">
        <v>54</v>
      </c>
    </row>
    <row r="12" customFormat="false" ht="15" hidden="false" customHeight="false" outlineLevel="0" collapsed="false">
      <c r="A12" s="6" t="s">
        <v>55</v>
      </c>
      <c r="C12" s="19" t="n">
        <v>0.03</v>
      </c>
      <c r="D12" s="19" t="n">
        <v>0.03</v>
      </c>
      <c r="E12" s="19" t="n">
        <v>0.03</v>
      </c>
      <c r="F12" s="19" t="n">
        <v>0.03</v>
      </c>
      <c r="G12" s="19" t="n">
        <v>0.03</v>
      </c>
      <c r="H12" s="3" t="s">
        <v>56</v>
      </c>
    </row>
    <row r="13" customFormat="false" ht="15" hidden="false" customHeight="false" outlineLevel="0" collapsed="false">
      <c r="A13" s="6" t="s">
        <v>57</v>
      </c>
      <c r="D13" s="19" t="n">
        <v>0.014</v>
      </c>
      <c r="E13" s="19" t="n">
        <v>0.014</v>
      </c>
      <c r="F13" s="19" t="n">
        <v>0.014</v>
      </c>
      <c r="G13" s="19" t="n">
        <v>0.014</v>
      </c>
      <c r="H13" s="3" t="s">
        <v>58</v>
      </c>
    </row>
    <row r="14" customFormat="false" ht="15" hidden="false" customHeight="false" outlineLevel="0" collapsed="false">
      <c r="A14" s="6" t="s">
        <v>59</v>
      </c>
      <c r="C14" s="17" t="n">
        <v>47422</v>
      </c>
      <c r="H14" s="3" t="s">
        <v>60</v>
      </c>
    </row>
    <row r="15" customFormat="false" ht="15" hidden="false" customHeight="false" outlineLevel="0" collapsed="false">
      <c r="A15" s="6" t="s">
        <v>61</v>
      </c>
      <c r="C15" s="15" t="n">
        <f aca="false">MAX(0,MIN(12,(YEAR($C$14)-YEAR(C6))*12+MONTH($C$14)-MONTH(C6)+1))</f>
        <v>12</v>
      </c>
      <c r="D15" s="15" t="n">
        <f aca="false">MAX(0,MIN(12,(YEAR($C$14)-YEAR(D6))*12+MONTH($C$14)-MONTH(D6)+1))</f>
        <v>12</v>
      </c>
      <c r="E15" s="15" t="n">
        <f aca="false">MAX(0,MIN(12,(YEAR($C$14)-YEAR(E6))*12+MONTH($C$14)-MONTH(E6)+1))</f>
        <v>12</v>
      </c>
      <c r="F15" s="15" t="n">
        <f aca="false">MAX(0,MIN(12,(YEAR($C$14)-YEAR(F6))*12+MONTH($C$14)-MONTH(F6)+1))</f>
        <v>4</v>
      </c>
      <c r="G15" s="15" t="n">
        <f aca="false">MAX(0,MIN(12,(YEAR($C$14)-YEAR(G6))*12+MONTH($C$14)-MONTH(G6)+1))</f>
        <v>0</v>
      </c>
    </row>
    <row r="16" customFormat="false" ht="15" hidden="false" customHeight="false" outlineLevel="0" collapsed="false">
      <c r="A16" s="6" t="s">
        <v>62</v>
      </c>
      <c r="D16" s="11" t="n">
        <f aca="false">$D$60+SUM($C$48:C48)</f>
        <v>2071787.93</v>
      </c>
      <c r="E16" s="11" t="n">
        <f aca="false">$D$60+SUM($C$48:D48)</f>
        <v>2071787.93</v>
      </c>
      <c r="F16" s="11" t="n">
        <f aca="false">$D$60+SUM($C$48:E48)</f>
        <v>2071787.93</v>
      </c>
      <c r="G16" s="11" t="n">
        <f aca="false">$D$60+SUM($C$48:F48)</f>
        <v>2071787.93</v>
      </c>
      <c r="H16" s="3" t="s">
        <v>63</v>
      </c>
    </row>
    <row r="18" customFormat="false" ht="15" hidden="false" customHeight="false" outlineLevel="0" collapsed="false">
      <c r="A18" s="9" t="s">
        <v>64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customFormat="false" ht="39.75" hidden="false" customHeight="true" outlineLevel="0" collapsed="false">
      <c r="A19" s="4" t="s">
        <v>65</v>
      </c>
      <c r="B19" s="5" t="s">
        <v>66</v>
      </c>
      <c r="C19" s="5" t="s">
        <v>67</v>
      </c>
      <c r="D19" s="5" t="s">
        <v>68</v>
      </c>
      <c r="E19" s="5" t="str">
        <f aca="false">"Cost "&amp;C$4</f>
        <v>Cost FY27</v>
      </c>
      <c r="F19" s="5" t="str">
        <f aca="false">"Cost "&amp;D$4</f>
        <v>Cost FY28</v>
      </c>
      <c r="G19" s="5" t="str">
        <f aca="false">"Cost "&amp;E$4</f>
        <v>Cost FY29</v>
      </c>
      <c r="H19" s="5" t="str">
        <f aca="false">"Cost "&amp;F$4</f>
        <v>Cost FY30</v>
      </c>
      <c r="I19" s="5" t="str">
        <f aca="false">"Cost "&amp;G$4</f>
        <v>Cost FY31</v>
      </c>
      <c r="J19" s="5" t="str">
        <f aca="false">"Offset "&amp;C$4</f>
        <v>Offset FY27</v>
      </c>
      <c r="K19" s="5" t="str">
        <f aca="false">"Offset "&amp;D$4</f>
        <v>Offset FY28</v>
      </c>
      <c r="L19" s="5" t="str">
        <f aca="false">"Offset "&amp;E$4</f>
        <v>Offset FY29</v>
      </c>
      <c r="M19" s="5" t="str">
        <f aca="false">"Offset "&amp;F$4</f>
        <v>Offset FY30</v>
      </c>
      <c r="N19" s="5" t="str">
        <f aca="false">"Offset "&amp;G$4</f>
        <v>Offset FY31</v>
      </c>
    </row>
    <row r="20" customFormat="false" ht="15" hidden="false" customHeight="false" outlineLevel="0" collapsed="false">
      <c r="A20" s="20" t="s">
        <v>69</v>
      </c>
      <c r="B20" s="20" t="s">
        <v>70</v>
      </c>
      <c r="C20" s="20" t="s">
        <v>71</v>
      </c>
      <c r="D20" s="21" t="n">
        <v>0</v>
      </c>
      <c r="E20" s="22" t="n">
        <v>0</v>
      </c>
      <c r="F20" s="22" t="n">
        <v>50000</v>
      </c>
      <c r="G20" s="22" t="n">
        <v>100000</v>
      </c>
      <c r="H20" s="22" t="n">
        <v>150000</v>
      </c>
      <c r="I20" s="22" t="n">
        <v>200000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0</v>
      </c>
    </row>
    <row r="21" customFormat="false" ht="15" hidden="false" customHeight="false" outlineLevel="0" collapsed="false">
      <c r="A21" s="20" t="s">
        <v>72</v>
      </c>
      <c r="B21" s="20" t="s">
        <v>73</v>
      </c>
      <c r="C21" s="20" t="s">
        <v>71</v>
      </c>
      <c r="D21" s="21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>0</v>
      </c>
    </row>
    <row r="22" customFormat="false" ht="15" hidden="false" customHeight="false" outlineLevel="0" collapsed="false">
      <c r="A22" s="20"/>
      <c r="B22" s="20"/>
      <c r="C22" s="20"/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customFormat="false" ht="15" hidden="false" customHeight="false" outlineLevel="0" collapsed="false">
      <c r="A23" s="20"/>
      <c r="B23" s="20"/>
      <c r="C23" s="20"/>
      <c r="D23" s="21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customFormat="false" ht="15" hidden="false" customHeight="false" outlineLevel="0" collapsed="false">
      <c r="A24" s="20"/>
      <c r="B24" s="20"/>
      <c r="C24" s="20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customFormat="false" ht="15" hidden="false" customHeight="false" outlineLevel="0" collapsed="false">
      <c r="A25" s="20"/>
      <c r="B25" s="20"/>
      <c r="C25" s="20"/>
      <c r="D25" s="21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customFormat="false" ht="15" hidden="false" customHeight="false" outlineLevel="0" collapsed="false">
      <c r="A26" s="20"/>
      <c r="B26" s="20"/>
      <c r="C26" s="20"/>
      <c r="D26" s="21"/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customFormat="false" ht="15" hidden="false" customHeight="false" outlineLevel="0" collapsed="false">
      <c r="A27" s="20"/>
      <c r="B27" s="20"/>
      <c r="C27" s="20"/>
      <c r="D27" s="21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customFormat="false" ht="15" hidden="false" customHeight="false" outlineLevel="0" collapsed="false">
      <c r="A28" s="20"/>
      <c r="B28" s="20"/>
      <c r="C28" s="20"/>
      <c r="D28" s="21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customFormat="false" ht="15" hidden="false" customHeight="false" outlineLevel="0" collapsed="false">
      <c r="A29" s="20"/>
      <c r="B29" s="20"/>
      <c r="C29" s="20"/>
      <c r="D29" s="21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1" customFormat="false" ht="15" hidden="false" customHeight="false" outlineLevel="0" collapsed="false">
      <c r="A31" s="12" t="s">
        <v>74</v>
      </c>
      <c r="E31" s="13" t="n">
        <f aca="false">SUMPRODUCT(($B$20:$B$29="Operating")*($C$20:$C$29="Y")*(E$20:E$29-J$20:J$29))</f>
        <v>0</v>
      </c>
      <c r="F31" s="13" t="n">
        <f aca="false">SUMPRODUCT(($B$20:$B$29="Operating")*($C$20:$C$29="Y")*(F$20:F$29-K$20:K$29))</f>
        <v>50000</v>
      </c>
      <c r="G31" s="13" t="n">
        <f aca="false">SUMPRODUCT(($B$20:$B$29="Operating")*($C$20:$C$29="Y")*(G$20:G$29-L$20:L$29))</f>
        <v>100000</v>
      </c>
      <c r="H31" s="13" t="n">
        <f aca="false">SUMPRODUCT(($B$20:$B$29="Operating")*($C$20:$C$29="Y")*(H$20:H$29-M$20:M$29))</f>
        <v>150000</v>
      </c>
      <c r="I31" s="13" t="n">
        <f aca="false">SUMPRODUCT(($B$20:$B$29="Operating")*($C$20:$C$29="Y")*(I$20:I$29-N$20:N$29))</f>
        <v>200000</v>
      </c>
    </row>
    <row r="32" customFormat="false" ht="15" hidden="false" customHeight="false" outlineLevel="0" collapsed="false">
      <c r="A32" s="12" t="s">
        <v>75</v>
      </c>
      <c r="E32" s="23" t="n">
        <f aca="false">SUMPRODUCT(($B$20:$B$29="Capital")*($C$20:$C$29="Y")*(E$20:E$29-J$20:J$29))</f>
        <v>0</v>
      </c>
      <c r="F32" s="23" t="n">
        <f aca="false">SUMPRODUCT(($B$20:$B$29="Capital")*($C$20:$C$29="Y")*(F$20:F$29-K$20:K$29))</f>
        <v>0</v>
      </c>
      <c r="G32" s="23" t="n">
        <f aca="false">SUMPRODUCT(($B$20:$B$29="Capital")*($C$20:$C$29="Y")*(G$20:G$29-L$20:L$29))</f>
        <v>0</v>
      </c>
      <c r="H32" s="23" t="n">
        <f aca="false">SUMPRODUCT(($B$20:$B$29="Capital")*($C$20:$C$29="Y")*(H$20:H$29-M$20:M$29))</f>
        <v>0</v>
      </c>
      <c r="I32" s="23" t="n">
        <f aca="false">SUMPRODUCT(($B$20:$B$29="Capital")*($C$20:$C$29="Y")*(I$20:I$29-N$20:N$29))</f>
        <v>0</v>
      </c>
    </row>
    <row r="34" customFormat="false" ht="15" hidden="false" customHeight="false" outlineLevel="0" collapsed="false">
      <c r="A34" s="9" t="s">
        <v>76</v>
      </c>
      <c r="B34" s="10"/>
      <c r="C34" s="10"/>
      <c r="D34" s="10"/>
      <c r="E34" s="10"/>
      <c r="F34" s="10"/>
      <c r="G34" s="10"/>
    </row>
    <row r="35" customFormat="false" ht="39.75" hidden="false" customHeight="true" outlineLevel="0" collapsed="false">
      <c r="A35" s="4" t="s">
        <v>77</v>
      </c>
      <c r="B35" s="5" t="s">
        <v>68</v>
      </c>
      <c r="C35" s="5" t="str">
        <f aca="false">C$4</f>
        <v>FY27</v>
      </c>
      <c r="D35" s="5" t="str">
        <f aca="false">D$4</f>
        <v>FY28</v>
      </c>
      <c r="E35" s="5" t="str">
        <f aca="false">E$4</f>
        <v>FY29</v>
      </c>
      <c r="F35" s="5" t="str">
        <f aca="false">F$4</f>
        <v>FY30</v>
      </c>
      <c r="G35" s="5" t="str">
        <f aca="false">G$4</f>
        <v>FY31</v>
      </c>
    </row>
    <row r="36" customFormat="false" ht="15" hidden="false" customHeight="false" outlineLevel="0" collapsed="false">
      <c r="A36" s="20" t="s">
        <v>78</v>
      </c>
      <c r="B36" s="21" t="n">
        <v>0</v>
      </c>
      <c r="C36" s="22"/>
      <c r="D36" s="22"/>
      <c r="E36" s="22"/>
      <c r="F36" s="22"/>
      <c r="G36" s="22"/>
    </row>
    <row r="37" customFormat="false" ht="15" hidden="false" customHeight="false" outlineLevel="0" collapsed="false">
      <c r="A37" s="20"/>
      <c r="B37" s="21" t="n">
        <v>0</v>
      </c>
      <c r="C37" s="22"/>
      <c r="D37" s="22"/>
      <c r="E37" s="22"/>
      <c r="F37" s="22"/>
      <c r="G37" s="22"/>
    </row>
    <row r="38" customFormat="false" ht="15" hidden="false" customHeight="false" outlineLevel="0" collapsed="false">
      <c r="A38" s="20"/>
      <c r="B38" s="21" t="n">
        <v>0</v>
      </c>
      <c r="C38" s="22"/>
      <c r="D38" s="22"/>
      <c r="E38" s="22"/>
      <c r="F38" s="22"/>
      <c r="G38" s="22"/>
    </row>
    <row r="39" customFormat="false" ht="15" hidden="false" customHeight="false" outlineLevel="0" collapsed="false">
      <c r="A39" s="20"/>
      <c r="B39" s="21" t="n">
        <v>0</v>
      </c>
      <c r="C39" s="22"/>
      <c r="D39" s="22"/>
      <c r="E39" s="22"/>
      <c r="F39" s="22"/>
      <c r="G39" s="22"/>
    </row>
    <row r="40" customFormat="false" ht="15" hidden="false" customHeight="false" outlineLevel="0" collapsed="false">
      <c r="A40" s="20"/>
      <c r="B40" s="21" t="n">
        <v>0</v>
      </c>
      <c r="C40" s="22"/>
      <c r="D40" s="22"/>
      <c r="E40" s="22"/>
      <c r="F40" s="22"/>
      <c r="G40" s="22"/>
    </row>
    <row r="41" customFormat="false" ht="15" hidden="false" customHeight="false" outlineLevel="0" collapsed="false">
      <c r="A41" s="20"/>
      <c r="B41" s="21" t="n">
        <v>0</v>
      </c>
      <c r="C41" s="22"/>
      <c r="D41" s="22"/>
      <c r="E41" s="22"/>
      <c r="F41" s="22"/>
      <c r="G41" s="22"/>
    </row>
    <row r="42" customFormat="false" ht="15" hidden="false" customHeight="false" outlineLevel="0" collapsed="false">
      <c r="A42" s="12" t="s">
        <v>79</v>
      </c>
      <c r="C42" s="13" t="n">
        <f aca="false">SUM(C36:C41)</f>
        <v>0</v>
      </c>
      <c r="D42" s="13" t="n">
        <f aca="false">SUM(D36:D41)</f>
        <v>0</v>
      </c>
      <c r="E42" s="13" t="n">
        <f aca="false">SUM(E36:E41)</f>
        <v>0</v>
      </c>
      <c r="F42" s="13" t="n">
        <f aca="false">SUM(F36:F41)</f>
        <v>0</v>
      </c>
      <c r="G42" s="13" t="n">
        <f aca="false">SUM(G36:G41)</f>
        <v>0</v>
      </c>
    </row>
    <row r="44" customFormat="false" ht="15" hidden="false" customHeight="false" outlineLevel="0" collapsed="false">
      <c r="A44" s="9" t="s">
        <v>80</v>
      </c>
      <c r="B44" s="10"/>
      <c r="C44" s="10"/>
      <c r="D44" s="10"/>
      <c r="E44" s="10"/>
      <c r="F44" s="10"/>
      <c r="G44" s="10"/>
    </row>
    <row r="45" customFormat="false" ht="39.75" hidden="false" customHeight="true" outlineLevel="0" collapsed="false">
      <c r="A45" s="4" t="s">
        <v>81</v>
      </c>
      <c r="B45" s="5" t="s">
        <v>82</v>
      </c>
      <c r="C45" s="5" t="str">
        <f aca="false">C$4</f>
        <v>FY27</v>
      </c>
      <c r="D45" s="5" t="str">
        <f aca="false">D$4</f>
        <v>FY28</v>
      </c>
      <c r="E45" s="5" t="str">
        <f aca="false">E$4</f>
        <v>FY29</v>
      </c>
      <c r="F45" s="5" t="str">
        <f aca="false">F$4</f>
        <v>FY30</v>
      </c>
      <c r="G45" s="5" t="str">
        <f aca="false">G$4</f>
        <v>FY31</v>
      </c>
    </row>
    <row r="46" customFormat="false" ht="15" hidden="false" customHeight="false" outlineLevel="0" collapsed="false">
      <c r="A46" s="6" t="s">
        <v>83</v>
      </c>
      <c r="B46" s="21" t="n">
        <v>12</v>
      </c>
      <c r="C46" s="22" t="n">
        <v>0</v>
      </c>
      <c r="D46" s="22" t="n">
        <v>0</v>
      </c>
      <c r="E46" s="22" t="n">
        <v>0</v>
      </c>
      <c r="F46" s="22" t="n">
        <v>0</v>
      </c>
      <c r="G46" s="22" t="n">
        <v>0</v>
      </c>
    </row>
    <row r="47" customFormat="false" ht="15" hidden="false" customHeight="false" outlineLevel="0" collapsed="false">
      <c r="A47" s="6" t="s">
        <v>84</v>
      </c>
      <c r="B47" s="21" t="n">
        <v>12</v>
      </c>
      <c r="C47" s="22" t="n">
        <v>0</v>
      </c>
      <c r="D47" s="22" t="n">
        <v>0</v>
      </c>
      <c r="E47" s="22" t="n">
        <v>0</v>
      </c>
      <c r="F47" s="22" t="n">
        <v>0</v>
      </c>
      <c r="G47" s="22" t="n">
        <v>0</v>
      </c>
    </row>
    <row r="48" customFormat="false" ht="15" hidden="false" customHeight="false" outlineLevel="0" collapsed="false">
      <c r="A48" s="12" t="s">
        <v>85</v>
      </c>
      <c r="C48" s="13" t="n">
        <f aca="false">SUM(C46:C47)</f>
        <v>0</v>
      </c>
      <c r="D48" s="13" t="n">
        <f aca="false">SUM(D46:D47)</f>
        <v>0</v>
      </c>
      <c r="E48" s="13" t="n">
        <f aca="false">SUM(E46:E47)</f>
        <v>0</v>
      </c>
      <c r="F48" s="13" t="n">
        <f aca="false">SUM(F46:F47)</f>
        <v>0</v>
      </c>
      <c r="G48" s="13" t="n">
        <f aca="false">SUM(G46:G47)</f>
        <v>0</v>
      </c>
    </row>
    <row r="50" customFormat="false" ht="15" hidden="false" customHeight="false" outlineLevel="0" collapsed="false">
      <c r="A50" s="9" t="s">
        <v>86</v>
      </c>
      <c r="B50" s="10"/>
      <c r="C50" s="10"/>
      <c r="D50" s="10"/>
      <c r="E50" s="10"/>
      <c r="F50" s="10"/>
      <c r="G50" s="10"/>
    </row>
    <row r="51" customFormat="false" ht="15" hidden="false" customHeight="false" outlineLevel="0" collapsed="false">
      <c r="A51" s="6" t="s">
        <v>87</v>
      </c>
      <c r="B51" s="17" t="n">
        <v>46203</v>
      </c>
    </row>
    <row r="52" customFormat="false" ht="39.75" hidden="false" customHeight="true" outlineLevel="0" collapsed="false">
      <c r="A52" s="4" t="s">
        <v>88</v>
      </c>
      <c r="B52" s="5" t="s">
        <v>89</v>
      </c>
      <c r="C52" s="5" t="s">
        <v>90</v>
      </c>
      <c r="D52" s="5" t="s">
        <v>91</v>
      </c>
    </row>
    <row r="53" customFormat="false" ht="15" hidden="false" customHeight="false" outlineLevel="0" collapsed="false">
      <c r="A53" s="20" t="s">
        <v>92</v>
      </c>
      <c r="B53" s="20" t="s">
        <v>71</v>
      </c>
      <c r="C53" s="20" t="s">
        <v>93</v>
      </c>
      <c r="D53" s="22" t="n">
        <v>134596.05</v>
      </c>
      <c r="E53" s="3" t="s">
        <v>94</v>
      </c>
    </row>
    <row r="54" customFormat="false" ht="15" hidden="false" customHeight="false" outlineLevel="0" collapsed="false">
      <c r="A54" s="20" t="s">
        <v>95</v>
      </c>
      <c r="B54" s="20" t="s">
        <v>93</v>
      </c>
      <c r="C54" s="20" t="s">
        <v>71</v>
      </c>
      <c r="D54" s="22" t="n">
        <v>441027.78</v>
      </c>
    </row>
    <row r="55" customFormat="false" ht="15" hidden="false" customHeight="false" outlineLevel="0" collapsed="false">
      <c r="A55" s="20" t="s">
        <v>96</v>
      </c>
      <c r="B55" s="20" t="s">
        <v>93</v>
      </c>
      <c r="C55" s="20" t="s">
        <v>71</v>
      </c>
      <c r="D55" s="22" t="n">
        <v>167658.2</v>
      </c>
    </row>
    <row r="56" customFormat="false" ht="15" hidden="false" customHeight="false" outlineLevel="0" collapsed="false">
      <c r="A56" s="20" t="s">
        <v>97</v>
      </c>
      <c r="B56" s="20" t="s">
        <v>71</v>
      </c>
      <c r="C56" s="20" t="s">
        <v>71</v>
      </c>
      <c r="D56" s="22" t="n">
        <v>1029181.76</v>
      </c>
    </row>
    <row r="57" customFormat="false" ht="15" hidden="false" customHeight="false" outlineLevel="0" collapsed="false">
      <c r="A57" s="20" t="s">
        <v>98</v>
      </c>
      <c r="B57" s="20" t="s">
        <v>93</v>
      </c>
      <c r="C57" s="20" t="s">
        <v>71</v>
      </c>
      <c r="D57" s="22" t="n">
        <v>433920.19</v>
      </c>
    </row>
    <row r="58" customFormat="false" ht="15" hidden="false" customHeight="false" outlineLevel="0" collapsed="false">
      <c r="A58" s="12" t="s">
        <v>99</v>
      </c>
      <c r="D58" s="13" t="n">
        <f aca="false">SUMIF(B53:B57,"Y",D53:D57)</f>
        <v>1163777.81</v>
      </c>
    </row>
    <row r="59" customFormat="false" ht="15" hidden="false" customHeight="false" outlineLevel="0" collapsed="false">
      <c r="A59" s="12" t="s">
        <v>100</v>
      </c>
      <c r="D59" s="23" t="n">
        <f aca="false">SUMIF(B53:B57,"N",D53:D57)</f>
        <v>1042606.17</v>
      </c>
    </row>
    <row r="60" customFormat="false" ht="15" hidden="false" customHeight="false" outlineLevel="0" collapsed="false">
      <c r="A60" s="12" t="s">
        <v>101</v>
      </c>
      <c r="D60" s="23" t="n">
        <f aca="false">SUMIF(C53:C57,"Y",D53:D57)</f>
        <v>2071787.93</v>
      </c>
    </row>
    <row r="62" customFormat="false" ht="15" hidden="false" customHeight="false" outlineLevel="0" collapsed="false">
      <c r="A62" s="9" t="s">
        <v>102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customFormat="false" ht="15" hidden="false" customHeight="false" outlineLevel="0" collapsed="false">
      <c r="A63" s="4" t="s">
        <v>103</v>
      </c>
      <c r="B63" s="5" t="s">
        <v>104</v>
      </c>
      <c r="C63" s="5" t="s">
        <v>105</v>
      </c>
    </row>
    <row r="64" customFormat="false" ht="15" hidden="false" customHeight="false" outlineLevel="0" collapsed="false">
      <c r="A64" s="6" t="s">
        <v>106</v>
      </c>
      <c r="B64" s="21" t="n">
        <v>94</v>
      </c>
      <c r="C64" s="8" t="n">
        <f aca="false">B64/SUM($B$64:$B$66)</f>
        <v>0.163478260869565</v>
      </c>
    </row>
    <row r="65" customFormat="false" ht="15" hidden="false" customHeight="false" outlineLevel="0" collapsed="false">
      <c r="A65" s="6" t="s">
        <v>107</v>
      </c>
      <c r="B65" s="21" t="n">
        <v>96</v>
      </c>
      <c r="C65" s="8" t="n">
        <f aca="false">B65/SUM($B$64:$B$66)</f>
        <v>0.16695652173913</v>
      </c>
    </row>
    <row r="66" customFormat="false" ht="15" hidden="false" customHeight="false" outlineLevel="0" collapsed="false">
      <c r="A66" s="6" t="s">
        <v>108</v>
      </c>
      <c r="B66" s="21" t="n">
        <v>385</v>
      </c>
      <c r="C66" s="8" t="n">
        <f aca="false">B66/SUM($B$64:$B$66)</f>
        <v>0.669565217391304</v>
      </c>
    </row>
    <row r="67" customFormat="false" ht="15" hidden="false" customHeight="false" outlineLevel="0" collapsed="false">
      <c r="A67" s="12" t="s">
        <v>109</v>
      </c>
      <c r="B67" s="24" t="n">
        <f aca="false">SUM(B64:B66)</f>
        <v>575</v>
      </c>
    </row>
    <row r="69" customFormat="false" ht="15" hidden="false" customHeight="false" outlineLevel="0" collapsed="false">
      <c r="A69" s="12" t="s">
        <v>110</v>
      </c>
    </row>
    <row r="70" customFormat="false" ht="15" hidden="false" customHeight="false" outlineLevel="0" collapsed="false">
      <c r="A70" s="4" t="s">
        <v>103</v>
      </c>
      <c r="B70" s="5" t="s">
        <v>111</v>
      </c>
      <c r="C70" s="5" t="s">
        <v>112</v>
      </c>
      <c r="D70" s="5" t="s">
        <v>113</v>
      </c>
      <c r="E70" s="5" t="s">
        <v>114</v>
      </c>
      <c r="F70" s="5" t="s">
        <v>115</v>
      </c>
      <c r="G70" s="5" t="s">
        <v>116</v>
      </c>
      <c r="H70" s="5" t="s">
        <v>117</v>
      </c>
      <c r="I70" s="5" t="s">
        <v>118</v>
      </c>
      <c r="J70" s="5" t="s">
        <v>119</v>
      </c>
      <c r="K70" s="5" t="s">
        <v>120</v>
      </c>
      <c r="L70" s="5" t="s">
        <v>121</v>
      </c>
      <c r="M70" s="5" t="s">
        <v>122</v>
      </c>
      <c r="N70" s="5" t="s">
        <v>123</v>
      </c>
      <c r="O70" s="5" t="s">
        <v>124</v>
      </c>
      <c r="P70" s="5" t="s">
        <v>125</v>
      </c>
    </row>
    <row r="71" customFormat="false" ht="15" hidden="false" customHeight="false" outlineLevel="0" collapsed="false">
      <c r="A71" s="6" t="s">
        <v>126</v>
      </c>
      <c r="B71" s="19" t="n">
        <v>0</v>
      </c>
      <c r="C71" s="19" t="n">
        <v>1</v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9" t="n">
        <v>0</v>
      </c>
      <c r="N71" s="19" t="n">
        <v>0</v>
      </c>
      <c r="O71" s="19" t="n">
        <v>0</v>
      </c>
      <c r="P71" s="8" t="n">
        <f aca="false">SUM(B71:O71)</f>
        <v>1</v>
      </c>
    </row>
    <row r="72" customFormat="false" ht="15" hidden="false" customHeight="false" outlineLevel="0" collapsed="false">
      <c r="A72" s="6" t="s">
        <v>127</v>
      </c>
      <c r="B72" s="19" t="n">
        <v>0.25</v>
      </c>
      <c r="C72" s="19" t="n">
        <v>0</v>
      </c>
      <c r="D72" s="19" t="n">
        <v>0</v>
      </c>
      <c r="E72" s="19" t="n">
        <v>0.25</v>
      </c>
      <c r="F72" s="19" t="n">
        <v>0</v>
      </c>
      <c r="G72" s="19" t="n">
        <v>0</v>
      </c>
      <c r="H72" s="19" t="n">
        <v>0.25</v>
      </c>
      <c r="I72" s="19" t="n">
        <v>0</v>
      </c>
      <c r="J72" s="19" t="n">
        <v>0</v>
      </c>
      <c r="K72" s="19" t="n">
        <v>0.25</v>
      </c>
      <c r="L72" s="19" t="n">
        <v>0</v>
      </c>
      <c r="M72" s="19" t="n">
        <v>0</v>
      </c>
      <c r="N72" s="19" t="n">
        <v>0</v>
      </c>
      <c r="O72" s="19" t="n">
        <v>0</v>
      </c>
      <c r="P72" s="8" t="n">
        <f aca="false">SUM(B72:O72)</f>
        <v>1</v>
      </c>
    </row>
    <row r="73" customFormat="false" ht="15" hidden="false" customHeight="false" outlineLevel="0" collapsed="false">
      <c r="A73" s="6" t="s">
        <v>128</v>
      </c>
      <c r="B73" s="19" t="n">
        <v>0.0833333333333333</v>
      </c>
      <c r="C73" s="19" t="n">
        <v>0.0833333333333333</v>
      </c>
      <c r="D73" s="19" t="n">
        <v>0.0833333333333333</v>
      </c>
      <c r="E73" s="19" t="n">
        <v>0.0833333333333333</v>
      </c>
      <c r="F73" s="19" t="n">
        <v>0.0833333333333333</v>
      </c>
      <c r="G73" s="19" t="n">
        <v>0.0833333333333333</v>
      </c>
      <c r="H73" s="19" t="n">
        <v>0.0833333333333333</v>
      </c>
      <c r="I73" s="19" t="n">
        <v>0.0833333333333333</v>
      </c>
      <c r="J73" s="19" t="n">
        <v>0.0833333333333333</v>
      </c>
      <c r="K73" s="19" t="n">
        <v>0.0833333333333333</v>
      </c>
      <c r="L73" s="19" t="n">
        <v>0.0833333333333333</v>
      </c>
      <c r="M73" s="19" t="n">
        <v>0.0833333333333333</v>
      </c>
      <c r="N73" s="19" t="n">
        <v>0</v>
      </c>
      <c r="O73" s="19" t="n">
        <v>0</v>
      </c>
      <c r="P73" s="8" t="n">
        <f aca="false">SUM(B73:O73)</f>
        <v>1</v>
      </c>
    </row>
    <row r="74" customFormat="false" ht="15" hidden="false" customHeight="false" outlineLevel="0" collapsed="false">
      <c r="A74" s="12" t="s">
        <v>129</v>
      </c>
    </row>
    <row r="75" customFormat="false" ht="15" hidden="false" customHeight="false" outlineLevel="0" collapsed="false">
      <c r="A75" s="4" t="s">
        <v>130</v>
      </c>
      <c r="B75" s="5" t="s">
        <v>111</v>
      </c>
      <c r="C75" s="5" t="s">
        <v>112</v>
      </c>
      <c r="D75" s="5" t="s">
        <v>113</v>
      </c>
      <c r="E75" s="5" t="s">
        <v>114</v>
      </c>
      <c r="F75" s="5" t="s">
        <v>115</v>
      </c>
      <c r="G75" s="5" t="s">
        <v>116</v>
      </c>
      <c r="H75" s="5" t="s">
        <v>117</v>
      </c>
      <c r="I75" s="5" t="s">
        <v>118</v>
      </c>
      <c r="J75" s="5" t="s">
        <v>119</v>
      </c>
      <c r="K75" s="5" t="s">
        <v>120</v>
      </c>
      <c r="L75" s="5" t="s">
        <v>121</v>
      </c>
      <c r="M75" s="5" t="s">
        <v>122</v>
      </c>
      <c r="N75" s="5" t="s">
        <v>123</v>
      </c>
      <c r="O75" s="5" t="s">
        <v>124</v>
      </c>
      <c r="P75" s="5" t="s">
        <v>125</v>
      </c>
    </row>
    <row r="76" customFormat="false" ht="15" hidden="false" customHeight="false" outlineLevel="0" collapsed="false">
      <c r="A76" s="6" t="s">
        <v>131</v>
      </c>
      <c r="B76" s="8" t="n">
        <f aca="false">SUMPRODUCT($C$64:$C$66,B71:B73)</f>
        <v>0.097536231884058</v>
      </c>
      <c r="C76" s="8" t="n">
        <f aca="false">SUMPRODUCT($C$64:$C$66,C71:C73)</f>
        <v>0.219275362318841</v>
      </c>
      <c r="D76" s="8" t="n">
        <f aca="false">SUMPRODUCT($C$64:$C$66,D71:D73)</f>
        <v>0.0557971014492754</v>
      </c>
      <c r="E76" s="8" t="n">
        <f aca="false">SUMPRODUCT($C$64:$C$66,E71:E73)</f>
        <v>0.097536231884058</v>
      </c>
      <c r="F76" s="8" t="n">
        <f aca="false">SUMPRODUCT($C$64:$C$66,F71:F73)</f>
        <v>0.0557971014492754</v>
      </c>
      <c r="G76" s="8" t="n">
        <f aca="false">SUMPRODUCT($C$64:$C$66,G71:G73)</f>
        <v>0.0557971014492754</v>
      </c>
      <c r="H76" s="8" t="n">
        <f aca="false">SUMPRODUCT($C$64:$C$66,H71:H73)</f>
        <v>0.097536231884058</v>
      </c>
      <c r="I76" s="8" t="n">
        <f aca="false">SUMPRODUCT($C$64:$C$66,I71:I73)</f>
        <v>0.0557971014492754</v>
      </c>
      <c r="J76" s="8" t="n">
        <f aca="false">SUMPRODUCT($C$64:$C$66,J71:J73)</f>
        <v>0.0557971014492754</v>
      </c>
      <c r="K76" s="8" t="n">
        <f aca="false">SUMPRODUCT($C$64:$C$66,K71:K73)</f>
        <v>0.097536231884058</v>
      </c>
      <c r="L76" s="8" t="n">
        <f aca="false">SUMPRODUCT($C$64:$C$66,L71:L73)</f>
        <v>0.0557971014492754</v>
      </c>
      <c r="M76" s="8" t="n">
        <f aca="false">SUMPRODUCT($C$64:$C$66,M71:M73)</f>
        <v>0.0557971014492754</v>
      </c>
      <c r="N76" s="8" t="n">
        <f aca="false">SUMPRODUCT($C$64:$C$66,N71:N73)</f>
        <v>0</v>
      </c>
      <c r="O76" s="8" t="n">
        <f aca="false">SUMPRODUCT($C$64:$C$66,O71:O73)</f>
        <v>0</v>
      </c>
      <c r="P76" s="8" t="n">
        <f aca="false">SUM(B76:O76)</f>
        <v>1</v>
      </c>
    </row>
    <row r="77" customFormat="false" ht="15" hidden="false" customHeight="false" outlineLevel="0" collapsed="false">
      <c r="A77" s="6" t="s">
        <v>132</v>
      </c>
      <c r="B77" s="19" t="n">
        <v>0</v>
      </c>
      <c r="C77" s="19" t="n">
        <v>0</v>
      </c>
      <c r="D77" s="19" t="n">
        <v>0.0833333333333333</v>
      </c>
      <c r="E77" s="19" t="n">
        <v>0.0833333333333333</v>
      </c>
      <c r="F77" s="19" t="n">
        <v>0.0833333333333333</v>
      </c>
      <c r="G77" s="19" t="n">
        <v>0.0833333333333333</v>
      </c>
      <c r="H77" s="19" t="n">
        <v>0.0833333333333333</v>
      </c>
      <c r="I77" s="19" t="n">
        <v>0.0833333333333333</v>
      </c>
      <c r="J77" s="19" t="n">
        <v>0.0833333333333333</v>
      </c>
      <c r="K77" s="19" t="n">
        <v>0.0833333333333333</v>
      </c>
      <c r="L77" s="19" t="n">
        <v>0.0833333333333333</v>
      </c>
      <c r="M77" s="19" t="n">
        <v>0.0833333333333333</v>
      </c>
      <c r="N77" s="19" t="n">
        <v>0.0833333333333333</v>
      </c>
      <c r="O77" s="19" t="n">
        <v>0.0833333333333333</v>
      </c>
      <c r="P77" s="8" t="n">
        <f aca="false">SUM(B77:O77)</f>
        <v>1</v>
      </c>
    </row>
    <row r="78" customFormat="false" ht="15" hidden="false" customHeight="false" outlineLevel="0" collapsed="false">
      <c r="A78" s="6" t="s">
        <v>133</v>
      </c>
      <c r="B78" s="19" t="n">
        <v>0</v>
      </c>
      <c r="C78" s="19" t="n">
        <v>0</v>
      </c>
      <c r="D78" s="19" t="n">
        <v>1</v>
      </c>
      <c r="E78" s="19" t="n">
        <v>0</v>
      </c>
      <c r="F78" s="19" t="n">
        <v>0</v>
      </c>
      <c r="G78" s="19" t="n">
        <v>0</v>
      </c>
      <c r="H78" s="19" t="n">
        <v>0</v>
      </c>
      <c r="I78" s="19" t="n">
        <v>0</v>
      </c>
      <c r="J78" s="19" t="n">
        <v>0</v>
      </c>
      <c r="K78" s="19" t="n">
        <v>0</v>
      </c>
      <c r="L78" s="19" t="n">
        <v>0</v>
      </c>
      <c r="M78" s="19" t="n">
        <v>0</v>
      </c>
      <c r="N78" s="19" t="n">
        <v>0</v>
      </c>
      <c r="O78" s="19" t="n">
        <v>0</v>
      </c>
      <c r="P78" s="8" t="n">
        <f aca="false">SUM(B78:O78)</f>
        <v>1</v>
      </c>
    </row>
    <row r="79" customFormat="false" ht="15" hidden="false" customHeight="false" outlineLevel="0" collapsed="false">
      <c r="A79" s="6" t="s">
        <v>134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0.5</v>
      </c>
      <c r="H79" s="19" t="n">
        <v>0</v>
      </c>
      <c r="I79" s="19" t="n">
        <v>0</v>
      </c>
      <c r="J79" s="19" t="n">
        <v>0</v>
      </c>
      <c r="K79" s="19" t="n">
        <v>0</v>
      </c>
      <c r="L79" s="19" t="n">
        <v>0.5</v>
      </c>
      <c r="M79" s="19" t="n">
        <v>0</v>
      </c>
      <c r="N79" s="19" t="n">
        <v>0</v>
      </c>
      <c r="O79" s="19" t="n">
        <v>0</v>
      </c>
      <c r="P79" s="8" t="n">
        <f aca="false">SUM(B79:O79)</f>
        <v>1</v>
      </c>
    </row>
    <row r="80" customFormat="false" ht="15" hidden="false" customHeight="false" outlineLevel="0" collapsed="false">
      <c r="A80" s="6" t="s">
        <v>135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v>0</v>
      </c>
      <c r="G80" s="19" t="n">
        <v>0</v>
      </c>
      <c r="H80" s="19" t="n">
        <v>0</v>
      </c>
      <c r="I80" s="19" t="n">
        <v>0</v>
      </c>
      <c r="J80" s="19" t="n">
        <v>0</v>
      </c>
      <c r="K80" s="19" t="n">
        <v>0</v>
      </c>
      <c r="L80" s="19" t="n">
        <v>0</v>
      </c>
      <c r="M80" s="19" t="n">
        <v>0</v>
      </c>
      <c r="N80" s="19" t="n">
        <v>0</v>
      </c>
      <c r="O80" s="19" t="n">
        <v>1</v>
      </c>
      <c r="P80" s="8" t="n">
        <f aca="false">SUM(B80:O80)</f>
        <v>1</v>
      </c>
    </row>
    <row r="81" customFormat="false" ht="15" hidden="false" customHeight="false" outlineLevel="0" collapsed="false">
      <c r="A81" s="3" t="s">
        <v>136</v>
      </c>
    </row>
    <row r="83" customFormat="false" ht="15" hidden="false" customHeight="false" outlineLevel="0" collapsed="false">
      <c r="A83" s="9" t="s">
        <v>137</v>
      </c>
      <c r="B83" s="10"/>
      <c r="C83" s="10"/>
      <c r="D83" s="10"/>
      <c r="E83" s="10"/>
      <c r="F83" s="10"/>
      <c r="G83" s="10"/>
    </row>
    <row r="84" customFormat="false" ht="15" hidden="false" customHeight="false" outlineLevel="0" collapsed="false">
      <c r="A84" s="12" t="s">
        <v>138</v>
      </c>
      <c r="C84" s="12" t="s">
        <v>139</v>
      </c>
    </row>
    <row r="85" customFormat="false" ht="15" hidden="false" customHeight="false" outlineLevel="0" collapsed="false">
      <c r="A85" s="6" t="s">
        <v>140</v>
      </c>
      <c r="C85" s="21"/>
      <c r="H85" s="3" t="s">
        <v>141</v>
      </c>
    </row>
    <row r="86" customFormat="false" ht="15" hidden="false" customHeight="false" outlineLevel="0" collapsed="false">
      <c r="A86" s="6" t="s">
        <v>142</v>
      </c>
      <c r="C86" s="21"/>
    </row>
    <row r="87" customFormat="false" ht="15" hidden="false" customHeight="false" outlineLevel="0" collapsed="false">
      <c r="A87" s="6" t="s">
        <v>143</v>
      </c>
      <c r="C87" s="21"/>
    </row>
    <row r="88" customFormat="false" ht="15" hidden="false" customHeight="false" outlineLevel="0" collapsed="false">
      <c r="A88" s="6" t="s">
        <v>144</v>
      </c>
      <c r="C88" s="21"/>
    </row>
    <row r="89" customFormat="false" ht="15" hidden="false" customHeight="false" outlineLevel="0" collapsed="false">
      <c r="A89" s="6" t="s">
        <v>145</v>
      </c>
      <c r="C89" s="21"/>
    </row>
    <row r="90" customFormat="false" ht="15" hidden="false" customHeight="false" outlineLevel="0" collapsed="false">
      <c r="A90" s="6" t="s">
        <v>146</v>
      </c>
      <c r="C90" s="20" t="s">
        <v>147</v>
      </c>
      <c r="H90" s="3" t="s">
        <v>148</v>
      </c>
    </row>
    <row r="91" customFormat="false" ht="15" hidden="false" customHeight="false" outlineLevel="0" collapsed="false">
      <c r="A91" s="6" t="s">
        <v>149</v>
      </c>
      <c r="C91" s="22" t="n">
        <v>100</v>
      </c>
    </row>
    <row r="92" customFormat="false" ht="15" hidden="false" customHeight="false" outlineLevel="0" collapsed="false">
      <c r="A92" s="6" t="s">
        <v>150</v>
      </c>
      <c r="C92" s="19" t="n">
        <v>0.1</v>
      </c>
    </row>
  </sheetData>
  <conditionalFormatting sqref="P76:P80">
    <cfRule type="expression" priority="2" aboveAverage="0" equalAverage="0" bottom="0" percent="0" rank="0" text="" dxfId="3">
      <formula>ABS(P76-1)&gt;0.0001</formula>
    </cfRule>
  </conditionalFormatting>
  <conditionalFormatting sqref="P71:P73">
    <cfRule type="expression" priority="3" aboveAverage="0" equalAverage="0" bottom="0" percent="0" rank="0" text="" dxfId="3">
      <formula>ABS(P71-1)&gt;0.0001</formula>
    </cfRule>
  </conditionalFormatting>
  <dataValidations count="3">
    <dataValidation allowBlank="true" errorStyle="stop" operator="between" showDropDown="false" showErrorMessage="false" showInputMessage="false" sqref="B20:B29" type="list">
      <formula1>"Operating,Capital"</formula1>
      <formula2>0</formula2>
    </dataValidation>
    <dataValidation allowBlank="true" errorStyle="stop" operator="between" showDropDown="false" showErrorMessage="false" showInputMessage="false" sqref="C20:C29 B53:C57" type="list">
      <formula1>"Y,N"</formula1>
      <formula2>0</formula2>
    </dataValidation>
    <dataValidation allowBlank="true" errorStyle="stop" operator="between" showDropDown="false" showErrorMessage="false" showInputMessage="false" sqref="C90" type="list">
      <formula1>"Last Actual,Average,Linear Trend,Growth"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3" t="s">
        <v>152</v>
      </c>
    </row>
    <row r="3" customFormat="false" ht="15" hidden="false" customHeight="false" outlineLevel="0" collapsed="false">
      <c r="A3" s="12" t="s">
        <v>153</v>
      </c>
    </row>
    <row r="4" customFormat="false" ht="15" hidden="false" customHeight="false" outlineLevel="0" collapsed="false">
      <c r="A4" s="4" t="s">
        <v>154</v>
      </c>
      <c r="B4" s="5" t="str">
        <f aca="false">Inputs!C$4</f>
        <v>FY27</v>
      </c>
      <c r="C4" s="5" t="str">
        <f aca="false">Inputs!D$4</f>
        <v>FY28</v>
      </c>
      <c r="D4" s="5" t="str">
        <f aca="false">Inputs!E$4</f>
        <v>FY29</v>
      </c>
      <c r="E4" s="5" t="str">
        <f aca="false">Inputs!F$4</f>
        <v>FY30</v>
      </c>
      <c r="F4" s="5" t="str">
        <f aca="false">Inputs!G$4</f>
        <v>FY31</v>
      </c>
    </row>
    <row r="5" customFormat="false" ht="15" hidden="false" customHeight="false" outlineLevel="0" collapsed="false">
      <c r="A5" s="6" t="s">
        <v>155</v>
      </c>
      <c r="B5" s="25" t="n">
        <v>21</v>
      </c>
      <c r="C5" s="7" t="n">
        <f aca="false">C49</f>
        <v>20</v>
      </c>
      <c r="D5" s="7" t="n">
        <f aca="false">D49</f>
        <v>20</v>
      </c>
      <c r="E5" s="7" t="n">
        <f aca="false">E49</f>
        <v>20</v>
      </c>
      <c r="F5" s="7" t="n">
        <f aca="false">F49</f>
        <v>20</v>
      </c>
    </row>
    <row r="6" customFormat="false" ht="15" hidden="false" customHeight="false" outlineLevel="0" collapsed="false">
      <c r="A6" s="6" t="s">
        <v>156</v>
      </c>
      <c r="B6" s="25" t="n">
        <v>4</v>
      </c>
      <c r="C6" s="7" t="n">
        <f aca="false">C50</f>
        <v>4</v>
      </c>
      <c r="D6" s="7" t="n">
        <f aca="false">D50</f>
        <v>4</v>
      </c>
      <c r="E6" s="7" t="n">
        <f aca="false">E50</f>
        <v>4</v>
      </c>
      <c r="F6" s="7" t="n">
        <f aca="false">F50</f>
        <v>4</v>
      </c>
    </row>
    <row r="7" customFormat="false" ht="15" hidden="false" customHeight="false" outlineLevel="0" collapsed="false">
      <c r="A7" s="6" t="s">
        <v>157</v>
      </c>
      <c r="B7" s="25" t="n">
        <v>44</v>
      </c>
      <c r="C7" s="7" t="n">
        <f aca="false">ROUND((B5+B6)*$B51+C51,0)</f>
        <v>37</v>
      </c>
      <c r="D7" s="7" t="n">
        <f aca="false">ROUND((C5+C6)*$B51+D51,0)</f>
        <v>36</v>
      </c>
      <c r="E7" s="7" t="n">
        <f aca="false">ROUND((D5+D6)*$B51+E51,0)</f>
        <v>36</v>
      </c>
      <c r="F7" s="7" t="n">
        <f aca="false">ROUND((E5+E6)*$B51+F51,0)</f>
        <v>36</v>
      </c>
    </row>
    <row r="8" customFormat="false" ht="15" hidden="false" customHeight="false" outlineLevel="0" collapsed="false">
      <c r="A8" s="6" t="s">
        <v>158</v>
      </c>
      <c r="B8" s="25" t="n">
        <v>53</v>
      </c>
      <c r="C8" s="7" t="n">
        <f aca="false">ROUND(B7*$B52+C52,0)</f>
        <v>45</v>
      </c>
      <c r="D8" s="7" t="n">
        <f aca="false">ROUND(C7*$B52+D52,0)</f>
        <v>39</v>
      </c>
      <c r="E8" s="7" t="n">
        <f aca="false">ROUND(D7*$B52+E52,0)</f>
        <v>38</v>
      </c>
      <c r="F8" s="7" t="n">
        <f aca="false">ROUND(E7*$B52+F52,0)</f>
        <v>38</v>
      </c>
    </row>
    <row r="9" customFormat="false" ht="15" hidden="false" customHeight="false" outlineLevel="0" collapsed="false">
      <c r="A9" s="6" t="s">
        <v>159</v>
      </c>
      <c r="B9" s="25" t="n">
        <v>45</v>
      </c>
      <c r="C9" s="7" t="n">
        <f aca="false">ROUND(B8*$B53+C53,0)</f>
        <v>53</v>
      </c>
      <c r="D9" s="7" t="n">
        <f aca="false">ROUND(C8*$B53+D53,0)</f>
        <v>45</v>
      </c>
      <c r="E9" s="7" t="n">
        <f aca="false">ROUND(D8*$B53+E53,0)</f>
        <v>39</v>
      </c>
      <c r="F9" s="7" t="n">
        <f aca="false">ROUND(E8*$B53+F53,0)</f>
        <v>38</v>
      </c>
    </row>
    <row r="10" customFormat="false" ht="15" hidden="false" customHeight="false" outlineLevel="0" collapsed="false">
      <c r="A10" s="6" t="s">
        <v>160</v>
      </c>
      <c r="B10" s="25" t="n">
        <v>37</v>
      </c>
      <c r="C10" s="7" t="n">
        <f aca="false">ROUND(B9*$B54+C54,0)</f>
        <v>44</v>
      </c>
      <c r="D10" s="7" t="n">
        <f aca="false">ROUND(C9*$B54+D54,0)</f>
        <v>52</v>
      </c>
      <c r="E10" s="7" t="n">
        <f aca="false">ROUND(D9*$B54+E54,0)</f>
        <v>44</v>
      </c>
      <c r="F10" s="7" t="n">
        <f aca="false">ROUND(E9*$B54+F54,0)</f>
        <v>38</v>
      </c>
    </row>
    <row r="11" customFormat="false" ht="15" hidden="false" customHeight="false" outlineLevel="0" collapsed="false">
      <c r="A11" s="6" t="s">
        <v>161</v>
      </c>
      <c r="B11" s="25" t="n">
        <v>33</v>
      </c>
      <c r="C11" s="7" t="n">
        <f aca="false">ROUND(B10*$B55+C55,0)</f>
        <v>37</v>
      </c>
      <c r="D11" s="7" t="n">
        <f aca="false">ROUND(C10*$B55+D55,0)</f>
        <v>43</v>
      </c>
      <c r="E11" s="7" t="n">
        <f aca="false">ROUND(D10*$B55+E55,0)</f>
        <v>51</v>
      </c>
      <c r="F11" s="7" t="n">
        <f aca="false">ROUND(E10*$B55+F55,0)</f>
        <v>43</v>
      </c>
    </row>
    <row r="12" customFormat="false" ht="15" hidden="false" customHeight="false" outlineLevel="0" collapsed="false">
      <c r="A12" s="6" t="s">
        <v>162</v>
      </c>
      <c r="B12" s="25" t="n">
        <v>36</v>
      </c>
      <c r="C12" s="7" t="n">
        <f aca="false">ROUND(B11*$B56+C56,0)</f>
        <v>33</v>
      </c>
      <c r="D12" s="7" t="n">
        <f aca="false">ROUND(C11*$B56+D56,0)</f>
        <v>37</v>
      </c>
      <c r="E12" s="7" t="n">
        <f aca="false">ROUND(D11*$B56+E56,0)</f>
        <v>42</v>
      </c>
      <c r="F12" s="7" t="n">
        <f aca="false">ROUND(E11*$B56+F56,0)</f>
        <v>50</v>
      </c>
    </row>
    <row r="13" customFormat="false" ht="15" hidden="false" customHeight="false" outlineLevel="0" collapsed="false">
      <c r="A13" s="6" t="s">
        <v>163</v>
      </c>
      <c r="B13" s="25" t="n">
        <v>36</v>
      </c>
      <c r="C13" s="7" t="n">
        <f aca="false">ROUND(B12*$B57+C57,0)</f>
        <v>36</v>
      </c>
      <c r="D13" s="7" t="n">
        <f aca="false">ROUND(C12*$B57+D57,0)</f>
        <v>33</v>
      </c>
      <c r="E13" s="7" t="n">
        <f aca="false">ROUND(D12*$B57+E57,0)</f>
        <v>37</v>
      </c>
      <c r="F13" s="7" t="n">
        <f aca="false">ROUND(E12*$B57+F57,0)</f>
        <v>41</v>
      </c>
    </row>
    <row r="14" customFormat="false" ht="15" hidden="false" customHeight="false" outlineLevel="0" collapsed="false">
      <c r="A14" s="6" t="s">
        <v>164</v>
      </c>
      <c r="B14" s="25" t="n">
        <v>40</v>
      </c>
      <c r="C14" s="7" t="n">
        <f aca="false">ROUND(B13*$B58+C58,0)</f>
        <v>39</v>
      </c>
      <c r="D14" s="7" t="n">
        <f aca="false">ROUND(C13*$B58+D58,0)</f>
        <v>39</v>
      </c>
      <c r="E14" s="7" t="n">
        <f aca="false">ROUND(D13*$B58+E58,0)</f>
        <v>36</v>
      </c>
      <c r="F14" s="7" t="n">
        <f aca="false">ROUND(E13*$B58+F58,0)</f>
        <v>40</v>
      </c>
    </row>
    <row r="15" customFormat="false" ht="15" hidden="false" customHeight="false" outlineLevel="0" collapsed="false">
      <c r="A15" s="6" t="s">
        <v>165</v>
      </c>
      <c r="B15" s="25" t="n">
        <v>34</v>
      </c>
      <c r="C15" s="7" t="n">
        <f aca="false">ROUND(B14*$B59+C59,0)</f>
        <v>40</v>
      </c>
      <c r="D15" s="7" t="n">
        <f aca="false">ROUND(C14*$B59+D59,0)</f>
        <v>39</v>
      </c>
      <c r="E15" s="7" t="n">
        <f aca="false">ROUND(D14*$B59+E59,0)</f>
        <v>39</v>
      </c>
      <c r="F15" s="7" t="n">
        <f aca="false">ROUND(E14*$B59+F59,0)</f>
        <v>37</v>
      </c>
    </row>
    <row r="16" customFormat="false" ht="15" hidden="false" customHeight="false" outlineLevel="0" collapsed="false">
      <c r="A16" s="6" t="s">
        <v>166</v>
      </c>
      <c r="B16" s="25" t="n">
        <v>37</v>
      </c>
      <c r="C16" s="7" t="n">
        <f aca="false">ROUND(B15*$B60+C60,0)</f>
        <v>35</v>
      </c>
      <c r="D16" s="7" t="n">
        <f aca="false">ROUND(C15*$B60+D60,0)</f>
        <v>40</v>
      </c>
      <c r="E16" s="7" t="n">
        <f aca="false">ROUND(D15*$B60+E60,0)</f>
        <v>39</v>
      </c>
      <c r="F16" s="7" t="n">
        <f aca="false">ROUND(E15*$B60+F60,0)</f>
        <v>39</v>
      </c>
    </row>
    <row r="17" customFormat="false" ht="15" hidden="false" customHeight="false" outlineLevel="0" collapsed="false">
      <c r="A17" s="6" t="s">
        <v>167</v>
      </c>
      <c r="B17" s="25" t="n">
        <v>45</v>
      </c>
      <c r="C17" s="7" t="n">
        <f aca="false">ROUND(B16*$B61+C61,0)</f>
        <v>40</v>
      </c>
      <c r="D17" s="7" t="n">
        <f aca="false">ROUND(C16*$B61+D61,0)</f>
        <v>38</v>
      </c>
      <c r="E17" s="7" t="n">
        <f aca="false">ROUND(D16*$B61+E61,0)</f>
        <v>42</v>
      </c>
      <c r="F17" s="7" t="n">
        <f aca="false">ROUND(E16*$B61+F61,0)</f>
        <v>41</v>
      </c>
    </row>
    <row r="18" customFormat="false" ht="15" hidden="false" customHeight="false" outlineLevel="0" collapsed="false">
      <c r="A18" s="6" t="s">
        <v>168</v>
      </c>
      <c r="B18" s="25" t="n">
        <v>44</v>
      </c>
      <c r="C18" s="7" t="n">
        <f aca="false">ROUND(B17*$B62+C62,0)</f>
        <v>44</v>
      </c>
      <c r="D18" s="7" t="n">
        <f aca="false">ROUND(C17*$B62+D62,0)</f>
        <v>39</v>
      </c>
      <c r="E18" s="7" t="n">
        <f aca="false">ROUND(D17*$B62+E62,0)</f>
        <v>37</v>
      </c>
      <c r="F18" s="7" t="n">
        <f aca="false">ROUND(E17*$B62+F62,0)</f>
        <v>41</v>
      </c>
    </row>
    <row r="19" customFormat="false" ht="15" hidden="false" customHeight="false" outlineLevel="0" collapsed="false">
      <c r="A19" s="6" t="s">
        <v>169</v>
      </c>
      <c r="B19" s="25" t="n">
        <v>43</v>
      </c>
      <c r="C19" s="7" t="n">
        <f aca="false">ROUND(B18*$B63+C63,0)</f>
        <v>43</v>
      </c>
      <c r="D19" s="7" t="n">
        <f aca="false">ROUND(C18*$B63+D63,0)</f>
        <v>43</v>
      </c>
      <c r="E19" s="7" t="n">
        <f aca="false">ROUND(D18*$B63+E63,0)</f>
        <v>38</v>
      </c>
      <c r="F19" s="7" t="n">
        <f aca="false">ROUND(E18*$B63+F63,0)</f>
        <v>37</v>
      </c>
    </row>
    <row r="20" customFormat="false" ht="15" hidden="false" customHeight="false" outlineLevel="0" collapsed="false">
      <c r="A20" s="6" t="s">
        <v>170</v>
      </c>
      <c r="B20" s="25" t="n">
        <v>30</v>
      </c>
      <c r="C20" s="7" t="n">
        <f aca="false">ROUND(B19*$B64+C64,0)</f>
        <v>41</v>
      </c>
      <c r="D20" s="7" t="n">
        <f aca="false">ROUND(C19*$B64+D64,0)</f>
        <v>41</v>
      </c>
      <c r="E20" s="7" t="n">
        <f aca="false">ROUND(D19*$B64+E64,0)</f>
        <v>41</v>
      </c>
      <c r="F20" s="7" t="n">
        <f aca="false">ROUND(E19*$B64+F64,0)</f>
        <v>36</v>
      </c>
    </row>
    <row r="21" customFormat="false" ht="15" hidden="false" customHeight="false" outlineLevel="0" collapsed="false">
      <c r="A21" s="12" t="s">
        <v>171</v>
      </c>
      <c r="B21" s="26" t="n">
        <f aca="false">SUM(B5:B20)</f>
        <v>582</v>
      </c>
      <c r="C21" s="26" t="n">
        <f aca="false">SUM(C5:C20)</f>
        <v>591</v>
      </c>
      <c r="D21" s="26" t="n">
        <f aca="false">SUM(D5:D20)</f>
        <v>588</v>
      </c>
      <c r="E21" s="26" t="n">
        <f aca="false">SUM(E5:E20)</f>
        <v>583</v>
      </c>
      <c r="F21" s="26" t="n">
        <f aca="false">SUM(F5:F20)</f>
        <v>579</v>
      </c>
    </row>
    <row r="22" customFormat="false" ht="15" hidden="false" customHeight="false" outlineLevel="0" collapsed="false">
      <c r="A22" s="6" t="s">
        <v>172</v>
      </c>
      <c r="C22" s="11" t="n">
        <f aca="false">C21-B21</f>
        <v>9</v>
      </c>
      <c r="D22" s="11" t="n">
        <f aca="false">D21-C21</f>
        <v>-3</v>
      </c>
      <c r="E22" s="11" t="n">
        <f aca="false">E21-D21</f>
        <v>-5</v>
      </c>
      <c r="F22" s="11" t="n">
        <f aca="false">F21-E21</f>
        <v>-4</v>
      </c>
    </row>
    <row r="23" customFormat="false" ht="15" hidden="false" customHeight="false" outlineLevel="0" collapsed="false">
      <c r="A23" s="6" t="s">
        <v>173</v>
      </c>
      <c r="B23" s="11" t="n">
        <f aca="false">SUMPRODUCT(B5:B20,B29:B44)</f>
        <v>9315096.16</v>
      </c>
      <c r="C23" s="11" t="n">
        <f aca="false">SUMPRODUCT(C5:C20,C29:C44)</f>
        <v>10018177.512</v>
      </c>
      <c r="D23" s="11" t="n">
        <f aca="false">SUMPRODUCT(D5:D20,D29:D44)</f>
        <v>10433240.16042</v>
      </c>
      <c r="E23" s="11" t="n">
        <f aca="false">SUMPRODUCT(E5:E20,E29:E44)</f>
        <v>10806024.9232089</v>
      </c>
      <c r="F23" s="11" t="n">
        <f aca="false">SUMPRODUCT(F5:F20,F29:F44)</f>
        <v>11170544.0530123</v>
      </c>
    </row>
    <row r="24" customFormat="false" ht="15" hidden="false" customHeight="false" outlineLevel="0" collapsed="false">
      <c r="A24" s="12" t="s">
        <v>174</v>
      </c>
      <c r="B24" s="27" t="n">
        <f aca="false">B23/$B$23</f>
        <v>1</v>
      </c>
      <c r="C24" s="27" t="n">
        <f aca="false">C23/$B$23</f>
        <v>1.0754776268461</v>
      </c>
      <c r="D24" s="27" t="n">
        <f aca="false">D23/$B$23</f>
        <v>1.12003569058379</v>
      </c>
      <c r="E24" s="27" t="n">
        <f aca="false">E23/$B$23</f>
        <v>1.16005511243256</v>
      </c>
      <c r="F24" s="27" t="n">
        <f aca="false">F23/$B$23</f>
        <v>1.19918719690515</v>
      </c>
    </row>
    <row r="25" customFormat="false" ht="15" hidden="false" customHeight="false" outlineLevel="0" collapsed="false">
      <c r="A25" s="6" t="s">
        <v>175</v>
      </c>
      <c r="B25" s="11" t="n">
        <f aca="false">B23/B21</f>
        <v>16005.319862543</v>
      </c>
      <c r="C25" s="11" t="n">
        <f aca="false">C23/C21</f>
        <v>16951.2309847716</v>
      </c>
      <c r="D25" s="11" t="n">
        <f aca="false">D23/D21</f>
        <v>17743.605715</v>
      </c>
      <c r="E25" s="11" t="n">
        <f aca="false">E23/E21</f>
        <v>18535.2057001868</v>
      </c>
      <c r="F25" s="11" t="n">
        <f aca="false">F23/F21</f>
        <v>19292.8221986396</v>
      </c>
    </row>
    <row r="27" customFormat="false" ht="15" hidden="false" customHeight="false" outlineLevel="0" collapsed="false">
      <c r="A27" s="12" t="s">
        <v>176</v>
      </c>
    </row>
    <row r="28" customFormat="false" ht="15" hidden="false" customHeight="false" outlineLevel="0" collapsed="false">
      <c r="A28" s="4" t="s">
        <v>154</v>
      </c>
      <c r="B28" s="5" t="str">
        <f aca="false">Inputs!C$4</f>
        <v>FY27</v>
      </c>
      <c r="C28" s="5" t="str">
        <f aca="false">Inputs!D$4</f>
        <v>FY28</v>
      </c>
      <c r="D28" s="5" t="str">
        <f aca="false">Inputs!E$4</f>
        <v>FY29</v>
      </c>
      <c r="E28" s="5" t="str">
        <f aca="false">Inputs!F$4</f>
        <v>FY30</v>
      </c>
      <c r="F28" s="5" t="str">
        <f aca="false">Inputs!G$4</f>
        <v>FY31</v>
      </c>
    </row>
    <row r="29" customFormat="false" ht="15" hidden="false" customHeight="false" outlineLevel="0" collapsed="false">
      <c r="A29" s="6" t="s">
        <v>155</v>
      </c>
      <c r="B29" s="22" t="n">
        <v>8958.56</v>
      </c>
      <c r="C29" s="11" t="n">
        <f aca="false">B29*(1+Inputs!D$9)</f>
        <v>9406.488</v>
      </c>
      <c r="D29" s="11" t="n">
        <f aca="false">C29*(1+Inputs!E$9)</f>
        <v>9829.77996</v>
      </c>
      <c r="E29" s="11" t="n">
        <f aca="false">D29*(1+Inputs!F$9)</f>
        <v>10272.1200582</v>
      </c>
      <c r="F29" s="11" t="n">
        <f aca="false">E29*(1+Inputs!G$9)</f>
        <v>10683.004860528</v>
      </c>
    </row>
    <row r="30" customFormat="false" ht="15" hidden="false" customHeight="false" outlineLevel="0" collapsed="false">
      <c r="A30" s="6" t="s">
        <v>177</v>
      </c>
      <c r="B30" s="22" t="n">
        <v>5400</v>
      </c>
      <c r="C30" s="11" t="n">
        <f aca="false">B30*(1+Inputs!D$9)</f>
        <v>5670</v>
      </c>
      <c r="D30" s="11" t="n">
        <f aca="false">C30*(1+Inputs!E$9)</f>
        <v>5925.15</v>
      </c>
      <c r="E30" s="11" t="n">
        <f aca="false">D30*(1+Inputs!F$9)</f>
        <v>6191.78175</v>
      </c>
      <c r="F30" s="11" t="n">
        <f aca="false">E30*(1+Inputs!G$9)</f>
        <v>6439.45302</v>
      </c>
    </row>
    <row r="31" customFormat="false" ht="15" hidden="false" customHeight="false" outlineLevel="0" collapsed="false">
      <c r="A31" s="6" t="s">
        <v>157</v>
      </c>
      <c r="B31" s="22" t="n">
        <v>10510.24</v>
      </c>
      <c r="C31" s="11" t="n">
        <f aca="false">B31*(1+Inputs!D$9)</f>
        <v>11035.752</v>
      </c>
      <c r="D31" s="11" t="n">
        <f aca="false">C31*(1+Inputs!E$9)</f>
        <v>11532.36084</v>
      </c>
      <c r="E31" s="11" t="n">
        <f aca="false">D31*(1+Inputs!F$9)</f>
        <v>12051.3170778</v>
      </c>
      <c r="F31" s="11" t="n">
        <f aca="false">E31*(1+Inputs!G$9)</f>
        <v>12533.369760912</v>
      </c>
    </row>
    <row r="32" customFormat="false" ht="15" hidden="false" customHeight="false" outlineLevel="0" collapsed="false">
      <c r="A32" s="6" t="s">
        <v>158</v>
      </c>
      <c r="B32" s="22" t="n">
        <v>13198.64</v>
      </c>
      <c r="C32" s="11" t="n">
        <f aca="false">B32*(1+Inputs!D$9)</f>
        <v>13858.572</v>
      </c>
      <c r="D32" s="11" t="n">
        <f aca="false">C32*(1+Inputs!E$9)</f>
        <v>14482.20774</v>
      </c>
      <c r="E32" s="11" t="n">
        <f aca="false">D32*(1+Inputs!F$9)</f>
        <v>15133.9070883</v>
      </c>
      <c r="F32" s="11" t="n">
        <f aca="false">E32*(1+Inputs!G$9)</f>
        <v>15739.263371832</v>
      </c>
    </row>
    <row r="33" customFormat="false" ht="15" hidden="false" customHeight="false" outlineLevel="0" collapsed="false">
      <c r="A33" s="6" t="s">
        <v>159</v>
      </c>
      <c r="B33" s="22" t="n">
        <v>15895.36</v>
      </c>
      <c r="C33" s="11" t="n">
        <f aca="false">B33*(1+Inputs!D$9)</f>
        <v>16690.128</v>
      </c>
      <c r="D33" s="11" t="n">
        <f aca="false">C33*(1+Inputs!E$9)</f>
        <v>17441.18376</v>
      </c>
      <c r="E33" s="11" t="n">
        <f aca="false">D33*(1+Inputs!F$9)</f>
        <v>18226.0370292</v>
      </c>
      <c r="F33" s="11" t="n">
        <f aca="false">E33*(1+Inputs!G$9)</f>
        <v>18955.078510368</v>
      </c>
    </row>
    <row r="34" customFormat="false" ht="15" hidden="false" customHeight="false" outlineLevel="0" collapsed="false">
      <c r="A34" s="6" t="s">
        <v>160</v>
      </c>
      <c r="B34" s="22" t="n">
        <v>15895.36</v>
      </c>
      <c r="C34" s="11" t="n">
        <f aca="false">B34*(1+Inputs!D$9)</f>
        <v>16690.128</v>
      </c>
      <c r="D34" s="11" t="n">
        <f aca="false">C34*(1+Inputs!E$9)</f>
        <v>17441.18376</v>
      </c>
      <c r="E34" s="11" t="n">
        <f aca="false">D34*(1+Inputs!F$9)</f>
        <v>18226.0370292</v>
      </c>
      <c r="F34" s="11" t="n">
        <f aca="false">E34*(1+Inputs!G$9)</f>
        <v>18955.078510368</v>
      </c>
    </row>
    <row r="35" customFormat="false" ht="15" hidden="false" customHeight="false" outlineLevel="0" collapsed="false">
      <c r="A35" s="6" t="s">
        <v>161</v>
      </c>
      <c r="B35" s="22" t="n">
        <v>15895.36</v>
      </c>
      <c r="C35" s="11" t="n">
        <f aca="false">B35*(1+Inputs!D$9)</f>
        <v>16690.128</v>
      </c>
      <c r="D35" s="11" t="n">
        <f aca="false">C35*(1+Inputs!E$9)</f>
        <v>17441.18376</v>
      </c>
      <c r="E35" s="11" t="n">
        <f aca="false">D35*(1+Inputs!F$9)</f>
        <v>18226.0370292</v>
      </c>
      <c r="F35" s="11" t="n">
        <f aca="false">E35*(1+Inputs!G$9)</f>
        <v>18955.078510368</v>
      </c>
    </row>
    <row r="36" customFormat="false" ht="15" hidden="false" customHeight="false" outlineLevel="0" collapsed="false">
      <c r="A36" s="6" t="s">
        <v>162</v>
      </c>
      <c r="B36" s="22" t="n">
        <v>16672.24</v>
      </c>
      <c r="C36" s="11" t="n">
        <f aca="false">B36*(1+Inputs!D$9)</f>
        <v>17505.852</v>
      </c>
      <c r="D36" s="11" t="n">
        <f aca="false">C36*(1+Inputs!E$9)</f>
        <v>18293.61534</v>
      </c>
      <c r="E36" s="11" t="n">
        <f aca="false">D36*(1+Inputs!F$9)</f>
        <v>19116.8280303</v>
      </c>
      <c r="F36" s="11" t="n">
        <f aca="false">E36*(1+Inputs!G$9)</f>
        <v>19881.501151512</v>
      </c>
    </row>
    <row r="37" customFormat="false" ht="15" hidden="false" customHeight="false" outlineLevel="0" collapsed="false">
      <c r="A37" s="6" t="s">
        <v>163</v>
      </c>
      <c r="B37" s="22" t="n">
        <v>16672.24</v>
      </c>
      <c r="C37" s="11" t="n">
        <f aca="false">B37*(1+Inputs!D$9)</f>
        <v>17505.852</v>
      </c>
      <c r="D37" s="11" t="n">
        <f aca="false">C37*(1+Inputs!E$9)</f>
        <v>18293.61534</v>
      </c>
      <c r="E37" s="11" t="n">
        <f aca="false">D37*(1+Inputs!F$9)</f>
        <v>19116.8280303</v>
      </c>
      <c r="F37" s="11" t="n">
        <f aca="false">E37*(1+Inputs!G$9)</f>
        <v>19881.501151512</v>
      </c>
    </row>
    <row r="38" customFormat="false" ht="15" hidden="false" customHeight="false" outlineLevel="0" collapsed="false">
      <c r="A38" s="6" t="s">
        <v>164</v>
      </c>
      <c r="B38" s="22" t="n">
        <v>17899.44</v>
      </c>
      <c r="C38" s="11" t="n">
        <f aca="false">B38*(1+Inputs!D$9)</f>
        <v>18794.412</v>
      </c>
      <c r="D38" s="11" t="n">
        <f aca="false">C38*(1+Inputs!E$9)</f>
        <v>19640.16054</v>
      </c>
      <c r="E38" s="11" t="n">
        <f aca="false">D38*(1+Inputs!F$9)</f>
        <v>20523.9677643</v>
      </c>
      <c r="F38" s="11" t="n">
        <f aca="false">E38*(1+Inputs!G$9)</f>
        <v>21344.926474872</v>
      </c>
    </row>
    <row r="39" customFormat="false" ht="15" hidden="false" customHeight="false" outlineLevel="0" collapsed="false">
      <c r="A39" s="6" t="s">
        <v>165</v>
      </c>
      <c r="B39" s="22" t="n">
        <v>17899.44</v>
      </c>
      <c r="C39" s="11" t="n">
        <f aca="false">B39*(1+Inputs!D$9)</f>
        <v>18794.412</v>
      </c>
      <c r="D39" s="11" t="n">
        <f aca="false">C39*(1+Inputs!E$9)</f>
        <v>19640.16054</v>
      </c>
      <c r="E39" s="11" t="n">
        <f aca="false">D39*(1+Inputs!F$9)</f>
        <v>20523.9677643</v>
      </c>
      <c r="F39" s="11" t="n">
        <f aca="false">E39*(1+Inputs!G$9)</f>
        <v>21344.926474872</v>
      </c>
    </row>
    <row r="40" customFormat="false" ht="15" hidden="false" customHeight="false" outlineLevel="0" collapsed="false">
      <c r="A40" s="6" t="s">
        <v>166</v>
      </c>
      <c r="B40" s="22" t="n">
        <v>17899.44</v>
      </c>
      <c r="C40" s="11" t="n">
        <f aca="false">B40*(1+Inputs!D$9)</f>
        <v>18794.412</v>
      </c>
      <c r="D40" s="11" t="n">
        <f aca="false">C40*(1+Inputs!E$9)</f>
        <v>19640.16054</v>
      </c>
      <c r="E40" s="11" t="n">
        <f aca="false">D40*(1+Inputs!F$9)</f>
        <v>20523.9677643</v>
      </c>
      <c r="F40" s="11" t="n">
        <f aca="false">E40*(1+Inputs!G$9)</f>
        <v>21344.926474872</v>
      </c>
    </row>
    <row r="41" customFormat="false" ht="15" hidden="false" customHeight="false" outlineLevel="0" collapsed="false">
      <c r="A41" s="6" t="s">
        <v>167</v>
      </c>
      <c r="B41" s="22" t="n">
        <v>18075.2</v>
      </c>
      <c r="C41" s="11" t="n">
        <f aca="false">B41*(1+Inputs!D$9)</f>
        <v>18978.96</v>
      </c>
      <c r="D41" s="11" t="n">
        <f aca="false">C41*(1+Inputs!E$9)</f>
        <v>19833.0132</v>
      </c>
      <c r="E41" s="11" t="n">
        <f aca="false">D41*(1+Inputs!F$9)</f>
        <v>20725.498794</v>
      </c>
      <c r="F41" s="11" t="n">
        <f aca="false">E41*(1+Inputs!G$9)</f>
        <v>21554.51874576</v>
      </c>
    </row>
    <row r="42" customFormat="false" ht="15" hidden="false" customHeight="false" outlineLevel="0" collapsed="false">
      <c r="A42" s="6" t="s">
        <v>168</v>
      </c>
      <c r="B42" s="22" t="n">
        <v>18075.2</v>
      </c>
      <c r="C42" s="11" t="n">
        <f aca="false">B42*(1+Inputs!D$9)</f>
        <v>18978.96</v>
      </c>
      <c r="D42" s="11" t="n">
        <f aca="false">C42*(1+Inputs!E$9)</f>
        <v>19833.0132</v>
      </c>
      <c r="E42" s="11" t="n">
        <f aca="false">D42*(1+Inputs!F$9)</f>
        <v>20725.498794</v>
      </c>
      <c r="F42" s="11" t="n">
        <f aca="false">E42*(1+Inputs!G$9)</f>
        <v>21554.51874576</v>
      </c>
    </row>
    <row r="43" customFormat="false" ht="15" hidden="false" customHeight="false" outlineLevel="0" collapsed="false">
      <c r="A43" s="6" t="s">
        <v>169</v>
      </c>
      <c r="B43" s="22" t="n">
        <v>18075.2</v>
      </c>
      <c r="C43" s="11" t="n">
        <f aca="false">B43*(1+Inputs!D$9)</f>
        <v>18978.96</v>
      </c>
      <c r="D43" s="11" t="n">
        <f aca="false">C43*(1+Inputs!E$9)</f>
        <v>19833.0132</v>
      </c>
      <c r="E43" s="11" t="n">
        <f aca="false">D43*(1+Inputs!F$9)</f>
        <v>20725.498794</v>
      </c>
      <c r="F43" s="11" t="n">
        <f aca="false">E43*(1+Inputs!G$9)</f>
        <v>21554.51874576</v>
      </c>
    </row>
    <row r="44" customFormat="false" ht="15" hidden="false" customHeight="false" outlineLevel="0" collapsed="false">
      <c r="A44" s="6" t="s">
        <v>170</v>
      </c>
      <c r="B44" s="22" t="n">
        <v>18075.2</v>
      </c>
      <c r="C44" s="11" t="n">
        <f aca="false">B44*(1+Inputs!D$9)</f>
        <v>18978.96</v>
      </c>
      <c r="D44" s="11" t="n">
        <f aca="false">C44*(1+Inputs!E$9)</f>
        <v>19833.0132</v>
      </c>
      <c r="E44" s="11" t="n">
        <f aca="false">D44*(1+Inputs!F$9)</f>
        <v>20725.498794</v>
      </c>
      <c r="F44" s="11" t="n">
        <f aca="false">E44*(1+Inputs!G$9)</f>
        <v>21554.51874576</v>
      </c>
    </row>
    <row r="47" customFormat="false" ht="15" hidden="false" customHeight="false" outlineLevel="0" collapsed="false">
      <c r="A47" s="12" t="s">
        <v>178</v>
      </c>
    </row>
    <row r="48" customFormat="false" ht="39.75" hidden="false" customHeight="true" outlineLevel="0" collapsed="false">
      <c r="A48" s="4" t="s">
        <v>154</v>
      </c>
      <c r="B48" s="5" t="s">
        <v>179</v>
      </c>
      <c r="C48" s="5" t="str">
        <f aca="false">"New students "&amp;Inputs!D$4</f>
        <v>New students FY28</v>
      </c>
      <c r="D48" s="5" t="str">
        <f aca="false">"New students "&amp;Inputs!E$4</f>
        <v>New students FY29</v>
      </c>
      <c r="E48" s="5" t="str">
        <f aca="false">"New students "&amp;Inputs!F$4</f>
        <v>New students FY30</v>
      </c>
      <c r="F48" s="5" t="str">
        <f aca="false">"New students "&amp;Inputs!G$4</f>
        <v>New students FY31</v>
      </c>
    </row>
    <row r="49" customFormat="false" ht="15" hidden="false" customHeight="false" outlineLevel="0" collapsed="false">
      <c r="A49" s="6" t="s">
        <v>155</v>
      </c>
      <c r="B49" s="28" t="s">
        <v>180</v>
      </c>
      <c r="C49" s="21" t="n">
        <v>20</v>
      </c>
      <c r="D49" s="21" t="n">
        <v>20</v>
      </c>
      <c r="E49" s="21" t="n">
        <v>20</v>
      </c>
      <c r="F49" s="21" t="n">
        <v>20</v>
      </c>
    </row>
    <row r="50" customFormat="false" ht="15" hidden="false" customHeight="false" outlineLevel="0" collapsed="false">
      <c r="A50" s="6" t="s">
        <v>156</v>
      </c>
      <c r="B50" s="28" t="s">
        <v>180</v>
      </c>
      <c r="C50" s="21" t="n">
        <v>4</v>
      </c>
      <c r="D50" s="21" t="n">
        <v>4</v>
      </c>
      <c r="E50" s="21" t="n">
        <v>4</v>
      </c>
      <c r="F50" s="21" t="n">
        <v>4</v>
      </c>
    </row>
    <row r="51" customFormat="false" ht="15" hidden="false" customHeight="false" outlineLevel="0" collapsed="false">
      <c r="A51" s="6" t="s">
        <v>157</v>
      </c>
      <c r="B51" s="19" t="n">
        <v>0.96</v>
      </c>
      <c r="C51" s="21" t="n">
        <v>13</v>
      </c>
      <c r="D51" s="21" t="n">
        <v>13</v>
      </c>
      <c r="E51" s="21" t="n">
        <v>13</v>
      </c>
      <c r="F51" s="21" t="n">
        <v>13</v>
      </c>
    </row>
    <row r="52" customFormat="false" ht="15" hidden="false" customHeight="false" outlineLevel="0" collapsed="false">
      <c r="A52" s="6" t="s">
        <v>158</v>
      </c>
      <c r="B52" s="19" t="n">
        <v>0.96</v>
      </c>
      <c r="C52" s="21" t="n">
        <v>3</v>
      </c>
      <c r="D52" s="21" t="n">
        <v>3</v>
      </c>
      <c r="E52" s="21" t="n">
        <v>3</v>
      </c>
      <c r="F52" s="21" t="n">
        <v>3</v>
      </c>
    </row>
    <row r="53" customFormat="false" ht="15" hidden="false" customHeight="false" outlineLevel="0" collapsed="false">
      <c r="A53" s="6" t="s">
        <v>159</v>
      </c>
      <c r="B53" s="19" t="n">
        <v>0.96</v>
      </c>
      <c r="C53" s="21" t="n">
        <v>2</v>
      </c>
      <c r="D53" s="21" t="n">
        <v>2</v>
      </c>
      <c r="E53" s="21" t="n">
        <v>2</v>
      </c>
      <c r="F53" s="21" t="n">
        <v>2</v>
      </c>
    </row>
    <row r="54" customFormat="false" ht="15" hidden="false" customHeight="false" outlineLevel="0" collapsed="false">
      <c r="A54" s="6" t="s">
        <v>160</v>
      </c>
      <c r="B54" s="19" t="n">
        <v>0.96</v>
      </c>
      <c r="C54" s="21" t="n">
        <v>1</v>
      </c>
      <c r="D54" s="21" t="n">
        <v>1</v>
      </c>
      <c r="E54" s="21" t="n">
        <v>1</v>
      </c>
      <c r="F54" s="21" t="n">
        <v>1</v>
      </c>
    </row>
    <row r="55" customFormat="false" ht="15" hidden="false" customHeight="false" outlineLevel="0" collapsed="false">
      <c r="A55" s="6" t="s">
        <v>161</v>
      </c>
      <c r="B55" s="19" t="n">
        <v>0.96</v>
      </c>
      <c r="C55" s="21" t="n">
        <v>1</v>
      </c>
      <c r="D55" s="21" t="n">
        <v>1</v>
      </c>
      <c r="E55" s="21" t="n">
        <v>1</v>
      </c>
      <c r="F55" s="21" t="n">
        <v>1</v>
      </c>
    </row>
    <row r="56" customFormat="false" ht="15" hidden="false" customHeight="false" outlineLevel="0" collapsed="false">
      <c r="A56" s="6" t="s">
        <v>162</v>
      </c>
      <c r="B56" s="19" t="n">
        <v>0.96</v>
      </c>
      <c r="C56" s="21" t="n">
        <v>1</v>
      </c>
      <c r="D56" s="21" t="n">
        <v>1</v>
      </c>
      <c r="E56" s="21" t="n">
        <v>1</v>
      </c>
      <c r="F56" s="21" t="n">
        <v>1</v>
      </c>
    </row>
    <row r="57" customFormat="false" ht="15" hidden="false" customHeight="false" outlineLevel="0" collapsed="false">
      <c r="A57" s="6" t="s">
        <v>163</v>
      </c>
      <c r="B57" s="19" t="n">
        <v>0.96</v>
      </c>
      <c r="C57" s="21" t="n">
        <v>1</v>
      </c>
      <c r="D57" s="21" t="n">
        <v>1</v>
      </c>
      <c r="E57" s="21" t="n">
        <v>1</v>
      </c>
      <c r="F57" s="21" t="n">
        <v>1</v>
      </c>
    </row>
    <row r="58" customFormat="false" ht="15" hidden="false" customHeight="false" outlineLevel="0" collapsed="false">
      <c r="A58" s="6" t="s">
        <v>164</v>
      </c>
      <c r="B58" s="19" t="n">
        <v>0.96</v>
      </c>
      <c r="C58" s="21" t="n">
        <v>4</v>
      </c>
      <c r="D58" s="21" t="n">
        <v>4</v>
      </c>
      <c r="E58" s="21" t="n">
        <v>4</v>
      </c>
      <c r="F58" s="21" t="n">
        <v>4</v>
      </c>
    </row>
    <row r="59" customFormat="false" ht="15" hidden="false" customHeight="false" outlineLevel="0" collapsed="false">
      <c r="A59" s="6" t="s">
        <v>165</v>
      </c>
      <c r="B59" s="19" t="n">
        <v>0.96</v>
      </c>
      <c r="C59" s="21" t="n">
        <v>2</v>
      </c>
      <c r="D59" s="21" t="n">
        <v>2</v>
      </c>
      <c r="E59" s="21" t="n">
        <v>2</v>
      </c>
      <c r="F59" s="21" t="n">
        <v>2</v>
      </c>
    </row>
    <row r="60" customFormat="false" ht="15" hidden="false" customHeight="false" outlineLevel="0" collapsed="false">
      <c r="A60" s="6" t="s">
        <v>166</v>
      </c>
      <c r="B60" s="19" t="n">
        <v>0.96</v>
      </c>
      <c r="C60" s="21" t="n">
        <v>2</v>
      </c>
      <c r="D60" s="21" t="n">
        <v>2</v>
      </c>
      <c r="E60" s="21" t="n">
        <v>2</v>
      </c>
      <c r="F60" s="21" t="n">
        <v>2</v>
      </c>
    </row>
    <row r="61" customFormat="false" ht="15" hidden="false" customHeight="false" outlineLevel="0" collapsed="false">
      <c r="A61" s="6" t="s">
        <v>167</v>
      </c>
      <c r="B61" s="19" t="n">
        <v>0.96</v>
      </c>
      <c r="C61" s="21" t="n">
        <v>4</v>
      </c>
      <c r="D61" s="21" t="n">
        <v>4</v>
      </c>
      <c r="E61" s="21" t="n">
        <v>4</v>
      </c>
      <c r="F61" s="21" t="n">
        <v>4</v>
      </c>
    </row>
    <row r="62" customFormat="false" ht="15" hidden="false" customHeight="false" outlineLevel="0" collapsed="false">
      <c r="A62" s="6" t="s">
        <v>168</v>
      </c>
      <c r="B62" s="19" t="n">
        <v>0.96</v>
      </c>
      <c r="C62" s="21" t="n">
        <v>1</v>
      </c>
      <c r="D62" s="21" t="n">
        <v>1</v>
      </c>
      <c r="E62" s="21" t="n">
        <v>1</v>
      </c>
      <c r="F62" s="21" t="n">
        <v>1</v>
      </c>
    </row>
    <row r="63" customFormat="false" ht="15" hidden="false" customHeight="false" outlineLevel="0" collapsed="false">
      <c r="A63" s="6" t="s">
        <v>169</v>
      </c>
      <c r="B63" s="19" t="n">
        <v>0.96</v>
      </c>
      <c r="C63" s="21" t="n">
        <v>1</v>
      </c>
      <c r="D63" s="21" t="n">
        <v>1</v>
      </c>
      <c r="E63" s="21" t="n">
        <v>1</v>
      </c>
      <c r="F63" s="21" t="n">
        <v>1</v>
      </c>
    </row>
    <row r="64" customFormat="false" ht="15" hidden="false" customHeight="false" outlineLevel="0" collapsed="false">
      <c r="A64" s="6" t="s">
        <v>170</v>
      </c>
      <c r="B64" s="19" t="n">
        <v>0.96</v>
      </c>
      <c r="C64" s="21" t="n">
        <v>0</v>
      </c>
      <c r="D64" s="21" t="n">
        <v>0</v>
      </c>
      <c r="E64" s="21" t="n">
        <v>0</v>
      </c>
      <c r="F64" s="21" t="n">
        <v>0</v>
      </c>
    </row>
    <row r="66" customFormat="false" ht="15" hidden="false" customHeight="false" outlineLevel="0" collapsed="false">
      <c r="A66" s="3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44"/>
    <col collapsed="false" customWidth="true" hidden="false" outlineLevel="0" max="5" min="5" style="0" width="15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3" t="s">
        <v>183</v>
      </c>
    </row>
    <row r="4" customFormat="false" ht="15" hidden="false" customHeight="false" outlineLevel="0" collapsed="false">
      <c r="D4" s="12" t="s">
        <v>171</v>
      </c>
      <c r="G4" s="7" t="n">
        <f aca="false">Enrollment!B21</f>
        <v>582</v>
      </c>
      <c r="H4" s="7" t="n">
        <f aca="false">Enrollment!C21</f>
        <v>591</v>
      </c>
      <c r="I4" s="7" t="n">
        <f aca="false">Enrollment!D21</f>
        <v>588</v>
      </c>
      <c r="J4" s="7" t="n">
        <f aca="false">Enrollment!E21</f>
        <v>583</v>
      </c>
      <c r="K4" s="7" t="n">
        <f aca="false">Enrollment!F21</f>
        <v>579</v>
      </c>
    </row>
    <row r="5" customFormat="false" ht="15" hidden="false" customHeight="false" outlineLevel="0" collapsed="false">
      <c r="D5" s="12" t="s">
        <v>184</v>
      </c>
      <c r="G5" s="29" t="n">
        <f aca="false">Enrollment!B24</f>
        <v>1</v>
      </c>
      <c r="H5" s="29" t="n">
        <f aca="false">Enrollment!C24</f>
        <v>1.0754776268461</v>
      </c>
      <c r="I5" s="29" t="n">
        <f aca="false">Enrollment!D24</f>
        <v>1.12003569058379</v>
      </c>
      <c r="J5" s="29" t="n">
        <f aca="false">Enrollment!E24</f>
        <v>1.16005511243256</v>
      </c>
      <c r="K5" s="29" t="n">
        <f aca="false">Enrollment!F24</f>
        <v>1.19918719690515</v>
      </c>
    </row>
    <row r="6" customFormat="false" ht="15" hidden="false" customHeight="false" outlineLevel="0" collapsed="false">
      <c r="D6" s="12" t="s">
        <v>185</v>
      </c>
      <c r="G6" s="11" t="n">
        <f aca="false">SUMIF($E$8:$E$400,"Salary",G$8:G$400)</f>
        <v>5098000</v>
      </c>
      <c r="H6" s="11" t="n">
        <f aca="false">G6*(1+Inputs!D$10)</f>
        <v>5250940</v>
      </c>
      <c r="I6" s="11" t="n">
        <f aca="false">H6*(1+Inputs!E$10)</f>
        <v>5408468.2</v>
      </c>
      <c r="J6" s="11" t="n">
        <f aca="false">I6*(1+Inputs!F$10)</f>
        <v>5570722.246</v>
      </c>
      <c r="K6" s="11" t="n">
        <f aca="false">J6*(1+Inputs!G$10)</f>
        <v>5737843.91338</v>
      </c>
    </row>
    <row r="7" customFormat="false" ht="30" hidden="false" customHeight="true" outlineLevel="0" collapsed="false">
      <c r="A7" s="4" t="s">
        <v>66</v>
      </c>
      <c r="B7" s="5" t="s">
        <v>186</v>
      </c>
      <c r="C7" s="5" t="s">
        <v>187</v>
      </c>
      <c r="D7" s="5" t="s">
        <v>188</v>
      </c>
      <c r="E7" s="5" t="s">
        <v>189</v>
      </c>
      <c r="F7" s="5" t="s">
        <v>190</v>
      </c>
      <c r="G7" s="5" t="str">
        <f aca="false">Inputs!C$4</f>
        <v>FY27</v>
      </c>
      <c r="H7" s="5" t="str">
        <f aca="false">Inputs!D$4</f>
        <v>FY28</v>
      </c>
      <c r="I7" s="5" t="str">
        <f aca="false">Inputs!E$4</f>
        <v>FY29</v>
      </c>
      <c r="J7" s="5" t="str">
        <f aca="false">Inputs!F$4</f>
        <v>FY30</v>
      </c>
      <c r="K7" s="5" t="str">
        <f aca="false">Inputs!G$4</f>
        <v>FY31</v>
      </c>
      <c r="L7" s="5" t="str">
        <f aca="false">"Manual "&amp;Inputs!D$4</f>
        <v>Manual FY28</v>
      </c>
      <c r="M7" s="5" t="str">
        <f aca="false">"Manual "&amp;Inputs!E$4</f>
        <v>Manual FY29</v>
      </c>
      <c r="N7" s="5" t="str">
        <f aca="false">"Manual "&amp;Inputs!F$4</f>
        <v>Manual FY30</v>
      </c>
      <c r="O7" s="5" t="str">
        <f aca="false">"Manual "&amp;Inputs!G$4</f>
        <v>Manual FY31</v>
      </c>
    </row>
    <row r="8" customFormat="false" ht="15" hidden="false" customHeight="false" outlineLevel="0" collapsed="false">
      <c r="A8" s="6" t="s">
        <v>191</v>
      </c>
      <c r="B8" s="6" t="s">
        <v>8</v>
      </c>
      <c r="C8" s="30" t="s">
        <v>192</v>
      </c>
      <c r="D8" s="6" t="s">
        <v>193</v>
      </c>
      <c r="E8" s="20" t="s">
        <v>194</v>
      </c>
      <c r="F8" s="20" t="s">
        <v>131</v>
      </c>
      <c r="G8" s="31" t="n">
        <f aca="false">SUMIFS('QB Import'!$B$1:$B$600,'QB Import'!$H$1:$H$600,$C8,'QB Import'!$G$1:$G$600,1)</f>
        <v>7858980</v>
      </c>
      <c r="H8" s="11" t="n">
        <f aca="false">IF($E8="Manual",L8,IF($E8="Flat",G8,IF($E8="Inflation",G8*(1+Inputs!D$12),IF($E8="Salary",G8*(1+Inputs!D$10),IF($E8="Benefits",G8*(1+Inputs!D$11),IF($E8="Per Student",G8*H$4/G$4*(1+Inputs!D$12),IF($E8="Enrollment",G8*H$4/G$4,IF($E8="Tuition Index",G8*H$5/G$5,IF($E8="% of Salaries",IF($G$6=0,0,$G8/$G$6*H$6),IF($E8="Debt",$G8*Inputs!D$15/12,IF($E8="Reserve Yield",Inputs!D$13*Inputs!D$16,IF($E8="Trend",IF(ISNUMBER(Trend!$Q47),Trend!$Q47,G8),G8))))))))))))</f>
        <v>8452157.15983095</v>
      </c>
      <c r="I8" s="11" t="n">
        <f aca="false">IF($E8="Manual",M8,IF($E8="Flat",H8,IF($E8="Inflation",H8*(1+Inputs!E$12),IF($E8="Salary",H8*(1+Inputs!E$10),IF($E8="Benefits",H8*(1+Inputs!E$11),IF($E8="Per Student",H8*I$4/H$4*(1+Inputs!E$12),IF($E8="Enrollment",H8*I$4/H$4,IF($E8="Tuition Index",H8*I$5/H$5,IF($E8="% of Salaries",IF($G$6=0,0,$G8/$G$6*I$6),IF($E8="Debt",$G8*Inputs!E$15/12,IF($E8="Reserve Yield",Inputs!E$13*Inputs!E$16,IF($E8="Trend",H8*(1+Inputs!E$12),H8))))))))))))</f>
        <v>8802338.09158419</v>
      </c>
      <c r="J8" s="11" t="n">
        <f aca="false">IF($E8="Manual",N8,IF($E8="Flat",I8,IF($E8="Inflation",I8*(1+Inputs!F$12),IF($E8="Salary",I8*(1+Inputs!F$10),IF($E8="Benefits",I8*(1+Inputs!F$11),IF($E8="Per Student",I8*J$4/I$4*(1+Inputs!F$12),IF($E8="Enrollment",I8*J$4/I$4,IF($E8="Tuition Index",I8*J$5/I$5,IF($E8="% of Salaries",IF($G$6=0,0,$G8/$G$6*J$6),IF($E8="Debt",$G8*Inputs!F$15/12,IF($E8="Reserve Yield",Inputs!F$13*Inputs!F$16,IF($E8="Trend",I8*(1+Inputs!F$12),I8))))))))))))</f>
        <v>9116849.92750523</v>
      </c>
      <c r="K8" s="11" t="n">
        <f aca="false">IF($E8="Manual",O8,IF($E8="Flat",J8,IF($E8="Inflation",J8*(1+Inputs!G$12),IF($E8="Salary",J8*(1+Inputs!G$10),IF($E8="Benefits",J8*(1+Inputs!G$11),IF($E8="Per Student",J8*K$4/J$4*(1+Inputs!G$12),IF($E8="Enrollment",J8*K$4/J$4,IF($E8="Tuition Index",J8*K$5/J$5,IF($E8="% of Salaries",IF($G$6=0,0,$G8/$G$6*K$6),IF($E8="Debt",$G8*Inputs!G$15/12,IF($E8="Reserve Yield",Inputs!G$13*Inputs!G$16,IF($E8="Trend",J8*(1+Inputs!G$12),J8))))))))))))</f>
        <v>9424388.19673365</v>
      </c>
      <c r="L8" s="22"/>
      <c r="M8" s="22"/>
      <c r="N8" s="22"/>
      <c r="O8" s="22"/>
    </row>
    <row r="9" customFormat="false" ht="15" hidden="false" customHeight="false" outlineLevel="0" collapsed="false">
      <c r="A9" s="6" t="s">
        <v>191</v>
      </c>
      <c r="B9" s="6" t="s">
        <v>8</v>
      </c>
      <c r="C9" s="30" t="s">
        <v>195</v>
      </c>
      <c r="D9" s="6" t="s">
        <v>196</v>
      </c>
      <c r="E9" s="20" t="s">
        <v>197</v>
      </c>
      <c r="F9" s="20" t="s">
        <v>131</v>
      </c>
      <c r="G9" s="31" t="n">
        <f aca="false">SUMIFS('QB Import'!$B$1:$B$600,'QB Import'!$H$1:$H$600,$C9,'QB Import'!$G$1:$G$600,1)</f>
        <v>410000</v>
      </c>
      <c r="H9" s="11" t="n">
        <f aca="false">IF($E9="Manual",L9,IF($E9="Flat",G9,IF($E9="Inflation",G9*(1+Inputs!D$12),IF($E9="Salary",G9*(1+Inputs!D$10),IF($E9="Benefits",G9*(1+Inputs!D$11),IF($E9="Per Student",G9*H$4/G$4*(1+Inputs!D$12),IF($E9="Enrollment",G9*H$4/G$4,IF($E9="Tuition Index",G9*H$5/G$5,IF($E9="% of Salaries",IF($G$6=0,0,$G9/$G$6*H$6),IF($E9="Debt",$G9*Inputs!D$15/12,IF($E9="Reserve Yield",Inputs!D$13*Inputs!D$16,IF($E9="Trend",IF(ISNUMBER(Trend!$Q48),Trend!$Q48,G9),G9))))))))))))</f>
        <v>380000</v>
      </c>
      <c r="I9" s="11" t="n">
        <f aca="false">IF($E9="Manual",M9,IF($E9="Flat",H9,IF($E9="Inflation",H9*(1+Inputs!E$12),IF($E9="Salary",H9*(1+Inputs!E$10),IF($E9="Benefits",H9*(1+Inputs!E$11),IF($E9="Per Student",H9*I$4/H$4*(1+Inputs!E$12),IF($E9="Enrollment",H9*I$4/H$4,IF($E9="Tuition Index",H9*I$5/H$5,IF($E9="% of Salaries",IF($G$6=0,0,$G9/$G$6*I$6),IF($E9="Debt",$G9*Inputs!E$15/12,IF($E9="Reserve Yield",Inputs!E$13*Inputs!E$16,IF($E9="Trend",H9*(1+Inputs!E$12),H9))))))))))))</f>
        <v>360000</v>
      </c>
      <c r="J9" s="11" t="n">
        <f aca="false">IF($E9="Manual",N9,IF($E9="Flat",I9,IF($E9="Inflation",I9*(1+Inputs!F$12),IF($E9="Salary",I9*(1+Inputs!F$10),IF($E9="Benefits",I9*(1+Inputs!F$11),IF($E9="Per Student",I9*J$4/I$4*(1+Inputs!F$12),IF($E9="Enrollment",I9*J$4/I$4,IF($E9="Tuition Index",I9*J$5/I$5,IF($E9="% of Salaries",IF($G$6=0,0,$G9/$G$6*J$6),IF($E9="Debt",$G9*Inputs!F$15/12,IF($E9="Reserve Yield",Inputs!F$13*Inputs!F$16,IF($E9="Trend",I9*(1+Inputs!F$12),I9))))))))))))</f>
        <v>360000</v>
      </c>
      <c r="K9" s="11" t="n">
        <f aca="false">IF($E9="Manual",O9,IF($E9="Flat",J9,IF($E9="Inflation",J9*(1+Inputs!G$12),IF($E9="Salary",J9*(1+Inputs!G$10),IF($E9="Benefits",J9*(1+Inputs!G$11),IF($E9="Per Student",J9*K$4/J$4*(1+Inputs!G$12),IF($E9="Enrollment",J9*K$4/J$4,IF($E9="Tuition Index",J9*K$5/J$5,IF($E9="% of Salaries",IF($G$6=0,0,$G9/$G$6*K$6),IF($E9="Debt",$G9*Inputs!G$15/12,IF($E9="Reserve Yield",Inputs!G$13*Inputs!G$16,IF($E9="Trend",J9*(1+Inputs!G$12),J9))))))))))))</f>
        <v>360000</v>
      </c>
      <c r="L9" s="22" t="n">
        <v>380000</v>
      </c>
      <c r="M9" s="22" t="n">
        <v>360000</v>
      </c>
      <c r="N9" s="22" t="n">
        <v>360000</v>
      </c>
      <c r="O9" s="22" t="n">
        <v>360000</v>
      </c>
    </row>
    <row r="10" customFormat="false" ht="15" hidden="false" customHeight="false" outlineLevel="0" collapsed="false">
      <c r="A10" s="6" t="s">
        <v>191</v>
      </c>
      <c r="B10" s="6" t="s">
        <v>8</v>
      </c>
      <c r="C10" s="30" t="s">
        <v>198</v>
      </c>
      <c r="D10" s="6" t="s">
        <v>199</v>
      </c>
      <c r="E10" s="20" t="s">
        <v>200</v>
      </c>
      <c r="F10" s="20" t="s">
        <v>131</v>
      </c>
      <c r="G10" s="31" t="n">
        <f aca="false">SUMIFS('QB Import'!$B$1:$B$600,'QB Import'!$H$1:$H$600,$C10,'QB Import'!$G$1:$G$600,1)</f>
        <v>616000</v>
      </c>
      <c r="H10" s="11" t="n">
        <f aca="false">IF($E10="Manual",L10,IF($E10="Flat",G10,IF($E10="Inflation",G10*(1+Inputs!D$12),IF($E10="Salary",G10*(1+Inputs!D$10),IF($E10="Benefits",G10*(1+Inputs!D$11),IF($E10="Per Student",G10*H$4/G$4*(1+Inputs!D$12),IF($E10="Enrollment",G10*H$4/G$4,IF($E10="Tuition Index",G10*H$5/G$5,IF($E10="% of Salaries",IF($G$6=0,0,$G10/$G$6*H$6),IF($E10="Debt",$G10*Inputs!D$15/12,IF($E10="Reserve Yield",Inputs!D$13*Inputs!D$16,IF($E10="Trend",IF(ISNUMBER(Trend!$Q49),Trend!$Q49,G10),G10))))))))))))</f>
        <v>616000</v>
      </c>
      <c r="I10" s="11" t="n">
        <f aca="false">IF($E10="Manual",M10,IF($E10="Flat",H10,IF($E10="Inflation",H10*(1+Inputs!E$12),IF($E10="Salary",H10*(1+Inputs!E$10),IF($E10="Benefits",H10*(1+Inputs!E$11),IF($E10="Per Student",H10*I$4/H$4*(1+Inputs!E$12),IF($E10="Enrollment",H10*I$4/H$4,IF($E10="Tuition Index",H10*I$5/H$5,IF($E10="% of Salaries",IF($G$6=0,0,$G10/$G$6*I$6),IF($E10="Debt",$G10*Inputs!E$15/12,IF($E10="Reserve Yield",Inputs!E$13*Inputs!E$16,IF($E10="Trend",H10*(1+Inputs!E$12),H10))))))))))))</f>
        <v>616000</v>
      </c>
      <c r="J10" s="11" t="n">
        <f aca="false">IF($E10="Manual",N10,IF($E10="Flat",I10,IF($E10="Inflation",I10*(1+Inputs!F$12),IF($E10="Salary",I10*(1+Inputs!F$10),IF($E10="Benefits",I10*(1+Inputs!F$11),IF($E10="Per Student",I10*J$4/I$4*(1+Inputs!F$12),IF($E10="Enrollment",I10*J$4/I$4,IF($E10="Tuition Index",I10*J$5/I$5,IF($E10="% of Salaries",IF($G$6=0,0,$G10/$G$6*J$6),IF($E10="Debt",$G10*Inputs!F$15/12,IF($E10="Reserve Yield",Inputs!F$13*Inputs!F$16,IF($E10="Trend",I10*(1+Inputs!F$12),I10))))))))))))</f>
        <v>616000</v>
      </c>
      <c r="K10" s="11" t="n">
        <f aca="false">IF($E10="Manual",O10,IF($E10="Flat",J10,IF($E10="Inflation",J10*(1+Inputs!G$12),IF($E10="Salary",J10*(1+Inputs!G$10),IF($E10="Benefits",J10*(1+Inputs!G$11),IF($E10="Per Student",J10*K$4/J$4*(1+Inputs!G$12),IF($E10="Enrollment",J10*K$4/J$4,IF($E10="Tuition Index",J10*K$5/J$5,IF($E10="% of Salaries",IF($G$6=0,0,$G10/$G$6*K$6),IF($E10="Debt",$G10*Inputs!G$15/12,IF($E10="Reserve Yield",Inputs!G$13*Inputs!G$16,IF($E10="Trend",J10*(1+Inputs!G$12),J10))))))))))))</f>
        <v>616000</v>
      </c>
      <c r="L10" s="22"/>
      <c r="M10" s="22"/>
      <c r="N10" s="22"/>
      <c r="O10" s="22"/>
    </row>
    <row r="11" customFormat="false" ht="15" hidden="false" customHeight="false" outlineLevel="0" collapsed="false">
      <c r="A11" s="6" t="s">
        <v>191</v>
      </c>
      <c r="B11" s="6" t="s">
        <v>8</v>
      </c>
      <c r="C11" s="30" t="s">
        <v>201</v>
      </c>
      <c r="D11" s="6" t="s">
        <v>202</v>
      </c>
      <c r="E11" s="20" t="s">
        <v>200</v>
      </c>
      <c r="F11" s="20" t="s">
        <v>131</v>
      </c>
      <c r="G11" s="31" t="n">
        <f aca="false">SUMIFS('QB Import'!$B$1:$B$600,'QB Import'!$H$1:$H$600,$C11,'QB Import'!$G$1:$G$600,1)</f>
        <v>0</v>
      </c>
      <c r="H11" s="11" t="n">
        <f aca="false">IF($E11="Manual",L11,IF($E11="Flat",G11,IF($E11="Inflation",G11*(1+Inputs!D$12),IF($E11="Salary",G11*(1+Inputs!D$10),IF($E11="Benefits",G11*(1+Inputs!D$11),IF($E11="Per Student",G11*H$4/G$4*(1+Inputs!D$12),IF($E11="Enrollment",G11*H$4/G$4,IF($E11="Tuition Index",G11*H$5/G$5,IF($E11="% of Salaries",IF($G$6=0,0,$G11/$G$6*H$6),IF($E11="Debt",$G11*Inputs!D$15/12,IF($E11="Reserve Yield",Inputs!D$13*Inputs!D$16,IF($E11="Trend",IF(ISNUMBER(Trend!$Q50),Trend!$Q50,G11),G11))))))))))))</f>
        <v>0</v>
      </c>
      <c r="I11" s="11" t="n">
        <f aca="false">IF($E11="Manual",M11,IF($E11="Flat",H11,IF($E11="Inflation",H11*(1+Inputs!E$12),IF($E11="Salary",H11*(1+Inputs!E$10),IF($E11="Benefits",H11*(1+Inputs!E$11),IF($E11="Per Student",H11*I$4/H$4*(1+Inputs!E$12),IF($E11="Enrollment",H11*I$4/H$4,IF($E11="Tuition Index",H11*I$5/H$5,IF($E11="% of Salaries",IF($G$6=0,0,$G11/$G$6*I$6),IF($E11="Debt",$G11*Inputs!E$15/12,IF($E11="Reserve Yield",Inputs!E$13*Inputs!E$16,IF($E11="Trend",H11*(1+Inputs!E$12),H11))))))))))))</f>
        <v>0</v>
      </c>
      <c r="J11" s="11" t="n">
        <f aca="false">IF($E11="Manual",N11,IF($E11="Flat",I11,IF($E11="Inflation",I11*(1+Inputs!F$12),IF($E11="Salary",I11*(1+Inputs!F$10),IF($E11="Benefits",I11*(1+Inputs!F$11),IF($E11="Per Student",I11*J$4/I$4*(1+Inputs!F$12),IF($E11="Enrollment",I11*J$4/I$4,IF($E11="Tuition Index",I11*J$5/I$5,IF($E11="% of Salaries",IF($G$6=0,0,$G11/$G$6*J$6),IF($E11="Debt",$G11*Inputs!F$15/12,IF($E11="Reserve Yield",Inputs!F$13*Inputs!F$16,IF($E11="Trend",I11*(1+Inputs!F$12),I11))))))))))))</f>
        <v>0</v>
      </c>
      <c r="K11" s="11" t="n">
        <f aca="false">IF($E11="Manual",O11,IF($E11="Flat",J11,IF($E11="Inflation",J11*(1+Inputs!G$12),IF($E11="Salary",J11*(1+Inputs!G$10),IF($E11="Benefits",J11*(1+Inputs!G$11),IF($E11="Per Student",J11*K$4/J$4*(1+Inputs!G$12),IF($E11="Enrollment",J11*K$4/J$4,IF($E11="Tuition Index",J11*K$5/J$5,IF($E11="% of Salaries",IF($G$6=0,0,$G11/$G$6*K$6),IF($E11="Debt",$G11*Inputs!G$15/12,IF($E11="Reserve Yield",Inputs!G$13*Inputs!G$16,IF($E11="Trend",J11*(1+Inputs!G$12),J11))))))))))))</f>
        <v>0</v>
      </c>
      <c r="L11" s="22"/>
      <c r="M11" s="22"/>
      <c r="N11" s="22"/>
      <c r="O11" s="22"/>
    </row>
    <row r="12" customFormat="false" ht="15" hidden="false" customHeight="false" outlineLevel="0" collapsed="false">
      <c r="A12" s="6" t="s">
        <v>191</v>
      </c>
      <c r="B12" s="6" t="s">
        <v>8</v>
      </c>
      <c r="C12" s="30" t="s">
        <v>203</v>
      </c>
      <c r="D12" s="6" t="s">
        <v>204</v>
      </c>
      <c r="E12" s="20" t="s">
        <v>197</v>
      </c>
      <c r="F12" s="20" t="s">
        <v>133</v>
      </c>
      <c r="G12" s="31" t="n">
        <f aca="false">SUMIFS('QB Import'!$B$1:$B$600,'QB Import'!$H$1:$H$600,$C12,'QB Import'!$G$1:$G$600,1)</f>
        <v>35000</v>
      </c>
      <c r="H12" s="11" t="n">
        <f aca="false">IF($E12="Manual",L12,IF($E12="Flat",G12,IF($E12="Inflation",G12*(1+Inputs!D$12),IF($E12="Salary",G12*(1+Inputs!D$10),IF($E12="Benefits",G12*(1+Inputs!D$11),IF($E12="Per Student",G12*H$4/G$4*(1+Inputs!D$12),IF($E12="Enrollment",G12*H$4/G$4,IF($E12="Tuition Index",G12*H$5/G$5,IF($E12="% of Salaries",IF($G$6=0,0,$G12/$G$6*H$6),IF($E12="Debt",$G12*Inputs!D$15/12,IF($E12="Reserve Yield",Inputs!D$13*Inputs!D$16,IF($E12="Trend",IF(ISNUMBER(Trend!$Q51),Trend!$Q51,G12),G12))))))))))))</f>
        <v>0</v>
      </c>
      <c r="I12" s="11" t="n">
        <f aca="false">IF($E12="Manual",M12,IF($E12="Flat",H12,IF($E12="Inflation",H12*(1+Inputs!E$12),IF($E12="Salary",H12*(1+Inputs!E$10),IF($E12="Benefits",H12*(1+Inputs!E$11),IF($E12="Per Student",H12*I$4/H$4*(1+Inputs!E$12),IF($E12="Enrollment",H12*I$4/H$4,IF($E12="Tuition Index",H12*I$5/H$5,IF($E12="% of Salaries",IF($G$6=0,0,$G12/$G$6*I$6),IF($E12="Debt",$G12*Inputs!E$15/12,IF($E12="Reserve Yield",Inputs!E$13*Inputs!E$16,IF($E12="Trend",H12*(1+Inputs!E$12),H12))))))))))))</f>
        <v>0</v>
      </c>
      <c r="J12" s="11" t="n">
        <f aca="false">IF($E12="Manual",N12,IF($E12="Flat",I12,IF($E12="Inflation",I12*(1+Inputs!F$12),IF($E12="Salary",I12*(1+Inputs!F$10),IF($E12="Benefits",I12*(1+Inputs!F$11),IF($E12="Per Student",I12*J$4/I$4*(1+Inputs!F$12),IF($E12="Enrollment",I12*J$4/I$4,IF($E12="Tuition Index",I12*J$5/I$5,IF($E12="% of Salaries",IF($G$6=0,0,$G12/$G$6*J$6),IF($E12="Debt",$G12*Inputs!F$15/12,IF($E12="Reserve Yield",Inputs!F$13*Inputs!F$16,IF($E12="Trend",I12*(1+Inputs!F$12),I12))))))))))))</f>
        <v>0</v>
      </c>
      <c r="K12" s="11" t="n">
        <f aca="false">IF($E12="Manual",O12,IF($E12="Flat",J12,IF($E12="Inflation",J12*(1+Inputs!G$12),IF($E12="Salary",J12*(1+Inputs!G$10),IF($E12="Benefits",J12*(1+Inputs!G$11),IF($E12="Per Student",J12*K$4/J$4*(1+Inputs!G$12),IF($E12="Enrollment",J12*K$4/J$4,IF($E12="Tuition Index",J12*K$5/J$5,IF($E12="% of Salaries",IF($G$6=0,0,$G12/$G$6*K$6),IF($E12="Debt",$G12*Inputs!G$15/12,IF($E12="Reserve Yield",Inputs!G$13*Inputs!G$16,IF($E12="Trend",J12*(1+Inputs!G$12),J12))))))))))))</f>
        <v>0</v>
      </c>
      <c r="L12" s="22" t="n">
        <v>0</v>
      </c>
      <c r="M12" s="22" t="n">
        <v>0</v>
      </c>
      <c r="N12" s="22" t="n">
        <v>0</v>
      </c>
      <c r="O12" s="22" t="n">
        <v>0</v>
      </c>
    </row>
    <row r="13" customFormat="false" ht="15" hidden="false" customHeight="false" outlineLevel="0" collapsed="false">
      <c r="A13" s="6" t="s">
        <v>191</v>
      </c>
      <c r="B13" s="6" t="s">
        <v>8</v>
      </c>
      <c r="C13" s="30" t="s">
        <v>205</v>
      </c>
      <c r="D13" s="6" t="s">
        <v>206</v>
      </c>
      <c r="E13" s="20" t="s">
        <v>207</v>
      </c>
      <c r="F13" s="20" t="s">
        <v>133</v>
      </c>
      <c r="G13" s="31" t="n">
        <f aca="false">SUMIFS('QB Import'!$B$1:$B$600,'QB Import'!$H$1:$H$600,$C13,'QB Import'!$G$1:$G$600,1)</f>
        <v>162300</v>
      </c>
      <c r="H13" s="11" t="n">
        <f aca="false">IF($E13="Manual",L13,IF($E13="Flat",G13,IF($E13="Inflation",G13*(1+Inputs!D$12),IF($E13="Salary",G13*(1+Inputs!D$10),IF($E13="Benefits",G13*(1+Inputs!D$11),IF($E13="Per Student",G13*H$4/G$4*(1+Inputs!D$12),IF($E13="Enrollment",G13*H$4/G$4,IF($E13="Tuition Index",G13*H$5/G$5,IF($E13="% of Salaries",IF($G$6=0,0,$G13/$G$6*H$6),IF($E13="Debt",$G13*Inputs!D$15/12,IF($E13="Reserve Yield",Inputs!D$13*Inputs!D$16,IF($E13="Trend",IF(ISNUMBER(Trend!$Q52),Trend!$Q52,G13),G13))))))))))))</f>
        <v>164809.793814433</v>
      </c>
      <c r="I13" s="11" t="n">
        <f aca="false">IF($E13="Manual",M13,IF($E13="Flat",H13,IF($E13="Inflation",H13*(1+Inputs!E$12),IF($E13="Salary",H13*(1+Inputs!E$10),IF($E13="Benefits",H13*(1+Inputs!E$11),IF($E13="Per Student",H13*I$4/H$4*(1+Inputs!E$12),IF($E13="Enrollment",H13*I$4/H$4,IF($E13="Tuition Index",H13*I$5/H$5,IF($E13="% of Salaries",IF($G$6=0,0,$G13/$G$6*I$6),IF($E13="Debt",$G13*Inputs!E$15/12,IF($E13="Reserve Yield",Inputs!E$13*Inputs!E$16,IF($E13="Trend",H13*(1+Inputs!E$12),H13))))))))))))</f>
        <v>163973.195876289</v>
      </c>
      <c r="J13" s="11" t="n">
        <f aca="false">IF($E13="Manual",N13,IF($E13="Flat",I13,IF($E13="Inflation",I13*(1+Inputs!F$12),IF($E13="Salary",I13*(1+Inputs!F$10),IF($E13="Benefits",I13*(1+Inputs!F$11),IF($E13="Per Student",I13*J$4/I$4*(1+Inputs!F$12),IF($E13="Enrollment",I13*J$4/I$4,IF($E13="Tuition Index",I13*J$5/I$5,IF($E13="% of Salaries",IF($G$6=0,0,$G13/$G$6*J$6),IF($E13="Debt",$G13*Inputs!F$15/12,IF($E13="Reserve Yield",Inputs!F$13*Inputs!F$16,IF($E13="Trend",I13*(1+Inputs!F$12),I13))))))))))))</f>
        <v>162578.865979381</v>
      </c>
      <c r="K13" s="11" t="n">
        <f aca="false">IF($E13="Manual",O13,IF($E13="Flat",J13,IF($E13="Inflation",J13*(1+Inputs!G$12),IF($E13="Salary",J13*(1+Inputs!G$10),IF($E13="Benefits",J13*(1+Inputs!G$11),IF($E13="Per Student",J13*K$4/J$4*(1+Inputs!G$12),IF($E13="Enrollment",J13*K$4/J$4,IF($E13="Tuition Index",J13*K$5/J$5,IF($E13="% of Salaries",IF($G$6=0,0,$G13/$G$6*K$6),IF($E13="Debt",$G13*Inputs!G$15/12,IF($E13="Reserve Yield",Inputs!G$13*Inputs!G$16,IF($E13="Trend",J13*(1+Inputs!G$12),J13))))))))))))</f>
        <v>161463.402061856</v>
      </c>
      <c r="L13" s="22"/>
      <c r="M13" s="22"/>
      <c r="N13" s="22"/>
      <c r="O13" s="22"/>
    </row>
    <row r="14" customFormat="false" ht="15" hidden="false" customHeight="false" outlineLevel="0" collapsed="false">
      <c r="A14" s="6" t="s">
        <v>191</v>
      </c>
      <c r="B14" s="6" t="s">
        <v>8</v>
      </c>
      <c r="C14" s="30" t="s">
        <v>208</v>
      </c>
      <c r="D14" s="6" t="s">
        <v>209</v>
      </c>
      <c r="E14" s="20" t="s">
        <v>207</v>
      </c>
      <c r="F14" s="20" t="s">
        <v>131</v>
      </c>
      <c r="G14" s="31" t="n">
        <f aca="false">SUMIFS('QB Import'!$B$1:$B$600,'QB Import'!$H$1:$H$600,$C14,'QB Import'!$G$1:$G$600,1)</f>
        <v>139000</v>
      </c>
      <c r="H14" s="11" t="n">
        <f aca="false">IF($E14="Manual",L14,IF($E14="Flat",G14,IF($E14="Inflation",G14*(1+Inputs!D$12),IF($E14="Salary",G14*(1+Inputs!D$10),IF($E14="Benefits",G14*(1+Inputs!D$11),IF($E14="Per Student",G14*H$4/G$4*(1+Inputs!D$12),IF($E14="Enrollment",G14*H$4/G$4,IF($E14="Tuition Index",G14*H$5/G$5,IF($E14="% of Salaries",IF($G$6=0,0,$G14/$G$6*H$6),IF($E14="Debt",$G14*Inputs!D$15/12,IF($E14="Reserve Yield",Inputs!D$13*Inputs!D$16,IF($E14="Trend",IF(ISNUMBER(Trend!$Q53),Trend!$Q53,G14),G14))))))))))))</f>
        <v>141149.484536082</v>
      </c>
      <c r="I14" s="11" t="n">
        <f aca="false">IF($E14="Manual",M14,IF($E14="Flat",H14,IF($E14="Inflation",H14*(1+Inputs!E$12),IF($E14="Salary",H14*(1+Inputs!E$10),IF($E14="Benefits",H14*(1+Inputs!E$11),IF($E14="Per Student",H14*I$4/H$4*(1+Inputs!E$12),IF($E14="Enrollment",H14*I$4/H$4,IF($E14="Tuition Index",H14*I$5/H$5,IF($E14="% of Salaries",IF($G$6=0,0,$G14/$G$6*I$6),IF($E14="Debt",$G14*Inputs!E$15/12,IF($E14="Reserve Yield",Inputs!E$13*Inputs!E$16,IF($E14="Trend",H14*(1+Inputs!E$12),H14))))))))))))</f>
        <v>140432.989690722</v>
      </c>
      <c r="J14" s="11" t="n">
        <f aca="false">IF($E14="Manual",N14,IF($E14="Flat",I14,IF($E14="Inflation",I14*(1+Inputs!F$12),IF($E14="Salary",I14*(1+Inputs!F$10),IF($E14="Benefits",I14*(1+Inputs!F$11),IF($E14="Per Student",I14*J$4/I$4*(1+Inputs!F$12),IF($E14="Enrollment",I14*J$4/I$4,IF($E14="Tuition Index",I14*J$5/I$5,IF($E14="% of Salaries",IF($G$6=0,0,$G14/$G$6*J$6),IF($E14="Debt",$G14*Inputs!F$15/12,IF($E14="Reserve Yield",Inputs!F$13*Inputs!F$16,IF($E14="Trend",I14*(1+Inputs!F$12),I14))))))))))))</f>
        <v>139238.83161512</v>
      </c>
      <c r="K14" s="11" t="n">
        <f aca="false">IF($E14="Manual",O14,IF($E14="Flat",J14,IF($E14="Inflation",J14*(1+Inputs!G$12),IF($E14="Salary",J14*(1+Inputs!G$10),IF($E14="Benefits",J14*(1+Inputs!G$11),IF($E14="Per Student",J14*K$4/J$4*(1+Inputs!G$12),IF($E14="Enrollment",J14*K$4/J$4,IF($E14="Tuition Index",J14*K$5/J$5,IF($E14="% of Salaries",IF($G$6=0,0,$G14/$G$6*K$6),IF($E14="Debt",$G14*Inputs!G$15/12,IF($E14="Reserve Yield",Inputs!G$13*Inputs!G$16,IF($E14="Trend",J14*(1+Inputs!G$12),J14))))))))))))</f>
        <v>138283.505154639</v>
      </c>
      <c r="L14" s="22"/>
      <c r="M14" s="22"/>
      <c r="N14" s="22"/>
      <c r="O14" s="22"/>
    </row>
    <row r="15" customFormat="false" ht="15" hidden="false" customHeight="false" outlineLevel="0" collapsed="false">
      <c r="A15" s="6" t="s">
        <v>191</v>
      </c>
      <c r="B15" s="6" t="s">
        <v>8</v>
      </c>
      <c r="C15" s="30" t="s">
        <v>210</v>
      </c>
      <c r="D15" s="6" t="s">
        <v>211</v>
      </c>
      <c r="E15" s="20" t="s">
        <v>200</v>
      </c>
      <c r="F15" s="20" t="s">
        <v>133</v>
      </c>
      <c r="G15" s="31" t="n">
        <f aca="false">SUMIFS('QB Import'!$B$1:$B$600,'QB Import'!$H$1:$H$600,$C15,'QB Import'!$G$1:$G$600,1)</f>
        <v>0</v>
      </c>
      <c r="H15" s="11" t="n">
        <f aca="false">IF($E15="Manual",L15,IF($E15="Flat",G15,IF($E15="Inflation",G15*(1+Inputs!D$12),IF($E15="Salary",G15*(1+Inputs!D$10),IF($E15="Benefits",G15*(1+Inputs!D$11),IF($E15="Per Student",G15*H$4/G$4*(1+Inputs!D$12),IF($E15="Enrollment",G15*H$4/G$4,IF($E15="Tuition Index",G15*H$5/G$5,IF($E15="% of Salaries",IF($G$6=0,0,$G15/$G$6*H$6),IF($E15="Debt",$G15*Inputs!D$15/12,IF($E15="Reserve Yield",Inputs!D$13*Inputs!D$16,IF($E15="Trend",IF(ISNUMBER(Trend!$Q54),Trend!$Q54,G15),G15))))))))))))</f>
        <v>0</v>
      </c>
      <c r="I15" s="11" t="n">
        <f aca="false">IF($E15="Manual",M15,IF($E15="Flat",H15,IF($E15="Inflation",H15*(1+Inputs!E$12),IF($E15="Salary",H15*(1+Inputs!E$10),IF($E15="Benefits",H15*(1+Inputs!E$11),IF($E15="Per Student",H15*I$4/H$4*(1+Inputs!E$12),IF($E15="Enrollment",H15*I$4/H$4,IF($E15="Tuition Index",H15*I$5/H$5,IF($E15="% of Salaries",IF($G$6=0,0,$G15/$G$6*I$6),IF($E15="Debt",$G15*Inputs!E$15/12,IF($E15="Reserve Yield",Inputs!E$13*Inputs!E$16,IF($E15="Trend",H15*(1+Inputs!E$12),H15))))))))))))</f>
        <v>0</v>
      </c>
      <c r="J15" s="11" t="n">
        <f aca="false">IF($E15="Manual",N15,IF($E15="Flat",I15,IF($E15="Inflation",I15*(1+Inputs!F$12),IF($E15="Salary",I15*(1+Inputs!F$10),IF($E15="Benefits",I15*(1+Inputs!F$11),IF($E15="Per Student",I15*J$4/I$4*(1+Inputs!F$12),IF($E15="Enrollment",I15*J$4/I$4,IF($E15="Tuition Index",I15*J$5/I$5,IF($E15="% of Salaries",IF($G$6=0,0,$G15/$G$6*J$6),IF($E15="Debt",$G15*Inputs!F$15/12,IF($E15="Reserve Yield",Inputs!F$13*Inputs!F$16,IF($E15="Trend",I15*(1+Inputs!F$12),I15))))))))))))</f>
        <v>0</v>
      </c>
      <c r="K15" s="11" t="n">
        <f aca="false">IF($E15="Manual",O15,IF($E15="Flat",J15,IF($E15="Inflation",J15*(1+Inputs!G$12),IF($E15="Salary",J15*(1+Inputs!G$10),IF($E15="Benefits",J15*(1+Inputs!G$11),IF($E15="Per Student",J15*K$4/J$4*(1+Inputs!G$12),IF($E15="Enrollment",J15*K$4/J$4,IF($E15="Tuition Index",J15*K$5/J$5,IF($E15="% of Salaries",IF($G$6=0,0,$G15/$G$6*K$6),IF($E15="Debt",$G15*Inputs!G$15/12,IF($E15="Reserve Yield",Inputs!G$13*Inputs!G$16,IF($E15="Trend",J15*(1+Inputs!G$12),J15))))))))))))</f>
        <v>0</v>
      </c>
      <c r="L15" s="22"/>
      <c r="M15" s="22"/>
      <c r="N15" s="22"/>
      <c r="O15" s="22"/>
    </row>
    <row r="16" customFormat="false" ht="15" hidden="false" customHeight="false" outlineLevel="0" collapsed="false">
      <c r="A16" s="6" t="s">
        <v>191</v>
      </c>
      <c r="B16" s="6" t="s">
        <v>8</v>
      </c>
      <c r="C16" s="30" t="s">
        <v>212</v>
      </c>
      <c r="D16" s="6" t="s">
        <v>213</v>
      </c>
      <c r="E16" s="20" t="s">
        <v>200</v>
      </c>
      <c r="F16" s="20" t="s">
        <v>133</v>
      </c>
      <c r="G16" s="31" t="n">
        <f aca="false">SUMIFS('QB Import'!$B$1:$B$600,'QB Import'!$H$1:$H$600,$C16,'QB Import'!$G$1:$G$600,1)</f>
        <v>0</v>
      </c>
      <c r="H16" s="11" t="n">
        <f aca="false">IF($E16="Manual",L16,IF($E16="Flat",G16,IF($E16="Inflation",G16*(1+Inputs!D$12),IF($E16="Salary",G16*(1+Inputs!D$10),IF($E16="Benefits",G16*(1+Inputs!D$11),IF($E16="Per Student",G16*H$4/G$4*(1+Inputs!D$12),IF($E16="Enrollment",G16*H$4/G$4,IF($E16="Tuition Index",G16*H$5/G$5,IF($E16="% of Salaries",IF($G$6=0,0,$G16/$G$6*H$6),IF($E16="Debt",$G16*Inputs!D$15/12,IF($E16="Reserve Yield",Inputs!D$13*Inputs!D$16,IF($E16="Trend",IF(ISNUMBER(Trend!$Q55),Trend!$Q55,G16),G16))))))))))))</f>
        <v>0</v>
      </c>
      <c r="I16" s="11" t="n">
        <f aca="false">IF($E16="Manual",M16,IF($E16="Flat",H16,IF($E16="Inflation",H16*(1+Inputs!E$12),IF($E16="Salary",H16*(1+Inputs!E$10),IF($E16="Benefits",H16*(1+Inputs!E$11),IF($E16="Per Student",H16*I$4/H$4*(1+Inputs!E$12),IF($E16="Enrollment",H16*I$4/H$4,IF($E16="Tuition Index",H16*I$5/H$5,IF($E16="% of Salaries",IF($G$6=0,0,$G16/$G$6*I$6),IF($E16="Debt",$G16*Inputs!E$15/12,IF($E16="Reserve Yield",Inputs!E$13*Inputs!E$16,IF($E16="Trend",H16*(1+Inputs!E$12),H16))))))))))))</f>
        <v>0</v>
      </c>
      <c r="J16" s="11" t="n">
        <f aca="false">IF($E16="Manual",N16,IF($E16="Flat",I16,IF($E16="Inflation",I16*(1+Inputs!F$12),IF($E16="Salary",I16*(1+Inputs!F$10),IF($E16="Benefits",I16*(1+Inputs!F$11),IF($E16="Per Student",I16*J$4/I$4*(1+Inputs!F$12),IF($E16="Enrollment",I16*J$4/I$4,IF($E16="Tuition Index",I16*J$5/I$5,IF($E16="% of Salaries",IF($G$6=0,0,$G16/$G$6*J$6),IF($E16="Debt",$G16*Inputs!F$15/12,IF($E16="Reserve Yield",Inputs!F$13*Inputs!F$16,IF($E16="Trend",I16*(1+Inputs!F$12),I16))))))))))))</f>
        <v>0</v>
      </c>
      <c r="K16" s="11" t="n">
        <f aca="false">IF($E16="Manual",O16,IF($E16="Flat",J16,IF($E16="Inflation",J16*(1+Inputs!G$12),IF($E16="Salary",J16*(1+Inputs!G$10),IF($E16="Benefits",J16*(1+Inputs!G$11),IF($E16="Per Student",J16*K$4/J$4*(1+Inputs!G$12),IF($E16="Enrollment",J16*K$4/J$4,IF($E16="Tuition Index",J16*K$5/J$5,IF($E16="% of Salaries",IF($G$6=0,0,$G16/$G$6*K$6),IF($E16="Debt",$G16*Inputs!G$15/12,IF($E16="Reserve Yield",Inputs!G$13*Inputs!G$16,IF($E16="Trend",J16*(1+Inputs!G$12),J16))))))))))))</f>
        <v>0</v>
      </c>
      <c r="L16" s="22"/>
      <c r="M16" s="22"/>
      <c r="N16" s="22"/>
      <c r="O16" s="22"/>
    </row>
    <row r="17" customFormat="false" ht="15" hidden="false" customHeight="false" outlineLevel="0" collapsed="false">
      <c r="A17" s="6" t="s">
        <v>191</v>
      </c>
      <c r="B17" s="6" t="s">
        <v>8</v>
      </c>
      <c r="C17" s="30" t="s">
        <v>214</v>
      </c>
      <c r="D17" s="6" t="s">
        <v>215</v>
      </c>
      <c r="E17" s="20" t="s">
        <v>200</v>
      </c>
      <c r="F17" s="20" t="s">
        <v>133</v>
      </c>
      <c r="G17" s="31" t="n">
        <f aca="false">SUMIFS('QB Import'!$B$1:$B$600,'QB Import'!$H$1:$H$600,$C17,'QB Import'!$G$1:$G$600,1)</f>
        <v>0</v>
      </c>
      <c r="H17" s="11" t="n">
        <f aca="false">IF($E17="Manual",L17,IF($E17="Flat",G17,IF($E17="Inflation",G17*(1+Inputs!D$12),IF($E17="Salary",G17*(1+Inputs!D$10),IF($E17="Benefits",G17*(1+Inputs!D$11),IF($E17="Per Student",G17*H$4/G$4*(1+Inputs!D$12),IF($E17="Enrollment",G17*H$4/G$4,IF($E17="Tuition Index",G17*H$5/G$5,IF($E17="% of Salaries",IF($G$6=0,0,$G17/$G$6*H$6),IF($E17="Debt",$G17*Inputs!D$15/12,IF($E17="Reserve Yield",Inputs!D$13*Inputs!D$16,IF($E17="Trend",IF(ISNUMBER(Trend!$Q56),Trend!$Q56,G17),G17))))))))))))</f>
        <v>0</v>
      </c>
      <c r="I17" s="11" t="n">
        <f aca="false">IF($E17="Manual",M17,IF($E17="Flat",H17,IF($E17="Inflation",H17*(1+Inputs!E$12),IF($E17="Salary",H17*(1+Inputs!E$10),IF($E17="Benefits",H17*(1+Inputs!E$11),IF($E17="Per Student",H17*I$4/H$4*(1+Inputs!E$12),IF($E17="Enrollment",H17*I$4/H$4,IF($E17="Tuition Index",H17*I$5/H$5,IF($E17="% of Salaries",IF($G$6=0,0,$G17/$G$6*I$6),IF($E17="Debt",$G17*Inputs!E$15/12,IF($E17="Reserve Yield",Inputs!E$13*Inputs!E$16,IF($E17="Trend",H17*(1+Inputs!E$12),H17))))))))))))</f>
        <v>0</v>
      </c>
      <c r="J17" s="11" t="n">
        <f aca="false">IF($E17="Manual",N17,IF($E17="Flat",I17,IF($E17="Inflation",I17*(1+Inputs!F$12),IF($E17="Salary",I17*(1+Inputs!F$10),IF($E17="Benefits",I17*(1+Inputs!F$11),IF($E17="Per Student",I17*J$4/I$4*(1+Inputs!F$12),IF($E17="Enrollment",I17*J$4/I$4,IF($E17="Tuition Index",I17*J$5/I$5,IF($E17="% of Salaries",IF($G$6=0,0,$G17/$G$6*J$6),IF($E17="Debt",$G17*Inputs!F$15/12,IF($E17="Reserve Yield",Inputs!F$13*Inputs!F$16,IF($E17="Trend",I17*(1+Inputs!F$12),I17))))))))))))</f>
        <v>0</v>
      </c>
      <c r="K17" s="11" t="n">
        <f aca="false">IF($E17="Manual",O17,IF($E17="Flat",J17,IF($E17="Inflation",J17*(1+Inputs!G$12),IF($E17="Salary",J17*(1+Inputs!G$10),IF($E17="Benefits",J17*(1+Inputs!G$11),IF($E17="Per Student",J17*K$4/J$4*(1+Inputs!G$12),IF($E17="Enrollment",J17*K$4/J$4,IF($E17="Tuition Index",J17*K$5/J$5,IF($E17="% of Salaries",IF($G$6=0,0,$G17/$G$6*K$6),IF($E17="Debt",$G17*Inputs!G$15/12,IF($E17="Reserve Yield",Inputs!G$13*Inputs!G$16,IF($E17="Trend",J17*(1+Inputs!G$12),J17))))))))))))</f>
        <v>0</v>
      </c>
      <c r="L17" s="22"/>
      <c r="M17" s="22"/>
      <c r="N17" s="22"/>
      <c r="O17" s="22"/>
    </row>
    <row r="18" customFormat="false" ht="15" hidden="false" customHeight="false" outlineLevel="0" collapsed="false">
      <c r="A18" s="6" t="s">
        <v>191</v>
      </c>
      <c r="B18" s="6" t="s">
        <v>8</v>
      </c>
      <c r="C18" s="30" t="s">
        <v>216</v>
      </c>
      <c r="D18" s="6" t="s">
        <v>217</v>
      </c>
      <c r="E18" s="20" t="s">
        <v>200</v>
      </c>
      <c r="F18" s="20" t="s">
        <v>133</v>
      </c>
      <c r="G18" s="31" t="n">
        <f aca="false">SUMIFS('QB Import'!$B$1:$B$600,'QB Import'!$H$1:$H$600,$C18,'QB Import'!$G$1:$G$600,1)</f>
        <v>0</v>
      </c>
      <c r="H18" s="11" t="n">
        <f aca="false">IF($E18="Manual",L18,IF($E18="Flat",G18,IF($E18="Inflation",G18*(1+Inputs!D$12),IF($E18="Salary",G18*(1+Inputs!D$10),IF($E18="Benefits",G18*(1+Inputs!D$11),IF($E18="Per Student",G18*H$4/G$4*(1+Inputs!D$12),IF($E18="Enrollment",G18*H$4/G$4,IF($E18="Tuition Index",G18*H$5/G$5,IF($E18="% of Salaries",IF($G$6=0,0,$G18/$G$6*H$6),IF($E18="Debt",$G18*Inputs!D$15/12,IF($E18="Reserve Yield",Inputs!D$13*Inputs!D$16,IF($E18="Trend",IF(ISNUMBER(Trend!$Q57),Trend!$Q57,G18),G18))))))))))))</f>
        <v>0</v>
      </c>
      <c r="I18" s="11" t="n">
        <f aca="false">IF($E18="Manual",M18,IF($E18="Flat",H18,IF($E18="Inflation",H18*(1+Inputs!E$12),IF($E18="Salary",H18*(1+Inputs!E$10),IF($E18="Benefits",H18*(1+Inputs!E$11),IF($E18="Per Student",H18*I$4/H$4*(1+Inputs!E$12),IF($E18="Enrollment",H18*I$4/H$4,IF($E18="Tuition Index",H18*I$5/H$5,IF($E18="% of Salaries",IF($G$6=0,0,$G18/$G$6*I$6),IF($E18="Debt",$G18*Inputs!E$15/12,IF($E18="Reserve Yield",Inputs!E$13*Inputs!E$16,IF($E18="Trend",H18*(1+Inputs!E$12),H18))))))))))))</f>
        <v>0</v>
      </c>
      <c r="J18" s="11" t="n">
        <f aca="false">IF($E18="Manual",N18,IF($E18="Flat",I18,IF($E18="Inflation",I18*(1+Inputs!F$12),IF($E18="Salary",I18*(1+Inputs!F$10),IF($E18="Benefits",I18*(1+Inputs!F$11),IF($E18="Per Student",I18*J$4/I$4*(1+Inputs!F$12),IF($E18="Enrollment",I18*J$4/I$4,IF($E18="Tuition Index",I18*J$5/I$5,IF($E18="% of Salaries",IF($G$6=0,0,$G18/$G$6*J$6),IF($E18="Debt",$G18*Inputs!F$15/12,IF($E18="Reserve Yield",Inputs!F$13*Inputs!F$16,IF($E18="Trend",I18*(1+Inputs!F$12),I18))))))))))))</f>
        <v>0</v>
      </c>
      <c r="K18" s="11" t="n">
        <f aca="false">IF($E18="Manual",O18,IF($E18="Flat",J18,IF($E18="Inflation",J18*(1+Inputs!G$12),IF($E18="Salary",J18*(1+Inputs!G$10),IF($E18="Benefits",J18*(1+Inputs!G$11),IF($E18="Per Student",J18*K$4/J$4*(1+Inputs!G$12),IF($E18="Enrollment",J18*K$4/J$4,IF($E18="Tuition Index",J18*K$5/J$5,IF($E18="% of Salaries",IF($G$6=0,0,$G18/$G$6*K$6),IF($E18="Debt",$G18*Inputs!G$15/12,IF($E18="Reserve Yield",Inputs!G$13*Inputs!G$16,IF($E18="Trend",J18*(1+Inputs!G$12),J18))))))))))))</f>
        <v>0</v>
      </c>
      <c r="L18" s="22"/>
      <c r="M18" s="22"/>
      <c r="N18" s="22"/>
      <c r="O18" s="22"/>
    </row>
    <row r="19" customFormat="false" ht="15" hidden="false" customHeight="false" outlineLevel="0" collapsed="false">
      <c r="A19" s="6" t="s">
        <v>191</v>
      </c>
      <c r="B19" s="6" t="s">
        <v>8</v>
      </c>
      <c r="C19" s="30" t="s">
        <v>218</v>
      </c>
      <c r="D19" s="6" t="s">
        <v>219</v>
      </c>
      <c r="E19" s="20" t="s">
        <v>197</v>
      </c>
      <c r="F19" s="20" t="s">
        <v>132</v>
      </c>
      <c r="G19" s="31" t="n">
        <f aca="false">SUMIFS('QB Import'!$B$1:$B$600,'QB Import'!$H$1:$H$600,$C19,'QB Import'!$G$1:$G$600,1)</f>
        <v>9300</v>
      </c>
      <c r="H19" s="11" t="n">
        <f aca="false">IF($E19="Manual",L19,IF($E19="Flat",G19,IF($E19="Inflation",G19*(1+Inputs!D$12),IF($E19="Salary",G19*(1+Inputs!D$10),IF($E19="Benefits",G19*(1+Inputs!D$11),IF($E19="Per Student",G19*H$4/G$4*(1+Inputs!D$12),IF($E19="Enrollment",G19*H$4/G$4,IF($E19="Tuition Index",G19*H$5/G$5,IF($E19="% of Salaries",IF($G$6=0,0,$G19/$G$6*H$6),IF($E19="Debt",$G19*Inputs!D$15/12,IF($E19="Reserve Yield",Inputs!D$13*Inputs!D$16,IF($E19="Trend",IF(ISNUMBER(Trend!$Q58),Trend!$Q58,G19),G19))))))))))))</f>
        <v>3000</v>
      </c>
      <c r="I19" s="11" t="n">
        <f aca="false">IF($E19="Manual",M19,IF($E19="Flat",H19,IF($E19="Inflation",H19*(1+Inputs!E$12),IF($E19="Salary",H19*(1+Inputs!E$10),IF($E19="Benefits",H19*(1+Inputs!E$11),IF($E19="Per Student",H19*I$4/H$4*(1+Inputs!E$12),IF($E19="Enrollment",H19*I$4/H$4,IF($E19="Tuition Index",H19*I$5/H$5,IF($E19="% of Salaries",IF($G$6=0,0,$G19/$G$6*I$6),IF($E19="Debt",$G19*Inputs!E$15/12,IF($E19="Reserve Yield",Inputs!E$13*Inputs!E$16,IF($E19="Trend",H19*(1+Inputs!E$12),H19))))))))))))</f>
        <v>3000</v>
      </c>
      <c r="J19" s="11" t="n">
        <f aca="false">IF($E19="Manual",N19,IF($E19="Flat",I19,IF($E19="Inflation",I19*(1+Inputs!F$12),IF($E19="Salary",I19*(1+Inputs!F$10),IF($E19="Benefits",I19*(1+Inputs!F$11),IF($E19="Per Student",I19*J$4/I$4*(1+Inputs!F$12),IF($E19="Enrollment",I19*J$4/I$4,IF($E19="Tuition Index",I19*J$5/I$5,IF($E19="% of Salaries",IF($G$6=0,0,$G19/$G$6*J$6),IF($E19="Debt",$G19*Inputs!F$15/12,IF($E19="Reserve Yield",Inputs!F$13*Inputs!F$16,IF($E19="Trend",I19*(1+Inputs!F$12),I19))))))))))))</f>
        <v>3000</v>
      </c>
      <c r="K19" s="11" t="n">
        <f aca="false">IF($E19="Manual",O19,IF($E19="Flat",J19,IF($E19="Inflation",J19*(1+Inputs!G$12),IF($E19="Salary",J19*(1+Inputs!G$10),IF($E19="Benefits",J19*(1+Inputs!G$11),IF($E19="Per Student",J19*K$4/J$4*(1+Inputs!G$12),IF($E19="Enrollment",J19*K$4/J$4,IF($E19="Tuition Index",J19*K$5/J$5,IF($E19="% of Salaries",IF($G$6=0,0,$G19/$G$6*K$6),IF($E19="Debt",$G19*Inputs!G$15/12,IF($E19="Reserve Yield",Inputs!G$13*Inputs!G$16,IF($E19="Trend",J19*(1+Inputs!G$12),J19))))))))))))</f>
        <v>3000</v>
      </c>
      <c r="L19" s="22" t="n">
        <v>3000</v>
      </c>
      <c r="M19" s="22" t="n">
        <v>3000</v>
      </c>
      <c r="N19" s="22" t="n">
        <v>3000</v>
      </c>
      <c r="O19" s="22" t="n">
        <v>3000</v>
      </c>
    </row>
    <row r="20" customFormat="false" ht="15" hidden="false" customHeight="false" outlineLevel="0" collapsed="false">
      <c r="A20" s="6" t="s">
        <v>191</v>
      </c>
      <c r="B20" s="6" t="s">
        <v>8</v>
      </c>
      <c r="C20" s="30" t="s">
        <v>220</v>
      </c>
      <c r="D20" s="6" t="s">
        <v>221</v>
      </c>
      <c r="E20" s="20" t="s">
        <v>200</v>
      </c>
      <c r="F20" s="20" t="s">
        <v>132</v>
      </c>
      <c r="G20" s="31" t="n">
        <f aca="false">SUMIFS('QB Import'!$B$1:$B$600,'QB Import'!$H$1:$H$600,$C20,'QB Import'!$G$1:$G$600,1)</f>
        <v>0</v>
      </c>
      <c r="H20" s="11" t="n">
        <f aca="false">IF($E20="Manual",L20,IF($E20="Flat",G20,IF($E20="Inflation",G20*(1+Inputs!D$12),IF($E20="Salary",G20*(1+Inputs!D$10),IF($E20="Benefits",G20*(1+Inputs!D$11),IF($E20="Per Student",G20*H$4/G$4*(1+Inputs!D$12),IF($E20="Enrollment",G20*H$4/G$4,IF($E20="Tuition Index",G20*H$5/G$5,IF($E20="% of Salaries",IF($G$6=0,0,$G20/$G$6*H$6),IF($E20="Debt",$G20*Inputs!D$15/12,IF($E20="Reserve Yield",Inputs!D$13*Inputs!D$16,IF($E20="Trend",IF(ISNUMBER(Trend!$Q59),Trend!$Q59,G20),G20))))))))))))</f>
        <v>0</v>
      </c>
      <c r="I20" s="11" t="n">
        <f aca="false">IF($E20="Manual",M20,IF($E20="Flat",H20,IF($E20="Inflation",H20*(1+Inputs!E$12),IF($E20="Salary",H20*(1+Inputs!E$10),IF($E20="Benefits",H20*(1+Inputs!E$11),IF($E20="Per Student",H20*I$4/H$4*(1+Inputs!E$12),IF($E20="Enrollment",H20*I$4/H$4,IF($E20="Tuition Index",H20*I$5/H$5,IF($E20="% of Salaries",IF($G$6=0,0,$G20/$G$6*I$6),IF($E20="Debt",$G20*Inputs!E$15/12,IF($E20="Reserve Yield",Inputs!E$13*Inputs!E$16,IF($E20="Trend",H20*(1+Inputs!E$12),H20))))))))))))</f>
        <v>0</v>
      </c>
      <c r="J20" s="11" t="n">
        <f aca="false">IF($E20="Manual",N20,IF($E20="Flat",I20,IF($E20="Inflation",I20*(1+Inputs!F$12),IF($E20="Salary",I20*(1+Inputs!F$10),IF($E20="Benefits",I20*(1+Inputs!F$11),IF($E20="Per Student",I20*J$4/I$4*(1+Inputs!F$12),IF($E20="Enrollment",I20*J$4/I$4,IF($E20="Tuition Index",I20*J$5/I$5,IF($E20="% of Salaries",IF($G$6=0,0,$G20/$G$6*J$6),IF($E20="Debt",$G20*Inputs!F$15/12,IF($E20="Reserve Yield",Inputs!F$13*Inputs!F$16,IF($E20="Trend",I20*(1+Inputs!F$12),I20))))))))))))</f>
        <v>0</v>
      </c>
      <c r="K20" s="11" t="n">
        <f aca="false">IF($E20="Manual",O20,IF($E20="Flat",J20,IF($E20="Inflation",J20*(1+Inputs!G$12),IF($E20="Salary",J20*(1+Inputs!G$10),IF($E20="Benefits",J20*(1+Inputs!G$11),IF($E20="Per Student",J20*K$4/J$4*(1+Inputs!G$12),IF($E20="Enrollment",J20*K$4/J$4,IF($E20="Tuition Index",J20*K$5/J$5,IF($E20="% of Salaries",IF($G$6=0,0,$G20/$G$6*K$6),IF($E20="Debt",$G20*Inputs!G$15/12,IF($E20="Reserve Yield",Inputs!G$13*Inputs!G$16,IF($E20="Trend",J20*(1+Inputs!G$12),J20))))))))))))</f>
        <v>0</v>
      </c>
      <c r="L20" s="22"/>
      <c r="M20" s="22"/>
      <c r="N20" s="22"/>
      <c r="O20" s="22"/>
    </row>
    <row r="21" customFormat="false" ht="15" hidden="false" customHeight="false" outlineLevel="0" collapsed="false">
      <c r="A21" s="6" t="s">
        <v>191</v>
      </c>
      <c r="B21" s="6" t="s">
        <v>8</v>
      </c>
      <c r="C21" s="30" t="s">
        <v>222</v>
      </c>
      <c r="D21" s="6" t="s">
        <v>223</v>
      </c>
      <c r="E21" s="20" t="s">
        <v>200</v>
      </c>
      <c r="F21" s="20" t="s">
        <v>132</v>
      </c>
      <c r="G21" s="31" t="n">
        <f aca="false">SUMIFS('QB Import'!$B$1:$B$600,'QB Import'!$H$1:$H$600,$C21,'QB Import'!$G$1:$G$600,1)</f>
        <v>0</v>
      </c>
      <c r="H21" s="11" t="n">
        <f aca="false">IF($E21="Manual",L21,IF($E21="Flat",G21,IF($E21="Inflation",G21*(1+Inputs!D$12),IF($E21="Salary",G21*(1+Inputs!D$10),IF($E21="Benefits",G21*(1+Inputs!D$11),IF($E21="Per Student",G21*H$4/G$4*(1+Inputs!D$12),IF($E21="Enrollment",G21*H$4/G$4,IF($E21="Tuition Index",G21*H$5/G$5,IF($E21="% of Salaries",IF($G$6=0,0,$G21/$G$6*H$6),IF($E21="Debt",$G21*Inputs!D$15/12,IF($E21="Reserve Yield",Inputs!D$13*Inputs!D$16,IF($E21="Trend",IF(ISNUMBER(Trend!$Q60),Trend!$Q60,G21),G21))))))))))))</f>
        <v>0</v>
      </c>
      <c r="I21" s="11" t="n">
        <f aca="false">IF($E21="Manual",M21,IF($E21="Flat",H21,IF($E21="Inflation",H21*(1+Inputs!E$12),IF($E21="Salary",H21*(1+Inputs!E$10),IF($E21="Benefits",H21*(1+Inputs!E$11),IF($E21="Per Student",H21*I$4/H$4*(1+Inputs!E$12),IF($E21="Enrollment",H21*I$4/H$4,IF($E21="Tuition Index",H21*I$5/H$5,IF($E21="% of Salaries",IF($G$6=0,0,$G21/$G$6*I$6),IF($E21="Debt",$G21*Inputs!E$15/12,IF($E21="Reserve Yield",Inputs!E$13*Inputs!E$16,IF($E21="Trend",H21*(1+Inputs!E$12),H21))))))))))))</f>
        <v>0</v>
      </c>
      <c r="J21" s="11" t="n">
        <f aca="false">IF($E21="Manual",N21,IF($E21="Flat",I21,IF($E21="Inflation",I21*(1+Inputs!F$12),IF($E21="Salary",I21*(1+Inputs!F$10),IF($E21="Benefits",I21*(1+Inputs!F$11),IF($E21="Per Student",I21*J$4/I$4*(1+Inputs!F$12),IF($E21="Enrollment",I21*J$4/I$4,IF($E21="Tuition Index",I21*J$5/I$5,IF($E21="% of Salaries",IF($G$6=0,0,$G21/$G$6*J$6),IF($E21="Debt",$G21*Inputs!F$15/12,IF($E21="Reserve Yield",Inputs!F$13*Inputs!F$16,IF($E21="Trend",I21*(1+Inputs!F$12),I21))))))))))))</f>
        <v>0</v>
      </c>
      <c r="K21" s="11" t="n">
        <f aca="false">IF($E21="Manual",O21,IF($E21="Flat",J21,IF($E21="Inflation",J21*(1+Inputs!G$12),IF($E21="Salary",J21*(1+Inputs!G$10),IF($E21="Benefits",J21*(1+Inputs!G$11),IF($E21="Per Student",J21*K$4/J$4*(1+Inputs!G$12),IF($E21="Enrollment",J21*K$4/J$4,IF($E21="Tuition Index",J21*K$5/J$5,IF($E21="% of Salaries",IF($G$6=0,0,$G21/$G$6*K$6),IF($E21="Debt",$G21*Inputs!G$15/12,IF($E21="Reserve Yield",Inputs!G$13*Inputs!G$16,IF($E21="Trend",J21*(1+Inputs!G$12),J21))))))))))))</f>
        <v>0</v>
      </c>
      <c r="L21" s="22"/>
      <c r="M21" s="22"/>
      <c r="N21" s="22"/>
      <c r="O21" s="22"/>
    </row>
    <row r="22" customFormat="false" ht="15" hidden="false" customHeight="false" outlineLevel="0" collapsed="false">
      <c r="A22" s="6" t="s">
        <v>191</v>
      </c>
      <c r="B22" s="6" t="s">
        <v>8</v>
      </c>
      <c r="C22" s="30" t="s">
        <v>224</v>
      </c>
      <c r="D22" s="6" t="s">
        <v>225</v>
      </c>
      <c r="E22" s="20" t="s">
        <v>200</v>
      </c>
      <c r="F22" s="20" t="s">
        <v>131</v>
      </c>
      <c r="G22" s="31" t="n">
        <f aca="false">SUMIFS('QB Import'!$B$1:$B$600,'QB Import'!$H$1:$H$600,$C22,'QB Import'!$G$1:$G$600,1)</f>
        <v>-16070</v>
      </c>
      <c r="H22" s="11" t="n">
        <f aca="false">IF($E22="Manual",L22,IF($E22="Flat",G22,IF($E22="Inflation",G22*(1+Inputs!D$12),IF($E22="Salary",G22*(1+Inputs!D$10),IF($E22="Benefits",G22*(1+Inputs!D$11),IF($E22="Per Student",G22*H$4/G$4*(1+Inputs!D$12),IF($E22="Enrollment",G22*H$4/G$4,IF($E22="Tuition Index",G22*H$5/G$5,IF($E22="% of Salaries",IF($G$6=0,0,$G22/$G$6*H$6),IF($E22="Debt",$G22*Inputs!D$15/12,IF($E22="Reserve Yield",Inputs!D$13*Inputs!D$16,IF($E22="Trend",IF(ISNUMBER(Trend!$Q61),Trend!$Q61,G22),G22))))))))))))</f>
        <v>-16070</v>
      </c>
      <c r="I22" s="11" t="n">
        <f aca="false">IF($E22="Manual",M22,IF($E22="Flat",H22,IF($E22="Inflation",H22*(1+Inputs!E$12),IF($E22="Salary",H22*(1+Inputs!E$10),IF($E22="Benefits",H22*(1+Inputs!E$11),IF($E22="Per Student",H22*I$4/H$4*(1+Inputs!E$12),IF($E22="Enrollment",H22*I$4/H$4,IF($E22="Tuition Index",H22*I$5/H$5,IF($E22="% of Salaries",IF($G$6=0,0,$G22/$G$6*I$6),IF($E22="Debt",$G22*Inputs!E$15/12,IF($E22="Reserve Yield",Inputs!E$13*Inputs!E$16,IF($E22="Trend",H22*(1+Inputs!E$12),H22))))))))))))</f>
        <v>-16070</v>
      </c>
      <c r="J22" s="11" t="n">
        <f aca="false">IF($E22="Manual",N22,IF($E22="Flat",I22,IF($E22="Inflation",I22*(1+Inputs!F$12),IF($E22="Salary",I22*(1+Inputs!F$10),IF($E22="Benefits",I22*(1+Inputs!F$11),IF($E22="Per Student",I22*J$4/I$4*(1+Inputs!F$12),IF($E22="Enrollment",I22*J$4/I$4,IF($E22="Tuition Index",I22*J$5/I$5,IF($E22="% of Salaries",IF($G$6=0,0,$G22/$G$6*J$6),IF($E22="Debt",$G22*Inputs!F$15/12,IF($E22="Reserve Yield",Inputs!F$13*Inputs!F$16,IF($E22="Trend",I22*(1+Inputs!F$12),I22))))))))))))</f>
        <v>-16070</v>
      </c>
      <c r="K22" s="11" t="n">
        <f aca="false">IF($E22="Manual",O22,IF($E22="Flat",J22,IF($E22="Inflation",J22*(1+Inputs!G$12),IF($E22="Salary",J22*(1+Inputs!G$10),IF($E22="Benefits",J22*(1+Inputs!G$11),IF($E22="Per Student",J22*K$4/J$4*(1+Inputs!G$12),IF($E22="Enrollment",J22*K$4/J$4,IF($E22="Tuition Index",J22*K$5/J$5,IF($E22="% of Salaries",IF($G$6=0,0,$G22/$G$6*K$6),IF($E22="Debt",$G22*Inputs!G$15/12,IF($E22="Reserve Yield",Inputs!G$13*Inputs!G$16,IF($E22="Trend",J22*(1+Inputs!G$12),J22))))))))))))</f>
        <v>-16070</v>
      </c>
      <c r="L22" s="22"/>
      <c r="M22" s="22"/>
      <c r="N22" s="22"/>
      <c r="O22" s="22"/>
    </row>
    <row r="23" customFormat="false" ht="15" hidden="false" customHeight="false" outlineLevel="0" collapsed="false">
      <c r="A23" s="6" t="s">
        <v>191</v>
      </c>
      <c r="B23" s="6" t="s">
        <v>8</v>
      </c>
      <c r="C23" s="30" t="s">
        <v>226</v>
      </c>
      <c r="D23" s="6" t="s">
        <v>227</v>
      </c>
      <c r="E23" s="20" t="s">
        <v>197</v>
      </c>
      <c r="F23" s="20" t="s">
        <v>131</v>
      </c>
      <c r="G23" s="31" t="n">
        <f aca="false">SUMIFS('QB Import'!$B$1:$B$600,'QB Import'!$H$1:$H$600,$C23,'QB Import'!$G$1:$G$600,1)</f>
        <v>-300000</v>
      </c>
      <c r="H23" s="11" t="n">
        <f aca="false">IF($E23="Manual",L23,IF($E23="Flat",G23,IF($E23="Inflation",G23*(1+Inputs!D$12),IF($E23="Salary",G23*(1+Inputs!D$10),IF($E23="Benefits",G23*(1+Inputs!D$11),IF($E23="Per Student",G23*H$4/G$4*(1+Inputs!D$12),IF($E23="Enrollment",G23*H$4/G$4,IF($E23="Tuition Index",G23*H$5/G$5,IF($E23="% of Salaries",IF($G$6=0,0,$G23/$G$6*H$6),IF($E23="Debt",$G23*Inputs!D$15/12,IF($E23="Reserve Yield",Inputs!D$13*Inputs!D$16,IF($E23="Trend",IF(ISNUMBER(Trend!$Q62),Trend!$Q62,G23),G23))))))))))))</f>
        <v>-325000</v>
      </c>
      <c r="I23" s="11" t="n">
        <f aca="false">IF($E23="Manual",M23,IF($E23="Flat",H23,IF($E23="Inflation",H23*(1+Inputs!E$12),IF($E23="Salary",H23*(1+Inputs!E$10),IF($E23="Benefits",H23*(1+Inputs!E$11),IF($E23="Per Student",H23*I$4/H$4*(1+Inputs!E$12),IF($E23="Enrollment",H23*I$4/H$4,IF($E23="Tuition Index",H23*I$5/H$5,IF($E23="% of Salaries",IF($G$6=0,0,$G23/$G$6*I$6),IF($E23="Debt",$G23*Inputs!E$15/12,IF($E23="Reserve Yield",Inputs!E$13*Inputs!E$16,IF($E23="Trend",H23*(1+Inputs!E$12),H23))))))))))))</f>
        <v>-325000</v>
      </c>
      <c r="J23" s="11" t="n">
        <f aca="false">IF($E23="Manual",N23,IF($E23="Flat",I23,IF($E23="Inflation",I23*(1+Inputs!F$12),IF($E23="Salary",I23*(1+Inputs!F$10),IF($E23="Benefits",I23*(1+Inputs!F$11),IF($E23="Per Student",I23*J$4/I$4*(1+Inputs!F$12),IF($E23="Enrollment",I23*J$4/I$4,IF($E23="Tuition Index",I23*J$5/I$5,IF($E23="% of Salaries",IF($G$6=0,0,$G23/$G$6*J$6),IF($E23="Debt",$G23*Inputs!F$15/12,IF($E23="Reserve Yield",Inputs!F$13*Inputs!F$16,IF($E23="Trend",I23*(1+Inputs!F$12),I23))))))))))))</f>
        <v>-325000</v>
      </c>
      <c r="K23" s="11" t="n">
        <f aca="false">IF($E23="Manual",O23,IF($E23="Flat",J23,IF($E23="Inflation",J23*(1+Inputs!G$12),IF($E23="Salary",J23*(1+Inputs!G$10),IF($E23="Benefits",J23*(1+Inputs!G$11),IF($E23="Per Student",J23*K$4/J$4*(1+Inputs!G$12),IF($E23="Enrollment",J23*K$4/J$4,IF($E23="Tuition Index",J23*K$5/J$5,IF($E23="% of Salaries",IF($G$6=0,0,$G23/$G$6*K$6),IF($E23="Debt",$G23*Inputs!G$15/12,IF($E23="Reserve Yield",Inputs!G$13*Inputs!G$16,IF($E23="Trend",J23*(1+Inputs!G$12),J23))))))))))))</f>
        <v>-325000</v>
      </c>
      <c r="L23" s="22" t="n">
        <v>-325000</v>
      </c>
      <c r="M23" s="22" t="n">
        <v>-325000</v>
      </c>
      <c r="N23" s="22" t="n">
        <v>-325000</v>
      </c>
      <c r="O23" s="22" t="n">
        <v>-325000</v>
      </c>
    </row>
    <row r="24" customFormat="false" ht="15" hidden="false" customHeight="false" outlineLevel="0" collapsed="false">
      <c r="A24" s="6" t="s">
        <v>191</v>
      </c>
      <c r="B24" s="6" t="s">
        <v>8</v>
      </c>
      <c r="C24" s="30" t="s">
        <v>228</v>
      </c>
      <c r="D24" s="6" t="s">
        <v>229</v>
      </c>
      <c r="E24" s="20" t="s">
        <v>200</v>
      </c>
      <c r="F24" s="20" t="s">
        <v>131</v>
      </c>
      <c r="G24" s="31" t="n">
        <f aca="false">SUMIFS('QB Import'!$B$1:$B$600,'QB Import'!$H$1:$H$600,$C24,'QB Import'!$G$1:$G$600,1)</f>
        <v>-49675</v>
      </c>
      <c r="H24" s="11" t="n">
        <f aca="false">IF($E24="Manual",L24,IF($E24="Flat",G24,IF($E24="Inflation",G24*(1+Inputs!D$12),IF($E24="Salary",G24*(1+Inputs!D$10),IF($E24="Benefits",G24*(1+Inputs!D$11),IF($E24="Per Student",G24*H$4/G$4*(1+Inputs!D$12),IF($E24="Enrollment",G24*H$4/G$4,IF($E24="Tuition Index",G24*H$5/G$5,IF($E24="% of Salaries",IF($G$6=0,0,$G24/$G$6*H$6),IF($E24="Debt",$G24*Inputs!D$15/12,IF($E24="Reserve Yield",Inputs!D$13*Inputs!D$16,IF($E24="Trend",IF(ISNUMBER(Trend!$Q63),Trend!$Q63,G24),G24))))))))))))</f>
        <v>-49675</v>
      </c>
      <c r="I24" s="11" t="n">
        <f aca="false">IF($E24="Manual",M24,IF($E24="Flat",H24,IF($E24="Inflation",H24*(1+Inputs!E$12),IF($E24="Salary",H24*(1+Inputs!E$10),IF($E24="Benefits",H24*(1+Inputs!E$11),IF($E24="Per Student",H24*I$4/H$4*(1+Inputs!E$12),IF($E24="Enrollment",H24*I$4/H$4,IF($E24="Tuition Index",H24*I$5/H$5,IF($E24="% of Salaries",IF($G$6=0,0,$G24/$G$6*I$6),IF($E24="Debt",$G24*Inputs!E$15/12,IF($E24="Reserve Yield",Inputs!E$13*Inputs!E$16,IF($E24="Trend",H24*(1+Inputs!E$12),H24))))))))))))</f>
        <v>-49675</v>
      </c>
      <c r="J24" s="11" t="n">
        <f aca="false">IF($E24="Manual",N24,IF($E24="Flat",I24,IF($E24="Inflation",I24*(1+Inputs!F$12),IF($E24="Salary",I24*(1+Inputs!F$10),IF($E24="Benefits",I24*(1+Inputs!F$11),IF($E24="Per Student",I24*J$4/I$4*(1+Inputs!F$12),IF($E24="Enrollment",I24*J$4/I$4,IF($E24="Tuition Index",I24*J$5/I$5,IF($E24="% of Salaries",IF($G$6=0,0,$G24/$G$6*J$6),IF($E24="Debt",$G24*Inputs!F$15/12,IF($E24="Reserve Yield",Inputs!F$13*Inputs!F$16,IF($E24="Trend",I24*(1+Inputs!F$12),I24))))))))))))</f>
        <v>-49675</v>
      </c>
      <c r="K24" s="11" t="n">
        <f aca="false">IF($E24="Manual",O24,IF($E24="Flat",J24,IF($E24="Inflation",J24*(1+Inputs!G$12),IF($E24="Salary",J24*(1+Inputs!G$10),IF($E24="Benefits",J24*(1+Inputs!G$11),IF($E24="Per Student",J24*K$4/J$4*(1+Inputs!G$12),IF($E24="Enrollment",J24*K$4/J$4,IF($E24="Tuition Index",J24*K$5/J$5,IF($E24="% of Salaries",IF($G$6=0,0,$G24/$G$6*K$6),IF($E24="Debt",$G24*Inputs!G$15/12,IF($E24="Reserve Yield",Inputs!G$13*Inputs!G$16,IF($E24="Trend",J24*(1+Inputs!G$12),J24))))))))))))</f>
        <v>-49675</v>
      </c>
      <c r="L24" s="22"/>
      <c r="M24" s="22"/>
      <c r="N24" s="22"/>
      <c r="O24" s="22"/>
    </row>
    <row r="25" customFormat="false" ht="15" hidden="false" customHeight="false" outlineLevel="0" collapsed="false">
      <c r="A25" s="6" t="s">
        <v>191</v>
      </c>
      <c r="B25" s="6" t="s">
        <v>8</v>
      </c>
      <c r="C25" s="30" t="s">
        <v>230</v>
      </c>
      <c r="D25" s="6" t="s">
        <v>231</v>
      </c>
      <c r="E25" s="20" t="s">
        <v>200</v>
      </c>
      <c r="F25" s="20" t="s">
        <v>131</v>
      </c>
      <c r="G25" s="31" t="n">
        <f aca="false">SUMIFS('QB Import'!$B$1:$B$600,'QB Import'!$H$1:$H$600,$C25,'QB Import'!$G$1:$G$600,1)</f>
        <v>-65453</v>
      </c>
      <c r="H25" s="11" t="n">
        <f aca="false">IF($E25="Manual",L25,IF($E25="Flat",G25,IF($E25="Inflation",G25*(1+Inputs!D$12),IF($E25="Salary",G25*(1+Inputs!D$10),IF($E25="Benefits",G25*(1+Inputs!D$11),IF($E25="Per Student",G25*H$4/G$4*(1+Inputs!D$12),IF($E25="Enrollment",G25*H$4/G$4,IF($E25="Tuition Index",G25*H$5/G$5,IF($E25="% of Salaries",IF($G$6=0,0,$G25/$G$6*H$6),IF($E25="Debt",$G25*Inputs!D$15/12,IF($E25="Reserve Yield",Inputs!D$13*Inputs!D$16,IF($E25="Trend",IF(ISNUMBER(Trend!$Q64),Trend!$Q64,G25),G25))))))))))))</f>
        <v>-65453</v>
      </c>
      <c r="I25" s="11" t="n">
        <f aca="false">IF($E25="Manual",M25,IF($E25="Flat",H25,IF($E25="Inflation",H25*(1+Inputs!E$12),IF($E25="Salary",H25*(1+Inputs!E$10),IF($E25="Benefits",H25*(1+Inputs!E$11),IF($E25="Per Student",H25*I$4/H$4*(1+Inputs!E$12),IF($E25="Enrollment",H25*I$4/H$4,IF($E25="Tuition Index",H25*I$5/H$5,IF($E25="% of Salaries",IF($G$6=0,0,$G25/$G$6*I$6),IF($E25="Debt",$G25*Inputs!E$15/12,IF($E25="Reserve Yield",Inputs!E$13*Inputs!E$16,IF($E25="Trend",H25*(1+Inputs!E$12),H25))))))))))))</f>
        <v>-65453</v>
      </c>
      <c r="J25" s="11" t="n">
        <f aca="false">IF($E25="Manual",N25,IF($E25="Flat",I25,IF($E25="Inflation",I25*(1+Inputs!F$12),IF($E25="Salary",I25*(1+Inputs!F$10),IF($E25="Benefits",I25*(1+Inputs!F$11),IF($E25="Per Student",I25*J$4/I$4*(1+Inputs!F$12),IF($E25="Enrollment",I25*J$4/I$4,IF($E25="Tuition Index",I25*J$5/I$5,IF($E25="% of Salaries",IF($G$6=0,0,$G25/$G$6*J$6),IF($E25="Debt",$G25*Inputs!F$15/12,IF($E25="Reserve Yield",Inputs!F$13*Inputs!F$16,IF($E25="Trend",I25*(1+Inputs!F$12),I25))))))))))))</f>
        <v>-65453</v>
      </c>
      <c r="K25" s="11" t="n">
        <f aca="false">IF($E25="Manual",O25,IF($E25="Flat",J25,IF($E25="Inflation",J25*(1+Inputs!G$12),IF($E25="Salary",J25*(1+Inputs!G$10),IF($E25="Benefits",J25*(1+Inputs!G$11),IF($E25="Per Student",J25*K$4/J$4*(1+Inputs!G$12),IF($E25="Enrollment",J25*K$4/J$4,IF($E25="Tuition Index",J25*K$5/J$5,IF($E25="% of Salaries",IF($G$6=0,0,$G25/$G$6*K$6),IF($E25="Debt",$G25*Inputs!G$15/12,IF($E25="Reserve Yield",Inputs!G$13*Inputs!G$16,IF($E25="Trend",J25*(1+Inputs!G$12),J25))))))))))))</f>
        <v>-65453</v>
      </c>
      <c r="L25" s="22"/>
      <c r="M25" s="22"/>
      <c r="N25" s="22"/>
      <c r="O25" s="22"/>
    </row>
    <row r="26" customFormat="false" ht="15" hidden="false" customHeight="false" outlineLevel="0" collapsed="false">
      <c r="A26" s="6" t="s">
        <v>191</v>
      </c>
      <c r="B26" s="6" t="s">
        <v>9</v>
      </c>
      <c r="C26" s="30" t="s">
        <v>232</v>
      </c>
      <c r="D26" s="6" t="s">
        <v>233</v>
      </c>
      <c r="E26" s="20" t="s">
        <v>200</v>
      </c>
      <c r="F26" s="20" t="s">
        <v>132</v>
      </c>
      <c r="G26" s="31" t="n">
        <f aca="false">SUMIFS('QB Import'!$B$1:$B$600,'QB Import'!$H$1:$H$600,$C26,'QB Import'!$G$1:$G$600,1)</f>
        <v>145000</v>
      </c>
      <c r="H26" s="11" t="n">
        <f aca="false">IF($E26="Manual",L26,IF($E26="Flat",G26,IF($E26="Inflation",G26*(1+Inputs!D$12),IF($E26="Salary",G26*(1+Inputs!D$10),IF($E26="Benefits",G26*(1+Inputs!D$11),IF($E26="Per Student",G26*H$4/G$4*(1+Inputs!D$12),IF($E26="Enrollment",G26*H$4/G$4,IF($E26="Tuition Index",G26*H$5/G$5,IF($E26="% of Salaries",IF($G$6=0,0,$G26/$G$6*H$6),IF($E26="Debt",$G26*Inputs!D$15/12,IF($E26="Reserve Yield",Inputs!D$13*Inputs!D$16,IF($E26="Trend",IF(ISNUMBER(Trend!$Q65),Trend!$Q65,G26),G26))))))))))))</f>
        <v>145000</v>
      </c>
      <c r="I26" s="11" t="n">
        <f aca="false">IF($E26="Manual",M26,IF($E26="Flat",H26,IF($E26="Inflation",H26*(1+Inputs!E$12),IF($E26="Salary",H26*(1+Inputs!E$10),IF($E26="Benefits",H26*(1+Inputs!E$11),IF($E26="Per Student",H26*I$4/H$4*(1+Inputs!E$12),IF($E26="Enrollment",H26*I$4/H$4,IF($E26="Tuition Index",H26*I$5/H$5,IF($E26="% of Salaries",IF($G$6=0,0,$G26/$G$6*I$6),IF($E26="Debt",$G26*Inputs!E$15/12,IF($E26="Reserve Yield",Inputs!E$13*Inputs!E$16,IF($E26="Trend",H26*(1+Inputs!E$12),H26))))))))))))</f>
        <v>145000</v>
      </c>
      <c r="J26" s="11" t="n">
        <f aca="false">IF($E26="Manual",N26,IF($E26="Flat",I26,IF($E26="Inflation",I26*(1+Inputs!F$12),IF($E26="Salary",I26*(1+Inputs!F$10),IF($E26="Benefits",I26*(1+Inputs!F$11),IF($E26="Per Student",I26*J$4/I$4*(1+Inputs!F$12),IF($E26="Enrollment",I26*J$4/I$4,IF($E26="Tuition Index",I26*J$5/I$5,IF($E26="% of Salaries",IF($G$6=0,0,$G26/$G$6*J$6),IF($E26="Debt",$G26*Inputs!F$15/12,IF($E26="Reserve Yield",Inputs!F$13*Inputs!F$16,IF($E26="Trend",I26*(1+Inputs!F$12),I26))))))))))))</f>
        <v>145000</v>
      </c>
      <c r="K26" s="11" t="n">
        <f aca="false">IF($E26="Manual",O26,IF($E26="Flat",J26,IF($E26="Inflation",J26*(1+Inputs!G$12),IF($E26="Salary",J26*(1+Inputs!G$10),IF($E26="Benefits",J26*(1+Inputs!G$11),IF($E26="Per Student",J26*K$4/J$4*(1+Inputs!G$12),IF($E26="Enrollment",J26*K$4/J$4,IF($E26="Tuition Index",J26*K$5/J$5,IF($E26="% of Salaries",IF($G$6=0,0,$G26/$G$6*K$6),IF($E26="Debt",$G26*Inputs!G$15/12,IF($E26="Reserve Yield",Inputs!G$13*Inputs!G$16,IF($E26="Trend",J26*(1+Inputs!G$12),J26))))))))))))</f>
        <v>145000</v>
      </c>
      <c r="L26" s="22"/>
      <c r="M26" s="22"/>
      <c r="N26" s="22"/>
      <c r="O26" s="22"/>
    </row>
    <row r="27" customFormat="false" ht="15" hidden="false" customHeight="false" outlineLevel="0" collapsed="false">
      <c r="A27" s="6" t="s">
        <v>191</v>
      </c>
      <c r="B27" s="6" t="s">
        <v>9</v>
      </c>
      <c r="C27" s="30" t="s">
        <v>234</v>
      </c>
      <c r="D27" s="6" t="s">
        <v>235</v>
      </c>
      <c r="E27" s="20" t="s">
        <v>200</v>
      </c>
      <c r="F27" s="20" t="s">
        <v>132</v>
      </c>
      <c r="G27" s="31" t="n">
        <f aca="false">SUMIFS('QB Import'!$B$1:$B$600,'QB Import'!$H$1:$H$600,$C27,'QB Import'!$G$1:$G$600,1)</f>
        <v>0</v>
      </c>
      <c r="H27" s="11" t="n">
        <f aca="false">IF($E27="Manual",L27,IF($E27="Flat",G27,IF($E27="Inflation",G27*(1+Inputs!D$12),IF($E27="Salary",G27*(1+Inputs!D$10),IF($E27="Benefits",G27*(1+Inputs!D$11),IF($E27="Per Student",G27*H$4/G$4*(1+Inputs!D$12),IF($E27="Enrollment",G27*H$4/G$4,IF($E27="Tuition Index",G27*H$5/G$5,IF($E27="% of Salaries",IF($G$6=0,0,$G27/$G$6*H$6),IF($E27="Debt",$G27*Inputs!D$15/12,IF($E27="Reserve Yield",Inputs!D$13*Inputs!D$16,IF($E27="Trend",IF(ISNUMBER(Trend!$Q66),Trend!$Q66,G27),G27))))))))))))</f>
        <v>0</v>
      </c>
      <c r="I27" s="11" t="n">
        <f aca="false">IF($E27="Manual",M27,IF($E27="Flat",H27,IF($E27="Inflation",H27*(1+Inputs!E$12),IF($E27="Salary",H27*(1+Inputs!E$10),IF($E27="Benefits",H27*(1+Inputs!E$11),IF($E27="Per Student",H27*I$4/H$4*(1+Inputs!E$12),IF($E27="Enrollment",H27*I$4/H$4,IF($E27="Tuition Index",H27*I$5/H$5,IF($E27="% of Salaries",IF($G$6=0,0,$G27/$G$6*I$6),IF($E27="Debt",$G27*Inputs!E$15/12,IF($E27="Reserve Yield",Inputs!E$13*Inputs!E$16,IF($E27="Trend",H27*(1+Inputs!E$12),H27))))))))))))</f>
        <v>0</v>
      </c>
      <c r="J27" s="11" t="n">
        <f aca="false">IF($E27="Manual",N27,IF($E27="Flat",I27,IF($E27="Inflation",I27*(1+Inputs!F$12),IF($E27="Salary",I27*(1+Inputs!F$10),IF($E27="Benefits",I27*(1+Inputs!F$11),IF($E27="Per Student",I27*J$4/I$4*(1+Inputs!F$12),IF($E27="Enrollment",I27*J$4/I$4,IF($E27="Tuition Index",I27*J$5/I$5,IF($E27="% of Salaries",IF($G$6=0,0,$G27/$G$6*J$6),IF($E27="Debt",$G27*Inputs!F$15/12,IF($E27="Reserve Yield",Inputs!F$13*Inputs!F$16,IF($E27="Trend",I27*(1+Inputs!F$12),I27))))))))))))</f>
        <v>0</v>
      </c>
      <c r="K27" s="11" t="n">
        <f aca="false">IF($E27="Manual",O27,IF($E27="Flat",J27,IF($E27="Inflation",J27*(1+Inputs!G$12),IF($E27="Salary",J27*(1+Inputs!G$10),IF($E27="Benefits",J27*(1+Inputs!G$11),IF($E27="Per Student",J27*K$4/J$4*(1+Inputs!G$12),IF($E27="Enrollment",J27*K$4/J$4,IF($E27="Tuition Index",J27*K$5/J$5,IF($E27="% of Salaries",IF($G$6=0,0,$G27/$G$6*K$6),IF($E27="Debt",$G27*Inputs!G$15/12,IF($E27="Reserve Yield",Inputs!G$13*Inputs!G$16,IF($E27="Trend",J27*(1+Inputs!G$12),J27))))))))))))</f>
        <v>0</v>
      </c>
      <c r="L27" s="22"/>
      <c r="M27" s="22"/>
      <c r="N27" s="22"/>
      <c r="O27" s="22"/>
    </row>
    <row r="28" customFormat="false" ht="15" hidden="false" customHeight="false" outlineLevel="0" collapsed="false">
      <c r="A28" s="6" t="s">
        <v>191</v>
      </c>
      <c r="B28" s="6" t="s">
        <v>9</v>
      </c>
      <c r="C28" s="30" t="s">
        <v>236</v>
      </c>
      <c r="D28" s="6" t="s">
        <v>237</v>
      </c>
      <c r="E28" s="20" t="s">
        <v>200</v>
      </c>
      <c r="F28" s="20" t="s">
        <v>132</v>
      </c>
      <c r="G28" s="31" t="n">
        <f aca="false">SUMIFS('QB Import'!$B$1:$B$600,'QB Import'!$H$1:$H$600,$C28,'QB Import'!$G$1:$G$600,1)</f>
        <v>-95000</v>
      </c>
      <c r="H28" s="11" t="n">
        <f aca="false">IF($E28="Manual",L28,IF($E28="Flat",G28,IF($E28="Inflation",G28*(1+Inputs!D$12),IF($E28="Salary",G28*(1+Inputs!D$10),IF($E28="Benefits",G28*(1+Inputs!D$11),IF($E28="Per Student",G28*H$4/G$4*(1+Inputs!D$12),IF($E28="Enrollment",G28*H$4/G$4,IF($E28="Tuition Index",G28*H$5/G$5,IF($E28="% of Salaries",IF($G$6=0,0,$G28/$G$6*H$6),IF($E28="Debt",$G28*Inputs!D$15/12,IF($E28="Reserve Yield",Inputs!D$13*Inputs!D$16,IF($E28="Trend",IF(ISNUMBER(Trend!$Q67),Trend!$Q67,G28),G28))))))))))))</f>
        <v>-95000</v>
      </c>
      <c r="I28" s="11" t="n">
        <f aca="false">IF($E28="Manual",M28,IF($E28="Flat",H28,IF($E28="Inflation",H28*(1+Inputs!E$12),IF($E28="Salary",H28*(1+Inputs!E$10),IF($E28="Benefits",H28*(1+Inputs!E$11),IF($E28="Per Student",H28*I$4/H$4*(1+Inputs!E$12),IF($E28="Enrollment",H28*I$4/H$4,IF($E28="Tuition Index",H28*I$5/H$5,IF($E28="% of Salaries",IF($G$6=0,0,$G28/$G$6*I$6),IF($E28="Debt",$G28*Inputs!E$15/12,IF($E28="Reserve Yield",Inputs!E$13*Inputs!E$16,IF($E28="Trend",H28*(1+Inputs!E$12),H28))))))))))))</f>
        <v>-95000</v>
      </c>
      <c r="J28" s="11" t="n">
        <f aca="false">IF($E28="Manual",N28,IF($E28="Flat",I28,IF($E28="Inflation",I28*(1+Inputs!F$12),IF($E28="Salary",I28*(1+Inputs!F$10),IF($E28="Benefits",I28*(1+Inputs!F$11),IF($E28="Per Student",I28*J$4/I$4*(1+Inputs!F$12),IF($E28="Enrollment",I28*J$4/I$4,IF($E28="Tuition Index",I28*J$5/I$5,IF($E28="% of Salaries",IF($G$6=0,0,$G28/$G$6*J$6),IF($E28="Debt",$G28*Inputs!F$15/12,IF($E28="Reserve Yield",Inputs!F$13*Inputs!F$16,IF($E28="Trend",I28*(1+Inputs!F$12),I28))))))))))))</f>
        <v>-95000</v>
      </c>
      <c r="K28" s="11" t="n">
        <f aca="false">IF($E28="Manual",O28,IF($E28="Flat",J28,IF($E28="Inflation",J28*(1+Inputs!G$12),IF($E28="Salary",J28*(1+Inputs!G$10),IF($E28="Benefits",J28*(1+Inputs!G$11),IF($E28="Per Student",J28*K$4/J$4*(1+Inputs!G$12),IF($E28="Enrollment",J28*K$4/J$4,IF($E28="Tuition Index",J28*K$5/J$5,IF($E28="% of Salaries",IF($G$6=0,0,$G28/$G$6*K$6),IF($E28="Debt",$G28*Inputs!G$15/12,IF($E28="Reserve Yield",Inputs!G$13*Inputs!G$16,IF($E28="Trend",J28*(1+Inputs!G$12),J28))))))))))))</f>
        <v>-95000</v>
      </c>
      <c r="L28" s="22"/>
      <c r="M28" s="22"/>
      <c r="N28" s="22"/>
      <c r="O28" s="22"/>
    </row>
    <row r="29" customFormat="false" ht="15" hidden="false" customHeight="false" outlineLevel="0" collapsed="false">
      <c r="A29" s="6" t="s">
        <v>191</v>
      </c>
      <c r="B29" s="6" t="s">
        <v>9</v>
      </c>
      <c r="C29" s="30" t="s">
        <v>238</v>
      </c>
      <c r="D29" s="6" t="s">
        <v>239</v>
      </c>
      <c r="E29" s="20" t="s">
        <v>200</v>
      </c>
      <c r="F29" s="20" t="s">
        <v>132</v>
      </c>
      <c r="G29" s="31" t="n">
        <f aca="false">SUMIFS('QB Import'!$B$1:$B$600,'QB Import'!$H$1:$H$600,$C29,'QB Import'!$G$1:$G$600,1)</f>
        <v>0</v>
      </c>
      <c r="H29" s="11" t="n">
        <f aca="false">IF($E29="Manual",L29,IF($E29="Flat",G29,IF($E29="Inflation",G29*(1+Inputs!D$12),IF($E29="Salary",G29*(1+Inputs!D$10),IF($E29="Benefits",G29*(1+Inputs!D$11),IF($E29="Per Student",G29*H$4/G$4*(1+Inputs!D$12),IF($E29="Enrollment",G29*H$4/G$4,IF($E29="Tuition Index",G29*H$5/G$5,IF($E29="% of Salaries",IF($G$6=0,0,$G29/$G$6*H$6),IF($E29="Debt",$G29*Inputs!D$15/12,IF($E29="Reserve Yield",Inputs!D$13*Inputs!D$16,IF($E29="Trend",IF(ISNUMBER(Trend!$Q68),Trend!$Q68,G29),G29))))))))))))</f>
        <v>0</v>
      </c>
      <c r="I29" s="11" t="n">
        <f aca="false">IF($E29="Manual",M29,IF($E29="Flat",H29,IF($E29="Inflation",H29*(1+Inputs!E$12),IF($E29="Salary",H29*(1+Inputs!E$10),IF($E29="Benefits",H29*(1+Inputs!E$11),IF($E29="Per Student",H29*I$4/H$4*(1+Inputs!E$12),IF($E29="Enrollment",H29*I$4/H$4,IF($E29="Tuition Index",H29*I$5/H$5,IF($E29="% of Salaries",IF($G$6=0,0,$G29/$G$6*I$6),IF($E29="Debt",$G29*Inputs!E$15/12,IF($E29="Reserve Yield",Inputs!E$13*Inputs!E$16,IF($E29="Trend",H29*(1+Inputs!E$12),H29))))))))))))</f>
        <v>0</v>
      </c>
      <c r="J29" s="11" t="n">
        <f aca="false">IF($E29="Manual",N29,IF($E29="Flat",I29,IF($E29="Inflation",I29*(1+Inputs!F$12),IF($E29="Salary",I29*(1+Inputs!F$10),IF($E29="Benefits",I29*(1+Inputs!F$11),IF($E29="Per Student",I29*J$4/I$4*(1+Inputs!F$12),IF($E29="Enrollment",I29*J$4/I$4,IF($E29="Tuition Index",I29*J$5/I$5,IF($E29="% of Salaries",IF($G$6=0,0,$G29/$G$6*J$6),IF($E29="Debt",$G29*Inputs!F$15/12,IF($E29="Reserve Yield",Inputs!F$13*Inputs!F$16,IF($E29="Trend",I29*(1+Inputs!F$12),I29))))))))))))</f>
        <v>0</v>
      </c>
      <c r="K29" s="11" t="n">
        <f aca="false">IF($E29="Manual",O29,IF($E29="Flat",J29,IF($E29="Inflation",J29*(1+Inputs!G$12),IF($E29="Salary",J29*(1+Inputs!G$10),IF($E29="Benefits",J29*(1+Inputs!G$11),IF($E29="Per Student",J29*K$4/J$4*(1+Inputs!G$12),IF($E29="Enrollment",J29*K$4/J$4,IF($E29="Tuition Index",J29*K$5/J$5,IF($E29="% of Salaries",IF($G$6=0,0,$G29/$G$6*K$6),IF($E29="Debt",$G29*Inputs!G$15/12,IF($E29="Reserve Yield",Inputs!G$13*Inputs!G$16,IF($E29="Trend",J29*(1+Inputs!G$12),J29))))))))))))</f>
        <v>0</v>
      </c>
      <c r="L29" s="22"/>
      <c r="M29" s="22"/>
      <c r="N29" s="22"/>
      <c r="O29" s="22"/>
    </row>
    <row r="30" customFormat="false" ht="15" hidden="false" customHeight="false" outlineLevel="0" collapsed="false">
      <c r="A30" s="6" t="s">
        <v>191</v>
      </c>
      <c r="B30" s="6" t="s">
        <v>9</v>
      </c>
      <c r="C30" s="30" t="s">
        <v>240</v>
      </c>
      <c r="D30" s="6" t="s">
        <v>241</v>
      </c>
      <c r="E30" s="20" t="s">
        <v>200</v>
      </c>
      <c r="F30" s="20" t="s">
        <v>133</v>
      </c>
      <c r="G30" s="31" t="n">
        <f aca="false">SUMIFS('QB Import'!$B$1:$B$600,'QB Import'!$H$1:$H$600,$C30,'QB Import'!$G$1:$G$600,1)</f>
        <v>60000</v>
      </c>
      <c r="H30" s="11" t="n">
        <f aca="false">IF($E30="Manual",L30,IF($E30="Flat",G30,IF($E30="Inflation",G30*(1+Inputs!D$12),IF($E30="Salary",G30*(1+Inputs!D$10),IF($E30="Benefits",G30*(1+Inputs!D$11),IF($E30="Per Student",G30*H$4/G$4*(1+Inputs!D$12),IF($E30="Enrollment",G30*H$4/G$4,IF($E30="Tuition Index",G30*H$5/G$5,IF($E30="% of Salaries",IF($G$6=0,0,$G30/$G$6*H$6),IF($E30="Debt",$G30*Inputs!D$15/12,IF($E30="Reserve Yield",Inputs!D$13*Inputs!D$16,IF($E30="Trend",IF(ISNUMBER(Trend!$Q69),Trend!$Q69,G30),G30))))))))))))</f>
        <v>60000</v>
      </c>
      <c r="I30" s="11" t="n">
        <f aca="false">IF($E30="Manual",M30,IF($E30="Flat",H30,IF($E30="Inflation",H30*(1+Inputs!E$12),IF($E30="Salary",H30*(1+Inputs!E$10),IF($E30="Benefits",H30*(1+Inputs!E$11),IF($E30="Per Student",H30*I$4/H$4*(1+Inputs!E$12),IF($E30="Enrollment",H30*I$4/H$4,IF($E30="Tuition Index",H30*I$5/H$5,IF($E30="% of Salaries",IF($G$6=0,0,$G30/$G$6*I$6),IF($E30="Debt",$G30*Inputs!E$15/12,IF($E30="Reserve Yield",Inputs!E$13*Inputs!E$16,IF($E30="Trend",H30*(1+Inputs!E$12),H30))))))))))))</f>
        <v>60000</v>
      </c>
      <c r="J30" s="11" t="n">
        <f aca="false">IF($E30="Manual",N30,IF($E30="Flat",I30,IF($E30="Inflation",I30*(1+Inputs!F$12),IF($E30="Salary",I30*(1+Inputs!F$10),IF($E30="Benefits",I30*(1+Inputs!F$11),IF($E30="Per Student",I30*J$4/I$4*(1+Inputs!F$12),IF($E30="Enrollment",I30*J$4/I$4,IF($E30="Tuition Index",I30*J$5/I$5,IF($E30="% of Salaries",IF($G$6=0,0,$G30/$G$6*J$6),IF($E30="Debt",$G30*Inputs!F$15/12,IF($E30="Reserve Yield",Inputs!F$13*Inputs!F$16,IF($E30="Trend",I30*(1+Inputs!F$12),I30))))))))))))</f>
        <v>60000</v>
      </c>
      <c r="K30" s="11" t="n">
        <f aca="false">IF($E30="Manual",O30,IF($E30="Flat",J30,IF($E30="Inflation",J30*(1+Inputs!G$12),IF($E30="Salary",J30*(1+Inputs!G$10),IF($E30="Benefits",J30*(1+Inputs!G$11),IF($E30="Per Student",J30*K$4/J$4*(1+Inputs!G$12),IF($E30="Enrollment",J30*K$4/J$4,IF($E30="Tuition Index",J30*K$5/J$5,IF($E30="% of Salaries",IF($G$6=0,0,$G30/$G$6*K$6),IF($E30="Debt",$G30*Inputs!G$15/12,IF($E30="Reserve Yield",Inputs!G$13*Inputs!G$16,IF($E30="Trend",J30*(1+Inputs!G$12),J30))))))))))))</f>
        <v>60000</v>
      </c>
      <c r="L30" s="22"/>
      <c r="M30" s="22"/>
      <c r="N30" s="22"/>
      <c r="O30" s="22"/>
    </row>
    <row r="31" customFormat="false" ht="15" hidden="false" customHeight="false" outlineLevel="0" collapsed="false">
      <c r="A31" s="6" t="s">
        <v>191</v>
      </c>
      <c r="B31" s="6" t="s">
        <v>9</v>
      </c>
      <c r="C31" s="30" t="s">
        <v>242</v>
      </c>
      <c r="D31" s="6" t="s">
        <v>243</v>
      </c>
      <c r="E31" s="20" t="s">
        <v>200</v>
      </c>
      <c r="F31" s="20" t="s">
        <v>133</v>
      </c>
      <c r="G31" s="31" t="n">
        <f aca="false">SUMIFS('QB Import'!$B$1:$B$600,'QB Import'!$H$1:$H$600,$C31,'QB Import'!$G$1:$G$600,1)</f>
        <v>0</v>
      </c>
      <c r="H31" s="11" t="n">
        <f aca="false">IF($E31="Manual",L31,IF($E31="Flat",G31,IF($E31="Inflation",G31*(1+Inputs!D$12),IF($E31="Salary",G31*(1+Inputs!D$10),IF($E31="Benefits",G31*(1+Inputs!D$11),IF($E31="Per Student",G31*H$4/G$4*(1+Inputs!D$12),IF($E31="Enrollment",G31*H$4/G$4,IF($E31="Tuition Index",G31*H$5/G$5,IF($E31="% of Salaries",IF($G$6=0,0,$G31/$G$6*H$6),IF($E31="Debt",$G31*Inputs!D$15/12,IF($E31="Reserve Yield",Inputs!D$13*Inputs!D$16,IF($E31="Trend",IF(ISNUMBER(Trend!$Q70),Trend!$Q70,G31),G31))))))))))))</f>
        <v>0</v>
      </c>
      <c r="I31" s="11" t="n">
        <f aca="false">IF($E31="Manual",M31,IF($E31="Flat",H31,IF($E31="Inflation",H31*(1+Inputs!E$12),IF($E31="Salary",H31*(1+Inputs!E$10),IF($E31="Benefits",H31*(1+Inputs!E$11),IF($E31="Per Student",H31*I$4/H$4*(1+Inputs!E$12),IF($E31="Enrollment",H31*I$4/H$4,IF($E31="Tuition Index",H31*I$5/H$5,IF($E31="% of Salaries",IF($G$6=0,0,$G31/$G$6*I$6),IF($E31="Debt",$G31*Inputs!E$15/12,IF($E31="Reserve Yield",Inputs!E$13*Inputs!E$16,IF($E31="Trend",H31*(1+Inputs!E$12),H31))))))))))))</f>
        <v>0</v>
      </c>
      <c r="J31" s="11" t="n">
        <f aca="false">IF($E31="Manual",N31,IF($E31="Flat",I31,IF($E31="Inflation",I31*(1+Inputs!F$12),IF($E31="Salary",I31*(1+Inputs!F$10),IF($E31="Benefits",I31*(1+Inputs!F$11),IF($E31="Per Student",I31*J$4/I$4*(1+Inputs!F$12),IF($E31="Enrollment",I31*J$4/I$4,IF($E31="Tuition Index",I31*J$5/I$5,IF($E31="% of Salaries",IF($G$6=0,0,$G31/$G$6*J$6),IF($E31="Debt",$G31*Inputs!F$15/12,IF($E31="Reserve Yield",Inputs!F$13*Inputs!F$16,IF($E31="Trend",I31*(1+Inputs!F$12),I31))))))))))))</f>
        <v>0</v>
      </c>
      <c r="K31" s="11" t="n">
        <f aca="false">IF($E31="Manual",O31,IF($E31="Flat",J31,IF($E31="Inflation",J31*(1+Inputs!G$12),IF($E31="Salary",J31*(1+Inputs!G$10),IF($E31="Benefits",J31*(1+Inputs!G$11),IF($E31="Per Student",J31*K$4/J$4*(1+Inputs!G$12),IF($E31="Enrollment",J31*K$4/J$4,IF($E31="Tuition Index",J31*K$5/J$5,IF($E31="% of Salaries",IF($G$6=0,0,$G31/$G$6*K$6),IF($E31="Debt",$G31*Inputs!G$15/12,IF($E31="Reserve Yield",Inputs!G$13*Inputs!G$16,IF($E31="Trend",J31*(1+Inputs!G$12),J31))))))))))))</f>
        <v>0</v>
      </c>
      <c r="L31" s="22"/>
      <c r="M31" s="22"/>
      <c r="N31" s="22"/>
      <c r="O31" s="22"/>
    </row>
    <row r="32" customFormat="false" ht="15" hidden="false" customHeight="false" outlineLevel="0" collapsed="false">
      <c r="A32" s="6" t="s">
        <v>191</v>
      </c>
      <c r="B32" s="6" t="s">
        <v>9</v>
      </c>
      <c r="C32" s="30" t="s">
        <v>244</v>
      </c>
      <c r="D32" s="6" t="s">
        <v>245</v>
      </c>
      <c r="E32" s="20" t="s">
        <v>200</v>
      </c>
      <c r="F32" s="20" t="s">
        <v>133</v>
      </c>
      <c r="G32" s="31" t="n">
        <f aca="false">SUMIFS('QB Import'!$B$1:$B$600,'QB Import'!$H$1:$H$600,$C32,'QB Import'!$G$1:$G$600,1)</f>
        <v>55000</v>
      </c>
      <c r="H32" s="11" t="n">
        <f aca="false">IF($E32="Manual",L32,IF($E32="Flat",G32,IF($E32="Inflation",G32*(1+Inputs!D$12),IF($E32="Salary",G32*(1+Inputs!D$10),IF($E32="Benefits",G32*(1+Inputs!D$11),IF($E32="Per Student",G32*H$4/G$4*(1+Inputs!D$12),IF($E32="Enrollment",G32*H$4/G$4,IF($E32="Tuition Index",G32*H$5/G$5,IF($E32="% of Salaries",IF($G$6=0,0,$G32/$G$6*H$6),IF($E32="Debt",$G32*Inputs!D$15/12,IF($E32="Reserve Yield",Inputs!D$13*Inputs!D$16,IF($E32="Trend",IF(ISNUMBER(Trend!$Q71),Trend!$Q71,G32),G32))))))))))))</f>
        <v>55000</v>
      </c>
      <c r="I32" s="11" t="n">
        <f aca="false">IF($E32="Manual",M32,IF($E32="Flat",H32,IF($E32="Inflation",H32*(1+Inputs!E$12),IF($E32="Salary",H32*(1+Inputs!E$10),IF($E32="Benefits",H32*(1+Inputs!E$11),IF($E32="Per Student",H32*I$4/H$4*(1+Inputs!E$12),IF($E32="Enrollment",H32*I$4/H$4,IF($E32="Tuition Index",H32*I$5/H$5,IF($E32="% of Salaries",IF($G$6=0,0,$G32/$G$6*I$6),IF($E32="Debt",$G32*Inputs!E$15/12,IF($E32="Reserve Yield",Inputs!E$13*Inputs!E$16,IF($E32="Trend",H32*(1+Inputs!E$12),H32))))))))))))</f>
        <v>55000</v>
      </c>
      <c r="J32" s="11" t="n">
        <f aca="false">IF($E32="Manual",N32,IF($E32="Flat",I32,IF($E32="Inflation",I32*(1+Inputs!F$12),IF($E32="Salary",I32*(1+Inputs!F$10),IF($E32="Benefits",I32*(1+Inputs!F$11),IF($E32="Per Student",I32*J$4/I$4*(1+Inputs!F$12),IF($E32="Enrollment",I32*J$4/I$4,IF($E32="Tuition Index",I32*J$5/I$5,IF($E32="% of Salaries",IF($G$6=0,0,$G32/$G$6*J$6),IF($E32="Debt",$G32*Inputs!F$15/12,IF($E32="Reserve Yield",Inputs!F$13*Inputs!F$16,IF($E32="Trend",I32*(1+Inputs!F$12),I32))))))))))))</f>
        <v>55000</v>
      </c>
      <c r="K32" s="11" t="n">
        <f aca="false">IF($E32="Manual",O32,IF($E32="Flat",J32,IF($E32="Inflation",J32*(1+Inputs!G$12),IF($E32="Salary",J32*(1+Inputs!G$10),IF($E32="Benefits",J32*(1+Inputs!G$11),IF($E32="Per Student",J32*K$4/J$4*(1+Inputs!G$12),IF($E32="Enrollment",J32*K$4/J$4,IF($E32="Tuition Index",J32*K$5/J$5,IF($E32="% of Salaries",IF($G$6=0,0,$G32/$G$6*K$6),IF($E32="Debt",$G32*Inputs!G$15/12,IF($E32="Reserve Yield",Inputs!G$13*Inputs!G$16,IF($E32="Trend",J32*(1+Inputs!G$12),J32))))))))))))</f>
        <v>55000</v>
      </c>
      <c r="L32" s="22"/>
      <c r="M32" s="22"/>
      <c r="N32" s="22"/>
      <c r="O32" s="22"/>
    </row>
    <row r="33" customFormat="false" ht="15" hidden="false" customHeight="false" outlineLevel="0" collapsed="false">
      <c r="A33" s="6" t="s">
        <v>191</v>
      </c>
      <c r="B33" s="6" t="s">
        <v>9</v>
      </c>
      <c r="C33" s="30" t="s">
        <v>246</v>
      </c>
      <c r="D33" s="6" t="s">
        <v>247</v>
      </c>
      <c r="E33" s="20" t="s">
        <v>197</v>
      </c>
      <c r="F33" s="20" t="s">
        <v>133</v>
      </c>
      <c r="G33" s="31" t="n">
        <f aca="false">SUMIFS('QB Import'!$B$1:$B$600,'QB Import'!$H$1:$H$600,$C33,'QB Import'!$G$1:$G$600,1)</f>
        <v>100000</v>
      </c>
      <c r="H33" s="11" t="n">
        <f aca="false">IF($E33="Manual",L33,IF($E33="Flat",G33,IF($E33="Inflation",G33*(1+Inputs!D$12),IF($E33="Salary",G33*(1+Inputs!D$10),IF($E33="Benefits",G33*(1+Inputs!D$11),IF($E33="Per Student",G33*H$4/G$4*(1+Inputs!D$12),IF($E33="Enrollment",G33*H$4/G$4,IF($E33="Tuition Index",G33*H$5/G$5,IF($E33="% of Salaries",IF($G$6=0,0,$G33/$G$6*H$6),IF($E33="Debt",$G33*Inputs!D$15/12,IF($E33="Reserve Yield",Inputs!D$13*Inputs!D$16,IF($E33="Trend",IF(ISNUMBER(Trend!$Q72),Trend!$Q72,G33),G33))))))))))))</f>
        <v>50000</v>
      </c>
      <c r="I33" s="11" t="n">
        <f aca="false">IF($E33="Manual",M33,IF($E33="Flat",H33,IF($E33="Inflation",H33*(1+Inputs!E$12),IF($E33="Salary",H33*(1+Inputs!E$10),IF($E33="Benefits",H33*(1+Inputs!E$11),IF($E33="Per Student",H33*I$4/H$4*(1+Inputs!E$12),IF($E33="Enrollment",H33*I$4/H$4,IF($E33="Tuition Index",H33*I$5/H$5,IF($E33="% of Salaries",IF($G$6=0,0,$G33/$G$6*I$6),IF($E33="Debt",$G33*Inputs!E$15/12,IF($E33="Reserve Yield",Inputs!E$13*Inputs!E$16,IF($E33="Trend",H33*(1+Inputs!E$12),H33))))))))))))</f>
        <v>0</v>
      </c>
      <c r="J33" s="11" t="n">
        <f aca="false">IF($E33="Manual",N33,IF($E33="Flat",I33,IF($E33="Inflation",I33*(1+Inputs!F$12),IF($E33="Salary",I33*(1+Inputs!F$10),IF($E33="Benefits",I33*(1+Inputs!F$11),IF($E33="Per Student",I33*J$4/I$4*(1+Inputs!F$12),IF($E33="Enrollment",I33*J$4/I$4,IF($E33="Tuition Index",I33*J$5/I$5,IF($E33="% of Salaries",IF($G$6=0,0,$G33/$G$6*J$6),IF($E33="Debt",$G33*Inputs!F$15/12,IF($E33="Reserve Yield",Inputs!F$13*Inputs!F$16,IF($E33="Trend",I33*(1+Inputs!F$12),I33))))))))))))</f>
        <v>0</v>
      </c>
      <c r="K33" s="11" t="n">
        <f aca="false">IF($E33="Manual",O33,IF($E33="Flat",J33,IF($E33="Inflation",J33*(1+Inputs!G$12),IF($E33="Salary",J33*(1+Inputs!G$10),IF($E33="Benefits",J33*(1+Inputs!G$11),IF($E33="Per Student",J33*K$4/J$4*(1+Inputs!G$12),IF($E33="Enrollment",J33*K$4/J$4,IF($E33="Tuition Index",J33*K$5/J$5,IF($E33="% of Salaries",IF($G$6=0,0,$G33/$G$6*K$6),IF($E33="Debt",$G33*Inputs!G$15/12,IF($E33="Reserve Yield",Inputs!G$13*Inputs!G$16,IF($E33="Trend",J33*(1+Inputs!G$12),J33))))))))))))</f>
        <v>0</v>
      </c>
      <c r="L33" s="22" t="n">
        <v>50000</v>
      </c>
      <c r="M33" s="22" t="n">
        <v>0</v>
      </c>
      <c r="N33" s="22" t="n">
        <v>0</v>
      </c>
      <c r="O33" s="22" t="n">
        <v>0</v>
      </c>
    </row>
    <row r="34" customFormat="false" ht="15" hidden="false" customHeight="false" outlineLevel="0" collapsed="false">
      <c r="A34" s="6" t="s">
        <v>191</v>
      </c>
      <c r="B34" s="6" t="s">
        <v>9</v>
      </c>
      <c r="C34" s="30" t="s">
        <v>248</v>
      </c>
      <c r="D34" s="6" t="s">
        <v>249</v>
      </c>
      <c r="E34" s="20" t="s">
        <v>200</v>
      </c>
      <c r="F34" s="20" t="s">
        <v>133</v>
      </c>
      <c r="G34" s="31" t="n">
        <f aca="false">SUMIFS('QB Import'!$B$1:$B$600,'QB Import'!$H$1:$H$600,$C34,'QB Import'!$G$1:$G$600,1)</f>
        <v>150000</v>
      </c>
      <c r="H34" s="11" t="n">
        <f aca="false">IF($E34="Manual",L34,IF($E34="Flat",G34,IF($E34="Inflation",G34*(1+Inputs!D$12),IF($E34="Salary",G34*(1+Inputs!D$10),IF($E34="Benefits",G34*(1+Inputs!D$11),IF($E34="Per Student",G34*H$4/G$4*(1+Inputs!D$12),IF($E34="Enrollment",G34*H$4/G$4,IF($E34="Tuition Index",G34*H$5/G$5,IF($E34="% of Salaries",IF($G$6=0,0,$G34/$G$6*H$6),IF($E34="Debt",$G34*Inputs!D$15/12,IF($E34="Reserve Yield",Inputs!D$13*Inputs!D$16,IF($E34="Trend",IF(ISNUMBER(Trend!$Q73),Trend!$Q73,G34),G34))))))))))))</f>
        <v>150000</v>
      </c>
      <c r="I34" s="11" t="n">
        <f aca="false">IF($E34="Manual",M34,IF($E34="Flat",H34,IF($E34="Inflation",H34*(1+Inputs!E$12),IF($E34="Salary",H34*(1+Inputs!E$10),IF($E34="Benefits",H34*(1+Inputs!E$11),IF($E34="Per Student",H34*I$4/H$4*(1+Inputs!E$12),IF($E34="Enrollment",H34*I$4/H$4,IF($E34="Tuition Index",H34*I$5/H$5,IF($E34="% of Salaries",IF($G$6=0,0,$G34/$G$6*I$6),IF($E34="Debt",$G34*Inputs!E$15/12,IF($E34="Reserve Yield",Inputs!E$13*Inputs!E$16,IF($E34="Trend",H34*(1+Inputs!E$12),H34))))))))))))</f>
        <v>150000</v>
      </c>
      <c r="J34" s="11" t="n">
        <f aca="false">IF($E34="Manual",N34,IF($E34="Flat",I34,IF($E34="Inflation",I34*(1+Inputs!F$12),IF($E34="Salary",I34*(1+Inputs!F$10),IF($E34="Benefits",I34*(1+Inputs!F$11),IF($E34="Per Student",I34*J$4/I$4*(1+Inputs!F$12),IF($E34="Enrollment",I34*J$4/I$4,IF($E34="Tuition Index",I34*J$5/I$5,IF($E34="% of Salaries",IF($G$6=0,0,$G34/$G$6*J$6),IF($E34="Debt",$G34*Inputs!F$15/12,IF($E34="Reserve Yield",Inputs!F$13*Inputs!F$16,IF($E34="Trend",I34*(1+Inputs!F$12),I34))))))))))))</f>
        <v>150000</v>
      </c>
      <c r="K34" s="11" t="n">
        <f aca="false">IF($E34="Manual",O34,IF($E34="Flat",J34,IF($E34="Inflation",J34*(1+Inputs!G$12),IF($E34="Salary",J34*(1+Inputs!G$10),IF($E34="Benefits",J34*(1+Inputs!G$11),IF($E34="Per Student",J34*K$4/J$4*(1+Inputs!G$12),IF($E34="Enrollment",J34*K$4/J$4,IF($E34="Tuition Index",J34*K$5/J$5,IF($E34="% of Salaries",IF($G$6=0,0,$G34/$G$6*K$6),IF($E34="Debt",$G34*Inputs!G$15/12,IF($E34="Reserve Yield",Inputs!G$13*Inputs!G$16,IF($E34="Trend",J34*(1+Inputs!G$12),J34))))))))))))</f>
        <v>150000</v>
      </c>
      <c r="L34" s="22"/>
      <c r="M34" s="22"/>
      <c r="N34" s="22"/>
      <c r="O34" s="22"/>
    </row>
    <row r="35" customFormat="false" ht="15" hidden="false" customHeight="false" outlineLevel="0" collapsed="false">
      <c r="A35" s="6" t="s">
        <v>191</v>
      </c>
      <c r="B35" s="6" t="s">
        <v>9</v>
      </c>
      <c r="C35" s="30" t="s">
        <v>250</v>
      </c>
      <c r="D35" s="6" t="s">
        <v>251</v>
      </c>
      <c r="E35" s="20" t="s">
        <v>252</v>
      </c>
      <c r="F35" s="20" t="s">
        <v>132</v>
      </c>
      <c r="G35" s="31" t="n">
        <f aca="false">SUMIFS('QB Import'!$B$1:$B$600,'QB Import'!$H$1:$H$600,$C35,'QB Import'!$G$1:$G$600,1)</f>
        <v>30000</v>
      </c>
      <c r="H35" s="11" t="n">
        <f aca="false">IF($E35="Manual",L35,IF($E35="Flat",G35,IF($E35="Inflation",G35*(1+Inputs!D$12),IF($E35="Salary",G35*(1+Inputs!D$10),IF($E35="Benefits",G35*(1+Inputs!D$11),IF($E35="Per Student",G35*H$4/G$4*(1+Inputs!D$12),IF($E35="Enrollment",G35*H$4/G$4,IF($E35="Tuition Index",G35*H$5/G$5,IF($E35="% of Salaries",IF($G$6=0,0,$G35/$G$6*H$6),IF($E35="Debt",$G35*Inputs!D$15/12,IF($E35="Reserve Yield",Inputs!D$13*Inputs!D$16,IF($E35="Trend",IF(ISNUMBER(Trend!$Q74),Trend!$Q74,G35),G35))))))))))))</f>
        <v>29005.03102</v>
      </c>
      <c r="I35" s="11" t="n">
        <f aca="false">IF($E35="Manual",M35,IF($E35="Flat",H35,IF($E35="Inflation",H35*(1+Inputs!E$12),IF($E35="Salary",H35*(1+Inputs!E$10),IF($E35="Benefits",H35*(1+Inputs!E$11),IF($E35="Per Student",H35*I$4/H$4*(1+Inputs!E$12),IF($E35="Enrollment",H35*I$4/H$4,IF($E35="Tuition Index",H35*I$5/H$5,IF($E35="% of Salaries",IF($G$6=0,0,$G35/$G$6*I$6),IF($E35="Debt",$G35*Inputs!E$15/12,IF($E35="Reserve Yield",Inputs!E$13*Inputs!E$16,IF($E35="Trend",H35*(1+Inputs!E$12),H35))))))))))))</f>
        <v>29005.03102</v>
      </c>
      <c r="J35" s="11" t="n">
        <f aca="false">IF($E35="Manual",N35,IF($E35="Flat",I35,IF($E35="Inflation",I35*(1+Inputs!F$12),IF($E35="Salary",I35*(1+Inputs!F$10),IF($E35="Benefits",I35*(1+Inputs!F$11),IF($E35="Per Student",I35*J$4/I$4*(1+Inputs!F$12),IF($E35="Enrollment",I35*J$4/I$4,IF($E35="Tuition Index",I35*J$5/I$5,IF($E35="% of Salaries",IF($G$6=0,0,$G35/$G$6*J$6),IF($E35="Debt",$G35*Inputs!F$15/12,IF($E35="Reserve Yield",Inputs!F$13*Inputs!F$16,IF($E35="Trend",I35*(1+Inputs!F$12),I35))))))))))))</f>
        <v>29005.03102</v>
      </c>
      <c r="K35" s="11" t="n">
        <f aca="false">IF($E35="Manual",O35,IF($E35="Flat",J35,IF($E35="Inflation",J35*(1+Inputs!G$12),IF($E35="Salary",J35*(1+Inputs!G$10),IF($E35="Benefits",J35*(1+Inputs!G$11),IF($E35="Per Student",J35*K$4/J$4*(1+Inputs!G$12),IF($E35="Enrollment",J35*K$4/J$4,IF($E35="Tuition Index",J35*K$5/J$5,IF($E35="% of Salaries",IF($G$6=0,0,$G35/$G$6*K$6),IF($E35="Debt",$G35*Inputs!G$15/12,IF($E35="Reserve Yield",Inputs!G$13*Inputs!G$16,IF($E35="Trend",J35*(1+Inputs!G$12),J35))))))))))))</f>
        <v>29005.03102</v>
      </c>
      <c r="L35" s="22"/>
      <c r="M35" s="22"/>
      <c r="N35" s="22"/>
      <c r="O35" s="22"/>
    </row>
    <row r="36" customFormat="false" ht="15" hidden="false" customHeight="false" outlineLevel="0" collapsed="false">
      <c r="A36" s="6" t="s">
        <v>191</v>
      </c>
      <c r="B36" s="6" t="s">
        <v>9</v>
      </c>
      <c r="C36" s="30" t="s">
        <v>253</v>
      </c>
      <c r="D36" s="6" t="s">
        <v>254</v>
      </c>
      <c r="E36" s="20" t="s">
        <v>200</v>
      </c>
      <c r="F36" s="20" t="s">
        <v>132</v>
      </c>
      <c r="G36" s="31" t="n">
        <f aca="false">SUMIFS('QB Import'!$B$1:$B$600,'QB Import'!$H$1:$H$600,$C36,'QB Import'!$G$1:$G$600,1)</f>
        <v>0</v>
      </c>
      <c r="H36" s="11" t="n">
        <f aca="false">IF($E36="Manual",L36,IF($E36="Flat",G36,IF($E36="Inflation",G36*(1+Inputs!D$12),IF($E36="Salary",G36*(1+Inputs!D$10),IF($E36="Benefits",G36*(1+Inputs!D$11),IF($E36="Per Student",G36*H$4/G$4*(1+Inputs!D$12),IF($E36="Enrollment",G36*H$4/G$4,IF($E36="Tuition Index",G36*H$5/G$5,IF($E36="% of Salaries",IF($G$6=0,0,$G36/$G$6*H$6),IF($E36="Debt",$G36*Inputs!D$15/12,IF($E36="Reserve Yield",Inputs!D$13*Inputs!D$16,IF($E36="Trend",IF(ISNUMBER(Trend!$Q75),Trend!$Q75,G36),G36))))))))))))</f>
        <v>0</v>
      </c>
      <c r="I36" s="11" t="n">
        <f aca="false">IF($E36="Manual",M36,IF($E36="Flat",H36,IF($E36="Inflation",H36*(1+Inputs!E$12),IF($E36="Salary",H36*(1+Inputs!E$10),IF($E36="Benefits",H36*(1+Inputs!E$11),IF($E36="Per Student",H36*I$4/H$4*(1+Inputs!E$12),IF($E36="Enrollment",H36*I$4/H$4,IF($E36="Tuition Index",H36*I$5/H$5,IF($E36="% of Salaries",IF($G$6=0,0,$G36/$G$6*I$6),IF($E36="Debt",$G36*Inputs!E$15/12,IF($E36="Reserve Yield",Inputs!E$13*Inputs!E$16,IF($E36="Trend",H36*(1+Inputs!E$12),H36))))))))))))</f>
        <v>0</v>
      </c>
      <c r="J36" s="11" t="n">
        <f aca="false">IF($E36="Manual",N36,IF($E36="Flat",I36,IF($E36="Inflation",I36*(1+Inputs!F$12),IF($E36="Salary",I36*(1+Inputs!F$10),IF($E36="Benefits",I36*(1+Inputs!F$11),IF($E36="Per Student",I36*J$4/I$4*(1+Inputs!F$12),IF($E36="Enrollment",I36*J$4/I$4,IF($E36="Tuition Index",I36*J$5/I$5,IF($E36="% of Salaries",IF($G$6=0,0,$G36/$G$6*J$6),IF($E36="Debt",$G36*Inputs!F$15/12,IF($E36="Reserve Yield",Inputs!F$13*Inputs!F$16,IF($E36="Trend",I36*(1+Inputs!F$12),I36))))))))))))</f>
        <v>0</v>
      </c>
      <c r="K36" s="11" t="n">
        <f aca="false">IF($E36="Manual",O36,IF($E36="Flat",J36,IF($E36="Inflation",J36*(1+Inputs!G$12),IF($E36="Salary",J36*(1+Inputs!G$10),IF($E36="Benefits",J36*(1+Inputs!G$11),IF($E36="Per Student",J36*K$4/J$4*(1+Inputs!G$12),IF($E36="Enrollment",J36*K$4/J$4,IF($E36="Tuition Index",J36*K$5/J$5,IF($E36="% of Salaries",IF($G$6=0,0,$G36/$G$6*K$6),IF($E36="Debt",$G36*Inputs!G$15/12,IF($E36="Reserve Yield",Inputs!G$13*Inputs!G$16,IF($E36="Trend",J36*(1+Inputs!G$12),J36))))))))))))</f>
        <v>0</v>
      </c>
      <c r="L36" s="22"/>
      <c r="M36" s="22"/>
      <c r="N36" s="22"/>
      <c r="O36" s="22"/>
    </row>
    <row r="37" customFormat="false" ht="15" hidden="false" customHeight="false" outlineLevel="0" collapsed="false">
      <c r="A37" s="6" t="s">
        <v>191</v>
      </c>
      <c r="B37" s="6" t="s">
        <v>9</v>
      </c>
      <c r="C37" s="30" t="s">
        <v>255</v>
      </c>
      <c r="D37" s="6" t="s">
        <v>256</v>
      </c>
      <c r="E37" s="20" t="s">
        <v>200</v>
      </c>
      <c r="F37" s="20" t="s">
        <v>132</v>
      </c>
      <c r="G37" s="31" t="n">
        <f aca="false">SUMIFS('QB Import'!$B$1:$B$600,'QB Import'!$H$1:$H$600,$C37,'QB Import'!$G$1:$G$600,1)</f>
        <v>0</v>
      </c>
      <c r="H37" s="11" t="n">
        <f aca="false">IF($E37="Manual",L37,IF($E37="Flat",G37,IF($E37="Inflation",G37*(1+Inputs!D$12),IF($E37="Salary",G37*(1+Inputs!D$10),IF($E37="Benefits",G37*(1+Inputs!D$11),IF($E37="Per Student",G37*H$4/G$4*(1+Inputs!D$12),IF($E37="Enrollment",G37*H$4/G$4,IF($E37="Tuition Index",G37*H$5/G$5,IF($E37="% of Salaries",IF($G$6=0,0,$G37/$G$6*H$6),IF($E37="Debt",$G37*Inputs!D$15/12,IF($E37="Reserve Yield",Inputs!D$13*Inputs!D$16,IF($E37="Trend",IF(ISNUMBER(Trend!$Q76),Trend!$Q76,G37),G37))))))))))))</f>
        <v>0</v>
      </c>
      <c r="I37" s="11" t="n">
        <f aca="false">IF($E37="Manual",M37,IF($E37="Flat",H37,IF($E37="Inflation",H37*(1+Inputs!E$12),IF($E37="Salary",H37*(1+Inputs!E$10),IF($E37="Benefits",H37*(1+Inputs!E$11),IF($E37="Per Student",H37*I$4/H$4*(1+Inputs!E$12),IF($E37="Enrollment",H37*I$4/H$4,IF($E37="Tuition Index",H37*I$5/H$5,IF($E37="% of Salaries",IF($G$6=0,0,$G37/$G$6*I$6),IF($E37="Debt",$G37*Inputs!E$15/12,IF($E37="Reserve Yield",Inputs!E$13*Inputs!E$16,IF($E37="Trend",H37*(1+Inputs!E$12),H37))))))))))))</f>
        <v>0</v>
      </c>
      <c r="J37" s="11" t="n">
        <f aca="false">IF($E37="Manual",N37,IF($E37="Flat",I37,IF($E37="Inflation",I37*(1+Inputs!F$12),IF($E37="Salary",I37*(1+Inputs!F$10),IF($E37="Benefits",I37*(1+Inputs!F$11),IF($E37="Per Student",I37*J$4/I$4*(1+Inputs!F$12),IF($E37="Enrollment",I37*J$4/I$4,IF($E37="Tuition Index",I37*J$5/I$5,IF($E37="% of Salaries",IF($G$6=0,0,$G37/$G$6*J$6),IF($E37="Debt",$G37*Inputs!F$15/12,IF($E37="Reserve Yield",Inputs!F$13*Inputs!F$16,IF($E37="Trend",I37*(1+Inputs!F$12),I37))))))))))))</f>
        <v>0</v>
      </c>
      <c r="K37" s="11" t="n">
        <f aca="false">IF($E37="Manual",O37,IF($E37="Flat",J37,IF($E37="Inflation",J37*(1+Inputs!G$12),IF($E37="Salary",J37*(1+Inputs!G$10),IF($E37="Benefits",J37*(1+Inputs!G$11),IF($E37="Per Student",J37*K$4/J$4*(1+Inputs!G$12),IF($E37="Enrollment",J37*K$4/J$4,IF($E37="Tuition Index",J37*K$5/J$5,IF($E37="% of Salaries",IF($G$6=0,0,$G37/$G$6*K$6),IF($E37="Debt",$G37*Inputs!G$15/12,IF($E37="Reserve Yield",Inputs!G$13*Inputs!G$16,IF($E37="Trend",J37*(1+Inputs!G$12),J37))))))))))))</f>
        <v>0</v>
      </c>
      <c r="L37" s="22"/>
      <c r="M37" s="22"/>
      <c r="N37" s="22"/>
      <c r="O37" s="22"/>
    </row>
    <row r="38" customFormat="false" ht="15" hidden="false" customHeight="false" outlineLevel="0" collapsed="false">
      <c r="A38" s="6" t="s">
        <v>191</v>
      </c>
      <c r="B38" s="6" t="s">
        <v>10</v>
      </c>
      <c r="C38" s="30" t="s">
        <v>10</v>
      </c>
      <c r="D38" s="6" t="s">
        <v>10</v>
      </c>
      <c r="E38" s="20" t="s">
        <v>200</v>
      </c>
      <c r="F38" s="20" t="s">
        <v>132</v>
      </c>
      <c r="G38" s="31" t="n">
        <f aca="false">SUMIFS('QB Import'!$B$1:$B$600,'QB Import'!$H$1:$H$600,$C38,'QB Import'!$G$1:$G$600,1)</f>
        <v>60000</v>
      </c>
      <c r="H38" s="11" t="n">
        <f aca="false">IF($E38="Manual",L38,IF($E38="Flat",G38,IF($E38="Inflation",G38*(1+Inputs!D$12),IF($E38="Salary",G38*(1+Inputs!D$10),IF($E38="Benefits",G38*(1+Inputs!D$11),IF($E38="Per Student",G38*H$4/G$4*(1+Inputs!D$12),IF($E38="Enrollment",G38*H$4/G$4,IF($E38="Tuition Index",G38*H$5/G$5,IF($E38="% of Salaries",IF($G$6=0,0,$G38/$G$6*H$6),IF($E38="Debt",$G38*Inputs!D$15/12,IF($E38="Reserve Yield",Inputs!D$13*Inputs!D$16,IF($E38="Trend",IF(ISNUMBER(Trend!$Q77),Trend!$Q77,G38),G38))))))))))))</f>
        <v>60000</v>
      </c>
      <c r="I38" s="11" t="n">
        <f aca="false">IF($E38="Manual",M38,IF($E38="Flat",H38,IF($E38="Inflation",H38*(1+Inputs!E$12),IF($E38="Salary",H38*(1+Inputs!E$10),IF($E38="Benefits",H38*(1+Inputs!E$11),IF($E38="Per Student",H38*I$4/H$4*(1+Inputs!E$12),IF($E38="Enrollment",H38*I$4/H$4,IF($E38="Tuition Index",H38*I$5/H$5,IF($E38="% of Salaries",IF($G$6=0,0,$G38/$G$6*I$6),IF($E38="Debt",$G38*Inputs!E$15/12,IF($E38="Reserve Yield",Inputs!E$13*Inputs!E$16,IF($E38="Trend",H38*(1+Inputs!E$12),H38))))))))))))</f>
        <v>60000</v>
      </c>
      <c r="J38" s="11" t="n">
        <f aca="false">IF($E38="Manual",N38,IF($E38="Flat",I38,IF($E38="Inflation",I38*(1+Inputs!F$12),IF($E38="Salary",I38*(1+Inputs!F$10),IF($E38="Benefits",I38*(1+Inputs!F$11),IF($E38="Per Student",I38*J$4/I$4*(1+Inputs!F$12),IF($E38="Enrollment",I38*J$4/I$4,IF($E38="Tuition Index",I38*J$5/I$5,IF($E38="% of Salaries",IF($G$6=0,0,$G38/$G$6*J$6),IF($E38="Debt",$G38*Inputs!F$15/12,IF($E38="Reserve Yield",Inputs!F$13*Inputs!F$16,IF($E38="Trend",I38*(1+Inputs!F$12),I38))))))))))))</f>
        <v>60000</v>
      </c>
      <c r="K38" s="11" t="n">
        <f aca="false">IF($E38="Manual",O38,IF($E38="Flat",J38,IF($E38="Inflation",J38*(1+Inputs!G$12),IF($E38="Salary",J38*(1+Inputs!G$10),IF($E38="Benefits",J38*(1+Inputs!G$11),IF($E38="Per Student",J38*K$4/J$4*(1+Inputs!G$12),IF($E38="Enrollment",J38*K$4/J$4,IF($E38="Tuition Index",J38*K$5/J$5,IF($E38="% of Salaries",IF($G$6=0,0,$G38/$G$6*K$6),IF($E38="Debt",$G38*Inputs!G$15/12,IF($E38="Reserve Yield",Inputs!G$13*Inputs!G$16,IF($E38="Trend",J38*(1+Inputs!G$12),J38))))))))))))</f>
        <v>60000</v>
      </c>
      <c r="L38" s="22"/>
      <c r="M38" s="22"/>
      <c r="N38" s="22"/>
      <c r="O38" s="22"/>
    </row>
    <row r="39" customFormat="false" ht="15" hidden="false" customHeight="false" outlineLevel="0" collapsed="false">
      <c r="A39" s="6" t="s">
        <v>191</v>
      </c>
      <c r="B39" s="6" t="s">
        <v>10</v>
      </c>
      <c r="C39" s="30" t="s">
        <v>257</v>
      </c>
      <c r="D39" s="6" t="s">
        <v>258</v>
      </c>
      <c r="E39" s="20" t="s">
        <v>200</v>
      </c>
      <c r="F39" s="20" t="s">
        <v>132</v>
      </c>
      <c r="G39" s="31" t="n">
        <f aca="false">SUMIFS('QB Import'!$B$1:$B$600,'QB Import'!$H$1:$H$600,$C39,'QB Import'!$G$1:$G$600,1)</f>
        <v>0</v>
      </c>
      <c r="H39" s="11" t="n">
        <f aca="false">IF($E39="Manual",L39,IF($E39="Flat",G39,IF($E39="Inflation",G39*(1+Inputs!D$12),IF($E39="Salary",G39*(1+Inputs!D$10),IF($E39="Benefits",G39*(1+Inputs!D$11),IF($E39="Per Student",G39*H$4/G$4*(1+Inputs!D$12),IF($E39="Enrollment",G39*H$4/G$4,IF($E39="Tuition Index",G39*H$5/G$5,IF($E39="% of Salaries",IF($G$6=0,0,$G39/$G$6*H$6),IF($E39="Debt",$G39*Inputs!D$15/12,IF($E39="Reserve Yield",Inputs!D$13*Inputs!D$16,IF($E39="Trend",IF(ISNUMBER(Trend!$Q78),Trend!$Q78,G39),G39))))))))))))</f>
        <v>0</v>
      </c>
      <c r="I39" s="11" t="n">
        <f aca="false">IF($E39="Manual",M39,IF($E39="Flat",H39,IF($E39="Inflation",H39*(1+Inputs!E$12),IF($E39="Salary",H39*(1+Inputs!E$10),IF($E39="Benefits",H39*(1+Inputs!E$11),IF($E39="Per Student",H39*I$4/H$4*(1+Inputs!E$12),IF($E39="Enrollment",H39*I$4/H$4,IF($E39="Tuition Index",H39*I$5/H$5,IF($E39="% of Salaries",IF($G$6=0,0,$G39/$G$6*I$6),IF($E39="Debt",$G39*Inputs!E$15/12,IF($E39="Reserve Yield",Inputs!E$13*Inputs!E$16,IF($E39="Trend",H39*(1+Inputs!E$12),H39))))))))))))</f>
        <v>0</v>
      </c>
      <c r="J39" s="11" t="n">
        <f aca="false">IF($E39="Manual",N39,IF($E39="Flat",I39,IF($E39="Inflation",I39*(1+Inputs!F$12),IF($E39="Salary",I39*(1+Inputs!F$10),IF($E39="Benefits",I39*(1+Inputs!F$11),IF($E39="Per Student",I39*J$4/I$4*(1+Inputs!F$12),IF($E39="Enrollment",I39*J$4/I$4,IF($E39="Tuition Index",I39*J$5/I$5,IF($E39="% of Salaries",IF($G$6=0,0,$G39/$G$6*J$6),IF($E39="Debt",$G39*Inputs!F$15/12,IF($E39="Reserve Yield",Inputs!F$13*Inputs!F$16,IF($E39="Trend",I39*(1+Inputs!F$12),I39))))))))))))</f>
        <v>0</v>
      </c>
      <c r="K39" s="11" t="n">
        <f aca="false">IF($E39="Manual",O39,IF($E39="Flat",J39,IF($E39="Inflation",J39*(1+Inputs!G$12),IF($E39="Salary",J39*(1+Inputs!G$10),IF($E39="Benefits",J39*(1+Inputs!G$11),IF($E39="Per Student",J39*K$4/J$4*(1+Inputs!G$12),IF($E39="Enrollment",J39*K$4/J$4,IF($E39="Tuition Index",J39*K$5/J$5,IF($E39="% of Salaries",IF($G$6=0,0,$G39/$G$6*K$6),IF($E39="Debt",$G39*Inputs!G$15/12,IF($E39="Reserve Yield",Inputs!G$13*Inputs!G$16,IF($E39="Trend",J39*(1+Inputs!G$12),J39))))))))))))</f>
        <v>0</v>
      </c>
      <c r="L39" s="22"/>
      <c r="M39" s="22"/>
      <c r="N39" s="22"/>
      <c r="O39" s="22"/>
    </row>
    <row r="40" customFormat="false" ht="15" hidden="false" customHeight="false" outlineLevel="0" collapsed="false">
      <c r="A40" s="6" t="s">
        <v>191</v>
      </c>
      <c r="B40" s="6" t="s">
        <v>10</v>
      </c>
      <c r="C40" s="30" t="s">
        <v>259</v>
      </c>
      <c r="D40" s="6" t="s">
        <v>260</v>
      </c>
      <c r="E40" s="20" t="s">
        <v>200</v>
      </c>
      <c r="F40" s="20" t="s">
        <v>132</v>
      </c>
      <c r="G40" s="31" t="n">
        <f aca="false">SUMIFS('QB Import'!$B$1:$B$600,'QB Import'!$H$1:$H$600,$C40,'QB Import'!$G$1:$G$600,1)</f>
        <v>0</v>
      </c>
      <c r="H40" s="11" t="n">
        <f aca="false">IF($E40="Manual",L40,IF($E40="Flat",G40,IF($E40="Inflation",G40*(1+Inputs!D$12),IF($E40="Salary",G40*(1+Inputs!D$10),IF($E40="Benefits",G40*(1+Inputs!D$11),IF($E40="Per Student",G40*H$4/G$4*(1+Inputs!D$12),IF($E40="Enrollment",G40*H$4/G$4,IF($E40="Tuition Index",G40*H$5/G$5,IF($E40="% of Salaries",IF($G$6=0,0,$G40/$G$6*H$6),IF($E40="Debt",$G40*Inputs!D$15/12,IF($E40="Reserve Yield",Inputs!D$13*Inputs!D$16,IF($E40="Trend",IF(ISNUMBER(Trend!$Q79),Trend!$Q79,G40),G40))))))))))))</f>
        <v>0</v>
      </c>
      <c r="I40" s="11" t="n">
        <f aca="false">IF($E40="Manual",M40,IF($E40="Flat",H40,IF($E40="Inflation",H40*(1+Inputs!E$12),IF($E40="Salary",H40*(1+Inputs!E$10),IF($E40="Benefits",H40*(1+Inputs!E$11),IF($E40="Per Student",H40*I$4/H$4*(1+Inputs!E$12),IF($E40="Enrollment",H40*I$4/H$4,IF($E40="Tuition Index",H40*I$5/H$5,IF($E40="% of Salaries",IF($G$6=0,0,$G40/$G$6*I$6),IF($E40="Debt",$G40*Inputs!E$15/12,IF($E40="Reserve Yield",Inputs!E$13*Inputs!E$16,IF($E40="Trend",H40*(1+Inputs!E$12),H40))))))))))))</f>
        <v>0</v>
      </c>
      <c r="J40" s="11" t="n">
        <f aca="false">IF($E40="Manual",N40,IF($E40="Flat",I40,IF($E40="Inflation",I40*(1+Inputs!F$12),IF($E40="Salary",I40*(1+Inputs!F$10),IF($E40="Benefits",I40*(1+Inputs!F$11),IF($E40="Per Student",I40*J$4/I$4*(1+Inputs!F$12),IF($E40="Enrollment",I40*J$4/I$4,IF($E40="Tuition Index",I40*J$5/I$5,IF($E40="% of Salaries",IF($G$6=0,0,$G40/$G$6*J$6),IF($E40="Debt",$G40*Inputs!F$15/12,IF($E40="Reserve Yield",Inputs!F$13*Inputs!F$16,IF($E40="Trend",I40*(1+Inputs!F$12),I40))))))))))))</f>
        <v>0</v>
      </c>
      <c r="K40" s="11" t="n">
        <f aca="false">IF($E40="Manual",O40,IF($E40="Flat",J40,IF($E40="Inflation",J40*(1+Inputs!G$12),IF($E40="Salary",J40*(1+Inputs!G$10),IF($E40="Benefits",J40*(1+Inputs!G$11),IF($E40="Per Student",J40*K$4/J$4*(1+Inputs!G$12),IF($E40="Enrollment",J40*K$4/J$4,IF($E40="Tuition Index",J40*K$5/J$5,IF($E40="% of Salaries",IF($G$6=0,0,$G40/$G$6*K$6),IF($E40="Debt",$G40*Inputs!G$15/12,IF($E40="Reserve Yield",Inputs!G$13*Inputs!G$16,IF($E40="Trend",J40*(1+Inputs!G$12),J40))))))))))))</f>
        <v>0</v>
      </c>
      <c r="L40" s="22"/>
      <c r="M40" s="22"/>
      <c r="N40" s="22"/>
      <c r="O40" s="22"/>
    </row>
    <row r="41" customFormat="false" ht="15" hidden="false" customHeight="false" outlineLevel="0" collapsed="false">
      <c r="A41" s="6" t="s">
        <v>191</v>
      </c>
      <c r="B41" s="6" t="s">
        <v>10</v>
      </c>
      <c r="C41" s="30" t="s">
        <v>261</v>
      </c>
      <c r="D41" s="6" t="s">
        <v>262</v>
      </c>
      <c r="E41" s="20" t="s">
        <v>200</v>
      </c>
      <c r="F41" s="20" t="s">
        <v>132</v>
      </c>
      <c r="G41" s="31" t="n">
        <f aca="false">SUMIFS('QB Import'!$B$1:$B$600,'QB Import'!$H$1:$H$600,$C41,'QB Import'!$G$1:$G$600,1)</f>
        <v>0</v>
      </c>
      <c r="H41" s="11" t="n">
        <f aca="false">IF($E41="Manual",L41,IF($E41="Flat",G41,IF($E41="Inflation",G41*(1+Inputs!D$12),IF($E41="Salary",G41*(1+Inputs!D$10),IF($E41="Benefits",G41*(1+Inputs!D$11),IF($E41="Per Student",G41*H$4/G$4*(1+Inputs!D$12),IF($E41="Enrollment",G41*H$4/G$4,IF($E41="Tuition Index",G41*H$5/G$5,IF($E41="% of Salaries",IF($G$6=0,0,$G41/$G$6*H$6),IF($E41="Debt",$G41*Inputs!D$15/12,IF($E41="Reserve Yield",Inputs!D$13*Inputs!D$16,IF($E41="Trend",IF(ISNUMBER(Trend!$Q80),Trend!$Q80,G41),G41))))))))))))</f>
        <v>0</v>
      </c>
      <c r="I41" s="11" t="n">
        <f aca="false">IF($E41="Manual",M41,IF($E41="Flat",H41,IF($E41="Inflation",H41*(1+Inputs!E$12),IF($E41="Salary",H41*(1+Inputs!E$10),IF($E41="Benefits",H41*(1+Inputs!E$11),IF($E41="Per Student",H41*I$4/H$4*(1+Inputs!E$12),IF($E41="Enrollment",H41*I$4/H$4,IF($E41="Tuition Index",H41*I$5/H$5,IF($E41="% of Salaries",IF($G$6=0,0,$G41/$G$6*I$6),IF($E41="Debt",$G41*Inputs!E$15/12,IF($E41="Reserve Yield",Inputs!E$13*Inputs!E$16,IF($E41="Trend",H41*(1+Inputs!E$12),H41))))))))))))</f>
        <v>0</v>
      </c>
      <c r="J41" s="11" t="n">
        <f aca="false">IF($E41="Manual",N41,IF($E41="Flat",I41,IF($E41="Inflation",I41*(1+Inputs!F$12),IF($E41="Salary",I41*(1+Inputs!F$10),IF($E41="Benefits",I41*(1+Inputs!F$11),IF($E41="Per Student",I41*J$4/I$4*(1+Inputs!F$12),IF($E41="Enrollment",I41*J$4/I$4,IF($E41="Tuition Index",I41*J$5/I$5,IF($E41="% of Salaries",IF($G$6=0,0,$G41/$G$6*J$6),IF($E41="Debt",$G41*Inputs!F$15/12,IF($E41="Reserve Yield",Inputs!F$13*Inputs!F$16,IF($E41="Trend",I41*(1+Inputs!F$12),I41))))))))))))</f>
        <v>0</v>
      </c>
      <c r="K41" s="11" t="n">
        <f aca="false">IF($E41="Manual",O41,IF($E41="Flat",J41,IF($E41="Inflation",J41*(1+Inputs!G$12),IF($E41="Salary",J41*(1+Inputs!G$10),IF($E41="Benefits",J41*(1+Inputs!G$11),IF($E41="Per Student",J41*K$4/J$4*(1+Inputs!G$12),IF($E41="Enrollment",J41*K$4/J$4,IF($E41="Tuition Index",J41*K$5/J$5,IF($E41="% of Salaries",IF($G$6=0,0,$G41/$G$6*K$6),IF($E41="Debt",$G41*Inputs!G$15/12,IF($E41="Reserve Yield",Inputs!G$13*Inputs!G$16,IF($E41="Trend",J41*(1+Inputs!G$12),J41))))))))))))</f>
        <v>0</v>
      </c>
      <c r="L41" s="22"/>
      <c r="M41" s="22"/>
      <c r="N41" s="22"/>
      <c r="O41" s="22"/>
    </row>
    <row r="42" customFormat="false" ht="15" hidden="false" customHeight="false" outlineLevel="0" collapsed="false">
      <c r="A42" s="6" t="s">
        <v>191</v>
      </c>
      <c r="B42" s="6" t="s">
        <v>10</v>
      </c>
      <c r="C42" s="30" t="s">
        <v>263</v>
      </c>
      <c r="D42" s="6" t="s">
        <v>264</v>
      </c>
      <c r="E42" s="20" t="s">
        <v>200</v>
      </c>
      <c r="F42" s="20" t="s">
        <v>132</v>
      </c>
      <c r="G42" s="31" t="n">
        <f aca="false">SUMIFS('QB Import'!$B$1:$B$600,'QB Import'!$H$1:$H$600,$C42,'QB Import'!$G$1:$G$600,1)</f>
        <v>0</v>
      </c>
      <c r="H42" s="11" t="n">
        <f aca="false">IF($E42="Manual",L42,IF($E42="Flat",G42,IF($E42="Inflation",G42*(1+Inputs!D$12),IF($E42="Salary",G42*(1+Inputs!D$10),IF($E42="Benefits",G42*(1+Inputs!D$11),IF($E42="Per Student",G42*H$4/G$4*(1+Inputs!D$12),IF($E42="Enrollment",G42*H$4/G$4,IF($E42="Tuition Index",G42*H$5/G$5,IF($E42="% of Salaries",IF($G$6=0,0,$G42/$G$6*H$6),IF($E42="Debt",$G42*Inputs!D$15/12,IF($E42="Reserve Yield",Inputs!D$13*Inputs!D$16,IF($E42="Trend",IF(ISNUMBER(Trend!$Q81),Trend!$Q81,G42),G42))))))))))))</f>
        <v>0</v>
      </c>
      <c r="I42" s="11" t="n">
        <f aca="false">IF($E42="Manual",M42,IF($E42="Flat",H42,IF($E42="Inflation",H42*(1+Inputs!E$12),IF($E42="Salary",H42*(1+Inputs!E$10),IF($E42="Benefits",H42*(1+Inputs!E$11),IF($E42="Per Student",H42*I$4/H$4*(1+Inputs!E$12),IF($E42="Enrollment",H42*I$4/H$4,IF($E42="Tuition Index",H42*I$5/H$5,IF($E42="% of Salaries",IF($G$6=0,0,$G42/$G$6*I$6),IF($E42="Debt",$G42*Inputs!E$15/12,IF($E42="Reserve Yield",Inputs!E$13*Inputs!E$16,IF($E42="Trend",H42*(1+Inputs!E$12),H42))))))))))))</f>
        <v>0</v>
      </c>
      <c r="J42" s="11" t="n">
        <f aca="false">IF($E42="Manual",N42,IF($E42="Flat",I42,IF($E42="Inflation",I42*(1+Inputs!F$12),IF($E42="Salary",I42*(1+Inputs!F$10),IF($E42="Benefits",I42*(1+Inputs!F$11),IF($E42="Per Student",I42*J$4/I$4*(1+Inputs!F$12),IF($E42="Enrollment",I42*J$4/I$4,IF($E42="Tuition Index",I42*J$5/I$5,IF($E42="% of Salaries",IF($G$6=0,0,$G42/$G$6*J$6),IF($E42="Debt",$G42*Inputs!F$15/12,IF($E42="Reserve Yield",Inputs!F$13*Inputs!F$16,IF($E42="Trend",I42*(1+Inputs!F$12),I42))))))))))))</f>
        <v>0</v>
      </c>
      <c r="K42" s="11" t="n">
        <f aca="false">IF($E42="Manual",O42,IF($E42="Flat",J42,IF($E42="Inflation",J42*(1+Inputs!G$12),IF($E42="Salary",J42*(1+Inputs!G$10),IF($E42="Benefits",J42*(1+Inputs!G$11),IF($E42="Per Student",J42*K$4/J$4*(1+Inputs!G$12),IF($E42="Enrollment",J42*K$4/J$4,IF($E42="Tuition Index",J42*K$5/J$5,IF($E42="% of Salaries",IF($G$6=0,0,$G42/$G$6*K$6),IF($E42="Debt",$G42*Inputs!G$15/12,IF($E42="Reserve Yield",Inputs!G$13*Inputs!G$16,IF($E42="Trend",J42*(1+Inputs!G$12),J42))))))))))))</f>
        <v>0</v>
      </c>
      <c r="L42" s="22"/>
      <c r="M42" s="22"/>
      <c r="N42" s="22"/>
      <c r="O42" s="22"/>
    </row>
    <row r="43" customFormat="false" ht="15" hidden="false" customHeight="false" outlineLevel="0" collapsed="false">
      <c r="A43" s="6" t="s">
        <v>191</v>
      </c>
      <c r="B43" s="6" t="s">
        <v>10</v>
      </c>
      <c r="C43" s="30" t="s">
        <v>265</v>
      </c>
      <c r="D43" s="6" t="s">
        <v>266</v>
      </c>
      <c r="E43" s="20" t="s">
        <v>200</v>
      </c>
      <c r="F43" s="20" t="s">
        <v>132</v>
      </c>
      <c r="G43" s="31" t="n">
        <f aca="false">SUMIFS('QB Import'!$B$1:$B$600,'QB Import'!$H$1:$H$600,$C43,'QB Import'!$G$1:$G$600,1)</f>
        <v>0</v>
      </c>
      <c r="H43" s="11" t="n">
        <f aca="false">IF($E43="Manual",L43,IF($E43="Flat",G43,IF($E43="Inflation",G43*(1+Inputs!D$12),IF($E43="Salary",G43*(1+Inputs!D$10),IF($E43="Benefits",G43*(1+Inputs!D$11),IF($E43="Per Student",G43*H$4/G$4*(1+Inputs!D$12),IF($E43="Enrollment",G43*H$4/G$4,IF($E43="Tuition Index",G43*H$5/G$5,IF($E43="% of Salaries",IF($G$6=0,0,$G43/$G$6*H$6),IF($E43="Debt",$G43*Inputs!D$15/12,IF($E43="Reserve Yield",Inputs!D$13*Inputs!D$16,IF($E43="Trend",IF(ISNUMBER(Trend!$Q82),Trend!$Q82,G43),G43))))))))))))</f>
        <v>0</v>
      </c>
      <c r="I43" s="11" t="n">
        <f aca="false">IF($E43="Manual",M43,IF($E43="Flat",H43,IF($E43="Inflation",H43*(1+Inputs!E$12),IF($E43="Salary",H43*(1+Inputs!E$10),IF($E43="Benefits",H43*(1+Inputs!E$11),IF($E43="Per Student",H43*I$4/H$4*(1+Inputs!E$12),IF($E43="Enrollment",H43*I$4/H$4,IF($E43="Tuition Index",H43*I$5/H$5,IF($E43="% of Salaries",IF($G$6=0,0,$G43/$G$6*I$6),IF($E43="Debt",$G43*Inputs!E$15/12,IF($E43="Reserve Yield",Inputs!E$13*Inputs!E$16,IF($E43="Trend",H43*(1+Inputs!E$12),H43))))))))))))</f>
        <v>0</v>
      </c>
      <c r="J43" s="11" t="n">
        <f aca="false">IF($E43="Manual",N43,IF($E43="Flat",I43,IF($E43="Inflation",I43*(1+Inputs!F$12),IF($E43="Salary",I43*(1+Inputs!F$10),IF($E43="Benefits",I43*(1+Inputs!F$11),IF($E43="Per Student",I43*J$4/I$4*(1+Inputs!F$12),IF($E43="Enrollment",I43*J$4/I$4,IF($E43="Tuition Index",I43*J$5/I$5,IF($E43="% of Salaries",IF($G$6=0,0,$G43/$G$6*J$6),IF($E43="Debt",$G43*Inputs!F$15/12,IF($E43="Reserve Yield",Inputs!F$13*Inputs!F$16,IF($E43="Trend",I43*(1+Inputs!F$12),I43))))))))))))</f>
        <v>0</v>
      </c>
      <c r="K43" s="11" t="n">
        <f aca="false">IF($E43="Manual",O43,IF($E43="Flat",J43,IF($E43="Inflation",J43*(1+Inputs!G$12),IF($E43="Salary",J43*(1+Inputs!G$10),IF($E43="Benefits",J43*(1+Inputs!G$11),IF($E43="Per Student",J43*K$4/J$4*(1+Inputs!G$12),IF($E43="Enrollment",J43*K$4/J$4,IF($E43="Tuition Index",J43*K$5/J$5,IF($E43="% of Salaries",IF($G$6=0,0,$G43/$G$6*K$6),IF($E43="Debt",$G43*Inputs!G$15/12,IF($E43="Reserve Yield",Inputs!G$13*Inputs!G$16,IF($E43="Trend",J43*(1+Inputs!G$12),J43))))))))))))</f>
        <v>0</v>
      </c>
      <c r="L43" s="22"/>
      <c r="M43" s="22"/>
      <c r="N43" s="22"/>
      <c r="O43" s="22"/>
    </row>
    <row r="44" customFormat="false" ht="15" hidden="false" customHeight="false" outlineLevel="0" collapsed="false">
      <c r="A44" s="6" t="s">
        <v>191</v>
      </c>
      <c r="B44" s="6" t="s">
        <v>10</v>
      </c>
      <c r="C44" s="30" t="s">
        <v>267</v>
      </c>
      <c r="D44" s="6" t="s">
        <v>268</v>
      </c>
      <c r="E44" s="20" t="s">
        <v>200</v>
      </c>
      <c r="F44" s="20" t="s">
        <v>132</v>
      </c>
      <c r="G44" s="31" t="n">
        <f aca="false">SUMIFS('QB Import'!$B$1:$B$600,'QB Import'!$H$1:$H$600,$C44,'QB Import'!$G$1:$G$600,1)</f>
        <v>0</v>
      </c>
      <c r="H44" s="11" t="n">
        <f aca="false">IF($E44="Manual",L44,IF($E44="Flat",G44,IF($E44="Inflation",G44*(1+Inputs!D$12),IF($E44="Salary",G44*(1+Inputs!D$10),IF($E44="Benefits",G44*(1+Inputs!D$11),IF($E44="Per Student",G44*H$4/G$4*(1+Inputs!D$12),IF($E44="Enrollment",G44*H$4/G$4,IF($E44="Tuition Index",G44*H$5/G$5,IF($E44="% of Salaries",IF($G$6=0,0,$G44/$G$6*H$6),IF($E44="Debt",$G44*Inputs!D$15/12,IF($E44="Reserve Yield",Inputs!D$13*Inputs!D$16,IF($E44="Trend",IF(ISNUMBER(Trend!$Q83),Trend!$Q83,G44),G44))))))))))))</f>
        <v>0</v>
      </c>
      <c r="I44" s="11" t="n">
        <f aca="false">IF($E44="Manual",M44,IF($E44="Flat",H44,IF($E44="Inflation",H44*(1+Inputs!E$12),IF($E44="Salary",H44*(1+Inputs!E$10),IF($E44="Benefits",H44*(1+Inputs!E$11),IF($E44="Per Student",H44*I$4/H$4*(1+Inputs!E$12),IF($E44="Enrollment",H44*I$4/H$4,IF($E44="Tuition Index",H44*I$5/H$5,IF($E44="% of Salaries",IF($G$6=0,0,$G44/$G$6*I$6),IF($E44="Debt",$G44*Inputs!E$15/12,IF($E44="Reserve Yield",Inputs!E$13*Inputs!E$16,IF($E44="Trend",H44*(1+Inputs!E$12),H44))))))))))))</f>
        <v>0</v>
      </c>
      <c r="J44" s="11" t="n">
        <f aca="false">IF($E44="Manual",N44,IF($E44="Flat",I44,IF($E44="Inflation",I44*(1+Inputs!F$12),IF($E44="Salary",I44*(1+Inputs!F$10),IF($E44="Benefits",I44*(1+Inputs!F$11),IF($E44="Per Student",I44*J$4/I$4*(1+Inputs!F$12),IF($E44="Enrollment",I44*J$4/I$4,IF($E44="Tuition Index",I44*J$5/I$5,IF($E44="% of Salaries",IF($G$6=0,0,$G44/$G$6*J$6),IF($E44="Debt",$G44*Inputs!F$15/12,IF($E44="Reserve Yield",Inputs!F$13*Inputs!F$16,IF($E44="Trend",I44*(1+Inputs!F$12),I44))))))))))))</f>
        <v>0</v>
      </c>
      <c r="K44" s="11" t="n">
        <f aca="false">IF($E44="Manual",O44,IF($E44="Flat",J44,IF($E44="Inflation",J44*(1+Inputs!G$12),IF($E44="Salary",J44*(1+Inputs!G$10),IF($E44="Benefits",J44*(1+Inputs!G$11),IF($E44="Per Student",J44*K$4/J$4*(1+Inputs!G$12),IF($E44="Enrollment",J44*K$4/J$4,IF($E44="Tuition Index",J44*K$5/J$5,IF($E44="% of Salaries",IF($G$6=0,0,$G44/$G$6*K$6),IF($E44="Debt",$G44*Inputs!G$15/12,IF($E44="Reserve Yield",Inputs!G$13*Inputs!G$16,IF($E44="Trend",J44*(1+Inputs!G$12),J44))))))))))))</f>
        <v>0</v>
      </c>
      <c r="L44" s="22"/>
      <c r="M44" s="22"/>
      <c r="N44" s="22"/>
      <c r="O44" s="22"/>
    </row>
    <row r="45" customFormat="false" ht="15" hidden="false" customHeight="false" outlineLevel="0" collapsed="false">
      <c r="A45" s="6" t="s">
        <v>191</v>
      </c>
      <c r="B45" s="6" t="s">
        <v>10</v>
      </c>
      <c r="C45" s="30" t="s">
        <v>269</v>
      </c>
      <c r="D45" s="6" t="s">
        <v>270</v>
      </c>
      <c r="E45" s="20" t="s">
        <v>200</v>
      </c>
      <c r="F45" s="20" t="s">
        <v>132</v>
      </c>
      <c r="G45" s="31" t="n">
        <f aca="false">SUMIFS('QB Import'!$B$1:$B$600,'QB Import'!$H$1:$H$600,$C45,'QB Import'!$G$1:$G$600,1)</f>
        <v>0</v>
      </c>
      <c r="H45" s="11" t="n">
        <f aca="false">IF($E45="Manual",L45,IF($E45="Flat",G45,IF($E45="Inflation",G45*(1+Inputs!D$12),IF($E45="Salary",G45*(1+Inputs!D$10),IF($E45="Benefits",G45*(1+Inputs!D$11),IF($E45="Per Student",G45*H$4/G$4*(1+Inputs!D$12),IF($E45="Enrollment",G45*H$4/G$4,IF($E45="Tuition Index",G45*H$5/G$5,IF($E45="% of Salaries",IF($G$6=0,0,$G45/$G$6*H$6),IF($E45="Debt",$G45*Inputs!D$15/12,IF($E45="Reserve Yield",Inputs!D$13*Inputs!D$16,IF($E45="Trend",IF(ISNUMBER(Trend!$Q84),Trend!$Q84,G45),G45))))))))))))</f>
        <v>0</v>
      </c>
      <c r="I45" s="11" t="n">
        <f aca="false">IF($E45="Manual",M45,IF($E45="Flat",H45,IF($E45="Inflation",H45*(1+Inputs!E$12),IF($E45="Salary",H45*(1+Inputs!E$10),IF($E45="Benefits",H45*(1+Inputs!E$11),IF($E45="Per Student",H45*I$4/H$4*(1+Inputs!E$12),IF($E45="Enrollment",H45*I$4/H$4,IF($E45="Tuition Index",H45*I$5/H$5,IF($E45="% of Salaries",IF($G$6=0,0,$G45/$G$6*I$6),IF($E45="Debt",$G45*Inputs!E$15/12,IF($E45="Reserve Yield",Inputs!E$13*Inputs!E$16,IF($E45="Trend",H45*(1+Inputs!E$12),H45))))))))))))</f>
        <v>0</v>
      </c>
      <c r="J45" s="11" t="n">
        <f aca="false">IF($E45="Manual",N45,IF($E45="Flat",I45,IF($E45="Inflation",I45*(1+Inputs!F$12),IF($E45="Salary",I45*(1+Inputs!F$10),IF($E45="Benefits",I45*(1+Inputs!F$11),IF($E45="Per Student",I45*J$4/I$4*(1+Inputs!F$12),IF($E45="Enrollment",I45*J$4/I$4,IF($E45="Tuition Index",I45*J$5/I$5,IF($E45="% of Salaries",IF($G$6=0,0,$G45/$G$6*J$6),IF($E45="Debt",$G45*Inputs!F$15/12,IF($E45="Reserve Yield",Inputs!F$13*Inputs!F$16,IF($E45="Trend",I45*(1+Inputs!F$12),I45))))))))))))</f>
        <v>0</v>
      </c>
      <c r="K45" s="11" t="n">
        <f aca="false">IF($E45="Manual",O45,IF($E45="Flat",J45,IF($E45="Inflation",J45*(1+Inputs!G$12),IF($E45="Salary",J45*(1+Inputs!G$10),IF($E45="Benefits",J45*(1+Inputs!G$11),IF($E45="Per Student",J45*K$4/J$4*(1+Inputs!G$12),IF($E45="Enrollment",J45*K$4/J$4,IF($E45="Tuition Index",J45*K$5/J$5,IF($E45="% of Salaries",IF($G$6=0,0,$G45/$G$6*K$6),IF($E45="Debt",$G45*Inputs!G$15/12,IF($E45="Reserve Yield",Inputs!G$13*Inputs!G$16,IF($E45="Trend",J45*(1+Inputs!G$12),J45))))))))))))</f>
        <v>0</v>
      </c>
      <c r="L45" s="22"/>
      <c r="M45" s="22"/>
      <c r="N45" s="22"/>
      <c r="O45" s="22"/>
    </row>
    <row r="46" customFormat="false" ht="15" hidden="false" customHeight="false" outlineLevel="0" collapsed="false">
      <c r="A46" s="6" t="s">
        <v>191</v>
      </c>
      <c r="B46" s="6" t="s">
        <v>10</v>
      </c>
      <c r="C46" s="30" t="s">
        <v>271</v>
      </c>
      <c r="D46" s="6" t="s">
        <v>272</v>
      </c>
      <c r="E46" s="20" t="s">
        <v>200</v>
      </c>
      <c r="F46" s="20" t="s">
        <v>132</v>
      </c>
      <c r="G46" s="31" t="n">
        <f aca="false">SUMIFS('QB Import'!$B$1:$B$600,'QB Import'!$H$1:$H$600,$C46,'QB Import'!$G$1:$G$600,1)</f>
        <v>0</v>
      </c>
      <c r="H46" s="11" t="n">
        <f aca="false">IF($E46="Manual",L46,IF($E46="Flat",G46,IF($E46="Inflation",G46*(1+Inputs!D$12),IF($E46="Salary",G46*(1+Inputs!D$10),IF($E46="Benefits",G46*(1+Inputs!D$11),IF($E46="Per Student",G46*H$4/G$4*(1+Inputs!D$12),IF($E46="Enrollment",G46*H$4/G$4,IF($E46="Tuition Index",G46*H$5/G$5,IF($E46="% of Salaries",IF($G$6=0,0,$G46/$G$6*H$6),IF($E46="Debt",$G46*Inputs!D$15/12,IF($E46="Reserve Yield",Inputs!D$13*Inputs!D$16,IF($E46="Trend",IF(ISNUMBER(Trend!$Q85),Trend!$Q85,G46),G46))))))))))))</f>
        <v>0</v>
      </c>
      <c r="I46" s="11" t="n">
        <f aca="false">IF($E46="Manual",M46,IF($E46="Flat",H46,IF($E46="Inflation",H46*(1+Inputs!E$12),IF($E46="Salary",H46*(1+Inputs!E$10),IF($E46="Benefits",H46*(1+Inputs!E$11),IF($E46="Per Student",H46*I$4/H$4*(1+Inputs!E$12),IF($E46="Enrollment",H46*I$4/H$4,IF($E46="Tuition Index",H46*I$5/H$5,IF($E46="% of Salaries",IF($G$6=0,0,$G46/$G$6*I$6),IF($E46="Debt",$G46*Inputs!E$15/12,IF($E46="Reserve Yield",Inputs!E$13*Inputs!E$16,IF($E46="Trend",H46*(1+Inputs!E$12),H46))))))))))))</f>
        <v>0</v>
      </c>
      <c r="J46" s="11" t="n">
        <f aca="false">IF($E46="Manual",N46,IF($E46="Flat",I46,IF($E46="Inflation",I46*(1+Inputs!F$12),IF($E46="Salary",I46*(1+Inputs!F$10),IF($E46="Benefits",I46*(1+Inputs!F$11),IF($E46="Per Student",I46*J$4/I$4*(1+Inputs!F$12),IF($E46="Enrollment",I46*J$4/I$4,IF($E46="Tuition Index",I46*J$5/I$5,IF($E46="% of Salaries",IF($G$6=0,0,$G46/$G$6*J$6),IF($E46="Debt",$G46*Inputs!F$15/12,IF($E46="Reserve Yield",Inputs!F$13*Inputs!F$16,IF($E46="Trend",I46*(1+Inputs!F$12),I46))))))))))))</f>
        <v>0</v>
      </c>
      <c r="K46" s="11" t="n">
        <f aca="false">IF($E46="Manual",O46,IF($E46="Flat",J46,IF($E46="Inflation",J46*(1+Inputs!G$12),IF($E46="Salary",J46*(1+Inputs!G$10),IF($E46="Benefits",J46*(1+Inputs!G$11),IF($E46="Per Student",J46*K$4/J$4*(1+Inputs!G$12),IF($E46="Enrollment",J46*K$4/J$4,IF($E46="Tuition Index",J46*K$5/J$5,IF($E46="% of Salaries",IF($G$6=0,0,$G46/$G$6*K$6),IF($E46="Debt",$G46*Inputs!G$15/12,IF($E46="Reserve Yield",Inputs!G$13*Inputs!G$16,IF($E46="Trend",J46*(1+Inputs!G$12),J46))))))))))))</f>
        <v>0</v>
      </c>
      <c r="L46" s="22"/>
      <c r="M46" s="22"/>
      <c r="N46" s="22"/>
      <c r="O46" s="22"/>
    </row>
    <row r="47" customFormat="false" ht="15" hidden="false" customHeight="false" outlineLevel="0" collapsed="false">
      <c r="A47" s="6" t="s">
        <v>191</v>
      </c>
      <c r="B47" s="6" t="s">
        <v>10</v>
      </c>
      <c r="C47" s="30" t="s">
        <v>273</v>
      </c>
      <c r="D47" s="6" t="s">
        <v>274</v>
      </c>
      <c r="E47" s="20" t="s">
        <v>200</v>
      </c>
      <c r="F47" s="20" t="s">
        <v>132</v>
      </c>
      <c r="G47" s="31" t="n">
        <f aca="false">SUMIFS('QB Import'!$B$1:$B$600,'QB Import'!$H$1:$H$600,$C47,'QB Import'!$G$1:$G$600,1)</f>
        <v>0</v>
      </c>
      <c r="H47" s="11" t="n">
        <f aca="false">IF($E47="Manual",L47,IF($E47="Flat",G47,IF($E47="Inflation",G47*(1+Inputs!D$12),IF($E47="Salary",G47*(1+Inputs!D$10),IF($E47="Benefits",G47*(1+Inputs!D$11),IF($E47="Per Student",G47*H$4/G$4*(1+Inputs!D$12),IF($E47="Enrollment",G47*H$4/G$4,IF($E47="Tuition Index",G47*H$5/G$5,IF($E47="% of Salaries",IF($G$6=0,0,$G47/$G$6*H$6),IF($E47="Debt",$G47*Inputs!D$15/12,IF($E47="Reserve Yield",Inputs!D$13*Inputs!D$16,IF($E47="Trend",IF(ISNUMBER(Trend!$Q86),Trend!$Q86,G47),G47))))))))))))</f>
        <v>0</v>
      </c>
      <c r="I47" s="11" t="n">
        <f aca="false">IF($E47="Manual",M47,IF($E47="Flat",H47,IF($E47="Inflation",H47*(1+Inputs!E$12),IF($E47="Salary",H47*(1+Inputs!E$10),IF($E47="Benefits",H47*(1+Inputs!E$11),IF($E47="Per Student",H47*I$4/H$4*(1+Inputs!E$12),IF($E47="Enrollment",H47*I$4/H$4,IF($E47="Tuition Index",H47*I$5/H$5,IF($E47="% of Salaries",IF($G$6=0,0,$G47/$G$6*I$6),IF($E47="Debt",$G47*Inputs!E$15/12,IF($E47="Reserve Yield",Inputs!E$13*Inputs!E$16,IF($E47="Trend",H47*(1+Inputs!E$12),H47))))))))))))</f>
        <v>0</v>
      </c>
      <c r="J47" s="11" t="n">
        <f aca="false">IF($E47="Manual",N47,IF($E47="Flat",I47,IF($E47="Inflation",I47*(1+Inputs!F$12),IF($E47="Salary",I47*(1+Inputs!F$10),IF($E47="Benefits",I47*(1+Inputs!F$11),IF($E47="Per Student",I47*J$4/I$4*(1+Inputs!F$12),IF($E47="Enrollment",I47*J$4/I$4,IF($E47="Tuition Index",I47*J$5/I$5,IF($E47="% of Salaries",IF($G$6=0,0,$G47/$G$6*J$6),IF($E47="Debt",$G47*Inputs!F$15/12,IF($E47="Reserve Yield",Inputs!F$13*Inputs!F$16,IF($E47="Trend",I47*(1+Inputs!F$12),I47))))))))))))</f>
        <v>0</v>
      </c>
      <c r="K47" s="11" t="n">
        <f aca="false">IF($E47="Manual",O47,IF($E47="Flat",J47,IF($E47="Inflation",J47*(1+Inputs!G$12),IF($E47="Salary",J47*(1+Inputs!G$10),IF($E47="Benefits",J47*(1+Inputs!G$11),IF($E47="Per Student",J47*K$4/J$4*(1+Inputs!G$12),IF($E47="Enrollment",J47*K$4/J$4,IF($E47="Tuition Index",J47*K$5/J$5,IF($E47="% of Salaries",IF($G$6=0,0,$G47/$G$6*K$6),IF($E47="Debt",$G47*Inputs!G$15/12,IF($E47="Reserve Yield",Inputs!G$13*Inputs!G$16,IF($E47="Trend",J47*(1+Inputs!G$12),J47))))))))))))</f>
        <v>0</v>
      </c>
      <c r="L47" s="22"/>
      <c r="M47" s="22"/>
      <c r="N47" s="22"/>
      <c r="O47" s="22"/>
    </row>
    <row r="48" customFormat="false" ht="15" hidden="false" customHeight="false" outlineLevel="0" collapsed="false">
      <c r="A48" s="6" t="s">
        <v>191</v>
      </c>
      <c r="B48" s="6" t="s">
        <v>10</v>
      </c>
      <c r="C48" s="30" t="s">
        <v>275</v>
      </c>
      <c r="D48" s="6" t="s">
        <v>276</v>
      </c>
      <c r="E48" s="20" t="s">
        <v>200</v>
      </c>
      <c r="F48" s="20" t="s">
        <v>132</v>
      </c>
      <c r="G48" s="31" t="n">
        <f aca="false">SUMIFS('QB Import'!$B$1:$B$600,'QB Import'!$H$1:$H$600,$C48,'QB Import'!$G$1:$G$600,1)</f>
        <v>0</v>
      </c>
      <c r="H48" s="11" t="n">
        <f aca="false">IF($E48="Manual",L48,IF($E48="Flat",G48,IF($E48="Inflation",G48*(1+Inputs!D$12),IF($E48="Salary",G48*(1+Inputs!D$10),IF($E48="Benefits",G48*(1+Inputs!D$11),IF($E48="Per Student",G48*H$4/G$4*(1+Inputs!D$12),IF($E48="Enrollment",G48*H$4/G$4,IF($E48="Tuition Index",G48*H$5/G$5,IF($E48="% of Salaries",IF($G$6=0,0,$G48/$G$6*H$6),IF($E48="Debt",$G48*Inputs!D$15/12,IF($E48="Reserve Yield",Inputs!D$13*Inputs!D$16,IF($E48="Trend",IF(ISNUMBER(Trend!$Q87),Trend!$Q87,G48),G48))))))))))))</f>
        <v>0</v>
      </c>
      <c r="I48" s="11" t="n">
        <f aca="false">IF($E48="Manual",M48,IF($E48="Flat",H48,IF($E48="Inflation",H48*(1+Inputs!E$12),IF($E48="Salary",H48*(1+Inputs!E$10),IF($E48="Benefits",H48*(1+Inputs!E$11),IF($E48="Per Student",H48*I$4/H$4*(1+Inputs!E$12),IF($E48="Enrollment",H48*I$4/H$4,IF($E48="Tuition Index",H48*I$5/H$5,IF($E48="% of Salaries",IF($G$6=0,0,$G48/$G$6*I$6),IF($E48="Debt",$G48*Inputs!E$15/12,IF($E48="Reserve Yield",Inputs!E$13*Inputs!E$16,IF($E48="Trend",H48*(1+Inputs!E$12),H48))))))))))))</f>
        <v>0</v>
      </c>
      <c r="J48" s="11" t="n">
        <f aca="false">IF($E48="Manual",N48,IF($E48="Flat",I48,IF($E48="Inflation",I48*(1+Inputs!F$12),IF($E48="Salary",I48*(1+Inputs!F$10),IF($E48="Benefits",I48*(1+Inputs!F$11),IF($E48="Per Student",I48*J$4/I$4*(1+Inputs!F$12),IF($E48="Enrollment",I48*J$4/I$4,IF($E48="Tuition Index",I48*J$5/I$5,IF($E48="% of Salaries",IF($G$6=0,0,$G48/$G$6*J$6),IF($E48="Debt",$G48*Inputs!F$15/12,IF($E48="Reserve Yield",Inputs!F$13*Inputs!F$16,IF($E48="Trend",I48*(1+Inputs!F$12),I48))))))))))))</f>
        <v>0</v>
      </c>
      <c r="K48" s="11" t="n">
        <f aca="false">IF($E48="Manual",O48,IF($E48="Flat",J48,IF($E48="Inflation",J48*(1+Inputs!G$12),IF($E48="Salary",J48*(1+Inputs!G$10),IF($E48="Benefits",J48*(1+Inputs!G$11),IF($E48="Per Student",J48*K$4/J$4*(1+Inputs!G$12),IF($E48="Enrollment",J48*K$4/J$4,IF($E48="Tuition Index",J48*K$5/J$5,IF($E48="% of Salaries",IF($G$6=0,0,$G48/$G$6*K$6),IF($E48="Debt",$G48*Inputs!G$15/12,IF($E48="Reserve Yield",Inputs!G$13*Inputs!G$16,IF($E48="Trend",J48*(1+Inputs!G$12),J48))))))))))))</f>
        <v>0</v>
      </c>
      <c r="L48" s="22"/>
      <c r="M48" s="22"/>
      <c r="N48" s="22"/>
      <c r="O48" s="22"/>
    </row>
    <row r="49" customFormat="false" ht="15" hidden="false" customHeight="false" outlineLevel="0" collapsed="false">
      <c r="A49" s="6" t="s">
        <v>191</v>
      </c>
      <c r="B49" s="6" t="s">
        <v>10</v>
      </c>
      <c r="C49" s="30" t="s">
        <v>277</v>
      </c>
      <c r="D49" s="6" t="s">
        <v>278</v>
      </c>
      <c r="E49" s="20" t="s">
        <v>200</v>
      </c>
      <c r="F49" s="20" t="s">
        <v>132</v>
      </c>
      <c r="G49" s="31" t="n">
        <f aca="false">SUMIFS('QB Import'!$B$1:$B$600,'QB Import'!$H$1:$H$600,$C49,'QB Import'!$G$1:$G$600,1)</f>
        <v>0</v>
      </c>
      <c r="H49" s="11" t="n">
        <f aca="false">IF($E49="Manual",L49,IF($E49="Flat",G49,IF($E49="Inflation",G49*(1+Inputs!D$12),IF($E49="Salary",G49*(1+Inputs!D$10),IF($E49="Benefits",G49*(1+Inputs!D$11),IF($E49="Per Student",G49*H$4/G$4*(1+Inputs!D$12),IF($E49="Enrollment",G49*H$4/G$4,IF($E49="Tuition Index",G49*H$5/G$5,IF($E49="% of Salaries",IF($G$6=0,0,$G49/$G$6*H$6),IF($E49="Debt",$G49*Inputs!D$15/12,IF($E49="Reserve Yield",Inputs!D$13*Inputs!D$16,IF($E49="Trend",IF(ISNUMBER(Trend!$Q88),Trend!$Q88,G49),G49))))))))))))</f>
        <v>0</v>
      </c>
      <c r="I49" s="11" t="n">
        <f aca="false">IF($E49="Manual",M49,IF($E49="Flat",H49,IF($E49="Inflation",H49*(1+Inputs!E$12),IF($E49="Salary",H49*(1+Inputs!E$10),IF($E49="Benefits",H49*(1+Inputs!E$11),IF($E49="Per Student",H49*I$4/H$4*(1+Inputs!E$12),IF($E49="Enrollment",H49*I$4/H$4,IF($E49="Tuition Index",H49*I$5/H$5,IF($E49="% of Salaries",IF($G$6=0,0,$G49/$G$6*I$6),IF($E49="Debt",$G49*Inputs!E$15/12,IF($E49="Reserve Yield",Inputs!E$13*Inputs!E$16,IF($E49="Trend",H49*(1+Inputs!E$12),H49))))))))))))</f>
        <v>0</v>
      </c>
      <c r="J49" s="11" t="n">
        <f aca="false">IF($E49="Manual",N49,IF($E49="Flat",I49,IF($E49="Inflation",I49*(1+Inputs!F$12),IF($E49="Salary",I49*(1+Inputs!F$10),IF($E49="Benefits",I49*(1+Inputs!F$11),IF($E49="Per Student",I49*J$4/I$4*(1+Inputs!F$12),IF($E49="Enrollment",I49*J$4/I$4,IF($E49="Tuition Index",I49*J$5/I$5,IF($E49="% of Salaries",IF($G$6=0,0,$G49/$G$6*J$6),IF($E49="Debt",$G49*Inputs!F$15/12,IF($E49="Reserve Yield",Inputs!F$13*Inputs!F$16,IF($E49="Trend",I49*(1+Inputs!F$12),I49))))))))))))</f>
        <v>0</v>
      </c>
      <c r="K49" s="11" t="n">
        <f aca="false">IF($E49="Manual",O49,IF($E49="Flat",J49,IF($E49="Inflation",J49*(1+Inputs!G$12),IF($E49="Salary",J49*(1+Inputs!G$10),IF($E49="Benefits",J49*(1+Inputs!G$11),IF($E49="Per Student",J49*K$4/J$4*(1+Inputs!G$12),IF($E49="Enrollment",J49*K$4/J$4,IF($E49="Tuition Index",J49*K$5/J$5,IF($E49="% of Salaries",IF($G$6=0,0,$G49/$G$6*K$6),IF($E49="Debt",$G49*Inputs!G$15/12,IF($E49="Reserve Yield",Inputs!G$13*Inputs!G$16,IF($E49="Trend",J49*(1+Inputs!G$12),J49))))))))))))</f>
        <v>0</v>
      </c>
      <c r="L49" s="22"/>
      <c r="M49" s="22"/>
      <c r="N49" s="22"/>
      <c r="O49" s="22"/>
    </row>
    <row r="50" customFormat="false" ht="15" hidden="false" customHeight="false" outlineLevel="0" collapsed="false">
      <c r="A50" s="6" t="s">
        <v>191</v>
      </c>
      <c r="B50" s="6" t="s">
        <v>10</v>
      </c>
      <c r="C50" s="30" t="s">
        <v>279</v>
      </c>
      <c r="D50" s="6" t="s">
        <v>280</v>
      </c>
      <c r="E50" s="20" t="s">
        <v>200</v>
      </c>
      <c r="F50" s="20" t="s">
        <v>132</v>
      </c>
      <c r="G50" s="31" t="n">
        <f aca="false">SUMIFS('QB Import'!$B$1:$B$600,'QB Import'!$H$1:$H$600,$C50,'QB Import'!$G$1:$G$600,1)</f>
        <v>0</v>
      </c>
      <c r="H50" s="11" t="n">
        <f aca="false">IF($E50="Manual",L50,IF($E50="Flat",G50,IF($E50="Inflation",G50*(1+Inputs!D$12),IF($E50="Salary",G50*(1+Inputs!D$10),IF($E50="Benefits",G50*(1+Inputs!D$11),IF($E50="Per Student",G50*H$4/G$4*(1+Inputs!D$12),IF($E50="Enrollment",G50*H$4/G$4,IF($E50="Tuition Index",G50*H$5/G$5,IF($E50="% of Salaries",IF($G$6=0,0,$G50/$G$6*H$6),IF($E50="Debt",$G50*Inputs!D$15/12,IF($E50="Reserve Yield",Inputs!D$13*Inputs!D$16,IF($E50="Trend",IF(ISNUMBER(Trend!$Q89),Trend!$Q89,G50),G50))))))))))))</f>
        <v>0</v>
      </c>
      <c r="I50" s="11" t="n">
        <f aca="false">IF($E50="Manual",M50,IF($E50="Flat",H50,IF($E50="Inflation",H50*(1+Inputs!E$12),IF($E50="Salary",H50*(1+Inputs!E$10),IF($E50="Benefits",H50*(1+Inputs!E$11),IF($E50="Per Student",H50*I$4/H$4*(1+Inputs!E$12),IF($E50="Enrollment",H50*I$4/H$4,IF($E50="Tuition Index",H50*I$5/H$5,IF($E50="% of Salaries",IF($G$6=0,0,$G50/$G$6*I$6),IF($E50="Debt",$G50*Inputs!E$15/12,IF($E50="Reserve Yield",Inputs!E$13*Inputs!E$16,IF($E50="Trend",H50*(1+Inputs!E$12),H50))))))))))))</f>
        <v>0</v>
      </c>
      <c r="J50" s="11" t="n">
        <f aca="false">IF($E50="Manual",N50,IF($E50="Flat",I50,IF($E50="Inflation",I50*(1+Inputs!F$12),IF($E50="Salary",I50*(1+Inputs!F$10),IF($E50="Benefits",I50*(1+Inputs!F$11),IF($E50="Per Student",I50*J$4/I$4*(1+Inputs!F$12),IF($E50="Enrollment",I50*J$4/I$4,IF($E50="Tuition Index",I50*J$5/I$5,IF($E50="% of Salaries",IF($G$6=0,0,$G50/$G$6*J$6),IF($E50="Debt",$G50*Inputs!F$15/12,IF($E50="Reserve Yield",Inputs!F$13*Inputs!F$16,IF($E50="Trend",I50*(1+Inputs!F$12),I50))))))))))))</f>
        <v>0</v>
      </c>
      <c r="K50" s="11" t="n">
        <f aca="false">IF($E50="Manual",O50,IF($E50="Flat",J50,IF($E50="Inflation",J50*(1+Inputs!G$12),IF($E50="Salary",J50*(1+Inputs!G$10),IF($E50="Benefits",J50*(1+Inputs!G$11),IF($E50="Per Student",J50*K$4/J$4*(1+Inputs!G$12),IF($E50="Enrollment",J50*K$4/J$4,IF($E50="Tuition Index",J50*K$5/J$5,IF($E50="% of Salaries",IF($G$6=0,0,$G50/$G$6*K$6),IF($E50="Debt",$G50*Inputs!G$15/12,IF($E50="Reserve Yield",Inputs!G$13*Inputs!G$16,IF($E50="Trend",J50*(1+Inputs!G$12),J50))))))))))))</f>
        <v>0</v>
      </c>
      <c r="L50" s="22"/>
      <c r="M50" s="22"/>
      <c r="N50" s="22"/>
      <c r="O50" s="22"/>
    </row>
    <row r="51" customFormat="false" ht="15" hidden="false" customHeight="false" outlineLevel="0" collapsed="false">
      <c r="A51" s="6" t="s">
        <v>191</v>
      </c>
      <c r="B51" s="6" t="s">
        <v>10</v>
      </c>
      <c r="C51" s="30" t="s">
        <v>281</v>
      </c>
      <c r="D51" s="6" t="s">
        <v>282</v>
      </c>
      <c r="E51" s="20" t="s">
        <v>200</v>
      </c>
      <c r="F51" s="20" t="s">
        <v>132</v>
      </c>
      <c r="G51" s="31" t="n">
        <f aca="false">SUMIFS('QB Import'!$B$1:$B$600,'QB Import'!$H$1:$H$600,$C51,'QB Import'!$G$1:$G$600,1)</f>
        <v>0</v>
      </c>
      <c r="H51" s="11" t="n">
        <f aca="false">IF($E51="Manual",L51,IF($E51="Flat",G51,IF($E51="Inflation",G51*(1+Inputs!D$12),IF($E51="Salary",G51*(1+Inputs!D$10),IF($E51="Benefits",G51*(1+Inputs!D$11),IF($E51="Per Student",G51*H$4/G$4*(1+Inputs!D$12),IF($E51="Enrollment",G51*H$4/G$4,IF($E51="Tuition Index",G51*H$5/G$5,IF($E51="% of Salaries",IF($G$6=0,0,$G51/$G$6*H$6),IF($E51="Debt",$G51*Inputs!D$15/12,IF($E51="Reserve Yield",Inputs!D$13*Inputs!D$16,IF($E51="Trend",IF(ISNUMBER(Trend!$Q90),Trend!$Q90,G51),G51))))))))))))</f>
        <v>0</v>
      </c>
      <c r="I51" s="11" t="n">
        <f aca="false">IF($E51="Manual",M51,IF($E51="Flat",H51,IF($E51="Inflation",H51*(1+Inputs!E$12),IF($E51="Salary",H51*(1+Inputs!E$10),IF($E51="Benefits",H51*(1+Inputs!E$11),IF($E51="Per Student",H51*I$4/H$4*(1+Inputs!E$12),IF($E51="Enrollment",H51*I$4/H$4,IF($E51="Tuition Index",H51*I$5/H$5,IF($E51="% of Salaries",IF($G$6=0,0,$G51/$G$6*I$6),IF($E51="Debt",$G51*Inputs!E$15/12,IF($E51="Reserve Yield",Inputs!E$13*Inputs!E$16,IF($E51="Trend",H51*(1+Inputs!E$12),H51))))))))))))</f>
        <v>0</v>
      </c>
      <c r="J51" s="11" t="n">
        <f aca="false">IF($E51="Manual",N51,IF($E51="Flat",I51,IF($E51="Inflation",I51*(1+Inputs!F$12),IF($E51="Salary",I51*(1+Inputs!F$10),IF($E51="Benefits",I51*(1+Inputs!F$11),IF($E51="Per Student",I51*J$4/I$4*(1+Inputs!F$12),IF($E51="Enrollment",I51*J$4/I$4,IF($E51="Tuition Index",I51*J$5/I$5,IF($E51="% of Salaries",IF($G$6=0,0,$G51/$G$6*J$6),IF($E51="Debt",$G51*Inputs!F$15/12,IF($E51="Reserve Yield",Inputs!F$13*Inputs!F$16,IF($E51="Trend",I51*(1+Inputs!F$12),I51))))))))))))</f>
        <v>0</v>
      </c>
      <c r="K51" s="11" t="n">
        <f aca="false">IF($E51="Manual",O51,IF($E51="Flat",J51,IF($E51="Inflation",J51*(1+Inputs!G$12),IF($E51="Salary",J51*(1+Inputs!G$10),IF($E51="Benefits",J51*(1+Inputs!G$11),IF($E51="Per Student",J51*K$4/J$4*(1+Inputs!G$12),IF($E51="Enrollment",J51*K$4/J$4,IF($E51="Tuition Index",J51*K$5/J$5,IF($E51="% of Salaries",IF($G$6=0,0,$G51/$G$6*K$6),IF($E51="Debt",$G51*Inputs!G$15/12,IF($E51="Reserve Yield",Inputs!G$13*Inputs!G$16,IF($E51="Trend",J51*(1+Inputs!G$12),J51))))))))))))</f>
        <v>0</v>
      </c>
      <c r="L51" s="22"/>
      <c r="M51" s="22"/>
      <c r="N51" s="22"/>
      <c r="O51" s="22"/>
    </row>
    <row r="52" customFormat="false" ht="15" hidden="false" customHeight="false" outlineLevel="0" collapsed="false">
      <c r="A52" s="6" t="s">
        <v>191</v>
      </c>
      <c r="B52" s="6" t="s">
        <v>10</v>
      </c>
      <c r="C52" s="30" t="s">
        <v>283</v>
      </c>
      <c r="D52" s="6" t="s">
        <v>284</v>
      </c>
      <c r="E52" s="20" t="s">
        <v>200</v>
      </c>
      <c r="F52" s="20" t="s">
        <v>132</v>
      </c>
      <c r="G52" s="31" t="n">
        <f aca="false">SUMIFS('QB Import'!$B$1:$B$600,'QB Import'!$H$1:$H$600,$C52,'QB Import'!$G$1:$G$600,1)</f>
        <v>0</v>
      </c>
      <c r="H52" s="11" t="n">
        <f aca="false">IF($E52="Manual",L52,IF($E52="Flat",G52,IF($E52="Inflation",G52*(1+Inputs!D$12),IF($E52="Salary",G52*(1+Inputs!D$10),IF($E52="Benefits",G52*(1+Inputs!D$11),IF($E52="Per Student",G52*H$4/G$4*(1+Inputs!D$12),IF($E52="Enrollment",G52*H$4/G$4,IF($E52="Tuition Index",G52*H$5/G$5,IF($E52="% of Salaries",IF($G$6=0,0,$G52/$G$6*H$6),IF($E52="Debt",$G52*Inputs!D$15/12,IF($E52="Reserve Yield",Inputs!D$13*Inputs!D$16,IF($E52="Trend",IF(ISNUMBER(Trend!$Q91),Trend!$Q91,G52),G52))))))))))))</f>
        <v>0</v>
      </c>
      <c r="I52" s="11" t="n">
        <f aca="false">IF($E52="Manual",M52,IF($E52="Flat",H52,IF($E52="Inflation",H52*(1+Inputs!E$12),IF($E52="Salary",H52*(1+Inputs!E$10),IF($E52="Benefits",H52*(1+Inputs!E$11),IF($E52="Per Student",H52*I$4/H$4*(1+Inputs!E$12),IF($E52="Enrollment",H52*I$4/H$4,IF($E52="Tuition Index",H52*I$5/H$5,IF($E52="% of Salaries",IF($G$6=0,0,$G52/$G$6*I$6),IF($E52="Debt",$G52*Inputs!E$15/12,IF($E52="Reserve Yield",Inputs!E$13*Inputs!E$16,IF($E52="Trend",H52*(1+Inputs!E$12),H52))))))))))))</f>
        <v>0</v>
      </c>
      <c r="J52" s="11" t="n">
        <f aca="false">IF($E52="Manual",N52,IF($E52="Flat",I52,IF($E52="Inflation",I52*(1+Inputs!F$12),IF($E52="Salary",I52*(1+Inputs!F$10),IF($E52="Benefits",I52*(1+Inputs!F$11),IF($E52="Per Student",I52*J$4/I$4*(1+Inputs!F$12),IF($E52="Enrollment",I52*J$4/I$4,IF($E52="Tuition Index",I52*J$5/I$5,IF($E52="% of Salaries",IF($G$6=0,0,$G52/$G$6*J$6),IF($E52="Debt",$G52*Inputs!F$15/12,IF($E52="Reserve Yield",Inputs!F$13*Inputs!F$16,IF($E52="Trend",I52*(1+Inputs!F$12),I52))))))))))))</f>
        <v>0</v>
      </c>
      <c r="K52" s="11" t="n">
        <f aca="false">IF($E52="Manual",O52,IF($E52="Flat",J52,IF($E52="Inflation",J52*(1+Inputs!G$12),IF($E52="Salary",J52*(1+Inputs!G$10),IF($E52="Benefits",J52*(1+Inputs!G$11),IF($E52="Per Student",J52*K$4/J$4*(1+Inputs!G$12),IF($E52="Enrollment",J52*K$4/J$4,IF($E52="Tuition Index",J52*K$5/J$5,IF($E52="% of Salaries",IF($G$6=0,0,$G52/$G$6*K$6),IF($E52="Debt",$G52*Inputs!G$15/12,IF($E52="Reserve Yield",Inputs!G$13*Inputs!G$16,IF($E52="Trend",J52*(1+Inputs!G$12),J52))))))))))))</f>
        <v>0</v>
      </c>
      <c r="L52" s="22"/>
      <c r="M52" s="22"/>
      <c r="N52" s="22"/>
      <c r="O52" s="22"/>
    </row>
    <row r="53" customFormat="false" ht="15" hidden="false" customHeight="false" outlineLevel="0" collapsed="false">
      <c r="A53" s="6" t="s">
        <v>191</v>
      </c>
      <c r="B53" s="6" t="s">
        <v>10</v>
      </c>
      <c r="C53" s="30" t="s">
        <v>285</v>
      </c>
      <c r="D53" s="6" t="s">
        <v>286</v>
      </c>
      <c r="E53" s="20" t="s">
        <v>200</v>
      </c>
      <c r="F53" s="20" t="s">
        <v>132</v>
      </c>
      <c r="G53" s="31" t="n">
        <f aca="false">SUMIFS('QB Import'!$B$1:$B$600,'QB Import'!$H$1:$H$600,$C53,'QB Import'!$G$1:$G$600,1)</f>
        <v>0</v>
      </c>
      <c r="H53" s="11" t="n">
        <f aca="false">IF($E53="Manual",L53,IF($E53="Flat",G53,IF($E53="Inflation",G53*(1+Inputs!D$12),IF($E53="Salary",G53*(1+Inputs!D$10),IF($E53="Benefits",G53*(1+Inputs!D$11),IF($E53="Per Student",G53*H$4/G$4*(1+Inputs!D$12),IF($E53="Enrollment",G53*H$4/G$4,IF($E53="Tuition Index",G53*H$5/G$5,IF($E53="% of Salaries",IF($G$6=0,0,$G53/$G$6*H$6),IF($E53="Debt",$G53*Inputs!D$15/12,IF($E53="Reserve Yield",Inputs!D$13*Inputs!D$16,IF($E53="Trend",IF(ISNUMBER(Trend!$Q92),Trend!$Q92,G53),G53))))))))))))</f>
        <v>0</v>
      </c>
      <c r="I53" s="11" t="n">
        <f aca="false">IF($E53="Manual",M53,IF($E53="Flat",H53,IF($E53="Inflation",H53*(1+Inputs!E$12),IF($E53="Salary",H53*(1+Inputs!E$10),IF($E53="Benefits",H53*(1+Inputs!E$11),IF($E53="Per Student",H53*I$4/H$4*(1+Inputs!E$12),IF($E53="Enrollment",H53*I$4/H$4,IF($E53="Tuition Index",H53*I$5/H$5,IF($E53="% of Salaries",IF($G$6=0,0,$G53/$G$6*I$6),IF($E53="Debt",$G53*Inputs!E$15/12,IF($E53="Reserve Yield",Inputs!E$13*Inputs!E$16,IF($E53="Trend",H53*(1+Inputs!E$12),H53))))))))))))</f>
        <v>0</v>
      </c>
      <c r="J53" s="11" t="n">
        <f aca="false">IF($E53="Manual",N53,IF($E53="Flat",I53,IF($E53="Inflation",I53*(1+Inputs!F$12),IF($E53="Salary",I53*(1+Inputs!F$10),IF($E53="Benefits",I53*(1+Inputs!F$11),IF($E53="Per Student",I53*J$4/I$4*(1+Inputs!F$12),IF($E53="Enrollment",I53*J$4/I$4,IF($E53="Tuition Index",I53*J$5/I$5,IF($E53="% of Salaries",IF($G$6=0,0,$G53/$G$6*J$6),IF($E53="Debt",$G53*Inputs!F$15/12,IF($E53="Reserve Yield",Inputs!F$13*Inputs!F$16,IF($E53="Trend",I53*(1+Inputs!F$12),I53))))))))))))</f>
        <v>0</v>
      </c>
      <c r="K53" s="11" t="n">
        <f aca="false">IF($E53="Manual",O53,IF($E53="Flat",J53,IF($E53="Inflation",J53*(1+Inputs!G$12),IF($E53="Salary",J53*(1+Inputs!G$10),IF($E53="Benefits",J53*(1+Inputs!G$11),IF($E53="Per Student",J53*K$4/J$4*(1+Inputs!G$12),IF($E53="Enrollment",J53*K$4/J$4,IF($E53="Tuition Index",J53*K$5/J$5,IF($E53="% of Salaries",IF($G$6=0,0,$G53/$G$6*K$6),IF($E53="Debt",$G53*Inputs!G$15/12,IF($E53="Reserve Yield",Inputs!G$13*Inputs!G$16,IF($E53="Trend",J53*(1+Inputs!G$12),J53))))))))))))</f>
        <v>0</v>
      </c>
      <c r="L53" s="22"/>
      <c r="M53" s="22"/>
      <c r="N53" s="22"/>
      <c r="O53" s="22"/>
    </row>
    <row r="54" customFormat="false" ht="15" hidden="false" customHeight="false" outlineLevel="0" collapsed="false">
      <c r="A54" s="6" t="s">
        <v>191</v>
      </c>
      <c r="B54" s="6" t="s">
        <v>10</v>
      </c>
      <c r="C54" s="30" t="s">
        <v>287</v>
      </c>
      <c r="D54" s="6" t="s">
        <v>288</v>
      </c>
      <c r="E54" s="20" t="s">
        <v>200</v>
      </c>
      <c r="F54" s="20" t="s">
        <v>132</v>
      </c>
      <c r="G54" s="31" t="n">
        <f aca="false">SUMIFS('QB Import'!$B$1:$B$600,'QB Import'!$H$1:$H$600,$C54,'QB Import'!$G$1:$G$600,1)</f>
        <v>0</v>
      </c>
      <c r="H54" s="11" t="n">
        <f aca="false">IF($E54="Manual",L54,IF($E54="Flat",G54,IF($E54="Inflation",G54*(1+Inputs!D$12),IF($E54="Salary",G54*(1+Inputs!D$10),IF($E54="Benefits",G54*(1+Inputs!D$11),IF($E54="Per Student",G54*H$4/G$4*(1+Inputs!D$12),IF($E54="Enrollment",G54*H$4/G$4,IF($E54="Tuition Index",G54*H$5/G$5,IF($E54="% of Salaries",IF($G$6=0,0,$G54/$G$6*H$6),IF($E54="Debt",$G54*Inputs!D$15/12,IF($E54="Reserve Yield",Inputs!D$13*Inputs!D$16,IF($E54="Trend",IF(ISNUMBER(Trend!$Q93),Trend!$Q93,G54),G54))))))))))))</f>
        <v>0</v>
      </c>
      <c r="I54" s="11" t="n">
        <f aca="false">IF($E54="Manual",M54,IF($E54="Flat",H54,IF($E54="Inflation",H54*(1+Inputs!E$12),IF($E54="Salary",H54*(1+Inputs!E$10),IF($E54="Benefits",H54*(1+Inputs!E$11),IF($E54="Per Student",H54*I$4/H$4*(1+Inputs!E$12),IF($E54="Enrollment",H54*I$4/H$4,IF($E54="Tuition Index",H54*I$5/H$5,IF($E54="% of Salaries",IF($G$6=0,0,$G54/$G$6*I$6),IF($E54="Debt",$G54*Inputs!E$15/12,IF($E54="Reserve Yield",Inputs!E$13*Inputs!E$16,IF($E54="Trend",H54*(1+Inputs!E$12),H54))))))))))))</f>
        <v>0</v>
      </c>
      <c r="J54" s="11" t="n">
        <f aca="false">IF($E54="Manual",N54,IF($E54="Flat",I54,IF($E54="Inflation",I54*(1+Inputs!F$12),IF($E54="Salary",I54*(1+Inputs!F$10),IF($E54="Benefits",I54*(1+Inputs!F$11),IF($E54="Per Student",I54*J$4/I$4*(1+Inputs!F$12),IF($E54="Enrollment",I54*J$4/I$4,IF($E54="Tuition Index",I54*J$5/I$5,IF($E54="% of Salaries",IF($G$6=0,0,$G54/$G$6*J$6),IF($E54="Debt",$G54*Inputs!F$15/12,IF($E54="Reserve Yield",Inputs!F$13*Inputs!F$16,IF($E54="Trend",I54*(1+Inputs!F$12),I54))))))))))))</f>
        <v>0</v>
      </c>
      <c r="K54" s="11" t="n">
        <f aca="false">IF($E54="Manual",O54,IF($E54="Flat",J54,IF($E54="Inflation",J54*(1+Inputs!G$12),IF($E54="Salary",J54*(1+Inputs!G$10),IF($E54="Benefits",J54*(1+Inputs!G$11),IF($E54="Per Student",J54*K$4/J$4*(1+Inputs!G$12),IF($E54="Enrollment",J54*K$4/J$4,IF($E54="Tuition Index",J54*K$5/J$5,IF($E54="% of Salaries",IF($G$6=0,0,$G54/$G$6*K$6),IF($E54="Debt",$G54*Inputs!G$15/12,IF($E54="Reserve Yield",Inputs!G$13*Inputs!G$16,IF($E54="Trend",J54*(1+Inputs!G$12),J54))))))))))))</f>
        <v>0</v>
      </c>
      <c r="L54" s="22"/>
      <c r="M54" s="22"/>
      <c r="N54" s="22"/>
      <c r="O54" s="22"/>
    </row>
    <row r="55" customFormat="false" ht="15" hidden="false" customHeight="false" outlineLevel="0" collapsed="false">
      <c r="A55" s="6" t="s">
        <v>191</v>
      </c>
      <c r="B55" s="6" t="s">
        <v>10</v>
      </c>
      <c r="C55" s="30" t="s">
        <v>289</v>
      </c>
      <c r="D55" s="6" t="s">
        <v>290</v>
      </c>
      <c r="E55" s="20" t="s">
        <v>200</v>
      </c>
      <c r="F55" s="20" t="s">
        <v>132</v>
      </c>
      <c r="G55" s="31" t="n">
        <f aca="false">SUMIFS('QB Import'!$B$1:$B$600,'QB Import'!$H$1:$H$600,$C55,'QB Import'!$G$1:$G$600,1)</f>
        <v>0</v>
      </c>
      <c r="H55" s="11" t="n">
        <f aca="false">IF($E55="Manual",L55,IF($E55="Flat",G55,IF($E55="Inflation",G55*(1+Inputs!D$12),IF($E55="Salary",G55*(1+Inputs!D$10),IF($E55="Benefits",G55*(1+Inputs!D$11),IF($E55="Per Student",G55*H$4/G$4*(1+Inputs!D$12),IF($E55="Enrollment",G55*H$4/G$4,IF($E55="Tuition Index",G55*H$5/G$5,IF($E55="% of Salaries",IF($G$6=0,0,$G55/$G$6*H$6),IF($E55="Debt",$G55*Inputs!D$15/12,IF($E55="Reserve Yield",Inputs!D$13*Inputs!D$16,IF($E55="Trend",IF(ISNUMBER(Trend!$Q94),Trend!$Q94,G55),G55))))))))))))</f>
        <v>0</v>
      </c>
      <c r="I55" s="11" t="n">
        <f aca="false">IF($E55="Manual",M55,IF($E55="Flat",H55,IF($E55="Inflation",H55*(1+Inputs!E$12),IF($E55="Salary",H55*(1+Inputs!E$10),IF($E55="Benefits",H55*(1+Inputs!E$11),IF($E55="Per Student",H55*I$4/H$4*(1+Inputs!E$12),IF($E55="Enrollment",H55*I$4/H$4,IF($E55="Tuition Index",H55*I$5/H$5,IF($E55="% of Salaries",IF($G$6=0,0,$G55/$G$6*I$6),IF($E55="Debt",$G55*Inputs!E$15/12,IF($E55="Reserve Yield",Inputs!E$13*Inputs!E$16,IF($E55="Trend",H55*(1+Inputs!E$12),H55))))))))))))</f>
        <v>0</v>
      </c>
      <c r="J55" s="11" t="n">
        <f aca="false">IF($E55="Manual",N55,IF($E55="Flat",I55,IF($E55="Inflation",I55*(1+Inputs!F$12),IF($E55="Salary",I55*(1+Inputs!F$10),IF($E55="Benefits",I55*(1+Inputs!F$11),IF($E55="Per Student",I55*J$4/I$4*(1+Inputs!F$12),IF($E55="Enrollment",I55*J$4/I$4,IF($E55="Tuition Index",I55*J$5/I$5,IF($E55="% of Salaries",IF($G$6=0,0,$G55/$G$6*J$6),IF($E55="Debt",$G55*Inputs!F$15/12,IF($E55="Reserve Yield",Inputs!F$13*Inputs!F$16,IF($E55="Trend",I55*(1+Inputs!F$12),I55))))))))))))</f>
        <v>0</v>
      </c>
      <c r="K55" s="11" t="n">
        <f aca="false">IF($E55="Manual",O55,IF($E55="Flat",J55,IF($E55="Inflation",J55*(1+Inputs!G$12),IF($E55="Salary",J55*(1+Inputs!G$10),IF($E55="Benefits",J55*(1+Inputs!G$11),IF($E55="Per Student",J55*K$4/J$4*(1+Inputs!G$12),IF($E55="Enrollment",J55*K$4/J$4,IF($E55="Tuition Index",J55*K$5/J$5,IF($E55="% of Salaries",IF($G$6=0,0,$G55/$G$6*K$6),IF($E55="Debt",$G55*Inputs!G$15/12,IF($E55="Reserve Yield",Inputs!G$13*Inputs!G$16,IF($E55="Trend",J55*(1+Inputs!G$12),J55))))))))))))</f>
        <v>0</v>
      </c>
      <c r="L55" s="22"/>
      <c r="M55" s="22"/>
      <c r="N55" s="22"/>
      <c r="O55" s="22"/>
    </row>
    <row r="56" customFormat="false" ht="15" hidden="false" customHeight="false" outlineLevel="0" collapsed="false">
      <c r="A56" s="6" t="s">
        <v>191</v>
      </c>
      <c r="B56" s="6" t="s">
        <v>10</v>
      </c>
      <c r="C56" s="30" t="s">
        <v>291</v>
      </c>
      <c r="D56" s="6" t="s">
        <v>292</v>
      </c>
      <c r="E56" s="20" t="s">
        <v>200</v>
      </c>
      <c r="F56" s="20" t="s">
        <v>132</v>
      </c>
      <c r="G56" s="31" t="n">
        <f aca="false">SUMIFS('QB Import'!$B$1:$B$600,'QB Import'!$H$1:$H$600,$C56,'QB Import'!$G$1:$G$600,1)</f>
        <v>0</v>
      </c>
      <c r="H56" s="11" t="n">
        <f aca="false">IF($E56="Manual",L56,IF($E56="Flat",G56,IF($E56="Inflation",G56*(1+Inputs!D$12),IF($E56="Salary",G56*(1+Inputs!D$10),IF($E56="Benefits",G56*(1+Inputs!D$11),IF($E56="Per Student",G56*H$4/G$4*(1+Inputs!D$12),IF($E56="Enrollment",G56*H$4/G$4,IF($E56="Tuition Index",G56*H$5/G$5,IF($E56="% of Salaries",IF($G$6=0,0,$G56/$G$6*H$6),IF($E56="Debt",$G56*Inputs!D$15/12,IF($E56="Reserve Yield",Inputs!D$13*Inputs!D$16,IF($E56="Trend",IF(ISNUMBER(Trend!$Q95),Trend!$Q95,G56),G56))))))))))))</f>
        <v>0</v>
      </c>
      <c r="I56" s="11" t="n">
        <f aca="false">IF($E56="Manual",M56,IF($E56="Flat",H56,IF($E56="Inflation",H56*(1+Inputs!E$12),IF($E56="Salary",H56*(1+Inputs!E$10),IF($E56="Benefits",H56*(1+Inputs!E$11),IF($E56="Per Student",H56*I$4/H$4*(1+Inputs!E$12),IF($E56="Enrollment",H56*I$4/H$4,IF($E56="Tuition Index",H56*I$5/H$5,IF($E56="% of Salaries",IF($G$6=0,0,$G56/$G$6*I$6),IF($E56="Debt",$G56*Inputs!E$15/12,IF($E56="Reserve Yield",Inputs!E$13*Inputs!E$16,IF($E56="Trend",H56*(1+Inputs!E$12),H56))))))))))))</f>
        <v>0</v>
      </c>
      <c r="J56" s="11" t="n">
        <f aca="false">IF($E56="Manual",N56,IF($E56="Flat",I56,IF($E56="Inflation",I56*(1+Inputs!F$12),IF($E56="Salary",I56*(1+Inputs!F$10),IF($E56="Benefits",I56*(1+Inputs!F$11),IF($E56="Per Student",I56*J$4/I$4*(1+Inputs!F$12),IF($E56="Enrollment",I56*J$4/I$4,IF($E56="Tuition Index",I56*J$5/I$5,IF($E56="% of Salaries",IF($G$6=0,0,$G56/$G$6*J$6),IF($E56="Debt",$G56*Inputs!F$15/12,IF($E56="Reserve Yield",Inputs!F$13*Inputs!F$16,IF($E56="Trend",I56*(1+Inputs!F$12),I56))))))))))))</f>
        <v>0</v>
      </c>
      <c r="K56" s="11" t="n">
        <f aca="false">IF($E56="Manual",O56,IF($E56="Flat",J56,IF($E56="Inflation",J56*(1+Inputs!G$12),IF($E56="Salary",J56*(1+Inputs!G$10),IF($E56="Benefits",J56*(1+Inputs!G$11),IF($E56="Per Student",J56*K$4/J$4*(1+Inputs!G$12),IF($E56="Enrollment",J56*K$4/J$4,IF($E56="Tuition Index",J56*K$5/J$5,IF($E56="% of Salaries",IF($G$6=0,0,$G56/$G$6*K$6),IF($E56="Debt",$G56*Inputs!G$15/12,IF($E56="Reserve Yield",Inputs!G$13*Inputs!G$16,IF($E56="Trend",J56*(1+Inputs!G$12),J56))))))))))))</f>
        <v>0</v>
      </c>
      <c r="L56" s="22"/>
      <c r="M56" s="22"/>
      <c r="N56" s="22"/>
      <c r="O56" s="22"/>
    </row>
    <row r="57" customFormat="false" ht="15" hidden="false" customHeight="false" outlineLevel="0" collapsed="false">
      <c r="A57" s="6" t="s">
        <v>191</v>
      </c>
      <c r="B57" s="6" t="s">
        <v>10</v>
      </c>
      <c r="C57" s="30" t="s">
        <v>293</v>
      </c>
      <c r="D57" s="6" t="s">
        <v>294</v>
      </c>
      <c r="E57" s="20" t="s">
        <v>200</v>
      </c>
      <c r="F57" s="20" t="s">
        <v>132</v>
      </c>
      <c r="G57" s="31" t="n">
        <f aca="false">SUMIFS('QB Import'!$B$1:$B$600,'QB Import'!$H$1:$H$600,$C57,'QB Import'!$G$1:$G$600,1)</f>
        <v>0</v>
      </c>
      <c r="H57" s="11" t="n">
        <f aca="false">IF($E57="Manual",L57,IF($E57="Flat",G57,IF($E57="Inflation",G57*(1+Inputs!D$12),IF($E57="Salary",G57*(1+Inputs!D$10),IF($E57="Benefits",G57*(1+Inputs!D$11),IF($E57="Per Student",G57*H$4/G$4*(1+Inputs!D$12),IF($E57="Enrollment",G57*H$4/G$4,IF($E57="Tuition Index",G57*H$5/G$5,IF($E57="% of Salaries",IF($G$6=0,0,$G57/$G$6*H$6),IF($E57="Debt",$G57*Inputs!D$15/12,IF($E57="Reserve Yield",Inputs!D$13*Inputs!D$16,IF($E57="Trend",IF(ISNUMBER(Trend!$Q96),Trend!$Q96,G57),G57))))))))))))</f>
        <v>0</v>
      </c>
      <c r="I57" s="11" t="n">
        <f aca="false">IF($E57="Manual",M57,IF($E57="Flat",H57,IF($E57="Inflation",H57*(1+Inputs!E$12),IF($E57="Salary",H57*(1+Inputs!E$10),IF($E57="Benefits",H57*(1+Inputs!E$11),IF($E57="Per Student",H57*I$4/H$4*(1+Inputs!E$12),IF($E57="Enrollment",H57*I$4/H$4,IF($E57="Tuition Index",H57*I$5/H$5,IF($E57="% of Salaries",IF($G$6=0,0,$G57/$G$6*I$6),IF($E57="Debt",$G57*Inputs!E$15/12,IF($E57="Reserve Yield",Inputs!E$13*Inputs!E$16,IF($E57="Trend",H57*(1+Inputs!E$12),H57))))))))))))</f>
        <v>0</v>
      </c>
      <c r="J57" s="11" t="n">
        <f aca="false">IF($E57="Manual",N57,IF($E57="Flat",I57,IF($E57="Inflation",I57*(1+Inputs!F$12),IF($E57="Salary",I57*(1+Inputs!F$10),IF($E57="Benefits",I57*(1+Inputs!F$11),IF($E57="Per Student",I57*J$4/I$4*(1+Inputs!F$12),IF($E57="Enrollment",I57*J$4/I$4,IF($E57="Tuition Index",I57*J$5/I$5,IF($E57="% of Salaries",IF($G$6=0,0,$G57/$G$6*J$6),IF($E57="Debt",$G57*Inputs!F$15/12,IF($E57="Reserve Yield",Inputs!F$13*Inputs!F$16,IF($E57="Trend",I57*(1+Inputs!F$12),I57))))))))))))</f>
        <v>0</v>
      </c>
      <c r="K57" s="11" t="n">
        <f aca="false">IF($E57="Manual",O57,IF($E57="Flat",J57,IF($E57="Inflation",J57*(1+Inputs!G$12),IF($E57="Salary",J57*(1+Inputs!G$10),IF($E57="Benefits",J57*(1+Inputs!G$11),IF($E57="Per Student",J57*K$4/J$4*(1+Inputs!G$12),IF($E57="Enrollment",J57*K$4/J$4,IF($E57="Tuition Index",J57*K$5/J$5,IF($E57="% of Salaries",IF($G$6=0,0,$G57/$G$6*K$6),IF($E57="Debt",$G57*Inputs!G$15/12,IF($E57="Reserve Yield",Inputs!G$13*Inputs!G$16,IF($E57="Trend",J57*(1+Inputs!G$12),J57))))))))))))</f>
        <v>0</v>
      </c>
      <c r="L57" s="22"/>
      <c r="M57" s="22"/>
      <c r="N57" s="22"/>
      <c r="O57" s="22"/>
    </row>
    <row r="58" customFormat="false" ht="15" hidden="false" customHeight="false" outlineLevel="0" collapsed="false">
      <c r="A58" s="6" t="s">
        <v>191</v>
      </c>
      <c r="B58" s="6" t="s">
        <v>11</v>
      </c>
      <c r="C58" s="30" t="s">
        <v>11</v>
      </c>
      <c r="D58" s="6" t="s">
        <v>11</v>
      </c>
      <c r="E58" s="20" t="s">
        <v>200</v>
      </c>
      <c r="F58" s="20" t="s">
        <v>132</v>
      </c>
      <c r="G58" s="31" t="n">
        <f aca="false">SUMIFS('QB Import'!$B$1:$B$600,'QB Import'!$H$1:$H$600,$C58,'QB Import'!$G$1:$G$600,1)</f>
        <v>0</v>
      </c>
      <c r="H58" s="11" t="n">
        <f aca="false">IF($E58="Manual",L58,IF($E58="Flat",G58,IF($E58="Inflation",G58*(1+Inputs!D$12),IF($E58="Salary",G58*(1+Inputs!D$10),IF($E58="Benefits",G58*(1+Inputs!D$11),IF($E58="Per Student",G58*H$4/G$4*(1+Inputs!D$12),IF($E58="Enrollment",G58*H$4/G$4,IF($E58="Tuition Index",G58*H$5/G$5,IF($E58="% of Salaries",IF($G$6=0,0,$G58/$G$6*H$6),IF($E58="Debt",$G58*Inputs!D$15/12,IF($E58="Reserve Yield",Inputs!D$13*Inputs!D$16,IF($E58="Trend",IF(ISNUMBER(Trend!$Q97),Trend!$Q97,G58),G58))))))))))))</f>
        <v>0</v>
      </c>
      <c r="I58" s="11" t="n">
        <f aca="false">IF($E58="Manual",M58,IF($E58="Flat",H58,IF($E58="Inflation",H58*(1+Inputs!E$12),IF($E58="Salary",H58*(1+Inputs!E$10),IF($E58="Benefits",H58*(1+Inputs!E$11),IF($E58="Per Student",H58*I$4/H$4*(1+Inputs!E$12),IF($E58="Enrollment",H58*I$4/H$4,IF($E58="Tuition Index",H58*I$5/H$5,IF($E58="% of Salaries",IF($G$6=0,0,$G58/$G$6*I$6),IF($E58="Debt",$G58*Inputs!E$15/12,IF($E58="Reserve Yield",Inputs!E$13*Inputs!E$16,IF($E58="Trend",H58*(1+Inputs!E$12),H58))))))))))))</f>
        <v>0</v>
      </c>
      <c r="J58" s="11" t="n">
        <f aca="false">IF($E58="Manual",N58,IF($E58="Flat",I58,IF($E58="Inflation",I58*(1+Inputs!F$12),IF($E58="Salary",I58*(1+Inputs!F$10),IF($E58="Benefits",I58*(1+Inputs!F$11),IF($E58="Per Student",I58*J$4/I$4*(1+Inputs!F$12),IF($E58="Enrollment",I58*J$4/I$4,IF($E58="Tuition Index",I58*J$5/I$5,IF($E58="% of Salaries",IF($G$6=0,0,$G58/$G$6*J$6),IF($E58="Debt",$G58*Inputs!F$15/12,IF($E58="Reserve Yield",Inputs!F$13*Inputs!F$16,IF($E58="Trend",I58*(1+Inputs!F$12),I58))))))))))))</f>
        <v>0</v>
      </c>
      <c r="K58" s="11" t="n">
        <f aca="false">IF($E58="Manual",O58,IF($E58="Flat",J58,IF($E58="Inflation",J58*(1+Inputs!G$12),IF($E58="Salary",J58*(1+Inputs!G$10),IF($E58="Benefits",J58*(1+Inputs!G$11),IF($E58="Per Student",J58*K$4/J$4*(1+Inputs!G$12),IF($E58="Enrollment",J58*K$4/J$4,IF($E58="Tuition Index",J58*K$5/J$5,IF($E58="% of Salaries",IF($G$6=0,0,$G58/$G$6*K$6),IF($E58="Debt",$G58*Inputs!G$15/12,IF($E58="Reserve Yield",Inputs!G$13*Inputs!G$16,IF($E58="Trend",J58*(1+Inputs!G$12),J58))))))))))))</f>
        <v>0</v>
      </c>
      <c r="L58" s="22"/>
      <c r="M58" s="22"/>
      <c r="N58" s="22"/>
      <c r="O58" s="22"/>
    </row>
    <row r="59" customFormat="false" ht="15" hidden="false" customHeight="false" outlineLevel="0" collapsed="false">
      <c r="A59" s="6" t="s">
        <v>295</v>
      </c>
      <c r="B59" s="6" t="s">
        <v>14</v>
      </c>
      <c r="C59" s="30" t="s">
        <v>296</v>
      </c>
      <c r="D59" s="6" t="s">
        <v>297</v>
      </c>
      <c r="E59" s="20" t="s">
        <v>298</v>
      </c>
      <c r="F59" s="20" t="s">
        <v>132</v>
      </c>
      <c r="G59" s="31" t="n">
        <f aca="false">SUMIFS('QB Import'!$B$1:$B$600,'QB Import'!$H$1:$H$600,$C59,'QB Import'!$G$1:$G$600,1)</f>
        <v>138720</v>
      </c>
      <c r="H59" s="11" t="n">
        <f aca="false">IF($E59="Manual",L59,IF($E59="Flat",G59,IF($E59="Inflation",G59*(1+Inputs!D$12),IF($E59="Salary",G59*(1+Inputs!D$10),IF($E59="Benefits",G59*(1+Inputs!D$11),IF($E59="Per Student",G59*H$4/G$4*(1+Inputs!D$12),IF($E59="Enrollment",G59*H$4/G$4,IF($E59="Tuition Index",G59*H$5/G$5,IF($E59="% of Salaries",IF($G$6=0,0,$G59/$G$6*H$6),IF($E59="Debt",$G59*Inputs!D$15/12,IF($E59="Reserve Yield",Inputs!D$13*Inputs!D$16,IF($E59="Trend",IF(ISNUMBER(Trend!$Q98),Trend!$Q98,G59),G59))))))))))))</f>
        <v>142881.6</v>
      </c>
      <c r="I59" s="11" t="n">
        <f aca="false">IF($E59="Manual",M59,IF($E59="Flat",H59,IF($E59="Inflation",H59*(1+Inputs!E$12),IF($E59="Salary",H59*(1+Inputs!E$10),IF($E59="Benefits",H59*(1+Inputs!E$11),IF($E59="Per Student",H59*I$4/H$4*(1+Inputs!E$12),IF($E59="Enrollment",H59*I$4/H$4,IF($E59="Tuition Index",H59*I$5/H$5,IF($E59="% of Salaries",IF($G$6=0,0,$G59/$G$6*I$6),IF($E59="Debt",$G59*Inputs!E$15/12,IF($E59="Reserve Yield",Inputs!E$13*Inputs!E$16,IF($E59="Trend",H59*(1+Inputs!E$12),H59))))))))))))</f>
        <v>147168.048</v>
      </c>
      <c r="J59" s="11" t="n">
        <f aca="false">IF($E59="Manual",N59,IF($E59="Flat",I59,IF($E59="Inflation",I59*(1+Inputs!F$12),IF($E59="Salary",I59*(1+Inputs!F$10),IF($E59="Benefits",I59*(1+Inputs!F$11),IF($E59="Per Student",I59*J$4/I$4*(1+Inputs!F$12),IF($E59="Enrollment",I59*J$4/I$4,IF($E59="Tuition Index",I59*J$5/I$5,IF($E59="% of Salaries",IF($G$6=0,0,$G59/$G$6*J$6),IF($E59="Debt",$G59*Inputs!F$15/12,IF($E59="Reserve Yield",Inputs!F$13*Inputs!F$16,IF($E59="Trend",I59*(1+Inputs!F$12),I59))))))))))))</f>
        <v>151583.08944</v>
      </c>
      <c r="K59" s="11" t="n">
        <f aca="false">IF($E59="Manual",O59,IF($E59="Flat",J59,IF($E59="Inflation",J59*(1+Inputs!G$12),IF($E59="Salary",J59*(1+Inputs!G$10),IF($E59="Benefits",J59*(1+Inputs!G$11),IF($E59="Per Student",J59*K$4/J$4*(1+Inputs!G$12),IF($E59="Enrollment",J59*K$4/J$4,IF($E59="Tuition Index",J59*K$5/J$5,IF($E59="% of Salaries",IF($G$6=0,0,$G59/$G$6*K$6),IF($E59="Debt",$G59*Inputs!G$15/12,IF($E59="Reserve Yield",Inputs!G$13*Inputs!G$16,IF($E59="Trend",J59*(1+Inputs!G$12),J59))))))))))))</f>
        <v>156130.5821232</v>
      </c>
      <c r="L59" s="22"/>
      <c r="M59" s="22"/>
      <c r="N59" s="22"/>
      <c r="O59" s="22"/>
    </row>
    <row r="60" customFormat="false" ht="15" hidden="false" customHeight="false" outlineLevel="0" collapsed="false">
      <c r="A60" s="6" t="s">
        <v>295</v>
      </c>
      <c r="B60" s="6" t="s">
        <v>14</v>
      </c>
      <c r="C60" s="30" t="s">
        <v>299</v>
      </c>
      <c r="D60" s="6" t="s">
        <v>300</v>
      </c>
      <c r="E60" s="20" t="s">
        <v>301</v>
      </c>
      <c r="F60" s="20" t="s">
        <v>132</v>
      </c>
      <c r="G60" s="31" t="n">
        <f aca="false">SUMIFS('QB Import'!$B$1:$B$600,'QB Import'!$H$1:$H$600,$C60,'QB Import'!$G$1:$G$600,1)</f>
        <v>285000</v>
      </c>
      <c r="H60" s="11" t="n">
        <f aca="false">IF($E60="Manual",L60,IF($E60="Flat",G60,IF($E60="Inflation",G60*(1+Inputs!D$12),IF($E60="Salary",G60*(1+Inputs!D$10),IF($E60="Benefits",G60*(1+Inputs!D$11),IF($E60="Per Student",G60*H$4/G$4*(1+Inputs!D$12),IF($E60="Enrollment",G60*H$4/G$4,IF($E60="Tuition Index",G60*H$5/G$5,IF($E60="% of Salaries",IF($G$6=0,0,$G60/$G$6*H$6),IF($E60="Debt",$G60*Inputs!D$15/12,IF($E60="Reserve Yield",Inputs!D$13*Inputs!D$16,IF($E60="Trend",IF(ISNUMBER(Trend!$Q99),Trend!$Q99,G60),G60))))))))))))</f>
        <v>293550</v>
      </c>
      <c r="I60" s="11" t="n">
        <f aca="false">IF($E60="Manual",M60,IF($E60="Flat",H60,IF($E60="Inflation",H60*(1+Inputs!E$12),IF($E60="Salary",H60*(1+Inputs!E$10),IF($E60="Benefits",H60*(1+Inputs!E$11),IF($E60="Per Student",H60*I$4/H$4*(1+Inputs!E$12),IF($E60="Enrollment",H60*I$4/H$4,IF($E60="Tuition Index",H60*I$5/H$5,IF($E60="% of Salaries",IF($G$6=0,0,$G60/$G$6*I$6),IF($E60="Debt",$G60*Inputs!E$15/12,IF($E60="Reserve Yield",Inputs!E$13*Inputs!E$16,IF($E60="Trend",H60*(1+Inputs!E$12),H60))))))))))))</f>
        <v>302356.5</v>
      </c>
      <c r="J60" s="11" t="n">
        <f aca="false">IF($E60="Manual",N60,IF($E60="Flat",I60,IF($E60="Inflation",I60*(1+Inputs!F$12),IF($E60="Salary",I60*(1+Inputs!F$10),IF($E60="Benefits",I60*(1+Inputs!F$11),IF($E60="Per Student",I60*J$4/I$4*(1+Inputs!F$12),IF($E60="Enrollment",I60*J$4/I$4,IF($E60="Tuition Index",I60*J$5/I$5,IF($E60="% of Salaries",IF($G$6=0,0,$G60/$G$6*J$6),IF($E60="Debt",$G60*Inputs!F$15/12,IF($E60="Reserve Yield",Inputs!F$13*Inputs!F$16,IF($E60="Trend",I60*(1+Inputs!F$12),I60))))))))))))</f>
        <v>311427.195</v>
      </c>
      <c r="K60" s="11" t="n">
        <f aca="false">IF($E60="Manual",O60,IF($E60="Flat",J60,IF($E60="Inflation",J60*(1+Inputs!G$12),IF($E60="Salary",J60*(1+Inputs!G$10),IF($E60="Benefits",J60*(1+Inputs!G$11),IF($E60="Per Student",J60*K$4/J$4*(1+Inputs!G$12),IF($E60="Enrollment",J60*K$4/J$4,IF($E60="Tuition Index",J60*K$5/J$5,IF($E60="% of Salaries",IF($G$6=0,0,$G60/$G$6*K$6),IF($E60="Debt",$G60*Inputs!G$15/12,IF($E60="Reserve Yield",Inputs!G$13*Inputs!G$16,IF($E60="Trend",J60*(1+Inputs!G$12),J60))))))))))))</f>
        <v>320770.01085</v>
      </c>
      <c r="L60" s="22"/>
      <c r="M60" s="22"/>
      <c r="N60" s="22"/>
      <c r="O60" s="22"/>
    </row>
    <row r="61" customFormat="false" ht="15" hidden="false" customHeight="false" outlineLevel="0" collapsed="false">
      <c r="A61" s="6" t="s">
        <v>295</v>
      </c>
      <c r="B61" s="6" t="s">
        <v>14</v>
      </c>
      <c r="C61" s="30" t="s">
        <v>302</v>
      </c>
      <c r="D61" s="6" t="s">
        <v>303</v>
      </c>
      <c r="E61" s="20" t="s">
        <v>301</v>
      </c>
      <c r="F61" s="20" t="s">
        <v>132</v>
      </c>
      <c r="G61" s="31" t="n">
        <f aca="false">SUMIFS('QB Import'!$B$1:$B$600,'QB Import'!$H$1:$H$600,$C61,'QB Import'!$G$1:$G$600,1)</f>
        <v>10000</v>
      </c>
      <c r="H61" s="11" t="n">
        <f aca="false">IF($E61="Manual",L61,IF($E61="Flat",G61,IF($E61="Inflation",G61*(1+Inputs!D$12),IF($E61="Salary",G61*(1+Inputs!D$10),IF($E61="Benefits",G61*(1+Inputs!D$11),IF($E61="Per Student",G61*H$4/G$4*(1+Inputs!D$12),IF($E61="Enrollment",G61*H$4/G$4,IF($E61="Tuition Index",G61*H$5/G$5,IF($E61="% of Salaries",IF($G$6=0,0,$G61/$G$6*H$6),IF($E61="Debt",$G61*Inputs!D$15/12,IF($E61="Reserve Yield",Inputs!D$13*Inputs!D$16,IF($E61="Trend",IF(ISNUMBER(Trend!$Q100),Trend!$Q100,G61),G61))))))))))))</f>
        <v>10300</v>
      </c>
      <c r="I61" s="11" t="n">
        <f aca="false">IF($E61="Manual",M61,IF($E61="Flat",H61,IF($E61="Inflation",H61*(1+Inputs!E$12),IF($E61="Salary",H61*(1+Inputs!E$10),IF($E61="Benefits",H61*(1+Inputs!E$11),IF($E61="Per Student",H61*I$4/H$4*(1+Inputs!E$12),IF($E61="Enrollment",H61*I$4/H$4,IF($E61="Tuition Index",H61*I$5/H$5,IF($E61="% of Salaries",IF($G$6=0,0,$G61/$G$6*I$6),IF($E61="Debt",$G61*Inputs!E$15/12,IF($E61="Reserve Yield",Inputs!E$13*Inputs!E$16,IF($E61="Trend",H61*(1+Inputs!E$12),H61))))))))))))</f>
        <v>10609</v>
      </c>
      <c r="J61" s="11" t="n">
        <f aca="false">IF($E61="Manual",N61,IF($E61="Flat",I61,IF($E61="Inflation",I61*(1+Inputs!F$12),IF($E61="Salary",I61*(1+Inputs!F$10),IF($E61="Benefits",I61*(1+Inputs!F$11),IF($E61="Per Student",I61*J$4/I$4*(1+Inputs!F$12),IF($E61="Enrollment",I61*J$4/I$4,IF($E61="Tuition Index",I61*J$5/I$5,IF($E61="% of Salaries",IF($G$6=0,0,$G61/$G$6*J$6),IF($E61="Debt",$G61*Inputs!F$15/12,IF($E61="Reserve Yield",Inputs!F$13*Inputs!F$16,IF($E61="Trend",I61*(1+Inputs!F$12),I61))))))))))))</f>
        <v>10927.27</v>
      </c>
      <c r="K61" s="11" t="n">
        <f aca="false">IF($E61="Manual",O61,IF($E61="Flat",J61,IF($E61="Inflation",J61*(1+Inputs!G$12),IF($E61="Salary",J61*(1+Inputs!G$10),IF($E61="Benefits",J61*(1+Inputs!G$11),IF($E61="Per Student",J61*K$4/J$4*(1+Inputs!G$12),IF($E61="Enrollment",J61*K$4/J$4,IF($E61="Tuition Index",J61*K$5/J$5,IF($E61="% of Salaries",IF($G$6=0,0,$G61/$G$6*K$6),IF($E61="Debt",$G61*Inputs!G$15/12,IF($E61="Reserve Yield",Inputs!G$13*Inputs!G$16,IF($E61="Trend",J61*(1+Inputs!G$12),J61))))))))))))</f>
        <v>11255.0881</v>
      </c>
      <c r="L61" s="22"/>
      <c r="M61" s="22"/>
      <c r="N61" s="22"/>
      <c r="O61" s="22"/>
    </row>
    <row r="62" customFormat="false" ht="15" hidden="false" customHeight="false" outlineLevel="0" collapsed="false">
      <c r="A62" s="6" t="s">
        <v>295</v>
      </c>
      <c r="B62" s="6" t="s">
        <v>14</v>
      </c>
      <c r="C62" s="30" t="s">
        <v>304</v>
      </c>
      <c r="D62" s="6" t="s">
        <v>305</v>
      </c>
      <c r="E62" s="20" t="s">
        <v>194</v>
      </c>
      <c r="F62" s="20" t="s">
        <v>132</v>
      </c>
      <c r="G62" s="31" t="n">
        <f aca="false">SUMIFS('QB Import'!$B$1:$B$600,'QB Import'!$H$1:$H$600,$C62,'QB Import'!$G$1:$G$600,1)</f>
        <v>329889</v>
      </c>
      <c r="H62" s="11" t="n">
        <f aca="false">IF($E62="Manual",L62,IF($E62="Flat",G62,IF($E62="Inflation",G62*(1+Inputs!D$12),IF($E62="Salary",G62*(1+Inputs!D$10),IF($E62="Benefits",G62*(1+Inputs!D$11),IF($E62="Per Student",G62*H$4/G$4*(1+Inputs!D$12),IF($E62="Enrollment",G62*H$4/G$4,IF($E62="Tuition Index",G62*H$5/G$5,IF($E62="% of Salaries",IF($G$6=0,0,$G62/$G$6*H$6),IF($E62="Debt",$G62*Inputs!D$15/12,IF($E62="Reserve Yield",Inputs!D$13*Inputs!D$16,IF($E62="Trend",IF(ISNUMBER(Trend!$Q101),Trend!$Q101,G62),G62))))))))))))</f>
        <v>354788.238842632</v>
      </c>
      <c r="I62" s="11" t="n">
        <f aca="false">IF($E62="Manual",M62,IF($E62="Flat",H62,IF($E62="Inflation",H62*(1+Inputs!E$12),IF($E62="Salary",H62*(1+Inputs!E$10),IF($E62="Benefits",H62*(1+Inputs!E$11),IF($E62="Per Student",H62*I$4/H$4*(1+Inputs!E$12),IF($E62="Enrollment",H62*I$4/H$4,IF($E62="Tuition Index",H62*I$5/H$5,IF($E62="% of Salaries",IF($G$6=0,0,$G62/$G$6*I$6),IF($E62="Debt",$G62*Inputs!E$15/12,IF($E62="Reserve Yield",Inputs!E$13*Inputs!E$16,IF($E62="Trend",H62*(1+Inputs!E$12),H62))))))))))))</f>
        <v>369487.453930996</v>
      </c>
      <c r="J62" s="11" t="n">
        <f aca="false">IF($E62="Manual",N62,IF($E62="Flat",I62,IF($E62="Inflation",I62*(1+Inputs!F$12),IF($E62="Salary",I62*(1+Inputs!F$10),IF($E62="Benefits",I62*(1+Inputs!F$11),IF($E62="Per Student",I62*J$4/I$4*(1+Inputs!F$12),IF($E62="Enrollment",I62*J$4/I$4,IF($E62="Tuition Index",I62*J$5/I$5,IF($E62="% of Salaries",IF($G$6=0,0,$G62/$G$6*J$6),IF($E62="Debt",$G62*Inputs!F$15/12,IF($E62="Reserve Yield",Inputs!F$13*Inputs!F$16,IF($E62="Trend",I62*(1+Inputs!F$12),I62))))))))))))</f>
        <v>382689.420985264</v>
      </c>
      <c r="K62" s="11" t="n">
        <f aca="false">IF($E62="Manual",O62,IF($E62="Flat",J62,IF($E62="Inflation",J62*(1+Inputs!G$12),IF($E62="Salary",J62*(1+Inputs!G$10),IF($E62="Benefits",J62*(1+Inputs!G$11),IF($E62="Per Student",J62*K$4/J$4*(1+Inputs!G$12),IF($E62="Enrollment",J62*K$4/J$4,IF($E62="Tuition Index",J62*K$5/J$5,IF($E62="% of Salaries",IF($G$6=0,0,$G62/$G$6*K$6),IF($E62="Debt",$G62*Inputs!G$15/12,IF($E62="Reserve Yield",Inputs!G$13*Inputs!G$16,IF($E62="Trend",J62*(1+Inputs!G$12),J62))))))))))))</f>
        <v>395598.665199844</v>
      </c>
      <c r="L62" s="22"/>
      <c r="M62" s="22"/>
      <c r="N62" s="22"/>
      <c r="O62" s="22"/>
    </row>
    <row r="63" customFormat="false" ht="15" hidden="false" customHeight="false" outlineLevel="0" collapsed="false">
      <c r="A63" s="6" t="s">
        <v>295</v>
      </c>
      <c r="B63" s="6" t="s">
        <v>14</v>
      </c>
      <c r="C63" s="30" t="s">
        <v>306</v>
      </c>
      <c r="D63" s="6" t="s">
        <v>307</v>
      </c>
      <c r="E63" s="20" t="s">
        <v>200</v>
      </c>
      <c r="F63" s="20" t="s">
        <v>132</v>
      </c>
      <c r="G63" s="31" t="n">
        <f aca="false">SUMIFS('QB Import'!$B$1:$B$600,'QB Import'!$H$1:$H$600,$C63,'QB Import'!$G$1:$G$600,1)</f>
        <v>0</v>
      </c>
      <c r="H63" s="11" t="n">
        <f aca="false">IF($E63="Manual",L63,IF($E63="Flat",G63,IF($E63="Inflation",G63*(1+Inputs!D$12),IF($E63="Salary",G63*(1+Inputs!D$10),IF($E63="Benefits",G63*(1+Inputs!D$11),IF($E63="Per Student",G63*H$4/G$4*(1+Inputs!D$12),IF($E63="Enrollment",G63*H$4/G$4,IF($E63="Tuition Index",G63*H$5/G$5,IF($E63="% of Salaries",IF($G$6=0,0,$G63/$G$6*H$6),IF($E63="Debt",$G63*Inputs!D$15/12,IF($E63="Reserve Yield",Inputs!D$13*Inputs!D$16,IF($E63="Trend",IF(ISNUMBER(Trend!$Q102),Trend!$Q102,G63),G63))))))))))))</f>
        <v>0</v>
      </c>
      <c r="I63" s="11" t="n">
        <f aca="false">IF($E63="Manual",M63,IF($E63="Flat",H63,IF($E63="Inflation",H63*(1+Inputs!E$12),IF($E63="Salary",H63*(1+Inputs!E$10),IF($E63="Benefits",H63*(1+Inputs!E$11),IF($E63="Per Student",H63*I$4/H$4*(1+Inputs!E$12),IF($E63="Enrollment",H63*I$4/H$4,IF($E63="Tuition Index",H63*I$5/H$5,IF($E63="% of Salaries",IF($G$6=0,0,$G63/$G$6*I$6),IF($E63="Debt",$G63*Inputs!E$15/12,IF($E63="Reserve Yield",Inputs!E$13*Inputs!E$16,IF($E63="Trend",H63*(1+Inputs!E$12),H63))))))))))))</f>
        <v>0</v>
      </c>
      <c r="J63" s="11" t="n">
        <f aca="false">IF($E63="Manual",N63,IF($E63="Flat",I63,IF($E63="Inflation",I63*(1+Inputs!F$12),IF($E63="Salary",I63*(1+Inputs!F$10),IF($E63="Benefits",I63*(1+Inputs!F$11),IF($E63="Per Student",I63*J$4/I$4*(1+Inputs!F$12),IF($E63="Enrollment",I63*J$4/I$4,IF($E63="Tuition Index",I63*J$5/I$5,IF($E63="% of Salaries",IF($G$6=0,0,$G63/$G$6*J$6),IF($E63="Debt",$G63*Inputs!F$15/12,IF($E63="Reserve Yield",Inputs!F$13*Inputs!F$16,IF($E63="Trend",I63*(1+Inputs!F$12),I63))))))))))))</f>
        <v>0</v>
      </c>
      <c r="K63" s="11" t="n">
        <f aca="false">IF($E63="Manual",O63,IF($E63="Flat",J63,IF($E63="Inflation",J63*(1+Inputs!G$12),IF($E63="Salary",J63*(1+Inputs!G$10),IF($E63="Benefits",J63*(1+Inputs!G$11),IF($E63="Per Student",J63*K$4/J$4*(1+Inputs!G$12),IF($E63="Enrollment",J63*K$4/J$4,IF($E63="Tuition Index",J63*K$5/J$5,IF($E63="% of Salaries",IF($G$6=0,0,$G63/$G$6*K$6),IF($E63="Debt",$G63*Inputs!G$15/12,IF($E63="Reserve Yield",Inputs!G$13*Inputs!G$16,IF($E63="Trend",J63*(1+Inputs!G$12),J63))))))))))))</f>
        <v>0</v>
      </c>
      <c r="L63" s="22"/>
      <c r="M63" s="22"/>
      <c r="N63" s="22"/>
      <c r="O63" s="22"/>
    </row>
    <row r="64" customFormat="false" ht="15" hidden="false" customHeight="false" outlineLevel="0" collapsed="false">
      <c r="A64" s="6" t="s">
        <v>295</v>
      </c>
      <c r="B64" s="6" t="s">
        <v>14</v>
      </c>
      <c r="C64" s="30" t="s">
        <v>308</v>
      </c>
      <c r="D64" s="6" t="s">
        <v>309</v>
      </c>
      <c r="E64" s="20" t="s">
        <v>200</v>
      </c>
      <c r="F64" s="20" t="s">
        <v>132</v>
      </c>
      <c r="G64" s="31" t="n">
        <f aca="false">SUMIFS('QB Import'!$B$1:$B$600,'QB Import'!$H$1:$H$600,$C64,'QB Import'!$G$1:$G$600,1)</f>
        <v>6000</v>
      </c>
      <c r="H64" s="11" t="n">
        <f aca="false">IF($E64="Manual",L64,IF($E64="Flat",G64,IF($E64="Inflation",G64*(1+Inputs!D$12),IF($E64="Salary",G64*(1+Inputs!D$10),IF($E64="Benefits",G64*(1+Inputs!D$11),IF($E64="Per Student",G64*H$4/G$4*(1+Inputs!D$12),IF($E64="Enrollment",G64*H$4/G$4,IF($E64="Tuition Index",G64*H$5/G$5,IF($E64="% of Salaries",IF($G$6=0,0,$G64/$G$6*H$6),IF($E64="Debt",$G64*Inputs!D$15/12,IF($E64="Reserve Yield",Inputs!D$13*Inputs!D$16,IF($E64="Trend",IF(ISNUMBER(Trend!$Q103),Trend!$Q103,G64),G64))))))))))))</f>
        <v>6000</v>
      </c>
      <c r="I64" s="11" t="n">
        <f aca="false">IF($E64="Manual",M64,IF($E64="Flat",H64,IF($E64="Inflation",H64*(1+Inputs!E$12),IF($E64="Salary",H64*(1+Inputs!E$10),IF($E64="Benefits",H64*(1+Inputs!E$11),IF($E64="Per Student",H64*I$4/H$4*(1+Inputs!E$12),IF($E64="Enrollment",H64*I$4/H$4,IF($E64="Tuition Index",H64*I$5/H$5,IF($E64="% of Salaries",IF($G$6=0,0,$G64/$G$6*I$6),IF($E64="Debt",$G64*Inputs!E$15/12,IF($E64="Reserve Yield",Inputs!E$13*Inputs!E$16,IF($E64="Trend",H64*(1+Inputs!E$12),H64))))))))))))</f>
        <v>6000</v>
      </c>
      <c r="J64" s="11" t="n">
        <f aca="false">IF($E64="Manual",N64,IF($E64="Flat",I64,IF($E64="Inflation",I64*(1+Inputs!F$12),IF($E64="Salary",I64*(1+Inputs!F$10),IF($E64="Benefits",I64*(1+Inputs!F$11),IF($E64="Per Student",I64*J$4/I$4*(1+Inputs!F$12),IF($E64="Enrollment",I64*J$4/I$4,IF($E64="Tuition Index",I64*J$5/I$5,IF($E64="% of Salaries",IF($G$6=0,0,$G64/$G$6*J$6),IF($E64="Debt",$G64*Inputs!F$15/12,IF($E64="Reserve Yield",Inputs!F$13*Inputs!F$16,IF($E64="Trend",I64*(1+Inputs!F$12),I64))))))))))))</f>
        <v>6000</v>
      </c>
      <c r="K64" s="11" t="n">
        <f aca="false">IF($E64="Manual",O64,IF($E64="Flat",J64,IF($E64="Inflation",J64*(1+Inputs!G$12),IF($E64="Salary",J64*(1+Inputs!G$10),IF($E64="Benefits",J64*(1+Inputs!G$11),IF($E64="Per Student",J64*K$4/J$4*(1+Inputs!G$12),IF($E64="Enrollment",J64*K$4/J$4,IF($E64="Tuition Index",J64*K$5/J$5,IF($E64="% of Salaries",IF($G$6=0,0,$G64/$G$6*K$6),IF($E64="Debt",$G64*Inputs!G$15/12,IF($E64="Reserve Yield",Inputs!G$13*Inputs!G$16,IF($E64="Trend",J64*(1+Inputs!G$12),J64))))))))))))</f>
        <v>6000</v>
      </c>
      <c r="L64" s="22"/>
      <c r="M64" s="22"/>
      <c r="N64" s="22"/>
      <c r="O64" s="22"/>
    </row>
    <row r="65" customFormat="false" ht="15" hidden="false" customHeight="false" outlineLevel="0" collapsed="false">
      <c r="A65" s="6" t="s">
        <v>295</v>
      </c>
      <c r="B65" s="6" t="s">
        <v>14</v>
      </c>
      <c r="C65" s="30" t="s">
        <v>310</v>
      </c>
      <c r="D65" s="6" t="s">
        <v>311</v>
      </c>
      <c r="E65" s="20" t="s">
        <v>298</v>
      </c>
      <c r="F65" s="20" t="s">
        <v>132</v>
      </c>
      <c r="G65" s="31" t="n">
        <f aca="false">SUMIFS('QB Import'!$B$1:$B$600,'QB Import'!$H$1:$H$600,$C65,'QB Import'!$G$1:$G$600,1)</f>
        <v>0</v>
      </c>
      <c r="H65" s="11" t="n">
        <f aca="false">IF($E65="Manual",L65,IF($E65="Flat",G65,IF($E65="Inflation",G65*(1+Inputs!D$12),IF($E65="Salary",G65*(1+Inputs!D$10),IF($E65="Benefits",G65*(1+Inputs!D$11),IF($E65="Per Student",G65*H$4/G$4*(1+Inputs!D$12),IF($E65="Enrollment",G65*H$4/G$4,IF($E65="Tuition Index",G65*H$5/G$5,IF($E65="% of Salaries",IF($G$6=0,0,$G65/$G$6*H$6),IF($E65="Debt",$G65*Inputs!D$15/12,IF($E65="Reserve Yield",Inputs!D$13*Inputs!D$16,IF($E65="Trend",IF(ISNUMBER(Trend!$Q104),Trend!$Q104,G65),G65))))))))))))</f>
        <v>0</v>
      </c>
      <c r="I65" s="11" t="n">
        <f aca="false">IF($E65="Manual",M65,IF($E65="Flat",H65,IF($E65="Inflation",H65*(1+Inputs!E$12),IF($E65="Salary",H65*(1+Inputs!E$10),IF($E65="Benefits",H65*(1+Inputs!E$11),IF($E65="Per Student",H65*I$4/H$4*(1+Inputs!E$12),IF($E65="Enrollment",H65*I$4/H$4,IF($E65="Tuition Index",H65*I$5/H$5,IF($E65="% of Salaries",IF($G$6=0,0,$G65/$G$6*I$6),IF($E65="Debt",$G65*Inputs!E$15/12,IF($E65="Reserve Yield",Inputs!E$13*Inputs!E$16,IF($E65="Trend",H65*(1+Inputs!E$12),H65))))))))))))</f>
        <v>0</v>
      </c>
      <c r="J65" s="11" t="n">
        <f aca="false">IF($E65="Manual",N65,IF($E65="Flat",I65,IF($E65="Inflation",I65*(1+Inputs!F$12),IF($E65="Salary",I65*(1+Inputs!F$10),IF($E65="Benefits",I65*(1+Inputs!F$11),IF($E65="Per Student",I65*J$4/I$4*(1+Inputs!F$12),IF($E65="Enrollment",I65*J$4/I$4,IF($E65="Tuition Index",I65*J$5/I$5,IF($E65="% of Salaries",IF($G$6=0,0,$G65/$G$6*J$6),IF($E65="Debt",$G65*Inputs!F$15/12,IF($E65="Reserve Yield",Inputs!F$13*Inputs!F$16,IF($E65="Trend",I65*(1+Inputs!F$12),I65))))))))))))</f>
        <v>0</v>
      </c>
      <c r="K65" s="11" t="n">
        <f aca="false">IF($E65="Manual",O65,IF($E65="Flat",J65,IF($E65="Inflation",J65*(1+Inputs!G$12),IF($E65="Salary",J65*(1+Inputs!G$10),IF($E65="Benefits",J65*(1+Inputs!G$11),IF($E65="Per Student",J65*K$4/J$4*(1+Inputs!G$12),IF($E65="Enrollment",J65*K$4/J$4,IF($E65="Tuition Index",J65*K$5/J$5,IF($E65="% of Salaries",IF($G$6=0,0,$G65/$G$6*K$6),IF($E65="Debt",$G65*Inputs!G$15/12,IF($E65="Reserve Yield",Inputs!G$13*Inputs!G$16,IF($E65="Trend",J65*(1+Inputs!G$12),J65))))))))))))</f>
        <v>0</v>
      </c>
      <c r="L65" s="22"/>
      <c r="M65" s="22"/>
      <c r="N65" s="22"/>
      <c r="O65" s="22"/>
    </row>
    <row r="66" customFormat="false" ht="15" hidden="false" customHeight="false" outlineLevel="0" collapsed="false">
      <c r="A66" s="6" t="s">
        <v>295</v>
      </c>
      <c r="B66" s="6" t="s">
        <v>14</v>
      </c>
      <c r="C66" s="30" t="s">
        <v>312</v>
      </c>
      <c r="D66" s="6" t="s">
        <v>313</v>
      </c>
      <c r="E66" s="20" t="s">
        <v>298</v>
      </c>
      <c r="F66" s="20" t="s">
        <v>132</v>
      </c>
      <c r="G66" s="31" t="n">
        <f aca="false">SUMIFS('QB Import'!$B$1:$B$600,'QB Import'!$H$1:$H$600,$C66,'QB Import'!$G$1:$G$600,1)</f>
        <v>385500</v>
      </c>
      <c r="H66" s="11" t="n">
        <f aca="false">IF($E66="Manual",L66,IF($E66="Flat",G66,IF($E66="Inflation",G66*(1+Inputs!D$12),IF($E66="Salary",G66*(1+Inputs!D$10),IF($E66="Benefits",G66*(1+Inputs!D$11),IF($E66="Per Student",G66*H$4/G$4*(1+Inputs!D$12),IF($E66="Enrollment",G66*H$4/G$4,IF($E66="Tuition Index",G66*H$5/G$5,IF($E66="% of Salaries",IF($G$6=0,0,$G66/$G$6*H$6),IF($E66="Debt",$G66*Inputs!D$15/12,IF($E66="Reserve Yield",Inputs!D$13*Inputs!D$16,IF($E66="Trend",IF(ISNUMBER(Trend!$Q105),Trend!$Q105,G66),G66))))))))))))</f>
        <v>397065</v>
      </c>
      <c r="I66" s="11" t="n">
        <f aca="false">IF($E66="Manual",M66,IF($E66="Flat",H66,IF($E66="Inflation",H66*(1+Inputs!E$12),IF($E66="Salary",H66*(1+Inputs!E$10),IF($E66="Benefits",H66*(1+Inputs!E$11),IF($E66="Per Student",H66*I$4/H$4*(1+Inputs!E$12),IF($E66="Enrollment",H66*I$4/H$4,IF($E66="Tuition Index",H66*I$5/H$5,IF($E66="% of Salaries",IF($G$6=0,0,$G66/$G$6*I$6),IF($E66="Debt",$G66*Inputs!E$15/12,IF($E66="Reserve Yield",Inputs!E$13*Inputs!E$16,IF($E66="Trend",H66*(1+Inputs!E$12),H66))))))))))))</f>
        <v>408976.95</v>
      </c>
      <c r="J66" s="11" t="n">
        <f aca="false">IF($E66="Manual",N66,IF($E66="Flat",I66,IF($E66="Inflation",I66*(1+Inputs!F$12),IF($E66="Salary",I66*(1+Inputs!F$10),IF($E66="Benefits",I66*(1+Inputs!F$11),IF($E66="Per Student",I66*J$4/I$4*(1+Inputs!F$12),IF($E66="Enrollment",I66*J$4/I$4,IF($E66="Tuition Index",I66*J$5/I$5,IF($E66="% of Salaries",IF($G$6=0,0,$G66/$G$6*J$6),IF($E66="Debt",$G66*Inputs!F$15/12,IF($E66="Reserve Yield",Inputs!F$13*Inputs!F$16,IF($E66="Trend",I66*(1+Inputs!F$12),I66))))))))))))</f>
        <v>421246.2585</v>
      </c>
      <c r="K66" s="11" t="n">
        <f aca="false">IF($E66="Manual",O66,IF($E66="Flat",J66,IF($E66="Inflation",J66*(1+Inputs!G$12),IF($E66="Salary",J66*(1+Inputs!G$10),IF($E66="Benefits",J66*(1+Inputs!G$11),IF($E66="Per Student",J66*K$4/J$4*(1+Inputs!G$12),IF($E66="Enrollment",J66*K$4/J$4,IF($E66="Tuition Index",J66*K$5/J$5,IF($E66="% of Salaries",IF($G$6=0,0,$G66/$G$6*K$6),IF($E66="Debt",$G66*Inputs!G$15/12,IF($E66="Reserve Yield",Inputs!G$13*Inputs!G$16,IF($E66="Trend",J66*(1+Inputs!G$12),J66))))))))))))</f>
        <v>433883.646255</v>
      </c>
      <c r="L66" s="22"/>
      <c r="M66" s="22"/>
      <c r="N66" s="22"/>
      <c r="O66" s="22"/>
    </row>
    <row r="67" customFormat="false" ht="15" hidden="false" customHeight="false" outlineLevel="0" collapsed="false">
      <c r="A67" s="6" t="s">
        <v>295</v>
      </c>
      <c r="B67" s="6" t="s">
        <v>14</v>
      </c>
      <c r="C67" s="30" t="s">
        <v>314</v>
      </c>
      <c r="D67" s="6" t="s">
        <v>315</v>
      </c>
      <c r="E67" s="20" t="s">
        <v>316</v>
      </c>
      <c r="F67" s="20" t="s">
        <v>132</v>
      </c>
      <c r="G67" s="31" t="n">
        <f aca="false">SUMIFS('QB Import'!$B$1:$B$600,'QB Import'!$H$1:$H$600,$C67,'QB Import'!$G$1:$G$600,1)</f>
        <v>1420000</v>
      </c>
      <c r="H67" s="11" t="n">
        <f aca="false">IF($E67="Manual",L67,IF($E67="Flat",G67,IF($E67="Inflation",G67*(1+Inputs!D$12),IF($E67="Salary",G67*(1+Inputs!D$10),IF($E67="Benefits",G67*(1+Inputs!D$11),IF($E67="Per Student",G67*H$4/G$4*(1+Inputs!D$12),IF($E67="Enrollment",G67*H$4/G$4,IF($E67="Tuition Index",G67*H$5/G$5,IF($E67="% of Salaries",IF($G$6=0,0,$G67/$G$6*H$6),IF($E67="Debt",$G67*Inputs!D$15/12,IF($E67="Reserve Yield",Inputs!D$13*Inputs!D$16,IF($E67="Trend",IF(ISNUMBER(Trend!$Q106),Trend!$Q106,G67),G67))))))))))))</f>
        <v>1462600</v>
      </c>
      <c r="I67" s="11" t="n">
        <f aca="false">IF($E67="Manual",M67,IF($E67="Flat",H67,IF($E67="Inflation",H67*(1+Inputs!E$12),IF($E67="Salary",H67*(1+Inputs!E$10),IF($E67="Benefits",H67*(1+Inputs!E$11),IF($E67="Per Student",H67*I$4/H$4*(1+Inputs!E$12),IF($E67="Enrollment",H67*I$4/H$4,IF($E67="Tuition Index",H67*I$5/H$5,IF($E67="% of Salaries",IF($G$6=0,0,$G67/$G$6*I$6),IF($E67="Debt",$G67*Inputs!E$15/12,IF($E67="Reserve Yield",Inputs!E$13*Inputs!E$16,IF($E67="Trend",H67*(1+Inputs!E$12),H67))))))))))))</f>
        <v>1506478</v>
      </c>
      <c r="J67" s="11" t="n">
        <f aca="false">IF($E67="Manual",N67,IF($E67="Flat",I67,IF($E67="Inflation",I67*(1+Inputs!F$12),IF($E67="Salary",I67*(1+Inputs!F$10),IF($E67="Benefits",I67*(1+Inputs!F$11),IF($E67="Per Student",I67*J$4/I$4*(1+Inputs!F$12),IF($E67="Enrollment",I67*J$4/I$4,IF($E67="Tuition Index",I67*J$5/I$5,IF($E67="% of Salaries",IF($G$6=0,0,$G67/$G$6*J$6),IF($E67="Debt",$G67*Inputs!F$15/12,IF($E67="Reserve Yield",Inputs!F$13*Inputs!F$16,IF($E67="Trend",I67*(1+Inputs!F$12),I67))))))))))))</f>
        <v>1551672.34</v>
      </c>
      <c r="K67" s="11" t="n">
        <f aca="false">IF($E67="Manual",O67,IF($E67="Flat",J67,IF($E67="Inflation",J67*(1+Inputs!G$12),IF($E67="Salary",J67*(1+Inputs!G$10),IF($E67="Benefits",J67*(1+Inputs!G$11),IF($E67="Per Student",J67*K$4/J$4*(1+Inputs!G$12),IF($E67="Enrollment",J67*K$4/J$4,IF($E67="Tuition Index",J67*K$5/J$5,IF($E67="% of Salaries",IF($G$6=0,0,$G67/$G$6*K$6),IF($E67="Debt",$G67*Inputs!G$15/12,IF($E67="Reserve Yield",Inputs!G$13*Inputs!G$16,IF($E67="Trend",J67*(1+Inputs!G$12),J67))))))))))))</f>
        <v>1598222.5102</v>
      </c>
      <c r="L67" s="22"/>
      <c r="M67" s="22"/>
      <c r="N67" s="22"/>
      <c r="O67" s="22"/>
    </row>
    <row r="68" customFormat="false" ht="15" hidden="false" customHeight="false" outlineLevel="0" collapsed="false">
      <c r="A68" s="6" t="s">
        <v>295</v>
      </c>
      <c r="B68" s="6" t="s">
        <v>14</v>
      </c>
      <c r="C68" s="30" t="s">
        <v>317</v>
      </c>
      <c r="D68" s="6" t="s">
        <v>318</v>
      </c>
      <c r="E68" s="20" t="s">
        <v>316</v>
      </c>
      <c r="F68" s="20" t="s">
        <v>132</v>
      </c>
      <c r="G68" s="31" t="n">
        <f aca="false">SUMIFS('QB Import'!$B$1:$B$600,'QB Import'!$H$1:$H$600,$C68,'QB Import'!$G$1:$G$600,1)</f>
        <v>3461000</v>
      </c>
      <c r="H68" s="11" t="n">
        <f aca="false">IF($E68="Manual",L68,IF($E68="Flat",G68,IF($E68="Inflation",G68*(1+Inputs!D$12),IF($E68="Salary",G68*(1+Inputs!D$10),IF($E68="Benefits",G68*(1+Inputs!D$11),IF($E68="Per Student",G68*H$4/G$4*(1+Inputs!D$12),IF($E68="Enrollment",G68*H$4/G$4,IF($E68="Tuition Index",G68*H$5/G$5,IF($E68="% of Salaries",IF($G$6=0,0,$G68/$G$6*H$6),IF($E68="Debt",$G68*Inputs!D$15/12,IF($E68="Reserve Yield",Inputs!D$13*Inputs!D$16,IF($E68="Trend",IF(ISNUMBER(Trend!$Q107),Trend!$Q107,G68),G68))))))))))))</f>
        <v>3564830</v>
      </c>
      <c r="I68" s="11" t="n">
        <f aca="false">IF($E68="Manual",M68,IF($E68="Flat",H68,IF($E68="Inflation",H68*(1+Inputs!E$12),IF($E68="Salary",H68*(1+Inputs!E$10),IF($E68="Benefits",H68*(1+Inputs!E$11),IF($E68="Per Student",H68*I$4/H$4*(1+Inputs!E$12),IF($E68="Enrollment",H68*I$4/H$4,IF($E68="Tuition Index",H68*I$5/H$5,IF($E68="% of Salaries",IF($G$6=0,0,$G68/$G$6*I$6),IF($E68="Debt",$G68*Inputs!E$15/12,IF($E68="Reserve Yield",Inputs!E$13*Inputs!E$16,IF($E68="Trend",H68*(1+Inputs!E$12),H68))))))))))))</f>
        <v>3671774.9</v>
      </c>
      <c r="J68" s="11" t="n">
        <f aca="false">IF($E68="Manual",N68,IF($E68="Flat",I68,IF($E68="Inflation",I68*(1+Inputs!F$12),IF($E68="Salary",I68*(1+Inputs!F$10),IF($E68="Benefits",I68*(1+Inputs!F$11),IF($E68="Per Student",I68*J$4/I$4*(1+Inputs!F$12),IF($E68="Enrollment",I68*J$4/I$4,IF($E68="Tuition Index",I68*J$5/I$5,IF($E68="% of Salaries",IF($G$6=0,0,$G68/$G$6*J$6),IF($E68="Debt",$G68*Inputs!F$15/12,IF($E68="Reserve Yield",Inputs!F$13*Inputs!F$16,IF($E68="Trend",I68*(1+Inputs!F$12),I68))))))))))))</f>
        <v>3781928.147</v>
      </c>
      <c r="K68" s="11" t="n">
        <f aca="false">IF($E68="Manual",O68,IF($E68="Flat",J68,IF($E68="Inflation",J68*(1+Inputs!G$12),IF($E68="Salary",J68*(1+Inputs!G$10),IF($E68="Benefits",J68*(1+Inputs!G$11),IF($E68="Per Student",J68*K$4/J$4*(1+Inputs!G$12),IF($E68="Enrollment",J68*K$4/J$4,IF($E68="Tuition Index",J68*K$5/J$5,IF($E68="% of Salaries",IF($G$6=0,0,$G68/$G$6*K$6),IF($E68="Debt",$G68*Inputs!G$15/12,IF($E68="Reserve Yield",Inputs!G$13*Inputs!G$16,IF($E68="Trend",J68*(1+Inputs!G$12),J68))))))))))))</f>
        <v>3895385.99141</v>
      </c>
      <c r="L68" s="22"/>
      <c r="M68" s="22"/>
      <c r="N68" s="22"/>
      <c r="O68" s="22"/>
    </row>
    <row r="69" customFormat="false" ht="15" hidden="false" customHeight="false" outlineLevel="0" collapsed="false">
      <c r="A69" s="6" t="s">
        <v>295</v>
      </c>
      <c r="B69" s="6" t="s">
        <v>14</v>
      </c>
      <c r="C69" s="30" t="s">
        <v>319</v>
      </c>
      <c r="D69" s="6" t="s">
        <v>320</v>
      </c>
      <c r="E69" s="20" t="s">
        <v>316</v>
      </c>
      <c r="F69" s="20" t="s">
        <v>132</v>
      </c>
      <c r="G69" s="31" t="n">
        <f aca="false">SUMIFS('QB Import'!$B$1:$B$600,'QB Import'!$H$1:$H$600,$C69,'QB Import'!$G$1:$G$600,1)</f>
        <v>0</v>
      </c>
      <c r="H69" s="11" t="n">
        <f aca="false">IF($E69="Manual",L69,IF($E69="Flat",G69,IF($E69="Inflation",G69*(1+Inputs!D$12),IF($E69="Salary",G69*(1+Inputs!D$10),IF($E69="Benefits",G69*(1+Inputs!D$11),IF($E69="Per Student",G69*H$4/G$4*(1+Inputs!D$12),IF($E69="Enrollment",G69*H$4/G$4,IF($E69="Tuition Index",G69*H$5/G$5,IF($E69="% of Salaries",IF($G$6=0,0,$G69/$G$6*H$6),IF($E69="Debt",$G69*Inputs!D$15/12,IF($E69="Reserve Yield",Inputs!D$13*Inputs!D$16,IF($E69="Trend",IF(ISNUMBER(Trend!$Q108),Trend!$Q108,G69),G69))))))))))))</f>
        <v>0</v>
      </c>
      <c r="I69" s="11" t="n">
        <f aca="false">IF($E69="Manual",M69,IF($E69="Flat",H69,IF($E69="Inflation",H69*(1+Inputs!E$12),IF($E69="Salary",H69*(1+Inputs!E$10),IF($E69="Benefits",H69*(1+Inputs!E$11),IF($E69="Per Student",H69*I$4/H$4*(1+Inputs!E$12),IF($E69="Enrollment",H69*I$4/H$4,IF($E69="Tuition Index",H69*I$5/H$5,IF($E69="% of Salaries",IF($G$6=0,0,$G69/$G$6*I$6),IF($E69="Debt",$G69*Inputs!E$15/12,IF($E69="Reserve Yield",Inputs!E$13*Inputs!E$16,IF($E69="Trend",H69*(1+Inputs!E$12),H69))))))))))))</f>
        <v>0</v>
      </c>
      <c r="J69" s="11" t="n">
        <f aca="false">IF($E69="Manual",N69,IF($E69="Flat",I69,IF($E69="Inflation",I69*(1+Inputs!F$12),IF($E69="Salary",I69*(1+Inputs!F$10),IF($E69="Benefits",I69*(1+Inputs!F$11),IF($E69="Per Student",I69*J$4/I$4*(1+Inputs!F$12),IF($E69="Enrollment",I69*J$4/I$4,IF($E69="Tuition Index",I69*J$5/I$5,IF($E69="% of Salaries",IF($G$6=0,0,$G69/$G$6*J$6),IF($E69="Debt",$G69*Inputs!F$15/12,IF($E69="Reserve Yield",Inputs!F$13*Inputs!F$16,IF($E69="Trend",I69*(1+Inputs!F$12),I69))))))))))))</f>
        <v>0</v>
      </c>
      <c r="K69" s="11" t="n">
        <f aca="false">IF($E69="Manual",O69,IF($E69="Flat",J69,IF($E69="Inflation",J69*(1+Inputs!G$12),IF($E69="Salary",J69*(1+Inputs!G$10),IF($E69="Benefits",J69*(1+Inputs!G$11),IF($E69="Per Student",J69*K$4/J$4*(1+Inputs!G$12),IF($E69="Enrollment",J69*K$4/J$4,IF($E69="Tuition Index",J69*K$5/J$5,IF($E69="% of Salaries",IF($G$6=0,0,$G69/$G$6*K$6),IF($E69="Debt",$G69*Inputs!G$15/12,IF($E69="Reserve Yield",Inputs!G$13*Inputs!G$16,IF($E69="Trend",J69*(1+Inputs!G$12),J69))))))))))))</f>
        <v>0</v>
      </c>
      <c r="L69" s="22"/>
      <c r="M69" s="22"/>
      <c r="N69" s="22"/>
      <c r="O69" s="22"/>
    </row>
    <row r="70" customFormat="false" ht="15" hidden="false" customHeight="false" outlineLevel="0" collapsed="false">
      <c r="A70" s="6" t="s">
        <v>295</v>
      </c>
      <c r="B70" s="6" t="s">
        <v>14</v>
      </c>
      <c r="C70" s="30" t="s">
        <v>321</v>
      </c>
      <c r="D70" s="6" t="s">
        <v>322</v>
      </c>
      <c r="E70" s="20" t="s">
        <v>316</v>
      </c>
      <c r="F70" s="20" t="s">
        <v>132</v>
      </c>
      <c r="G70" s="31" t="n">
        <f aca="false">SUMIFS('QB Import'!$B$1:$B$600,'QB Import'!$H$1:$H$600,$C70,'QB Import'!$G$1:$G$600,1)</f>
        <v>20000</v>
      </c>
      <c r="H70" s="11" t="n">
        <f aca="false">IF($E70="Manual",L70,IF($E70="Flat",G70,IF($E70="Inflation",G70*(1+Inputs!D$12),IF($E70="Salary",G70*(1+Inputs!D$10),IF($E70="Benefits",G70*(1+Inputs!D$11),IF($E70="Per Student",G70*H$4/G$4*(1+Inputs!D$12),IF($E70="Enrollment",G70*H$4/G$4,IF($E70="Tuition Index",G70*H$5/G$5,IF($E70="% of Salaries",IF($G$6=0,0,$G70/$G$6*H$6),IF($E70="Debt",$G70*Inputs!D$15/12,IF($E70="Reserve Yield",Inputs!D$13*Inputs!D$16,IF($E70="Trend",IF(ISNUMBER(Trend!$Q109),Trend!$Q109,G70),G70))))))))))))</f>
        <v>20600</v>
      </c>
      <c r="I70" s="11" t="n">
        <f aca="false">IF($E70="Manual",M70,IF($E70="Flat",H70,IF($E70="Inflation",H70*(1+Inputs!E$12),IF($E70="Salary",H70*(1+Inputs!E$10),IF($E70="Benefits",H70*(1+Inputs!E$11),IF($E70="Per Student",H70*I$4/H$4*(1+Inputs!E$12),IF($E70="Enrollment",H70*I$4/H$4,IF($E70="Tuition Index",H70*I$5/H$5,IF($E70="% of Salaries",IF($G$6=0,0,$G70/$G$6*I$6),IF($E70="Debt",$G70*Inputs!E$15/12,IF($E70="Reserve Yield",Inputs!E$13*Inputs!E$16,IF($E70="Trend",H70*(1+Inputs!E$12),H70))))))))))))</f>
        <v>21218</v>
      </c>
      <c r="J70" s="11" t="n">
        <f aca="false">IF($E70="Manual",N70,IF($E70="Flat",I70,IF($E70="Inflation",I70*(1+Inputs!F$12),IF($E70="Salary",I70*(1+Inputs!F$10),IF($E70="Benefits",I70*(1+Inputs!F$11),IF($E70="Per Student",I70*J$4/I$4*(1+Inputs!F$12),IF($E70="Enrollment",I70*J$4/I$4,IF($E70="Tuition Index",I70*J$5/I$5,IF($E70="% of Salaries",IF($G$6=0,0,$G70/$G$6*J$6),IF($E70="Debt",$G70*Inputs!F$15/12,IF($E70="Reserve Yield",Inputs!F$13*Inputs!F$16,IF($E70="Trend",I70*(1+Inputs!F$12),I70))))))))))))</f>
        <v>21854.54</v>
      </c>
      <c r="K70" s="11" t="n">
        <f aca="false">IF($E70="Manual",O70,IF($E70="Flat",J70,IF($E70="Inflation",J70*(1+Inputs!G$12),IF($E70="Salary",J70*(1+Inputs!G$10),IF($E70="Benefits",J70*(1+Inputs!G$11),IF($E70="Per Student",J70*K$4/J$4*(1+Inputs!G$12),IF($E70="Enrollment",J70*K$4/J$4,IF($E70="Tuition Index",J70*K$5/J$5,IF($E70="% of Salaries",IF($G$6=0,0,$G70/$G$6*K$6),IF($E70="Debt",$G70*Inputs!G$15/12,IF($E70="Reserve Yield",Inputs!G$13*Inputs!G$16,IF($E70="Trend",J70*(1+Inputs!G$12),J70))))))))))))</f>
        <v>22510.1762</v>
      </c>
      <c r="L70" s="22"/>
      <c r="M70" s="22"/>
      <c r="N70" s="22"/>
      <c r="O70" s="22"/>
    </row>
    <row r="71" customFormat="false" ht="15" hidden="false" customHeight="false" outlineLevel="0" collapsed="false">
      <c r="A71" s="6" t="s">
        <v>295</v>
      </c>
      <c r="B71" s="6" t="s">
        <v>14</v>
      </c>
      <c r="C71" s="30" t="s">
        <v>323</v>
      </c>
      <c r="D71" s="6" t="s">
        <v>324</v>
      </c>
      <c r="E71" s="20" t="s">
        <v>316</v>
      </c>
      <c r="F71" s="20" t="s">
        <v>132</v>
      </c>
      <c r="G71" s="31" t="n">
        <f aca="false">SUMIFS('QB Import'!$B$1:$B$600,'QB Import'!$H$1:$H$600,$C71,'QB Import'!$G$1:$G$600,1)</f>
        <v>15000</v>
      </c>
      <c r="H71" s="11" t="n">
        <f aca="false">IF($E71="Manual",L71,IF($E71="Flat",G71,IF($E71="Inflation",G71*(1+Inputs!D$12),IF($E71="Salary",G71*(1+Inputs!D$10),IF($E71="Benefits",G71*(1+Inputs!D$11),IF($E71="Per Student",G71*H$4/G$4*(1+Inputs!D$12),IF($E71="Enrollment",G71*H$4/G$4,IF($E71="Tuition Index",G71*H$5/G$5,IF($E71="% of Salaries",IF($G$6=0,0,$G71/$G$6*H$6),IF($E71="Debt",$G71*Inputs!D$15/12,IF($E71="Reserve Yield",Inputs!D$13*Inputs!D$16,IF($E71="Trend",IF(ISNUMBER(Trend!$Q110),Trend!$Q110,G71),G71))))))))))))</f>
        <v>15450</v>
      </c>
      <c r="I71" s="11" t="n">
        <f aca="false">IF($E71="Manual",M71,IF($E71="Flat",H71,IF($E71="Inflation",H71*(1+Inputs!E$12),IF($E71="Salary",H71*(1+Inputs!E$10),IF($E71="Benefits",H71*(1+Inputs!E$11),IF($E71="Per Student",H71*I$4/H$4*(1+Inputs!E$12),IF($E71="Enrollment",H71*I$4/H$4,IF($E71="Tuition Index",H71*I$5/H$5,IF($E71="% of Salaries",IF($G$6=0,0,$G71/$G$6*I$6),IF($E71="Debt",$G71*Inputs!E$15/12,IF($E71="Reserve Yield",Inputs!E$13*Inputs!E$16,IF($E71="Trend",H71*(1+Inputs!E$12),H71))))))))))))</f>
        <v>15913.5</v>
      </c>
      <c r="J71" s="11" t="n">
        <f aca="false">IF($E71="Manual",N71,IF($E71="Flat",I71,IF($E71="Inflation",I71*(1+Inputs!F$12),IF($E71="Salary",I71*(1+Inputs!F$10),IF($E71="Benefits",I71*(1+Inputs!F$11),IF($E71="Per Student",I71*J$4/I$4*(1+Inputs!F$12),IF($E71="Enrollment",I71*J$4/I$4,IF($E71="Tuition Index",I71*J$5/I$5,IF($E71="% of Salaries",IF($G$6=0,0,$G71/$G$6*J$6),IF($E71="Debt",$G71*Inputs!F$15/12,IF($E71="Reserve Yield",Inputs!F$13*Inputs!F$16,IF($E71="Trend",I71*(1+Inputs!F$12),I71))))))))))))</f>
        <v>16390.905</v>
      </c>
      <c r="K71" s="11" t="n">
        <f aca="false">IF($E71="Manual",O71,IF($E71="Flat",J71,IF($E71="Inflation",J71*(1+Inputs!G$12),IF($E71="Salary",J71*(1+Inputs!G$10),IF($E71="Benefits",J71*(1+Inputs!G$11),IF($E71="Per Student",J71*K$4/J$4*(1+Inputs!G$12),IF($E71="Enrollment",J71*K$4/J$4,IF($E71="Tuition Index",J71*K$5/J$5,IF($E71="% of Salaries",IF($G$6=0,0,$G71/$G$6*K$6),IF($E71="Debt",$G71*Inputs!G$15/12,IF($E71="Reserve Yield",Inputs!G$13*Inputs!G$16,IF($E71="Trend",J71*(1+Inputs!G$12),J71))))))))))))</f>
        <v>16882.63215</v>
      </c>
      <c r="L71" s="22"/>
      <c r="M71" s="22"/>
      <c r="N71" s="22"/>
      <c r="O71" s="22"/>
    </row>
    <row r="72" customFormat="false" ht="15" hidden="false" customHeight="false" outlineLevel="0" collapsed="false">
      <c r="A72" s="6" t="s">
        <v>295</v>
      </c>
      <c r="B72" s="6" t="s">
        <v>14</v>
      </c>
      <c r="C72" s="30" t="s">
        <v>325</v>
      </c>
      <c r="D72" s="6" t="s">
        <v>326</v>
      </c>
      <c r="E72" s="20" t="s">
        <v>316</v>
      </c>
      <c r="F72" s="20" t="s">
        <v>132</v>
      </c>
      <c r="G72" s="31" t="n">
        <f aca="false">SUMIFS('QB Import'!$B$1:$B$600,'QB Import'!$H$1:$H$600,$C72,'QB Import'!$G$1:$G$600,1)</f>
        <v>182000</v>
      </c>
      <c r="H72" s="11" t="n">
        <f aca="false">IF($E72="Manual",L72,IF($E72="Flat",G72,IF($E72="Inflation",G72*(1+Inputs!D$12),IF($E72="Salary",G72*(1+Inputs!D$10),IF($E72="Benefits",G72*(1+Inputs!D$11),IF($E72="Per Student",G72*H$4/G$4*(1+Inputs!D$12),IF($E72="Enrollment",G72*H$4/G$4,IF($E72="Tuition Index",G72*H$5/G$5,IF($E72="% of Salaries",IF($G$6=0,0,$G72/$G$6*H$6),IF($E72="Debt",$G72*Inputs!D$15/12,IF($E72="Reserve Yield",Inputs!D$13*Inputs!D$16,IF($E72="Trend",IF(ISNUMBER(Trend!$Q111),Trend!$Q111,G72),G72))))))))))))</f>
        <v>187460</v>
      </c>
      <c r="I72" s="11" t="n">
        <f aca="false">IF($E72="Manual",M72,IF($E72="Flat",H72,IF($E72="Inflation",H72*(1+Inputs!E$12),IF($E72="Salary",H72*(1+Inputs!E$10),IF($E72="Benefits",H72*(1+Inputs!E$11),IF($E72="Per Student",H72*I$4/H$4*(1+Inputs!E$12),IF($E72="Enrollment",H72*I$4/H$4,IF($E72="Tuition Index",H72*I$5/H$5,IF($E72="% of Salaries",IF($G$6=0,0,$G72/$G$6*I$6),IF($E72="Debt",$G72*Inputs!E$15/12,IF($E72="Reserve Yield",Inputs!E$13*Inputs!E$16,IF($E72="Trend",H72*(1+Inputs!E$12),H72))))))))))))</f>
        <v>193083.8</v>
      </c>
      <c r="J72" s="11" t="n">
        <f aca="false">IF($E72="Manual",N72,IF($E72="Flat",I72,IF($E72="Inflation",I72*(1+Inputs!F$12),IF($E72="Salary",I72*(1+Inputs!F$10),IF($E72="Benefits",I72*(1+Inputs!F$11),IF($E72="Per Student",I72*J$4/I$4*(1+Inputs!F$12),IF($E72="Enrollment",I72*J$4/I$4,IF($E72="Tuition Index",I72*J$5/I$5,IF($E72="% of Salaries",IF($G$6=0,0,$G72/$G$6*J$6),IF($E72="Debt",$G72*Inputs!F$15/12,IF($E72="Reserve Yield",Inputs!F$13*Inputs!F$16,IF($E72="Trend",I72*(1+Inputs!F$12),I72))))))))))))</f>
        <v>198876.314</v>
      </c>
      <c r="K72" s="11" t="n">
        <f aca="false">IF($E72="Manual",O72,IF($E72="Flat",J72,IF($E72="Inflation",J72*(1+Inputs!G$12),IF($E72="Salary",J72*(1+Inputs!G$10),IF($E72="Benefits",J72*(1+Inputs!G$11),IF($E72="Per Student",J72*K$4/J$4*(1+Inputs!G$12),IF($E72="Enrollment",J72*K$4/J$4,IF($E72="Tuition Index",J72*K$5/J$5,IF($E72="% of Salaries",IF($G$6=0,0,$G72/$G$6*K$6),IF($E72="Debt",$G72*Inputs!G$15/12,IF($E72="Reserve Yield",Inputs!G$13*Inputs!G$16,IF($E72="Trend",J72*(1+Inputs!G$12),J72))))))))))))</f>
        <v>204842.60342</v>
      </c>
      <c r="L72" s="22"/>
      <c r="M72" s="22"/>
      <c r="N72" s="22"/>
      <c r="O72" s="22"/>
    </row>
    <row r="73" customFormat="false" ht="15" hidden="false" customHeight="false" outlineLevel="0" collapsed="false">
      <c r="A73" s="6" t="s">
        <v>295</v>
      </c>
      <c r="B73" s="6" t="s">
        <v>15</v>
      </c>
      <c r="C73" s="30" t="s">
        <v>327</v>
      </c>
      <c r="D73" s="6" t="s">
        <v>328</v>
      </c>
      <c r="E73" s="20" t="s">
        <v>200</v>
      </c>
      <c r="F73" s="20" t="s">
        <v>132</v>
      </c>
      <c r="G73" s="31" t="n">
        <f aca="false">SUMIFS('QB Import'!$B$1:$B$600,'QB Import'!$H$1:$H$600,$C73,'QB Import'!$G$1:$G$600,1)</f>
        <v>0</v>
      </c>
      <c r="H73" s="11" t="n">
        <f aca="false">IF($E73="Manual",L73,IF($E73="Flat",G73,IF($E73="Inflation",G73*(1+Inputs!D$12),IF($E73="Salary",G73*(1+Inputs!D$10),IF($E73="Benefits",G73*(1+Inputs!D$11),IF($E73="Per Student",G73*H$4/G$4*(1+Inputs!D$12),IF($E73="Enrollment",G73*H$4/G$4,IF($E73="Tuition Index",G73*H$5/G$5,IF($E73="% of Salaries",IF($G$6=0,0,$G73/$G$6*H$6),IF($E73="Debt",$G73*Inputs!D$15/12,IF($E73="Reserve Yield",Inputs!D$13*Inputs!D$16,IF($E73="Trend",IF(ISNUMBER(Trend!$Q112),Trend!$Q112,G73),G73))))))))))))</f>
        <v>0</v>
      </c>
      <c r="I73" s="11" t="n">
        <f aca="false">IF($E73="Manual",M73,IF($E73="Flat",H73,IF($E73="Inflation",H73*(1+Inputs!E$12),IF($E73="Salary",H73*(1+Inputs!E$10),IF($E73="Benefits",H73*(1+Inputs!E$11),IF($E73="Per Student",H73*I$4/H$4*(1+Inputs!E$12),IF($E73="Enrollment",H73*I$4/H$4,IF($E73="Tuition Index",H73*I$5/H$5,IF($E73="% of Salaries",IF($G$6=0,0,$G73/$G$6*I$6),IF($E73="Debt",$G73*Inputs!E$15/12,IF($E73="Reserve Yield",Inputs!E$13*Inputs!E$16,IF($E73="Trend",H73*(1+Inputs!E$12),H73))))))))))))</f>
        <v>0</v>
      </c>
      <c r="J73" s="11" t="n">
        <f aca="false">IF($E73="Manual",N73,IF($E73="Flat",I73,IF($E73="Inflation",I73*(1+Inputs!F$12),IF($E73="Salary",I73*(1+Inputs!F$10),IF($E73="Benefits",I73*(1+Inputs!F$11),IF($E73="Per Student",I73*J$4/I$4*(1+Inputs!F$12),IF($E73="Enrollment",I73*J$4/I$4,IF($E73="Tuition Index",I73*J$5/I$5,IF($E73="% of Salaries",IF($G$6=0,0,$G73/$G$6*J$6),IF($E73="Debt",$G73*Inputs!F$15/12,IF($E73="Reserve Yield",Inputs!F$13*Inputs!F$16,IF($E73="Trend",I73*(1+Inputs!F$12),I73))))))))))))</f>
        <v>0</v>
      </c>
      <c r="K73" s="11" t="n">
        <f aca="false">IF($E73="Manual",O73,IF($E73="Flat",J73,IF($E73="Inflation",J73*(1+Inputs!G$12),IF($E73="Salary",J73*(1+Inputs!G$10),IF($E73="Benefits",J73*(1+Inputs!G$11),IF($E73="Per Student",J73*K$4/J$4*(1+Inputs!G$12),IF($E73="Enrollment",J73*K$4/J$4,IF($E73="Tuition Index",J73*K$5/J$5,IF($E73="% of Salaries",IF($G$6=0,0,$G73/$G$6*K$6),IF($E73="Debt",$G73*Inputs!G$15/12,IF($E73="Reserve Yield",Inputs!G$13*Inputs!G$16,IF($E73="Trend",J73*(1+Inputs!G$12),J73))))))))))))</f>
        <v>0</v>
      </c>
      <c r="L73" s="22"/>
      <c r="M73" s="22"/>
      <c r="N73" s="22"/>
      <c r="O73" s="22"/>
    </row>
    <row r="74" customFormat="false" ht="15" hidden="false" customHeight="false" outlineLevel="0" collapsed="false">
      <c r="A74" s="6" t="s">
        <v>295</v>
      </c>
      <c r="B74" s="6" t="s">
        <v>15</v>
      </c>
      <c r="C74" s="30" t="s">
        <v>329</v>
      </c>
      <c r="D74" s="6" t="s">
        <v>329</v>
      </c>
      <c r="E74" s="20" t="s">
        <v>330</v>
      </c>
      <c r="F74" s="20" t="s">
        <v>132</v>
      </c>
      <c r="G74" s="31" t="n">
        <f aca="false">SUMIFS('QB Import'!$B$1:$B$600,'QB Import'!$H$1:$H$600,$C74,'QB Import'!$G$1:$G$600,1)</f>
        <v>25000</v>
      </c>
      <c r="H74" s="11" t="n">
        <f aca="false">IF($E74="Manual",L74,IF($E74="Flat",G74,IF($E74="Inflation",G74*(1+Inputs!D$12),IF($E74="Salary",G74*(1+Inputs!D$10),IF($E74="Benefits",G74*(1+Inputs!D$11),IF($E74="Per Student",G74*H$4/G$4*(1+Inputs!D$12),IF($E74="Enrollment",G74*H$4/G$4,IF($E74="Tuition Index",G74*H$5/G$5,IF($E74="% of Salaries",IF($G$6=0,0,$G74/$G$6*H$6),IF($E74="Debt",$G74*Inputs!D$15/12,IF($E74="Reserve Yield",Inputs!D$13*Inputs!D$16,IF($E74="Trend",IF(ISNUMBER(Trend!$Q113),Trend!$Q113,G74),G74))))))))))))</f>
        <v>25750</v>
      </c>
      <c r="I74" s="11" t="n">
        <f aca="false">IF($E74="Manual",M74,IF($E74="Flat",H74,IF($E74="Inflation",H74*(1+Inputs!E$12),IF($E74="Salary",H74*(1+Inputs!E$10),IF($E74="Benefits",H74*(1+Inputs!E$11),IF($E74="Per Student",H74*I$4/H$4*(1+Inputs!E$12),IF($E74="Enrollment",H74*I$4/H$4,IF($E74="Tuition Index",H74*I$5/H$5,IF($E74="% of Salaries",IF($G$6=0,0,$G74/$G$6*I$6),IF($E74="Debt",$G74*Inputs!E$15/12,IF($E74="Reserve Yield",Inputs!E$13*Inputs!E$16,IF($E74="Trend",H74*(1+Inputs!E$12),H74))))))))))))</f>
        <v>26522.5</v>
      </c>
      <c r="J74" s="11" t="n">
        <f aca="false">IF($E74="Manual",N74,IF($E74="Flat",I74,IF($E74="Inflation",I74*(1+Inputs!F$12),IF($E74="Salary",I74*(1+Inputs!F$10),IF($E74="Benefits",I74*(1+Inputs!F$11),IF($E74="Per Student",I74*J$4/I$4*(1+Inputs!F$12),IF($E74="Enrollment",I74*J$4/I$4,IF($E74="Tuition Index",I74*J$5/I$5,IF($E74="% of Salaries",IF($G$6=0,0,$G74/$G$6*J$6),IF($E74="Debt",$G74*Inputs!F$15/12,IF($E74="Reserve Yield",Inputs!F$13*Inputs!F$16,IF($E74="Trend",I74*(1+Inputs!F$12),I74))))))))))))</f>
        <v>27318.175</v>
      </c>
      <c r="K74" s="11" t="n">
        <f aca="false">IF($E74="Manual",O74,IF($E74="Flat",J74,IF($E74="Inflation",J74*(1+Inputs!G$12),IF($E74="Salary",J74*(1+Inputs!G$10),IF($E74="Benefits",J74*(1+Inputs!G$11),IF($E74="Per Student",J74*K$4/J$4*(1+Inputs!G$12),IF($E74="Enrollment",J74*K$4/J$4,IF($E74="Tuition Index",J74*K$5/J$5,IF($E74="% of Salaries",IF($G$6=0,0,$G74/$G$6*K$6),IF($E74="Debt",$G74*Inputs!G$15/12,IF($E74="Reserve Yield",Inputs!G$13*Inputs!G$16,IF($E74="Trend",J74*(1+Inputs!G$12),J74))))))))))))</f>
        <v>28137.72025</v>
      </c>
      <c r="L74" s="22"/>
      <c r="M74" s="22"/>
      <c r="N74" s="22"/>
      <c r="O74" s="22"/>
    </row>
    <row r="75" customFormat="false" ht="15" hidden="false" customHeight="false" outlineLevel="0" collapsed="false">
      <c r="A75" s="6" t="s">
        <v>295</v>
      </c>
      <c r="B75" s="6" t="s">
        <v>15</v>
      </c>
      <c r="C75" s="30" t="s">
        <v>331</v>
      </c>
      <c r="D75" s="6" t="s">
        <v>332</v>
      </c>
      <c r="E75" s="20" t="s">
        <v>200</v>
      </c>
      <c r="F75" s="20" t="s">
        <v>132</v>
      </c>
      <c r="G75" s="31" t="n">
        <f aca="false">SUMIFS('QB Import'!$B$1:$B$600,'QB Import'!$H$1:$H$600,$C75,'QB Import'!$G$1:$G$600,1)</f>
        <v>0</v>
      </c>
      <c r="H75" s="11" t="n">
        <f aca="false">IF($E75="Manual",L75,IF($E75="Flat",G75,IF($E75="Inflation",G75*(1+Inputs!D$12),IF($E75="Salary",G75*(1+Inputs!D$10),IF($E75="Benefits",G75*(1+Inputs!D$11),IF($E75="Per Student",G75*H$4/G$4*(1+Inputs!D$12),IF($E75="Enrollment",G75*H$4/G$4,IF($E75="Tuition Index",G75*H$5/G$5,IF($E75="% of Salaries",IF($G$6=0,0,$G75/$G$6*H$6),IF($E75="Debt",$G75*Inputs!D$15/12,IF($E75="Reserve Yield",Inputs!D$13*Inputs!D$16,IF($E75="Trend",IF(ISNUMBER(Trend!$Q114),Trend!$Q114,G75),G75))))))))))))</f>
        <v>0</v>
      </c>
      <c r="I75" s="11" t="n">
        <f aca="false">IF($E75="Manual",M75,IF($E75="Flat",H75,IF($E75="Inflation",H75*(1+Inputs!E$12),IF($E75="Salary",H75*(1+Inputs!E$10),IF($E75="Benefits",H75*(1+Inputs!E$11),IF($E75="Per Student",H75*I$4/H$4*(1+Inputs!E$12),IF($E75="Enrollment",H75*I$4/H$4,IF($E75="Tuition Index",H75*I$5/H$5,IF($E75="% of Salaries",IF($G$6=0,0,$G75/$G$6*I$6),IF($E75="Debt",$G75*Inputs!E$15/12,IF($E75="Reserve Yield",Inputs!E$13*Inputs!E$16,IF($E75="Trend",H75*(1+Inputs!E$12),H75))))))))))))</f>
        <v>0</v>
      </c>
      <c r="J75" s="11" t="n">
        <f aca="false">IF($E75="Manual",N75,IF($E75="Flat",I75,IF($E75="Inflation",I75*(1+Inputs!F$12),IF($E75="Salary",I75*(1+Inputs!F$10),IF($E75="Benefits",I75*(1+Inputs!F$11),IF($E75="Per Student",I75*J$4/I$4*(1+Inputs!F$12),IF($E75="Enrollment",I75*J$4/I$4,IF($E75="Tuition Index",I75*J$5/I$5,IF($E75="% of Salaries",IF($G$6=0,0,$G75/$G$6*J$6),IF($E75="Debt",$G75*Inputs!F$15/12,IF($E75="Reserve Yield",Inputs!F$13*Inputs!F$16,IF($E75="Trend",I75*(1+Inputs!F$12),I75))))))))))))</f>
        <v>0</v>
      </c>
      <c r="K75" s="11" t="n">
        <f aca="false">IF($E75="Manual",O75,IF($E75="Flat",J75,IF($E75="Inflation",J75*(1+Inputs!G$12),IF($E75="Salary",J75*(1+Inputs!G$10),IF($E75="Benefits",J75*(1+Inputs!G$11),IF($E75="Per Student",J75*K$4/J$4*(1+Inputs!G$12),IF($E75="Enrollment",J75*K$4/J$4,IF($E75="Tuition Index",J75*K$5/J$5,IF($E75="% of Salaries",IF($G$6=0,0,$G75/$G$6*K$6),IF($E75="Debt",$G75*Inputs!G$15/12,IF($E75="Reserve Yield",Inputs!G$13*Inputs!G$16,IF($E75="Trend",J75*(1+Inputs!G$12),J75))))))))))))</f>
        <v>0</v>
      </c>
      <c r="L75" s="22"/>
      <c r="M75" s="22"/>
      <c r="N75" s="22"/>
      <c r="O75" s="22"/>
    </row>
    <row r="76" customFormat="false" ht="15" hidden="false" customHeight="false" outlineLevel="0" collapsed="false">
      <c r="A76" s="6" t="s">
        <v>295</v>
      </c>
      <c r="B76" s="6" t="s">
        <v>15</v>
      </c>
      <c r="C76" s="30" t="s">
        <v>333</v>
      </c>
      <c r="D76" s="6" t="s">
        <v>334</v>
      </c>
      <c r="E76" s="20" t="s">
        <v>200</v>
      </c>
      <c r="F76" s="20" t="s">
        <v>132</v>
      </c>
      <c r="G76" s="31" t="n">
        <f aca="false">SUMIFS('QB Import'!$B$1:$B$600,'QB Import'!$H$1:$H$600,$C76,'QB Import'!$G$1:$G$600,1)</f>
        <v>0</v>
      </c>
      <c r="H76" s="11" t="n">
        <f aca="false">IF($E76="Manual",L76,IF($E76="Flat",G76,IF($E76="Inflation",G76*(1+Inputs!D$12),IF($E76="Salary",G76*(1+Inputs!D$10),IF($E76="Benefits",G76*(1+Inputs!D$11),IF($E76="Per Student",G76*H$4/G$4*(1+Inputs!D$12),IF($E76="Enrollment",G76*H$4/G$4,IF($E76="Tuition Index",G76*H$5/G$5,IF($E76="% of Salaries",IF($G$6=0,0,$G76/$G$6*H$6),IF($E76="Debt",$G76*Inputs!D$15/12,IF($E76="Reserve Yield",Inputs!D$13*Inputs!D$16,IF($E76="Trend",IF(ISNUMBER(Trend!$Q115),Trend!$Q115,G76),G76))))))))))))</f>
        <v>0</v>
      </c>
      <c r="I76" s="11" t="n">
        <f aca="false">IF($E76="Manual",M76,IF($E76="Flat",H76,IF($E76="Inflation",H76*(1+Inputs!E$12),IF($E76="Salary",H76*(1+Inputs!E$10),IF($E76="Benefits",H76*(1+Inputs!E$11),IF($E76="Per Student",H76*I$4/H$4*(1+Inputs!E$12),IF($E76="Enrollment",H76*I$4/H$4,IF($E76="Tuition Index",H76*I$5/H$5,IF($E76="% of Salaries",IF($G$6=0,0,$G76/$G$6*I$6),IF($E76="Debt",$G76*Inputs!E$15/12,IF($E76="Reserve Yield",Inputs!E$13*Inputs!E$16,IF($E76="Trend",H76*(1+Inputs!E$12),H76))))))))))))</f>
        <v>0</v>
      </c>
      <c r="J76" s="11" t="n">
        <f aca="false">IF($E76="Manual",N76,IF($E76="Flat",I76,IF($E76="Inflation",I76*(1+Inputs!F$12),IF($E76="Salary",I76*(1+Inputs!F$10),IF($E76="Benefits",I76*(1+Inputs!F$11),IF($E76="Per Student",I76*J$4/I$4*(1+Inputs!F$12),IF($E76="Enrollment",I76*J$4/I$4,IF($E76="Tuition Index",I76*J$5/I$5,IF($E76="% of Salaries",IF($G$6=0,0,$G76/$G$6*J$6),IF($E76="Debt",$G76*Inputs!F$15/12,IF($E76="Reserve Yield",Inputs!F$13*Inputs!F$16,IF($E76="Trend",I76*(1+Inputs!F$12),I76))))))))))))</f>
        <v>0</v>
      </c>
      <c r="K76" s="11" t="n">
        <f aca="false">IF($E76="Manual",O76,IF($E76="Flat",J76,IF($E76="Inflation",J76*(1+Inputs!G$12),IF($E76="Salary",J76*(1+Inputs!G$10),IF($E76="Benefits",J76*(1+Inputs!G$11),IF($E76="Per Student",J76*K$4/J$4*(1+Inputs!G$12),IF($E76="Enrollment",J76*K$4/J$4,IF($E76="Tuition Index",J76*K$5/J$5,IF($E76="% of Salaries",IF($G$6=0,0,$G76/$G$6*K$6),IF($E76="Debt",$G76*Inputs!G$15/12,IF($E76="Reserve Yield",Inputs!G$13*Inputs!G$16,IF($E76="Trend",J76*(1+Inputs!G$12),J76))))))))))))</f>
        <v>0</v>
      </c>
      <c r="L76" s="22"/>
      <c r="M76" s="22"/>
      <c r="N76" s="22"/>
      <c r="O76" s="22"/>
    </row>
    <row r="77" customFormat="false" ht="15" hidden="false" customHeight="false" outlineLevel="0" collapsed="false">
      <c r="A77" s="6" t="s">
        <v>295</v>
      </c>
      <c r="B77" s="6" t="s">
        <v>15</v>
      </c>
      <c r="C77" s="30" t="s">
        <v>335</v>
      </c>
      <c r="D77" s="6" t="s">
        <v>336</v>
      </c>
      <c r="E77" s="20" t="s">
        <v>200</v>
      </c>
      <c r="F77" s="20" t="s">
        <v>132</v>
      </c>
      <c r="G77" s="31" t="n">
        <f aca="false">SUMIFS('QB Import'!$B$1:$B$600,'QB Import'!$H$1:$H$600,$C77,'QB Import'!$G$1:$G$600,1)</f>
        <v>0</v>
      </c>
      <c r="H77" s="11" t="n">
        <f aca="false">IF($E77="Manual",L77,IF($E77="Flat",G77,IF($E77="Inflation",G77*(1+Inputs!D$12),IF($E77="Salary",G77*(1+Inputs!D$10),IF($E77="Benefits",G77*(1+Inputs!D$11),IF($E77="Per Student",G77*H$4/G$4*(1+Inputs!D$12),IF($E77="Enrollment",G77*H$4/G$4,IF($E77="Tuition Index",G77*H$5/G$5,IF($E77="% of Salaries",IF($G$6=0,0,$G77/$G$6*H$6),IF($E77="Debt",$G77*Inputs!D$15/12,IF($E77="Reserve Yield",Inputs!D$13*Inputs!D$16,IF($E77="Trend",IF(ISNUMBER(Trend!$Q116),Trend!$Q116,G77),G77))))))))))))</f>
        <v>0</v>
      </c>
      <c r="I77" s="11" t="n">
        <f aca="false">IF($E77="Manual",M77,IF($E77="Flat",H77,IF($E77="Inflation",H77*(1+Inputs!E$12),IF($E77="Salary",H77*(1+Inputs!E$10),IF($E77="Benefits",H77*(1+Inputs!E$11),IF($E77="Per Student",H77*I$4/H$4*(1+Inputs!E$12),IF($E77="Enrollment",H77*I$4/H$4,IF($E77="Tuition Index",H77*I$5/H$5,IF($E77="% of Salaries",IF($G$6=0,0,$G77/$G$6*I$6),IF($E77="Debt",$G77*Inputs!E$15/12,IF($E77="Reserve Yield",Inputs!E$13*Inputs!E$16,IF($E77="Trend",H77*(1+Inputs!E$12),H77))))))))))))</f>
        <v>0</v>
      </c>
      <c r="J77" s="11" t="n">
        <f aca="false">IF($E77="Manual",N77,IF($E77="Flat",I77,IF($E77="Inflation",I77*(1+Inputs!F$12),IF($E77="Salary",I77*(1+Inputs!F$10),IF($E77="Benefits",I77*(1+Inputs!F$11),IF($E77="Per Student",I77*J$4/I$4*(1+Inputs!F$12),IF($E77="Enrollment",I77*J$4/I$4,IF($E77="Tuition Index",I77*J$5/I$5,IF($E77="% of Salaries",IF($G$6=0,0,$G77/$G$6*J$6),IF($E77="Debt",$G77*Inputs!F$15/12,IF($E77="Reserve Yield",Inputs!F$13*Inputs!F$16,IF($E77="Trend",I77*(1+Inputs!F$12),I77))))))))))))</f>
        <v>0</v>
      </c>
      <c r="K77" s="11" t="n">
        <f aca="false">IF($E77="Manual",O77,IF($E77="Flat",J77,IF($E77="Inflation",J77*(1+Inputs!G$12),IF($E77="Salary",J77*(1+Inputs!G$10),IF($E77="Benefits",J77*(1+Inputs!G$11),IF($E77="Per Student",J77*K$4/J$4*(1+Inputs!G$12),IF($E77="Enrollment",J77*K$4/J$4,IF($E77="Tuition Index",J77*K$5/J$5,IF($E77="% of Salaries",IF($G$6=0,0,$G77/$G$6*K$6),IF($E77="Debt",$G77*Inputs!G$15/12,IF($E77="Reserve Yield",Inputs!G$13*Inputs!G$16,IF($E77="Trend",J77*(1+Inputs!G$12),J77))))))))))))</f>
        <v>0</v>
      </c>
      <c r="L77" s="22"/>
      <c r="M77" s="22"/>
      <c r="N77" s="22"/>
      <c r="O77" s="22"/>
    </row>
    <row r="78" customFormat="false" ht="15" hidden="false" customHeight="false" outlineLevel="0" collapsed="false">
      <c r="A78" s="6" t="s">
        <v>295</v>
      </c>
      <c r="B78" s="6" t="s">
        <v>15</v>
      </c>
      <c r="C78" s="30" t="s">
        <v>337</v>
      </c>
      <c r="D78" s="6" t="s">
        <v>338</v>
      </c>
      <c r="E78" s="20" t="s">
        <v>200</v>
      </c>
      <c r="F78" s="20" t="s">
        <v>132</v>
      </c>
      <c r="G78" s="31" t="n">
        <f aca="false">SUMIFS('QB Import'!$B$1:$B$600,'QB Import'!$H$1:$H$600,$C78,'QB Import'!$G$1:$G$600,1)</f>
        <v>0</v>
      </c>
      <c r="H78" s="11" t="n">
        <f aca="false">IF($E78="Manual",L78,IF($E78="Flat",G78,IF($E78="Inflation",G78*(1+Inputs!D$12),IF($E78="Salary",G78*(1+Inputs!D$10),IF($E78="Benefits",G78*(1+Inputs!D$11),IF($E78="Per Student",G78*H$4/G$4*(1+Inputs!D$12),IF($E78="Enrollment",G78*H$4/G$4,IF($E78="Tuition Index",G78*H$5/G$5,IF($E78="% of Salaries",IF($G$6=0,0,$G78/$G$6*H$6),IF($E78="Debt",$G78*Inputs!D$15/12,IF($E78="Reserve Yield",Inputs!D$13*Inputs!D$16,IF($E78="Trend",IF(ISNUMBER(Trend!$Q117),Trend!$Q117,G78),G78))))))))))))</f>
        <v>0</v>
      </c>
      <c r="I78" s="11" t="n">
        <f aca="false">IF($E78="Manual",M78,IF($E78="Flat",H78,IF($E78="Inflation",H78*(1+Inputs!E$12),IF($E78="Salary",H78*(1+Inputs!E$10),IF($E78="Benefits",H78*(1+Inputs!E$11),IF($E78="Per Student",H78*I$4/H$4*(1+Inputs!E$12),IF($E78="Enrollment",H78*I$4/H$4,IF($E78="Tuition Index",H78*I$5/H$5,IF($E78="% of Salaries",IF($G$6=0,0,$G78/$G$6*I$6),IF($E78="Debt",$G78*Inputs!E$15/12,IF($E78="Reserve Yield",Inputs!E$13*Inputs!E$16,IF($E78="Trend",H78*(1+Inputs!E$12),H78))))))))))))</f>
        <v>0</v>
      </c>
      <c r="J78" s="11" t="n">
        <f aca="false">IF($E78="Manual",N78,IF($E78="Flat",I78,IF($E78="Inflation",I78*(1+Inputs!F$12),IF($E78="Salary",I78*(1+Inputs!F$10),IF($E78="Benefits",I78*(1+Inputs!F$11),IF($E78="Per Student",I78*J$4/I$4*(1+Inputs!F$12),IF($E78="Enrollment",I78*J$4/I$4,IF($E78="Tuition Index",I78*J$5/I$5,IF($E78="% of Salaries",IF($G$6=0,0,$G78/$G$6*J$6),IF($E78="Debt",$G78*Inputs!F$15/12,IF($E78="Reserve Yield",Inputs!F$13*Inputs!F$16,IF($E78="Trend",I78*(1+Inputs!F$12),I78))))))))))))</f>
        <v>0</v>
      </c>
      <c r="K78" s="11" t="n">
        <f aca="false">IF($E78="Manual",O78,IF($E78="Flat",J78,IF($E78="Inflation",J78*(1+Inputs!G$12),IF($E78="Salary",J78*(1+Inputs!G$10),IF($E78="Benefits",J78*(1+Inputs!G$11),IF($E78="Per Student",J78*K$4/J$4*(1+Inputs!G$12),IF($E78="Enrollment",J78*K$4/J$4,IF($E78="Tuition Index",J78*K$5/J$5,IF($E78="% of Salaries",IF($G$6=0,0,$G78/$G$6*K$6),IF($E78="Debt",$G78*Inputs!G$15/12,IF($E78="Reserve Yield",Inputs!G$13*Inputs!G$16,IF($E78="Trend",J78*(1+Inputs!G$12),J78))))))))))))</f>
        <v>0</v>
      </c>
      <c r="L78" s="22"/>
      <c r="M78" s="22"/>
      <c r="N78" s="22"/>
      <c r="O78" s="22"/>
    </row>
    <row r="79" customFormat="false" ht="15" hidden="false" customHeight="false" outlineLevel="0" collapsed="false">
      <c r="A79" s="6" t="s">
        <v>295</v>
      </c>
      <c r="B79" s="6" t="s">
        <v>15</v>
      </c>
      <c r="C79" s="30" t="s">
        <v>339</v>
      </c>
      <c r="D79" s="6" t="s">
        <v>339</v>
      </c>
      <c r="E79" s="20" t="s">
        <v>330</v>
      </c>
      <c r="F79" s="20" t="s">
        <v>132</v>
      </c>
      <c r="G79" s="31" t="n">
        <f aca="false">SUMIFS('QB Import'!$B$1:$B$600,'QB Import'!$H$1:$H$600,$C79,'QB Import'!$G$1:$G$600,1)</f>
        <v>3000</v>
      </c>
      <c r="H79" s="11" t="n">
        <f aca="false">IF($E79="Manual",L79,IF($E79="Flat",G79,IF($E79="Inflation",G79*(1+Inputs!D$12),IF($E79="Salary",G79*(1+Inputs!D$10),IF($E79="Benefits",G79*(1+Inputs!D$11),IF($E79="Per Student",G79*H$4/G$4*(1+Inputs!D$12),IF($E79="Enrollment",G79*H$4/G$4,IF($E79="Tuition Index",G79*H$5/G$5,IF($E79="% of Salaries",IF($G$6=0,0,$G79/$G$6*H$6),IF($E79="Debt",$G79*Inputs!D$15/12,IF($E79="Reserve Yield",Inputs!D$13*Inputs!D$16,IF($E79="Trend",IF(ISNUMBER(Trend!$Q118),Trend!$Q118,G79),G79))))))))))))</f>
        <v>3090</v>
      </c>
      <c r="I79" s="11" t="n">
        <f aca="false">IF($E79="Manual",M79,IF($E79="Flat",H79,IF($E79="Inflation",H79*(1+Inputs!E$12),IF($E79="Salary",H79*(1+Inputs!E$10),IF($E79="Benefits",H79*(1+Inputs!E$11),IF($E79="Per Student",H79*I$4/H$4*(1+Inputs!E$12),IF($E79="Enrollment",H79*I$4/H$4,IF($E79="Tuition Index",H79*I$5/H$5,IF($E79="% of Salaries",IF($G$6=0,0,$G79/$G$6*I$6),IF($E79="Debt",$G79*Inputs!E$15/12,IF($E79="Reserve Yield",Inputs!E$13*Inputs!E$16,IF($E79="Trend",H79*(1+Inputs!E$12),H79))))))))))))</f>
        <v>3182.7</v>
      </c>
      <c r="J79" s="11" t="n">
        <f aca="false">IF($E79="Manual",N79,IF($E79="Flat",I79,IF($E79="Inflation",I79*(1+Inputs!F$12),IF($E79="Salary",I79*(1+Inputs!F$10),IF($E79="Benefits",I79*(1+Inputs!F$11),IF($E79="Per Student",I79*J$4/I$4*(1+Inputs!F$12),IF($E79="Enrollment",I79*J$4/I$4,IF($E79="Tuition Index",I79*J$5/I$5,IF($E79="% of Salaries",IF($G$6=0,0,$G79/$G$6*J$6),IF($E79="Debt",$G79*Inputs!F$15/12,IF($E79="Reserve Yield",Inputs!F$13*Inputs!F$16,IF($E79="Trend",I79*(1+Inputs!F$12),I79))))))))))))</f>
        <v>3278.181</v>
      </c>
      <c r="K79" s="11" t="n">
        <f aca="false">IF($E79="Manual",O79,IF($E79="Flat",J79,IF($E79="Inflation",J79*(1+Inputs!G$12),IF($E79="Salary",J79*(1+Inputs!G$10),IF($E79="Benefits",J79*(1+Inputs!G$11),IF($E79="Per Student",J79*K$4/J$4*(1+Inputs!G$12),IF($E79="Enrollment",J79*K$4/J$4,IF($E79="Tuition Index",J79*K$5/J$5,IF($E79="% of Salaries",IF($G$6=0,0,$G79/$G$6*K$6),IF($E79="Debt",$G79*Inputs!G$15/12,IF($E79="Reserve Yield",Inputs!G$13*Inputs!G$16,IF($E79="Trend",J79*(1+Inputs!G$12),J79))))))))))))</f>
        <v>3376.52643</v>
      </c>
      <c r="L79" s="22"/>
      <c r="M79" s="22"/>
      <c r="N79" s="22"/>
      <c r="O79" s="22"/>
    </row>
    <row r="80" customFormat="false" ht="15" hidden="false" customHeight="false" outlineLevel="0" collapsed="false">
      <c r="A80" s="6" t="s">
        <v>295</v>
      </c>
      <c r="B80" s="6" t="s">
        <v>15</v>
      </c>
      <c r="C80" s="30" t="s">
        <v>340</v>
      </c>
      <c r="D80" s="6" t="s">
        <v>340</v>
      </c>
      <c r="E80" s="20" t="s">
        <v>330</v>
      </c>
      <c r="F80" s="20" t="s">
        <v>132</v>
      </c>
      <c r="G80" s="31" t="n">
        <f aca="false">SUMIFS('QB Import'!$B$1:$B$600,'QB Import'!$H$1:$H$600,$C80,'QB Import'!$G$1:$G$600,1)</f>
        <v>2000</v>
      </c>
      <c r="H80" s="11" t="n">
        <f aca="false">IF($E80="Manual",L80,IF($E80="Flat",G80,IF($E80="Inflation",G80*(1+Inputs!D$12),IF($E80="Salary",G80*(1+Inputs!D$10),IF($E80="Benefits",G80*(1+Inputs!D$11),IF($E80="Per Student",G80*H$4/G$4*(1+Inputs!D$12),IF($E80="Enrollment",G80*H$4/G$4,IF($E80="Tuition Index",G80*H$5/G$5,IF($E80="% of Salaries",IF($G$6=0,0,$G80/$G$6*H$6),IF($E80="Debt",$G80*Inputs!D$15/12,IF($E80="Reserve Yield",Inputs!D$13*Inputs!D$16,IF($E80="Trend",IF(ISNUMBER(Trend!$Q119),Trend!$Q119,G80),G80))))))))))))</f>
        <v>2060</v>
      </c>
      <c r="I80" s="11" t="n">
        <f aca="false">IF($E80="Manual",M80,IF($E80="Flat",H80,IF($E80="Inflation",H80*(1+Inputs!E$12),IF($E80="Salary",H80*(1+Inputs!E$10),IF($E80="Benefits",H80*(1+Inputs!E$11),IF($E80="Per Student",H80*I$4/H$4*(1+Inputs!E$12),IF($E80="Enrollment",H80*I$4/H$4,IF($E80="Tuition Index",H80*I$5/H$5,IF($E80="% of Salaries",IF($G$6=0,0,$G80/$G$6*I$6),IF($E80="Debt",$G80*Inputs!E$15/12,IF($E80="Reserve Yield",Inputs!E$13*Inputs!E$16,IF($E80="Trend",H80*(1+Inputs!E$12),H80))))))))))))</f>
        <v>2121.8</v>
      </c>
      <c r="J80" s="11" t="n">
        <f aca="false">IF($E80="Manual",N80,IF($E80="Flat",I80,IF($E80="Inflation",I80*(1+Inputs!F$12),IF($E80="Salary",I80*(1+Inputs!F$10),IF($E80="Benefits",I80*(1+Inputs!F$11),IF($E80="Per Student",I80*J$4/I$4*(1+Inputs!F$12),IF($E80="Enrollment",I80*J$4/I$4,IF($E80="Tuition Index",I80*J$5/I$5,IF($E80="% of Salaries",IF($G$6=0,0,$G80/$G$6*J$6),IF($E80="Debt",$G80*Inputs!F$15/12,IF($E80="Reserve Yield",Inputs!F$13*Inputs!F$16,IF($E80="Trend",I80*(1+Inputs!F$12),I80))))))))))))</f>
        <v>2185.454</v>
      </c>
      <c r="K80" s="11" t="n">
        <f aca="false">IF($E80="Manual",O80,IF($E80="Flat",J80,IF($E80="Inflation",J80*(1+Inputs!G$12),IF($E80="Salary",J80*(1+Inputs!G$10),IF($E80="Benefits",J80*(1+Inputs!G$11),IF($E80="Per Student",J80*K$4/J$4*(1+Inputs!G$12),IF($E80="Enrollment",J80*K$4/J$4,IF($E80="Tuition Index",J80*K$5/J$5,IF($E80="% of Salaries",IF($G$6=0,0,$G80/$G$6*K$6),IF($E80="Debt",$G80*Inputs!G$15/12,IF($E80="Reserve Yield",Inputs!G$13*Inputs!G$16,IF($E80="Trend",J80*(1+Inputs!G$12),J80))))))))))))</f>
        <v>2251.01762</v>
      </c>
      <c r="L80" s="22"/>
      <c r="M80" s="22"/>
      <c r="N80" s="22"/>
      <c r="O80" s="22"/>
    </row>
    <row r="81" customFormat="false" ht="15" hidden="false" customHeight="false" outlineLevel="0" collapsed="false">
      <c r="A81" s="6" t="s">
        <v>295</v>
      </c>
      <c r="B81" s="6" t="s">
        <v>15</v>
      </c>
      <c r="C81" s="30" t="s">
        <v>341</v>
      </c>
      <c r="D81" s="6" t="s">
        <v>341</v>
      </c>
      <c r="E81" s="20" t="s">
        <v>330</v>
      </c>
      <c r="F81" s="20" t="s">
        <v>132</v>
      </c>
      <c r="G81" s="31" t="n">
        <f aca="false">SUMIFS('QB Import'!$B$1:$B$600,'QB Import'!$H$1:$H$600,$C81,'QB Import'!$G$1:$G$600,1)</f>
        <v>35000</v>
      </c>
      <c r="H81" s="11" t="n">
        <f aca="false">IF($E81="Manual",L81,IF($E81="Flat",G81,IF($E81="Inflation",G81*(1+Inputs!D$12),IF($E81="Salary",G81*(1+Inputs!D$10),IF($E81="Benefits",G81*(1+Inputs!D$11),IF($E81="Per Student",G81*H$4/G$4*(1+Inputs!D$12),IF($E81="Enrollment",G81*H$4/G$4,IF($E81="Tuition Index",G81*H$5/G$5,IF($E81="% of Salaries",IF($G$6=0,0,$G81/$G$6*H$6),IF($E81="Debt",$G81*Inputs!D$15/12,IF($E81="Reserve Yield",Inputs!D$13*Inputs!D$16,IF($E81="Trend",IF(ISNUMBER(Trend!$Q120),Trend!$Q120,G81),G81))))))))))))</f>
        <v>36050</v>
      </c>
      <c r="I81" s="11" t="n">
        <f aca="false">IF($E81="Manual",M81,IF($E81="Flat",H81,IF($E81="Inflation",H81*(1+Inputs!E$12),IF($E81="Salary",H81*(1+Inputs!E$10),IF($E81="Benefits",H81*(1+Inputs!E$11),IF($E81="Per Student",H81*I$4/H$4*(1+Inputs!E$12),IF($E81="Enrollment",H81*I$4/H$4,IF($E81="Tuition Index",H81*I$5/H$5,IF($E81="% of Salaries",IF($G$6=0,0,$G81/$G$6*I$6),IF($E81="Debt",$G81*Inputs!E$15/12,IF($E81="Reserve Yield",Inputs!E$13*Inputs!E$16,IF($E81="Trend",H81*(1+Inputs!E$12),H81))))))))))))</f>
        <v>37131.5</v>
      </c>
      <c r="J81" s="11" t="n">
        <f aca="false">IF($E81="Manual",N81,IF($E81="Flat",I81,IF($E81="Inflation",I81*(1+Inputs!F$12),IF($E81="Salary",I81*(1+Inputs!F$10),IF($E81="Benefits",I81*(1+Inputs!F$11),IF($E81="Per Student",I81*J$4/I$4*(1+Inputs!F$12),IF($E81="Enrollment",I81*J$4/I$4,IF($E81="Tuition Index",I81*J$5/I$5,IF($E81="% of Salaries",IF($G$6=0,0,$G81/$G$6*J$6),IF($E81="Debt",$G81*Inputs!F$15/12,IF($E81="Reserve Yield",Inputs!F$13*Inputs!F$16,IF($E81="Trend",I81*(1+Inputs!F$12),I81))))))))))))</f>
        <v>38245.445</v>
      </c>
      <c r="K81" s="11" t="n">
        <f aca="false">IF($E81="Manual",O81,IF($E81="Flat",J81,IF($E81="Inflation",J81*(1+Inputs!G$12),IF($E81="Salary",J81*(1+Inputs!G$10),IF($E81="Benefits",J81*(1+Inputs!G$11),IF($E81="Per Student",J81*K$4/J$4*(1+Inputs!G$12),IF($E81="Enrollment",J81*K$4/J$4,IF($E81="Tuition Index",J81*K$5/J$5,IF($E81="% of Salaries",IF($G$6=0,0,$G81/$G$6*K$6),IF($E81="Debt",$G81*Inputs!G$15/12,IF($E81="Reserve Yield",Inputs!G$13*Inputs!G$16,IF($E81="Trend",J81*(1+Inputs!G$12),J81))))))))))))</f>
        <v>39392.80835</v>
      </c>
      <c r="L81" s="22"/>
      <c r="M81" s="22"/>
      <c r="N81" s="22"/>
      <c r="O81" s="22"/>
    </row>
    <row r="82" customFormat="false" ht="15" hidden="false" customHeight="false" outlineLevel="0" collapsed="false">
      <c r="A82" s="6" t="s">
        <v>295</v>
      </c>
      <c r="B82" s="6" t="s">
        <v>15</v>
      </c>
      <c r="C82" s="30" t="s">
        <v>342</v>
      </c>
      <c r="D82" s="6" t="s">
        <v>342</v>
      </c>
      <c r="E82" s="20" t="s">
        <v>330</v>
      </c>
      <c r="F82" s="20" t="s">
        <v>132</v>
      </c>
      <c r="G82" s="31" t="n">
        <f aca="false">SUMIFS('QB Import'!$B$1:$B$600,'QB Import'!$H$1:$H$600,$C82,'QB Import'!$G$1:$G$600,1)</f>
        <v>1000</v>
      </c>
      <c r="H82" s="11" t="n">
        <f aca="false">IF($E82="Manual",L82,IF($E82="Flat",G82,IF($E82="Inflation",G82*(1+Inputs!D$12),IF($E82="Salary",G82*(1+Inputs!D$10),IF($E82="Benefits",G82*(1+Inputs!D$11),IF($E82="Per Student",G82*H$4/G$4*(1+Inputs!D$12),IF($E82="Enrollment",G82*H$4/G$4,IF($E82="Tuition Index",G82*H$5/G$5,IF($E82="% of Salaries",IF($G$6=0,0,$G82/$G$6*H$6),IF($E82="Debt",$G82*Inputs!D$15/12,IF($E82="Reserve Yield",Inputs!D$13*Inputs!D$16,IF($E82="Trend",IF(ISNUMBER(Trend!$Q121),Trend!$Q121,G82),G82))))))))))))</f>
        <v>1030</v>
      </c>
      <c r="I82" s="11" t="n">
        <f aca="false">IF($E82="Manual",M82,IF($E82="Flat",H82,IF($E82="Inflation",H82*(1+Inputs!E$12),IF($E82="Salary",H82*(1+Inputs!E$10),IF($E82="Benefits",H82*(1+Inputs!E$11),IF($E82="Per Student",H82*I$4/H$4*(1+Inputs!E$12),IF($E82="Enrollment",H82*I$4/H$4,IF($E82="Tuition Index",H82*I$5/H$5,IF($E82="% of Salaries",IF($G$6=0,0,$G82/$G$6*I$6),IF($E82="Debt",$G82*Inputs!E$15/12,IF($E82="Reserve Yield",Inputs!E$13*Inputs!E$16,IF($E82="Trend",H82*(1+Inputs!E$12),H82))))))))))))</f>
        <v>1060.9</v>
      </c>
      <c r="J82" s="11" t="n">
        <f aca="false">IF($E82="Manual",N82,IF($E82="Flat",I82,IF($E82="Inflation",I82*(1+Inputs!F$12),IF($E82="Salary",I82*(1+Inputs!F$10),IF($E82="Benefits",I82*(1+Inputs!F$11),IF($E82="Per Student",I82*J$4/I$4*(1+Inputs!F$12),IF($E82="Enrollment",I82*J$4/I$4,IF($E82="Tuition Index",I82*J$5/I$5,IF($E82="% of Salaries",IF($G$6=0,0,$G82/$G$6*J$6),IF($E82="Debt",$G82*Inputs!F$15/12,IF($E82="Reserve Yield",Inputs!F$13*Inputs!F$16,IF($E82="Trend",I82*(1+Inputs!F$12),I82))))))))))))</f>
        <v>1092.727</v>
      </c>
      <c r="K82" s="11" t="n">
        <f aca="false">IF($E82="Manual",O82,IF($E82="Flat",J82,IF($E82="Inflation",J82*(1+Inputs!G$12),IF($E82="Salary",J82*(1+Inputs!G$10),IF($E82="Benefits",J82*(1+Inputs!G$11),IF($E82="Per Student",J82*K$4/J$4*(1+Inputs!G$12),IF($E82="Enrollment",J82*K$4/J$4,IF($E82="Tuition Index",J82*K$5/J$5,IF($E82="% of Salaries",IF($G$6=0,0,$G82/$G$6*K$6),IF($E82="Debt",$G82*Inputs!G$15/12,IF($E82="Reserve Yield",Inputs!G$13*Inputs!G$16,IF($E82="Trend",J82*(1+Inputs!G$12),J82))))))))))))</f>
        <v>1125.50881</v>
      </c>
      <c r="L82" s="22"/>
      <c r="M82" s="22"/>
      <c r="N82" s="22"/>
      <c r="O82" s="22"/>
    </row>
    <row r="83" customFormat="false" ht="15" hidden="false" customHeight="false" outlineLevel="0" collapsed="false">
      <c r="A83" s="6" t="s">
        <v>295</v>
      </c>
      <c r="B83" s="6" t="s">
        <v>15</v>
      </c>
      <c r="C83" s="30" t="s">
        <v>343</v>
      </c>
      <c r="D83" s="6" t="s">
        <v>343</v>
      </c>
      <c r="E83" s="20" t="s">
        <v>330</v>
      </c>
      <c r="F83" s="20" t="s">
        <v>132</v>
      </c>
      <c r="G83" s="31" t="n">
        <f aca="false">SUMIFS('QB Import'!$B$1:$B$600,'QB Import'!$H$1:$H$600,$C83,'QB Import'!$G$1:$G$600,1)</f>
        <v>15000</v>
      </c>
      <c r="H83" s="11" t="n">
        <f aca="false">IF($E83="Manual",L83,IF($E83="Flat",G83,IF($E83="Inflation",G83*(1+Inputs!D$12),IF($E83="Salary",G83*(1+Inputs!D$10),IF($E83="Benefits",G83*(1+Inputs!D$11),IF($E83="Per Student",G83*H$4/G$4*(1+Inputs!D$12),IF($E83="Enrollment",G83*H$4/G$4,IF($E83="Tuition Index",G83*H$5/G$5,IF($E83="% of Salaries",IF($G$6=0,0,$G83/$G$6*H$6),IF($E83="Debt",$G83*Inputs!D$15/12,IF($E83="Reserve Yield",Inputs!D$13*Inputs!D$16,IF($E83="Trend",IF(ISNUMBER(Trend!$Q122),Trend!$Q122,G83),G83))))))))))))</f>
        <v>15450</v>
      </c>
      <c r="I83" s="11" t="n">
        <f aca="false">IF($E83="Manual",M83,IF($E83="Flat",H83,IF($E83="Inflation",H83*(1+Inputs!E$12),IF($E83="Salary",H83*(1+Inputs!E$10),IF($E83="Benefits",H83*(1+Inputs!E$11),IF($E83="Per Student",H83*I$4/H$4*(1+Inputs!E$12),IF($E83="Enrollment",H83*I$4/H$4,IF($E83="Tuition Index",H83*I$5/H$5,IF($E83="% of Salaries",IF($G$6=0,0,$G83/$G$6*I$6),IF($E83="Debt",$G83*Inputs!E$15/12,IF($E83="Reserve Yield",Inputs!E$13*Inputs!E$16,IF($E83="Trend",H83*(1+Inputs!E$12),H83))))))))))))</f>
        <v>15913.5</v>
      </c>
      <c r="J83" s="11" t="n">
        <f aca="false">IF($E83="Manual",N83,IF($E83="Flat",I83,IF($E83="Inflation",I83*(1+Inputs!F$12),IF($E83="Salary",I83*(1+Inputs!F$10),IF($E83="Benefits",I83*(1+Inputs!F$11),IF($E83="Per Student",I83*J$4/I$4*(1+Inputs!F$12),IF($E83="Enrollment",I83*J$4/I$4,IF($E83="Tuition Index",I83*J$5/I$5,IF($E83="% of Salaries",IF($G$6=0,0,$G83/$G$6*J$6),IF($E83="Debt",$G83*Inputs!F$15/12,IF($E83="Reserve Yield",Inputs!F$13*Inputs!F$16,IF($E83="Trend",I83*(1+Inputs!F$12),I83))))))))))))</f>
        <v>16390.905</v>
      </c>
      <c r="K83" s="11" t="n">
        <f aca="false">IF($E83="Manual",O83,IF($E83="Flat",J83,IF($E83="Inflation",J83*(1+Inputs!G$12),IF($E83="Salary",J83*(1+Inputs!G$10),IF($E83="Benefits",J83*(1+Inputs!G$11),IF($E83="Per Student",J83*K$4/J$4*(1+Inputs!G$12),IF($E83="Enrollment",J83*K$4/J$4,IF($E83="Tuition Index",J83*K$5/J$5,IF($E83="% of Salaries",IF($G$6=0,0,$G83/$G$6*K$6),IF($E83="Debt",$G83*Inputs!G$15/12,IF($E83="Reserve Yield",Inputs!G$13*Inputs!G$16,IF($E83="Trend",J83*(1+Inputs!G$12),J83))))))))))))</f>
        <v>16882.63215</v>
      </c>
      <c r="L83" s="22"/>
      <c r="M83" s="22"/>
      <c r="N83" s="22"/>
      <c r="O83" s="22"/>
    </row>
    <row r="84" customFormat="false" ht="15" hidden="false" customHeight="false" outlineLevel="0" collapsed="false">
      <c r="A84" s="6" t="s">
        <v>295</v>
      </c>
      <c r="B84" s="6" t="s">
        <v>15</v>
      </c>
      <c r="C84" s="30" t="s">
        <v>344</v>
      </c>
      <c r="D84" s="6" t="s">
        <v>345</v>
      </c>
      <c r="E84" s="20" t="s">
        <v>330</v>
      </c>
      <c r="F84" s="20" t="s">
        <v>132</v>
      </c>
      <c r="G84" s="31" t="n">
        <f aca="false">SUMIFS('QB Import'!$B$1:$B$600,'QB Import'!$H$1:$H$600,$C84,'QB Import'!$G$1:$G$600,1)</f>
        <v>5000</v>
      </c>
      <c r="H84" s="11" t="n">
        <f aca="false">IF($E84="Manual",L84,IF($E84="Flat",G84,IF($E84="Inflation",G84*(1+Inputs!D$12),IF($E84="Salary",G84*(1+Inputs!D$10),IF($E84="Benefits",G84*(1+Inputs!D$11),IF($E84="Per Student",G84*H$4/G$4*(1+Inputs!D$12),IF($E84="Enrollment",G84*H$4/G$4,IF($E84="Tuition Index",G84*H$5/G$5,IF($E84="% of Salaries",IF($G$6=0,0,$G84/$G$6*H$6),IF($E84="Debt",$G84*Inputs!D$15/12,IF($E84="Reserve Yield",Inputs!D$13*Inputs!D$16,IF($E84="Trend",IF(ISNUMBER(Trend!$Q123),Trend!$Q123,G84),G84))))))))))))</f>
        <v>5150</v>
      </c>
      <c r="I84" s="11" t="n">
        <f aca="false">IF($E84="Manual",M84,IF($E84="Flat",H84,IF($E84="Inflation",H84*(1+Inputs!E$12),IF($E84="Salary",H84*(1+Inputs!E$10),IF($E84="Benefits",H84*(1+Inputs!E$11),IF($E84="Per Student",H84*I$4/H$4*(1+Inputs!E$12),IF($E84="Enrollment",H84*I$4/H$4,IF($E84="Tuition Index",H84*I$5/H$5,IF($E84="% of Salaries",IF($G$6=0,0,$G84/$G$6*I$6),IF($E84="Debt",$G84*Inputs!E$15/12,IF($E84="Reserve Yield",Inputs!E$13*Inputs!E$16,IF($E84="Trend",H84*(1+Inputs!E$12),H84))))))))))))</f>
        <v>5304.5</v>
      </c>
      <c r="J84" s="11" t="n">
        <f aca="false">IF($E84="Manual",N84,IF($E84="Flat",I84,IF($E84="Inflation",I84*(1+Inputs!F$12),IF($E84="Salary",I84*(1+Inputs!F$10),IF($E84="Benefits",I84*(1+Inputs!F$11),IF($E84="Per Student",I84*J$4/I$4*(1+Inputs!F$12),IF($E84="Enrollment",I84*J$4/I$4,IF($E84="Tuition Index",I84*J$5/I$5,IF($E84="% of Salaries",IF($G$6=0,0,$G84/$G$6*J$6),IF($E84="Debt",$G84*Inputs!F$15/12,IF($E84="Reserve Yield",Inputs!F$13*Inputs!F$16,IF($E84="Trend",I84*(1+Inputs!F$12),I84))))))))))))</f>
        <v>5463.635</v>
      </c>
      <c r="K84" s="11" t="n">
        <f aca="false">IF($E84="Manual",O84,IF($E84="Flat",J84,IF($E84="Inflation",J84*(1+Inputs!G$12),IF($E84="Salary",J84*(1+Inputs!G$10),IF($E84="Benefits",J84*(1+Inputs!G$11),IF($E84="Per Student",J84*K$4/J$4*(1+Inputs!G$12),IF($E84="Enrollment",J84*K$4/J$4,IF($E84="Tuition Index",J84*K$5/J$5,IF($E84="% of Salaries",IF($G$6=0,0,$G84/$G$6*K$6),IF($E84="Debt",$G84*Inputs!G$15/12,IF($E84="Reserve Yield",Inputs!G$13*Inputs!G$16,IF($E84="Trend",J84*(1+Inputs!G$12),J84))))))))))))</f>
        <v>5627.54405</v>
      </c>
      <c r="L84" s="22"/>
      <c r="M84" s="22"/>
      <c r="N84" s="22"/>
      <c r="O84" s="22"/>
    </row>
    <row r="85" customFormat="false" ht="15" hidden="false" customHeight="false" outlineLevel="0" collapsed="false">
      <c r="A85" s="6" t="s">
        <v>295</v>
      </c>
      <c r="B85" s="6" t="s">
        <v>15</v>
      </c>
      <c r="C85" s="30" t="s">
        <v>346</v>
      </c>
      <c r="D85" s="6" t="s">
        <v>347</v>
      </c>
      <c r="E85" s="20" t="s">
        <v>200</v>
      </c>
      <c r="F85" s="20" t="s">
        <v>132</v>
      </c>
      <c r="G85" s="31" t="n">
        <f aca="false">SUMIFS('QB Import'!$B$1:$B$600,'QB Import'!$H$1:$H$600,$C85,'QB Import'!$G$1:$G$600,1)</f>
        <v>0</v>
      </c>
      <c r="H85" s="11" t="n">
        <f aca="false">IF($E85="Manual",L85,IF($E85="Flat",G85,IF($E85="Inflation",G85*(1+Inputs!D$12),IF($E85="Salary",G85*(1+Inputs!D$10),IF($E85="Benefits",G85*(1+Inputs!D$11),IF($E85="Per Student",G85*H$4/G$4*(1+Inputs!D$12),IF($E85="Enrollment",G85*H$4/G$4,IF($E85="Tuition Index",G85*H$5/G$5,IF($E85="% of Salaries",IF($G$6=0,0,$G85/$G$6*H$6),IF($E85="Debt",$G85*Inputs!D$15/12,IF($E85="Reserve Yield",Inputs!D$13*Inputs!D$16,IF($E85="Trend",IF(ISNUMBER(Trend!$Q124),Trend!$Q124,G85),G85))))))))))))</f>
        <v>0</v>
      </c>
      <c r="I85" s="11" t="n">
        <f aca="false">IF($E85="Manual",M85,IF($E85="Flat",H85,IF($E85="Inflation",H85*(1+Inputs!E$12),IF($E85="Salary",H85*(1+Inputs!E$10),IF($E85="Benefits",H85*(1+Inputs!E$11),IF($E85="Per Student",H85*I$4/H$4*(1+Inputs!E$12),IF($E85="Enrollment",H85*I$4/H$4,IF($E85="Tuition Index",H85*I$5/H$5,IF($E85="% of Salaries",IF($G$6=0,0,$G85/$G$6*I$6),IF($E85="Debt",$G85*Inputs!E$15/12,IF($E85="Reserve Yield",Inputs!E$13*Inputs!E$16,IF($E85="Trend",H85*(1+Inputs!E$12),H85))))))))))))</f>
        <v>0</v>
      </c>
      <c r="J85" s="11" t="n">
        <f aca="false">IF($E85="Manual",N85,IF($E85="Flat",I85,IF($E85="Inflation",I85*(1+Inputs!F$12),IF($E85="Salary",I85*(1+Inputs!F$10),IF($E85="Benefits",I85*(1+Inputs!F$11),IF($E85="Per Student",I85*J$4/I$4*(1+Inputs!F$12),IF($E85="Enrollment",I85*J$4/I$4,IF($E85="Tuition Index",I85*J$5/I$5,IF($E85="% of Salaries",IF($G$6=0,0,$G85/$G$6*J$6),IF($E85="Debt",$G85*Inputs!F$15/12,IF($E85="Reserve Yield",Inputs!F$13*Inputs!F$16,IF($E85="Trend",I85*(1+Inputs!F$12),I85))))))))))))</f>
        <v>0</v>
      </c>
      <c r="K85" s="11" t="n">
        <f aca="false">IF($E85="Manual",O85,IF($E85="Flat",J85,IF($E85="Inflation",J85*(1+Inputs!G$12),IF($E85="Salary",J85*(1+Inputs!G$10),IF($E85="Benefits",J85*(1+Inputs!G$11),IF($E85="Per Student",J85*K$4/J$4*(1+Inputs!G$12),IF($E85="Enrollment",J85*K$4/J$4,IF($E85="Tuition Index",J85*K$5/J$5,IF($E85="% of Salaries",IF($G$6=0,0,$G85/$G$6*K$6),IF($E85="Debt",$G85*Inputs!G$15/12,IF($E85="Reserve Yield",Inputs!G$13*Inputs!G$16,IF($E85="Trend",J85*(1+Inputs!G$12),J85))))))))))))</f>
        <v>0</v>
      </c>
      <c r="L85" s="22"/>
      <c r="M85" s="22"/>
      <c r="N85" s="22"/>
      <c r="O85" s="22"/>
    </row>
    <row r="86" customFormat="false" ht="15" hidden="false" customHeight="false" outlineLevel="0" collapsed="false">
      <c r="A86" s="6" t="s">
        <v>295</v>
      </c>
      <c r="B86" s="6" t="s">
        <v>15</v>
      </c>
      <c r="C86" s="30" t="s">
        <v>348</v>
      </c>
      <c r="D86" s="6" t="s">
        <v>349</v>
      </c>
      <c r="E86" s="20" t="s">
        <v>330</v>
      </c>
      <c r="F86" s="20" t="s">
        <v>132</v>
      </c>
      <c r="G86" s="31" t="n">
        <f aca="false">SUMIFS('QB Import'!$B$1:$B$600,'QB Import'!$H$1:$H$600,$C86,'QB Import'!$G$1:$G$600,1)</f>
        <v>1000</v>
      </c>
      <c r="H86" s="11" t="n">
        <f aca="false">IF($E86="Manual",L86,IF($E86="Flat",G86,IF($E86="Inflation",G86*(1+Inputs!D$12),IF($E86="Salary",G86*(1+Inputs!D$10),IF($E86="Benefits",G86*(1+Inputs!D$11),IF($E86="Per Student",G86*H$4/G$4*(1+Inputs!D$12),IF($E86="Enrollment",G86*H$4/G$4,IF($E86="Tuition Index",G86*H$5/G$5,IF($E86="% of Salaries",IF($G$6=0,0,$G86/$G$6*H$6),IF($E86="Debt",$G86*Inputs!D$15/12,IF($E86="Reserve Yield",Inputs!D$13*Inputs!D$16,IF($E86="Trend",IF(ISNUMBER(Trend!$Q125),Trend!$Q125,G86),G86))))))))))))</f>
        <v>1030</v>
      </c>
      <c r="I86" s="11" t="n">
        <f aca="false">IF($E86="Manual",M86,IF($E86="Flat",H86,IF($E86="Inflation",H86*(1+Inputs!E$12),IF($E86="Salary",H86*(1+Inputs!E$10),IF($E86="Benefits",H86*(1+Inputs!E$11),IF($E86="Per Student",H86*I$4/H$4*(1+Inputs!E$12),IF($E86="Enrollment",H86*I$4/H$4,IF($E86="Tuition Index",H86*I$5/H$5,IF($E86="% of Salaries",IF($G$6=0,0,$G86/$G$6*I$6),IF($E86="Debt",$G86*Inputs!E$15/12,IF($E86="Reserve Yield",Inputs!E$13*Inputs!E$16,IF($E86="Trend",H86*(1+Inputs!E$12),H86))))))))))))</f>
        <v>1060.9</v>
      </c>
      <c r="J86" s="11" t="n">
        <f aca="false">IF($E86="Manual",N86,IF($E86="Flat",I86,IF($E86="Inflation",I86*(1+Inputs!F$12),IF($E86="Salary",I86*(1+Inputs!F$10),IF($E86="Benefits",I86*(1+Inputs!F$11),IF($E86="Per Student",I86*J$4/I$4*(1+Inputs!F$12),IF($E86="Enrollment",I86*J$4/I$4,IF($E86="Tuition Index",I86*J$5/I$5,IF($E86="% of Salaries",IF($G$6=0,0,$G86/$G$6*J$6),IF($E86="Debt",$G86*Inputs!F$15/12,IF($E86="Reserve Yield",Inputs!F$13*Inputs!F$16,IF($E86="Trend",I86*(1+Inputs!F$12),I86))))))))))))</f>
        <v>1092.727</v>
      </c>
      <c r="K86" s="11" t="n">
        <f aca="false">IF($E86="Manual",O86,IF($E86="Flat",J86,IF($E86="Inflation",J86*(1+Inputs!G$12),IF($E86="Salary",J86*(1+Inputs!G$10),IF($E86="Benefits",J86*(1+Inputs!G$11),IF($E86="Per Student",J86*K$4/J$4*(1+Inputs!G$12),IF($E86="Enrollment",J86*K$4/J$4,IF($E86="Tuition Index",J86*K$5/J$5,IF($E86="% of Salaries",IF($G$6=0,0,$G86/$G$6*K$6),IF($E86="Debt",$G86*Inputs!G$15/12,IF($E86="Reserve Yield",Inputs!G$13*Inputs!G$16,IF($E86="Trend",J86*(1+Inputs!G$12),J86))))))))))))</f>
        <v>1125.50881</v>
      </c>
      <c r="L86" s="22"/>
      <c r="M86" s="22"/>
      <c r="N86" s="22"/>
      <c r="O86" s="22"/>
    </row>
    <row r="87" customFormat="false" ht="15" hidden="false" customHeight="false" outlineLevel="0" collapsed="false">
      <c r="A87" s="6" t="s">
        <v>295</v>
      </c>
      <c r="B87" s="6" t="s">
        <v>15</v>
      </c>
      <c r="C87" s="30" t="s">
        <v>350</v>
      </c>
      <c r="D87" s="6" t="s">
        <v>350</v>
      </c>
      <c r="E87" s="20" t="s">
        <v>330</v>
      </c>
      <c r="F87" s="20" t="s">
        <v>132</v>
      </c>
      <c r="G87" s="31" t="n">
        <f aca="false">SUMIFS('QB Import'!$B$1:$B$600,'QB Import'!$H$1:$H$600,$C87,'QB Import'!$G$1:$G$600,1)</f>
        <v>55950</v>
      </c>
      <c r="H87" s="11" t="n">
        <f aca="false">IF($E87="Manual",L87,IF($E87="Flat",G87,IF($E87="Inflation",G87*(1+Inputs!D$12),IF($E87="Salary",G87*(1+Inputs!D$10),IF($E87="Benefits",G87*(1+Inputs!D$11),IF($E87="Per Student",G87*H$4/G$4*(1+Inputs!D$12),IF($E87="Enrollment",G87*H$4/G$4,IF($E87="Tuition Index",G87*H$5/G$5,IF($E87="% of Salaries",IF($G$6=0,0,$G87/$G$6*H$6),IF($E87="Debt",$G87*Inputs!D$15/12,IF($E87="Reserve Yield",Inputs!D$13*Inputs!D$16,IF($E87="Trend",IF(ISNUMBER(Trend!$Q126),Trend!$Q126,G87),G87))))))))))))</f>
        <v>57628.5</v>
      </c>
      <c r="I87" s="11" t="n">
        <f aca="false">IF($E87="Manual",M87,IF($E87="Flat",H87,IF($E87="Inflation",H87*(1+Inputs!E$12),IF($E87="Salary",H87*(1+Inputs!E$10),IF($E87="Benefits",H87*(1+Inputs!E$11),IF($E87="Per Student",H87*I$4/H$4*(1+Inputs!E$12),IF($E87="Enrollment",H87*I$4/H$4,IF($E87="Tuition Index",H87*I$5/H$5,IF($E87="% of Salaries",IF($G$6=0,0,$G87/$G$6*I$6),IF($E87="Debt",$G87*Inputs!E$15/12,IF($E87="Reserve Yield",Inputs!E$13*Inputs!E$16,IF($E87="Trend",H87*(1+Inputs!E$12),H87))))))))))))</f>
        <v>59357.355</v>
      </c>
      <c r="J87" s="11" t="n">
        <f aca="false">IF($E87="Manual",N87,IF($E87="Flat",I87,IF($E87="Inflation",I87*(1+Inputs!F$12),IF($E87="Salary",I87*(1+Inputs!F$10),IF($E87="Benefits",I87*(1+Inputs!F$11),IF($E87="Per Student",I87*J$4/I$4*(1+Inputs!F$12),IF($E87="Enrollment",I87*J$4/I$4,IF($E87="Tuition Index",I87*J$5/I$5,IF($E87="% of Salaries",IF($G$6=0,0,$G87/$G$6*J$6),IF($E87="Debt",$G87*Inputs!F$15/12,IF($E87="Reserve Yield",Inputs!F$13*Inputs!F$16,IF($E87="Trend",I87*(1+Inputs!F$12),I87))))))))))))</f>
        <v>61138.07565</v>
      </c>
      <c r="K87" s="11" t="n">
        <f aca="false">IF($E87="Manual",O87,IF($E87="Flat",J87,IF($E87="Inflation",J87*(1+Inputs!G$12),IF($E87="Salary",J87*(1+Inputs!G$10),IF($E87="Benefits",J87*(1+Inputs!G$11),IF($E87="Per Student",J87*K$4/J$4*(1+Inputs!G$12),IF($E87="Enrollment",J87*K$4/J$4,IF($E87="Tuition Index",J87*K$5/J$5,IF($E87="% of Salaries",IF($G$6=0,0,$G87/$G$6*K$6),IF($E87="Debt",$G87*Inputs!G$15/12,IF($E87="Reserve Yield",Inputs!G$13*Inputs!G$16,IF($E87="Trend",J87*(1+Inputs!G$12),J87))))))))))))</f>
        <v>62972.2179195</v>
      </c>
      <c r="L87" s="22"/>
      <c r="M87" s="22"/>
      <c r="N87" s="22"/>
      <c r="O87" s="22"/>
    </row>
    <row r="88" customFormat="false" ht="15" hidden="false" customHeight="false" outlineLevel="0" collapsed="false">
      <c r="A88" s="6" t="s">
        <v>295</v>
      </c>
      <c r="B88" s="6" t="s">
        <v>15</v>
      </c>
      <c r="C88" s="30" t="s">
        <v>351</v>
      </c>
      <c r="D88" s="6" t="s">
        <v>352</v>
      </c>
      <c r="E88" s="20" t="s">
        <v>330</v>
      </c>
      <c r="F88" s="20" t="s">
        <v>132</v>
      </c>
      <c r="G88" s="31" t="n">
        <f aca="false">SUMIFS('QB Import'!$B$1:$B$600,'QB Import'!$H$1:$H$600,$C88,'QB Import'!$G$1:$G$600,1)</f>
        <v>35000</v>
      </c>
      <c r="H88" s="11" t="n">
        <f aca="false">IF($E88="Manual",L88,IF($E88="Flat",G88,IF($E88="Inflation",G88*(1+Inputs!D$12),IF($E88="Salary",G88*(1+Inputs!D$10),IF($E88="Benefits",G88*(1+Inputs!D$11),IF($E88="Per Student",G88*H$4/G$4*(1+Inputs!D$12),IF($E88="Enrollment",G88*H$4/G$4,IF($E88="Tuition Index",G88*H$5/G$5,IF($E88="% of Salaries",IF($G$6=0,0,$G88/$G$6*H$6),IF($E88="Debt",$G88*Inputs!D$15/12,IF($E88="Reserve Yield",Inputs!D$13*Inputs!D$16,IF($E88="Trend",IF(ISNUMBER(Trend!$Q127),Trend!$Q127,G88),G88))))))))))))</f>
        <v>36050</v>
      </c>
      <c r="I88" s="11" t="n">
        <f aca="false">IF($E88="Manual",M88,IF($E88="Flat",H88,IF($E88="Inflation",H88*(1+Inputs!E$12),IF($E88="Salary",H88*(1+Inputs!E$10),IF($E88="Benefits",H88*(1+Inputs!E$11),IF($E88="Per Student",H88*I$4/H$4*(1+Inputs!E$12),IF($E88="Enrollment",H88*I$4/H$4,IF($E88="Tuition Index",H88*I$5/H$5,IF($E88="% of Salaries",IF($G$6=0,0,$G88/$G$6*I$6),IF($E88="Debt",$G88*Inputs!E$15/12,IF($E88="Reserve Yield",Inputs!E$13*Inputs!E$16,IF($E88="Trend",H88*(1+Inputs!E$12),H88))))))))))))</f>
        <v>37131.5</v>
      </c>
      <c r="J88" s="11" t="n">
        <f aca="false">IF($E88="Manual",N88,IF($E88="Flat",I88,IF($E88="Inflation",I88*(1+Inputs!F$12),IF($E88="Salary",I88*(1+Inputs!F$10),IF($E88="Benefits",I88*(1+Inputs!F$11),IF($E88="Per Student",I88*J$4/I$4*(1+Inputs!F$12),IF($E88="Enrollment",I88*J$4/I$4,IF($E88="Tuition Index",I88*J$5/I$5,IF($E88="% of Salaries",IF($G$6=0,0,$G88/$G$6*J$6),IF($E88="Debt",$G88*Inputs!F$15/12,IF($E88="Reserve Yield",Inputs!F$13*Inputs!F$16,IF($E88="Trend",I88*(1+Inputs!F$12),I88))))))))))))</f>
        <v>38245.445</v>
      </c>
      <c r="K88" s="11" t="n">
        <f aca="false">IF($E88="Manual",O88,IF($E88="Flat",J88,IF($E88="Inflation",J88*(1+Inputs!G$12),IF($E88="Salary",J88*(1+Inputs!G$10),IF($E88="Benefits",J88*(1+Inputs!G$11),IF($E88="Per Student",J88*K$4/J$4*(1+Inputs!G$12),IF($E88="Enrollment",J88*K$4/J$4,IF($E88="Tuition Index",J88*K$5/J$5,IF($E88="% of Salaries",IF($G$6=0,0,$G88/$G$6*K$6),IF($E88="Debt",$G88*Inputs!G$15/12,IF($E88="Reserve Yield",Inputs!G$13*Inputs!G$16,IF($E88="Trend",J88*(1+Inputs!G$12),J88))))))))))))</f>
        <v>39392.80835</v>
      </c>
      <c r="L88" s="22"/>
      <c r="M88" s="22"/>
      <c r="N88" s="22"/>
      <c r="O88" s="22"/>
    </row>
    <row r="89" customFormat="false" ht="15" hidden="false" customHeight="false" outlineLevel="0" collapsed="false">
      <c r="A89" s="6" t="s">
        <v>295</v>
      </c>
      <c r="B89" s="6" t="s">
        <v>15</v>
      </c>
      <c r="C89" s="30" t="s">
        <v>353</v>
      </c>
      <c r="D89" s="6" t="s">
        <v>354</v>
      </c>
      <c r="E89" s="20" t="s">
        <v>330</v>
      </c>
      <c r="F89" s="20" t="s">
        <v>132</v>
      </c>
      <c r="G89" s="31" t="n">
        <f aca="false">SUMIFS('QB Import'!$B$1:$B$600,'QB Import'!$H$1:$H$600,$C89,'QB Import'!$G$1:$G$600,1)</f>
        <v>1800</v>
      </c>
      <c r="H89" s="11" t="n">
        <f aca="false">IF($E89="Manual",L89,IF($E89="Flat",G89,IF($E89="Inflation",G89*(1+Inputs!D$12),IF($E89="Salary",G89*(1+Inputs!D$10),IF($E89="Benefits",G89*(1+Inputs!D$11),IF($E89="Per Student",G89*H$4/G$4*(1+Inputs!D$12),IF($E89="Enrollment",G89*H$4/G$4,IF($E89="Tuition Index",G89*H$5/G$5,IF($E89="% of Salaries",IF($G$6=0,0,$G89/$G$6*H$6),IF($E89="Debt",$G89*Inputs!D$15/12,IF($E89="Reserve Yield",Inputs!D$13*Inputs!D$16,IF($E89="Trend",IF(ISNUMBER(Trend!$Q128),Trend!$Q128,G89),G89))))))))))))</f>
        <v>1854</v>
      </c>
      <c r="I89" s="11" t="n">
        <f aca="false">IF($E89="Manual",M89,IF($E89="Flat",H89,IF($E89="Inflation",H89*(1+Inputs!E$12),IF($E89="Salary",H89*(1+Inputs!E$10),IF($E89="Benefits",H89*(1+Inputs!E$11),IF($E89="Per Student",H89*I$4/H$4*(1+Inputs!E$12),IF($E89="Enrollment",H89*I$4/H$4,IF($E89="Tuition Index",H89*I$5/H$5,IF($E89="% of Salaries",IF($G$6=0,0,$G89/$G$6*I$6),IF($E89="Debt",$G89*Inputs!E$15/12,IF($E89="Reserve Yield",Inputs!E$13*Inputs!E$16,IF($E89="Trend",H89*(1+Inputs!E$12),H89))))))))))))</f>
        <v>1909.62</v>
      </c>
      <c r="J89" s="11" t="n">
        <f aca="false">IF($E89="Manual",N89,IF($E89="Flat",I89,IF($E89="Inflation",I89*(1+Inputs!F$12),IF($E89="Salary",I89*(1+Inputs!F$10),IF($E89="Benefits",I89*(1+Inputs!F$11),IF($E89="Per Student",I89*J$4/I$4*(1+Inputs!F$12),IF($E89="Enrollment",I89*J$4/I$4,IF($E89="Tuition Index",I89*J$5/I$5,IF($E89="% of Salaries",IF($G$6=0,0,$G89/$G$6*J$6),IF($E89="Debt",$G89*Inputs!F$15/12,IF($E89="Reserve Yield",Inputs!F$13*Inputs!F$16,IF($E89="Trend",I89*(1+Inputs!F$12),I89))))))))))))</f>
        <v>1966.9086</v>
      </c>
      <c r="K89" s="11" t="n">
        <f aca="false">IF($E89="Manual",O89,IF($E89="Flat",J89,IF($E89="Inflation",J89*(1+Inputs!G$12),IF($E89="Salary",J89*(1+Inputs!G$10),IF($E89="Benefits",J89*(1+Inputs!G$11),IF($E89="Per Student",J89*K$4/J$4*(1+Inputs!G$12),IF($E89="Enrollment",J89*K$4/J$4,IF($E89="Tuition Index",J89*K$5/J$5,IF($E89="% of Salaries",IF($G$6=0,0,$G89/$G$6*K$6),IF($E89="Debt",$G89*Inputs!G$15/12,IF($E89="Reserve Yield",Inputs!G$13*Inputs!G$16,IF($E89="Trend",J89*(1+Inputs!G$12),J89))))))))))))</f>
        <v>2025.915858</v>
      </c>
      <c r="L89" s="22"/>
      <c r="M89" s="22"/>
      <c r="N89" s="22"/>
      <c r="O89" s="22"/>
    </row>
    <row r="90" customFormat="false" ht="15" hidden="false" customHeight="false" outlineLevel="0" collapsed="false">
      <c r="A90" s="6" t="s">
        <v>295</v>
      </c>
      <c r="B90" s="6" t="s">
        <v>15</v>
      </c>
      <c r="C90" s="30" t="s">
        <v>355</v>
      </c>
      <c r="D90" s="6" t="s">
        <v>356</v>
      </c>
      <c r="E90" s="20" t="s">
        <v>330</v>
      </c>
      <c r="F90" s="20" t="s">
        <v>132</v>
      </c>
      <c r="G90" s="31" t="n">
        <f aca="false">SUMIFS('QB Import'!$B$1:$B$600,'QB Import'!$H$1:$H$600,$C90,'QB Import'!$G$1:$G$600,1)</f>
        <v>300</v>
      </c>
      <c r="H90" s="11" t="n">
        <f aca="false">IF($E90="Manual",L90,IF($E90="Flat",G90,IF($E90="Inflation",G90*(1+Inputs!D$12),IF($E90="Salary",G90*(1+Inputs!D$10),IF($E90="Benefits",G90*(1+Inputs!D$11),IF($E90="Per Student",G90*H$4/G$4*(1+Inputs!D$12),IF($E90="Enrollment",G90*H$4/G$4,IF($E90="Tuition Index",G90*H$5/G$5,IF($E90="% of Salaries",IF($G$6=0,0,$G90/$G$6*H$6),IF($E90="Debt",$G90*Inputs!D$15/12,IF($E90="Reserve Yield",Inputs!D$13*Inputs!D$16,IF($E90="Trend",IF(ISNUMBER(Trend!$Q129),Trend!$Q129,G90),G90))))))))))))</f>
        <v>309</v>
      </c>
      <c r="I90" s="11" t="n">
        <f aca="false">IF($E90="Manual",M90,IF($E90="Flat",H90,IF($E90="Inflation",H90*(1+Inputs!E$12),IF($E90="Salary",H90*(1+Inputs!E$10),IF($E90="Benefits",H90*(1+Inputs!E$11),IF($E90="Per Student",H90*I$4/H$4*(1+Inputs!E$12),IF($E90="Enrollment",H90*I$4/H$4,IF($E90="Tuition Index",H90*I$5/H$5,IF($E90="% of Salaries",IF($G$6=0,0,$G90/$G$6*I$6),IF($E90="Debt",$G90*Inputs!E$15/12,IF($E90="Reserve Yield",Inputs!E$13*Inputs!E$16,IF($E90="Trend",H90*(1+Inputs!E$12),H90))))))))))))</f>
        <v>318.27</v>
      </c>
      <c r="J90" s="11" t="n">
        <f aca="false">IF($E90="Manual",N90,IF($E90="Flat",I90,IF($E90="Inflation",I90*(1+Inputs!F$12),IF($E90="Salary",I90*(1+Inputs!F$10),IF($E90="Benefits",I90*(1+Inputs!F$11),IF($E90="Per Student",I90*J$4/I$4*(1+Inputs!F$12),IF($E90="Enrollment",I90*J$4/I$4,IF($E90="Tuition Index",I90*J$5/I$5,IF($E90="% of Salaries",IF($G$6=0,0,$G90/$G$6*J$6),IF($E90="Debt",$G90*Inputs!F$15/12,IF($E90="Reserve Yield",Inputs!F$13*Inputs!F$16,IF($E90="Trend",I90*(1+Inputs!F$12),I90))))))))))))</f>
        <v>327.8181</v>
      </c>
      <c r="K90" s="11" t="n">
        <f aca="false">IF($E90="Manual",O90,IF($E90="Flat",J90,IF($E90="Inflation",J90*(1+Inputs!G$12),IF($E90="Salary",J90*(1+Inputs!G$10),IF($E90="Benefits",J90*(1+Inputs!G$11),IF($E90="Per Student",J90*K$4/J$4*(1+Inputs!G$12),IF($E90="Enrollment",J90*K$4/J$4,IF($E90="Tuition Index",J90*K$5/J$5,IF($E90="% of Salaries",IF($G$6=0,0,$G90/$G$6*K$6),IF($E90="Debt",$G90*Inputs!G$15/12,IF($E90="Reserve Yield",Inputs!G$13*Inputs!G$16,IF($E90="Trend",J90*(1+Inputs!G$12),J90))))))))))))</f>
        <v>337.652643</v>
      </c>
      <c r="L90" s="22"/>
      <c r="M90" s="22"/>
      <c r="N90" s="22"/>
      <c r="O90" s="22"/>
    </row>
    <row r="91" customFormat="false" ht="15" hidden="false" customHeight="false" outlineLevel="0" collapsed="false">
      <c r="A91" s="6" t="s">
        <v>295</v>
      </c>
      <c r="B91" s="6" t="s">
        <v>15</v>
      </c>
      <c r="C91" s="30" t="s">
        <v>357</v>
      </c>
      <c r="D91" s="6" t="s">
        <v>358</v>
      </c>
      <c r="E91" s="20" t="s">
        <v>200</v>
      </c>
      <c r="F91" s="20" t="s">
        <v>132</v>
      </c>
      <c r="G91" s="31" t="n">
        <f aca="false">SUMIFS('QB Import'!$B$1:$B$600,'QB Import'!$H$1:$H$600,$C91,'QB Import'!$G$1:$G$600,1)</f>
        <v>0</v>
      </c>
      <c r="H91" s="11" t="n">
        <f aca="false">IF($E91="Manual",L91,IF($E91="Flat",G91,IF($E91="Inflation",G91*(1+Inputs!D$12),IF($E91="Salary",G91*(1+Inputs!D$10),IF($E91="Benefits",G91*(1+Inputs!D$11),IF($E91="Per Student",G91*H$4/G$4*(1+Inputs!D$12),IF($E91="Enrollment",G91*H$4/G$4,IF($E91="Tuition Index",G91*H$5/G$5,IF($E91="% of Salaries",IF($G$6=0,0,$G91/$G$6*H$6),IF($E91="Debt",$G91*Inputs!D$15/12,IF($E91="Reserve Yield",Inputs!D$13*Inputs!D$16,IF($E91="Trend",IF(ISNUMBER(Trend!$Q130),Trend!$Q130,G91),G91))))))))))))</f>
        <v>0</v>
      </c>
      <c r="I91" s="11" t="n">
        <f aca="false">IF($E91="Manual",M91,IF($E91="Flat",H91,IF($E91="Inflation",H91*(1+Inputs!E$12),IF($E91="Salary",H91*(1+Inputs!E$10),IF($E91="Benefits",H91*(1+Inputs!E$11),IF($E91="Per Student",H91*I$4/H$4*(1+Inputs!E$12),IF($E91="Enrollment",H91*I$4/H$4,IF($E91="Tuition Index",H91*I$5/H$5,IF($E91="% of Salaries",IF($G$6=0,0,$G91/$G$6*I$6),IF($E91="Debt",$G91*Inputs!E$15/12,IF($E91="Reserve Yield",Inputs!E$13*Inputs!E$16,IF($E91="Trend",H91*(1+Inputs!E$12),H91))))))))))))</f>
        <v>0</v>
      </c>
      <c r="J91" s="11" t="n">
        <f aca="false">IF($E91="Manual",N91,IF($E91="Flat",I91,IF($E91="Inflation",I91*(1+Inputs!F$12),IF($E91="Salary",I91*(1+Inputs!F$10),IF($E91="Benefits",I91*(1+Inputs!F$11),IF($E91="Per Student",I91*J$4/I$4*(1+Inputs!F$12),IF($E91="Enrollment",I91*J$4/I$4,IF($E91="Tuition Index",I91*J$5/I$5,IF($E91="% of Salaries",IF($G$6=0,0,$G91/$G$6*J$6),IF($E91="Debt",$G91*Inputs!F$15/12,IF($E91="Reserve Yield",Inputs!F$13*Inputs!F$16,IF($E91="Trend",I91*(1+Inputs!F$12),I91))))))))))))</f>
        <v>0</v>
      </c>
      <c r="K91" s="11" t="n">
        <f aca="false">IF($E91="Manual",O91,IF($E91="Flat",J91,IF($E91="Inflation",J91*(1+Inputs!G$12),IF($E91="Salary",J91*(1+Inputs!G$10),IF($E91="Benefits",J91*(1+Inputs!G$11),IF($E91="Per Student",J91*K$4/J$4*(1+Inputs!G$12),IF($E91="Enrollment",J91*K$4/J$4,IF($E91="Tuition Index",J91*K$5/J$5,IF($E91="% of Salaries",IF($G$6=0,0,$G91/$G$6*K$6),IF($E91="Debt",$G91*Inputs!G$15/12,IF($E91="Reserve Yield",Inputs!G$13*Inputs!G$16,IF($E91="Trend",J91*(1+Inputs!G$12),J91))))))))))))</f>
        <v>0</v>
      </c>
      <c r="L91" s="22"/>
      <c r="M91" s="22"/>
      <c r="N91" s="22"/>
      <c r="O91" s="22"/>
    </row>
    <row r="92" customFormat="false" ht="15" hidden="false" customHeight="false" outlineLevel="0" collapsed="false">
      <c r="A92" s="6" t="s">
        <v>295</v>
      </c>
      <c r="B92" s="6" t="s">
        <v>15</v>
      </c>
      <c r="C92" s="30" t="s">
        <v>359</v>
      </c>
      <c r="D92" s="6" t="s">
        <v>360</v>
      </c>
      <c r="E92" s="20" t="s">
        <v>330</v>
      </c>
      <c r="F92" s="20" t="s">
        <v>132</v>
      </c>
      <c r="G92" s="31" t="n">
        <f aca="false">SUMIFS('QB Import'!$B$1:$B$600,'QB Import'!$H$1:$H$600,$C92,'QB Import'!$G$1:$G$600,1)</f>
        <v>300</v>
      </c>
      <c r="H92" s="11" t="n">
        <f aca="false">IF($E92="Manual",L92,IF($E92="Flat",G92,IF($E92="Inflation",G92*(1+Inputs!D$12),IF($E92="Salary",G92*(1+Inputs!D$10),IF($E92="Benefits",G92*(1+Inputs!D$11),IF($E92="Per Student",G92*H$4/G$4*(1+Inputs!D$12),IF($E92="Enrollment",G92*H$4/G$4,IF($E92="Tuition Index",G92*H$5/G$5,IF($E92="% of Salaries",IF($G$6=0,0,$G92/$G$6*H$6),IF($E92="Debt",$G92*Inputs!D$15/12,IF($E92="Reserve Yield",Inputs!D$13*Inputs!D$16,IF($E92="Trend",IF(ISNUMBER(Trend!$Q131),Trend!$Q131,G92),G92))))))))))))</f>
        <v>309</v>
      </c>
      <c r="I92" s="11" t="n">
        <f aca="false">IF($E92="Manual",M92,IF($E92="Flat",H92,IF($E92="Inflation",H92*(1+Inputs!E$12),IF($E92="Salary",H92*(1+Inputs!E$10),IF($E92="Benefits",H92*(1+Inputs!E$11),IF($E92="Per Student",H92*I$4/H$4*(1+Inputs!E$12),IF($E92="Enrollment",H92*I$4/H$4,IF($E92="Tuition Index",H92*I$5/H$5,IF($E92="% of Salaries",IF($G$6=0,0,$G92/$G$6*I$6),IF($E92="Debt",$G92*Inputs!E$15/12,IF($E92="Reserve Yield",Inputs!E$13*Inputs!E$16,IF($E92="Trend",H92*(1+Inputs!E$12),H92))))))))))))</f>
        <v>318.27</v>
      </c>
      <c r="J92" s="11" t="n">
        <f aca="false">IF($E92="Manual",N92,IF($E92="Flat",I92,IF($E92="Inflation",I92*(1+Inputs!F$12),IF($E92="Salary",I92*(1+Inputs!F$10),IF($E92="Benefits",I92*(1+Inputs!F$11),IF($E92="Per Student",I92*J$4/I$4*(1+Inputs!F$12),IF($E92="Enrollment",I92*J$4/I$4,IF($E92="Tuition Index",I92*J$5/I$5,IF($E92="% of Salaries",IF($G$6=0,0,$G92/$G$6*J$6),IF($E92="Debt",$G92*Inputs!F$15/12,IF($E92="Reserve Yield",Inputs!F$13*Inputs!F$16,IF($E92="Trend",I92*(1+Inputs!F$12),I92))))))))))))</f>
        <v>327.8181</v>
      </c>
      <c r="K92" s="11" t="n">
        <f aca="false">IF($E92="Manual",O92,IF($E92="Flat",J92,IF($E92="Inflation",J92*(1+Inputs!G$12),IF($E92="Salary",J92*(1+Inputs!G$10),IF($E92="Benefits",J92*(1+Inputs!G$11),IF($E92="Per Student",J92*K$4/J$4*(1+Inputs!G$12),IF($E92="Enrollment",J92*K$4/J$4,IF($E92="Tuition Index",J92*K$5/J$5,IF($E92="% of Salaries",IF($G$6=0,0,$G92/$G$6*K$6),IF($E92="Debt",$G92*Inputs!G$15/12,IF($E92="Reserve Yield",Inputs!G$13*Inputs!G$16,IF($E92="Trend",J92*(1+Inputs!G$12),J92))))))))))))</f>
        <v>337.652643</v>
      </c>
      <c r="L92" s="22"/>
      <c r="M92" s="22"/>
      <c r="N92" s="22"/>
      <c r="O92" s="22"/>
    </row>
    <row r="93" customFormat="false" ht="15" hidden="false" customHeight="false" outlineLevel="0" collapsed="false">
      <c r="A93" s="6" t="s">
        <v>295</v>
      </c>
      <c r="B93" s="6" t="s">
        <v>15</v>
      </c>
      <c r="C93" s="30" t="s">
        <v>361</v>
      </c>
      <c r="D93" s="6" t="s">
        <v>362</v>
      </c>
      <c r="E93" s="20" t="s">
        <v>330</v>
      </c>
      <c r="F93" s="20" t="s">
        <v>132</v>
      </c>
      <c r="G93" s="31" t="n">
        <f aca="false">SUMIFS('QB Import'!$B$1:$B$600,'QB Import'!$H$1:$H$600,$C93,'QB Import'!$G$1:$G$600,1)</f>
        <v>2000</v>
      </c>
      <c r="H93" s="11" t="n">
        <f aca="false">IF($E93="Manual",L93,IF($E93="Flat",G93,IF($E93="Inflation",G93*(1+Inputs!D$12),IF($E93="Salary",G93*(1+Inputs!D$10),IF($E93="Benefits",G93*(1+Inputs!D$11),IF($E93="Per Student",G93*H$4/G$4*(1+Inputs!D$12),IF($E93="Enrollment",G93*H$4/G$4,IF($E93="Tuition Index",G93*H$5/G$5,IF($E93="% of Salaries",IF($G$6=0,0,$G93/$G$6*H$6),IF($E93="Debt",$G93*Inputs!D$15/12,IF($E93="Reserve Yield",Inputs!D$13*Inputs!D$16,IF($E93="Trend",IF(ISNUMBER(Trend!$Q132),Trend!$Q132,G93),G93))))))))))))</f>
        <v>2060</v>
      </c>
      <c r="I93" s="11" t="n">
        <f aca="false">IF($E93="Manual",M93,IF($E93="Flat",H93,IF($E93="Inflation",H93*(1+Inputs!E$12),IF($E93="Salary",H93*(1+Inputs!E$10),IF($E93="Benefits",H93*(1+Inputs!E$11),IF($E93="Per Student",H93*I$4/H$4*(1+Inputs!E$12),IF($E93="Enrollment",H93*I$4/H$4,IF($E93="Tuition Index",H93*I$5/H$5,IF($E93="% of Salaries",IF($G$6=0,0,$G93/$G$6*I$6),IF($E93="Debt",$G93*Inputs!E$15/12,IF($E93="Reserve Yield",Inputs!E$13*Inputs!E$16,IF($E93="Trend",H93*(1+Inputs!E$12),H93))))))))))))</f>
        <v>2121.8</v>
      </c>
      <c r="J93" s="11" t="n">
        <f aca="false">IF($E93="Manual",N93,IF($E93="Flat",I93,IF($E93="Inflation",I93*(1+Inputs!F$12),IF($E93="Salary",I93*(1+Inputs!F$10),IF($E93="Benefits",I93*(1+Inputs!F$11),IF($E93="Per Student",I93*J$4/I$4*(1+Inputs!F$12),IF($E93="Enrollment",I93*J$4/I$4,IF($E93="Tuition Index",I93*J$5/I$5,IF($E93="% of Salaries",IF($G$6=0,0,$G93/$G$6*J$6),IF($E93="Debt",$G93*Inputs!F$15/12,IF($E93="Reserve Yield",Inputs!F$13*Inputs!F$16,IF($E93="Trend",I93*(1+Inputs!F$12),I93))))))))))))</f>
        <v>2185.454</v>
      </c>
      <c r="K93" s="11" t="n">
        <f aca="false">IF($E93="Manual",O93,IF($E93="Flat",J93,IF($E93="Inflation",J93*(1+Inputs!G$12),IF($E93="Salary",J93*(1+Inputs!G$10),IF($E93="Benefits",J93*(1+Inputs!G$11),IF($E93="Per Student",J93*K$4/J$4*(1+Inputs!G$12),IF($E93="Enrollment",J93*K$4/J$4,IF($E93="Tuition Index",J93*K$5/J$5,IF($E93="% of Salaries",IF($G$6=0,0,$G93/$G$6*K$6),IF($E93="Debt",$G93*Inputs!G$15/12,IF($E93="Reserve Yield",Inputs!G$13*Inputs!G$16,IF($E93="Trend",J93*(1+Inputs!G$12),J93))))))))))))</f>
        <v>2251.01762</v>
      </c>
      <c r="L93" s="22"/>
      <c r="M93" s="22"/>
      <c r="N93" s="22"/>
      <c r="O93" s="22"/>
    </row>
    <row r="94" customFormat="false" ht="15" hidden="false" customHeight="false" outlineLevel="0" collapsed="false">
      <c r="A94" s="6" t="s">
        <v>295</v>
      </c>
      <c r="B94" s="6" t="s">
        <v>15</v>
      </c>
      <c r="C94" s="30" t="s">
        <v>363</v>
      </c>
      <c r="D94" s="6" t="s">
        <v>364</v>
      </c>
      <c r="E94" s="20" t="s">
        <v>330</v>
      </c>
      <c r="F94" s="20" t="s">
        <v>132</v>
      </c>
      <c r="G94" s="31" t="n">
        <f aca="false">SUMIFS('QB Import'!$B$1:$B$600,'QB Import'!$H$1:$H$600,$C94,'QB Import'!$G$1:$G$600,1)</f>
        <v>500</v>
      </c>
      <c r="H94" s="11" t="n">
        <f aca="false">IF($E94="Manual",L94,IF($E94="Flat",G94,IF($E94="Inflation",G94*(1+Inputs!D$12),IF($E94="Salary",G94*(1+Inputs!D$10),IF($E94="Benefits",G94*(1+Inputs!D$11),IF($E94="Per Student",G94*H$4/G$4*(1+Inputs!D$12),IF($E94="Enrollment",G94*H$4/G$4,IF($E94="Tuition Index",G94*H$5/G$5,IF($E94="% of Salaries",IF($G$6=0,0,$G94/$G$6*H$6),IF($E94="Debt",$G94*Inputs!D$15/12,IF($E94="Reserve Yield",Inputs!D$13*Inputs!D$16,IF($E94="Trend",IF(ISNUMBER(Trend!$Q133),Trend!$Q133,G94),G94))))))))))))</f>
        <v>515</v>
      </c>
      <c r="I94" s="11" t="n">
        <f aca="false">IF($E94="Manual",M94,IF($E94="Flat",H94,IF($E94="Inflation",H94*(1+Inputs!E$12),IF($E94="Salary",H94*(1+Inputs!E$10),IF($E94="Benefits",H94*(1+Inputs!E$11),IF($E94="Per Student",H94*I$4/H$4*(1+Inputs!E$12),IF($E94="Enrollment",H94*I$4/H$4,IF($E94="Tuition Index",H94*I$5/H$5,IF($E94="% of Salaries",IF($G$6=0,0,$G94/$G$6*I$6),IF($E94="Debt",$G94*Inputs!E$15/12,IF($E94="Reserve Yield",Inputs!E$13*Inputs!E$16,IF($E94="Trend",H94*(1+Inputs!E$12),H94))))))))))))</f>
        <v>530.45</v>
      </c>
      <c r="J94" s="11" t="n">
        <f aca="false">IF($E94="Manual",N94,IF($E94="Flat",I94,IF($E94="Inflation",I94*(1+Inputs!F$12),IF($E94="Salary",I94*(1+Inputs!F$10),IF($E94="Benefits",I94*(1+Inputs!F$11),IF($E94="Per Student",I94*J$4/I$4*(1+Inputs!F$12),IF($E94="Enrollment",I94*J$4/I$4,IF($E94="Tuition Index",I94*J$5/I$5,IF($E94="% of Salaries",IF($G$6=0,0,$G94/$G$6*J$6),IF($E94="Debt",$G94*Inputs!F$15/12,IF($E94="Reserve Yield",Inputs!F$13*Inputs!F$16,IF($E94="Trend",I94*(1+Inputs!F$12),I94))))))))))))</f>
        <v>546.3635</v>
      </c>
      <c r="K94" s="11" t="n">
        <f aca="false">IF($E94="Manual",O94,IF($E94="Flat",J94,IF($E94="Inflation",J94*(1+Inputs!G$12),IF($E94="Salary",J94*(1+Inputs!G$10),IF($E94="Benefits",J94*(1+Inputs!G$11),IF($E94="Per Student",J94*K$4/J$4*(1+Inputs!G$12),IF($E94="Enrollment",J94*K$4/J$4,IF($E94="Tuition Index",J94*K$5/J$5,IF($E94="% of Salaries",IF($G$6=0,0,$G94/$G$6*K$6),IF($E94="Debt",$G94*Inputs!G$15/12,IF($E94="Reserve Yield",Inputs!G$13*Inputs!G$16,IF($E94="Trend",J94*(1+Inputs!G$12),J94))))))))))))</f>
        <v>562.754405</v>
      </c>
      <c r="L94" s="22"/>
      <c r="M94" s="22"/>
      <c r="N94" s="22"/>
      <c r="O94" s="22"/>
    </row>
    <row r="95" customFormat="false" ht="15" hidden="false" customHeight="false" outlineLevel="0" collapsed="false">
      <c r="A95" s="6" t="s">
        <v>295</v>
      </c>
      <c r="B95" s="6" t="s">
        <v>15</v>
      </c>
      <c r="C95" s="30" t="s">
        <v>365</v>
      </c>
      <c r="D95" s="6" t="s">
        <v>366</v>
      </c>
      <c r="E95" s="20" t="s">
        <v>330</v>
      </c>
      <c r="F95" s="20" t="s">
        <v>132</v>
      </c>
      <c r="G95" s="31" t="n">
        <f aca="false">SUMIFS('QB Import'!$B$1:$B$600,'QB Import'!$H$1:$H$600,$C95,'QB Import'!$G$1:$G$600,1)</f>
        <v>3000</v>
      </c>
      <c r="H95" s="11" t="n">
        <f aca="false">IF($E95="Manual",L95,IF($E95="Flat",G95,IF($E95="Inflation",G95*(1+Inputs!D$12),IF($E95="Salary",G95*(1+Inputs!D$10),IF($E95="Benefits",G95*(1+Inputs!D$11),IF($E95="Per Student",G95*H$4/G$4*(1+Inputs!D$12),IF($E95="Enrollment",G95*H$4/G$4,IF($E95="Tuition Index",G95*H$5/G$5,IF($E95="% of Salaries",IF($G$6=0,0,$G95/$G$6*H$6),IF($E95="Debt",$G95*Inputs!D$15/12,IF($E95="Reserve Yield",Inputs!D$13*Inputs!D$16,IF($E95="Trend",IF(ISNUMBER(Trend!$Q134),Trend!$Q134,G95),G95))))))))))))</f>
        <v>3090</v>
      </c>
      <c r="I95" s="11" t="n">
        <f aca="false">IF($E95="Manual",M95,IF($E95="Flat",H95,IF($E95="Inflation",H95*(1+Inputs!E$12),IF($E95="Salary",H95*(1+Inputs!E$10),IF($E95="Benefits",H95*(1+Inputs!E$11),IF($E95="Per Student",H95*I$4/H$4*(1+Inputs!E$12),IF($E95="Enrollment",H95*I$4/H$4,IF($E95="Tuition Index",H95*I$5/H$5,IF($E95="% of Salaries",IF($G$6=0,0,$G95/$G$6*I$6),IF($E95="Debt",$G95*Inputs!E$15/12,IF($E95="Reserve Yield",Inputs!E$13*Inputs!E$16,IF($E95="Trend",H95*(1+Inputs!E$12),H95))))))))))))</f>
        <v>3182.7</v>
      </c>
      <c r="J95" s="11" t="n">
        <f aca="false">IF($E95="Manual",N95,IF($E95="Flat",I95,IF($E95="Inflation",I95*(1+Inputs!F$12),IF($E95="Salary",I95*(1+Inputs!F$10),IF($E95="Benefits",I95*(1+Inputs!F$11),IF($E95="Per Student",I95*J$4/I$4*(1+Inputs!F$12),IF($E95="Enrollment",I95*J$4/I$4,IF($E95="Tuition Index",I95*J$5/I$5,IF($E95="% of Salaries",IF($G$6=0,0,$G95/$G$6*J$6),IF($E95="Debt",$G95*Inputs!F$15/12,IF($E95="Reserve Yield",Inputs!F$13*Inputs!F$16,IF($E95="Trend",I95*(1+Inputs!F$12),I95))))))))))))</f>
        <v>3278.181</v>
      </c>
      <c r="K95" s="11" t="n">
        <f aca="false">IF($E95="Manual",O95,IF($E95="Flat",J95,IF($E95="Inflation",J95*(1+Inputs!G$12),IF($E95="Salary",J95*(1+Inputs!G$10),IF($E95="Benefits",J95*(1+Inputs!G$11),IF($E95="Per Student",J95*K$4/J$4*(1+Inputs!G$12),IF($E95="Enrollment",J95*K$4/J$4,IF($E95="Tuition Index",J95*K$5/J$5,IF($E95="% of Salaries",IF($G$6=0,0,$G95/$G$6*K$6),IF($E95="Debt",$G95*Inputs!G$15/12,IF($E95="Reserve Yield",Inputs!G$13*Inputs!G$16,IF($E95="Trend",J95*(1+Inputs!G$12),J95))))))))))))</f>
        <v>3376.52643</v>
      </c>
      <c r="L95" s="22"/>
      <c r="M95" s="22"/>
      <c r="N95" s="22"/>
      <c r="O95" s="22"/>
    </row>
    <row r="96" customFormat="false" ht="15" hidden="false" customHeight="false" outlineLevel="0" collapsed="false">
      <c r="A96" s="6" t="s">
        <v>295</v>
      </c>
      <c r="B96" s="6" t="s">
        <v>15</v>
      </c>
      <c r="C96" s="30" t="s">
        <v>367</v>
      </c>
      <c r="D96" s="6" t="s">
        <v>368</v>
      </c>
      <c r="E96" s="20" t="s">
        <v>330</v>
      </c>
      <c r="F96" s="20" t="s">
        <v>132</v>
      </c>
      <c r="G96" s="31" t="n">
        <f aca="false">SUMIFS('QB Import'!$B$1:$B$600,'QB Import'!$H$1:$H$600,$C96,'QB Import'!$G$1:$G$600,1)</f>
        <v>8700</v>
      </c>
      <c r="H96" s="11" t="n">
        <f aca="false">IF($E96="Manual",L96,IF($E96="Flat",G96,IF($E96="Inflation",G96*(1+Inputs!D$12),IF($E96="Salary",G96*(1+Inputs!D$10),IF($E96="Benefits",G96*(1+Inputs!D$11),IF($E96="Per Student",G96*H$4/G$4*(1+Inputs!D$12),IF($E96="Enrollment",G96*H$4/G$4,IF($E96="Tuition Index",G96*H$5/G$5,IF($E96="% of Salaries",IF($G$6=0,0,$G96/$G$6*H$6),IF($E96="Debt",$G96*Inputs!D$15/12,IF($E96="Reserve Yield",Inputs!D$13*Inputs!D$16,IF($E96="Trend",IF(ISNUMBER(Trend!$Q135),Trend!$Q135,G96),G96))))))))))))</f>
        <v>8961</v>
      </c>
      <c r="I96" s="11" t="n">
        <f aca="false">IF($E96="Manual",M96,IF($E96="Flat",H96,IF($E96="Inflation",H96*(1+Inputs!E$12),IF($E96="Salary",H96*(1+Inputs!E$10),IF($E96="Benefits",H96*(1+Inputs!E$11),IF($E96="Per Student",H96*I$4/H$4*(1+Inputs!E$12),IF($E96="Enrollment",H96*I$4/H$4,IF($E96="Tuition Index",H96*I$5/H$5,IF($E96="% of Salaries",IF($G$6=0,0,$G96/$G$6*I$6),IF($E96="Debt",$G96*Inputs!E$15/12,IF($E96="Reserve Yield",Inputs!E$13*Inputs!E$16,IF($E96="Trend",H96*(1+Inputs!E$12),H96))))))))))))</f>
        <v>9229.83</v>
      </c>
      <c r="J96" s="11" t="n">
        <f aca="false">IF($E96="Manual",N96,IF($E96="Flat",I96,IF($E96="Inflation",I96*(1+Inputs!F$12),IF($E96="Salary",I96*(1+Inputs!F$10),IF($E96="Benefits",I96*(1+Inputs!F$11),IF($E96="Per Student",I96*J$4/I$4*(1+Inputs!F$12),IF($E96="Enrollment",I96*J$4/I$4,IF($E96="Tuition Index",I96*J$5/I$5,IF($E96="% of Salaries",IF($G$6=0,0,$G96/$G$6*J$6),IF($E96="Debt",$G96*Inputs!F$15/12,IF($E96="Reserve Yield",Inputs!F$13*Inputs!F$16,IF($E96="Trend",I96*(1+Inputs!F$12),I96))))))))))))</f>
        <v>9506.7249</v>
      </c>
      <c r="K96" s="11" t="n">
        <f aca="false">IF($E96="Manual",O96,IF($E96="Flat",J96,IF($E96="Inflation",J96*(1+Inputs!G$12),IF($E96="Salary",J96*(1+Inputs!G$10),IF($E96="Benefits",J96*(1+Inputs!G$11),IF($E96="Per Student",J96*K$4/J$4*(1+Inputs!G$12),IF($E96="Enrollment",J96*K$4/J$4,IF($E96="Tuition Index",J96*K$5/J$5,IF($E96="% of Salaries",IF($G$6=0,0,$G96/$G$6*K$6),IF($E96="Debt",$G96*Inputs!G$15/12,IF($E96="Reserve Yield",Inputs!G$13*Inputs!G$16,IF($E96="Trend",J96*(1+Inputs!G$12),J96))))))))))))</f>
        <v>9791.926647</v>
      </c>
      <c r="L96" s="22"/>
      <c r="M96" s="22"/>
      <c r="N96" s="22"/>
      <c r="O96" s="22"/>
    </row>
    <row r="97" customFormat="false" ht="15" hidden="false" customHeight="false" outlineLevel="0" collapsed="false">
      <c r="A97" s="6" t="s">
        <v>295</v>
      </c>
      <c r="B97" s="6" t="s">
        <v>15</v>
      </c>
      <c r="C97" s="30" t="s">
        <v>369</v>
      </c>
      <c r="D97" s="6" t="s">
        <v>370</v>
      </c>
      <c r="E97" s="20" t="s">
        <v>330</v>
      </c>
      <c r="F97" s="20" t="s">
        <v>132</v>
      </c>
      <c r="G97" s="31" t="n">
        <f aca="false">SUMIFS('QB Import'!$B$1:$B$600,'QB Import'!$H$1:$H$600,$C97,'QB Import'!$G$1:$G$600,1)</f>
        <v>2000</v>
      </c>
      <c r="H97" s="11" t="n">
        <f aca="false">IF($E97="Manual",L97,IF($E97="Flat",G97,IF($E97="Inflation",G97*(1+Inputs!D$12),IF($E97="Salary",G97*(1+Inputs!D$10),IF($E97="Benefits",G97*(1+Inputs!D$11),IF($E97="Per Student",G97*H$4/G$4*(1+Inputs!D$12),IF($E97="Enrollment",G97*H$4/G$4,IF($E97="Tuition Index",G97*H$5/G$5,IF($E97="% of Salaries",IF($G$6=0,0,$G97/$G$6*H$6),IF($E97="Debt",$G97*Inputs!D$15/12,IF($E97="Reserve Yield",Inputs!D$13*Inputs!D$16,IF($E97="Trend",IF(ISNUMBER(Trend!$Q136),Trend!$Q136,G97),G97))))))))))))</f>
        <v>2060</v>
      </c>
      <c r="I97" s="11" t="n">
        <f aca="false">IF($E97="Manual",M97,IF($E97="Flat",H97,IF($E97="Inflation",H97*(1+Inputs!E$12),IF($E97="Salary",H97*(1+Inputs!E$10),IF($E97="Benefits",H97*(1+Inputs!E$11),IF($E97="Per Student",H97*I$4/H$4*(1+Inputs!E$12),IF($E97="Enrollment",H97*I$4/H$4,IF($E97="Tuition Index",H97*I$5/H$5,IF($E97="% of Salaries",IF($G$6=0,0,$G97/$G$6*I$6),IF($E97="Debt",$G97*Inputs!E$15/12,IF($E97="Reserve Yield",Inputs!E$13*Inputs!E$16,IF($E97="Trend",H97*(1+Inputs!E$12),H97))))))))))))</f>
        <v>2121.8</v>
      </c>
      <c r="J97" s="11" t="n">
        <f aca="false">IF($E97="Manual",N97,IF($E97="Flat",I97,IF($E97="Inflation",I97*(1+Inputs!F$12),IF($E97="Salary",I97*(1+Inputs!F$10),IF($E97="Benefits",I97*(1+Inputs!F$11),IF($E97="Per Student",I97*J$4/I$4*(1+Inputs!F$12),IF($E97="Enrollment",I97*J$4/I$4,IF($E97="Tuition Index",I97*J$5/I$5,IF($E97="% of Salaries",IF($G$6=0,0,$G97/$G$6*J$6),IF($E97="Debt",$G97*Inputs!F$15/12,IF($E97="Reserve Yield",Inputs!F$13*Inputs!F$16,IF($E97="Trend",I97*(1+Inputs!F$12),I97))))))))))))</f>
        <v>2185.454</v>
      </c>
      <c r="K97" s="11" t="n">
        <f aca="false">IF($E97="Manual",O97,IF($E97="Flat",J97,IF($E97="Inflation",J97*(1+Inputs!G$12),IF($E97="Salary",J97*(1+Inputs!G$10),IF($E97="Benefits",J97*(1+Inputs!G$11),IF($E97="Per Student",J97*K$4/J$4*(1+Inputs!G$12),IF($E97="Enrollment",J97*K$4/J$4,IF($E97="Tuition Index",J97*K$5/J$5,IF($E97="% of Salaries",IF($G$6=0,0,$G97/$G$6*K$6),IF($E97="Debt",$G97*Inputs!G$15/12,IF($E97="Reserve Yield",Inputs!G$13*Inputs!G$16,IF($E97="Trend",J97*(1+Inputs!G$12),J97))))))))))))</f>
        <v>2251.01762</v>
      </c>
      <c r="L97" s="22"/>
      <c r="M97" s="22"/>
      <c r="N97" s="22"/>
      <c r="O97" s="22"/>
    </row>
    <row r="98" customFormat="false" ht="15" hidden="false" customHeight="false" outlineLevel="0" collapsed="false">
      <c r="A98" s="6" t="s">
        <v>295</v>
      </c>
      <c r="B98" s="6" t="s">
        <v>15</v>
      </c>
      <c r="C98" s="30" t="s">
        <v>371</v>
      </c>
      <c r="D98" s="6" t="s">
        <v>372</v>
      </c>
      <c r="E98" s="20" t="s">
        <v>330</v>
      </c>
      <c r="F98" s="20" t="s">
        <v>132</v>
      </c>
      <c r="G98" s="31" t="n">
        <f aca="false">SUMIFS('QB Import'!$B$1:$B$600,'QB Import'!$H$1:$H$600,$C98,'QB Import'!$G$1:$G$600,1)</f>
        <v>2000</v>
      </c>
      <c r="H98" s="11" t="n">
        <f aca="false">IF($E98="Manual",L98,IF($E98="Flat",G98,IF($E98="Inflation",G98*(1+Inputs!D$12),IF($E98="Salary",G98*(1+Inputs!D$10),IF($E98="Benefits",G98*(1+Inputs!D$11),IF($E98="Per Student",G98*H$4/G$4*(1+Inputs!D$12),IF($E98="Enrollment",G98*H$4/G$4,IF($E98="Tuition Index",G98*H$5/G$5,IF($E98="% of Salaries",IF($G$6=0,0,$G98/$G$6*H$6),IF($E98="Debt",$G98*Inputs!D$15/12,IF($E98="Reserve Yield",Inputs!D$13*Inputs!D$16,IF($E98="Trend",IF(ISNUMBER(Trend!$Q137),Trend!$Q137,G98),G98))))))))))))</f>
        <v>2060</v>
      </c>
      <c r="I98" s="11" t="n">
        <f aca="false">IF($E98="Manual",M98,IF($E98="Flat",H98,IF($E98="Inflation",H98*(1+Inputs!E$12),IF($E98="Salary",H98*(1+Inputs!E$10),IF($E98="Benefits",H98*(1+Inputs!E$11),IF($E98="Per Student",H98*I$4/H$4*(1+Inputs!E$12),IF($E98="Enrollment",H98*I$4/H$4,IF($E98="Tuition Index",H98*I$5/H$5,IF($E98="% of Salaries",IF($G$6=0,0,$G98/$G$6*I$6),IF($E98="Debt",$G98*Inputs!E$15/12,IF($E98="Reserve Yield",Inputs!E$13*Inputs!E$16,IF($E98="Trend",H98*(1+Inputs!E$12),H98))))))))))))</f>
        <v>2121.8</v>
      </c>
      <c r="J98" s="11" t="n">
        <f aca="false">IF($E98="Manual",N98,IF($E98="Flat",I98,IF($E98="Inflation",I98*(1+Inputs!F$12),IF($E98="Salary",I98*(1+Inputs!F$10),IF($E98="Benefits",I98*(1+Inputs!F$11),IF($E98="Per Student",I98*J$4/I$4*(1+Inputs!F$12),IF($E98="Enrollment",I98*J$4/I$4,IF($E98="Tuition Index",I98*J$5/I$5,IF($E98="% of Salaries",IF($G$6=0,0,$G98/$G$6*J$6),IF($E98="Debt",$G98*Inputs!F$15/12,IF($E98="Reserve Yield",Inputs!F$13*Inputs!F$16,IF($E98="Trend",I98*(1+Inputs!F$12),I98))))))))))))</f>
        <v>2185.454</v>
      </c>
      <c r="K98" s="11" t="n">
        <f aca="false">IF($E98="Manual",O98,IF($E98="Flat",J98,IF($E98="Inflation",J98*(1+Inputs!G$12),IF($E98="Salary",J98*(1+Inputs!G$10),IF($E98="Benefits",J98*(1+Inputs!G$11),IF($E98="Per Student",J98*K$4/J$4*(1+Inputs!G$12),IF($E98="Enrollment",J98*K$4/J$4,IF($E98="Tuition Index",J98*K$5/J$5,IF($E98="% of Salaries",IF($G$6=0,0,$G98/$G$6*K$6),IF($E98="Debt",$G98*Inputs!G$15/12,IF($E98="Reserve Yield",Inputs!G$13*Inputs!G$16,IF($E98="Trend",J98*(1+Inputs!G$12),J98))))))))))))</f>
        <v>2251.01762</v>
      </c>
      <c r="L98" s="22"/>
      <c r="M98" s="22"/>
      <c r="N98" s="22"/>
      <c r="O98" s="22"/>
    </row>
    <row r="99" customFormat="false" ht="15" hidden="false" customHeight="false" outlineLevel="0" collapsed="false">
      <c r="A99" s="6" t="s">
        <v>295</v>
      </c>
      <c r="B99" s="6" t="s">
        <v>15</v>
      </c>
      <c r="C99" s="30" t="s">
        <v>373</v>
      </c>
      <c r="D99" s="6" t="s">
        <v>374</v>
      </c>
      <c r="E99" s="20" t="s">
        <v>200</v>
      </c>
      <c r="F99" s="20" t="s">
        <v>132</v>
      </c>
      <c r="G99" s="31" t="n">
        <f aca="false">SUMIFS('QB Import'!$B$1:$B$600,'QB Import'!$H$1:$H$600,$C99,'QB Import'!$G$1:$G$600,1)</f>
        <v>0</v>
      </c>
      <c r="H99" s="11" t="n">
        <f aca="false">IF($E99="Manual",L99,IF($E99="Flat",G99,IF($E99="Inflation",G99*(1+Inputs!D$12),IF($E99="Salary",G99*(1+Inputs!D$10),IF($E99="Benefits",G99*(1+Inputs!D$11),IF($E99="Per Student",G99*H$4/G$4*(1+Inputs!D$12),IF($E99="Enrollment",G99*H$4/G$4,IF($E99="Tuition Index",G99*H$5/G$5,IF($E99="% of Salaries",IF($G$6=0,0,$G99/$G$6*H$6),IF($E99="Debt",$G99*Inputs!D$15/12,IF($E99="Reserve Yield",Inputs!D$13*Inputs!D$16,IF($E99="Trend",IF(ISNUMBER(Trend!$Q138),Trend!$Q138,G99),G99))))))))))))</f>
        <v>0</v>
      </c>
      <c r="I99" s="11" t="n">
        <f aca="false">IF($E99="Manual",M99,IF($E99="Flat",H99,IF($E99="Inflation",H99*(1+Inputs!E$12),IF($E99="Salary",H99*(1+Inputs!E$10),IF($E99="Benefits",H99*(1+Inputs!E$11),IF($E99="Per Student",H99*I$4/H$4*(1+Inputs!E$12),IF($E99="Enrollment",H99*I$4/H$4,IF($E99="Tuition Index",H99*I$5/H$5,IF($E99="% of Salaries",IF($G$6=0,0,$G99/$G$6*I$6),IF($E99="Debt",$G99*Inputs!E$15/12,IF($E99="Reserve Yield",Inputs!E$13*Inputs!E$16,IF($E99="Trend",H99*(1+Inputs!E$12),H99))))))))))))</f>
        <v>0</v>
      </c>
      <c r="J99" s="11" t="n">
        <f aca="false">IF($E99="Manual",N99,IF($E99="Flat",I99,IF($E99="Inflation",I99*(1+Inputs!F$12),IF($E99="Salary",I99*(1+Inputs!F$10),IF($E99="Benefits",I99*(1+Inputs!F$11),IF($E99="Per Student",I99*J$4/I$4*(1+Inputs!F$12),IF($E99="Enrollment",I99*J$4/I$4,IF($E99="Tuition Index",I99*J$5/I$5,IF($E99="% of Salaries",IF($G$6=0,0,$G99/$G$6*J$6),IF($E99="Debt",$G99*Inputs!F$15/12,IF($E99="Reserve Yield",Inputs!F$13*Inputs!F$16,IF($E99="Trend",I99*(1+Inputs!F$12),I99))))))))))))</f>
        <v>0</v>
      </c>
      <c r="K99" s="11" t="n">
        <f aca="false">IF($E99="Manual",O99,IF($E99="Flat",J99,IF($E99="Inflation",J99*(1+Inputs!G$12),IF($E99="Salary",J99*(1+Inputs!G$10),IF($E99="Benefits",J99*(1+Inputs!G$11),IF($E99="Per Student",J99*K$4/J$4*(1+Inputs!G$12),IF($E99="Enrollment",J99*K$4/J$4,IF($E99="Tuition Index",J99*K$5/J$5,IF($E99="% of Salaries",IF($G$6=0,0,$G99/$G$6*K$6),IF($E99="Debt",$G99*Inputs!G$15/12,IF($E99="Reserve Yield",Inputs!G$13*Inputs!G$16,IF($E99="Trend",J99*(1+Inputs!G$12),J99))))))))))))</f>
        <v>0</v>
      </c>
      <c r="L99" s="22"/>
      <c r="M99" s="22"/>
      <c r="N99" s="22"/>
      <c r="O99" s="22"/>
    </row>
    <row r="100" customFormat="false" ht="15" hidden="false" customHeight="false" outlineLevel="0" collapsed="false">
      <c r="A100" s="6" t="s">
        <v>295</v>
      </c>
      <c r="B100" s="6" t="s">
        <v>15</v>
      </c>
      <c r="C100" s="30" t="s">
        <v>375</v>
      </c>
      <c r="D100" s="6" t="s">
        <v>376</v>
      </c>
      <c r="E100" s="20" t="s">
        <v>200</v>
      </c>
      <c r="F100" s="20" t="s">
        <v>132</v>
      </c>
      <c r="G100" s="31" t="n">
        <f aca="false">SUMIFS('QB Import'!$B$1:$B$600,'QB Import'!$H$1:$H$600,$C100,'QB Import'!$G$1:$G$600,1)</f>
        <v>0</v>
      </c>
      <c r="H100" s="11" t="n">
        <f aca="false">IF($E100="Manual",L100,IF($E100="Flat",G100,IF($E100="Inflation",G100*(1+Inputs!D$12),IF($E100="Salary",G100*(1+Inputs!D$10),IF($E100="Benefits",G100*(1+Inputs!D$11),IF($E100="Per Student",G100*H$4/G$4*(1+Inputs!D$12),IF($E100="Enrollment",G100*H$4/G$4,IF($E100="Tuition Index",G100*H$5/G$5,IF($E100="% of Salaries",IF($G$6=0,0,$G100/$G$6*H$6),IF($E100="Debt",$G100*Inputs!D$15/12,IF($E100="Reserve Yield",Inputs!D$13*Inputs!D$16,IF($E100="Trend",IF(ISNUMBER(Trend!$Q139),Trend!$Q139,G100),G100))))))))))))</f>
        <v>0</v>
      </c>
      <c r="I100" s="11" t="n">
        <f aca="false">IF($E100="Manual",M100,IF($E100="Flat",H100,IF($E100="Inflation",H100*(1+Inputs!E$12),IF($E100="Salary",H100*(1+Inputs!E$10),IF($E100="Benefits",H100*(1+Inputs!E$11),IF($E100="Per Student",H100*I$4/H$4*(1+Inputs!E$12),IF($E100="Enrollment",H100*I$4/H$4,IF($E100="Tuition Index",H100*I$5/H$5,IF($E100="% of Salaries",IF($G$6=0,0,$G100/$G$6*I$6),IF($E100="Debt",$G100*Inputs!E$15/12,IF($E100="Reserve Yield",Inputs!E$13*Inputs!E$16,IF($E100="Trend",H100*(1+Inputs!E$12),H100))))))))))))</f>
        <v>0</v>
      </c>
      <c r="J100" s="11" t="n">
        <f aca="false">IF($E100="Manual",N100,IF($E100="Flat",I100,IF($E100="Inflation",I100*(1+Inputs!F$12),IF($E100="Salary",I100*(1+Inputs!F$10),IF($E100="Benefits",I100*(1+Inputs!F$11),IF($E100="Per Student",I100*J$4/I$4*(1+Inputs!F$12),IF($E100="Enrollment",I100*J$4/I$4,IF($E100="Tuition Index",I100*J$5/I$5,IF($E100="% of Salaries",IF($G$6=0,0,$G100/$G$6*J$6),IF($E100="Debt",$G100*Inputs!F$15/12,IF($E100="Reserve Yield",Inputs!F$13*Inputs!F$16,IF($E100="Trend",I100*(1+Inputs!F$12),I100))))))))))))</f>
        <v>0</v>
      </c>
      <c r="K100" s="11" t="n">
        <f aca="false">IF($E100="Manual",O100,IF($E100="Flat",J100,IF($E100="Inflation",J100*(1+Inputs!G$12),IF($E100="Salary",J100*(1+Inputs!G$10),IF($E100="Benefits",J100*(1+Inputs!G$11),IF($E100="Per Student",J100*K$4/J$4*(1+Inputs!G$12),IF($E100="Enrollment",J100*K$4/J$4,IF($E100="Tuition Index",J100*K$5/J$5,IF($E100="% of Salaries",IF($G$6=0,0,$G100/$G$6*K$6),IF($E100="Debt",$G100*Inputs!G$15/12,IF($E100="Reserve Yield",Inputs!G$13*Inputs!G$16,IF($E100="Trend",J100*(1+Inputs!G$12),J100))))))))))))</f>
        <v>0</v>
      </c>
      <c r="L100" s="22"/>
      <c r="M100" s="22"/>
      <c r="N100" s="22"/>
      <c r="O100" s="22"/>
    </row>
    <row r="101" customFormat="false" ht="15" hidden="false" customHeight="false" outlineLevel="0" collapsed="false">
      <c r="A101" s="6" t="s">
        <v>295</v>
      </c>
      <c r="B101" s="6" t="s">
        <v>15</v>
      </c>
      <c r="C101" s="30" t="s">
        <v>377</v>
      </c>
      <c r="D101" s="6" t="s">
        <v>378</v>
      </c>
      <c r="E101" s="20" t="s">
        <v>200</v>
      </c>
      <c r="F101" s="20" t="s">
        <v>132</v>
      </c>
      <c r="G101" s="31" t="n">
        <f aca="false">SUMIFS('QB Import'!$B$1:$B$600,'QB Import'!$H$1:$H$600,$C101,'QB Import'!$G$1:$G$600,1)</f>
        <v>0</v>
      </c>
      <c r="H101" s="11" t="n">
        <f aca="false">IF($E101="Manual",L101,IF($E101="Flat",G101,IF($E101="Inflation",G101*(1+Inputs!D$12),IF($E101="Salary",G101*(1+Inputs!D$10),IF($E101="Benefits",G101*(1+Inputs!D$11),IF($E101="Per Student",G101*H$4/G$4*(1+Inputs!D$12),IF($E101="Enrollment",G101*H$4/G$4,IF($E101="Tuition Index",G101*H$5/G$5,IF($E101="% of Salaries",IF($G$6=0,0,$G101/$G$6*H$6),IF($E101="Debt",$G101*Inputs!D$15/12,IF($E101="Reserve Yield",Inputs!D$13*Inputs!D$16,IF($E101="Trend",IF(ISNUMBER(Trend!$Q140),Trend!$Q140,G101),G101))))))))))))</f>
        <v>0</v>
      </c>
      <c r="I101" s="11" t="n">
        <f aca="false">IF($E101="Manual",M101,IF($E101="Flat",H101,IF($E101="Inflation",H101*(1+Inputs!E$12),IF($E101="Salary",H101*(1+Inputs!E$10),IF($E101="Benefits",H101*(1+Inputs!E$11),IF($E101="Per Student",H101*I$4/H$4*(1+Inputs!E$12),IF($E101="Enrollment",H101*I$4/H$4,IF($E101="Tuition Index",H101*I$5/H$5,IF($E101="% of Salaries",IF($G$6=0,0,$G101/$G$6*I$6),IF($E101="Debt",$G101*Inputs!E$15/12,IF($E101="Reserve Yield",Inputs!E$13*Inputs!E$16,IF($E101="Trend",H101*(1+Inputs!E$12),H101))))))))))))</f>
        <v>0</v>
      </c>
      <c r="J101" s="11" t="n">
        <f aca="false">IF($E101="Manual",N101,IF($E101="Flat",I101,IF($E101="Inflation",I101*(1+Inputs!F$12),IF($E101="Salary",I101*(1+Inputs!F$10),IF($E101="Benefits",I101*(1+Inputs!F$11),IF($E101="Per Student",I101*J$4/I$4*(1+Inputs!F$12),IF($E101="Enrollment",I101*J$4/I$4,IF($E101="Tuition Index",I101*J$5/I$5,IF($E101="% of Salaries",IF($G$6=0,0,$G101/$G$6*J$6),IF($E101="Debt",$G101*Inputs!F$15/12,IF($E101="Reserve Yield",Inputs!F$13*Inputs!F$16,IF($E101="Trend",I101*(1+Inputs!F$12),I101))))))))))))</f>
        <v>0</v>
      </c>
      <c r="K101" s="11" t="n">
        <f aca="false">IF($E101="Manual",O101,IF($E101="Flat",J101,IF($E101="Inflation",J101*(1+Inputs!G$12),IF($E101="Salary",J101*(1+Inputs!G$10),IF($E101="Benefits",J101*(1+Inputs!G$11),IF($E101="Per Student",J101*K$4/J$4*(1+Inputs!G$12),IF($E101="Enrollment",J101*K$4/J$4,IF($E101="Tuition Index",J101*K$5/J$5,IF($E101="% of Salaries",IF($G$6=0,0,$G101/$G$6*K$6),IF($E101="Debt",$G101*Inputs!G$15/12,IF($E101="Reserve Yield",Inputs!G$13*Inputs!G$16,IF($E101="Trend",J101*(1+Inputs!G$12),J101))))))))))))</f>
        <v>0</v>
      </c>
      <c r="L101" s="22"/>
      <c r="M101" s="22"/>
      <c r="N101" s="22"/>
      <c r="O101" s="22"/>
    </row>
    <row r="102" customFormat="false" ht="15" hidden="false" customHeight="false" outlineLevel="0" collapsed="false">
      <c r="A102" s="6" t="s">
        <v>295</v>
      </c>
      <c r="B102" s="6" t="s">
        <v>15</v>
      </c>
      <c r="C102" s="30" t="s">
        <v>379</v>
      </c>
      <c r="D102" s="6" t="s">
        <v>380</v>
      </c>
      <c r="E102" s="20" t="s">
        <v>330</v>
      </c>
      <c r="F102" s="20" t="s">
        <v>132</v>
      </c>
      <c r="G102" s="31" t="n">
        <f aca="false">SUMIFS('QB Import'!$B$1:$B$600,'QB Import'!$H$1:$H$600,$C102,'QB Import'!$G$1:$G$600,1)</f>
        <v>1500</v>
      </c>
      <c r="H102" s="11" t="n">
        <f aca="false">IF($E102="Manual",L102,IF($E102="Flat",G102,IF($E102="Inflation",G102*(1+Inputs!D$12),IF($E102="Salary",G102*(1+Inputs!D$10),IF($E102="Benefits",G102*(1+Inputs!D$11),IF($E102="Per Student",G102*H$4/G$4*(1+Inputs!D$12),IF($E102="Enrollment",G102*H$4/G$4,IF($E102="Tuition Index",G102*H$5/G$5,IF($E102="% of Salaries",IF($G$6=0,0,$G102/$G$6*H$6),IF($E102="Debt",$G102*Inputs!D$15/12,IF($E102="Reserve Yield",Inputs!D$13*Inputs!D$16,IF($E102="Trend",IF(ISNUMBER(Trend!$Q141),Trend!$Q141,G102),G102))))))))))))</f>
        <v>1545</v>
      </c>
      <c r="I102" s="11" t="n">
        <f aca="false">IF($E102="Manual",M102,IF($E102="Flat",H102,IF($E102="Inflation",H102*(1+Inputs!E$12),IF($E102="Salary",H102*(1+Inputs!E$10),IF($E102="Benefits",H102*(1+Inputs!E$11),IF($E102="Per Student",H102*I$4/H$4*(1+Inputs!E$12),IF($E102="Enrollment",H102*I$4/H$4,IF($E102="Tuition Index",H102*I$5/H$5,IF($E102="% of Salaries",IF($G$6=0,0,$G102/$G$6*I$6),IF($E102="Debt",$G102*Inputs!E$15/12,IF($E102="Reserve Yield",Inputs!E$13*Inputs!E$16,IF($E102="Trend",H102*(1+Inputs!E$12),H102))))))))))))</f>
        <v>1591.35</v>
      </c>
      <c r="J102" s="11" t="n">
        <f aca="false">IF($E102="Manual",N102,IF($E102="Flat",I102,IF($E102="Inflation",I102*(1+Inputs!F$12),IF($E102="Salary",I102*(1+Inputs!F$10),IF($E102="Benefits",I102*(1+Inputs!F$11),IF($E102="Per Student",I102*J$4/I$4*(1+Inputs!F$12),IF($E102="Enrollment",I102*J$4/I$4,IF($E102="Tuition Index",I102*J$5/I$5,IF($E102="% of Salaries",IF($G$6=0,0,$G102/$G$6*J$6),IF($E102="Debt",$G102*Inputs!F$15/12,IF($E102="Reserve Yield",Inputs!F$13*Inputs!F$16,IF($E102="Trend",I102*(1+Inputs!F$12),I102))))))))))))</f>
        <v>1639.0905</v>
      </c>
      <c r="K102" s="11" t="n">
        <f aca="false">IF($E102="Manual",O102,IF($E102="Flat",J102,IF($E102="Inflation",J102*(1+Inputs!G$12),IF($E102="Salary",J102*(1+Inputs!G$10),IF($E102="Benefits",J102*(1+Inputs!G$11),IF($E102="Per Student",J102*K$4/J$4*(1+Inputs!G$12),IF($E102="Enrollment",J102*K$4/J$4,IF($E102="Tuition Index",J102*K$5/J$5,IF($E102="% of Salaries",IF($G$6=0,0,$G102/$G$6*K$6),IF($E102="Debt",$G102*Inputs!G$15/12,IF($E102="Reserve Yield",Inputs!G$13*Inputs!G$16,IF($E102="Trend",J102*(1+Inputs!G$12),J102))))))))))))</f>
        <v>1688.263215</v>
      </c>
      <c r="L102" s="22"/>
      <c r="M102" s="22"/>
      <c r="N102" s="22"/>
      <c r="O102" s="22"/>
    </row>
    <row r="103" customFormat="false" ht="15" hidden="false" customHeight="false" outlineLevel="0" collapsed="false">
      <c r="A103" s="6" t="s">
        <v>295</v>
      </c>
      <c r="B103" s="6" t="s">
        <v>15</v>
      </c>
      <c r="C103" s="30" t="s">
        <v>381</v>
      </c>
      <c r="D103" s="6" t="s">
        <v>382</v>
      </c>
      <c r="E103" s="20" t="s">
        <v>200</v>
      </c>
      <c r="F103" s="20" t="s">
        <v>132</v>
      </c>
      <c r="G103" s="31" t="n">
        <f aca="false">SUMIFS('QB Import'!$B$1:$B$600,'QB Import'!$H$1:$H$600,$C103,'QB Import'!$G$1:$G$600,1)</f>
        <v>0</v>
      </c>
      <c r="H103" s="11" t="n">
        <f aca="false">IF($E103="Manual",L103,IF($E103="Flat",G103,IF($E103="Inflation",G103*(1+Inputs!D$12),IF($E103="Salary",G103*(1+Inputs!D$10),IF($E103="Benefits",G103*(1+Inputs!D$11),IF($E103="Per Student",G103*H$4/G$4*(1+Inputs!D$12),IF($E103="Enrollment",G103*H$4/G$4,IF($E103="Tuition Index",G103*H$5/G$5,IF($E103="% of Salaries",IF($G$6=0,0,$G103/$G$6*H$6),IF($E103="Debt",$G103*Inputs!D$15/12,IF($E103="Reserve Yield",Inputs!D$13*Inputs!D$16,IF($E103="Trend",IF(ISNUMBER(Trend!$Q142),Trend!$Q142,G103),G103))))))))))))</f>
        <v>0</v>
      </c>
      <c r="I103" s="11" t="n">
        <f aca="false">IF($E103="Manual",M103,IF($E103="Flat",H103,IF($E103="Inflation",H103*(1+Inputs!E$12),IF($E103="Salary",H103*(1+Inputs!E$10),IF($E103="Benefits",H103*(1+Inputs!E$11),IF($E103="Per Student",H103*I$4/H$4*(1+Inputs!E$12),IF($E103="Enrollment",H103*I$4/H$4,IF($E103="Tuition Index",H103*I$5/H$5,IF($E103="% of Salaries",IF($G$6=0,0,$G103/$G$6*I$6),IF($E103="Debt",$G103*Inputs!E$15/12,IF($E103="Reserve Yield",Inputs!E$13*Inputs!E$16,IF($E103="Trend",H103*(1+Inputs!E$12),H103))))))))))))</f>
        <v>0</v>
      </c>
      <c r="J103" s="11" t="n">
        <f aca="false">IF($E103="Manual",N103,IF($E103="Flat",I103,IF($E103="Inflation",I103*(1+Inputs!F$12),IF($E103="Salary",I103*(1+Inputs!F$10),IF($E103="Benefits",I103*(1+Inputs!F$11),IF($E103="Per Student",I103*J$4/I$4*(1+Inputs!F$12),IF($E103="Enrollment",I103*J$4/I$4,IF($E103="Tuition Index",I103*J$5/I$5,IF($E103="% of Salaries",IF($G$6=0,0,$G103/$G$6*J$6),IF($E103="Debt",$G103*Inputs!F$15/12,IF($E103="Reserve Yield",Inputs!F$13*Inputs!F$16,IF($E103="Trend",I103*(1+Inputs!F$12),I103))))))))))))</f>
        <v>0</v>
      </c>
      <c r="K103" s="11" t="n">
        <f aca="false">IF($E103="Manual",O103,IF($E103="Flat",J103,IF($E103="Inflation",J103*(1+Inputs!G$12),IF($E103="Salary",J103*(1+Inputs!G$10),IF($E103="Benefits",J103*(1+Inputs!G$11),IF($E103="Per Student",J103*K$4/J$4*(1+Inputs!G$12),IF($E103="Enrollment",J103*K$4/J$4,IF($E103="Tuition Index",J103*K$5/J$5,IF($E103="% of Salaries",IF($G$6=0,0,$G103/$G$6*K$6),IF($E103="Debt",$G103*Inputs!G$15/12,IF($E103="Reserve Yield",Inputs!G$13*Inputs!G$16,IF($E103="Trend",J103*(1+Inputs!G$12),J103))))))))))))</f>
        <v>0</v>
      </c>
      <c r="L103" s="22"/>
      <c r="M103" s="22"/>
      <c r="N103" s="22"/>
      <c r="O103" s="22"/>
    </row>
    <row r="104" customFormat="false" ht="15" hidden="false" customHeight="false" outlineLevel="0" collapsed="false">
      <c r="A104" s="6" t="s">
        <v>295</v>
      </c>
      <c r="B104" s="6" t="s">
        <v>15</v>
      </c>
      <c r="C104" s="30" t="s">
        <v>383</v>
      </c>
      <c r="D104" s="6" t="s">
        <v>384</v>
      </c>
      <c r="E104" s="20" t="s">
        <v>330</v>
      </c>
      <c r="F104" s="20" t="s">
        <v>132</v>
      </c>
      <c r="G104" s="31" t="n">
        <f aca="false">SUMIFS('QB Import'!$B$1:$B$600,'QB Import'!$H$1:$H$600,$C104,'QB Import'!$G$1:$G$600,1)</f>
        <v>29700</v>
      </c>
      <c r="H104" s="11" t="n">
        <f aca="false">IF($E104="Manual",L104,IF($E104="Flat",G104,IF($E104="Inflation",G104*(1+Inputs!D$12),IF($E104="Salary",G104*(1+Inputs!D$10),IF($E104="Benefits",G104*(1+Inputs!D$11),IF($E104="Per Student",G104*H$4/G$4*(1+Inputs!D$12),IF($E104="Enrollment",G104*H$4/G$4,IF($E104="Tuition Index",G104*H$5/G$5,IF($E104="% of Salaries",IF($G$6=0,0,$G104/$G$6*H$6),IF($E104="Debt",$G104*Inputs!D$15/12,IF($E104="Reserve Yield",Inputs!D$13*Inputs!D$16,IF($E104="Trend",IF(ISNUMBER(Trend!$Q143),Trend!$Q143,G104),G104))))))))))))</f>
        <v>30591</v>
      </c>
      <c r="I104" s="11" t="n">
        <f aca="false">IF($E104="Manual",M104,IF($E104="Flat",H104,IF($E104="Inflation",H104*(1+Inputs!E$12),IF($E104="Salary",H104*(1+Inputs!E$10),IF($E104="Benefits",H104*(1+Inputs!E$11),IF($E104="Per Student",H104*I$4/H$4*(1+Inputs!E$12),IF($E104="Enrollment",H104*I$4/H$4,IF($E104="Tuition Index",H104*I$5/H$5,IF($E104="% of Salaries",IF($G$6=0,0,$G104/$G$6*I$6),IF($E104="Debt",$G104*Inputs!E$15/12,IF($E104="Reserve Yield",Inputs!E$13*Inputs!E$16,IF($E104="Trend",H104*(1+Inputs!E$12),H104))))))))))))</f>
        <v>31508.73</v>
      </c>
      <c r="J104" s="11" t="n">
        <f aca="false">IF($E104="Manual",N104,IF($E104="Flat",I104,IF($E104="Inflation",I104*(1+Inputs!F$12),IF($E104="Salary",I104*(1+Inputs!F$10),IF($E104="Benefits",I104*(1+Inputs!F$11),IF($E104="Per Student",I104*J$4/I$4*(1+Inputs!F$12),IF($E104="Enrollment",I104*J$4/I$4,IF($E104="Tuition Index",I104*J$5/I$5,IF($E104="% of Salaries",IF($G$6=0,0,$G104/$G$6*J$6),IF($E104="Debt",$G104*Inputs!F$15/12,IF($E104="Reserve Yield",Inputs!F$13*Inputs!F$16,IF($E104="Trend",I104*(1+Inputs!F$12),I104))))))))))))</f>
        <v>32453.9919</v>
      </c>
      <c r="K104" s="11" t="n">
        <f aca="false">IF($E104="Manual",O104,IF($E104="Flat",J104,IF($E104="Inflation",J104*(1+Inputs!G$12),IF($E104="Salary",J104*(1+Inputs!G$10),IF($E104="Benefits",J104*(1+Inputs!G$11),IF($E104="Per Student",J104*K$4/J$4*(1+Inputs!G$12),IF($E104="Enrollment",J104*K$4/J$4,IF($E104="Tuition Index",J104*K$5/J$5,IF($E104="% of Salaries",IF($G$6=0,0,$G104/$G$6*K$6),IF($E104="Debt",$G104*Inputs!G$15/12,IF($E104="Reserve Yield",Inputs!G$13*Inputs!G$16,IF($E104="Trend",J104*(1+Inputs!G$12),J104))))))))))))</f>
        <v>33427.611657</v>
      </c>
      <c r="L104" s="22"/>
      <c r="M104" s="22"/>
      <c r="N104" s="22"/>
      <c r="O104" s="22"/>
    </row>
    <row r="105" customFormat="false" ht="15" hidden="false" customHeight="false" outlineLevel="0" collapsed="false">
      <c r="A105" s="6" t="s">
        <v>295</v>
      </c>
      <c r="B105" s="6" t="s">
        <v>15</v>
      </c>
      <c r="C105" s="30" t="s">
        <v>385</v>
      </c>
      <c r="D105" s="6" t="s">
        <v>386</v>
      </c>
      <c r="E105" s="20" t="s">
        <v>200</v>
      </c>
      <c r="F105" s="20" t="s">
        <v>132</v>
      </c>
      <c r="G105" s="31" t="n">
        <f aca="false">SUMIFS('QB Import'!$B$1:$B$600,'QB Import'!$H$1:$H$600,$C105,'QB Import'!$G$1:$G$600,1)</f>
        <v>0</v>
      </c>
      <c r="H105" s="11" t="n">
        <f aca="false">IF($E105="Manual",L105,IF($E105="Flat",G105,IF($E105="Inflation",G105*(1+Inputs!D$12),IF($E105="Salary",G105*(1+Inputs!D$10),IF($E105="Benefits",G105*(1+Inputs!D$11),IF($E105="Per Student",G105*H$4/G$4*(1+Inputs!D$12),IF($E105="Enrollment",G105*H$4/G$4,IF($E105="Tuition Index",G105*H$5/G$5,IF($E105="% of Salaries",IF($G$6=0,0,$G105/$G$6*H$6),IF($E105="Debt",$G105*Inputs!D$15/12,IF($E105="Reserve Yield",Inputs!D$13*Inputs!D$16,IF($E105="Trend",IF(ISNUMBER(Trend!$Q144),Trend!$Q144,G105),G105))))))))))))</f>
        <v>0</v>
      </c>
      <c r="I105" s="11" t="n">
        <f aca="false">IF($E105="Manual",M105,IF($E105="Flat",H105,IF($E105="Inflation",H105*(1+Inputs!E$12),IF($E105="Salary",H105*(1+Inputs!E$10),IF($E105="Benefits",H105*(1+Inputs!E$11),IF($E105="Per Student",H105*I$4/H$4*(1+Inputs!E$12),IF($E105="Enrollment",H105*I$4/H$4,IF($E105="Tuition Index",H105*I$5/H$5,IF($E105="% of Salaries",IF($G$6=0,0,$G105/$G$6*I$6),IF($E105="Debt",$G105*Inputs!E$15/12,IF($E105="Reserve Yield",Inputs!E$13*Inputs!E$16,IF($E105="Trend",H105*(1+Inputs!E$12),H105))))))))))))</f>
        <v>0</v>
      </c>
      <c r="J105" s="11" t="n">
        <f aca="false">IF($E105="Manual",N105,IF($E105="Flat",I105,IF($E105="Inflation",I105*(1+Inputs!F$12),IF($E105="Salary",I105*(1+Inputs!F$10),IF($E105="Benefits",I105*(1+Inputs!F$11),IF($E105="Per Student",I105*J$4/I$4*(1+Inputs!F$12),IF($E105="Enrollment",I105*J$4/I$4,IF($E105="Tuition Index",I105*J$5/I$5,IF($E105="% of Salaries",IF($G$6=0,0,$G105/$G$6*J$6),IF($E105="Debt",$G105*Inputs!F$15/12,IF($E105="Reserve Yield",Inputs!F$13*Inputs!F$16,IF($E105="Trend",I105*(1+Inputs!F$12),I105))))))))))))</f>
        <v>0</v>
      </c>
      <c r="K105" s="11" t="n">
        <f aca="false">IF($E105="Manual",O105,IF($E105="Flat",J105,IF($E105="Inflation",J105*(1+Inputs!G$12),IF($E105="Salary",J105*(1+Inputs!G$10),IF($E105="Benefits",J105*(1+Inputs!G$11),IF($E105="Per Student",J105*K$4/J$4*(1+Inputs!G$12),IF($E105="Enrollment",J105*K$4/J$4,IF($E105="Tuition Index",J105*K$5/J$5,IF($E105="% of Salaries",IF($G$6=0,0,$G105/$G$6*K$6),IF($E105="Debt",$G105*Inputs!G$15/12,IF($E105="Reserve Yield",Inputs!G$13*Inputs!G$16,IF($E105="Trend",J105*(1+Inputs!G$12),J105))))))))))))</f>
        <v>0</v>
      </c>
      <c r="L105" s="22"/>
      <c r="M105" s="22"/>
      <c r="N105" s="22"/>
      <c r="O105" s="22"/>
    </row>
    <row r="106" customFormat="false" ht="15" hidden="false" customHeight="false" outlineLevel="0" collapsed="false">
      <c r="A106" s="6" t="s">
        <v>295</v>
      </c>
      <c r="B106" s="6" t="s">
        <v>15</v>
      </c>
      <c r="C106" s="30" t="s">
        <v>387</v>
      </c>
      <c r="D106" s="6" t="s">
        <v>388</v>
      </c>
      <c r="E106" s="20" t="s">
        <v>200</v>
      </c>
      <c r="F106" s="20" t="s">
        <v>132</v>
      </c>
      <c r="G106" s="31" t="n">
        <f aca="false">SUMIFS('QB Import'!$B$1:$B$600,'QB Import'!$H$1:$H$600,$C106,'QB Import'!$G$1:$G$600,1)</f>
        <v>0</v>
      </c>
      <c r="H106" s="11" t="n">
        <f aca="false">IF($E106="Manual",L106,IF($E106="Flat",G106,IF($E106="Inflation",G106*(1+Inputs!D$12),IF($E106="Salary",G106*(1+Inputs!D$10),IF($E106="Benefits",G106*(1+Inputs!D$11),IF($E106="Per Student",G106*H$4/G$4*(1+Inputs!D$12),IF($E106="Enrollment",G106*H$4/G$4,IF($E106="Tuition Index",G106*H$5/G$5,IF($E106="% of Salaries",IF($G$6=0,0,$G106/$G$6*H$6),IF($E106="Debt",$G106*Inputs!D$15/12,IF($E106="Reserve Yield",Inputs!D$13*Inputs!D$16,IF($E106="Trend",IF(ISNUMBER(Trend!$Q145),Trend!$Q145,G106),G106))))))))))))</f>
        <v>0</v>
      </c>
      <c r="I106" s="11" t="n">
        <f aca="false">IF($E106="Manual",M106,IF($E106="Flat",H106,IF($E106="Inflation",H106*(1+Inputs!E$12),IF($E106="Salary",H106*(1+Inputs!E$10),IF($E106="Benefits",H106*(1+Inputs!E$11),IF($E106="Per Student",H106*I$4/H$4*(1+Inputs!E$12),IF($E106="Enrollment",H106*I$4/H$4,IF($E106="Tuition Index",H106*I$5/H$5,IF($E106="% of Salaries",IF($G$6=0,0,$G106/$G$6*I$6),IF($E106="Debt",$G106*Inputs!E$15/12,IF($E106="Reserve Yield",Inputs!E$13*Inputs!E$16,IF($E106="Trend",H106*(1+Inputs!E$12),H106))))))))))))</f>
        <v>0</v>
      </c>
      <c r="J106" s="11" t="n">
        <f aca="false">IF($E106="Manual",N106,IF($E106="Flat",I106,IF($E106="Inflation",I106*(1+Inputs!F$12),IF($E106="Salary",I106*(1+Inputs!F$10),IF($E106="Benefits",I106*(1+Inputs!F$11),IF($E106="Per Student",I106*J$4/I$4*(1+Inputs!F$12),IF($E106="Enrollment",I106*J$4/I$4,IF($E106="Tuition Index",I106*J$5/I$5,IF($E106="% of Salaries",IF($G$6=0,0,$G106/$G$6*J$6),IF($E106="Debt",$G106*Inputs!F$15/12,IF($E106="Reserve Yield",Inputs!F$13*Inputs!F$16,IF($E106="Trend",I106*(1+Inputs!F$12),I106))))))))))))</f>
        <v>0</v>
      </c>
      <c r="K106" s="11" t="n">
        <f aca="false">IF($E106="Manual",O106,IF($E106="Flat",J106,IF($E106="Inflation",J106*(1+Inputs!G$12),IF($E106="Salary",J106*(1+Inputs!G$10),IF($E106="Benefits",J106*(1+Inputs!G$11),IF($E106="Per Student",J106*K$4/J$4*(1+Inputs!G$12),IF($E106="Enrollment",J106*K$4/J$4,IF($E106="Tuition Index",J106*K$5/J$5,IF($E106="% of Salaries",IF($G$6=0,0,$G106/$G$6*K$6),IF($E106="Debt",$G106*Inputs!G$15/12,IF($E106="Reserve Yield",Inputs!G$13*Inputs!G$16,IF($E106="Trend",J106*(1+Inputs!G$12),J106))))))))))))</f>
        <v>0</v>
      </c>
      <c r="L106" s="22"/>
      <c r="M106" s="22"/>
      <c r="N106" s="22"/>
      <c r="O106" s="22"/>
    </row>
    <row r="107" customFormat="false" ht="15" hidden="false" customHeight="false" outlineLevel="0" collapsed="false">
      <c r="A107" s="6" t="s">
        <v>295</v>
      </c>
      <c r="B107" s="6" t="s">
        <v>15</v>
      </c>
      <c r="C107" s="30" t="s">
        <v>389</v>
      </c>
      <c r="D107" s="6" t="s">
        <v>390</v>
      </c>
      <c r="E107" s="20" t="s">
        <v>330</v>
      </c>
      <c r="F107" s="20" t="s">
        <v>132</v>
      </c>
      <c r="G107" s="31" t="n">
        <f aca="false">SUMIFS('QB Import'!$B$1:$B$600,'QB Import'!$H$1:$H$600,$C107,'QB Import'!$G$1:$G$600,1)</f>
        <v>1000</v>
      </c>
      <c r="H107" s="11" t="n">
        <f aca="false">IF($E107="Manual",L107,IF($E107="Flat",G107,IF($E107="Inflation",G107*(1+Inputs!D$12),IF($E107="Salary",G107*(1+Inputs!D$10),IF($E107="Benefits",G107*(1+Inputs!D$11),IF($E107="Per Student",G107*H$4/G$4*(1+Inputs!D$12),IF($E107="Enrollment",G107*H$4/G$4,IF($E107="Tuition Index",G107*H$5/G$5,IF($E107="% of Salaries",IF($G$6=0,0,$G107/$G$6*H$6),IF($E107="Debt",$G107*Inputs!D$15/12,IF($E107="Reserve Yield",Inputs!D$13*Inputs!D$16,IF($E107="Trend",IF(ISNUMBER(Trend!$Q146),Trend!$Q146,G107),G107))))))))))))</f>
        <v>1030</v>
      </c>
      <c r="I107" s="11" t="n">
        <f aca="false">IF($E107="Manual",M107,IF($E107="Flat",H107,IF($E107="Inflation",H107*(1+Inputs!E$12),IF($E107="Salary",H107*(1+Inputs!E$10),IF($E107="Benefits",H107*(1+Inputs!E$11),IF($E107="Per Student",H107*I$4/H$4*(1+Inputs!E$12),IF($E107="Enrollment",H107*I$4/H$4,IF($E107="Tuition Index",H107*I$5/H$5,IF($E107="% of Salaries",IF($G$6=0,0,$G107/$G$6*I$6),IF($E107="Debt",$G107*Inputs!E$15/12,IF($E107="Reserve Yield",Inputs!E$13*Inputs!E$16,IF($E107="Trend",H107*(1+Inputs!E$12),H107))))))))))))</f>
        <v>1060.9</v>
      </c>
      <c r="J107" s="11" t="n">
        <f aca="false">IF($E107="Manual",N107,IF($E107="Flat",I107,IF($E107="Inflation",I107*(1+Inputs!F$12),IF($E107="Salary",I107*(1+Inputs!F$10),IF($E107="Benefits",I107*(1+Inputs!F$11),IF($E107="Per Student",I107*J$4/I$4*(1+Inputs!F$12),IF($E107="Enrollment",I107*J$4/I$4,IF($E107="Tuition Index",I107*J$5/I$5,IF($E107="% of Salaries",IF($G$6=0,0,$G107/$G$6*J$6),IF($E107="Debt",$G107*Inputs!F$15/12,IF($E107="Reserve Yield",Inputs!F$13*Inputs!F$16,IF($E107="Trend",I107*(1+Inputs!F$12),I107))))))))))))</f>
        <v>1092.727</v>
      </c>
      <c r="K107" s="11" t="n">
        <f aca="false">IF($E107="Manual",O107,IF($E107="Flat",J107,IF($E107="Inflation",J107*(1+Inputs!G$12),IF($E107="Salary",J107*(1+Inputs!G$10),IF($E107="Benefits",J107*(1+Inputs!G$11),IF($E107="Per Student",J107*K$4/J$4*(1+Inputs!G$12),IF($E107="Enrollment",J107*K$4/J$4,IF($E107="Tuition Index",J107*K$5/J$5,IF($E107="% of Salaries",IF($G$6=0,0,$G107/$G$6*K$6),IF($E107="Debt",$G107*Inputs!G$15/12,IF($E107="Reserve Yield",Inputs!G$13*Inputs!G$16,IF($E107="Trend",J107*(1+Inputs!G$12),J107))))))))))))</f>
        <v>1125.50881</v>
      </c>
      <c r="L107" s="22"/>
      <c r="M107" s="22"/>
      <c r="N107" s="22"/>
      <c r="O107" s="22"/>
    </row>
    <row r="108" customFormat="false" ht="15" hidden="false" customHeight="false" outlineLevel="0" collapsed="false">
      <c r="A108" s="6" t="s">
        <v>295</v>
      </c>
      <c r="B108" s="6" t="s">
        <v>15</v>
      </c>
      <c r="C108" s="30" t="s">
        <v>391</v>
      </c>
      <c r="D108" s="6" t="s">
        <v>392</v>
      </c>
      <c r="E108" s="20" t="s">
        <v>330</v>
      </c>
      <c r="F108" s="20" t="s">
        <v>132</v>
      </c>
      <c r="G108" s="31" t="n">
        <f aca="false">SUMIFS('QB Import'!$B$1:$B$600,'QB Import'!$H$1:$H$600,$C108,'QB Import'!$G$1:$G$600,1)</f>
        <v>7000</v>
      </c>
      <c r="H108" s="11" t="n">
        <f aca="false">IF($E108="Manual",L108,IF($E108="Flat",G108,IF($E108="Inflation",G108*(1+Inputs!D$12),IF($E108="Salary",G108*(1+Inputs!D$10),IF($E108="Benefits",G108*(1+Inputs!D$11),IF($E108="Per Student",G108*H$4/G$4*(1+Inputs!D$12),IF($E108="Enrollment",G108*H$4/G$4,IF($E108="Tuition Index",G108*H$5/G$5,IF($E108="% of Salaries",IF($G$6=0,0,$G108/$G$6*H$6),IF($E108="Debt",$G108*Inputs!D$15/12,IF($E108="Reserve Yield",Inputs!D$13*Inputs!D$16,IF($E108="Trend",IF(ISNUMBER(Trend!$Q147),Trend!$Q147,G108),G108))))))))))))</f>
        <v>7210</v>
      </c>
      <c r="I108" s="11" t="n">
        <f aca="false">IF($E108="Manual",M108,IF($E108="Flat",H108,IF($E108="Inflation",H108*(1+Inputs!E$12),IF($E108="Salary",H108*(1+Inputs!E$10),IF($E108="Benefits",H108*(1+Inputs!E$11),IF($E108="Per Student",H108*I$4/H$4*(1+Inputs!E$12),IF($E108="Enrollment",H108*I$4/H$4,IF($E108="Tuition Index",H108*I$5/H$5,IF($E108="% of Salaries",IF($G$6=0,0,$G108/$G$6*I$6),IF($E108="Debt",$G108*Inputs!E$15/12,IF($E108="Reserve Yield",Inputs!E$13*Inputs!E$16,IF($E108="Trend",H108*(1+Inputs!E$12),H108))))))))))))</f>
        <v>7426.3</v>
      </c>
      <c r="J108" s="11" t="n">
        <f aca="false">IF($E108="Manual",N108,IF($E108="Flat",I108,IF($E108="Inflation",I108*(1+Inputs!F$12),IF($E108="Salary",I108*(1+Inputs!F$10),IF($E108="Benefits",I108*(1+Inputs!F$11),IF($E108="Per Student",I108*J$4/I$4*(1+Inputs!F$12),IF($E108="Enrollment",I108*J$4/I$4,IF($E108="Tuition Index",I108*J$5/I$5,IF($E108="% of Salaries",IF($G$6=0,0,$G108/$G$6*J$6),IF($E108="Debt",$G108*Inputs!F$15/12,IF($E108="Reserve Yield",Inputs!F$13*Inputs!F$16,IF($E108="Trend",I108*(1+Inputs!F$12),I108))))))))))))</f>
        <v>7649.089</v>
      </c>
      <c r="K108" s="11" t="n">
        <f aca="false">IF($E108="Manual",O108,IF($E108="Flat",J108,IF($E108="Inflation",J108*(1+Inputs!G$12),IF($E108="Salary",J108*(1+Inputs!G$10),IF($E108="Benefits",J108*(1+Inputs!G$11),IF($E108="Per Student",J108*K$4/J$4*(1+Inputs!G$12),IF($E108="Enrollment",J108*K$4/J$4,IF($E108="Tuition Index",J108*K$5/J$5,IF($E108="% of Salaries",IF($G$6=0,0,$G108/$G$6*K$6),IF($E108="Debt",$G108*Inputs!G$15/12,IF($E108="Reserve Yield",Inputs!G$13*Inputs!G$16,IF($E108="Trend",J108*(1+Inputs!G$12),J108))))))))))))</f>
        <v>7878.56167</v>
      </c>
      <c r="L108" s="22"/>
      <c r="M108" s="22"/>
      <c r="N108" s="22"/>
      <c r="O108" s="22"/>
    </row>
    <row r="109" customFormat="false" ht="15" hidden="false" customHeight="false" outlineLevel="0" collapsed="false">
      <c r="A109" s="6" t="s">
        <v>295</v>
      </c>
      <c r="B109" s="6" t="s">
        <v>15</v>
      </c>
      <c r="C109" s="30" t="s">
        <v>393</v>
      </c>
      <c r="D109" s="6" t="s">
        <v>393</v>
      </c>
      <c r="E109" s="20" t="s">
        <v>330</v>
      </c>
      <c r="F109" s="20" t="s">
        <v>132</v>
      </c>
      <c r="G109" s="31" t="n">
        <f aca="false">SUMIFS('QB Import'!$B$1:$B$600,'QB Import'!$H$1:$H$600,$C109,'QB Import'!$G$1:$G$600,1)</f>
        <v>5000</v>
      </c>
      <c r="H109" s="11" t="n">
        <f aca="false">IF($E109="Manual",L109,IF($E109="Flat",G109,IF($E109="Inflation",G109*(1+Inputs!D$12),IF($E109="Salary",G109*(1+Inputs!D$10),IF($E109="Benefits",G109*(1+Inputs!D$11),IF($E109="Per Student",G109*H$4/G$4*(1+Inputs!D$12),IF($E109="Enrollment",G109*H$4/G$4,IF($E109="Tuition Index",G109*H$5/G$5,IF($E109="% of Salaries",IF($G$6=0,0,$G109/$G$6*H$6),IF($E109="Debt",$G109*Inputs!D$15/12,IF($E109="Reserve Yield",Inputs!D$13*Inputs!D$16,IF($E109="Trend",IF(ISNUMBER(Trend!$Q148),Trend!$Q148,G109),G109))))))))))))</f>
        <v>5150</v>
      </c>
      <c r="I109" s="11" t="n">
        <f aca="false">IF($E109="Manual",M109,IF($E109="Flat",H109,IF($E109="Inflation",H109*(1+Inputs!E$12),IF($E109="Salary",H109*(1+Inputs!E$10),IF($E109="Benefits",H109*(1+Inputs!E$11),IF($E109="Per Student",H109*I$4/H$4*(1+Inputs!E$12),IF($E109="Enrollment",H109*I$4/H$4,IF($E109="Tuition Index",H109*I$5/H$5,IF($E109="% of Salaries",IF($G$6=0,0,$G109/$G$6*I$6),IF($E109="Debt",$G109*Inputs!E$15/12,IF($E109="Reserve Yield",Inputs!E$13*Inputs!E$16,IF($E109="Trend",H109*(1+Inputs!E$12),H109))))))))))))</f>
        <v>5304.5</v>
      </c>
      <c r="J109" s="11" t="n">
        <f aca="false">IF($E109="Manual",N109,IF($E109="Flat",I109,IF($E109="Inflation",I109*(1+Inputs!F$12),IF($E109="Salary",I109*(1+Inputs!F$10),IF($E109="Benefits",I109*(1+Inputs!F$11),IF($E109="Per Student",I109*J$4/I$4*(1+Inputs!F$12),IF($E109="Enrollment",I109*J$4/I$4,IF($E109="Tuition Index",I109*J$5/I$5,IF($E109="% of Salaries",IF($G$6=0,0,$G109/$G$6*J$6),IF($E109="Debt",$G109*Inputs!F$15/12,IF($E109="Reserve Yield",Inputs!F$13*Inputs!F$16,IF($E109="Trend",I109*(1+Inputs!F$12),I109))))))))))))</f>
        <v>5463.635</v>
      </c>
      <c r="K109" s="11" t="n">
        <f aca="false">IF($E109="Manual",O109,IF($E109="Flat",J109,IF($E109="Inflation",J109*(1+Inputs!G$12),IF($E109="Salary",J109*(1+Inputs!G$10),IF($E109="Benefits",J109*(1+Inputs!G$11),IF($E109="Per Student",J109*K$4/J$4*(1+Inputs!G$12),IF($E109="Enrollment",J109*K$4/J$4,IF($E109="Tuition Index",J109*K$5/J$5,IF($E109="% of Salaries",IF($G$6=0,0,$G109/$G$6*K$6),IF($E109="Debt",$G109*Inputs!G$15/12,IF($E109="Reserve Yield",Inputs!G$13*Inputs!G$16,IF($E109="Trend",J109*(1+Inputs!G$12),J109))))))))))))</f>
        <v>5627.54405</v>
      </c>
      <c r="L109" s="22"/>
      <c r="M109" s="22"/>
      <c r="N109" s="22"/>
      <c r="O109" s="22"/>
    </row>
    <row r="110" customFormat="false" ht="15" hidden="false" customHeight="false" outlineLevel="0" collapsed="false">
      <c r="A110" s="6" t="s">
        <v>295</v>
      </c>
      <c r="B110" s="6" t="s">
        <v>15</v>
      </c>
      <c r="C110" s="30" t="s">
        <v>394</v>
      </c>
      <c r="D110" s="6" t="s">
        <v>395</v>
      </c>
      <c r="E110" s="20" t="s">
        <v>200</v>
      </c>
      <c r="F110" s="20" t="s">
        <v>132</v>
      </c>
      <c r="G110" s="31" t="n">
        <f aca="false">SUMIFS('QB Import'!$B$1:$B$600,'QB Import'!$H$1:$H$600,$C110,'QB Import'!$G$1:$G$600,1)</f>
        <v>0</v>
      </c>
      <c r="H110" s="11" t="n">
        <f aca="false">IF($E110="Manual",L110,IF($E110="Flat",G110,IF($E110="Inflation",G110*(1+Inputs!D$12),IF($E110="Salary",G110*(1+Inputs!D$10),IF($E110="Benefits",G110*(1+Inputs!D$11),IF($E110="Per Student",G110*H$4/G$4*(1+Inputs!D$12),IF($E110="Enrollment",G110*H$4/G$4,IF($E110="Tuition Index",G110*H$5/G$5,IF($E110="% of Salaries",IF($G$6=0,0,$G110/$G$6*H$6),IF($E110="Debt",$G110*Inputs!D$15/12,IF($E110="Reserve Yield",Inputs!D$13*Inputs!D$16,IF($E110="Trend",IF(ISNUMBER(Trend!$Q149),Trend!$Q149,G110),G110))))))))))))</f>
        <v>0</v>
      </c>
      <c r="I110" s="11" t="n">
        <f aca="false">IF($E110="Manual",M110,IF($E110="Flat",H110,IF($E110="Inflation",H110*(1+Inputs!E$12),IF($E110="Salary",H110*(1+Inputs!E$10),IF($E110="Benefits",H110*(1+Inputs!E$11),IF($E110="Per Student",H110*I$4/H$4*(1+Inputs!E$12),IF($E110="Enrollment",H110*I$4/H$4,IF($E110="Tuition Index",H110*I$5/H$5,IF($E110="% of Salaries",IF($G$6=0,0,$G110/$G$6*I$6),IF($E110="Debt",$G110*Inputs!E$15/12,IF($E110="Reserve Yield",Inputs!E$13*Inputs!E$16,IF($E110="Trend",H110*(1+Inputs!E$12),H110))))))))))))</f>
        <v>0</v>
      </c>
      <c r="J110" s="11" t="n">
        <f aca="false">IF($E110="Manual",N110,IF($E110="Flat",I110,IF($E110="Inflation",I110*(1+Inputs!F$12),IF($E110="Salary",I110*(1+Inputs!F$10),IF($E110="Benefits",I110*(1+Inputs!F$11),IF($E110="Per Student",I110*J$4/I$4*(1+Inputs!F$12),IF($E110="Enrollment",I110*J$4/I$4,IF($E110="Tuition Index",I110*J$5/I$5,IF($E110="% of Salaries",IF($G$6=0,0,$G110/$G$6*J$6),IF($E110="Debt",$G110*Inputs!F$15/12,IF($E110="Reserve Yield",Inputs!F$13*Inputs!F$16,IF($E110="Trend",I110*(1+Inputs!F$12),I110))))))))))))</f>
        <v>0</v>
      </c>
      <c r="K110" s="11" t="n">
        <f aca="false">IF($E110="Manual",O110,IF($E110="Flat",J110,IF($E110="Inflation",J110*(1+Inputs!G$12),IF($E110="Salary",J110*(1+Inputs!G$10),IF($E110="Benefits",J110*(1+Inputs!G$11),IF($E110="Per Student",J110*K$4/J$4*(1+Inputs!G$12),IF($E110="Enrollment",J110*K$4/J$4,IF($E110="Tuition Index",J110*K$5/J$5,IF($E110="% of Salaries",IF($G$6=0,0,$G110/$G$6*K$6),IF($E110="Debt",$G110*Inputs!G$15/12,IF($E110="Reserve Yield",Inputs!G$13*Inputs!G$16,IF($E110="Trend",J110*(1+Inputs!G$12),J110))))))))))))</f>
        <v>0</v>
      </c>
      <c r="L110" s="22"/>
      <c r="M110" s="22"/>
      <c r="N110" s="22"/>
      <c r="O110" s="22"/>
    </row>
    <row r="111" customFormat="false" ht="15" hidden="false" customHeight="false" outlineLevel="0" collapsed="false">
      <c r="A111" s="6" t="s">
        <v>295</v>
      </c>
      <c r="B111" s="6" t="s">
        <v>15</v>
      </c>
      <c r="C111" s="30" t="s">
        <v>396</v>
      </c>
      <c r="D111" s="6" t="s">
        <v>397</v>
      </c>
      <c r="E111" s="20" t="s">
        <v>330</v>
      </c>
      <c r="F111" s="20" t="s">
        <v>132</v>
      </c>
      <c r="G111" s="31" t="n">
        <f aca="false">SUMIFS('QB Import'!$B$1:$B$600,'QB Import'!$H$1:$H$600,$C111,'QB Import'!$G$1:$G$600,1)</f>
        <v>10000</v>
      </c>
      <c r="H111" s="11" t="n">
        <f aca="false">IF($E111="Manual",L111,IF($E111="Flat",G111,IF($E111="Inflation",G111*(1+Inputs!D$12),IF($E111="Salary",G111*(1+Inputs!D$10),IF($E111="Benefits",G111*(1+Inputs!D$11),IF($E111="Per Student",G111*H$4/G$4*(1+Inputs!D$12),IF($E111="Enrollment",G111*H$4/G$4,IF($E111="Tuition Index",G111*H$5/G$5,IF($E111="% of Salaries",IF($G$6=0,0,$G111/$G$6*H$6),IF($E111="Debt",$G111*Inputs!D$15/12,IF($E111="Reserve Yield",Inputs!D$13*Inputs!D$16,IF($E111="Trend",IF(ISNUMBER(Trend!$Q150),Trend!$Q150,G111),G111))))))))))))</f>
        <v>10300</v>
      </c>
      <c r="I111" s="11" t="n">
        <f aca="false">IF($E111="Manual",M111,IF($E111="Flat",H111,IF($E111="Inflation",H111*(1+Inputs!E$12),IF($E111="Salary",H111*(1+Inputs!E$10),IF($E111="Benefits",H111*(1+Inputs!E$11),IF($E111="Per Student",H111*I$4/H$4*(1+Inputs!E$12),IF($E111="Enrollment",H111*I$4/H$4,IF($E111="Tuition Index",H111*I$5/H$5,IF($E111="% of Salaries",IF($G$6=0,0,$G111/$G$6*I$6),IF($E111="Debt",$G111*Inputs!E$15/12,IF($E111="Reserve Yield",Inputs!E$13*Inputs!E$16,IF($E111="Trend",H111*(1+Inputs!E$12),H111))))))))))))</f>
        <v>10609</v>
      </c>
      <c r="J111" s="11" t="n">
        <f aca="false">IF($E111="Manual",N111,IF($E111="Flat",I111,IF($E111="Inflation",I111*(1+Inputs!F$12),IF($E111="Salary",I111*(1+Inputs!F$10),IF($E111="Benefits",I111*(1+Inputs!F$11),IF($E111="Per Student",I111*J$4/I$4*(1+Inputs!F$12),IF($E111="Enrollment",I111*J$4/I$4,IF($E111="Tuition Index",I111*J$5/I$5,IF($E111="% of Salaries",IF($G$6=0,0,$G111/$G$6*J$6),IF($E111="Debt",$G111*Inputs!F$15/12,IF($E111="Reserve Yield",Inputs!F$13*Inputs!F$16,IF($E111="Trend",I111*(1+Inputs!F$12),I111))))))))))))</f>
        <v>10927.27</v>
      </c>
      <c r="K111" s="11" t="n">
        <f aca="false">IF($E111="Manual",O111,IF($E111="Flat",J111,IF($E111="Inflation",J111*(1+Inputs!G$12),IF($E111="Salary",J111*(1+Inputs!G$10),IF($E111="Benefits",J111*(1+Inputs!G$11),IF($E111="Per Student",J111*K$4/J$4*(1+Inputs!G$12),IF($E111="Enrollment",J111*K$4/J$4,IF($E111="Tuition Index",J111*K$5/J$5,IF($E111="% of Salaries",IF($G$6=0,0,$G111/$G$6*K$6),IF($E111="Debt",$G111*Inputs!G$15/12,IF($E111="Reserve Yield",Inputs!G$13*Inputs!G$16,IF($E111="Trend",J111*(1+Inputs!G$12),J111))))))))))))</f>
        <v>11255.0881</v>
      </c>
      <c r="L111" s="22"/>
      <c r="M111" s="22"/>
      <c r="N111" s="22"/>
      <c r="O111" s="22"/>
    </row>
    <row r="112" customFormat="false" ht="15" hidden="false" customHeight="false" outlineLevel="0" collapsed="false">
      <c r="A112" s="6" t="s">
        <v>295</v>
      </c>
      <c r="B112" s="6" t="s">
        <v>15</v>
      </c>
      <c r="C112" s="30" t="s">
        <v>398</v>
      </c>
      <c r="D112" s="6" t="s">
        <v>399</v>
      </c>
      <c r="E112" s="20" t="s">
        <v>200</v>
      </c>
      <c r="F112" s="20" t="s">
        <v>132</v>
      </c>
      <c r="G112" s="31" t="n">
        <f aca="false">SUMIFS('QB Import'!$B$1:$B$600,'QB Import'!$H$1:$H$600,$C112,'QB Import'!$G$1:$G$600,1)</f>
        <v>0</v>
      </c>
      <c r="H112" s="11" t="n">
        <f aca="false">IF($E112="Manual",L112,IF($E112="Flat",G112,IF($E112="Inflation",G112*(1+Inputs!D$12),IF($E112="Salary",G112*(1+Inputs!D$10),IF($E112="Benefits",G112*(1+Inputs!D$11),IF($E112="Per Student",G112*H$4/G$4*(1+Inputs!D$12),IF($E112="Enrollment",G112*H$4/G$4,IF($E112="Tuition Index",G112*H$5/G$5,IF($E112="% of Salaries",IF($G$6=0,0,$G112/$G$6*H$6),IF($E112="Debt",$G112*Inputs!D$15/12,IF($E112="Reserve Yield",Inputs!D$13*Inputs!D$16,IF($E112="Trend",IF(ISNUMBER(Trend!$Q151),Trend!$Q151,G112),G112))))))))))))</f>
        <v>0</v>
      </c>
      <c r="I112" s="11" t="n">
        <f aca="false">IF($E112="Manual",M112,IF($E112="Flat",H112,IF($E112="Inflation",H112*(1+Inputs!E$12),IF($E112="Salary",H112*(1+Inputs!E$10),IF($E112="Benefits",H112*(1+Inputs!E$11),IF($E112="Per Student",H112*I$4/H$4*(1+Inputs!E$12),IF($E112="Enrollment",H112*I$4/H$4,IF($E112="Tuition Index",H112*I$5/H$5,IF($E112="% of Salaries",IF($G$6=0,0,$G112/$G$6*I$6),IF($E112="Debt",$G112*Inputs!E$15/12,IF($E112="Reserve Yield",Inputs!E$13*Inputs!E$16,IF($E112="Trend",H112*(1+Inputs!E$12),H112))))))))))))</f>
        <v>0</v>
      </c>
      <c r="J112" s="11" t="n">
        <f aca="false">IF($E112="Manual",N112,IF($E112="Flat",I112,IF($E112="Inflation",I112*(1+Inputs!F$12),IF($E112="Salary",I112*(1+Inputs!F$10),IF($E112="Benefits",I112*(1+Inputs!F$11),IF($E112="Per Student",I112*J$4/I$4*(1+Inputs!F$12),IF($E112="Enrollment",I112*J$4/I$4,IF($E112="Tuition Index",I112*J$5/I$5,IF($E112="% of Salaries",IF($G$6=0,0,$G112/$G$6*J$6),IF($E112="Debt",$G112*Inputs!F$15/12,IF($E112="Reserve Yield",Inputs!F$13*Inputs!F$16,IF($E112="Trend",I112*(1+Inputs!F$12),I112))))))))))))</f>
        <v>0</v>
      </c>
      <c r="K112" s="11" t="n">
        <f aca="false">IF($E112="Manual",O112,IF($E112="Flat",J112,IF($E112="Inflation",J112*(1+Inputs!G$12),IF($E112="Salary",J112*(1+Inputs!G$10),IF($E112="Benefits",J112*(1+Inputs!G$11),IF($E112="Per Student",J112*K$4/J$4*(1+Inputs!G$12),IF($E112="Enrollment",J112*K$4/J$4,IF($E112="Tuition Index",J112*K$5/J$5,IF($E112="% of Salaries",IF($G$6=0,0,$G112/$G$6*K$6),IF($E112="Debt",$G112*Inputs!G$15/12,IF($E112="Reserve Yield",Inputs!G$13*Inputs!G$16,IF($E112="Trend",J112*(1+Inputs!G$12),J112))))))))))))</f>
        <v>0</v>
      </c>
      <c r="L112" s="22"/>
      <c r="M112" s="22"/>
      <c r="N112" s="22"/>
      <c r="O112" s="22"/>
    </row>
    <row r="113" customFormat="false" ht="15" hidden="false" customHeight="false" outlineLevel="0" collapsed="false">
      <c r="A113" s="6" t="s">
        <v>295</v>
      </c>
      <c r="B113" s="6" t="s">
        <v>15</v>
      </c>
      <c r="C113" s="30" t="s">
        <v>400</v>
      </c>
      <c r="D113" s="6" t="s">
        <v>401</v>
      </c>
      <c r="E113" s="20" t="s">
        <v>200</v>
      </c>
      <c r="F113" s="20" t="s">
        <v>132</v>
      </c>
      <c r="G113" s="31" t="n">
        <f aca="false">SUMIFS('QB Import'!$B$1:$B$600,'QB Import'!$H$1:$H$600,$C113,'QB Import'!$G$1:$G$600,1)</f>
        <v>0</v>
      </c>
      <c r="H113" s="11" t="n">
        <f aca="false">IF($E113="Manual",L113,IF($E113="Flat",G113,IF($E113="Inflation",G113*(1+Inputs!D$12),IF($E113="Salary",G113*(1+Inputs!D$10),IF($E113="Benefits",G113*(1+Inputs!D$11),IF($E113="Per Student",G113*H$4/G$4*(1+Inputs!D$12),IF($E113="Enrollment",G113*H$4/G$4,IF($E113="Tuition Index",G113*H$5/G$5,IF($E113="% of Salaries",IF($G$6=0,0,$G113/$G$6*H$6),IF($E113="Debt",$G113*Inputs!D$15/12,IF($E113="Reserve Yield",Inputs!D$13*Inputs!D$16,IF($E113="Trend",IF(ISNUMBER(Trend!$Q152),Trend!$Q152,G113),G113))))))))))))</f>
        <v>0</v>
      </c>
      <c r="I113" s="11" t="n">
        <f aca="false">IF($E113="Manual",M113,IF($E113="Flat",H113,IF($E113="Inflation",H113*(1+Inputs!E$12),IF($E113="Salary",H113*(1+Inputs!E$10),IF($E113="Benefits",H113*(1+Inputs!E$11),IF($E113="Per Student",H113*I$4/H$4*(1+Inputs!E$12),IF($E113="Enrollment",H113*I$4/H$4,IF($E113="Tuition Index",H113*I$5/H$5,IF($E113="% of Salaries",IF($G$6=0,0,$G113/$G$6*I$6),IF($E113="Debt",$G113*Inputs!E$15/12,IF($E113="Reserve Yield",Inputs!E$13*Inputs!E$16,IF($E113="Trend",H113*(1+Inputs!E$12),H113))))))))))))</f>
        <v>0</v>
      </c>
      <c r="J113" s="11" t="n">
        <f aca="false">IF($E113="Manual",N113,IF($E113="Flat",I113,IF($E113="Inflation",I113*(1+Inputs!F$12),IF($E113="Salary",I113*(1+Inputs!F$10),IF($E113="Benefits",I113*(1+Inputs!F$11),IF($E113="Per Student",I113*J$4/I$4*(1+Inputs!F$12),IF($E113="Enrollment",I113*J$4/I$4,IF($E113="Tuition Index",I113*J$5/I$5,IF($E113="% of Salaries",IF($G$6=0,0,$G113/$G$6*J$6),IF($E113="Debt",$G113*Inputs!F$15/12,IF($E113="Reserve Yield",Inputs!F$13*Inputs!F$16,IF($E113="Trend",I113*(1+Inputs!F$12),I113))))))))))))</f>
        <v>0</v>
      </c>
      <c r="K113" s="11" t="n">
        <f aca="false">IF($E113="Manual",O113,IF($E113="Flat",J113,IF($E113="Inflation",J113*(1+Inputs!G$12),IF($E113="Salary",J113*(1+Inputs!G$10),IF($E113="Benefits",J113*(1+Inputs!G$11),IF($E113="Per Student",J113*K$4/J$4*(1+Inputs!G$12),IF($E113="Enrollment",J113*K$4/J$4,IF($E113="Tuition Index",J113*K$5/J$5,IF($E113="% of Salaries",IF($G$6=0,0,$G113/$G$6*K$6),IF($E113="Debt",$G113*Inputs!G$15/12,IF($E113="Reserve Yield",Inputs!G$13*Inputs!G$16,IF($E113="Trend",J113*(1+Inputs!G$12),J113))))))))))))</f>
        <v>0</v>
      </c>
      <c r="L113" s="22"/>
      <c r="M113" s="22"/>
      <c r="N113" s="22"/>
      <c r="O113" s="22"/>
    </row>
    <row r="114" customFormat="false" ht="15" hidden="false" customHeight="false" outlineLevel="0" collapsed="false">
      <c r="A114" s="6" t="s">
        <v>295</v>
      </c>
      <c r="B114" s="6" t="s">
        <v>15</v>
      </c>
      <c r="C114" s="30" t="s">
        <v>402</v>
      </c>
      <c r="D114" s="6" t="s">
        <v>403</v>
      </c>
      <c r="E114" s="20" t="s">
        <v>200</v>
      </c>
      <c r="F114" s="20" t="s">
        <v>132</v>
      </c>
      <c r="G114" s="31" t="n">
        <f aca="false">SUMIFS('QB Import'!$B$1:$B$600,'QB Import'!$H$1:$H$600,$C114,'QB Import'!$G$1:$G$600,1)</f>
        <v>0</v>
      </c>
      <c r="H114" s="11" t="n">
        <f aca="false">IF($E114="Manual",L114,IF($E114="Flat",G114,IF($E114="Inflation",G114*(1+Inputs!D$12),IF($E114="Salary",G114*(1+Inputs!D$10),IF($E114="Benefits",G114*(1+Inputs!D$11),IF($E114="Per Student",G114*H$4/G$4*(1+Inputs!D$12),IF($E114="Enrollment",G114*H$4/G$4,IF($E114="Tuition Index",G114*H$5/G$5,IF($E114="% of Salaries",IF($G$6=0,0,$G114/$G$6*H$6),IF($E114="Debt",$G114*Inputs!D$15/12,IF($E114="Reserve Yield",Inputs!D$13*Inputs!D$16,IF($E114="Trend",IF(ISNUMBER(Trend!$Q153),Trend!$Q153,G114),G114))))))))))))</f>
        <v>0</v>
      </c>
      <c r="I114" s="11" t="n">
        <f aca="false">IF($E114="Manual",M114,IF($E114="Flat",H114,IF($E114="Inflation",H114*(1+Inputs!E$12),IF($E114="Salary",H114*(1+Inputs!E$10),IF($E114="Benefits",H114*(1+Inputs!E$11),IF($E114="Per Student",H114*I$4/H$4*(1+Inputs!E$12),IF($E114="Enrollment",H114*I$4/H$4,IF($E114="Tuition Index",H114*I$5/H$5,IF($E114="% of Salaries",IF($G$6=0,0,$G114/$G$6*I$6),IF($E114="Debt",$G114*Inputs!E$15/12,IF($E114="Reserve Yield",Inputs!E$13*Inputs!E$16,IF($E114="Trend",H114*(1+Inputs!E$12),H114))))))))))))</f>
        <v>0</v>
      </c>
      <c r="J114" s="11" t="n">
        <f aca="false">IF($E114="Manual",N114,IF($E114="Flat",I114,IF($E114="Inflation",I114*(1+Inputs!F$12),IF($E114="Salary",I114*(1+Inputs!F$10),IF($E114="Benefits",I114*(1+Inputs!F$11),IF($E114="Per Student",I114*J$4/I$4*(1+Inputs!F$12),IF($E114="Enrollment",I114*J$4/I$4,IF($E114="Tuition Index",I114*J$5/I$5,IF($E114="% of Salaries",IF($G$6=0,0,$G114/$G$6*J$6),IF($E114="Debt",$G114*Inputs!F$15/12,IF($E114="Reserve Yield",Inputs!F$13*Inputs!F$16,IF($E114="Trend",I114*(1+Inputs!F$12),I114))))))))))))</f>
        <v>0</v>
      </c>
      <c r="K114" s="11" t="n">
        <f aca="false">IF($E114="Manual",O114,IF($E114="Flat",J114,IF($E114="Inflation",J114*(1+Inputs!G$12),IF($E114="Salary",J114*(1+Inputs!G$10),IF($E114="Benefits",J114*(1+Inputs!G$11),IF($E114="Per Student",J114*K$4/J$4*(1+Inputs!G$12),IF($E114="Enrollment",J114*K$4/J$4,IF($E114="Tuition Index",J114*K$5/J$5,IF($E114="% of Salaries",IF($G$6=0,0,$G114/$G$6*K$6),IF($E114="Debt",$G114*Inputs!G$15/12,IF($E114="Reserve Yield",Inputs!G$13*Inputs!G$16,IF($E114="Trend",J114*(1+Inputs!G$12),J114))))))))))))</f>
        <v>0</v>
      </c>
      <c r="L114" s="22"/>
      <c r="M114" s="22"/>
      <c r="N114" s="22"/>
      <c r="O114" s="22"/>
    </row>
    <row r="115" customFormat="false" ht="15" hidden="false" customHeight="false" outlineLevel="0" collapsed="false">
      <c r="A115" s="6" t="s">
        <v>295</v>
      </c>
      <c r="B115" s="6" t="s">
        <v>15</v>
      </c>
      <c r="C115" s="30" t="s">
        <v>404</v>
      </c>
      <c r="D115" s="6" t="s">
        <v>405</v>
      </c>
      <c r="E115" s="20" t="s">
        <v>200</v>
      </c>
      <c r="F115" s="20" t="s">
        <v>132</v>
      </c>
      <c r="G115" s="31" t="n">
        <f aca="false">SUMIFS('QB Import'!$B$1:$B$600,'QB Import'!$H$1:$H$600,$C115,'QB Import'!$G$1:$G$600,1)</f>
        <v>0</v>
      </c>
      <c r="H115" s="11" t="n">
        <f aca="false">IF($E115="Manual",L115,IF($E115="Flat",G115,IF($E115="Inflation",G115*(1+Inputs!D$12),IF($E115="Salary",G115*(1+Inputs!D$10),IF($E115="Benefits",G115*(1+Inputs!D$11),IF($E115="Per Student",G115*H$4/G$4*(1+Inputs!D$12),IF($E115="Enrollment",G115*H$4/G$4,IF($E115="Tuition Index",G115*H$5/G$5,IF($E115="% of Salaries",IF($G$6=0,0,$G115/$G$6*H$6),IF($E115="Debt",$G115*Inputs!D$15/12,IF($E115="Reserve Yield",Inputs!D$13*Inputs!D$16,IF($E115="Trend",IF(ISNUMBER(Trend!$Q154),Trend!$Q154,G115),G115))))))))))))</f>
        <v>0</v>
      </c>
      <c r="I115" s="11" t="n">
        <f aca="false">IF($E115="Manual",M115,IF($E115="Flat",H115,IF($E115="Inflation",H115*(1+Inputs!E$12),IF($E115="Salary",H115*(1+Inputs!E$10),IF($E115="Benefits",H115*(1+Inputs!E$11),IF($E115="Per Student",H115*I$4/H$4*(1+Inputs!E$12),IF($E115="Enrollment",H115*I$4/H$4,IF($E115="Tuition Index",H115*I$5/H$5,IF($E115="% of Salaries",IF($G$6=0,0,$G115/$G$6*I$6),IF($E115="Debt",$G115*Inputs!E$15/12,IF($E115="Reserve Yield",Inputs!E$13*Inputs!E$16,IF($E115="Trend",H115*(1+Inputs!E$12),H115))))))))))))</f>
        <v>0</v>
      </c>
      <c r="J115" s="11" t="n">
        <f aca="false">IF($E115="Manual",N115,IF($E115="Flat",I115,IF($E115="Inflation",I115*(1+Inputs!F$12),IF($E115="Salary",I115*(1+Inputs!F$10),IF($E115="Benefits",I115*(1+Inputs!F$11),IF($E115="Per Student",I115*J$4/I$4*(1+Inputs!F$12),IF($E115="Enrollment",I115*J$4/I$4,IF($E115="Tuition Index",I115*J$5/I$5,IF($E115="% of Salaries",IF($G$6=0,0,$G115/$G$6*J$6),IF($E115="Debt",$G115*Inputs!F$15/12,IF($E115="Reserve Yield",Inputs!F$13*Inputs!F$16,IF($E115="Trend",I115*(1+Inputs!F$12),I115))))))))))))</f>
        <v>0</v>
      </c>
      <c r="K115" s="11" t="n">
        <f aca="false">IF($E115="Manual",O115,IF($E115="Flat",J115,IF($E115="Inflation",J115*(1+Inputs!G$12),IF($E115="Salary",J115*(1+Inputs!G$10),IF($E115="Benefits",J115*(1+Inputs!G$11),IF($E115="Per Student",J115*K$4/J$4*(1+Inputs!G$12),IF($E115="Enrollment",J115*K$4/J$4,IF($E115="Tuition Index",J115*K$5/J$5,IF($E115="% of Salaries",IF($G$6=0,0,$G115/$G$6*K$6),IF($E115="Debt",$G115*Inputs!G$15/12,IF($E115="Reserve Yield",Inputs!G$13*Inputs!G$16,IF($E115="Trend",J115*(1+Inputs!G$12),J115))))))))))))</f>
        <v>0</v>
      </c>
      <c r="L115" s="22"/>
      <c r="M115" s="22"/>
      <c r="N115" s="22"/>
      <c r="O115" s="22"/>
    </row>
    <row r="116" customFormat="false" ht="15" hidden="false" customHeight="false" outlineLevel="0" collapsed="false">
      <c r="A116" s="6" t="s">
        <v>295</v>
      </c>
      <c r="B116" s="6" t="s">
        <v>15</v>
      </c>
      <c r="C116" s="30" t="s">
        <v>406</v>
      </c>
      <c r="D116" s="6" t="s">
        <v>407</v>
      </c>
      <c r="E116" s="20" t="s">
        <v>200</v>
      </c>
      <c r="F116" s="20" t="s">
        <v>132</v>
      </c>
      <c r="G116" s="31" t="n">
        <f aca="false">SUMIFS('QB Import'!$B$1:$B$600,'QB Import'!$H$1:$H$600,$C116,'QB Import'!$G$1:$G$600,1)</f>
        <v>0</v>
      </c>
      <c r="H116" s="11" t="n">
        <f aca="false">IF($E116="Manual",L116,IF($E116="Flat",G116,IF($E116="Inflation",G116*(1+Inputs!D$12),IF($E116="Salary",G116*(1+Inputs!D$10),IF($E116="Benefits",G116*(1+Inputs!D$11),IF($E116="Per Student",G116*H$4/G$4*(1+Inputs!D$12),IF($E116="Enrollment",G116*H$4/G$4,IF($E116="Tuition Index",G116*H$5/G$5,IF($E116="% of Salaries",IF($G$6=0,0,$G116/$G$6*H$6),IF($E116="Debt",$G116*Inputs!D$15/12,IF($E116="Reserve Yield",Inputs!D$13*Inputs!D$16,IF($E116="Trend",IF(ISNUMBER(Trend!$Q155),Trend!$Q155,G116),G116))))))))))))</f>
        <v>0</v>
      </c>
      <c r="I116" s="11" t="n">
        <f aca="false">IF($E116="Manual",M116,IF($E116="Flat",H116,IF($E116="Inflation",H116*(1+Inputs!E$12),IF($E116="Salary",H116*(1+Inputs!E$10),IF($E116="Benefits",H116*(1+Inputs!E$11),IF($E116="Per Student",H116*I$4/H$4*(1+Inputs!E$12),IF($E116="Enrollment",H116*I$4/H$4,IF($E116="Tuition Index",H116*I$5/H$5,IF($E116="% of Salaries",IF($G$6=0,0,$G116/$G$6*I$6),IF($E116="Debt",$G116*Inputs!E$15/12,IF($E116="Reserve Yield",Inputs!E$13*Inputs!E$16,IF($E116="Trend",H116*(1+Inputs!E$12),H116))))))))))))</f>
        <v>0</v>
      </c>
      <c r="J116" s="11" t="n">
        <f aca="false">IF($E116="Manual",N116,IF($E116="Flat",I116,IF($E116="Inflation",I116*(1+Inputs!F$12),IF($E116="Salary",I116*(1+Inputs!F$10),IF($E116="Benefits",I116*(1+Inputs!F$11),IF($E116="Per Student",I116*J$4/I$4*(1+Inputs!F$12),IF($E116="Enrollment",I116*J$4/I$4,IF($E116="Tuition Index",I116*J$5/I$5,IF($E116="% of Salaries",IF($G$6=0,0,$G116/$G$6*J$6),IF($E116="Debt",$G116*Inputs!F$15/12,IF($E116="Reserve Yield",Inputs!F$13*Inputs!F$16,IF($E116="Trend",I116*(1+Inputs!F$12),I116))))))))))))</f>
        <v>0</v>
      </c>
      <c r="K116" s="11" t="n">
        <f aca="false">IF($E116="Manual",O116,IF($E116="Flat",J116,IF($E116="Inflation",J116*(1+Inputs!G$12),IF($E116="Salary",J116*(1+Inputs!G$10),IF($E116="Benefits",J116*(1+Inputs!G$11),IF($E116="Per Student",J116*K$4/J$4*(1+Inputs!G$12),IF($E116="Enrollment",J116*K$4/J$4,IF($E116="Tuition Index",J116*K$5/J$5,IF($E116="% of Salaries",IF($G$6=0,0,$G116/$G$6*K$6),IF($E116="Debt",$G116*Inputs!G$15/12,IF($E116="Reserve Yield",Inputs!G$13*Inputs!G$16,IF($E116="Trend",J116*(1+Inputs!G$12),J116))))))))))))</f>
        <v>0</v>
      </c>
      <c r="L116" s="22"/>
      <c r="M116" s="22"/>
      <c r="N116" s="22"/>
      <c r="O116" s="22"/>
    </row>
    <row r="117" customFormat="false" ht="15" hidden="false" customHeight="false" outlineLevel="0" collapsed="false">
      <c r="A117" s="6" t="s">
        <v>295</v>
      </c>
      <c r="B117" s="6" t="s">
        <v>16</v>
      </c>
      <c r="C117" s="30" t="s">
        <v>408</v>
      </c>
      <c r="D117" s="6" t="s">
        <v>408</v>
      </c>
      <c r="E117" s="20" t="s">
        <v>330</v>
      </c>
      <c r="F117" s="20" t="s">
        <v>132</v>
      </c>
      <c r="G117" s="31" t="n">
        <f aca="false">SUMIFS('QB Import'!$B$1:$B$600,'QB Import'!$H$1:$H$600,$C117,'QB Import'!$G$1:$G$600,1)</f>
        <v>45000</v>
      </c>
      <c r="H117" s="11" t="n">
        <f aca="false">IF($E117="Manual",L117,IF($E117="Flat",G117,IF($E117="Inflation",G117*(1+Inputs!D$12),IF($E117="Salary",G117*(1+Inputs!D$10),IF($E117="Benefits",G117*(1+Inputs!D$11),IF($E117="Per Student",G117*H$4/G$4*(1+Inputs!D$12),IF($E117="Enrollment",G117*H$4/G$4,IF($E117="Tuition Index",G117*H$5/G$5,IF($E117="% of Salaries",IF($G$6=0,0,$G117/$G$6*H$6),IF($E117="Debt",$G117*Inputs!D$15/12,IF($E117="Reserve Yield",Inputs!D$13*Inputs!D$16,IF($E117="Trend",IF(ISNUMBER(Trend!$Q156),Trend!$Q156,G117),G117))))))))))))</f>
        <v>46350</v>
      </c>
      <c r="I117" s="11" t="n">
        <f aca="false">IF($E117="Manual",M117,IF($E117="Flat",H117,IF($E117="Inflation",H117*(1+Inputs!E$12),IF($E117="Salary",H117*(1+Inputs!E$10),IF($E117="Benefits",H117*(1+Inputs!E$11),IF($E117="Per Student",H117*I$4/H$4*(1+Inputs!E$12),IF($E117="Enrollment",H117*I$4/H$4,IF($E117="Tuition Index",H117*I$5/H$5,IF($E117="% of Salaries",IF($G$6=0,0,$G117/$G$6*I$6),IF($E117="Debt",$G117*Inputs!E$15/12,IF($E117="Reserve Yield",Inputs!E$13*Inputs!E$16,IF($E117="Trend",H117*(1+Inputs!E$12),H117))))))))))))</f>
        <v>47740.5</v>
      </c>
      <c r="J117" s="11" t="n">
        <f aca="false">IF($E117="Manual",N117,IF($E117="Flat",I117,IF($E117="Inflation",I117*(1+Inputs!F$12),IF($E117="Salary",I117*(1+Inputs!F$10),IF($E117="Benefits",I117*(1+Inputs!F$11),IF($E117="Per Student",I117*J$4/I$4*(1+Inputs!F$12),IF($E117="Enrollment",I117*J$4/I$4,IF($E117="Tuition Index",I117*J$5/I$5,IF($E117="% of Salaries",IF($G$6=0,0,$G117/$G$6*J$6),IF($E117="Debt",$G117*Inputs!F$15/12,IF($E117="Reserve Yield",Inputs!F$13*Inputs!F$16,IF($E117="Trend",I117*(1+Inputs!F$12),I117))))))))))))</f>
        <v>49172.715</v>
      </c>
      <c r="K117" s="11" t="n">
        <f aca="false">IF($E117="Manual",O117,IF($E117="Flat",J117,IF($E117="Inflation",J117*(1+Inputs!G$12),IF($E117="Salary",J117*(1+Inputs!G$10),IF($E117="Benefits",J117*(1+Inputs!G$11),IF($E117="Per Student",J117*K$4/J$4*(1+Inputs!G$12),IF($E117="Enrollment",J117*K$4/J$4,IF($E117="Tuition Index",J117*K$5/J$5,IF($E117="% of Salaries",IF($G$6=0,0,$G117/$G$6*K$6),IF($E117="Debt",$G117*Inputs!G$15/12,IF($E117="Reserve Yield",Inputs!G$13*Inputs!G$16,IF($E117="Trend",J117*(1+Inputs!G$12),J117))))))))))))</f>
        <v>50647.89645</v>
      </c>
      <c r="L117" s="22"/>
      <c r="M117" s="22"/>
      <c r="N117" s="22"/>
      <c r="O117" s="22"/>
    </row>
    <row r="118" customFormat="false" ht="15" hidden="false" customHeight="false" outlineLevel="0" collapsed="false">
      <c r="A118" s="6" t="s">
        <v>295</v>
      </c>
      <c r="B118" s="6" t="s">
        <v>16</v>
      </c>
      <c r="C118" s="30" t="s">
        <v>409</v>
      </c>
      <c r="D118" s="6" t="s">
        <v>410</v>
      </c>
      <c r="E118" s="20" t="s">
        <v>200</v>
      </c>
      <c r="F118" s="20" t="s">
        <v>132</v>
      </c>
      <c r="G118" s="31" t="n">
        <f aca="false">SUMIFS('QB Import'!$B$1:$B$600,'QB Import'!$H$1:$H$600,$C118,'QB Import'!$G$1:$G$600,1)</f>
        <v>0</v>
      </c>
      <c r="H118" s="11" t="n">
        <f aca="false">IF($E118="Manual",L118,IF($E118="Flat",G118,IF($E118="Inflation",G118*(1+Inputs!D$12),IF($E118="Salary",G118*(1+Inputs!D$10),IF($E118="Benefits",G118*(1+Inputs!D$11),IF($E118="Per Student",G118*H$4/G$4*(1+Inputs!D$12),IF($E118="Enrollment",G118*H$4/G$4,IF($E118="Tuition Index",G118*H$5/G$5,IF($E118="% of Salaries",IF($G$6=0,0,$G118/$G$6*H$6),IF($E118="Debt",$G118*Inputs!D$15/12,IF($E118="Reserve Yield",Inputs!D$13*Inputs!D$16,IF($E118="Trend",IF(ISNUMBER(Trend!$Q157),Trend!$Q157,G118),G118))))))))))))</f>
        <v>0</v>
      </c>
      <c r="I118" s="11" t="n">
        <f aca="false">IF($E118="Manual",M118,IF($E118="Flat",H118,IF($E118="Inflation",H118*(1+Inputs!E$12),IF($E118="Salary",H118*(1+Inputs!E$10),IF($E118="Benefits",H118*(1+Inputs!E$11),IF($E118="Per Student",H118*I$4/H$4*(1+Inputs!E$12),IF($E118="Enrollment",H118*I$4/H$4,IF($E118="Tuition Index",H118*I$5/H$5,IF($E118="% of Salaries",IF($G$6=0,0,$G118/$G$6*I$6),IF($E118="Debt",$G118*Inputs!E$15/12,IF($E118="Reserve Yield",Inputs!E$13*Inputs!E$16,IF($E118="Trend",H118*(1+Inputs!E$12),H118))))))))))))</f>
        <v>0</v>
      </c>
      <c r="J118" s="11" t="n">
        <f aca="false">IF($E118="Manual",N118,IF($E118="Flat",I118,IF($E118="Inflation",I118*(1+Inputs!F$12),IF($E118="Salary",I118*(1+Inputs!F$10),IF($E118="Benefits",I118*(1+Inputs!F$11),IF($E118="Per Student",I118*J$4/I$4*(1+Inputs!F$12),IF($E118="Enrollment",I118*J$4/I$4,IF($E118="Tuition Index",I118*J$5/I$5,IF($E118="% of Salaries",IF($G$6=0,0,$G118/$G$6*J$6),IF($E118="Debt",$G118*Inputs!F$15/12,IF($E118="Reserve Yield",Inputs!F$13*Inputs!F$16,IF($E118="Trend",I118*(1+Inputs!F$12),I118))))))))))))</f>
        <v>0</v>
      </c>
      <c r="K118" s="11" t="n">
        <f aca="false">IF($E118="Manual",O118,IF($E118="Flat",J118,IF($E118="Inflation",J118*(1+Inputs!G$12),IF($E118="Salary",J118*(1+Inputs!G$10),IF($E118="Benefits",J118*(1+Inputs!G$11),IF($E118="Per Student",J118*K$4/J$4*(1+Inputs!G$12),IF($E118="Enrollment",J118*K$4/J$4,IF($E118="Tuition Index",J118*K$5/J$5,IF($E118="% of Salaries",IF($G$6=0,0,$G118/$G$6*K$6),IF($E118="Debt",$G118*Inputs!G$15/12,IF($E118="Reserve Yield",Inputs!G$13*Inputs!G$16,IF($E118="Trend",J118*(1+Inputs!G$12),J118))))))))))))</f>
        <v>0</v>
      </c>
      <c r="L118" s="22"/>
      <c r="M118" s="22"/>
      <c r="N118" s="22"/>
      <c r="O118" s="22"/>
    </row>
    <row r="119" customFormat="false" ht="15" hidden="false" customHeight="false" outlineLevel="0" collapsed="false">
      <c r="A119" s="6" t="s">
        <v>295</v>
      </c>
      <c r="B119" s="6" t="s">
        <v>16</v>
      </c>
      <c r="C119" s="30" t="s">
        <v>411</v>
      </c>
      <c r="D119" s="6" t="s">
        <v>412</v>
      </c>
      <c r="E119" s="20" t="s">
        <v>200</v>
      </c>
      <c r="F119" s="20" t="s">
        <v>132</v>
      </c>
      <c r="G119" s="31" t="n">
        <f aca="false">SUMIFS('QB Import'!$B$1:$B$600,'QB Import'!$H$1:$H$600,$C119,'QB Import'!$G$1:$G$600,1)</f>
        <v>0</v>
      </c>
      <c r="H119" s="11" t="n">
        <f aca="false">IF($E119="Manual",L119,IF($E119="Flat",G119,IF($E119="Inflation",G119*(1+Inputs!D$12),IF($E119="Salary",G119*(1+Inputs!D$10),IF($E119="Benefits",G119*(1+Inputs!D$11),IF($E119="Per Student",G119*H$4/G$4*(1+Inputs!D$12),IF($E119="Enrollment",G119*H$4/G$4,IF($E119="Tuition Index",G119*H$5/G$5,IF($E119="% of Salaries",IF($G$6=0,0,$G119/$G$6*H$6),IF($E119="Debt",$G119*Inputs!D$15/12,IF($E119="Reserve Yield",Inputs!D$13*Inputs!D$16,IF($E119="Trend",IF(ISNUMBER(Trend!$Q158),Trend!$Q158,G119),G119))))))))))))</f>
        <v>0</v>
      </c>
      <c r="I119" s="11" t="n">
        <f aca="false">IF($E119="Manual",M119,IF($E119="Flat",H119,IF($E119="Inflation",H119*(1+Inputs!E$12),IF($E119="Salary",H119*(1+Inputs!E$10),IF($E119="Benefits",H119*(1+Inputs!E$11),IF($E119="Per Student",H119*I$4/H$4*(1+Inputs!E$12),IF($E119="Enrollment",H119*I$4/H$4,IF($E119="Tuition Index",H119*I$5/H$5,IF($E119="% of Salaries",IF($G$6=0,0,$G119/$G$6*I$6),IF($E119="Debt",$G119*Inputs!E$15/12,IF($E119="Reserve Yield",Inputs!E$13*Inputs!E$16,IF($E119="Trend",H119*(1+Inputs!E$12),H119))))))))))))</f>
        <v>0</v>
      </c>
      <c r="J119" s="11" t="n">
        <f aca="false">IF($E119="Manual",N119,IF($E119="Flat",I119,IF($E119="Inflation",I119*(1+Inputs!F$12),IF($E119="Salary",I119*(1+Inputs!F$10),IF($E119="Benefits",I119*(1+Inputs!F$11),IF($E119="Per Student",I119*J$4/I$4*(1+Inputs!F$12),IF($E119="Enrollment",I119*J$4/I$4,IF($E119="Tuition Index",I119*J$5/I$5,IF($E119="% of Salaries",IF($G$6=0,0,$G119/$G$6*J$6),IF($E119="Debt",$G119*Inputs!F$15/12,IF($E119="Reserve Yield",Inputs!F$13*Inputs!F$16,IF($E119="Trend",I119*(1+Inputs!F$12),I119))))))))))))</f>
        <v>0</v>
      </c>
      <c r="K119" s="11" t="n">
        <f aca="false">IF($E119="Manual",O119,IF($E119="Flat",J119,IF($E119="Inflation",J119*(1+Inputs!G$12),IF($E119="Salary",J119*(1+Inputs!G$10),IF($E119="Benefits",J119*(1+Inputs!G$11),IF($E119="Per Student",J119*K$4/J$4*(1+Inputs!G$12),IF($E119="Enrollment",J119*K$4/J$4,IF($E119="Tuition Index",J119*K$5/J$5,IF($E119="% of Salaries",IF($G$6=0,0,$G119/$G$6*K$6),IF($E119="Debt",$G119*Inputs!G$15/12,IF($E119="Reserve Yield",Inputs!G$13*Inputs!G$16,IF($E119="Trend",J119*(1+Inputs!G$12),J119))))))))))))</f>
        <v>0</v>
      </c>
      <c r="L119" s="22"/>
      <c r="M119" s="22"/>
      <c r="N119" s="22"/>
      <c r="O119" s="22"/>
    </row>
    <row r="120" customFormat="false" ht="15" hidden="false" customHeight="false" outlineLevel="0" collapsed="false">
      <c r="A120" s="6" t="s">
        <v>295</v>
      </c>
      <c r="B120" s="6" t="s">
        <v>16</v>
      </c>
      <c r="C120" s="30" t="s">
        <v>413</v>
      </c>
      <c r="D120" s="6" t="s">
        <v>414</v>
      </c>
      <c r="E120" s="20" t="s">
        <v>330</v>
      </c>
      <c r="F120" s="20" t="s">
        <v>132</v>
      </c>
      <c r="G120" s="31" t="n">
        <f aca="false">SUMIFS('QB Import'!$B$1:$B$600,'QB Import'!$H$1:$H$600,$C120,'QB Import'!$G$1:$G$600,1)</f>
        <v>7500</v>
      </c>
      <c r="H120" s="11" t="n">
        <f aca="false">IF($E120="Manual",L120,IF($E120="Flat",G120,IF($E120="Inflation",G120*(1+Inputs!D$12),IF($E120="Salary",G120*(1+Inputs!D$10),IF($E120="Benefits",G120*(1+Inputs!D$11),IF($E120="Per Student",G120*H$4/G$4*(1+Inputs!D$12),IF($E120="Enrollment",G120*H$4/G$4,IF($E120="Tuition Index",G120*H$5/G$5,IF($E120="% of Salaries",IF($G$6=0,0,$G120/$G$6*H$6),IF($E120="Debt",$G120*Inputs!D$15/12,IF($E120="Reserve Yield",Inputs!D$13*Inputs!D$16,IF($E120="Trend",IF(ISNUMBER(Trend!$Q159),Trend!$Q159,G120),G120))))))))))))</f>
        <v>7725</v>
      </c>
      <c r="I120" s="11" t="n">
        <f aca="false">IF($E120="Manual",M120,IF($E120="Flat",H120,IF($E120="Inflation",H120*(1+Inputs!E$12),IF($E120="Salary",H120*(1+Inputs!E$10),IF($E120="Benefits",H120*(1+Inputs!E$11),IF($E120="Per Student",H120*I$4/H$4*(1+Inputs!E$12),IF($E120="Enrollment",H120*I$4/H$4,IF($E120="Tuition Index",H120*I$5/H$5,IF($E120="% of Salaries",IF($G$6=0,0,$G120/$G$6*I$6),IF($E120="Debt",$G120*Inputs!E$15/12,IF($E120="Reserve Yield",Inputs!E$13*Inputs!E$16,IF($E120="Trend",H120*(1+Inputs!E$12),H120))))))))))))</f>
        <v>7956.75</v>
      </c>
      <c r="J120" s="11" t="n">
        <f aca="false">IF($E120="Manual",N120,IF($E120="Flat",I120,IF($E120="Inflation",I120*(1+Inputs!F$12),IF($E120="Salary",I120*(1+Inputs!F$10),IF($E120="Benefits",I120*(1+Inputs!F$11),IF($E120="Per Student",I120*J$4/I$4*(1+Inputs!F$12),IF($E120="Enrollment",I120*J$4/I$4,IF($E120="Tuition Index",I120*J$5/I$5,IF($E120="% of Salaries",IF($G$6=0,0,$G120/$G$6*J$6),IF($E120="Debt",$G120*Inputs!F$15/12,IF($E120="Reserve Yield",Inputs!F$13*Inputs!F$16,IF($E120="Trend",I120*(1+Inputs!F$12),I120))))))))))))</f>
        <v>8195.4525</v>
      </c>
      <c r="K120" s="11" t="n">
        <f aca="false">IF($E120="Manual",O120,IF($E120="Flat",J120,IF($E120="Inflation",J120*(1+Inputs!G$12),IF($E120="Salary",J120*(1+Inputs!G$10),IF($E120="Benefits",J120*(1+Inputs!G$11),IF($E120="Per Student",J120*K$4/J$4*(1+Inputs!G$12),IF($E120="Enrollment",J120*K$4/J$4,IF($E120="Tuition Index",J120*K$5/J$5,IF($E120="% of Salaries",IF($G$6=0,0,$G120/$G$6*K$6),IF($E120="Debt",$G120*Inputs!G$15/12,IF($E120="Reserve Yield",Inputs!G$13*Inputs!G$16,IF($E120="Trend",J120*(1+Inputs!G$12),J120))))))))))))</f>
        <v>8441.316075</v>
      </c>
      <c r="L120" s="22"/>
      <c r="M120" s="22"/>
      <c r="N120" s="22"/>
      <c r="O120" s="22"/>
    </row>
    <row r="121" customFormat="false" ht="15" hidden="false" customHeight="false" outlineLevel="0" collapsed="false">
      <c r="A121" s="6" t="s">
        <v>295</v>
      </c>
      <c r="B121" s="6" t="s">
        <v>16</v>
      </c>
      <c r="C121" s="30" t="s">
        <v>415</v>
      </c>
      <c r="D121" s="6" t="s">
        <v>416</v>
      </c>
      <c r="E121" s="20" t="s">
        <v>200</v>
      </c>
      <c r="F121" s="20" t="s">
        <v>132</v>
      </c>
      <c r="G121" s="31" t="n">
        <f aca="false">SUMIFS('QB Import'!$B$1:$B$600,'QB Import'!$H$1:$H$600,$C121,'QB Import'!$G$1:$G$600,1)</f>
        <v>0</v>
      </c>
      <c r="H121" s="11" t="n">
        <f aca="false">IF($E121="Manual",L121,IF($E121="Flat",G121,IF($E121="Inflation",G121*(1+Inputs!D$12),IF($E121="Salary",G121*(1+Inputs!D$10),IF($E121="Benefits",G121*(1+Inputs!D$11),IF($E121="Per Student",G121*H$4/G$4*(1+Inputs!D$12),IF($E121="Enrollment",G121*H$4/G$4,IF($E121="Tuition Index",G121*H$5/G$5,IF($E121="% of Salaries",IF($G$6=0,0,$G121/$G$6*H$6),IF($E121="Debt",$G121*Inputs!D$15/12,IF($E121="Reserve Yield",Inputs!D$13*Inputs!D$16,IF($E121="Trend",IF(ISNUMBER(Trend!$Q160),Trend!$Q160,G121),G121))))))))))))</f>
        <v>0</v>
      </c>
      <c r="I121" s="11" t="n">
        <f aca="false">IF($E121="Manual",M121,IF($E121="Flat",H121,IF($E121="Inflation",H121*(1+Inputs!E$12),IF($E121="Salary",H121*(1+Inputs!E$10),IF($E121="Benefits",H121*(1+Inputs!E$11),IF($E121="Per Student",H121*I$4/H$4*(1+Inputs!E$12),IF($E121="Enrollment",H121*I$4/H$4,IF($E121="Tuition Index",H121*I$5/H$5,IF($E121="% of Salaries",IF($G$6=0,0,$G121/$G$6*I$6),IF($E121="Debt",$G121*Inputs!E$15/12,IF($E121="Reserve Yield",Inputs!E$13*Inputs!E$16,IF($E121="Trend",H121*(1+Inputs!E$12),H121))))))))))))</f>
        <v>0</v>
      </c>
      <c r="J121" s="11" t="n">
        <f aca="false">IF($E121="Manual",N121,IF($E121="Flat",I121,IF($E121="Inflation",I121*(1+Inputs!F$12),IF($E121="Salary",I121*(1+Inputs!F$10),IF($E121="Benefits",I121*(1+Inputs!F$11),IF($E121="Per Student",I121*J$4/I$4*(1+Inputs!F$12),IF($E121="Enrollment",I121*J$4/I$4,IF($E121="Tuition Index",I121*J$5/I$5,IF($E121="% of Salaries",IF($G$6=0,0,$G121/$G$6*J$6),IF($E121="Debt",$G121*Inputs!F$15/12,IF($E121="Reserve Yield",Inputs!F$13*Inputs!F$16,IF($E121="Trend",I121*(1+Inputs!F$12),I121))))))))))))</f>
        <v>0</v>
      </c>
      <c r="K121" s="11" t="n">
        <f aca="false">IF($E121="Manual",O121,IF($E121="Flat",J121,IF($E121="Inflation",J121*(1+Inputs!G$12),IF($E121="Salary",J121*(1+Inputs!G$10),IF($E121="Benefits",J121*(1+Inputs!G$11),IF($E121="Per Student",J121*K$4/J$4*(1+Inputs!G$12),IF($E121="Enrollment",J121*K$4/J$4,IF($E121="Tuition Index",J121*K$5/J$5,IF($E121="% of Salaries",IF($G$6=0,0,$G121/$G$6*K$6),IF($E121="Debt",$G121*Inputs!G$15/12,IF($E121="Reserve Yield",Inputs!G$13*Inputs!G$16,IF($E121="Trend",J121*(1+Inputs!G$12),J121))))))))))))</f>
        <v>0</v>
      </c>
      <c r="L121" s="22"/>
      <c r="M121" s="22"/>
      <c r="N121" s="22"/>
      <c r="O121" s="22"/>
    </row>
    <row r="122" customFormat="false" ht="15" hidden="false" customHeight="false" outlineLevel="0" collapsed="false">
      <c r="A122" s="6" t="s">
        <v>295</v>
      </c>
      <c r="B122" s="6" t="s">
        <v>16</v>
      </c>
      <c r="C122" s="30" t="s">
        <v>417</v>
      </c>
      <c r="D122" s="6" t="s">
        <v>418</v>
      </c>
      <c r="E122" s="20" t="s">
        <v>200</v>
      </c>
      <c r="F122" s="20" t="s">
        <v>132</v>
      </c>
      <c r="G122" s="31" t="n">
        <f aca="false">SUMIFS('QB Import'!$B$1:$B$600,'QB Import'!$H$1:$H$600,$C122,'QB Import'!$G$1:$G$600,1)</f>
        <v>0</v>
      </c>
      <c r="H122" s="11" t="n">
        <f aca="false">IF($E122="Manual",L122,IF($E122="Flat",G122,IF($E122="Inflation",G122*(1+Inputs!D$12),IF($E122="Salary",G122*(1+Inputs!D$10),IF($E122="Benefits",G122*(1+Inputs!D$11),IF($E122="Per Student",G122*H$4/G$4*(1+Inputs!D$12),IF($E122="Enrollment",G122*H$4/G$4,IF($E122="Tuition Index",G122*H$5/G$5,IF($E122="% of Salaries",IF($G$6=0,0,$G122/$G$6*H$6),IF($E122="Debt",$G122*Inputs!D$15/12,IF($E122="Reserve Yield",Inputs!D$13*Inputs!D$16,IF($E122="Trend",IF(ISNUMBER(Trend!$Q161),Trend!$Q161,G122),G122))))))))))))</f>
        <v>0</v>
      </c>
      <c r="I122" s="11" t="n">
        <f aca="false">IF($E122="Manual",M122,IF($E122="Flat",H122,IF($E122="Inflation",H122*(1+Inputs!E$12),IF($E122="Salary",H122*(1+Inputs!E$10),IF($E122="Benefits",H122*(1+Inputs!E$11),IF($E122="Per Student",H122*I$4/H$4*(1+Inputs!E$12),IF($E122="Enrollment",H122*I$4/H$4,IF($E122="Tuition Index",H122*I$5/H$5,IF($E122="% of Salaries",IF($G$6=0,0,$G122/$G$6*I$6),IF($E122="Debt",$G122*Inputs!E$15/12,IF($E122="Reserve Yield",Inputs!E$13*Inputs!E$16,IF($E122="Trend",H122*(1+Inputs!E$12),H122))))))))))))</f>
        <v>0</v>
      </c>
      <c r="J122" s="11" t="n">
        <f aca="false">IF($E122="Manual",N122,IF($E122="Flat",I122,IF($E122="Inflation",I122*(1+Inputs!F$12),IF($E122="Salary",I122*(1+Inputs!F$10),IF($E122="Benefits",I122*(1+Inputs!F$11),IF($E122="Per Student",I122*J$4/I$4*(1+Inputs!F$12),IF($E122="Enrollment",I122*J$4/I$4,IF($E122="Tuition Index",I122*J$5/I$5,IF($E122="% of Salaries",IF($G$6=0,0,$G122/$G$6*J$6),IF($E122="Debt",$G122*Inputs!F$15/12,IF($E122="Reserve Yield",Inputs!F$13*Inputs!F$16,IF($E122="Trend",I122*(1+Inputs!F$12),I122))))))))))))</f>
        <v>0</v>
      </c>
      <c r="K122" s="11" t="n">
        <f aca="false">IF($E122="Manual",O122,IF($E122="Flat",J122,IF($E122="Inflation",J122*(1+Inputs!G$12),IF($E122="Salary",J122*(1+Inputs!G$10),IF($E122="Benefits",J122*(1+Inputs!G$11),IF($E122="Per Student",J122*K$4/J$4*(1+Inputs!G$12),IF($E122="Enrollment",J122*K$4/J$4,IF($E122="Tuition Index",J122*K$5/J$5,IF($E122="% of Salaries",IF($G$6=0,0,$G122/$G$6*K$6),IF($E122="Debt",$G122*Inputs!G$15/12,IF($E122="Reserve Yield",Inputs!G$13*Inputs!G$16,IF($E122="Trend",J122*(1+Inputs!G$12),J122))))))))))))</f>
        <v>0</v>
      </c>
      <c r="L122" s="22"/>
      <c r="M122" s="22"/>
      <c r="N122" s="22"/>
      <c r="O122" s="22"/>
    </row>
    <row r="123" customFormat="false" ht="15" hidden="false" customHeight="false" outlineLevel="0" collapsed="false">
      <c r="A123" s="6" t="s">
        <v>295</v>
      </c>
      <c r="B123" s="6" t="s">
        <v>16</v>
      </c>
      <c r="C123" s="30" t="s">
        <v>419</v>
      </c>
      <c r="D123" s="6" t="s">
        <v>420</v>
      </c>
      <c r="E123" s="20" t="s">
        <v>200</v>
      </c>
      <c r="F123" s="20" t="s">
        <v>132</v>
      </c>
      <c r="G123" s="31" t="n">
        <f aca="false">SUMIFS('QB Import'!$B$1:$B$600,'QB Import'!$H$1:$H$600,$C123,'QB Import'!$G$1:$G$600,1)</f>
        <v>0</v>
      </c>
      <c r="H123" s="11" t="n">
        <f aca="false">IF($E123="Manual",L123,IF($E123="Flat",G123,IF($E123="Inflation",G123*(1+Inputs!D$12),IF($E123="Salary",G123*(1+Inputs!D$10),IF($E123="Benefits",G123*(1+Inputs!D$11),IF($E123="Per Student",G123*H$4/G$4*(1+Inputs!D$12),IF($E123="Enrollment",G123*H$4/G$4,IF($E123="Tuition Index",G123*H$5/G$5,IF($E123="% of Salaries",IF($G$6=0,0,$G123/$G$6*H$6),IF($E123="Debt",$G123*Inputs!D$15/12,IF($E123="Reserve Yield",Inputs!D$13*Inputs!D$16,IF($E123="Trend",IF(ISNUMBER(Trend!$Q162),Trend!$Q162,G123),G123))))))))))))</f>
        <v>0</v>
      </c>
      <c r="I123" s="11" t="n">
        <f aca="false">IF($E123="Manual",M123,IF($E123="Flat",H123,IF($E123="Inflation",H123*(1+Inputs!E$12),IF($E123="Salary",H123*(1+Inputs!E$10),IF($E123="Benefits",H123*(1+Inputs!E$11),IF($E123="Per Student",H123*I$4/H$4*(1+Inputs!E$12),IF($E123="Enrollment",H123*I$4/H$4,IF($E123="Tuition Index",H123*I$5/H$5,IF($E123="% of Salaries",IF($G$6=0,0,$G123/$G$6*I$6),IF($E123="Debt",$G123*Inputs!E$15/12,IF($E123="Reserve Yield",Inputs!E$13*Inputs!E$16,IF($E123="Trend",H123*(1+Inputs!E$12),H123))))))))))))</f>
        <v>0</v>
      </c>
      <c r="J123" s="11" t="n">
        <f aca="false">IF($E123="Manual",N123,IF($E123="Flat",I123,IF($E123="Inflation",I123*(1+Inputs!F$12),IF($E123="Salary",I123*(1+Inputs!F$10),IF($E123="Benefits",I123*(1+Inputs!F$11),IF($E123="Per Student",I123*J$4/I$4*(1+Inputs!F$12),IF($E123="Enrollment",I123*J$4/I$4,IF($E123="Tuition Index",I123*J$5/I$5,IF($E123="% of Salaries",IF($G$6=0,0,$G123/$G$6*J$6),IF($E123="Debt",$G123*Inputs!F$15/12,IF($E123="Reserve Yield",Inputs!F$13*Inputs!F$16,IF($E123="Trend",I123*(1+Inputs!F$12),I123))))))))))))</f>
        <v>0</v>
      </c>
      <c r="K123" s="11" t="n">
        <f aca="false">IF($E123="Manual",O123,IF($E123="Flat",J123,IF($E123="Inflation",J123*(1+Inputs!G$12),IF($E123="Salary",J123*(1+Inputs!G$10),IF($E123="Benefits",J123*(1+Inputs!G$11),IF($E123="Per Student",J123*K$4/J$4*(1+Inputs!G$12),IF($E123="Enrollment",J123*K$4/J$4,IF($E123="Tuition Index",J123*K$5/J$5,IF($E123="% of Salaries",IF($G$6=0,0,$G123/$G$6*K$6),IF($E123="Debt",$G123*Inputs!G$15/12,IF($E123="Reserve Yield",Inputs!G$13*Inputs!G$16,IF($E123="Trend",J123*(1+Inputs!G$12),J123))))))))))))</f>
        <v>0</v>
      </c>
      <c r="L123" s="22"/>
      <c r="M123" s="22"/>
      <c r="N123" s="22"/>
      <c r="O123" s="22"/>
    </row>
    <row r="124" customFormat="false" ht="15" hidden="false" customHeight="false" outlineLevel="0" collapsed="false">
      <c r="A124" s="6" t="s">
        <v>295</v>
      </c>
      <c r="B124" s="6" t="s">
        <v>16</v>
      </c>
      <c r="C124" s="30" t="s">
        <v>421</v>
      </c>
      <c r="D124" s="6" t="s">
        <v>422</v>
      </c>
      <c r="E124" s="20" t="s">
        <v>200</v>
      </c>
      <c r="F124" s="20" t="s">
        <v>132</v>
      </c>
      <c r="G124" s="31" t="n">
        <f aca="false">SUMIFS('QB Import'!$B$1:$B$600,'QB Import'!$H$1:$H$600,$C124,'QB Import'!$G$1:$G$600,1)</f>
        <v>0</v>
      </c>
      <c r="H124" s="11" t="n">
        <f aca="false">IF($E124="Manual",L124,IF($E124="Flat",G124,IF($E124="Inflation",G124*(1+Inputs!D$12),IF($E124="Salary",G124*(1+Inputs!D$10),IF($E124="Benefits",G124*(1+Inputs!D$11),IF($E124="Per Student",G124*H$4/G$4*(1+Inputs!D$12),IF($E124="Enrollment",G124*H$4/G$4,IF($E124="Tuition Index",G124*H$5/G$5,IF($E124="% of Salaries",IF($G$6=0,0,$G124/$G$6*H$6),IF($E124="Debt",$G124*Inputs!D$15/12,IF($E124="Reserve Yield",Inputs!D$13*Inputs!D$16,IF($E124="Trend",IF(ISNUMBER(Trend!$Q163),Trend!$Q163,G124),G124))))))))))))</f>
        <v>0</v>
      </c>
      <c r="I124" s="11" t="n">
        <f aca="false">IF($E124="Manual",M124,IF($E124="Flat",H124,IF($E124="Inflation",H124*(1+Inputs!E$12),IF($E124="Salary",H124*(1+Inputs!E$10),IF($E124="Benefits",H124*(1+Inputs!E$11),IF($E124="Per Student",H124*I$4/H$4*(1+Inputs!E$12),IF($E124="Enrollment",H124*I$4/H$4,IF($E124="Tuition Index",H124*I$5/H$5,IF($E124="% of Salaries",IF($G$6=0,0,$G124/$G$6*I$6),IF($E124="Debt",$G124*Inputs!E$15/12,IF($E124="Reserve Yield",Inputs!E$13*Inputs!E$16,IF($E124="Trend",H124*(1+Inputs!E$12),H124))))))))))))</f>
        <v>0</v>
      </c>
      <c r="J124" s="11" t="n">
        <f aca="false">IF($E124="Manual",N124,IF($E124="Flat",I124,IF($E124="Inflation",I124*(1+Inputs!F$12),IF($E124="Salary",I124*(1+Inputs!F$10),IF($E124="Benefits",I124*(1+Inputs!F$11),IF($E124="Per Student",I124*J$4/I$4*(1+Inputs!F$12),IF($E124="Enrollment",I124*J$4/I$4,IF($E124="Tuition Index",I124*J$5/I$5,IF($E124="% of Salaries",IF($G$6=0,0,$G124/$G$6*J$6),IF($E124="Debt",$G124*Inputs!F$15/12,IF($E124="Reserve Yield",Inputs!F$13*Inputs!F$16,IF($E124="Trend",I124*(1+Inputs!F$12),I124))))))))))))</f>
        <v>0</v>
      </c>
      <c r="K124" s="11" t="n">
        <f aca="false">IF($E124="Manual",O124,IF($E124="Flat",J124,IF($E124="Inflation",J124*(1+Inputs!G$12),IF($E124="Salary",J124*(1+Inputs!G$10),IF($E124="Benefits",J124*(1+Inputs!G$11),IF($E124="Per Student",J124*K$4/J$4*(1+Inputs!G$12),IF($E124="Enrollment",J124*K$4/J$4,IF($E124="Tuition Index",J124*K$5/J$5,IF($E124="% of Salaries",IF($G$6=0,0,$G124/$G$6*K$6),IF($E124="Debt",$G124*Inputs!G$15/12,IF($E124="Reserve Yield",Inputs!G$13*Inputs!G$16,IF($E124="Trend",J124*(1+Inputs!G$12),J124))))))))))))</f>
        <v>0</v>
      </c>
      <c r="L124" s="22"/>
      <c r="M124" s="22"/>
      <c r="N124" s="22"/>
      <c r="O124" s="22"/>
    </row>
    <row r="125" customFormat="false" ht="15" hidden="false" customHeight="false" outlineLevel="0" collapsed="false">
      <c r="A125" s="6" t="s">
        <v>295</v>
      </c>
      <c r="B125" s="6" t="s">
        <v>16</v>
      </c>
      <c r="C125" s="30" t="s">
        <v>423</v>
      </c>
      <c r="D125" s="6" t="s">
        <v>424</v>
      </c>
      <c r="E125" s="20" t="s">
        <v>200</v>
      </c>
      <c r="F125" s="20" t="s">
        <v>132</v>
      </c>
      <c r="G125" s="31" t="n">
        <f aca="false">SUMIFS('QB Import'!$B$1:$B$600,'QB Import'!$H$1:$H$600,$C125,'QB Import'!$G$1:$G$600,1)</f>
        <v>0</v>
      </c>
      <c r="H125" s="11" t="n">
        <f aca="false">IF($E125="Manual",L125,IF($E125="Flat",G125,IF($E125="Inflation",G125*(1+Inputs!D$12),IF($E125="Salary",G125*(1+Inputs!D$10),IF($E125="Benefits",G125*(1+Inputs!D$11),IF($E125="Per Student",G125*H$4/G$4*(1+Inputs!D$12),IF($E125="Enrollment",G125*H$4/G$4,IF($E125="Tuition Index",G125*H$5/G$5,IF($E125="% of Salaries",IF($G$6=0,0,$G125/$G$6*H$6),IF($E125="Debt",$G125*Inputs!D$15/12,IF($E125="Reserve Yield",Inputs!D$13*Inputs!D$16,IF($E125="Trend",IF(ISNUMBER(Trend!$Q164),Trend!$Q164,G125),G125))))))))))))</f>
        <v>0</v>
      </c>
      <c r="I125" s="11" t="n">
        <f aca="false">IF($E125="Manual",M125,IF($E125="Flat",H125,IF($E125="Inflation",H125*(1+Inputs!E$12),IF($E125="Salary",H125*(1+Inputs!E$10),IF($E125="Benefits",H125*(1+Inputs!E$11),IF($E125="Per Student",H125*I$4/H$4*(1+Inputs!E$12),IF($E125="Enrollment",H125*I$4/H$4,IF($E125="Tuition Index",H125*I$5/H$5,IF($E125="% of Salaries",IF($G$6=0,0,$G125/$G$6*I$6),IF($E125="Debt",$G125*Inputs!E$15/12,IF($E125="Reserve Yield",Inputs!E$13*Inputs!E$16,IF($E125="Trend",H125*(1+Inputs!E$12),H125))))))))))))</f>
        <v>0</v>
      </c>
      <c r="J125" s="11" t="n">
        <f aca="false">IF($E125="Manual",N125,IF($E125="Flat",I125,IF($E125="Inflation",I125*(1+Inputs!F$12),IF($E125="Salary",I125*(1+Inputs!F$10),IF($E125="Benefits",I125*(1+Inputs!F$11),IF($E125="Per Student",I125*J$4/I$4*(1+Inputs!F$12),IF($E125="Enrollment",I125*J$4/I$4,IF($E125="Tuition Index",I125*J$5/I$5,IF($E125="% of Salaries",IF($G$6=0,0,$G125/$G$6*J$6),IF($E125="Debt",$G125*Inputs!F$15/12,IF($E125="Reserve Yield",Inputs!F$13*Inputs!F$16,IF($E125="Trend",I125*(1+Inputs!F$12),I125))))))))))))</f>
        <v>0</v>
      </c>
      <c r="K125" s="11" t="n">
        <f aca="false">IF($E125="Manual",O125,IF($E125="Flat",J125,IF($E125="Inflation",J125*(1+Inputs!G$12),IF($E125="Salary",J125*(1+Inputs!G$10),IF($E125="Benefits",J125*(1+Inputs!G$11),IF($E125="Per Student",J125*K$4/J$4*(1+Inputs!G$12),IF($E125="Enrollment",J125*K$4/J$4,IF($E125="Tuition Index",J125*K$5/J$5,IF($E125="% of Salaries",IF($G$6=0,0,$G125/$G$6*K$6),IF($E125="Debt",$G125*Inputs!G$15/12,IF($E125="Reserve Yield",Inputs!G$13*Inputs!G$16,IF($E125="Trend",J125*(1+Inputs!G$12),J125))))))))))))</f>
        <v>0</v>
      </c>
      <c r="L125" s="22"/>
      <c r="M125" s="22"/>
      <c r="N125" s="22"/>
      <c r="O125" s="22"/>
    </row>
    <row r="126" customFormat="false" ht="15" hidden="false" customHeight="false" outlineLevel="0" collapsed="false">
      <c r="A126" s="6" t="s">
        <v>295</v>
      </c>
      <c r="B126" s="6" t="s">
        <v>16</v>
      </c>
      <c r="C126" s="30" t="s">
        <v>425</v>
      </c>
      <c r="D126" s="6" t="s">
        <v>426</v>
      </c>
      <c r="E126" s="20" t="s">
        <v>200</v>
      </c>
      <c r="F126" s="20" t="s">
        <v>132</v>
      </c>
      <c r="G126" s="31" t="n">
        <f aca="false">SUMIFS('QB Import'!$B$1:$B$600,'QB Import'!$H$1:$H$600,$C126,'QB Import'!$G$1:$G$600,1)</f>
        <v>0</v>
      </c>
      <c r="H126" s="11" t="n">
        <f aca="false">IF($E126="Manual",L126,IF($E126="Flat",G126,IF($E126="Inflation",G126*(1+Inputs!D$12),IF($E126="Salary",G126*(1+Inputs!D$10),IF($E126="Benefits",G126*(1+Inputs!D$11),IF($E126="Per Student",G126*H$4/G$4*(1+Inputs!D$12),IF($E126="Enrollment",G126*H$4/G$4,IF($E126="Tuition Index",G126*H$5/G$5,IF($E126="% of Salaries",IF($G$6=0,0,$G126/$G$6*H$6),IF($E126="Debt",$G126*Inputs!D$15/12,IF($E126="Reserve Yield",Inputs!D$13*Inputs!D$16,IF($E126="Trend",IF(ISNUMBER(Trend!$Q165),Trend!$Q165,G126),G126))))))))))))</f>
        <v>0</v>
      </c>
      <c r="I126" s="11" t="n">
        <f aca="false">IF($E126="Manual",M126,IF($E126="Flat",H126,IF($E126="Inflation",H126*(1+Inputs!E$12),IF($E126="Salary",H126*(1+Inputs!E$10),IF($E126="Benefits",H126*(1+Inputs!E$11),IF($E126="Per Student",H126*I$4/H$4*(1+Inputs!E$12),IF($E126="Enrollment",H126*I$4/H$4,IF($E126="Tuition Index",H126*I$5/H$5,IF($E126="% of Salaries",IF($G$6=0,0,$G126/$G$6*I$6),IF($E126="Debt",$G126*Inputs!E$15/12,IF($E126="Reserve Yield",Inputs!E$13*Inputs!E$16,IF($E126="Trend",H126*(1+Inputs!E$12),H126))))))))))))</f>
        <v>0</v>
      </c>
      <c r="J126" s="11" t="n">
        <f aca="false">IF($E126="Manual",N126,IF($E126="Flat",I126,IF($E126="Inflation",I126*(1+Inputs!F$12),IF($E126="Salary",I126*(1+Inputs!F$10),IF($E126="Benefits",I126*(1+Inputs!F$11),IF($E126="Per Student",I126*J$4/I$4*(1+Inputs!F$12),IF($E126="Enrollment",I126*J$4/I$4,IF($E126="Tuition Index",I126*J$5/I$5,IF($E126="% of Salaries",IF($G$6=0,0,$G126/$G$6*J$6),IF($E126="Debt",$G126*Inputs!F$15/12,IF($E126="Reserve Yield",Inputs!F$13*Inputs!F$16,IF($E126="Trend",I126*(1+Inputs!F$12),I126))))))))))))</f>
        <v>0</v>
      </c>
      <c r="K126" s="11" t="n">
        <f aca="false">IF($E126="Manual",O126,IF($E126="Flat",J126,IF($E126="Inflation",J126*(1+Inputs!G$12),IF($E126="Salary",J126*(1+Inputs!G$10),IF($E126="Benefits",J126*(1+Inputs!G$11),IF($E126="Per Student",J126*K$4/J$4*(1+Inputs!G$12),IF($E126="Enrollment",J126*K$4/J$4,IF($E126="Tuition Index",J126*K$5/J$5,IF($E126="% of Salaries",IF($G$6=0,0,$G126/$G$6*K$6),IF($E126="Debt",$G126*Inputs!G$15/12,IF($E126="Reserve Yield",Inputs!G$13*Inputs!G$16,IF($E126="Trend",J126*(1+Inputs!G$12),J126))))))))))))</f>
        <v>0</v>
      </c>
      <c r="L126" s="22"/>
      <c r="M126" s="22"/>
      <c r="N126" s="22"/>
      <c r="O126" s="22"/>
    </row>
    <row r="127" customFormat="false" ht="15" hidden="false" customHeight="false" outlineLevel="0" collapsed="false">
      <c r="A127" s="6" t="s">
        <v>295</v>
      </c>
      <c r="B127" s="6" t="s">
        <v>16</v>
      </c>
      <c r="C127" s="30" t="s">
        <v>427</v>
      </c>
      <c r="D127" s="6" t="s">
        <v>428</v>
      </c>
      <c r="E127" s="20" t="s">
        <v>200</v>
      </c>
      <c r="F127" s="20" t="s">
        <v>132</v>
      </c>
      <c r="G127" s="31" t="n">
        <f aca="false">SUMIFS('QB Import'!$B$1:$B$600,'QB Import'!$H$1:$H$600,$C127,'QB Import'!$G$1:$G$600,1)</f>
        <v>0</v>
      </c>
      <c r="H127" s="11" t="n">
        <f aca="false">IF($E127="Manual",L127,IF($E127="Flat",G127,IF($E127="Inflation",G127*(1+Inputs!D$12),IF($E127="Salary",G127*(1+Inputs!D$10),IF($E127="Benefits",G127*(1+Inputs!D$11),IF($E127="Per Student",G127*H$4/G$4*(1+Inputs!D$12),IF($E127="Enrollment",G127*H$4/G$4,IF($E127="Tuition Index",G127*H$5/G$5,IF($E127="% of Salaries",IF($G$6=0,0,$G127/$G$6*H$6),IF($E127="Debt",$G127*Inputs!D$15/12,IF($E127="Reserve Yield",Inputs!D$13*Inputs!D$16,IF($E127="Trend",IF(ISNUMBER(Trend!$Q166),Trend!$Q166,G127),G127))))))))))))</f>
        <v>0</v>
      </c>
      <c r="I127" s="11" t="n">
        <f aca="false">IF($E127="Manual",M127,IF($E127="Flat",H127,IF($E127="Inflation",H127*(1+Inputs!E$12),IF($E127="Salary",H127*(1+Inputs!E$10),IF($E127="Benefits",H127*(1+Inputs!E$11),IF($E127="Per Student",H127*I$4/H$4*(1+Inputs!E$12),IF($E127="Enrollment",H127*I$4/H$4,IF($E127="Tuition Index",H127*I$5/H$5,IF($E127="% of Salaries",IF($G$6=0,0,$G127/$G$6*I$6),IF($E127="Debt",$G127*Inputs!E$15/12,IF($E127="Reserve Yield",Inputs!E$13*Inputs!E$16,IF($E127="Trend",H127*(1+Inputs!E$12),H127))))))))))))</f>
        <v>0</v>
      </c>
      <c r="J127" s="11" t="n">
        <f aca="false">IF($E127="Manual",N127,IF($E127="Flat",I127,IF($E127="Inflation",I127*(1+Inputs!F$12),IF($E127="Salary",I127*(1+Inputs!F$10),IF($E127="Benefits",I127*(1+Inputs!F$11),IF($E127="Per Student",I127*J$4/I$4*(1+Inputs!F$12),IF($E127="Enrollment",I127*J$4/I$4,IF($E127="Tuition Index",I127*J$5/I$5,IF($E127="% of Salaries",IF($G$6=0,0,$G127/$G$6*J$6),IF($E127="Debt",$G127*Inputs!F$15/12,IF($E127="Reserve Yield",Inputs!F$13*Inputs!F$16,IF($E127="Trend",I127*(1+Inputs!F$12),I127))))))))))))</f>
        <v>0</v>
      </c>
      <c r="K127" s="11" t="n">
        <f aca="false">IF($E127="Manual",O127,IF($E127="Flat",J127,IF($E127="Inflation",J127*(1+Inputs!G$12),IF($E127="Salary",J127*(1+Inputs!G$10),IF($E127="Benefits",J127*(1+Inputs!G$11),IF($E127="Per Student",J127*K$4/J$4*(1+Inputs!G$12),IF($E127="Enrollment",J127*K$4/J$4,IF($E127="Tuition Index",J127*K$5/J$5,IF($E127="% of Salaries",IF($G$6=0,0,$G127/$G$6*K$6),IF($E127="Debt",$G127*Inputs!G$15/12,IF($E127="Reserve Yield",Inputs!G$13*Inputs!G$16,IF($E127="Trend",J127*(1+Inputs!G$12),J127))))))))))))</f>
        <v>0</v>
      </c>
      <c r="L127" s="22"/>
      <c r="M127" s="22"/>
      <c r="N127" s="22"/>
      <c r="O127" s="22"/>
    </row>
    <row r="128" customFormat="false" ht="15" hidden="false" customHeight="false" outlineLevel="0" collapsed="false">
      <c r="A128" s="6" t="s">
        <v>295</v>
      </c>
      <c r="B128" s="6" t="s">
        <v>16</v>
      </c>
      <c r="C128" s="30" t="s">
        <v>429</v>
      </c>
      <c r="D128" s="6" t="s">
        <v>430</v>
      </c>
      <c r="E128" s="20" t="s">
        <v>200</v>
      </c>
      <c r="F128" s="20" t="s">
        <v>132</v>
      </c>
      <c r="G128" s="31" t="n">
        <f aca="false">SUMIFS('QB Import'!$B$1:$B$600,'QB Import'!$H$1:$H$600,$C128,'QB Import'!$G$1:$G$600,1)</f>
        <v>0</v>
      </c>
      <c r="H128" s="11" t="n">
        <f aca="false">IF($E128="Manual",L128,IF($E128="Flat",G128,IF($E128="Inflation",G128*(1+Inputs!D$12),IF($E128="Salary",G128*(1+Inputs!D$10),IF($E128="Benefits",G128*(1+Inputs!D$11),IF($E128="Per Student",G128*H$4/G$4*(1+Inputs!D$12),IF($E128="Enrollment",G128*H$4/G$4,IF($E128="Tuition Index",G128*H$5/G$5,IF($E128="% of Salaries",IF($G$6=0,0,$G128/$G$6*H$6),IF($E128="Debt",$G128*Inputs!D$15/12,IF($E128="Reserve Yield",Inputs!D$13*Inputs!D$16,IF($E128="Trend",IF(ISNUMBER(Trend!$Q167),Trend!$Q167,G128),G128))))))))))))</f>
        <v>0</v>
      </c>
      <c r="I128" s="11" t="n">
        <f aca="false">IF($E128="Manual",M128,IF($E128="Flat",H128,IF($E128="Inflation",H128*(1+Inputs!E$12),IF($E128="Salary",H128*(1+Inputs!E$10),IF($E128="Benefits",H128*(1+Inputs!E$11),IF($E128="Per Student",H128*I$4/H$4*(1+Inputs!E$12),IF($E128="Enrollment",H128*I$4/H$4,IF($E128="Tuition Index",H128*I$5/H$5,IF($E128="% of Salaries",IF($G$6=0,0,$G128/$G$6*I$6),IF($E128="Debt",$G128*Inputs!E$15/12,IF($E128="Reserve Yield",Inputs!E$13*Inputs!E$16,IF($E128="Trend",H128*(1+Inputs!E$12),H128))))))))))))</f>
        <v>0</v>
      </c>
      <c r="J128" s="11" t="n">
        <f aca="false">IF($E128="Manual",N128,IF($E128="Flat",I128,IF($E128="Inflation",I128*(1+Inputs!F$12),IF($E128="Salary",I128*(1+Inputs!F$10),IF($E128="Benefits",I128*(1+Inputs!F$11),IF($E128="Per Student",I128*J$4/I$4*(1+Inputs!F$12),IF($E128="Enrollment",I128*J$4/I$4,IF($E128="Tuition Index",I128*J$5/I$5,IF($E128="% of Salaries",IF($G$6=0,0,$G128/$G$6*J$6),IF($E128="Debt",$G128*Inputs!F$15/12,IF($E128="Reserve Yield",Inputs!F$13*Inputs!F$16,IF($E128="Trend",I128*(1+Inputs!F$12),I128))))))))))))</f>
        <v>0</v>
      </c>
      <c r="K128" s="11" t="n">
        <f aca="false">IF($E128="Manual",O128,IF($E128="Flat",J128,IF($E128="Inflation",J128*(1+Inputs!G$12),IF($E128="Salary",J128*(1+Inputs!G$10),IF($E128="Benefits",J128*(1+Inputs!G$11),IF($E128="Per Student",J128*K$4/J$4*(1+Inputs!G$12),IF($E128="Enrollment",J128*K$4/J$4,IF($E128="Tuition Index",J128*K$5/J$5,IF($E128="% of Salaries",IF($G$6=0,0,$G128/$G$6*K$6),IF($E128="Debt",$G128*Inputs!G$15/12,IF($E128="Reserve Yield",Inputs!G$13*Inputs!G$16,IF($E128="Trend",J128*(1+Inputs!G$12),J128))))))))))))</f>
        <v>0</v>
      </c>
      <c r="L128" s="22"/>
      <c r="M128" s="22"/>
      <c r="N128" s="22"/>
      <c r="O128" s="22"/>
    </row>
    <row r="129" customFormat="false" ht="15" hidden="false" customHeight="false" outlineLevel="0" collapsed="false">
      <c r="A129" s="6" t="s">
        <v>295</v>
      </c>
      <c r="B129" s="6" t="s">
        <v>16</v>
      </c>
      <c r="C129" s="30" t="s">
        <v>431</v>
      </c>
      <c r="D129" s="6" t="s">
        <v>432</v>
      </c>
      <c r="E129" s="20" t="s">
        <v>330</v>
      </c>
      <c r="F129" s="20" t="s">
        <v>132</v>
      </c>
      <c r="G129" s="31" t="n">
        <f aca="false">SUMIFS('QB Import'!$B$1:$B$600,'QB Import'!$H$1:$H$600,$C129,'QB Import'!$G$1:$G$600,1)</f>
        <v>3500</v>
      </c>
      <c r="H129" s="11" t="n">
        <f aca="false">IF($E129="Manual",L129,IF($E129="Flat",G129,IF($E129="Inflation",G129*(1+Inputs!D$12),IF($E129="Salary",G129*(1+Inputs!D$10),IF($E129="Benefits",G129*(1+Inputs!D$11),IF($E129="Per Student",G129*H$4/G$4*(1+Inputs!D$12),IF($E129="Enrollment",G129*H$4/G$4,IF($E129="Tuition Index",G129*H$5/G$5,IF($E129="% of Salaries",IF($G$6=0,0,$G129/$G$6*H$6),IF($E129="Debt",$G129*Inputs!D$15/12,IF($E129="Reserve Yield",Inputs!D$13*Inputs!D$16,IF($E129="Trend",IF(ISNUMBER(Trend!$Q168),Trend!$Q168,G129),G129))))))))))))</f>
        <v>3605</v>
      </c>
      <c r="I129" s="11" t="n">
        <f aca="false">IF($E129="Manual",M129,IF($E129="Flat",H129,IF($E129="Inflation",H129*(1+Inputs!E$12),IF($E129="Salary",H129*(1+Inputs!E$10),IF($E129="Benefits",H129*(1+Inputs!E$11),IF($E129="Per Student",H129*I$4/H$4*(1+Inputs!E$12),IF($E129="Enrollment",H129*I$4/H$4,IF($E129="Tuition Index",H129*I$5/H$5,IF($E129="% of Salaries",IF($G$6=0,0,$G129/$G$6*I$6),IF($E129="Debt",$G129*Inputs!E$15/12,IF($E129="Reserve Yield",Inputs!E$13*Inputs!E$16,IF($E129="Trend",H129*(1+Inputs!E$12),H129))))))))))))</f>
        <v>3713.15</v>
      </c>
      <c r="J129" s="11" t="n">
        <f aca="false">IF($E129="Manual",N129,IF($E129="Flat",I129,IF($E129="Inflation",I129*(1+Inputs!F$12),IF($E129="Salary",I129*(1+Inputs!F$10),IF($E129="Benefits",I129*(1+Inputs!F$11),IF($E129="Per Student",I129*J$4/I$4*(1+Inputs!F$12),IF($E129="Enrollment",I129*J$4/I$4,IF($E129="Tuition Index",I129*J$5/I$5,IF($E129="% of Salaries",IF($G$6=0,0,$G129/$G$6*J$6),IF($E129="Debt",$G129*Inputs!F$15/12,IF($E129="Reserve Yield",Inputs!F$13*Inputs!F$16,IF($E129="Trend",I129*(1+Inputs!F$12),I129))))))))))))</f>
        <v>3824.5445</v>
      </c>
      <c r="K129" s="11" t="n">
        <f aca="false">IF($E129="Manual",O129,IF($E129="Flat",J129,IF($E129="Inflation",J129*(1+Inputs!G$12),IF($E129="Salary",J129*(1+Inputs!G$10),IF($E129="Benefits",J129*(1+Inputs!G$11),IF($E129="Per Student",J129*K$4/J$4*(1+Inputs!G$12),IF($E129="Enrollment",J129*K$4/J$4,IF($E129="Tuition Index",J129*K$5/J$5,IF($E129="% of Salaries",IF($G$6=0,0,$G129/$G$6*K$6),IF($E129="Debt",$G129*Inputs!G$15/12,IF($E129="Reserve Yield",Inputs!G$13*Inputs!G$16,IF($E129="Trend",J129*(1+Inputs!G$12),J129))))))))))))</f>
        <v>3939.280835</v>
      </c>
      <c r="L129" s="22"/>
      <c r="M129" s="22"/>
      <c r="N129" s="22"/>
      <c r="O129" s="22"/>
    </row>
    <row r="130" customFormat="false" ht="15" hidden="false" customHeight="false" outlineLevel="0" collapsed="false">
      <c r="A130" s="6" t="s">
        <v>295</v>
      </c>
      <c r="B130" s="6" t="s">
        <v>16</v>
      </c>
      <c r="C130" s="30" t="s">
        <v>433</v>
      </c>
      <c r="D130" s="6" t="s">
        <v>433</v>
      </c>
      <c r="E130" s="20" t="s">
        <v>434</v>
      </c>
      <c r="F130" s="20" t="s">
        <v>132</v>
      </c>
      <c r="G130" s="31" t="n">
        <f aca="false">SUMIFS('QB Import'!$B$1:$B$600,'QB Import'!$H$1:$H$600,$C130,'QB Import'!$G$1:$G$600,1)</f>
        <v>730000</v>
      </c>
      <c r="H130" s="11" t="n">
        <f aca="false">IF($E130="Manual",L130,IF($E130="Flat",G130,IF($E130="Inflation",G130*(1+Inputs!D$12),IF($E130="Salary",G130*(1+Inputs!D$10),IF($E130="Benefits",G130*(1+Inputs!D$11),IF($E130="Per Student",G130*H$4/G$4*(1+Inputs!D$12),IF($E130="Enrollment",G130*H$4/G$4,IF($E130="Tuition Index",G130*H$5/G$5,IF($E130="% of Salaries",IF($G$6=0,0,$G130/$G$6*H$6),IF($E130="Debt",$G130*Inputs!D$15/12,IF($E130="Reserve Yield",Inputs!D$13*Inputs!D$16,IF($E130="Trend",IF(ISNUMBER(Trend!$Q169),Trend!$Q169,G130),G130))))))))))))</f>
        <v>763527.319587629</v>
      </c>
      <c r="I130" s="11" t="n">
        <f aca="false">IF($E130="Manual",M130,IF($E130="Flat",H130,IF($E130="Inflation",H130*(1+Inputs!E$12),IF($E130="Salary",H130*(1+Inputs!E$10),IF($E130="Benefits",H130*(1+Inputs!E$11),IF($E130="Per Student",H130*I$4/H$4*(1+Inputs!E$12),IF($E130="Enrollment",H130*I$4/H$4,IF($E130="Tuition Index",H130*I$5/H$5,IF($E130="% of Salaries",IF($G$6=0,0,$G130/$G$6*I$6),IF($E130="Debt",$G130*Inputs!E$15/12,IF($E130="Reserve Yield",Inputs!E$13*Inputs!E$16,IF($E130="Trend",H130*(1+Inputs!E$12),H130))))))))))))</f>
        <v>782441.092783505</v>
      </c>
      <c r="J130" s="11" t="n">
        <f aca="false">IF($E130="Manual",N130,IF($E130="Flat",I130,IF($E130="Inflation",I130*(1+Inputs!F$12),IF($E130="Salary",I130*(1+Inputs!F$10),IF($E130="Benefits",I130*(1+Inputs!F$11),IF($E130="Per Student",I130*J$4/I$4*(1+Inputs!F$12),IF($E130="Enrollment",I130*J$4/I$4,IF($E130="Tuition Index",I130*J$5/I$5,IF($E130="% of Salaries",IF($G$6=0,0,$G130/$G$6*J$6),IF($E130="Debt",$G130*Inputs!F$15/12,IF($E130="Reserve Yield",Inputs!F$13*Inputs!F$16,IF($E130="Trend",I130*(1+Inputs!F$12),I130))))))))))))</f>
        <v>799061.312594502</v>
      </c>
      <c r="K130" s="11" t="n">
        <f aca="false">IF($E130="Manual",O130,IF($E130="Flat",J130,IF($E130="Inflation",J130*(1+Inputs!G$12),IF($E130="Salary",J130*(1+Inputs!G$10),IF($E130="Benefits",J130*(1+Inputs!G$11),IF($E130="Per Student",J130*K$4/J$4*(1+Inputs!G$12),IF($E130="Enrollment",J130*K$4/J$4,IF($E130="Tuition Index",J130*K$5/J$5,IF($E130="% of Salaries",IF($G$6=0,0,$G130/$G$6*K$6),IF($E130="Debt",$G130*Inputs!G$15/12,IF($E130="Reserve Yield",Inputs!G$13*Inputs!G$16,IF($E130="Trend",J130*(1+Inputs!G$12),J130))))))))))))</f>
        <v>817386.26928299</v>
      </c>
      <c r="L130" s="22"/>
      <c r="M130" s="22"/>
      <c r="N130" s="22"/>
      <c r="O130" s="22"/>
    </row>
    <row r="131" customFormat="false" ht="15" hidden="false" customHeight="false" outlineLevel="0" collapsed="false">
      <c r="A131" s="6" t="s">
        <v>295</v>
      </c>
      <c r="B131" s="6" t="s">
        <v>16</v>
      </c>
      <c r="C131" s="30" t="s">
        <v>435</v>
      </c>
      <c r="D131" s="6" t="s">
        <v>436</v>
      </c>
      <c r="E131" s="20" t="s">
        <v>330</v>
      </c>
      <c r="F131" s="20" t="s">
        <v>132</v>
      </c>
      <c r="G131" s="31" t="n">
        <f aca="false">SUMIFS('QB Import'!$B$1:$B$600,'QB Import'!$H$1:$H$600,$C131,'QB Import'!$G$1:$G$600,1)</f>
        <v>132000</v>
      </c>
      <c r="H131" s="11" t="n">
        <f aca="false">IF($E131="Manual",L131,IF($E131="Flat",G131,IF($E131="Inflation",G131*(1+Inputs!D$12),IF($E131="Salary",G131*(1+Inputs!D$10),IF($E131="Benefits",G131*(1+Inputs!D$11),IF($E131="Per Student",G131*H$4/G$4*(1+Inputs!D$12),IF($E131="Enrollment",G131*H$4/G$4,IF($E131="Tuition Index",G131*H$5/G$5,IF($E131="% of Salaries",IF($G$6=0,0,$G131/$G$6*H$6),IF($E131="Debt",$G131*Inputs!D$15/12,IF($E131="Reserve Yield",Inputs!D$13*Inputs!D$16,IF($E131="Trend",IF(ISNUMBER(Trend!$Q170),Trend!$Q170,G131),G131))))))))))))</f>
        <v>135960</v>
      </c>
      <c r="I131" s="11" t="n">
        <f aca="false">IF($E131="Manual",M131,IF($E131="Flat",H131,IF($E131="Inflation",H131*(1+Inputs!E$12),IF($E131="Salary",H131*(1+Inputs!E$10),IF($E131="Benefits",H131*(1+Inputs!E$11),IF($E131="Per Student",H131*I$4/H$4*(1+Inputs!E$12),IF($E131="Enrollment",H131*I$4/H$4,IF($E131="Tuition Index",H131*I$5/H$5,IF($E131="% of Salaries",IF($G$6=0,0,$G131/$G$6*I$6),IF($E131="Debt",$G131*Inputs!E$15/12,IF($E131="Reserve Yield",Inputs!E$13*Inputs!E$16,IF($E131="Trend",H131*(1+Inputs!E$12),H131))))))))))))</f>
        <v>140038.8</v>
      </c>
      <c r="J131" s="11" t="n">
        <f aca="false">IF($E131="Manual",N131,IF($E131="Flat",I131,IF($E131="Inflation",I131*(1+Inputs!F$12),IF($E131="Salary",I131*(1+Inputs!F$10),IF($E131="Benefits",I131*(1+Inputs!F$11),IF($E131="Per Student",I131*J$4/I$4*(1+Inputs!F$12),IF($E131="Enrollment",I131*J$4/I$4,IF($E131="Tuition Index",I131*J$5/I$5,IF($E131="% of Salaries",IF($G$6=0,0,$G131/$G$6*J$6),IF($E131="Debt",$G131*Inputs!F$15/12,IF($E131="Reserve Yield",Inputs!F$13*Inputs!F$16,IF($E131="Trend",I131*(1+Inputs!F$12),I131))))))))))))</f>
        <v>144239.964</v>
      </c>
      <c r="K131" s="11" t="n">
        <f aca="false">IF($E131="Manual",O131,IF($E131="Flat",J131,IF($E131="Inflation",J131*(1+Inputs!G$12),IF($E131="Salary",J131*(1+Inputs!G$10),IF($E131="Benefits",J131*(1+Inputs!G$11),IF($E131="Per Student",J131*K$4/J$4*(1+Inputs!G$12),IF($E131="Enrollment",J131*K$4/J$4,IF($E131="Tuition Index",J131*K$5/J$5,IF($E131="% of Salaries",IF($G$6=0,0,$G131/$G$6*K$6),IF($E131="Debt",$G131*Inputs!G$15/12,IF($E131="Reserve Yield",Inputs!G$13*Inputs!G$16,IF($E131="Trend",J131*(1+Inputs!G$12),J131))))))))))))</f>
        <v>148567.16292</v>
      </c>
      <c r="L131" s="22"/>
      <c r="M131" s="22"/>
      <c r="N131" s="22"/>
      <c r="O131" s="22"/>
    </row>
    <row r="132" customFormat="false" ht="15" hidden="false" customHeight="false" outlineLevel="0" collapsed="false">
      <c r="A132" s="6" t="s">
        <v>295</v>
      </c>
      <c r="B132" s="6" t="s">
        <v>16</v>
      </c>
      <c r="C132" s="30" t="s">
        <v>437</v>
      </c>
      <c r="D132" s="6" t="s">
        <v>438</v>
      </c>
      <c r="E132" s="20" t="s">
        <v>330</v>
      </c>
      <c r="F132" s="20" t="s">
        <v>132</v>
      </c>
      <c r="G132" s="31" t="n">
        <f aca="false">SUMIFS('QB Import'!$B$1:$B$600,'QB Import'!$H$1:$H$600,$C132,'QB Import'!$G$1:$G$600,1)</f>
        <v>40000</v>
      </c>
      <c r="H132" s="11" t="n">
        <f aca="false">IF($E132="Manual",L132,IF($E132="Flat",G132,IF($E132="Inflation",G132*(1+Inputs!D$12),IF($E132="Salary",G132*(1+Inputs!D$10),IF($E132="Benefits",G132*(1+Inputs!D$11),IF($E132="Per Student",G132*H$4/G$4*(1+Inputs!D$12),IF($E132="Enrollment",G132*H$4/G$4,IF($E132="Tuition Index",G132*H$5/G$5,IF($E132="% of Salaries",IF($G$6=0,0,$G132/$G$6*H$6),IF($E132="Debt",$G132*Inputs!D$15/12,IF($E132="Reserve Yield",Inputs!D$13*Inputs!D$16,IF($E132="Trend",IF(ISNUMBER(Trend!$Q171),Trend!$Q171,G132),G132))))))))))))</f>
        <v>41200</v>
      </c>
      <c r="I132" s="11" t="n">
        <f aca="false">IF($E132="Manual",M132,IF($E132="Flat",H132,IF($E132="Inflation",H132*(1+Inputs!E$12),IF($E132="Salary",H132*(1+Inputs!E$10),IF($E132="Benefits",H132*(1+Inputs!E$11),IF($E132="Per Student",H132*I$4/H$4*(1+Inputs!E$12),IF($E132="Enrollment",H132*I$4/H$4,IF($E132="Tuition Index",H132*I$5/H$5,IF($E132="% of Salaries",IF($G$6=0,0,$G132/$G$6*I$6),IF($E132="Debt",$G132*Inputs!E$15/12,IF($E132="Reserve Yield",Inputs!E$13*Inputs!E$16,IF($E132="Trend",H132*(1+Inputs!E$12),H132))))))))))))</f>
        <v>42436</v>
      </c>
      <c r="J132" s="11" t="n">
        <f aca="false">IF($E132="Manual",N132,IF($E132="Flat",I132,IF($E132="Inflation",I132*(1+Inputs!F$12),IF($E132="Salary",I132*(1+Inputs!F$10),IF($E132="Benefits",I132*(1+Inputs!F$11),IF($E132="Per Student",I132*J$4/I$4*(1+Inputs!F$12),IF($E132="Enrollment",I132*J$4/I$4,IF($E132="Tuition Index",I132*J$5/I$5,IF($E132="% of Salaries",IF($G$6=0,0,$G132/$G$6*J$6),IF($E132="Debt",$G132*Inputs!F$15/12,IF($E132="Reserve Yield",Inputs!F$13*Inputs!F$16,IF($E132="Trend",I132*(1+Inputs!F$12),I132))))))))))))</f>
        <v>43709.08</v>
      </c>
      <c r="K132" s="11" t="n">
        <f aca="false">IF($E132="Manual",O132,IF($E132="Flat",J132,IF($E132="Inflation",J132*(1+Inputs!G$12),IF($E132="Salary",J132*(1+Inputs!G$10),IF($E132="Benefits",J132*(1+Inputs!G$11),IF($E132="Per Student",J132*K$4/J$4*(1+Inputs!G$12),IF($E132="Enrollment",J132*K$4/J$4,IF($E132="Tuition Index",J132*K$5/J$5,IF($E132="% of Salaries",IF($G$6=0,0,$G132/$G$6*K$6),IF($E132="Debt",$G132*Inputs!G$15/12,IF($E132="Reserve Yield",Inputs!G$13*Inputs!G$16,IF($E132="Trend",J132*(1+Inputs!G$12),J132))))))))))))</f>
        <v>45020.3524</v>
      </c>
      <c r="L132" s="22"/>
      <c r="M132" s="22"/>
      <c r="N132" s="22"/>
      <c r="O132" s="22"/>
    </row>
    <row r="133" customFormat="false" ht="15" hidden="false" customHeight="false" outlineLevel="0" collapsed="false">
      <c r="A133" s="6" t="s">
        <v>295</v>
      </c>
      <c r="B133" s="6" t="s">
        <v>16</v>
      </c>
      <c r="C133" s="30" t="s">
        <v>439</v>
      </c>
      <c r="D133" s="6" t="s">
        <v>440</v>
      </c>
      <c r="E133" s="20" t="s">
        <v>330</v>
      </c>
      <c r="F133" s="20" t="s">
        <v>132</v>
      </c>
      <c r="G133" s="31" t="n">
        <f aca="false">SUMIFS('QB Import'!$B$1:$B$600,'QB Import'!$H$1:$H$600,$C133,'QB Import'!$G$1:$G$600,1)</f>
        <v>60500</v>
      </c>
      <c r="H133" s="11" t="n">
        <f aca="false">IF($E133="Manual",L133,IF($E133="Flat",G133,IF($E133="Inflation",G133*(1+Inputs!D$12),IF($E133="Salary",G133*(1+Inputs!D$10),IF($E133="Benefits",G133*(1+Inputs!D$11),IF($E133="Per Student",G133*H$4/G$4*(1+Inputs!D$12),IF($E133="Enrollment",G133*H$4/G$4,IF($E133="Tuition Index",G133*H$5/G$5,IF($E133="% of Salaries",IF($G$6=0,0,$G133/$G$6*H$6),IF($E133="Debt",$G133*Inputs!D$15/12,IF($E133="Reserve Yield",Inputs!D$13*Inputs!D$16,IF($E133="Trend",IF(ISNUMBER(Trend!$Q172),Trend!$Q172,G133),G133))))))))))))</f>
        <v>62315</v>
      </c>
      <c r="I133" s="11" t="n">
        <f aca="false">IF($E133="Manual",M133,IF($E133="Flat",H133,IF($E133="Inflation",H133*(1+Inputs!E$12),IF($E133="Salary",H133*(1+Inputs!E$10),IF($E133="Benefits",H133*(1+Inputs!E$11),IF($E133="Per Student",H133*I$4/H$4*(1+Inputs!E$12),IF($E133="Enrollment",H133*I$4/H$4,IF($E133="Tuition Index",H133*I$5/H$5,IF($E133="% of Salaries",IF($G$6=0,0,$G133/$G$6*I$6),IF($E133="Debt",$G133*Inputs!E$15/12,IF($E133="Reserve Yield",Inputs!E$13*Inputs!E$16,IF($E133="Trend",H133*(1+Inputs!E$12),H133))))))))))))</f>
        <v>64184.45</v>
      </c>
      <c r="J133" s="11" t="n">
        <f aca="false">IF($E133="Manual",N133,IF($E133="Flat",I133,IF($E133="Inflation",I133*(1+Inputs!F$12),IF($E133="Salary",I133*(1+Inputs!F$10),IF($E133="Benefits",I133*(1+Inputs!F$11),IF($E133="Per Student",I133*J$4/I$4*(1+Inputs!F$12),IF($E133="Enrollment",I133*J$4/I$4,IF($E133="Tuition Index",I133*J$5/I$5,IF($E133="% of Salaries",IF($G$6=0,0,$G133/$G$6*J$6),IF($E133="Debt",$G133*Inputs!F$15/12,IF($E133="Reserve Yield",Inputs!F$13*Inputs!F$16,IF($E133="Trend",I133*(1+Inputs!F$12),I133))))))))))))</f>
        <v>66109.9835</v>
      </c>
      <c r="K133" s="11" t="n">
        <f aca="false">IF($E133="Manual",O133,IF($E133="Flat",J133,IF($E133="Inflation",J133*(1+Inputs!G$12),IF($E133="Salary",J133*(1+Inputs!G$10),IF($E133="Benefits",J133*(1+Inputs!G$11),IF($E133="Per Student",J133*K$4/J$4*(1+Inputs!G$12),IF($E133="Enrollment",J133*K$4/J$4,IF($E133="Tuition Index",J133*K$5/J$5,IF($E133="% of Salaries",IF($G$6=0,0,$G133/$G$6*K$6),IF($E133="Debt",$G133*Inputs!G$15/12,IF($E133="Reserve Yield",Inputs!G$13*Inputs!G$16,IF($E133="Trend",J133*(1+Inputs!G$12),J133))))))))))))</f>
        <v>68093.283005</v>
      </c>
      <c r="L133" s="22"/>
      <c r="M133" s="22"/>
      <c r="N133" s="22"/>
      <c r="O133" s="22"/>
    </row>
    <row r="134" customFormat="false" ht="15" hidden="false" customHeight="false" outlineLevel="0" collapsed="false">
      <c r="A134" s="6" t="s">
        <v>295</v>
      </c>
      <c r="B134" s="6" t="s">
        <v>16</v>
      </c>
      <c r="C134" s="30" t="s">
        <v>441</v>
      </c>
      <c r="D134" s="6" t="s">
        <v>442</v>
      </c>
      <c r="E134" s="20" t="s">
        <v>200</v>
      </c>
      <c r="F134" s="20" t="s">
        <v>132</v>
      </c>
      <c r="G134" s="31" t="n">
        <f aca="false">SUMIFS('QB Import'!$B$1:$B$600,'QB Import'!$H$1:$H$600,$C134,'QB Import'!$G$1:$G$600,1)</f>
        <v>0</v>
      </c>
      <c r="H134" s="11" t="n">
        <f aca="false">IF($E134="Manual",L134,IF($E134="Flat",G134,IF($E134="Inflation",G134*(1+Inputs!D$12),IF($E134="Salary",G134*(1+Inputs!D$10),IF($E134="Benefits",G134*(1+Inputs!D$11),IF($E134="Per Student",G134*H$4/G$4*(1+Inputs!D$12),IF($E134="Enrollment",G134*H$4/G$4,IF($E134="Tuition Index",G134*H$5/G$5,IF($E134="% of Salaries",IF($G$6=0,0,$G134/$G$6*H$6),IF($E134="Debt",$G134*Inputs!D$15/12,IF($E134="Reserve Yield",Inputs!D$13*Inputs!D$16,IF($E134="Trend",IF(ISNUMBER(Trend!$Q173),Trend!$Q173,G134),G134))))))))))))</f>
        <v>0</v>
      </c>
      <c r="I134" s="11" t="n">
        <f aca="false">IF($E134="Manual",M134,IF($E134="Flat",H134,IF($E134="Inflation",H134*(1+Inputs!E$12),IF($E134="Salary",H134*(1+Inputs!E$10),IF($E134="Benefits",H134*(1+Inputs!E$11),IF($E134="Per Student",H134*I$4/H$4*(1+Inputs!E$12),IF($E134="Enrollment",H134*I$4/H$4,IF($E134="Tuition Index",H134*I$5/H$5,IF($E134="% of Salaries",IF($G$6=0,0,$G134/$G$6*I$6),IF($E134="Debt",$G134*Inputs!E$15/12,IF($E134="Reserve Yield",Inputs!E$13*Inputs!E$16,IF($E134="Trend",H134*(1+Inputs!E$12),H134))))))))))))</f>
        <v>0</v>
      </c>
      <c r="J134" s="11" t="n">
        <f aca="false">IF($E134="Manual",N134,IF($E134="Flat",I134,IF($E134="Inflation",I134*(1+Inputs!F$12),IF($E134="Salary",I134*(1+Inputs!F$10),IF($E134="Benefits",I134*(1+Inputs!F$11),IF($E134="Per Student",I134*J$4/I$4*(1+Inputs!F$12),IF($E134="Enrollment",I134*J$4/I$4,IF($E134="Tuition Index",I134*J$5/I$5,IF($E134="% of Salaries",IF($G$6=0,0,$G134/$G$6*J$6),IF($E134="Debt",$G134*Inputs!F$15/12,IF($E134="Reserve Yield",Inputs!F$13*Inputs!F$16,IF($E134="Trend",I134*(1+Inputs!F$12),I134))))))))))))</f>
        <v>0</v>
      </c>
      <c r="K134" s="11" t="n">
        <f aca="false">IF($E134="Manual",O134,IF($E134="Flat",J134,IF($E134="Inflation",J134*(1+Inputs!G$12),IF($E134="Salary",J134*(1+Inputs!G$10),IF($E134="Benefits",J134*(1+Inputs!G$11),IF($E134="Per Student",J134*K$4/J$4*(1+Inputs!G$12),IF($E134="Enrollment",J134*K$4/J$4,IF($E134="Tuition Index",J134*K$5/J$5,IF($E134="% of Salaries",IF($G$6=0,0,$G134/$G$6*K$6),IF($E134="Debt",$G134*Inputs!G$15/12,IF($E134="Reserve Yield",Inputs!G$13*Inputs!G$16,IF($E134="Trend",J134*(1+Inputs!G$12),J134))))))))))))</f>
        <v>0</v>
      </c>
      <c r="L134" s="22"/>
      <c r="M134" s="22"/>
      <c r="N134" s="22"/>
      <c r="O134" s="22"/>
    </row>
    <row r="135" customFormat="false" ht="15" hidden="false" customHeight="false" outlineLevel="0" collapsed="false">
      <c r="A135" s="6" t="s">
        <v>295</v>
      </c>
      <c r="B135" s="6" t="s">
        <v>16</v>
      </c>
      <c r="C135" s="30" t="s">
        <v>443</v>
      </c>
      <c r="D135" s="6" t="s">
        <v>444</v>
      </c>
      <c r="E135" s="20" t="s">
        <v>330</v>
      </c>
      <c r="F135" s="20" t="s">
        <v>132</v>
      </c>
      <c r="G135" s="31" t="n">
        <f aca="false">SUMIFS('QB Import'!$B$1:$B$600,'QB Import'!$H$1:$H$600,$C135,'QB Import'!$G$1:$G$600,1)</f>
        <v>135000</v>
      </c>
      <c r="H135" s="11" t="n">
        <f aca="false">IF($E135="Manual",L135,IF($E135="Flat",G135,IF($E135="Inflation",G135*(1+Inputs!D$12),IF($E135="Salary",G135*(1+Inputs!D$10),IF($E135="Benefits",G135*(1+Inputs!D$11),IF($E135="Per Student",G135*H$4/G$4*(1+Inputs!D$12),IF($E135="Enrollment",G135*H$4/G$4,IF($E135="Tuition Index",G135*H$5/G$5,IF($E135="% of Salaries",IF($G$6=0,0,$G135/$G$6*H$6),IF($E135="Debt",$G135*Inputs!D$15/12,IF($E135="Reserve Yield",Inputs!D$13*Inputs!D$16,IF($E135="Trend",IF(ISNUMBER(Trend!$Q174),Trend!$Q174,G135),G135))))))))))))</f>
        <v>139050</v>
      </c>
      <c r="I135" s="11" t="n">
        <f aca="false">IF($E135="Manual",M135,IF($E135="Flat",H135,IF($E135="Inflation",H135*(1+Inputs!E$12),IF($E135="Salary",H135*(1+Inputs!E$10),IF($E135="Benefits",H135*(1+Inputs!E$11),IF($E135="Per Student",H135*I$4/H$4*(1+Inputs!E$12),IF($E135="Enrollment",H135*I$4/H$4,IF($E135="Tuition Index",H135*I$5/H$5,IF($E135="% of Salaries",IF($G$6=0,0,$G135/$G$6*I$6),IF($E135="Debt",$G135*Inputs!E$15/12,IF($E135="Reserve Yield",Inputs!E$13*Inputs!E$16,IF($E135="Trend",H135*(1+Inputs!E$12),H135))))))))))))</f>
        <v>143221.5</v>
      </c>
      <c r="J135" s="11" t="n">
        <f aca="false">IF($E135="Manual",N135,IF($E135="Flat",I135,IF($E135="Inflation",I135*(1+Inputs!F$12),IF($E135="Salary",I135*(1+Inputs!F$10),IF($E135="Benefits",I135*(1+Inputs!F$11),IF($E135="Per Student",I135*J$4/I$4*(1+Inputs!F$12),IF($E135="Enrollment",I135*J$4/I$4,IF($E135="Tuition Index",I135*J$5/I$5,IF($E135="% of Salaries",IF($G$6=0,0,$G135/$G$6*J$6),IF($E135="Debt",$G135*Inputs!F$15/12,IF($E135="Reserve Yield",Inputs!F$13*Inputs!F$16,IF($E135="Trend",I135*(1+Inputs!F$12),I135))))))))))))</f>
        <v>147518.145</v>
      </c>
      <c r="K135" s="11" t="n">
        <f aca="false">IF($E135="Manual",O135,IF($E135="Flat",J135,IF($E135="Inflation",J135*(1+Inputs!G$12),IF($E135="Salary",J135*(1+Inputs!G$10),IF($E135="Benefits",J135*(1+Inputs!G$11),IF($E135="Per Student",J135*K$4/J$4*(1+Inputs!G$12),IF($E135="Enrollment",J135*K$4/J$4,IF($E135="Tuition Index",J135*K$5/J$5,IF($E135="% of Salaries",IF($G$6=0,0,$G135/$G$6*K$6),IF($E135="Debt",$G135*Inputs!G$15/12,IF($E135="Reserve Yield",Inputs!G$13*Inputs!G$16,IF($E135="Trend",J135*(1+Inputs!G$12),J135))))))))))))</f>
        <v>151943.68935</v>
      </c>
      <c r="L135" s="22"/>
      <c r="M135" s="22"/>
      <c r="N135" s="22"/>
      <c r="O135" s="22"/>
    </row>
    <row r="136" customFormat="false" ht="15" hidden="false" customHeight="false" outlineLevel="0" collapsed="false">
      <c r="A136" s="6" t="s">
        <v>295</v>
      </c>
      <c r="B136" s="6" t="s">
        <v>16</v>
      </c>
      <c r="C136" s="30" t="s">
        <v>445</v>
      </c>
      <c r="D136" s="6" t="s">
        <v>446</v>
      </c>
      <c r="E136" s="20" t="s">
        <v>200</v>
      </c>
      <c r="F136" s="20" t="s">
        <v>132</v>
      </c>
      <c r="G136" s="31" t="n">
        <f aca="false">SUMIFS('QB Import'!$B$1:$B$600,'QB Import'!$H$1:$H$600,$C136,'QB Import'!$G$1:$G$600,1)</f>
        <v>0</v>
      </c>
      <c r="H136" s="11" t="n">
        <f aca="false">IF($E136="Manual",L136,IF($E136="Flat",G136,IF($E136="Inflation",G136*(1+Inputs!D$12),IF($E136="Salary",G136*(1+Inputs!D$10),IF($E136="Benefits",G136*(1+Inputs!D$11),IF($E136="Per Student",G136*H$4/G$4*(1+Inputs!D$12),IF($E136="Enrollment",G136*H$4/G$4,IF($E136="Tuition Index",G136*H$5/G$5,IF($E136="% of Salaries",IF($G$6=0,0,$G136/$G$6*H$6),IF($E136="Debt",$G136*Inputs!D$15/12,IF($E136="Reserve Yield",Inputs!D$13*Inputs!D$16,IF($E136="Trend",IF(ISNUMBER(Trend!$Q175),Trend!$Q175,G136),G136))))))))))))</f>
        <v>0</v>
      </c>
      <c r="I136" s="11" t="n">
        <f aca="false">IF($E136="Manual",M136,IF($E136="Flat",H136,IF($E136="Inflation",H136*(1+Inputs!E$12),IF($E136="Salary",H136*(1+Inputs!E$10),IF($E136="Benefits",H136*(1+Inputs!E$11),IF($E136="Per Student",H136*I$4/H$4*(1+Inputs!E$12),IF($E136="Enrollment",H136*I$4/H$4,IF($E136="Tuition Index",H136*I$5/H$5,IF($E136="% of Salaries",IF($G$6=0,0,$G136/$G$6*I$6),IF($E136="Debt",$G136*Inputs!E$15/12,IF($E136="Reserve Yield",Inputs!E$13*Inputs!E$16,IF($E136="Trend",H136*(1+Inputs!E$12),H136))))))))))))</f>
        <v>0</v>
      </c>
      <c r="J136" s="11" t="n">
        <f aca="false">IF($E136="Manual",N136,IF($E136="Flat",I136,IF($E136="Inflation",I136*(1+Inputs!F$12),IF($E136="Salary",I136*(1+Inputs!F$10),IF($E136="Benefits",I136*(1+Inputs!F$11),IF($E136="Per Student",I136*J$4/I$4*(1+Inputs!F$12),IF($E136="Enrollment",I136*J$4/I$4,IF($E136="Tuition Index",I136*J$5/I$5,IF($E136="% of Salaries",IF($G$6=0,0,$G136/$G$6*J$6),IF($E136="Debt",$G136*Inputs!F$15/12,IF($E136="Reserve Yield",Inputs!F$13*Inputs!F$16,IF($E136="Trend",I136*(1+Inputs!F$12),I136))))))))))))</f>
        <v>0</v>
      </c>
      <c r="K136" s="11" t="n">
        <f aca="false">IF($E136="Manual",O136,IF($E136="Flat",J136,IF($E136="Inflation",J136*(1+Inputs!G$12),IF($E136="Salary",J136*(1+Inputs!G$10),IF($E136="Benefits",J136*(1+Inputs!G$11),IF($E136="Per Student",J136*K$4/J$4*(1+Inputs!G$12),IF($E136="Enrollment",J136*K$4/J$4,IF($E136="Tuition Index",J136*K$5/J$5,IF($E136="% of Salaries",IF($G$6=0,0,$G136/$G$6*K$6),IF($E136="Debt",$G136*Inputs!G$15/12,IF($E136="Reserve Yield",Inputs!G$13*Inputs!G$16,IF($E136="Trend",J136*(1+Inputs!G$12),J136))))))))))))</f>
        <v>0</v>
      </c>
      <c r="L136" s="22"/>
      <c r="M136" s="22"/>
      <c r="N136" s="22"/>
      <c r="O136" s="22"/>
    </row>
    <row r="137" customFormat="false" ht="15" hidden="false" customHeight="false" outlineLevel="0" collapsed="false">
      <c r="A137" s="6" t="s">
        <v>295</v>
      </c>
      <c r="B137" s="6" t="s">
        <v>16</v>
      </c>
      <c r="C137" s="30" t="s">
        <v>447</v>
      </c>
      <c r="D137" s="6" t="s">
        <v>448</v>
      </c>
      <c r="E137" s="20" t="s">
        <v>330</v>
      </c>
      <c r="F137" s="20" t="s">
        <v>132</v>
      </c>
      <c r="G137" s="31" t="n">
        <f aca="false">SUMIFS('QB Import'!$B$1:$B$600,'QB Import'!$H$1:$H$600,$C137,'QB Import'!$G$1:$G$600,1)</f>
        <v>50000</v>
      </c>
      <c r="H137" s="11" t="n">
        <f aca="false">IF($E137="Manual",L137,IF($E137="Flat",G137,IF($E137="Inflation",G137*(1+Inputs!D$12),IF($E137="Salary",G137*(1+Inputs!D$10),IF($E137="Benefits",G137*(1+Inputs!D$11),IF($E137="Per Student",G137*H$4/G$4*(1+Inputs!D$12),IF($E137="Enrollment",G137*H$4/G$4,IF($E137="Tuition Index",G137*H$5/G$5,IF($E137="% of Salaries",IF($G$6=0,0,$G137/$G$6*H$6),IF($E137="Debt",$G137*Inputs!D$15/12,IF($E137="Reserve Yield",Inputs!D$13*Inputs!D$16,IF($E137="Trend",IF(ISNUMBER(Trend!$Q176),Trend!$Q176,G137),G137))))))))))))</f>
        <v>51500</v>
      </c>
      <c r="I137" s="11" t="n">
        <f aca="false">IF($E137="Manual",M137,IF($E137="Flat",H137,IF($E137="Inflation",H137*(1+Inputs!E$12),IF($E137="Salary",H137*(1+Inputs!E$10),IF($E137="Benefits",H137*(1+Inputs!E$11),IF($E137="Per Student",H137*I$4/H$4*(1+Inputs!E$12),IF($E137="Enrollment",H137*I$4/H$4,IF($E137="Tuition Index",H137*I$5/H$5,IF($E137="% of Salaries",IF($G$6=0,0,$G137/$G$6*I$6),IF($E137="Debt",$G137*Inputs!E$15/12,IF($E137="Reserve Yield",Inputs!E$13*Inputs!E$16,IF($E137="Trend",H137*(1+Inputs!E$12),H137))))))))))))</f>
        <v>53045</v>
      </c>
      <c r="J137" s="11" t="n">
        <f aca="false">IF($E137="Manual",N137,IF($E137="Flat",I137,IF($E137="Inflation",I137*(1+Inputs!F$12),IF($E137="Salary",I137*(1+Inputs!F$10),IF($E137="Benefits",I137*(1+Inputs!F$11),IF($E137="Per Student",I137*J$4/I$4*(1+Inputs!F$12),IF($E137="Enrollment",I137*J$4/I$4,IF($E137="Tuition Index",I137*J$5/I$5,IF($E137="% of Salaries",IF($G$6=0,0,$G137/$G$6*J$6),IF($E137="Debt",$G137*Inputs!F$15/12,IF($E137="Reserve Yield",Inputs!F$13*Inputs!F$16,IF($E137="Trend",I137*(1+Inputs!F$12),I137))))))))))))</f>
        <v>54636.35</v>
      </c>
      <c r="K137" s="11" t="n">
        <f aca="false">IF($E137="Manual",O137,IF($E137="Flat",J137,IF($E137="Inflation",J137*(1+Inputs!G$12),IF($E137="Salary",J137*(1+Inputs!G$10),IF($E137="Benefits",J137*(1+Inputs!G$11),IF($E137="Per Student",J137*K$4/J$4*(1+Inputs!G$12),IF($E137="Enrollment",J137*K$4/J$4,IF($E137="Tuition Index",J137*K$5/J$5,IF($E137="% of Salaries",IF($G$6=0,0,$G137/$G$6*K$6),IF($E137="Debt",$G137*Inputs!G$15/12,IF($E137="Reserve Yield",Inputs!G$13*Inputs!G$16,IF($E137="Trend",J137*(1+Inputs!G$12),J137))))))))))))</f>
        <v>56275.4405</v>
      </c>
      <c r="L137" s="22"/>
      <c r="M137" s="22"/>
      <c r="N137" s="22"/>
      <c r="O137" s="22"/>
    </row>
    <row r="138" customFormat="false" ht="15" hidden="false" customHeight="false" outlineLevel="0" collapsed="false">
      <c r="A138" s="6" t="s">
        <v>295</v>
      </c>
      <c r="B138" s="6" t="s">
        <v>16</v>
      </c>
      <c r="C138" s="30" t="s">
        <v>449</v>
      </c>
      <c r="D138" s="6" t="s">
        <v>450</v>
      </c>
      <c r="E138" s="20" t="s">
        <v>200</v>
      </c>
      <c r="F138" s="20" t="s">
        <v>132</v>
      </c>
      <c r="G138" s="31" t="n">
        <f aca="false">SUMIFS('QB Import'!$B$1:$B$600,'QB Import'!$H$1:$H$600,$C138,'QB Import'!$G$1:$G$600,1)</f>
        <v>0</v>
      </c>
      <c r="H138" s="11" t="n">
        <f aca="false">IF($E138="Manual",L138,IF($E138="Flat",G138,IF($E138="Inflation",G138*(1+Inputs!D$12),IF($E138="Salary",G138*(1+Inputs!D$10),IF($E138="Benefits",G138*(1+Inputs!D$11),IF($E138="Per Student",G138*H$4/G$4*(1+Inputs!D$12),IF($E138="Enrollment",G138*H$4/G$4,IF($E138="Tuition Index",G138*H$5/G$5,IF($E138="% of Salaries",IF($G$6=0,0,$G138/$G$6*H$6),IF($E138="Debt",$G138*Inputs!D$15/12,IF($E138="Reserve Yield",Inputs!D$13*Inputs!D$16,IF($E138="Trend",IF(ISNUMBER(Trend!$Q177),Trend!$Q177,G138),G138))))))))))))</f>
        <v>0</v>
      </c>
      <c r="I138" s="11" t="n">
        <f aca="false">IF($E138="Manual",M138,IF($E138="Flat",H138,IF($E138="Inflation",H138*(1+Inputs!E$12),IF($E138="Salary",H138*(1+Inputs!E$10),IF($E138="Benefits",H138*(1+Inputs!E$11),IF($E138="Per Student",H138*I$4/H$4*(1+Inputs!E$12),IF($E138="Enrollment",H138*I$4/H$4,IF($E138="Tuition Index",H138*I$5/H$5,IF($E138="% of Salaries",IF($G$6=0,0,$G138/$G$6*I$6),IF($E138="Debt",$G138*Inputs!E$15/12,IF($E138="Reserve Yield",Inputs!E$13*Inputs!E$16,IF($E138="Trend",H138*(1+Inputs!E$12),H138))))))))))))</f>
        <v>0</v>
      </c>
      <c r="J138" s="11" t="n">
        <f aca="false">IF($E138="Manual",N138,IF($E138="Flat",I138,IF($E138="Inflation",I138*(1+Inputs!F$12),IF($E138="Salary",I138*(1+Inputs!F$10),IF($E138="Benefits",I138*(1+Inputs!F$11),IF($E138="Per Student",I138*J$4/I$4*(1+Inputs!F$12),IF($E138="Enrollment",I138*J$4/I$4,IF($E138="Tuition Index",I138*J$5/I$5,IF($E138="% of Salaries",IF($G$6=0,0,$G138/$G$6*J$6),IF($E138="Debt",$G138*Inputs!F$15/12,IF($E138="Reserve Yield",Inputs!F$13*Inputs!F$16,IF($E138="Trend",I138*(1+Inputs!F$12),I138))))))))))))</f>
        <v>0</v>
      </c>
      <c r="K138" s="11" t="n">
        <f aca="false">IF($E138="Manual",O138,IF($E138="Flat",J138,IF($E138="Inflation",J138*(1+Inputs!G$12),IF($E138="Salary",J138*(1+Inputs!G$10),IF($E138="Benefits",J138*(1+Inputs!G$11),IF($E138="Per Student",J138*K$4/J$4*(1+Inputs!G$12),IF($E138="Enrollment",J138*K$4/J$4,IF($E138="Tuition Index",J138*K$5/J$5,IF($E138="% of Salaries",IF($G$6=0,0,$G138/$G$6*K$6),IF($E138="Debt",$G138*Inputs!G$15/12,IF($E138="Reserve Yield",Inputs!G$13*Inputs!G$16,IF($E138="Trend",J138*(1+Inputs!G$12),J138))))))))))))</f>
        <v>0</v>
      </c>
      <c r="L138" s="22"/>
      <c r="M138" s="22"/>
      <c r="N138" s="22"/>
      <c r="O138" s="22"/>
    </row>
    <row r="139" customFormat="false" ht="15" hidden="false" customHeight="false" outlineLevel="0" collapsed="false">
      <c r="A139" s="6" t="s">
        <v>295</v>
      </c>
      <c r="B139" s="6" t="s">
        <v>16</v>
      </c>
      <c r="C139" s="30" t="s">
        <v>451</v>
      </c>
      <c r="D139" s="6" t="s">
        <v>452</v>
      </c>
      <c r="E139" s="20" t="s">
        <v>200</v>
      </c>
      <c r="F139" s="20" t="s">
        <v>132</v>
      </c>
      <c r="G139" s="31" t="n">
        <f aca="false">SUMIFS('QB Import'!$B$1:$B$600,'QB Import'!$H$1:$H$600,$C139,'QB Import'!$G$1:$G$600,1)</f>
        <v>0</v>
      </c>
      <c r="H139" s="11" t="n">
        <f aca="false">IF($E139="Manual",L139,IF($E139="Flat",G139,IF($E139="Inflation",G139*(1+Inputs!D$12),IF($E139="Salary",G139*(1+Inputs!D$10),IF($E139="Benefits",G139*(1+Inputs!D$11),IF($E139="Per Student",G139*H$4/G$4*(1+Inputs!D$12),IF($E139="Enrollment",G139*H$4/G$4,IF($E139="Tuition Index",G139*H$5/G$5,IF($E139="% of Salaries",IF($G$6=0,0,$G139/$G$6*H$6),IF($E139="Debt",$G139*Inputs!D$15/12,IF($E139="Reserve Yield",Inputs!D$13*Inputs!D$16,IF($E139="Trend",IF(ISNUMBER(Trend!$Q178),Trend!$Q178,G139),G139))))))))))))</f>
        <v>0</v>
      </c>
      <c r="I139" s="11" t="n">
        <f aca="false">IF($E139="Manual",M139,IF($E139="Flat",H139,IF($E139="Inflation",H139*(1+Inputs!E$12),IF($E139="Salary",H139*(1+Inputs!E$10),IF($E139="Benefits",H139*(1+Inputs!E$11),IF($E139="Per Student",H139*I$4/H$4*(1+Inputs!E$12),IF($E139="Enrollment",H139*I$4/H$4,IF($E139="Tuition Index",H139*I$5/H$5,IF($E139="% of Salaries",IF($G$6=0,0,$G139/$G$6*I$6),IF($E139="Debt",$G139*Inputs!E$15/12,IF($E139="Reserve Yield",Inputs!E$13*Inputs!E$16,IF($E139="Trend",H139*(1+Inputs!E$12),H139))))))))))))</f>
        <v>0</v>
      </c>
      <c r="J139" s="11" t="n">
        <f aca="false">IF($E139="Manual",N139,IF($E139="Flat",I139,IF($E139="Inflation",I139*(1+Inputs!F$12),IF($E139="Salary",I139*(1+Inputs!F$10),IF($E139="Benefits",I139*(1+Inputs!F$11),IF($E139="Per Student",I139*J$4/I$4*(1+Inputs!F$12),IF($E139="Enrollment",I139*J$4/I$4,IF($E139="Tuition Index",I139*J$5/I$5,IF($E139="% of Salaries",IF($G$6=0,0,$G139/$G$6*J$6),IF($E139="Debt",$G139*Inputs!F$15/12,IF($E139="Reserve Yield",Inputs!F$13*Inputs!F$16,IF($E139="Trend",I139*(1+Inputs!F$12),I139))))))))))))</f>
        <v>0</v>
      </c>
      <c r="K139" s="11" t="n">
        <f aca="false">IF($E139="Manual",O139,IF($E139="Flat",J139,IF($E139="Inflation",J139*(1+Inputs!G$12),IF($E139="Salary",J139*(1+Inputs!G$10),IF($E139="Benefits",J139*(1+Inputs!G$11),IF($E139="Per Student",J139*K$4/J$4*(1+Inputs!G$12),IF($E139="Enrollment",J139*K$4/J$4,IF($E139="Tuition Index",J139*K$5/J$5,IF($E139="% of Salaries",IF($G$6=0,0,$G139/$G$6*K$6),IF($E139="Debt",$G139*Inputs!G$15/12,IF($E139="Reserve Yield",Inputs!G$13*Inputs!G$16,IF($E139="Trend",J139*(1+Inputs!G$12),J139))))))))))))</f>
        <v>0</v>
      </c>
      <c r="L139" s="22"/>
      <c r="M139" s="22"/>
      <c r="N139" s="22"/>
      <c r="O139" s="22"/>
    </row>
    <row r="140" customFormat="false" ht="15" hidden="false" customHeight="false" outlineLevel="0" collapsed="false">
      <c r="A140" s="6" t="s">
        <v>295</v>
      </c>
      <c r="B140" s="6" t="s">
        <v>16</v>
      </c>
      <c r="C140" s="30" t="s">
        <v>453</v>
      </c>
      <c r="D140" s="6" t="s">
        <v>454</v>
      </c>
      <c r="E140" s="20" t="s">
        <v>200</v>
      </c>
      <c r="F140" s="20" t="s">
        <v>132</v>
      </c>
      <c r="G140" s="31" t="n">
        <f aca="false">SUMIFS('QB Import'!$B$1:$B$600,'QB Import'!$H$1:$H$600,$C140,'QB Import'!$G$1:$G$600,1)</f>
        <v>0</v>
      </c>
      <c r="H140" s="11" t="n">
        <f aca="false">IF($E140="Manual",L140,IF($E140="Flat",G140,IF($E140="Inflation",G140*(1+Inputs!D$12),IF($E140="Salary",G140*(1+Inputs!D$10),IF($E140="Benefits",G140*(1+Inputs!D$11),IF($E140="Per Student",G140*H$4/G$4*(1+Inputs!D$12),IF($E140="Enrollment",G140*H$4/G$4,IF($E140="Tuition Index",G140*H$5/G$5,IF($E140="% of Salaries",IF($G$6=0,0,$G140/$G$6*H$6),IF($E140="Debt",$G140*Inputs!D$15/12,IF($E140="Reserve Yield",Inputs!D$13*Inputs!D$16,IF($E140="Trend",IF(ISNUMBER(Trend!$Q179),Trend!$Q179,G140),G140))))))))))))</f>
        <v>0</v>
      </c>
      <c r="I140" s="11" t="n">
        <f aca="false">IF($E140="Manual",M140,IF($E140="Flat",H140,IF($E140="Inflation",H140*(1+Inputs!E$12),IF($E140="Salary",H140*(1+Inputs!E$10),IF($E140="Benefits",H140*(1+Inputs!E$11),IF($E140="Per Student",H140*I$4/H$4*(1+Inputs!E$12),IF($E140="Enrollment",H140*I$4/H$4,IF($E140="Tuition Index",H140*I$5/H$5,IF($E140="% of Salaries",IF($G$6=0,0,$G140/$G$6*I$6),IF($E140="Debt",$G140*Inputs!E$15/12,IF($E140="Reserve Yield",Inputs!E$13*Inputs!E$16,IF($E140="Trend",H140*(1+Inputs!E$12),H140))))))))))))</f>
        <v>0</v>
      </c>
      <c r="J140" s="11" t="n">
        <f aca="false">IF($E140="Manual",N140,IF($E140="Flat",I140,IF($E140="Inflation",I140*(1+Inputs!F$12),IF($E140="Salary",I140*(1+Inputs!F$10),IF($E140="Benefits",I140*(1+Inputs!F$11),IF($E140="Per Student",I140*J$4/I$4*(1+Inputs!F$12),IF($E140="Enrollment",I140*J$4/I$4,IF($E140="Tuition Index",I140*J$5/I$5,IF($E140="% of Salaries",IF($G$6=0,0,$G140/$G$6*J$6),IF($E140="Debt",$G140*Inputs!F$15/12,IF($E140="Reserve Yield",Inputs!F$13*Inputs!F$16,IF($E140="Trend",I140*(1+Inputs!F$12),I140))))))))))))</f>
        <v>0</v>
      </c>
      <c r="K140" s="11" t="n">
        <f aca="false">IF($E140="Manual",O140,IF($E140="Flat",J140,IF($E140="Inflation",J140*(1+Inputs!G$12),IF($E140="Salary",J140*(1+Inputs!G$10),IF($E140="Benefits",J140*(1+Inputs!G$11),IF($E140="Per Student",J140*K$4/J$4*(1+Inputs!G$12),IF($E140="Enrollment",J140*K$4/J$4,IF($E140="Tuition Index",J140*K$5/J$5,IF($E140="% of Salaries",IF($G$6=0,0,$G140/$G$6*K$6),IF($E140="Debt",$G140*Inputs!G$15/12,IF($E140="Reserve Yield",Inputs!G$13*Inputs!G$16,IF($E140="Trend",J140*(1+Inputs!G$12),J140))))))))))))</f>
        <v>0</v>
      </c>
      <c r="L140" s="22"/>
      <c r="M140" s="22"/>
      <c r="N140" s="22"/>
      <c r="O140" s="22"/>
    </row>
    <row r="141" customFormat="false" ht="15" hidden="false" customHeight="false" outlineLevel="0" collapsed="false">
      <c r="A141" s="6" t="s">
        <v>295</v>
      </c>
      <c r="B141" s="6" t="s">
        <v>16</v>
      </c>
      <c r="C141" s="30" t="s">
        <v>455</v>
      </c>
      <c r="D141" s="6" t="s">
        <v>456</v>
      </c>
      <c r="E141" s="20" t="s">
        <v>200</v>
      </c>
      <c r="F141" s="20" t="s">
        <v>132</v>
      </c>
      <c r="G141" s="31" t="n">
        <f aca="false">SUMIFS('QB Import'!$B$1:$B$600,'QB Import'!$H$1:$H$600,$C141,'QB Import'!$G$1:$G$600,1)</f>
        <v>0</v>
      </c>
      <c r="H141" s="11" t="n">
        <f aca="false">IF($E141="Manual",L141,IF($E141="Flat",G141,IF($E141="Inflation",G141*(1+Inputs!D$12),IF($E141="Salary",G141*(1+Inputs!D$10),IF($E141="Benefits",G141*(1+Inputs!D$11),IF($E141="Per Student",G141*H$4/G$4*(1+Inputs!D$12),IF($E141="Enrollment",G141*H$4/G$4,IF($E141="Tuition Index",G141*H$5/G$5,IF($E141="% of Salaries",IF($G$6=0,0,$G141/$G$6*H$6),IF($E141="Debt",$G141*Inputs!D$15/12,IF($E141="Reserve Yield",Inputs!D$13*Inputs!D$16,IF($E141="Trend",IF(ISNUMBER(Trend!$Q180),Trend!$Q180,G141),G141))))))))))))</f>
        <v>0</v>
      </c>
      <c r="I141" s="11" t="n">
        <f aca="false">IF($E141="Manual",M141,IF($E141="Flat",H141,IF($E141="Inflation",H141*(1+Inputs!E$12),IF($E141="Salary",H141*(1+Inputs!E$10),IF($E141="Benefits",H141*(1+Inputs!E$11),IF($E141="Per Student",H141*I$4/H$4*(1+Inputs!E$12),IF($E141="Enrollment",H141*I$4/H$4,IF($E141="Tuition Index",H141*I$5/H$5,IF($E141="% of Salaries",IF($G$6=0,0,$G141/$G$6*I$6),IF($E141="Debt",$G141*Inputs!E$15/12,IF($E141="Reserve Yield",Inputs!E$13*Inputs!E$16,IF($E141="Trend",H141*(1+Inputs!E$12),H141))))))))))))</f>
        <v>0</v>
      </c>
      <c r="J141" s="11" t="n">
        <f aca="false">IF($E141="Manual",N141,IF($E141="Flat",I141,IF($E141="Inflation",I141*(1+Inputs!F$12),IF($E141="Salary",I141*(1+Inputs!F$10),IF($E141="Benefits",I141*(1+Inputs!F$11),IF($E141="Per Student",I141*J$4/I$4*(1+Inputs!F$12),IF($E141="Enrollment",I141*J$4/I$4,IF($E141="Tuition Index",I141*J$5/I$5,IF($E141="% of Salaries",IF($G$6=0,0,$G141/$G$6*J$6),IF($E141="Debt",$G141*Inputs!F$15/12,IF($E141="Reserve Yield",Inputs!F$13*Inputs!F$16,IF($E141="Trend",I141*(1+Inputs!F$12),I141))))))))))))</f>
        <v>0</v>
      </c>
      <c r="K141" s="11" t="n">
        <f aca="false">IF($E141="Manual",O141,IF($E141="Flat",J141,IF($E141="Inflation",J141*(1+Inputs!G$12),IF($E141="Salary",J141*(1+Inputs!G$10),IF($E141="Benefits",J141*(1+Inputs!G$11),IF($E141="Per Student",J141*K$4/J$4*(1+Inputs!G$12),IF($E141="Enrollment",J141*K$4/J$4,IF($E141="Tuition Index",J141*K$5/J$5,IF($E141="% of Salaries",IF($G$6=0,0,$G141/$G$6*K$6),IF($E141="Debt",$G141*Inputs!G$15/12,IF($E141="Reserve Yield",Inputs!G$13*Inputs!G$16,IF($E141="Trend",J141*(1+Inputs!G$12),J141))))))))))))</f>
        <v>0</v>
      </c>
      <c r="L141" s="22"/>
      <c r="M141" s="22"/>
      <c r="N141" s="22"/>
      <c r="O141" s="22"/>
    </row>
    <row r="142" customFormat="false" ht="15" hidden="false" customHeight="false" outlineLevel="0" collapsed="false">
      <c r="A142" s="6" t="s">
        <v>295</v>
      </c>
      <c r="B142" s="6" t="s">
        <v>16</v>
      </c>
      <c r="C142" s="30" t="s">
        <v>457</v>
      </c>
      <c r="D142" s="6" t="s">
        <v>458</v>
      </c>
      <c r="E142" s="20" t="s">
        <v>200</v>
      </c>
      <c r="F142" s="20" t="s">
        <v>132</v>
      </c>
      <c r="G142" s="31" t="n">
        <f aca="false">SUMIFS('QB Import'!$B$1:$B$600,'QB Import'!$H$1:$H$600,$C142,'QB Import'!$G$1:$G$600,1)</f>
        <v>0</v>
      </c>
      <c r="H142" s="11" t="n">
        <f aca="false">IF($E142="Manual",L142,IF($E142="Flat",G142,IF($E142="Inflation",G142*(1+Inputs!D$12),IF($E142="Salary",G142*(1+Inputs!D$10),IF($E142="Benefits",G142*(1+Inputs!D$11),IF($E142="Per Student",G142*H$4/G$4*(1+Inputs!D$12),IF($E142="Enrollment",G142*H$4/G$4,IF($E142="Tuition Index",G142*H$5/G$5,IF($E142="% of Salaries",IF($G$6=0,0,$G142/$G$6*H$6),IF($E142="Debt",$G142*Inputs!D$15/12,IF($E142="Reserve Yield",Inputs!D$13*Inputs!D$16,IF($E142="Trend",IF(ISNUMBER(Trend!$Q181),Trend!$Q181,G142),G142))))))))))))</f>
        <v>0</v>
      </c>
      <c r="I142" s="11" t="n">
        <f aca="false">IF($E142="Manual",M142,IF($E142="Flat",H142,IF($E142="Inflation",H142*(1+Inputs!E$12),IF($E142="Salary",H142*(1+Inputs!E$10),IF($E142="Benefits",H142*(1+Inputs!E$11),IF($E142="Per Student",H142*I$4/H$4*(1+Inputs!E$12),IF($E142="Enrollment",H142*I$4/H$4,IF($E142="Tuition Index",H142*I$5/H$5,IF($E142="% of Salaries",IF($G$6=0,0,$G142/$G$6*I$6),IF($E142="Debt",$G142*Inputs!E$15/12,IF($E142="Reserve Yield",Inputs!E$13*Inputs!E$16,IF($E142="Trend",H142*(1+Inputs!E$12),H142))))))))))))</f>
        <v>0</v>
      </c>
      <c r="J142" s="11" t="n">
        <f aca="false">IF($E142="Manual",N142,IF($E142="Flat",I142,IF($E142="Inflation",I142*(1+Inputs!F$12),IF($E142="Salary",I142*(1+Inputs!F$10),IF($E142="Benefits",I142*(1+Inputs!F$11),IF($E142="Per Student",I142*J$4/I$4*(1+Inputs!F$12),IF($E142="Enrollment",I142*J$4/I$4,IF($E142="Tuition Index",I142*J$5/I$5,IF($E142="% of Salaries",IF($G$6=0,0,$G142/$G$6*J$6),IF($E142="Debt",$G142*Inputs!F$15/12,IF($E142="Reserve Yield",Inputs!F$13*Inputs!F$16,IF($E142="Trend",I142*(1+Inputs!F$12),I142))))))))))))</f>
        <v>0</v>
      </c>
      <c r="K142" s="11" t="n">
        <f aca="false">IF($E142="Manual",O142,IF($E142="Flat",J142,IF($E142="Inflation",J142*(1+Inputs!G$12),IF($E142="Salary",J142*(1+Inputs!G$10),IF($E142="Benefits",J142*(1+Inputs!G$11),IF($E142="Per Student",J142*K$4/J$4*(1+Inputs!G$12),IF($E142="Enrollment",J142*K$4/J$4,IF($E142="Tuition Index",J142*K$5/J$5,IF($E142="% of Salaries",IF($G$6=0,0,$G142/$G$6*K$6),IF($E142="Debt",$G142*Inputs!G$15/12,IF($E142="Reserve Yield",Inputs!G$13*Inputs!G$16,IF($E142="Trend",J142*(1+Inputs!G$12),J142))))))))))))</f>
        <v>0</v>
      </c>
      <c r="L142" s="22"/>
      <c r="M142" s="22"/>
      <c r="N142" s="22"/>
      <c r="O142" s="22"/>
    </row>
    <row r="143" customFormat="false" ht="15" hidden="false" customHeight="false" outlineLevel="0" collapsed="false">
      <c r="A143" s="6" t="s">
        <v>295</v>
      </c>
      <c r="B143" s="6" t="s">
        <v>16</v>
      </c>
      <c r="C143" s="30" t="s">
        <v>459</v>
      </c>
      <c r="D143" s="6" t="s">
        <v>460</v>
      </c>
      <c r="E143" s="20" t="s">
        <v>200</v>
      </c>
      <c r="F143" s="20" t="s">
        <v>132</v>
      </c>
      <c r="G143" s="31" t="n">
        <f aca="false">SUMIFS('QB Import'!$B$1:$B$600,'QB Import'!$H$1:$H$600,$C143,'QB Import'!$G$1:$G$600,1)</f>
        <v>0</v>
      </c>
      <c r="H143" s="11" t="n">
        <f aca="false">IF($E143="Manual",L143,IF($E143="Flat",G143,IF($E143="Inflation",G143*(1+Inputs!D$12),IF($E143="Salary",G143*(1+Inputs!D$10),IF($E143="Benefits",G143*(1+Inputs!D$11),IF($E143="Per Student",G143*H$4/G$4*(1+Inputs!D$12),IF($E143="Enrollment",G143*H$4/G$4,IF($E143="Tuition Index",G143*H$5/G$5,IF($E143="% of Salaries",IF($G$6=0,0,$G143/$G$6*H$6),IF($E143="Debt",$G143*Inputs!D$15/12,IF($E143="Reserve Yield",Inputs!D$13*Inputs!D$16,IF($E143="Trend",IF(ISNUMBER(Trend!$Q182),Trend!$Q182,G143),G143))))))))))))</f>
        <v>0</v>
      </c>
      <c r="I143" s="11" t="n">
        <f aca="false">IF($E143="Manual",M143,IF($E143="Flat",H143,IF($E143="Inflation",H143*(1+Inputs!E$12),IF($E143="Salary",H143*(1+Inputs!E$10),IF($E143="Benefits",H143*(1+Inputs!E$11),IF($E143="Per Student",H143*I$4/H$4*(1+Inputs!E$12),IF($E143="Enrollment",H143*I$4/H$4,IF($E143="Tuition Index",H143*I$5/H$5,IF($E143="% of Salaries",IF($G$6=0,0,$G143/$G$6*I$6),IF($E143="Debt",$G143*Inputs!E$15/12,IF($E143="Reserve Yield",Inputs!E$13*Inputs!E$16,IF($E143="Trend",H143*(1+Inputs!E$12),H143))))))))))))</f>
        <v>0</v>
      </c>
      <c r="J143" s="11" t="n">
        <f aca="false">IF($E143="Manual",N143,IF($E143="Flat",I143,IF($E143="Inflation",I143*(1+Inputs!F$12),IF($E143="Salary",I143*(1+Inputs!F$10),IF($E143="Benefits",I143*(1+Inputs!F$11),IF($E143="Per Student",I143*J$4/I$4*(1+Inputs!F$12),IF($E143="Enrollment",I143*J$4/I$4,IF($E143="Tuition Index",I143*J$5/I$5,IF($E143="% of Salaries",IF($G$6=0,0,$G143/$G$6*J$6),IF($E143="Debt",$G143*Inputs!F$15/12,IF($E143="Reserve Yield",Inputs!F$13*Inputs!F$16,IF($E143="Trend",I143*(1+Inputs!F$12),I143))))))))))))</f>
        <v>0</v>
      </c>
      <c r="K143" s="11" t="n">
        <f aca="false">IF($E143="Manual",O143,IF($E143="Flat",J143,IF($E143="Inflation",J143*(1+Inputs!G$12),IF($E143="Salary",J143*(1+Inputs!G$10),IF($E143="Benefits",J143*(1+Inputs!G$11),IF($E143="Per Student",J143*K$4/J$4*(1+Inputs!G$12),IF($E143="Enrollment",J143*K$4/J$4,IF($E143="Tuition Index",J143*K$5/J$5,IF($E143="% of Salaries",IF($G$6=0,0,$G143/$G$6*K$6),IF($E143="Debt",$G143*Inputs!G$15/12,IF($E143="Reserve Yield",Inputs!G$13*Inputs!G$16,IF($E143="Trend",J143*(1+Inputs!G$12),J143))))))))))))</f>
        <v>0</v>
      </c>
      <c r="L143" s="22"/>
      <c r="M143" s="22"/>
      <c r="N143" s="22"/>
      <c r="O143" s="22"/>
    </row>
    <row r="144" customFormat="false" ht="15" hidden="false" customHeight="false" outlineLevel="0" collapsed="false">
      <c r="A144" s="6" t="s">
        <v>295</v>
      </c>
      <c r="B144" s="6" t="s">
        <v>16</v>
      </c>
      <c r="C144" s="30" t="s">
        <v>461</v>
      </c>
      <c r="D144" s="6" t="s">
        <v>461</v>
      </c>
      <c r="E144" s="20" t="s">
        <v>330</v>
      </c>
      <c r="F144" s="20" t="s">
        <v>132</v>
      </c>
      <c r="G144" s="31" t="n">
        <f aca="false">SUMIFS('QB Import'!$B$1:$B$600,'QB Import'!$H$1:$H$600,$C144,'QB Import'!$G$1:$G$600,1)</f>
        <v>643750</v>
      </c>
      <c r="H144" s="11" t="n">
        <f aca="false">IF($E144="Manual",L144,IF($E144="Flat",G144,IF($E144="Inflation",G144*(1+Inputs!D$12),IF($E144="Salary",G144*(1+Inputs!D$10),IF($E144="Benefits",G144*(1+Inputs!D$11),IF($E144="Per Student",G144*H$4/G$4*(1+Inputs!D$12),IF($E144="Enrollment",G144*H$4/G$4,IF($E144="Tuition Index",G144*H$5/G$5,IF($E144="% of Salaries",IF($G$6=0,0,$G144/$G$6*H$6),IF($E144="Debt",$G144*Inputs!D$15/12,IF($E144="Reserve Yield",Inputs!D$13*Inputs!D$16,IF($E144="Trend",IF(ISNUMBER(Trend!$Q183),Trend!$Q183,G144),G144))))))))))))</f>
        <v>663062.5</v>
      </c>
      <c r="I144" s="11" t="n">
        <f aca="false">IF($E144="Manual",M144,IF($E144="Flat",H144,IF($E144="Inflation",H144*(1+Inputs!E$12),IF($E144="Salary",H144*(1+Inputs!E$10),IF($E144="Benefits",H144*(1+Inputs!E$11),IF($E144="Per Student",H144*I$4/H$4*(1+Inputs!E$12),IF($E144="Enrollment",H144*I$4/H$4,IF($E144="Tuition Index",H144*I$5/H$5,IF($E144="% of Salaries",IF($G$6=0,0,$G144/$G$6*I$6),IF($E144="Debt",$G144*Inputs!E$15/12,IF($E144="Reserve Yield",Inputs!E$13*Inputs!E$16,IF($E144="Trend",H144*(1+Inputs!E$12),H144))))))))))))</f>
        <v>682954.375</v>
      </c>
      <c r="J144" s="11" t="n">
        <f aca="false">IF($E144="Manual",N144,IF($E144="Flat",I144,IF($E144="Inflation",I144*(1+Inputs!F$12),IF($E144="Salary",I144*(1+Inputs!F$10),IF($E144="Benefits",I144*(1+Inputs!F$11),IF($E144="Per Student",I144*J$4/I$4*(1+Inputs!F$12),IF($E144="Enrollment",I144*J$4/I$4,IF($E144="Tuition Index",I144*J$5/I$5,IF($E144="% of Salaries",IF($G$6=0,0,$G144/$G$6*J$6),IF($E144="Debt",$G144*Inputs!F$15/12,IF($E144="Reserve Yield",Inputs!F$13*Inputs!F$16,IF($E144="Trend",I144*(1+Inputs!F$12),I144))))))))))))</f>
        <v>703443.00625</v>
      </c>
      <c r="K144" s="11" t="n">
        <f aca="false">IF($E144="Manual",O144,IF($E144="Flat",J144,IF($E144="Inflation",J144*(1+Inputs!G$12),IF($E144="Salary",J144*(1+Inputs!G$10),IF($E144="Benefits",J144*(1+Inputs!G$11),IF($E144="Per Student",J144*K$4/J$4*(1+Inputs!G$12),IF($E144="Enrollment",J144*K$4/J$4,IF($E144="Tuition Index",J144*K$5/J$5,IF($E144="% of Salaries",IF($G$6=0,0,$G144/$G$6*K$6),IF($E144="Debt",$G144*Inputs!G$15/12,IF($E144="Reserve Yield",Inputs!G$13*Inputs!G$16,IF($E144="Trend",J144*(1+Inputs!G$12),J144))))))))))))</f>
        <v>724546.2964375</v>
      </c>
      <c r="L144" s="22"/>
      <c r="M144" s="22"/>
      <c r="N144" s="22"/>
      <c r="O144" s="22"/>
    </row>
    <row r="145" customFormat="false" ht="15" hidden="false" customHeight="false" outlineLevel="0" collapsed="false">
      <c r="A145" s="6" t="s">
        <v>295</v>
      </c>
      <c r="B145" s="6" t="s">
        <v>16</v>
      </c>
      <c r="C145" s="30" t="s">
        <v>462</v>
      </c>
      <c r="D145" s="6" t="s">
        <v>463</v>
      </c>
      <c r="E145" s="20" t="s">
        <v>200</v>
      </c>
      <c r="F145" s="20" t="s">
        <v>132</v>
      </c>
      <c r="G145" s="31" t="n">
        <f aca="false">SUMIFS('QB Import'!$B$1:$B$600,'QB Import'!$H$1:$H$600,$C145,'QB Import'!$G$1:$G$600,1)</f>
        <v>0</v>
      </c>
      <c r="H145" s="11" t="n">
        <f aca="false">IF($E145="Manual",L145,IF($E145="Flat",G145,IF($E145="Inflation",G145*(1+Inputs!D$12),IF($E145="Salary",G145*(1+Inputs!D$10),IF($E145="Benefits",G145*(1+Inputs!D$11),IF($E145="Per Student",G145*H$4/G$4*(1+Inputs!D$12),IF($E145="Enrollment",G145*H$4/G$4,IF($E145="Tuition Index",G145*H$5/G$5,IF($E145="% of Salaries",IF($G$6=0,0,$G145/$G$6*H$6),IF($E145="Debt",$G145*Inputs!D$15/12,IF($E145="Reserve Yield",Inputs!D$13*Inputs!D$16,IF($E145="Trend",IF(ISNUMBER(Trend!$Q184),Trend!$Q184,G145),G145))))))))))))</f>
        <v>0</v>
      </c>
      <c r="I145" s="11" t="n">
        <f aca="false">IF($E145="Manual",M145,IF($E145="Flat",H145,IF($E145="Inflation",H145*(1+Inputs!E$12),IF($E145="Salary",H145*(1+Inputs!E$10),IF($E145="Benefits",H145*(1+Inputs!E$11),IF($E145="Per Student",H145*I$4/H$4*(1+Inputs!E$12),IF($E145="Enrollment",H145*I$4/H$4,IF($E145="Tuition Index",H145*I$5/H$5,IF($E145="% of Salaries",IF($G$6=0,0,$G145/$G$6*I$6),IF($E145="Debt",$G145*Inputs!E$15/12,IF($E145="Reserve Yield",Inputs!E$13*Inputs!E$16,IF($E145="Trend",H145*(1+Inputs!E$12),H145))))))))))))</f>
        <v>0</v>
      </c>
      <c r="J145" s="11" t="n">
        <f aca="false">IF($E145="Manual",N145,IF($E145="Flat",I145,IF($E145="Inflation",I145*(1+Inputs!F$12),IF($E145="Salary",I145*(1+Inputs!F$10),IF($E145="Benefits",I145*(1+Inputs!F$11),IF($E145="Per Student",I145*J$4/I$4*(1+Inputs!F$12),IF($E145="Enrollment",I145*J$4/I$4,IF($E145="Tuition Index",I145*J$5/I$5,IF($E145="% of Salaries",IF($G$6=0,0,$G145/$G$6*J$6),IF($E145="Debt",$G145*Inputs!F$15/12,IF($E145="Reserve Yield",Inputs!F$13*Inputs!F$16,IF($E145="Trend",I145*(1+Inputs!F$12),I145))))))))))))</f>
        <v>0</v>
      </c>
      <c r="K145" s="11" t="n">
        <f aca="false">IF($E145="Manual",O145,IF($E145="Flat",J145,IF($E145="Inflation",J145*(1+Inputs!G$12),IF($E145="Salary",J145*(1+Inputs!G$10),IF($E145="Benefits",J145*(1+Inputs!G$11),IF($E145="Per Student",J145*K$4/J$4*(1+Inputs!G$12),IF($E145="Enrollment",J145*K$4/J$4,IF($E145="Tuition Index",J145*K$5/J$5,IF($E145="% of Salaries",IF($G$6=0,0,$G145/$G$6*K$6),IF($E145="Debt",$G145*Inputs!G$15/12,IF($E145="Reserve Yield",Inputs!G$13*Inputs!G$16,IF($E145="Trend",J145*(1+Inputs!G$12),J145))))))))))))</f>
        <v>0</v>
      </c>
      <c r="L145" s="22"/>
      <c r="M145" s="22"/>
      <c r="N145" s="22"/>
      <c r="O145" s="22"/>
    </row>
    <row r="146" customFormat="false" ht="15" hidden="false" customHeight="false" outlineLevel="0" collapsed="false">
      <c r="A146" s="6" t="s">
        <v>295</v>
      </c>
      <c r="B146" s="6" t="s">
        <v>16</v>
      </c>
      <c r="C146" s="30" t="s">
        <v>464</v>
      </c>
      <c r="D146" s="6" t="s">
        <v>465</v>
      </c>
      <c r="E146" s="20" t="s">
        <v>200</v>
      </c>
      <c r="F146" s="20" t="s">
        <v>132</v>
      </c>
      <c r="G146" s="31" t="n">
        <f aca="false">SUMIFS('QB Import'!$B$1:$B$600,'QB Import'!$H$1:$H$600,$C146,'QB Import'!$G$1:$G$600,1)</f>
        <v>0</v>
      </c>
      <c r="H146" s="11" t="n">
        <f aca="false">IF($E146="Manual",L146,IF($E146="Flat",G146,IF($E146="Inflation",G146*(1+Inputs!D$12),IF($E146="Salary",G146*(1+Inputs!D$10),IF($E146="Benefits",G146*(1+Inputs!D$11),IF($E146="Per Student",G146*H$4/G$4*(1+Inputs!D$12),IF($E146="Enrollment",G146*H$4/G$4,IF($E146="Tuition Index",G146*H$5/G$5,IF($E146="% of Salaries",IF($G$6=0,0,$G146/$G$6*H$6),IF($E146="Debt",$G146*Inputs!D$15/12,IF($E146="Reserve Yield",Inputs!D$13*Inputs!D$16,IF($E146="Trend",IF(ISNUMBER(Trend!$Q185),Trend!$Q185,G146),G146))))))))))))</f>
        <v>0</v>
      </c>
      <c r="I146" s="11" t="n">
        <f aca="false">IF($E146="Manual",M146,IF($E146="Flat",H146,IF($E146="Inflation",H146*(1+Inputs!E$12),IF($E146="Salary",H146*(1+Inputs!E$10),IF($E146="Benefits",H146*(1+Inputs!E$11),IF($E146="Per Student",H146*I$4/H$4*(1+Inputs!E$12),IF($E146="Enrollment",H146*I$4/H$4,IF($E146="Tuition Index",H146*I$5/H$5,IF($E146="% of Salaries",IF($G$6=0,0,$G146/$G$6*I$6),IF($E146="Debt",$G146*Inputs!E$15/12,IF($E146="Reserve Yield",Inputs!E$13*Inputs!E$16,IF($E146="Trend",H146*(1+Inputs!E$12),H146))))))))))))</f>
        <v>0</v>
      </c>
      <c r="J146" s="11" t="n">
        <f aca="false">IF($E146="Manual",N146,IF($E146="Flat",I146,IF($E146="Inflation",I146*(1+Inputs!F$12),IF($E146="Salary",I146*(1+Inputs!F$10),IF($E146="Benefits",I146*(1+Inputs!F$11),IF($E146="Per Student",I146*J$4/I$4*(1+Inputs!F$12),IF($E146="Enrollment",I146*J$4/I$4,IF($E146="Tuition Index",I146*J$5/I$5,IF($E146="% of Salaries",IF($G$6=0,0,$G146/$G$6*J$6),IF($E146="Debt",$G146*Inputs!F$15/12,IF($E146="Reserve Yield",Inputs!F$13*Inputs!F$16,IF($E146="Trend",I146*(1+Inputs!F$12),I146))))))))))))</f>
        <v>0</v>
      </c>
      <c r="K146" s="11" t="n">
        <f aca="false">IF($E146="Manual",O146,IF($E146="Flat",J146,IF($E146="Inflation",J146*(1+Inputs!G$12),IF($E146="Salary",J146*(1+Inputs!G$10),IF($E146="Benefits",J146*(1+Inputs!G$11),IF($E146="Per Student",J146*K$4/J$4*(1+Inputs!G$12),IF($E146="Enrollment",J146*K$4/J$4,IF($E146="Tuition Index",J146*K$5/J$5,IF($E146="% of Salaries",IF($G$6=0,0,$G146/$G$6*K$6),IF($E146="Debt",$G146*Inputs!G$15/12,IF($E146="Reserve Yield",Inputs!G$13*Inputs!G$16,IF($E146="Trend",J146*(1+Inputs!G$12),J146))))))))))))</f>
        <v>0</v>
      </c>
      <c r="L146" s="22"/>
      <c r="M146" s="22"/>
      <c r="N146" s="22"/>
      <c r="O146" s="22"/>
    </row>
    <row r="147" customFormat="false" ht="15" hidden="false" customHeight="false" outlineLevel="0" collapsed="false">
      <c r="A147" s="6" t="s">
        <v>295</v>
      </c>
      <c r="B147" s="6" t="s">
        <v>16</v>
      </c>
      <c r="C147" s="30" t="s">
        <v>466</v>
      </c>
      <c r="D147" s="6" t="s">
        <v>467</v>
      </c>
      <c r="E147" s="20" t="s">
        <v>200</v>
      </c>
      <c r="F147" s="20" t="s">
        <v>132</v>
      </c>
      <c r="G147" s="31" t="n">
        <f aca="false">SUMIFS('QB Import'!$B$1:$B$600,'QB Import'!$H$1:$H$600,$C147,'QB Import'!$G$1:$G$600,1)</f>
        <v>0</v>
      </c>
      <c r="H147" s="11" t="n">
        <f aca="false">IF($E147="Manual",L147,IF($E147="Flat",G147,IF($E147="Inflation",G147*(1+Inputs!D$12),IF($E147="Salary",G147*(1+Inputs!D$10),IF($E147="Benefits",G147*(1+Inputs!D$11),IF($E147="Per Student",G147*H$4/G$4*(1+Inputs!D$12),IF($E147="Enrollment",G147*H$4/G$4,IF($E147="Tuition Index",G147*H$5/G$5,IF($E147="% of Salaries",IF($G$6=0,0,$G147/$G$6*H$6),IF($E147="Debt",$G147*Inputs!D$15/12,IF($E147="Reserve Yield",Inputs!D$13*Inputs!D$16,IF($E147="Trend",IF(ISNUMBER(Trend!$Q186),Trend!$Q186,G147),G147))))))))))))</f>
        <v>0</v>
      </c>
      <c r="I147" s="11" t="n">
        <f aca="false">IF($E147="Manual",M147,IF($E147="Flat",H147,IF($E147="Inflation",H147*(1+Inputs!E$12),IF($E147="Salary",H147*(1+Inputs!E$10),IF($E147="Benefits",H147*(1+Inputs!E$11),IF($E147="Per Student",H147*I$4/H$4*(1+Inputs!E$12),IF($E147="Enrollment",H147*I$4/H$4,IF($E147="Tuition Index",H147*I$5/H$5,IF($E147="% of Salaries",IF($G$6=0,0,$G147/$G$6*I$6),IF($E147="Debt",$G147*Inputs!E$15/12,IF($E147="Reserve Yield",Inputs!E$13*Inputs!E$16,IF($E147="Trend",H147*(1+Inputs!E$12),H147))))))))))))</f>
        <v>0</v>
      </c>
      <c r="J147" s="11" t="n">
        <f aca="false">IF($E147="Manual",N147,IF($E147="Flat",I147,IF($E147="Inflation",I147*(1+Inputs!F$12),IF($E147="Salary",I147*(1+Inputs!F$10),IF($E147="Benefits",I147*(1+Inputs!F$11),IF($E147="Per Student",I147*J$4/I$4*(1+Inputs!F$12),IF($E147="Enrollment",I147*J$4/I$4,IF($E147="Tuition Index",I147*J$5/I$5,IF($E147="% of Salaries",IF($G$6=0,0,$G147/$G$6*J$6),IF($E147="Debt",$G147*Inputs!F$15/12,IF($E147="Reserve Yield",Inputs!F$13*Inputs!F$16,IF($E147="Trend",I147*(1+Inputs!F$12),I147))))))))))))</f>
        <v>0</v>
      </c>
      <c r="K147" s="11" t="n">
        <f aca="false">IF($E147="Manual",O147,IF($E147="Flat",J147,IF($E147="Inflation",J147*(1+Inputs!G$12),IF($E147="Salary",J147*(1+Inputs!G$10),IF($E147="Benefits",J147*(1+Inputs!G$11),IF($E147="Per Student",J147*K$4/J$4*(1+Inputs!G$12),IF($E147="Enrollment",J147*K$4/J$4,IF($E147="Tuition Index",J147*K$5/J$5,IF($E147="% of Salaries",IF($G$6=0,0,$G147/$G$6*K$6),IF($E147="Debt",$G147*Inputs!G$15/12,IF($E147="Reserve Yield",Inputs!G$13*Inputs!G$16,IF($E147="Trend",J147*(1+Inputs!G$12),J147))))))))))))</f>
        <v>0</v>
      </c>
      <c r="L147" s="22"/>
      <c r="M147" s="22"/>
      <c r="N147" s="22"/>
      <c r="O147" s="22"/>
    </row>
    <row r="148" customFormat="false" ht="15" hidden="false" customHeight="false" outlineLevel="0" collapsed="false">
      <c r="A148" s="6" t="s">
        <v>295</v>
      </c>
      <c r="B148" s="6" t="s">
        <v>16</v>
      </c>
      <c r="C148" s="30" t="s">
        <v>468</v>
      </c>
      <c r="D148" s="6" t="s">
        <v>469</v>
      </c>
      <c r="E148" s="20" t="s">
        <v>200</v>
      </c>
      <c r="F148" s="20" t="s">
        <v>132</v>
      </c>
      <c r="G148" s="31" t="n">
        <f aca="false">SUMIFS('QB Import'!$B$1:$B$600,'QB Import'!$H$1:$H$600,$C148,'QB Import'!$G$1:$G$600,1)</f>
        <v>0</v>
      </c>
      <c r="H148" s="11" t="n">
        <f aca="false">IF($E148="Manual",L148,IF($E148="Flat",G148,IF($E148="Inflation",G148*(1+Inputs!D$12),IF($E148="Salary",G148*(1+Inputs!D$10),IF($E148="Benefits",G148*(1+Inputs!D$11),IF($E148="Per Student",G148*H$4/G$4*(1+Inputs!D$12),IF($E148="Enrollment",G148*H$4/G$4,IF($E148="Tuition Index",G148*H$5/G$5,IF($E148="% of Salaries",IF($G$6=0,0,$G148/$G$6*H$6),IF($E148="Debt",$G148*Inputs!D$15/12,IF($E148="Reserve Yield",Inputs!D$13*Inputs!D$16,IF($E148="Trend",IF(ISNUMBER(Trend!$Q187),Trend!$Q187,G148),G148))))))))))))</f>
        <v>0</v>
      </c>
      <c r="I148" s="11" t="n">
        <f aca="false">IF($E148="Manual",M148,IF($E148="Flat",H148,IF($E148="Inflation",H148*(1+Inputs!E$12),IF($E148="Salary",H148*(1+Inputs!E$10),IF($E148="Benefits",H148*(1+Inputs!E$11),IF($E148="Per Student",H148*I$4/H$4*(1+Inputs!E$12),IF($E148="Enrollment",H148*I$4/H$4,IF($E148="Tuition Index",H148*I$5/H$5,IF($E148="% of Salaries",IF($G$6=0,0,$G148/$G$6*I$6),IF($E148="Debt",$G148*Inputs!E$15/12,IF($E148="Reserve Yield",Inputs!E$13*Inputs!E$16,IF($E148="Trend",H148*(1+Inputs!E$12),H148))))))))))))</f>
        <v>0</v>
      </c>
      <c r="J148" s="11" t="n">
        <f aca="false">IF($E148="Manual",N148,IF($E148="Flat",I148,IF($E148="Inflation",I148*(1+Inputs!F$12),IF($E148="Salary",I148*(1+Inputs!F$10),IF($E148="Benefits",I148*(1+Inputs!F$11),IF($E148="Per Student",I148*J$4/I$4*(1+Inputs!F$12),IF($E148="Enrollment",I148*J$4/I$4,IF($E148="Tuition Index",I148*J$5/I$5,IF($E148="% of Salaries",IF($G$6=0,0,$G148/$G$6*J$6),IF($E148="Debt",$G148*Inputs!F$15/12,IF($E148="Reserve Yield",Inputs!F$13*Inputs!F$16,IF($E148="Trend",I148*(1+Inputs!F$12),I148))))))))))))</f>
        <v>0</v>
      </c>
      <c r="K148" s="11" t="n">
        <f aca="false">IF($E148="Manual",O148,IF($E148="Flat",J148,IF($E148="Inflation",J148*(1+Inputs!G$12),IF($E148="Salary",J148*(1+Inputs!G$10),IF($E148="Benefits",J148*(1+Inputs!G$11),IF($E148="Per Student",J148*K$4/J$4*(1+Inputs!G$12),IF($E148="Enrollment",J148*K$4/J$4,IF($E148="Tuition Index",J148*K$5/J$5,IF($E148="% of Salaries",IF($G$6=0,0,$G148/$G$6*K$6),IF($E148="Debt",$G148*Inputs!G$15/12,IF($E148="Reserve Yield",Inputs!G$13*Inputs!G$16,IF($E148="Trend",J148*(1+Inputs!G$12),J148))))))))))))</f>
        <v>0</v>
      </c>
      <c r="L148" s="22"/>
      <c r="M148" s="22"/>
      <c r="N148" s="22"/>
      <c r="O148" s="22"/>
    </row>
    <row r="149" customFormat="false" ht="15" hidden="false" customHeight="false" outlineLevel="0" collapsed="false">
      <c r="A149" s="6" t="s">
        <v>295</v>
      </c>
      <c r="B149" s="6" t="s">
        <v>17</v>
      </c>
      <c r="C149" s="30" t="s">
        <v>470</v>
      </c>
      <c r="D149" s="6" t="s">
        <v>471</v>
      </c>
      <c r="E149" s="20" t="s">
        <v>330</v>
      </c>
      <c r="F149" s="20" t="s">
        <v>132</v>
      </c>
      <c r="G149" s="31" t="n">
        <f aca="false">SUMIFS('QB Import'!$B$1:$B$600,'QB Import'!$H$1:$H$600,$C149,'QB Import'!$G$1:$G$600,1)</f>
        <v>30000</v>
      </c>
      <c r="H149" s="11" t="n">
        <f aca="false">IF($E149="Manual",L149,IF($E149="Flat",G149,IF($E149="Inflation",G149*(1+Inputs!D$12),IF($E149="Salary",G149*(1+Inputs!D$10),IF($E149="Benefits",G149*(1+Inputs!D$11),IF($E149="Per Student",G149*H$4/G$4*(1+Inputs!D$12),IF($E149="Enrollment",G149*H$4/G$4,IF($E149="Tuition Index",G149*H$5/G$5,IF($E149="% of Salaries",IF($G$6=0,0,$G149/$G$6*H$6),IF($E149="Debt",$G149*Inputs!D$15/12,IF($E149="Reserve Yield",Inputs!D$13*Inputs!D$16,IF($E149="Trend",IF(ISNUMBER(Trend!$Q188),Trend!$Q188,G149),G149))))))))))))</f>
        <v>30900</v>
      </c>
      <c r="I149" s="11" t="n">
        <f aca="false">IF($E149="Manual",M149,IF($E149="Flat",H149,IF($E149="Inflation",H149*(1+Inputs!E$12),IF($E149="Salary",H149*(1+Inputs!E$10),IF($E149="Benefits",H149*(1+Inputs!E$11),IF($E149="Per Student",H149*I$4/H$4*(1+Inputs!E$12),IF($E149="Enrollment",H149*I$4/H$4,IF($E149="Tuition Index",H149*I$5/H$5,IF($E149="% of Salaries",IF($G$6=0,0,$G149/$G$6*I$6),IF($E149="Debt",$G149*Inputs!E$15/12,IF($E149="Reserve Yield",Inputs!E$13*Inputs!E$16,IF($E149="Trend",H149*(1+Inputs!E$12),H149))))))))))))</f>
        <v>31827</v>
      </c>
      <c r="J149" s="11" t="n">
        <f aca="false">IF($E149="Manual",N149,IF($E149="Flat",I149,IF($E149="Inflation",I149*(1+Inputs!F$12),IF($E149="Salary",I149*(1+Inputs!F$10),IF($E149="Benefits",I149*(1+Inputs!F$11),IF($E149="Per Student",I149*J$4/I$4*(1+Inputs!F$12),IF($E149="Enrollment",I149*J$4/I$4,IF($E149="Tuition Index",I149*J$5/I$5,IF($E149="% of Salaries",IF($G$6=0,0,$G149/$G$6*J$6),IF($E149="Debt",$G149*Inputs!F$15/12,IF($E149="Reserve Yield",Inputs!F$13*Inputs!F$16,IF($E149="Trend",I149*(1+Inputs!F$12),I149))))))))))))</f>
        <v>32781.81</v>
      </c>
      <c r="K149" s="11" t="n">
        <f aca="false">IF($E149="Manual",O149,IF($E149="Flat",J149,IF($E149="Inflation",J149*(1+Inputs!G$12),IF($E149="Salary",J149*(1+Inputs!G$10),IF($E149="Benefits",J149*(1+Inputs!G$11),IF($E149="Per Student",J149*K$4/J$4*(1+Inputs!G$12),IF($E149="Enrollment",J149*K$4/J$4,IF($E149="Tuition Index",J149*K$5/J$5,IF($E149="% of Salaries",IF($G$6=0,0,$G149/$G$6*K$6),IF($E149="Debt",$G149*Inputs!G$15/12,IF($E149="Reserve Yield",Inputs!G$13*Inputs!G$16,IF($E149="Trend",J149*(1+Inputs!G$12),J149))))))))))))</f>
        <v>33765.2643</v>
      </c>
      <c r="L149" s="22"/>
      <c r="M149" s="22"/>
      <c r="N149" s="22"/>
      <c r="O149" s="22"/>
    </row>
    <row r="150" customFormat="false" ht="15" hidden="false" customHeight="false" outlineLevel="0" collapsed="false">
      <c r="A150" s="6" t="s">
        <v>295</v>
      </c>
      <c r="B150" s="6" t="s">
        <v>17</v>
      </c>
      <c r="C150" s="30" t="s">
        <v>472</v>
      </c>
      <c r="D150" s="6" t="s">
        <v>473</v>
      </c>
      <c r="E150" s="20" t="s">
        <v>330</v>
      </c>
      <c r="F150" s="20" t="s">
        <v>132</v>
      </c>
      <c r="G150" s="31" t="n">
        <f aca="false">SUMIFS('QB Import'!$B$1:$B$600,'QB Import'!$H$1:$H$600,$C150,'QB Import'!$G$1:$G$600,1)</f>
        <v>7700</v>
      </c>
      <c r="H150" s="11" t="n">
        <f aca="false">IF($E150="Manual",L150,IF($E150="Flat",G150,IF($E150="Inflation",G150*(1+Inputs!D$12),IF($E150="Salary",G150*(1+Inputs!D$10),IF($E150="Benefits",G150*(1+Inputs!D$11),IF($E150="Per Student",G150*H$4/G$4*(1+Inputs!D$12),IF($E150="Enrollment",G150*H$4/G$4,IF($E150="Tuition Index",G150*H$5/G$5,IF($E150="% of Salaries",IF($G$6=0,0,$G150/$G$6*H$6),IF($E150="Debt",$G150*Inputs!D$15/12,IF($E150="Reserve Yield",Inputs!D$13*Inputs!D$16,IF($E150="Trend",IF(ISNUMBER(Trend!$Q189),Trend!$Q189,G150),G150))))))))))))</f>
        <v>7931</v>
      </c>
      <c r="I150" s="11" t="n">
        <f aca="false">IF($E150="Manual",M150,IF($E150="Flat",H150,IF($E150="Inflation",H150*(1+Inputs!E$12),IF($E150="Salary",H150*(1+Inputs!E$10),IF($E150="Benefits",H150*(1+Inputs!E$11),IF($E150="Per Student",H150*I$4/H$4*(1+Inputs!E$12),IF($E150="Enrollment",H150*I$4/H$4,IF($E150="Tuition Index",H150*I$5/H$5,IF($E150="% of Salaries",IF($G$6=0,0,$G150/$G$6*I$6),IF($E150="Debt",$G150*Inputs!E$15/12,IF($E150="Reserve Yield",Inputs!E$13*Inputs!E$16,IF($E150="Trend",H150*(1+Inputs!E$12),H150))))))))))))</f>
        <v>8168.93</v>
      </c>
      <c r="J150" s="11" t="n">
        <f aca="false">IF($E150="Manual",N150,IF($E150="Flat",I150,IF($E150="Inflation",I150*(1+Inputs!F$12),IF($E150="Salary",I150*(1+Inputs!F$10),IF($E150="Benefits",I150*(1+Inputs!F$11),IF($E150="Per Student",I150*J$4/I$4*(1+Inputs!F$12),IF($E150="Enrollment",I150*J$4/I$4,IF($E150="Tuition Index",I150*J$5/I$5,IF($E150="% of Salaries",IF($G$6=0,0,$G150/$G$6*J$6),IF($E150="Debt",$G150*Inputs!F$15/12,IF($E150="Reserve Yield",Inputs!F$13*Inputs!F$16,IF($E150="Trend",I150*(1+Inputs!F$12),I150))))))))))))</f>
        <v>8413.9979</v>
      </c>
      <c r="K150" s="11" t="n">
        <f aca="false">IF($E150="Manual",O150,IF($E150="Flat",J150,IF($E150="Inflation",J150*(1+Inputs!G$12),IF($E150="Salary",J150*(1+Inputs!G$10),IF($E150="Benefits",J150*(1+Inputs!G$11),IF($E150="Per Student",J150*K$4/J$4*(1+Inputs!G$12),IF($E150="Enrollment",J150*K$4/J$4,IF($E150="Tuition Index",J150*K$5/J$5,IF($E150="% of Salaries",IF($G$6=0,0,$G150/$G$6*K$6),IF($E150="Debt",$G150*Inputs!G$15/12,IF($E150="Reserve Yield",Inputs!G$13*Inputs!G$16,IF($E150="Trend",J150*(1+Inputs!G$12),J150))))))))))))</f>
        <v>8666.417837</v>
      </c>
      <c r="L150" s="22"/>
      <c r="M150" s="22"/>
      <c r="N150" s="22"/>
      <c r="O150" s="22"/>
    </row>
    <row r="151" customFormat="false" ht="15" hidden="false" customHeight="false" outlineLevel="0" collapsed="false">
      <c r="A151" s="6" t="s">
        <v>295</v>
      </c>
      <c r="B151" s="6" t="s">
        <v>17</v>
      </c>
      <c r="C151" s="30" t="s">
        <v>474</v>
      </c>
      <c r="D151" s="6" t="s">
        <v>475</v>
      </c>
      <c r="E151" s="20" t="s">
        <v>330</v>
      </c>
      <c r="F151" s="20" t="s">
        <v>132</v>
      </c>
      <c r="G151" s="31" t="n">
        <f aca="false">SUMIFS('QB Import'!$B$1:$B$600,'QB Import'!$H$1:$H$600,$C151,'QB Import'!$G$1:$G$600,1)</f>
        <v>20000</v>
      </c>
      <c r="H151" s="11" t="n">
        <f aca="false">IF($E151="Manual",L151,IF($E151="Flat",G151,IF($E151="Inflation",G151*(1+Inputs!D$12),IF($E151="Salary",G151*(1+Inputs!D$10),IF($E151="Benefits",G151*(1+Inputs!D$11),IF($E151="Per Student",G151*H$4/G$4*(1+Inputs!D$12),IF($E151="Enrollment",G151*H$4/G$4,IF($E151="Tuition Index",G151*H$5/G$5,IF($E151="% of Salaries",IF($G$6=0,0,$G151/$G$6*H$6),IF($E151="Debt",$G151*Inputs!D$15/12,IF($E151="Reserve Yield",Inputs!D$13*Inputs!D$16,IF($E151="Trend",IF(ISNUMBER(Trend!$Q190),Trend!$Q190,G151),G151))))))))))))</f>
        <v>20600</v>
      </c>
      <c r="I151" s="11" t="n">
        <f aca="false">IF($E151="Manual",M151,IF($E151="Flat",H151,IF($E151="Inflation",H151*(1+Inputs!E$12),IF($E151="Salary",H151*(1+Inputs!E$10),IF($E151="Benefits",H151*(1+Inputs!E$11),IF($E151="Per Student",H151*I$4/H$4*(1+Inputs!E$12),IF($E151="Enrollment",H151*I$4/H$4,IF($E151="Tuition Index",H151*I$5/H$5,IF($E151="% of Salaries",IF($G$6=0,0,$G151/$G$6*I$6),IF($E151="Debt",$G151*Inputs!E$15/12,IF($E151="Reserve Yield",Inputs!E$13*Inputs!E$16,IF($E151="Trend",H151*(1+Inputs!E$12),H151))))))))))))</f>
        <v>21218</v>
      </c>
      <c r="J151" s="11" t="n">
        <f aca="false">IF($E151="Manual",N151,IF($E151="Flat",I151,IF($E151="Inflation",I151*(1+Inputs!F$12),IF($E151="Salary",I151*(1+Inputs!F$10),IF($E151="Benefits",I151*(1+Inputs!F$11),IF($E151="Per Student",I151*J$4/I$4*(1+Inputs!F$12),IF($E151="Enrollment",I151*J$4/I$4,IF($E151="Tuition Index",I151*J$5/I$5,IF($E151="% of Salaries",IF($G$6=0,0,$G151/$G$6*J$6),IF($E151="Debt",$G151*Inputs!F$15/12,IF($E151="Reserve Yield",Inputs!F$13*Inputs!F$16,IF($E151="Trend",I151*(1+Inputs!F$12),I151))))))))))))</f>
        <v>21854.54</v>
      </c>
      <c r="K151" s="11" t="n">
        <f aca="false">IF($E151="Manual",O151,IF($E151="Flat",J151,IF($E151="Inflation",J151*(1+Inputs!G$12),IF($E151="Salary",J151*(1+Inputs!G$10),IF($E151="Benefits",J151*(1+Inputs!G$11),IF($E151="Per Student",J151*K$4/J$4*(1+Inputs!G$12),IF($E151="Enrollment",J151*K$4/J$4,IF($E151="Tuition Index",J151*K$5/J$5,IF($E151="% of Salaries",IF($G$6=0,0,$G151/$G$6*K$6),IF($E151="Debt",$G151*Inputs!G$15/12,IF($E151="Reserve Yield",Inputs!G$13*Inputs!G$16,IF($E151="Trend",J151*(1+Inputs!G$12),J151))))))))))))</f>
        <v>22510.1762</v>
      </c>
      <c r="L151" s="22"/>
      <c r="M151" s="22"/>
      <c r="N151" s="22"/>
      <c r="O151" s="22"/>
    </row>
    <row r="152" customFormat="false" ht="15" hidden="false" customHeight="false" outlineLevel="0" collapsed="false">
      <c r="A152" s="6" t="s">
        <v>295</v>
      </c>
      <c r="B152" s="6" t="s">
        <v>17</v>
      </c>
      <c r="C152" s="30" t="s">
        <v>476</v>
      </c>
      <c r="D152" s="6" t="s">
        <v>477</v>
      </c>
      <c r="E152" s="20" t="s">
        <v>330</v>
      </c>
      <c r="F152" s="20" t="s">
        <v>132</v>
      </c>
      <c r="G152" s="31" t="n">
        <f aca="false">SUMIFS('QB Import'!$B$1:$B$600,'QB Import'!$H$1:$H$600,$C152,'QB Import'!$G$1:$G$600,1)</f>
        <v>6000</v>
      </c>
      <c r="H152" s="11" t="n">
        <f aca="false">IF($E152="Manual",L152,IF($E152="Flat",G152,IF($E152="Inflation",G152*(1+Inputs!D$12),IF($E152="Salary",G152*(1+Inputs!D$10),IF($E152="Benefits",G152*(1+Inputs!D$11),IF($E152="Per Student",G152*H$4/G$4*(1+Inputs!D$12),IF($E152="Enrollment",G152*H$4/G$4,IF($E152="Tuition Index",G152*H$5/G$5,IF($E152="% of Salaries",IF($G$6=0,0,$G152/$G$6*H$6),IF($E152="Debt",$G152*Inputs!D$15/12,IF($E152="Reserve Yield",Inputs!D$13*Inputs!D$16,IF($E152="Trend",IF(ISNUMBER(Trend!$Q191),Trend!$Q191,G152),G152))))))))))))</f>
        <v>6180</v>
      </c>
      <c r="I152" s="11" t="n">
        <f aca="false">IF($E152="Manual",M152,IF($E152="Flat",H152,IF($E152="Inflation",H152*(1+Inputs!E$12),IF($E152="Salary",H152*(1+Inputs!E$10),IF($E152="Benefits",H152*(1+Inputs!E$11),IF($E152="Per Student",H152*I$4/H$4*(1+Inputs!E$12),IF($E152="Enrollment",H152*I$4/H$4,IF($E152="Tuition Index",H152*I$5/H$5,IF($E152="% of Salaries",IF($G$6=0,0,$G152/$G$6*I$6),IF($E152="Debt",$G152*Inputs!E$15/12,IF($E152="Reserve Yield",Inputs!E$13*Inputs!E$16,IF($E152="Trend",H152*(1+Inputs!E$12),H152))))))))))))</f>
        <v>6365.4</v>
      </c>
      <c r="J152" s="11" t="n">
        <f aca="false">IF($E152="Manual",N152,IF($E152="Flat",I152,IF($E152="Inflation",I152*(1+Inputs!F$12),IF($E152="Salary",I152*(1+Inputs!F$10),IF($E152="Benefits",I152*(1+Inputs!F$11),IF($E152="Per Student",I152*J$4/I$4*(1+Inputs!F$12),IF($E152="Enrollment",I152*J$4/I$4,IF($E152="Tuition Index",I152*J$5/I$5,IF($E152="% of Salaries",IF($G$6=0,0,$G152/$G$6*J$6),IF($E152="Debt",$G152*Inputs!F$15/12,IF($E152="Reserve Yield",Inputs!F$13*Inputs!F$16,IF($E152="Trend",I152*(1+Inputs!F$12),I152))))))))))))</f>
        <v>6556.362</v>
      </c>
      <c r="K152" s="11" t="n">
        <f aca="false">IF($E152="Manual",O152,IF($E152="Flat",J152,IF($E152="Inflation",J152*(1+Inputs!G$12),IF($E152="Salary",J152*(1+Inputs!G$10),IF($E152="Benefits",J152*(1+Inputs!G$11),IF($E152="Per Student",J152*K$4/J$4*(1+Inputs!G$12),IF($E152="Enrollment",J152*K$4/J$4,IF($E152="Tuition Index",J152*K$5/J$5,IF($E152="% of Salaries",IF($G$6=0,0,$G152/$G$6*K$6),IF($E152="Debt",$G152*Inputs!G$15/12,IF($E152="Reserve Yield",Inputs!G$13*Inputs!G$16,IF($E152="Trend",J152*(1+Inputs!G$12),J152))))))))))))</f>
        <v>6753.05286</v>
      </c>
      <c r="L152" s="22"/>
      <c r="M152" s="22"/>
      <c r="N152" s="22"/>
      <c r="O152" s="22"/>
    </row>
    <row r="153" customFormat="false" ht="15" hidden="false" customHeight="false" outlineLevel="0" collapsed="false">
      <c r="A153" s="6" t="s">
        <v>295</v>
      </c>
      <c r="B153" s="6" t="s">
        <v>17</v>
      </c>
      <c r="C153" s="30" t="s">
        <v>478</v>
      </c>
      <c r="D153" s="6" t="s">
        <v>479</v>
      </c>
      <c r="E153" s="20" t="s">
        <v>330</v>
      </c>
      <c r="F153" s="20" t="s">
        <v>132</v>
      </c>
      <c r="G153" s="31" t="n">
        <f aca="false">SUMIFS('QB Import'!$B$1:$B$600,'QB Import'!$H$1:$H$600,$C153,'QB Import'!$G$1:$G$600,1)</f>
        <v>4000</v>
      </c>
      <c r="H153" s="11" t="n">
        <f aca="false">IF($E153="Manual",L153,IF($E153="Flat",G153,IF($E153="Inflation",G153*(1+Inputs!D$12),IF($E153="Salary",G153*(1+Inputs!D$10),IF($E153="Benefits",G153*(1+Inputs!D$11),IF($E153="Per Student",G153*H$4/G$4*(1+Inputs!D$12),IF($E153="Enrollment",G153*H$4/G$4,IF($E153="Tuition Index",G153*H$5/G$5,IF($E153="% of Salaries",IF($G$6=0,0,$G153/$G$6*H$6),IF($E153="Debt",$G153*Inputs!D$15/12,IF($E153="Reserve Yield",Inputs!D$13*Inputs!D$16,IF($E153="Trend",IF(ISNUMBER(Trend!$Q192),Trend!$Q192,G153),G153))))))))))))</f>
        <v>4120</v>
      </c>
      <c r="I153" s="11" t="n">
        <f aca="false">IF($E153="Manual",M153,IF($E153="Flat",H153,IF($E153="Inflation",H153*(1+Inputs!E$12),IF($E153="Salary",H153*(1+Inputs!E$10),IF($E153="Benefits",H153*(1+Inputs!E$11),IF($E153="Per Student",H153*I$4/H$4*(1+Inputs!E$12),IF($E153="Enrollment",H153*I$4/H$4,IF($E153="Tuition Index",H153*I$5/H$5,IF($E153="% of Salaries",IF($G$6=0,0,$G153/$G$6*I$6),IF($E153="Debt",$G153*Inputs!E$15/12,IF($E153="Reserve Yield",Inputs!E$13*Inputs!E$16,IF($E153="Trend",H153*(1+Inputs!E$12),H153))))))))))))</f>
        <v>4243.6</v>
      </c>
      <c r="J153" s="11" t="n">
        <f aca="false">IF($E153="Manual",N153,IF($E153="Flat",I153,IF($E153="Inflation",I153*(1+Inputs!F$12),IF($E153="Salary",I153*(1+Inputs!F$10),IF($E153="Benefits",I153*(1+Inputs!F$11),IF($E153="Per Student",I153*J$4/I$4*(1+Inputs!F$12),IF($E153="Enrollment",I153*J$4/I$4,IF($E153="Tuition Index",I153*J$5/I$5,IF($E153="% of Salaries",IF($G$6=0,0,$G153/$G$6*J$6),IF($E153="Debt",$G153*Inputs!F$15/12,IF($E153="Reserve Yield",Inputs!F$13*Inputs!F$16,IF($E153="Trend",I153*(1+Inputs!F$12),I153))))))))))))</f>
        <v>4370.908</v>
      </c>
      <c r="K153" s="11" t="n">
        <f aca="false">IF($E153="Manual",O153,IF($E153="Flat",J153,IF($E153="Inflation",J153*(1+Inputs!G$12),IF($E153="Salary",J153*(1+Inputs!G$10),IF($E153="Benefits",J153*(1+Inputs!G$11),IF($E153="Per Student",J153*K$4/J$4*(1+Inputs!G$12),IF($E153="Enrollment",J153*K$4/J$4,IF($E153="Tuition Index",J153*K$5/J$5,IF($E153="% of Salaries",IF($G$6=0,0,$G153/$G$6*K$6),IF($E153="Debt",$G153*Inputs!G$15/12,IF($E153="Reserve Yield",Inputs!G$13*Inputs!G$16,IF($E153="Trend",J153*(1+Inputs!G$12),J153))))))))))))</f>
        <v>4502.03524</v>
      </c>
      <c r="L153" s="22"/>
      <c r="M153" s="22"/>
      <c r="N153" s="22"/>
      <c r="O153" s="22"/>
    </row>
    <row r="154" customFormat="false" ht="15" hidden="false" customHeight="false" outlineLevel="0" collapsed="false">
      <c r="A154" s="6" t="s">
        <v>295</v>
      </c>
      <c r="B154" s="6" t="s">
        <v>17</v>
      </c>
      <c r="C154" s="30" t="s">
        <v>480</v>
      </c>
      <c r="D154" s="6" t="s">
        <v>481</v>
      </c>
      <c r="E154" s="20" t="s">
        <v>330</v>
      </c>
      <c r="F154" s="20" t="s">
        <v>132</v>
      </c>
      <c r="G154" s="31" t="n">
        <f aca="false">SUMIFS('QB Import'!$B$1:$B$600,'QB Import'!$H$1:$H$600,$C154,'QB Import'!$G$1:$G$600,1)</f>
        <v>3000</v>
      </c>
      <c r="H154" s="11" t="n">
        <f aca="false">IF($E154="Manual",L154,IF($E154="Flat",G154,IF($E154="Inflation",G154*(1+Inputs!D$12),IF($E154="Salary",G154*(1+Inputs!D$10),IF($E154="Benefits",G154*(1+Inputs!D$11),IF($E154="Per Student",G154*H$4/G$4*(1+Inputs!D$12),IF($E154="Enrollment",G154*H$4/G$4,IF($E154="Tuition Index",G154*H$5/G$5,IF($E154="% of Salaries",IF($G$6=0,0,$G154/$G$6*H$6),IF($E154="Debt",$G154*Inputs!D$15/12,IF($E154="Reserve Yield",Inputs!D$13*Inputs!D$16,IF($E154="Trend",IF(ISNUMBER(Trend!$Q193),Trend!$Q193,G154),G154))))))))))))</f>
        <v>3090</v>
      </c>
      <c r="I154" s="11" t="n">
        <f aca="false">IF($E154="Manual",M154,IF($E154="Flat",H154,IF($E154="Inflation",H154*(1+Inputs!E$12),IF($E154="Salary",H154*(1+Inputs!E$10),IF($E154="Benefits",H154*(1+Inputs!E$11),IF($E154="Per Student",H154*I$4/H$4*(1+Inputs!E$12),IF($E154="Enrollment",H154*I$4/H$4,IF($E154="Tuition Index",H154*I$5/H$5,IF($E154="% of Salaries",IF($G$6=0,0,$G154/$G$6*I$6),IF($E154="Debt",$G154*Inputs!E$15/12,IF($E154="Reserve Yield",Inputs!E$13*Inputs!E$16,IF($E154="Trend",H154*(1+Inputs!E$12),H154))))))))))))</f>
        <v>3182.7</v>
      </c>
      <c r="J154" s="11" t="n">
        <f aca="false">IF($E154="Manual",N154,IF($E154="Flat",I154,IF($E154="Inflation",I154*(1+Inputs!F$12),IF($E154="Salary",I154*(1+Inputs!F$10),IF($E154="Benefits",I154*(1+Inputs!F$11),IF($E154="Per Student",I154*J$4/I$4*(1+Inputs!F$12),IF($E154="Enrollment",I154*J$4/I$4,IF($E154="Tuition Index",I154*J$5/I$5,IF($E154="% of Salaries",IF($G$6=0,0,$G154/$G$6*J$6),IF($E154="Debt",$G154*Inputs!F$15/12,IF($E154="Reserve Yield",Inputs!F$13*Inputs!F$16,IF($E154="Trend",I154*(1+Inputs!F$12),I154))))))))))))</f>
        <v>3278.181</v>
      </c>
      <c r="K154" s="11" t="n">
        <f aca="false">IF($E154="Manual",O154,IF($E154="Flat",J154,IF($E154="Inflation",J154*(1+Inputs!G$12),IF($E154="Salary",J154*(1+Inputs!G$10),IF($E154="Benefits",J154*(1+Inputs!G$11),IF($E154="Per Student",J154*K$4/J$4*(1+Inputs!G$12),IF($E154="Enrollment",J154*K$4/J$4,IF($E154="Tuition Index",J154*K$5/J$5,IF($E154="% of Salaries",IF($G$6=0,0,$G154/$G$6*K$6),IF($E154="Debt",$G154*Inputs!G$15/12,IF($E154="Reserve Yield",Inputs!G$13*Inputs!G$16,IF($E154="Trend",J154*(1+Inputs!G$12),J154))))))))))))</f>
        <v>3376.52643</v>
      </c>
      <c r="L154" s="22"/>
      <c r="M154" s="22"/>
      <c r="N154" s="22"/>
      <c r="O154" s="22"/>
    </row>
    <row r="155" customFormat="false" ht="15" hidden="false" customHeight="false" outlineLevel="0" collapsed="false">
      <c r="A155" s="6" t="s">
        <v>295</v>
      </c>
      <c r="B155" s="6" t="s">
        <v>17</v>
      </c>
      <c r="C155" s="30" t="s">
        <v>482</v>
      </c>
      <c r="D155" s="6" t="s">
        <v>483</v>
      </c>
      <c r="E155" s="20" t="s">
        <v>330</v>
      </c>
      <c r="F155" s="20" t="s">
        <v>132</v>
      </c>
      <c r="G155" s="31" t="n">
        <f aca="false">SUMIFS('QB Import'!$B$1:$B$600,'QB Import'!$H$1:$H$600,$C155,'QB Import'!$G$1:$G$600,1)</f>
        <v>25000</v>
      </c>
      <c r="H155" s="11" t="n">
        <f aca="false">IF($E155="Manual",L155,IF($E155="Flat",G155,IF($E155="Inflation",G155*(1+Inputs!D$12),IF($E155="Salary",G155*(1+Inputs!D$10),IF($E155="Benefits",G155*(1+Inputs!D$11),IF($E155="Per Student",G155*H$4/G$4*(1+Inputs!D$12),IF($E155="Enrollment",G155*H$4/G$4,IF($E155="Tuition Index",G155*H$5/G$5,IF($E155="% of Salaries",IF($G$6=0,0,$G155/$G$6*H$6),IF($E155="Debt",$G155*Inputs!D$15/12,IF($E155="Reserve Yield",Inputs!D$13*Inputs!D$16,IF($E155="Trend",IF(ISNUMBER(Trend!$Q194),Trend!$Q194,G155),G155))))))))))))</f>
        <v>25750</v>
      </c>
      <c r="I155" s="11" t="n">
        <f aca="false">IF($E155="Manual",M155,IF($E155="Flat",H155,IF($E155="Inflation",H155*(1+Inputs!E$12),IF($E155="Salary",H155*(1+Inputs!E$10),IF($E155="Benefits",H155*(1+Inputs!E$11),IF($E155="Per Student",H155*I$4/H$4*(1+Inputs!E$12),IF($E155="Enrollment",H155*I$4/H$4,IF($E155="Tuition Index",H155*I$5/H$5,IF($E155="% of Salaries",IF($G$6=0,0,$G155/$G$6*I$6),IF($E155="Debt",$G155*Inputs!E$15/12,IF($E155="Reserve Yield",Inputs!E$13*Inputs!E$16,IF($E155="Trend",H155*(1+Inputs!E$12),H155))))))))))))</f>
        <v>26522.5</v>
      </c>
      <c r="J155" s="11" t="n">
        <f aca="false">IF($E155="Manual",N155,IF($E155="Flat",I155,IF($E155="Inflation",I155*(1+Inputs!F$12),IF($E155="Salary",I155*(1+Inputs!F$10),IF($E155="Benefits",I155*(1+Inputs!F$11),IF($E155="Per Student",I155*J$4/I$4*(1+Inputs!F$12),IF($E155="Enrollment",I155*J$4/I$4,IF($E155="Tuition Index",I155*J$5/I$5,IF($E155="% of Salaries",IF($G$6=0,0,$G155/$G$6*J$6),IF($E155="Debt",$G155*Inputs!F$15/12,IF($E155="Reserve Yield",Inputs!F$13*Inputs!F$16,IF($E155="Trend",I155*(1+Inputs!F$12),I155))))))))))))</f>
        <v>27318.175</v>
      </c>
      <c r="K155" s="11" t="n">
        <f aca="false">IF($E155="Manual",O155,IF($E155="Flat",J155,IF($E155="Inflation",J155*(1+Inputs!G$12),IF($E155="Salary",J155*(1+Inputs!G$10),IF($E155="Benefits",J155*(1+Inputs!G$11),IF($E155="Per Student",J155*K$4/J$4*(1+Inputs!G$12),IF($E155="Enrollment",J155*K$4/J$4,IF($E155="Tuition Index",J155*K$5/J$5,IF($E155="% of Salaries",IF($G$6=0,0,$G155/$G$6*K$6),IF($E155="Debt",$G155*Inputs!G$15/12,IF($E155="Reserve Yield",Inputs!G$13*Inputs!G$16,IF($E155="Trend",J155*(1+Inputs!G$12),J155))))))))))))</f>
        <v>28137.72025</v>
      </c>
      <c r="L155" s="22"/>
      <c r="M155" s="22"/>
      <c r="N155" s="22"/>
      <c r="O155" s="22"/>
    </row>
    <row r="156" customFormat="false" ht="15" hidden="false" customHeight="false" outlineLevel="0" collapsed="false">
      <c r="A156" s="6" t="s">
        <v>295</v>
      </c>
      <c r="B156" s="6" t="s">
        <v>17</v>
      </c>
      <c r="C156" s="30" t="s">
        <v>484</v>
      </c>
      <c r="D156" s="6" t="s">
        <v>485</v>
      </c>
      <c r="E156" s="20" t="s">
        <v>330</v>
      </c>
      <c r="F156" s="20" t="s">
        <v>132</v>
      </c>
      <c r="G156" s="31" t="n">
        <f aca="false">SUMIFS('QB Import'!$B$1:$B$600,'QB Import'!$H$1:$H$600,$C156,'QB Import'!$G$1:$G$600,1)</f>
        <v>6000</v>
      </c>
      <c r="H156" s="11" t="n">
        <f aca="false">IF($E156="Manual",L156,IF($E156="Flat",G156,IF($E156="Inflation",G156*(1+Inputs!D$12),IF($E156="Salary",G156*(1+Inputs!D$10),IF($E156="Benefits",G156*(1+Inputs!D$11),IF($E156="Per Student",G156*H$4/G$4*(1+Inputs!D$12),IF($E156="Enrollment",G156*H$4/G$4,IF($E156="Tuition Index",G156*H$5/G$5,IF($E156="% of Salaries",IF($G$6=0,0,$G156/$G$6*H$6),IF($E156="Debt",$G156*Inputs!D$15/12,IF($E156="Reserve Yield",Inputs!D$13*Inputs!D$16,IF($E156="Trend",IF(ISNUMBER(Trend!$Q195),Trend!$Q195,G156),G156))))))))))))</f>
        <v>6180</v>
      </c>
      <c r="I156" s="11" t="n">
        <f aca="false">IF($E156="Manual",M156,IF($E156="Flat",H156,IF($E156="Inflation",H156*(1+Inputs!E$12),IF($E156="Salary",H156*(1+Inputs!E$10),IF($E156="Benefits",H156*(1+Inputs!E$11),IF($E156="Per Student",H156*I$4/H$4*(1+Inputs!E$12),IF($E156="Enrollment",H156*I$4/H$4,IF($E156="Tuition Index",H156*I$5/H$5,IF($E156="% of Salaries",IF($G$6=0,0,$G156/$G$6*I$6),IF($E156="Debt",$G156*Inputs!E$15/12,IF($E156="Reserve Yield",Inputs!E$13*Inputs!E$16,IF($E156="Trend",H156*(1+Inputs!E$12),H156))))))))))))</f>
        <v>6365.4</v>
      </c>
      <c r="J156" s="11" t="n">
        <f aca="false">IF($E156="Manual",N156,IF($E156="Flat",I156,IF($E156="Inflation",I156*(1+Inputs!F$12),IF($E156="Salary",I156*(1+Inputs!F$10),IF($E156="Benefits",I156*(1+Inputs!F$11),IF($E156="Per Student",I156*J$4/I$4*(1+Inputs!F$12),IF($E156="Enrollment",I156*J$4/I$4,IF($E156="Tuition Index",I156*J$5/I$5,IF($E156="% of Salaries",IF($G$6=0,0,$G156/$G$6*J$6),IF($E156="Debt",$G156*Inputs!F$15/12,IF($E156="Reserve Yield",Inputs!F$13*Inputs!F$16,IF($E156="Trend",I156*(1+Inputs!F$12),I156))))))))))))</f>
        <v>6556.362</v>
      </c>
      <c r="K156" s="11" t="n">
        <f aca="false">IF($E156="Manual",O156,IF($E156="Flat",J156,IF($E156="Inflation",J156*(1+Inputs!G$12),IF($E156="Salary",J156*(1+Inputs!G$10),IF($E156="Benefits",J156*(1+Inputs!G$11),IF($E156="Per Student",J156*K$4/J$4*(1+Inputs!G$12),IF($E156="Enrollment",J156*K$4/J$4,IF($E156="Tuition Index",J156*K$5/J$5,IF($E156="% of Salaries",IF($G$6=0,0,$G156/$G$6*K$6),IF($E156="Debt",$G156*Inputs!G$15/12,IF($E156="Reserve Yield",Inputs!G$13*Inputs!G$16,IF($E156="Trend",J156*(1+Inputs!G$12),J156))))))))))))</f>
        <v>6753.05286</v>
      </c>
      <c r="L156" s="22"/>
      <c r="M156" s="22"/>
      <c r="N156" s="22"/>
      <c r="O156" s="22"/>
    </row>
    <row r="157" customFormat="false" ht="15" hidden="false" customHeight="false" outlineLevel="0" collapsed="false">
      <c r="A157" s="6" t="s">
        <v>295</v>
      </c>
      <c r="B157" s="6" t="s">
        <v>17</v>
      </c>
      <c r="C157" s="30" t="s">
        <v>486</v>
      </c>
      <c r="D157" s="6" t="s">
        <v>487</v>
      </c>
      <c r="E157" s="20" t="s">
        <v>330</v>
      </c>
      <c r="F157" s="20" t="s">
        <v>132</v>
      </c>
      <c r="G157" s="31" t="n">
        <f aca="false">SUMIFS('QB Import'!$B$1:$B$600,'QB Import'!$H$1:$H$600,$C157,'QB Import'!$G$1:$G$600,1)</f>
        <v>50000</v>
      </c>
      <c r="H157" s="11" t="n">
        <f aca="false">IF($E157="Manual",L157,IF($E157="Flat",G157,IF($E157="Inflation",G157*(1+Inputs!D$12),IF($E157="Salary",G157*(1+Inputs!D$10),IF($E157="Benefits",G157*(1+Inputs!D$11),IF($E157="Per Student",G157*H$4/G$4*(1+Inputs!D$12),IF($E157="Enrollment",G157*H$4/G$4,IF($E157="Tuition Index",G157*H$5/G$5,IF($E157="% of Salaries",IF($G$6=0,0,$G157/$G$6*H$6),IF($E157="Debt",$G157*Inputs!D$15/12,IF($E157="Reserve Yield",Inputs!D$13*Inputs!D$16,IF($E157="Trend",IF(ISNUMBER(Trend!$Q196),Trend!$Q196,G157),G157))))))))))))</f>
        <v>51500</v>
      </c>
      <c r="I157" s="11" t="n">
        <f aca="false">IF($E157="Manual",M157,IF($E157="Flat",H157,IF($E157="Inflation",H157*(1+Inputs!E$12),IF($E157="Salary",H157*(1+Inputs!E$10),IF($E157="Benefits",H157*(1+Inputs!E$11),IF($E157="Per Student",H157*I$4/H$4*(1+Inputs!E$12),IF($E157="Enrollment",H157*I$4/H$4,IF($E157="Tuition Index",H157*I$5/H$5,IF($E157="% of Salaries",IF($G$6=0,0,$G157/$G$6*I$6),IF($E157="Debt",$G157*Inputs!E$15/12,IF($E157="Reserve Yield",Inputs!E$13*Inputs!E$16,IF($E157="Trend",H157*(1+Inputs!E$12),H157))))))))))))</f>
        <v>53045</v>
      </c>
      <c r="J157" s="11" t="n">
        <f aca="false">IF($E157="Manual",N157,IF($E157="Flat",I157,IF($E157="Inflation",I157*(1+Inputs!F$12),IF($E157="Salary",I157*(1+Inputs!F$10),IF($E157="Benefits",I157*(1+Inputs!F$11),IF($E157="Per Student",I157*J$4/I$4*(1+Inputs!F$12),IF($E157="Enrollment",I157*J$4/I$4,IF($E157="Tuition Index",I157*J$5/I$5,IF($E157="% of Salaries",IF($G$6=0,0,$G157/$G$6*J$6),IF($E157="Debt",$G157*Inputs!F$15/12,IF($E157="Reserve Yield",Inputs!F$13*Inputs!F$16,IF($E157="Trend",I157*(1+Inputs!F$12),I157))))))))))))</f>
        <v>54636.35</v>
      </c>
      <c r="K157" s="11" t="n">
        <f aca="false">IF($E157="Manual",O157,IF($E157="Flat",J157,IF($E157="Inflation",J157*(1+Inputs!G$12),IF($E157="Salary",J157*(1+Inputs!G$10),IF($E157="Benefits",J157*(1+Inputs!G$11),IF($E157="Per Student",J157*K$4/J$4*(1+Inputs!G$12),IF($E157="Enrollment",J157*K$4/J$4,IF($E157="Tuition Index",J157*K$5/J$5,IF($E157="% of Salaries",IF($G$6=0,0,$G157/$G$6*K$6),IF($E157="Debt",$G157*Inputs!G$15/12,IF($E157="Reserve Yield",Inputs!G$13*Inputs!G$16,IF($E157="Trend",J157*(1+Inputs!G$12),J157))))))))))))</f>
        <v>56275.4405</v>
      </c>
      <c r="L157" s="22"/>
      <c r="M157" s="22"/>
      <c r="N157" s="22"/>
      <c r="O157" s="22"/>
    </row>
    <row r="158" customFormat="false" ht="15" hidden="false" customHeight="false" outlineLevel="0" collapsed="false">
      <c r="A158" s="6" t="s">
        <v>295</v>
      </c>
      <c r="B158" s="6" t="s">
        <v>17</v>
      </c>
      <c r="C158" s="30" t="s">
        <v>488</v>
      </c>
      <c r="D158" s="6" t="s">
        <v>489</v>
      </c>
      <c r="E158" s="20" t="s">
        <v>330</v>
      </c>
      <c r="F158" s="20" t="s">
        <v>132</v>
      </c>
      <c r="G158" s="31" t="n">
        <f aca="false">SUMIFS('QB Import'!$B$1:$B$600,'QB Import'!$H$1:$H$600,$C158,'QB Import'!$G$1:$G$600,1)</f>
        <v>5000</v>
      </c>
      <c r="H158" s="11" t="n">
        <f aca="false">IF($E158="Manual",L158,IF($E158="Flat",G158,IF($E158="Inflation",G158*(1+Inputs!D$12),IF($E158="Salary",G158*(1+Inputs!D$10),IF($E158="Benefits",G158*(1+Inputs!D$11),IF($E158="Per Student",G158*H$4/G$4*(1+Inputs!D$12),IF($E158="Enrollment",G158*H$4/G$4,IF($E158="Tuition Index",G158*H$5/G$5,IF($E158="% of Salaries",IF($G$6=0,0,$G158/$G$6*H$6),IF($E158="Debt",$G158*Inputs!D$15/12,IF($E158="Reserve Yield",Inputs!D$13*Inputs!D$16,IF($E158="Trend",IF(ISNUMBER(Trend!$Q197),Trend!$Q197,G158),G158))))))))))))</f>
        <v>5150</v>
      </c>
      <c r="I158" s="11" t="n">
        <f aca="false">IF($E158="Manual",M158,IF($E158="Flat",H158,IF($E158="Inflation",H158*(1+Inputs!E$12),IF($E158="Salary",H158*(1+Inputs!E$10),IF($E158="Benefits",H158*(1+Inputs!E$11),IF($E158="Per Student",H158*I$4/H$4*(1+Inputs!E$12),IF($E158="Enrollment",H158*I$4/H$4,IF($E158="Tuition Index",H158*I$5/H$5,IF($E158="% of Salaries",IF($G$6=0,0,$G158/$G$6*I$6),IF($E158="Debt",$G158*Inputs!E$15/12,IF($E158="Reserve Yield",Inputs!E$13*Inputs!E$16,IF($E158="Trend",H158*(1+Inputs!E$12),H158))))))))))))</f>
        <v>5304.5</v>
      </c>
      <c r="J158" s="11" t="n">
        <f aca="false">IF($E158="Manual",N158,IF($E158="Flat",I158,IF($E158="Inflation",I158*(1+Inputs!F$12),IF($E158="Salary",I158*(1+Inputs!F$10),IF($E158="Benefits",I158*(1+Inputs!F$11),IF($E158="Per Student",I158*J$4/I$4*(1+Inputs!F$12),IF($E158="Enrollment",I158*J$4/I$4,IF($E158="Tuition Index",I158*J$5/I$5,IF($E158="% of Salaries",IF($G$6=0,0,$G158/$G$6*J$6),IF($E158="Debt",$G158*Inputs!F$15/12,IF($E158="Reserve Yield",Inputs!F$13*Inputs!F$16,IF($E158="Trend",I158*(1+Inputs!F$12),I158))))))))))))</f>
        <v>5463.635</v>
      </c>
      <c r="K158" s="11" t="n">
        <f aca="false">IF($E158="Manual",O158,IF($E158="Flat",J158,IF($E158="Inflation",J158*(1+Inputs!G$12),IF($E158="Salary",J158*(1+Inputs!G$10),IF($E158="Benefits",J158*(1+Inputs!G$11),IF($E158="Per Student",J158*K$4/J$4*(1+Inputs!G$12),IF($E158="Enrollment",J158*K$4/J$4,IF($E158="Tuition Index",J158*K$5/J$5,IF($E158="% of Salaries",IF($G$6=0,0,$G158/$G$6*K$6),IF($E158="Debt",$G158*Inputs!G$15/12,IF($E158="Reserve Yield",Inputs!G$13*Inputs!G$16,IF($E158="Trend",J158*(1+Inputs!G$12),J158))))))))))))</f>
        <v>5627.54405</v>
      </c>
      <c r="L158" s="22"/>
      <c r="M158" s="22"/>
      <c r="N158" s="22"/>
      <c r="O158" s="22"/>
    </row>
    <row r="159" customFormat="false" ht="15" hidden="false" customHeight="false" outlineLevel="0" collapsed="false">
      <c r="A159" s="6" t="s">
        <v>295</v>
      </c>
      <c r="B159" s="6" t="s">
        <v>17</v>
      </c>
      <c r="C159" s="30" t="s">
        <v>490</v>
      </c>
      <c r="D159" s="6" t="s">
        <v>491</v>
      </c>
      <c r="E159" s="20" t="s">
        <v>330</v>
      </c>
      <c r="F159" s="20" t="s">
        <v>132</v>
      </c>
      <c r="G159" s="31" t="n">
        <f aca="false">SUMIFS('QB Import'!$B$1:$B$600,'QB Import'!$H$1:$H$600,$C159,'QB Import'!$G$1:$G$600,1)</f>
        <v>15000</v>
      </c>
      <c r="H159" s="11" t="n">
        <f aca="false">IF($E159="Manual",L159,IF($E159="Flat",G159,IF($E159="Inflation",G159*(1+Inputs!D$12),IF($E159="Salary",G159*(1+Inputs!D$10),IF($E159="Benefits",G159*(1+Inputs!D$11),IF($E159="Per Student",G159*H$4/G$4*(1+Inputs!D$12),IF($E159="Enrollment",G159*H$4/G$4,IF($E159="Tuition Index",G159*H$5/G$5,IF($E159="% of Salaries",IF($G$6=0,0,$G159/$G$6*H$6),IF($E159="Debt",$G159*Inputs!D$15/12,IF($E159="Reserve Yield",Inputs!D$13*Inputs!D$16,IF($E159="Trend",IF(ISNUMBER(Trend!$Q198),Trend!$Q198,G159),G159))))))))))))</f>
        <v>15450</v>
      </c>
      <c r="I159" s="11" t="n">
        <f aca="false">IF($E159="Manual",M159,IF($E159="Flat",H159,IF($E159="Inflation",H159*(1+Inputs!E$12),IF($E159="Salary",H159*(1+Inputs!E$10),IF($E159="Benefits",H159*(1+Inputs!E$11),IF($E159="Per Student",H159*I$4/H$4*(1+Inputs!E$12),IF($E159="Enrollment",H159*I$4/H$4,IF($E159="Tuition Index",H159*I$5/H$5,IF($E159="% of Salaries",IF($G$6=0,0,$G159/$G$6*I$6),IF($E159="Debt",$G159*Inputs!E$15/12,IF($E159="Reserve Yield",Inputs!E$13*Inputs!E$16,IF($E159="Trend",H159*(1+Inputs!E$12),H159))))))))))))</f>
        <v>15913.5</v>
      </c>
      <c r="J159" s="11" t="n">
        <f aca="false">IF($E159="Manual",N159,IF($E159="Flat",I159,IF($E159="Inflation",I159*(1+Inputs!F$12),IF($E159="Salary",I159*(1+Inputs!F$10),IF($E159="Benefits",I159*(1+Inputs!F$11),IF($E159="Per Student",I159*J$4/I$4*(1+Inputs!F$12),IF($E159="Enrollment",I159*J$4/I$4,IF($E159="Tuition Index",I159*J$5/I$5,IF($E159="% of Salaries",IF($G$6=0,0,$G159/$G$6*J$6),IF($E159="Debt",$G159*Inputs!F$15/12,IF($E159="Reserve Yield",Inputs!F$13*Inputs!F$16,IF($E159="Trend",I159*(1+Inputs!F$12),I159))))))))))))</f>
        <v>16390.905</v>
      </c>
      <c r="K159" s="11" t="n">
        <f aca="false">IF($E159="Manual",O159,IF($E159="Flat",J159,IF($E159="Inflation",J159*(1+Inputs!G$12),IF($E159="Salary",J159*(1+Inputs!G$10),IF($E159="Benefits",J159*(1+Inputs!G$11),IF($E159="Per Student",J159*K$4/J$4*(1+Inputs!G$12),IF($E159="Enrollment",J159*K$4/J$4,IF($E159="Tuition Index",J159*K$5/J$5,IF($E159="% of Salaries",IF($G$6=0,0,$G159/$G$6*K$6),IF($E159="Debt",$G159*Inputs!G$15/12,IF($E159="Reserve Yield",Inputs!G$13*Inputs!G$16,IF($E159="Trend",J159*(1+Inputs!G$12),J159))))))))))))</f>
        <v>16882.63215</v>
      </c>
      <c r="L159" s="22"/>
      <c r="M159" s="22"/>
      <c r="N159" s="22"/>
      <c r="O159" s="22"/>
    </row>
    <row r="160" customFormat="false" ht="15" hidden="false" customHeight="false" outlineLevel="0" collapsed="false">
      <c r="A160" s="6" t="s">
        <v>295</v>
      </c>
      <c r="B160" s="6" t="s">
        <v>17</v>
      </c>
      <c r="C160" s="30" t="s">
        <v>492</v>
      </c>
      <c r="D160" s="6" t="s">
        <v>493</v>
      </c>
      <c r="E160" s="20" t="s">
        <v>330</v>
      </c>
      <c r="F160" s="20" t="s">
        <v>132</v>
      </c>
      <c r="G160" s="31" t="n">
        <f aca="false">SUMIFS('QB Import'!$B$1:$B$600,'QB Import'!$H$1:$H$600,$C160,'QB Import'!$G$1:$G$600,1)</f>
        <v>15000</v>
      </c>
      <c r="H160" s="11" t="n">
        <f aca="false">IF($E160="Manual",L160,IF($E160="Flat",G160,IF($E160="Inflation",G160*(1+Inputs!D$12),IF($E160="Salary",G160*(1+Inputs!D$10),IF($E160="Benefits",G160*(1+Inputs!D$11),IF($E160="Per Student",G160*H$4/G$4*(1+Inputs!D$12),IF($E160="Enrollment",G160*H$4/G$4,IF($E160="Tuition Index",G160*H$5/G$5,IF($E160="% of Salaries",IF($G$6=0,0,$G160/$G$6*H$6),IF($E160="Debt",$G160*Inputs!D$15/12,IF($E160="Reserve Yield",Inputs!D$13*Inputs!D$16,IF($E160="Trend",IF(ISNUMBER(Trend!$Q199),Trend!$Q199,G160),G160))))))))))))</f>
        <v>15450</v>
      </c>
      <c r="I160" s="11" t="n">
        <f aca="false">IF($E160="Manual",M160,IF($E160="Flat",H160,IF($E160="Inflation",H160*(1+Inputs!E$12),IF($E160="Salary",H160*(1+Inputs!E$10),IF($E160="Benefits",H160*(1+Inputs!E$11),IF($E160="Per Student",H160*I$4/H$4*(1+Inputs!E$12),IF($E160="Enrollment",H160*I$4/H$4,IF($E160="Tuition Index",H160*I$5/H$5,IF($E160="% of Salaries",IF($G$6=0,0,$G160/$G$6*I$6),IF($E160="Debt",$G160*Inputs!E$15/12,IF($E160="Reserve Yield",Inputs!E$13*Inputs!E$16,IF($E160="Trend",H160*(1+Inputs!E$12),H160))))))))))))</f>
        <v>15913.5</v>
      </c>
      <c r="J160" s="11" t="n">
        <f aca="false">IF($E160="Manual",N160,IF($E160="Flat",I160,IF($E160="Inflation",I160*(1+Inputs!F$12),IF($E160="Salary",I160*(1+Inputs!F$10),IF($E160="Benefits",I160*(1+Inputs!F$11),IF($E160="Per Student",I160*J$4/I$4*(1+Inputs!F$12),IF($E160="Enrollment",I160*J$4/I$4,IF($E160="Tuition Index",I160*J$5/I$5,IF($E160="% of Salaries",IF($G$6=0,0,$G160/$G$6*J$6),IF($E160="Debt",$G160*Inputs!F$15/12,IF($E160="Reserve Yield",Inputs!F$13*Inputs!F$16,IF($E160="Trend",I160*(1+Inputs!F$12),I160))))))))))))</f>
        <v>16390.905</v>
      </c>
      <c r="K160" s="11" t="n">
        <f aca="false">IF($E160="Manual",O160,IF($E160="Flat",J160,IF($E160="Inflation",J160*(1+Inputs!G$12),IF($E160="Salary",J160*(1+Inputs!G$10),IF($E160="Benefits",J160*(1+Inputs!G$11),IF($E160="Per Student",J160*K$4/J$4*(1+Inputs!G$12),IF($E160="Enrollment",J160*K$4/J$4,IF($E160="Tuition Index",J160*K$5/J$5,IF($E160="% of Salaries",IF($G$6=0,0,$G160/$G$6*K$6),IF($E160="Debt",$G160*Inputs!G$15/12,IF($E160="Reserve Yield",Inputs!G$13*Inputs!G$16,IF($E160="Trend",J160*(1+Inputs!G$12),J160))))))))))))</f>
        <v>16882.63215</v>
      </c>
      <c r="L160" s="22"/>
      <c r="M160" s="22"/>
      <c r="N160" s="22"/>
      <c r="O160" s="22"/>
    </row>
    <row r="161" customFormat="false" ht="15" hidden="false" customHeight="false" outlineLevel="0" collapsed="false">
      <c r="A161" s="6" t="s">
        <v>295</v>
      </c>
      <c r="B161" s="6" t="s">
        <v>17</v>
      </c>
      <c r="C161" s="30" t="s">
        <v>494</v>
      </c>
      <c r="D161" s="6" t="s">
        <v>495</v>
      </c>
      <c r="E161" s="20" t="s">
        <v>330</v>
      </c>
      <c r="F161" s="20" t="s">
        <v>132</v>
      </c>
      <c r="G161" s="31" t="n">
        <f aca="false">SUMIFS('QB Import'!$B$1:$B$600,'QB Import'!$H$1:$H$600,$C161,'QB Import'!$G$1:$G$600,1)</f>
        <v>8500</v>
      </c>
      <c r="H161" s="11" t="n">
        <f aca="false">IF($E161="Manual",L161,IF($E161="Flat",G161,IF($E161="Inflation",G161*(1+Inputs!D$12),IF($E161="Salary",G161*(1+Inputs!D$10),IF($E161="Benefits",G161*(1+Inputs!D$11),IF($E161="Per Student",G161*H$4/G$4*(1+Inputs!D$12),IF($E161="Enrollment",G161*H$4/G$4,IF($E161="Tuition Index",G161*H$5/G$5,IF($E161="% of Salaries",IF($G$6=0,0,$G161/$G$6*H$6),IF($E161="Debt",$G161*Inputs!D$15/12,IF($E161="Reserve Yield",Inputs!D$13*Inputs!D$16,IF($E161="Trend",IF(ISNUMBER(Trend!$Q200),Trend!$Q200,G161),G161))))))))))))</f>
        <v>8755</v>
      </c>
      <c r="I161" s="11" t="n">
        <f aca="false">IF($E161="Manual",M161,IF($E161="Flat",H161,IF($E161="Inflation",H161*(1+Inputs!E$12),IF($E161="Salary",H161*(1+Inputs!E$10),IF($E161="Benefits",H161*(1+Inputs!E$11),IF($E161="Per Student",H161*I$4/H$4*(1+Inputs!E$12),IF($E161="Enrollment",H161*I$4/H$4,IF($E161="Tuition Index",H161*I$5/H$5,IF($E161="% of Salaries",IF($G$6=0,0,$G161/$G$6*I$6),IF($E161="Debt",$G161*Inputs!E$15/12,IF($E161="Reserve Yield",Inputs!E$13*Inputs!E$16,IF($E161="Trend",H161*(1+Inputs!E$12),H161))))))))))))</f>
        <v>9017.65</v>
      </c>
      <c r="J161" s="11" t="n">
        <f aca="false">IF($E161="Manual",N161,IF($E161="Flat",I161,IF($E161="Inflation",I161*(1+Inputs!F$12),IF($E161="Salary",I161*(1+Inputs!F$10),IF($E161="Benefits",I161*(1+Inputs!F$11),IF($E161="Per Student",I161*J$4/I$4*(1+Inputs!F$12),IF($E161="Enrollment",I161*J$4/I$4,IF($E161="Tuition Index",I161*J$5/I$5,IF($E161="% of Salaries",IF($G$6=0,0,$G161/$G$6*J$6),IF($E161="Debt",$G161*Inputs!F$15/12,IF($E161="Reserve Yield",Inputs!F$13*Inputs!F$16,IF($E161="Trend",I161*(1+Inputs!F$12),I161))))))))))))</f>
        <v>9288.1795</v>
      </c>
      <c r="K161" s="11" t="n">
        <f aca="false">IF($E161="Manual",O161,IF($E161="Flat",J161,IF($E161="Inflation",J161*(1+Inputs!G$12),IF($E161="Salary",J161*(1+Inputs!G$10),IF($E161="Benefits",J161*(1+Inputs!G$11),IF($E161="Per Student",J161*K$4/J$4*(1+Inputs!G$12),IF($E161="Enrollment",J161*K$4/J$4,IF($E161="Tuition Index",J161*K$5/J$5,IF($E161="% of Salaries",IF($G$6=0,0,$G161/$G$6*K$6),IF($E161="Debt",$G161*Inputs!G$15/12,IF($E161="Reserve Yield",Inputs!G$13*Inputs!G$16,IF($E161="Trend",J161*(1+Inputs!G$12),J161))))))))))))</f>
        <v>9566.824885</v>
      </c>
      <c r="L161" s="22"/>
      <c r="M161" s="22"/>
      <c r="N161" s="22"/>
      <c r="O161" s="22"/>
    </row>
    <row r="162" customFormat="false" ht="15" hidden="false" customHeight="false" outlineLevel="0" collapsed="false">
      <c r="A162" s="6" t="s">
        <v>295</v>
      </c>
      <c r="B162" s="6" t="s">
        <v>17</v>
      </c>
      <c r="C162" s="30" t="s">
        <v>496</v>
      </c>
      <c r="D162" s="6" t="s">
        <v>497</v>
      </c>
      <c r="E162" s="20" t="s">
        <v>207</v>
      </c>
      <c r="F162" s="20" t="s">
        <v>132</v>
      </c>
      <c r="G162" s="31" t="n">
        <f aca="false">SUMIFS('QB Import'!$B$1:$B$600,'QB Import'!$H$1:$H$600,$C162,'QB Import'!$G$1:$G$600,1)</f>
        <v>69500</v>
      </c>
      <c r="H162" s="11" t="n">
        <f aca="false">IF($E162="Manual",L162,IF($E162="Flat",G162,IF($E162="Inflation",G162*(1+Inputs!D$12),IF($E162="Salary",G162*(1+Inputs!D$10),IF($E162="Benefits",G162*(1+Inputs!D$11),IF($E162="Per Student",G162*H$4/G$4*(1+Inputs!D$12),IF($E162="Enrollment",G162*H$4/G$4,IF($E162="Tuition Index",G162*H$5/G$5,IF($E162="% of Salaries",IF($G$6=0,0,$G162/$G$6*H$6),IF($E162="Debt",$G162*Inputs!D$15/12,IF($E162="Reserve Yield",Inputs!D$13*Inputs!D$16,IF($E162="Trend",IF(ISNUMBER(Trend!$Q201),Trend!$Q201,G162),G162))))))))))))</f>
        <v>70574.7422680412</v>
      </c>
      <c r="I162" s="11" t="n">
        <f aca="false">IF($E162="Manual",M162,IF($E162="Flat",H162,IF($E162="Inflation",H162*(1+Inputs!E$12),IF($E162="Salary",H162*(1+Inputs!E$10),IF($E162="Benefits",H162*(1+Inputs!E$11),IF($E162="Per Student",H162*I$4/H$4*(1+Inputs!E$12),IF($E162="Enrollment",H162*I$4/H$4,IF($E162="Tuition Index",H162*I$5/H$5,IF($E162="% of Salaries",IF($G$6=0,0,$G162/$G$6*I$6),IF($E162="Debt",$G162*Inputs!E$15/12,IF($E162="Reserve Yield",Inputs!E$13*Inputs!E$16,IF($E162="Trend",H162*(1+Inputs!E$12),H162))))))))))))</f>
        <v>70216.4948453608</v>
      </c>
      <c r="J162" s="11" t="n">
        <f aca="false">IF($E162="Manual",N162,IF($E162="Flat",I162,IF($E162="Inflation",I162*(1+Inputs!F$12),IF($E162="Salary",I162*(1+Inputs!F$10),IF($E162="Benefits",I162*(1+Inputs!F$11),IF($E162="Per Student",I162*J$4/I$4*(1+Inputs!F$12),IF($E162="Enrollment",I162*J$4/I$4,IF($E162="Tuition Index",I162*J$5/I$5,IF($E162="% of Salaries",IF($G$6=0,0,$G162/$G$6*J$6),IF($E162="Debt",$G162*Inputs!F$15/12,IF($E162="Reserve Yield",Inputs!F$13*Inputs!F$16,IF($E162="Trend",I162*(1+Inputs!F$12),I162))))))))))))</f>
        <v>69619.4158075601</v>
      </c>
      <c r="K162" s="11" t="n">
        <f aca="false">IF($E162="Manual",O162,IF($E162="Flat",J162,IF($E162="Inflation",J162*(1+Inputs!G$12),IF($E162="Salary",J162*(1+Inputs!G$10),IF($E162="Benefits",J162*(1+Inputs!G$11),IF($E162="Per Student",J162*K$4/J$4*(1+Inputs!G$12),IF($E162="Enrollment",J162*K$4/J$4,IF($E162="Tuition Index",J162*K$5/J$5,IF($E162="% of Salaries",IF($G$6=0,0,$G162/$G$6*K$6),IF($E162="Debt",$G162*Inputs!G$15/12,IF($E162="Reserve Yield",Inputs!G$13*Inputs!G$16,IF($E162="Trend",J162*(1+Inputs!G$12),J162))))))))))))</f>
        <v>69141.7525773196</v>
      </c>
      <c r="L162" s="22"/>
      <c r="M162" s="22"/>
      <c r="N162" s="22"/>
      <c r="O162" s="22"/>
    </row>
    <row r="163" customFormat="false" ht="15" hidden="false" customHeight="false" outlineLevel="0" collapsed="false">
      <c r="A163" s="6" t="s">
        <v>295</v>
      </c>
      <c r="B163" s="6" t="s">
        <v>17</v>
      </c>
      <c r="C163" s="30" t="s">
        <v>498</v>
      </c>
      <c r="D163" s="6" t="s">
        <v>498</v>
      </c>
      <c r="E163" s="20" t="s">
        <v>200</v>
      </c>
      <c r="F163" s="20" t="s">
        <v>132</v>
      </c>
      <c r="G163" s="31" t="n">
        <f aca="false">SUMIFS('QB Import'!$B$1:$B$600,'QB Import'!$H$1:$H$600,$C163,'QB Import'!$G$1:$G$600,1)</f>
        <v>0</v>
      </c>
      <c r="H163" s="11" t="n">
        <f aca="false">IF($E163="Manual",L163,IF($E163="Flat",G163,IF($E163="Inflation",G163*(1+Inputs!D$12),IF($E163="Salary",G163*(1+Inputs!D$10),IF($E163="Benefits",G163*(1+Inputs!D$11),IF($E163="Per Student",G163*H$4/G$4*(1+Inputs!D$12),IF($E163="Enrollment",G163*H$4/G$4,IF($E163="Tuition Index",G163*H$5/G$5,IF($E163="% of Salaries",IF($G$6=0,0,$G163/$G$6*H$6),IF($E163="Debt",$G163*Inputs!D$15/12,IF($E163="Reserve Yield",Inputs!D$13*Inputs!D$16,IF($E163="Trend",IF(ISNUMBER(Trend!$Q202),Trend!$Q202,G163),G163))))))))))))</f>
        <v>0</v>
      </c>
      <c r="I163" s="11" t="n">
        <f aca="false">IF($E163="Manual",M163,IF($E163="Flat",H163,IF($E163="Inflation",H163*(1+Inputs!E$12),IF($E163="Salary",H163*(1+Inputs!E$10),IF($E163="Benefits",H163*(1+Inputs!E$11),IF($E163="Per Student",H163*I$4/H$4*(1+Inputs!E$12),IF($E163="Enrollment",H163*I$4/H$4,IF($E163="Tuition Index",H163*I$5/H$5,IF($E163="% of Salaries",IF($G$6=0,0,$G163/$G$6*I$6),IF($E163="Debt",$G163*Inputs!E$15/12,IF($E163="Reserve Yield",Inputs!E$13*Inputs!E$16,IF($E163="Trend",H163*(1+Inputs!E$12),H163))))))))))))</f>
        <v>0</v>
      </c>
      <c r="J163" s="11" t="n">
        <f aca="false">IF($E163="Manual",N163,IF($E163="Flat",I163,IF($E163="Inflation",I163*(1+Inputs!F$12),IF($E163="Salary",I163*(1+Inputs!F$10),IF($E163="Benefits",I163*(1+Inputs!F$11),IF($E163="Per Student",I163*J$4/I$4*(1+Inputs!F$12),IF($E163="Enrollment",I163*J$4/I$4,IF($E163="Tuition Index",I163*J$5/I$5,IF($E163="% of Salaries",IF($G$6=0,0,$G163/$G$6*J$6),IF($E163="Debt",$G163*Inputs!F$15/12,IF($E163="Reserve Yield",Inputs!F$13*Inputs!F$16,IF($E163="Trend",I163*(1+Inputs!F$12),I163))))))))))))</f>
        <v>0</v>
      </c>
      <c r="K163" s="11" t="n">
        <f aca="false">IF($E163="Manual",O163,IF($E163="Flat",J163,IF($E163="Inflation",J163*(1+Inputs!G$12),IF($E163="Salary",J163*(1+Inputs!G$10),IF($E163="Benefits",J163*(1+Inputs!G$11),IF($E163="Per Student",J163*K$4/J$4*(1+Inputs!G$12),IF($E163="Enrollment",J163*K$4/J$4,IF($E163="Tuition Index",J163*K$5/J$5,IF($E163="% of Salaries",IF($G$6=0,0,$G163/$G$6*K$6),IF($E163="Debt",$G163*Inputs!G$15/12,IF($E163="Reserve Yield",Inputs!G$13*Inputs!G$16,IF($E163="Trend",J163*(1+Inputs!G$12),J163))))))))))))</f>
        <v>0</v>
      </c>
      <c r="L163" s="22"/>
      <c r="M163" s="22"/>
      <c r="N163" s="22"/>
      <c r="O163" s="22"/>
    </row>
    <row r="164" customFormat="false" ht="15" hidden="false" customHeight="false" outlineLevel="0" collapsed="false">
      <c r="A164" s="6" t="s">
        <v>295</v>
      </c>
      <c r="B164" s="6" t="s">
        <v>17</v>
      </c>
      <c r="C164" s="30" t="s">
        <v>499</v>
      </c>
      <c r="D164" s="6" t="s">
        <v>499</v>
      </c>
      <c r="E164" s="20" t="s">
        <v>330</v>
      </c>
      <c r="F164" s="20" t="s">
        <v>132</v>
      </c>
      <c r="G164" s="31" t="n">
        <f aca="false">SUMIFS('QB Import'!$B$1:$B$600,'QB Import'!$H$1:$H$600,$C164,'QB Import'!$G$1:$G$600,1)</f>
        <v>80000</v>
      </c>
      <c r="H164" s="11" t="n">
        <f aca="false">IF($E164="Manual",L164,IF($E164="Flat",G164,IF($E164="Inflation",G164*(1+Inputs!D$12),IF($E164="Salary",G164*(1+Inputs!D$10),IF($E164="Benefits",G164*(1+Inputs!D$11),IF($E164="Per Student",G164*H$4/G$4*(1+Inputs!D$12),IF($E164="Enrollment",G164*H$4/G$4,IF($E164="Tuition Index",G164*H$5/G$5,IF($E164="% of Salaries",IF($G$6=0,0,$G164/$G$6*H$6),IF($E164="Debt",$G164*Inputs!D$15/12,IF($E164="Reserve Yield",Inputs!D$13*Inputs!D$16,IF($E164="Trend",IF(ISNUMBER(Trend!$Q203),Trend!$Q203,G164),G164))))))))))))</f>
        <v>82400</v>
      </c>
      <c r="I164" s="11" t="n">
        <f aca="false">IF($E164="Manual",M164,IF($E164="Flat",H164,IF($E164="Inflation",H164*(1+Inputs!E$12),IF($E164="Salary",H164*(1+Inputs!E$10),IF($E164="Benefits",H164*(1+Inputs!E$11),IF($E164="Per Student",H164*I$4/H$4*(1+Inputs!E$12),IF($E164="Enrollment",H164*I$4/H$4,IF($E164="Tuition Index",H164*I$5/H$5,IF($E164="% of Salaries",IF($G$6=0,0,$G164/$G$6*I$6),IF($E164="Debt",$G164*Inputs!E$15/12,IF($E164="Reserve Yield",Inputs!E$13*Inputs!E$16,IF($E164="Trend",H164*(1+Inputs!E$12),H164))))))))))))</f>
        <v>84872</v>
      </c>
      <c r="J164" s="11" t="n">
        <f aca="false">IF($E164="Manual",N164,IF($E164="Flat",I164,IF($E164="Inflation",I164*(1+Inputs!F$12),IF($E164="Salary",I164*(1+Inputs!F$10),IF($E164="Benefits",I164*(1+Inputs!F$11),IF($E164="Per Student",I164*J$4/I$4*(1+Inputs!F$12),IF($E164="Enrollment",I164*J$4/I$4,IF($E164="Tuition Index",I164*J$5/I$5,IF($E164="% of Salaries",IF($G$6=0,0,$G164/$G$6*J$6),IF($E164="Debt",$G164*Inputs!F$15/12,IF($E164="Reserve Yield",Inputs!F$13*Inputs!F$16,IF($E164="Trend",I164*(1+Inputs!F$12),I164))))))))))))</f>
        <v>87418.16</v>
      </c>
      <c r="K164" s="11" t="n">
        <f aca="false">IF($E164="Manual",O164,IF($E164="Flat",J164,IF($E164="Inflation",J164*(1+Inputs!G$12),IF($E164="Salary",J164*(1+Inputs!G$10),IF($E164="Benefits",J164*(1+Inputs!G$11),IF($E164="Per Student",J164*K$4/J$4*(1+Inputs!G$12),IF($E164="Enrollment",J164*K$4/J$4,IF($E164="Tuition Index",J164*K$5/J$5,IF($E164="% of Salaries",IF($G$6=0,0,$G164/$G$6*K$6),IF($E164="Debt",$G164*Inputs!G$15/12,IF($E164="Reserve Yield",Inputs!G$13*Inputs!G$16,IF($E164="Trend",J164*(1+Inputs!G$12),J164))))))))))))</f>
        <v>90040.7048</v>
      </c>
      <c r="L164" s="22"/>
      <c r="M164" s="22"/>
      <c r="N164" s="22"/>
      <c r="O164" s="22"/>
    </row>
    <row r="165" customFormat="false" ht="15" hidden="false" customHeight="false" outlineLevel="0" collapsed="false">
      <c r="A165" s="6" t="s">
        <v>295</v>
      </c>
      <c r="B165" s="6" t="s">
        <v>17</v>
      </c>
      <c r="C165" s="30" t="s">
        <v>500</v>
      </c>
      <c r="D165" s="6" t="s">
        <v>501</v>
      </c>
      <c r="E165" s="20" t="s">
        <v>502</v>
      </c>
      <c r="F165" s="20" t="s">
        <v>132</v>
      </c>
      <c r="G165" s="31" t="n">
        <f aca="false">SUMIFS('QB Import'!$B$1:$B$600,'QB Import'!$H$1:$H$600,$C165,'QB Import'!$G$1:$G$600,1)</f>
        <v>160236</v>
      </c>
      <c r="H165" s="11" t="n">
        <f aca="false">IF($E165="Manual",L165,IF($E165="Flat",G165,IF($E165="Inflation",G165*(1+Inputs!D$12),IF($E165="Salary",G165*(1+Inputs!D$10),IF($E165="Benefits",G165*(1+Inputs!D$11),IF($E165="Per Student",G165*H$4/G$4*(1+Inputs!D$12),IF($E165="Enrollment",G165*H$4/G$4,IF($E165="Tuition Index",G165*H$5/G$5,IF($E165="% of Salaries",IF($G$6=0,0,$G165/$G$6*H$6),IF($E165="Debt",$G165*Inputs!D$15/12,IF($E165="Reserve Yield",Inputs!D$13*Inputs!D$16,IF($E165="Trend",IF(ISNUMBER(Trend!$Q204),Trend!$Q204,G165),G165))))))))))))</f>
        <v>160236</v>
      </c>
      <c r="I165" s="11" t="n">
        <f aca="false">IF($E165="Manual",M165,IF($E165="Flat",H165,IF($E165="Inflation",H165*(1+Inputs!E$12),IF($E165="Salary",H165*(1+Inputs!E$10),IF($E165="Benefits",H165*(1+Inputs!E$11),IF($E165="Per Student",H165*I$4/H$4*(1+Inputs!E$12),IF($E165="Enrollment",H165*I$4/H$4,IF($E165="Tuition Index",H165*I$5/H$5,IF($E165="% of Salaries",IF($G$6=0,0,$G165/$G$6*I$6),IF($E165="Debt",$G165*Inputs!E$15/12,IF($E165="Reserve Yield",Inputs!E$13*Inputs!E$16,IF($E165="Trend",H165*(1+Inputs!E$12),H165))))))))))))</f>
        <v>160236</v>
      </c>
      <c r="J165" s="11" t="n">
        <f aca="false">IF($E165="Manual",N165,IF($E165="Flat",I165,IF($E165="Inflation",I165*(1+Inputs!F$12),IF($E165="Salary",I165*(1+Inputs!F$10),IF($E165="Benefits",I165*(1+Inputs!F$11),IF($E165="Per Student",I165*J$4/I$4*(1+Inputs!F$12),IF($E165="Enrollment",I165*J$4/I$4,IF($E165="Tuition Index",I165*J$5/I$5,IF($E165="% of Salaries",IF($G$6=0,0,$G165/$G$6*J$6),IF($E165="Debt",$G165*Inputs!F$15/12,IF($E165="Reserve Yield",Inputs!F$13*Inputs!F$16,IF($E165="Trend",I165*(1+Inputs!F$12),I165))))))))))))</f>
        <v>53412</v>
      </c>
      <c r="K165" s="11" t="n">
        <f aca="false">IF($E165="Manual",O165,IF($E165="Flat",J165,IF($E165="Inflation",J165*(1+Inputs!G$12),IF($E165="Salary",J165*(1+Inputs!G$10),IF($E165="Benefits",J165*(1+Inputs!G$11),IF($E165="Per Student",J165*K$4/J$4*(1+Inputs!G$12),IF($E165="Enrollment",J165*K$4/J$4,IF($E165="Tuition Index",J165*K$5/J$5,IF($E165="% of Salaries",IF($G$6=0,0,$G165/$G$6*K$6),IF($E165="Debt",$G165*Inputs!G$15/12,IF($E165="Reserve Yield",Inputs!G$13*Inputs!G$16,IF($E165="Trend",J165*(1+Inputs!G$12),J165))))))))))))</f>
        <v>0</v>
      </c>
      <c r="L165" s="22"/>
      <c r="M165" s="22"/>
      <c r="N165" s="22"/>
      <c r="O165" s="22"/>
    </row>
    <row r="166" customFormat="false" ht="15" hidden="false" customHeight="false" outlineLevel="0" collapsed="false">
      <c r="A166" s="6" t="s">
        <v>295</v>
      </c>
      <c r="B166" s="6" t="s">
        <v>17</v>
      </c>
      <c r="C166" s="30" t="s">
        <v>503</v>
      </c>
      <c r="D166" s="6" t="s">
        <v>504</v>
      </c>
      <c r="E166" s="20" t="s">
        <v>502</v>
      </c>
      <c r="F166" s="20" t="s">
        <v>132</v>
      </c>
      <c r="G166" s="31" t="n">
        <f aca="false">SUMIFS('QB Import'!$B$1:$B$600,'QB Import'!$H$1:$H$600,$C166,'QB Import'!$G$1:$G$600,1)</f>
        <v>25432</v>
      </c>
      <c r="H166" s="11" t="n">
        <f aca="false">IF($E166="Manual",L166,IF($E166="Flat",G166,IF($E166="Inflation",G166*(1+Inputs!D$12),IF($E166="Salary",G166*(1+Inputs!D$10),IF($E166="Benefits",G166*(1+Inputs!D$11),IF($E166="Per Student",G166*H$4/G$4*(1+Inputs!D$12),IF($E166="Enrollment",G166*H$4/G$4,IF($E166="Tuition Index",G166*H$5/G$5,IF($E166="% of Salaries",IF($G$6=0,0,$G166/$G$6*H$6),IF($E166="Debt",$G166*Inputs!D$15/12,IF($E166="Reserve Yield",Inputs!D$13*Inputs!D$16,IF($E166="Trend",IF(ISNUMBER(Trend!$Q205),Trend!$Q205,G166),G166))))))))))))</f>
        <v>25432</v>
      </c>
      <c r="I166" s="11" t="n">
        <f aca="false">IF($E166="Manual",M166,IF($E166="Flat",H166,IF($E166="Inflation",H166*(1+Inputs!E$12),IF($E166="Salary",H166*(1+Inputs!E$10),IF($E166="Benefits",H166*(1+Inputs!E$11),IF($E166="Per Student",H166*I$4/H$4*(1+Inputs!E$12),IF($E166="Enrollment",H166*I$4/H$4,IF($E166="Tuition Index",H166*I$5/H$5,IF($E166="% of Salaries",IF($G$6=0,0,$G166/$G$6*I$6),IF($E166="Debt",$G166*Inputs!E$15/12,IF($E166="Reserve Yield",Inputs!E$13*Inputs!E$16,IF($E166="Trend",H166*(1+Inputs!E$12),H166))))))))))))</f>
        <v>25432</v>
      </c>
      <c r="J166" s="11" t="n">
        <f aca="false">IF($E166="Manual",N166,IF($E166="Flat",I166,IF($E166="Inflation",I166*(1+Inputs!F$12),IF($E166="Salary",I166*(1+Inputs!F$10),IF($E166="Benefits",I166*(1+Inputs!F$11),IF($E166="Per Student",I166*J$4/I$4*(1+Inputs!F$12),IF($E166="Enrollment",I166*J$4/I$4,IF($E166="Tuition Index",I166*J$5/I$5,IF($E166="% of Salaries",IF($G$6=0,0,$G166/$G$6*J$6),IF($E166="Debt",$G166*Inputs!F$15/12,IF($E166="Reserve Yield",Inputs!F$13*Inputs!F$16,IF($E166="Trend",I166*(1+Inputs!F$12),I166))))))))))))</f>
        <v>8477.33333333333</v>
      </c>
      <c r="K166" s="11" t="n">
        <f aca="false">IF($E166="Manual",O166,IF($E166="Flat",J166,IF($E166="Inflation",J166*(1+Inputs!G$12),IF($E166="Salary",J166*(1+Inputs!G$10),IF($E166="Benefits",J166*(1+Inputs!G$11),IF($E166="Per Student",J166*K$4/J$4*(1+Inputs!G$12),IF($E166="Enrollment",J166*K$4/J$4,IF($E166="Tuition Index",J166*K$5/J$5,IF($E166="% of Salaries",IF($G$6=0,0,$G166/$G$6*K$6),IF($E166="Debt",$G166*Inputs!G$15/12,IF($E166="Reserve Yield",Inputs!G$13*Inputs!G$16,IF($E166="Trend",J166*(1+Inputs!G$12),J166))))))))))))</f>
        <v>0</v>
      </c>
      <c r="L166" s="22"/>
      <c r="M166" s="22"/>
      <c r="N166" s="22"/>
      <c r="O166" s="22"/>
    </row>
    <row r="167" customFormat="false" ht="15" hidden="false" customHeight="false" outlineLevel="0" collapsed="false">
      <c r="A167" s="6" t="s">
        <v>295</v>
      </c>
      <c r="B167" s="6" t="s">
        <v>17</v>
      </c>
      <c r="C167" s="30" t="s">
        <v>505</v>
      </c>
      <c r="D167" s="6" t="s">
        <v>505</v>
      </c>
      <c r="E167" s="20" t="s">
        <v>200</v>
      </c>
      <c r="F167" s="20" t="s">
        <v>132</v>
      </c>
      <c r="G167" s="31" t="n">
        <f aca="false">SUMIFS('QB Import'!$B$1:$B$600,'QB Import'!$H$1:$H$600,$C167,'QB Import'!$G$1:$G$600,1)</f>
        <v>0</v>
      </c>
      <c r="H167" s="11" t="n">
        <f aca="false">IF($E167="Manual",L167,IF($E167="Flat",G167,IF($E167="Inflation",G167*(1+Inputs!D$12),IF($E167="Salary",G167*(1+Inputs!D$10),IF($E167="Benefits",G167*(1+Inputs!D$11),IF($E167="Per Student",G167*H$4/G$4*(1+Inputs!D$12),IF($E167="Enrollment",G167*H$4/G$4,IF($E167="Tuition Index",G167*H$5/G$5,IF($E167="% of Salaries",IF($G$6=0,0,$G167/$G$6*H$6),IF($E167="Debt",$G167*Inputs!D$15/12,IF($E167="Reserve Yield",Inputs!D$13*Inputs!D$16,IF($E167="Trend",IF(ISNUMBER(Trend!$Q206),Trend!$Q206,G167),G167))))))))))))</f>
        <v>0</v>
      </c>
      <c r="I167" s="11" t="n">
        <f aca="false">IF($E167="Manual",M167,IF($E167="Flat",H167,IF($E167="Inflation",H167*(1+Inputs!E$12),IF($E167="Salary",H167*(1+Inputs!E$10),IF($E167="Benefits",H167*(1+Inputs!E$11),IF($E167="Per Student",H167*I$4/H$4*(1+Inputs!E$12),IF($E167="Enrollment",H167*I$4/H$4,IF($E167="Tuition Index",H167*I$5/H$5,IF($E167="% of Salaries",IF($G$6=0,0,$G167/$G$6*I$6),IF($E167="Debt",$G167*Inputs!E$15/12,IF($E167="Reserve Yield",Inputs!E$13*Inputs!E$16,IF($E167="Trend",H167*(1+Inputs!E$12),H167))))))))))))</f>
        <v>0</v>
      </c>
      <c r="J167" s="11" t="n">
        <f aca="false">IF($E167="Manual",N167,IF($E167="Flat",I167,IF($E167="Inflation",I167*(1+Inputs!F$12),IF($E167="Salary",I167*(1+Inputs!F$10),IF($E167="Benefits",I167*(1+Inputs!F$11),IF($E167="Per Student",I167*J$4/I$4*(1+Inputs!F$12),IF($E167="Enrollment",I167*J$4/I$4,IF($E167="Tuition Index",I167*J$5/I$5,IF($E167="% of Salaries",IF($G$6=0,0,$G167/$G$6*J$6),IF($E167="Debt",$G167*Inputs!F$15/12,IF($E167="Reserve Yield",Inputs!F$13*Inputs!F$16,IF($E167="Trend",I167*(1+Inputs!F$12),I167))))))))))))</f>
        <v>0</v>
      </c>
      <c r="K167" s="11" t="n">
        <f aca="false">IF($E167="Manual",O167,IF($E167="Flat",J167,IF($E167="Inflation",J167*(1+Inputs!G$12),IF($E167="Salary",J167*(1+Inputs!G$10),IF($E167="Benefits",J167*(1+Inputs!G$11),IF($E167="Per Student",J167*K$4/J$4*(1+Inputs!G$12),IF($E167="Enrollment",J167*K$4/J$4,IF($E167="Tuition Index",J167*K$5/J$5,IF($E167="% of Salaries",IF($G$6=0,0,$G167/$G$6*K$6),IF($E167="Debt",$G167*Inputs!G$15/12,IF($E167="Reserve Yield",Inputs!G$13*Inputs!G$16,IF($E167="Trend",J167*(1+Inputs!G$12),J167))))))))))))</f>
        <v>0</v>
      </c>
      <c r="L167" s="22"/>
      <c r="M167" s="22"/>
      <c r="N167" s="22"/>
      <c r="O167" s="22"/>
    </row>
    <row r="168" customFormat="false" ht="15" hidden="false" customHeight="false" outlineLevel="0" collapsed="false">
      <c r="A168" s="6" t="s">
        <v>295</v>
      </c>
      <c r="B168" s="6" t="s">
        <v>17</v>
      </c>
      <c r="C168" s="30" t="s">
        <v>506</v>
      </c>
      <c r="D168" s="6" t="s">
        <v>507</v>
      </c>
      <c r="E168" s="20" t="s">
        <v>330</v>
      </c>
      <c r="F168" s="20" t="s">
        <v>132</v>
      </c>
      <c r="G168" s="31" t="n">
        <f aca="false">SUMIFS('QB Import'!$B$1:$B$600,'QB Import'!$H$1:$H$600,$C168,'QB Import'!$G$1:$G$600,1)</f>
        <v>10000</v>
      </c>
      <c r="H168" s="11" t="n">
        <f aca="false">IF($E168="Manual",L168,IF($E168="Flat",G168,IF($E168="Inflation",G168*(1+Inputs!D$12),IF($E168="Salary",G168*(1+Inputs!D$10),IF($E168="Benefits",G168*(1+Inputs!D$11),IF($E168="Per Student",G168*H$4/G$4*(1+Inputs!D$12),IF($E168="Enrollment",G168*H$4/G$4,IF($E168="Tuition Index",G168*H$5/G$5,IF($E168="% of Salaries",IF($G$6=0,0,$G168/$G$6*H$6),IF($E168="Debt",$G168*Inputs!D$15/12,IF($E168="Reserve Yield",Inputs!D$13*Inputs!D$16,IF($E168="Trend",IF(ISNUMBER(Trend!$Q207),Trend!$Q207,G168),G168))))))))))))</f>
        <v>10300</v>
      </c>
      <c r="I168" s="11" t="n">
        <f aca="false">IF($E168="Manual",M168,IF($E168="Flat",H168,IF($E168="Inflation",H168*(1+Inputs!E$12),IF($E168="Salary",H168*(1+Inputs!E$10),IF($E168="Benefits",H168*(1+Inputs!E$11),IF($E168="Per Student",H168*I$4/H$4*(1+Inputs!E$12),IF($E168="Enrollment",H168*I$4/H$4,IF($E168="Tuition Index",H168*I$5/H$5,IF($E168="% of Salaries",IF($G$6=0,0,$G168/$G$6*I$6),IF($E168="Debt",$G168*Inputs!E$15/12,IF($E168="Reserve Yield",Inputs!E$13*Inputs!E$16,IF($E168="Trend",H168*(1+Inputs!E$12),H168))))))))))))</f>
        <v>10609</v>
      </c>
      <c r="J168" s="11" t="n">
        <f aca="false">IF($E168="Manual",N168,IF($E168="Flat",I168,IF($E168="Inflation",I168*(1+Inputs!F$12),IF($E168="Salary",I168*(1+Inputs!F$10),IF($E168="Benefits",I168*(1+Inputs!F$11),IF($E168="Per Student",I168*J$4/I$4*(1+Inputs!F$12),IF($E168="Enrollment",I168*J$4/I$4,IF($E168="Tuition Index",I168*J$5/I$5,IF($E168="% of Salaries",IF($G$6=0,0,$G168/$G$6*J$6),IF($E168="Debt",$G168*Inputs!F$15/12,IF($E168="Reserve Yield",Inputs!F$13*Inputs!F$16,IF($E168="Trend",I168*(1+Inputs!F$12),I168))))))))))))</f>
        <v>10927.27</v>
      </c>
      <c r="K168" s="11" t="n">
        <f aca="false">IF($E168="Manual",O168,IF($E168="Flat",J168,IF($E168="Inflation",J168*(1+Inputs!G$12),IF($E168="Salary",J168*(1+Inputs!G$10),IF($E168="Benefits",J168*(1+Inputs!G$11),IF($E168="Per Student",J168*K$4/J$4*(1+Inputs!G$12),IF($E168="Enrollment",J168*K$4/J$4,IF($E168="Tuition Index",J168*K$5/J$5,IF($E168="% of Salaries",IF($G$6=0,0,$G168/$G$6*K$6),IF($E168="Debt",$G168*Inputs!G$15/12,IF($E168="Reserve Yield",Inputs!G$13*Inputs!G$16,IF($E168="Trend",J168*(1+Inputs!G$12),J168))))))))))))</f>
        <v>11255.0881</v>
      </c>
      <c r="L168" s="22"/>
      <c r="M168" s="22"/>
      <c r="N168" s="22"/>
      <c r="O168" s="22"/>
    </row>
    <row r="169" customFormat="false" ht="15" hidden="false" customHeight="false" outlineLevel="0" collapsed="false">
      <c r="A169" s="6" t="s">
        <v>295</v>
      </c>
      <c r="B169" s="6" t="s">
        <v>17</v>
      </c>
      <c r="C169" s="30" t="s">
        <v>508</v>
      </c>
      <c r="D169" s="6" t="s">
        <v>509</v>
      </c>
      <c r="E169" s="20" t="s">
        <v>200</v>
      </c>
      <c r="F169" s="20" t="s">
        <v>132</v>
      </c>
      <c r="G169" s="31" t="n">
        <f aca="false">SUMIFS('QB Import'!$B$1:$B$600,'QB Import'!$H$1:$H$600,$C169,'QB Import'!$G$1:$G$600,1)</f>
        <v>0</v>
      </c>
      <c r="H169" s="11" t="n">
        <f aca="false">IF($E169="Manual",L169,IF($E169="Flat",G169,IF($E169="Inflation",G169*(1+Inputs!D$12),IF($E169="Salary",G169*(1+Inputs!D$10),IF($E169="Benefits",G169*(1+Inputs!D$11),IF($E169="Per Student",G169*H$4/G$4*(1+Inputs!D$12),IF($E169="Enrollment",G169*H$4/G$4,IF($E169="Tuition Index",G169*H$5/G$5,IF($E169="% of Salaries",IF($G$6=0,0,$G169/$G$6*H$6),IF($E169="Debt",$G169*Inputs!D$15/12,IF($E169="Reserve Yield",Inputs!D$13*Inputs!D$16,IF($E169="Trend",IF(ISNUMBER(Trend!$Q208),Trend!$Q208,G169),G169))))))))))))</f>
        <v>0</v>
      </c>
      <c r="I169" s="11" t="n">
        <f aca="false">IF($E169="Manual",M169,IF($E169="Flat",H169,IF($E169="Inflation",H169*(1+Inputs!E$12),IF($E169="Salary",H169*(1+Inputs!E$10),IF($E169="Benefits",H169*(1+Inputs!E$11),IF($E169="Per Student",H169*I$4/H$4*(1+Inputs!E$12),IF($E169="Enrollment",H169*I$4/H$4,IF($E169="Tuition Index",H169*I$5/H$5,IF($E169="% of Salaries",IF($G$6=0,0,$G169/$G$6*I$6),IF($E169="Debt",$G169*Inputs!E$15/12,IF($E169="Reserve Yield",Inputs!E$13*Inputs!E$16,IF($E169="Trend",H169*(1+Inputs!E$12),H169))))))))))))</f>
        <v>0</v>
      </c>
      <c r="J169" s="11" t="n">
        <f aca="false">IF($E169="Manual",N169,IF($E169="Flat",I169,IF($E169="Inflation",I169*(1+Inputs!F$12),IF($E169="Salary",I169*(1+Inputs!F$10),IF($E169="Benefits",I169*(1+Inputs!F$11),IF($E169="Per Student",I169*J$4/I$4*(1+Inputs!F$12),IF($E169="Enrollment",I169*J$4/I$4,IF($E169="Tuition Index",I169*J$5/I$5,IF($E169="% of Salaries",IF($G$6=0,0,$G169/$G$6*J$6),IF($E169="Debt",$G169*Inputs!F$15/12,IF($E169="Reserve Yield",Inputs!F$13*Inputs!F$16,IF($E169="Trend",I169*(1+Inputs!F$12),I169))))))))))))</f>
        <v>0</v>
      </c>
      <c r="K169" s="11" t="n">
        <f aca="false">IF($E169="Manual",O169,IF($E169="Flat",J169,IF($E169="Inflation",J169*(1+Inputs!G$12),IF($E169="Salary",J169*(1+Inputs!G$10),IF($E169="Benefits",J169*(1+Inputs!G$11),IF($E169="Per Student",J169*K$4/J$4*(1+Inputs!G$12),IF($E169="Enrollment",J169*K$4/J$4,IF($E169="Tuition Index",J169*K$5/J$5,IF($E169="% of Salaries",IF($G$6=0,0,$G169/$G$6*K$6),IF($E169="Debt",$G169*Inputs!G$15/12,IF($E169="Reserve Yield",Inputs!G$13*Inputs!G$16,IF($E169="Trend",J169*(1+Inputs!G$12),J169))))))))))))</f>
        <v>0</v>
      </c>
      <c r="L169" s="22"/>
      <c r="M169" s="22"/>
      <c r="N169" s="22"/>
      <c r="O169" s="22"/>
    </row>
    <row r="170" customFormat="false" ht="15" hidden="false" customHeight="false" outlineLevel="0" collapsed="false">
      <c r="A170" s="6" t="s">
        <v>295</v>
      </c>
      <c r="B170" s="6" t="s">
        <v>17</v>
      </c>
      <c r="C170" s="30" t="s">
        <v>510</v>
      </c>
      <c r="D170" s="6" t="s">
        <v>511</v>
      </c>
      <c r="E170" s="20" t="s">
        <v>330</v>
      </c>
      <c r="F170" s="20" t="s">
        <v>132</v>
      </c>
      <c r="G170" s="31" t="n">
        <f aca="false">SUMIFS('QB Import'!$B$1:$B$600,'QB Import'!$H$1:$H$600,$C170,'QB Import'!$G$1:$G$600,1)</f>
        <v>38000</v>
      </c>
      <c r="H170" s="11" t="n">
        <f aca="false">IF($E170="Manual",L170,IF($E170="Flat",G170,IF($E170="Inflation",G170*(1+Inputs!D$12),IF($E170="Salary",G170*(1+Inputs!D$10),IF($E170="Benefits",G170*(1+Inputs!D$11),IF($E170="Per Student",G170*H$4/G$4*(1+Inputs!D$12),IF($E170="Enrollment",G170*H$4/G$4,IF($E170="Tuition Index",G170*H$5/G$5,IF($E170="% of Salaries",IF($G$6=0,0,$G170/$G$6*H$6),IF($E170="Debt",$G170*Inputs!D$15/12,IF($E170="Reserve Yield",Inputs!D$13*Inputs!D$16,IF($E170="Trend",IF(ISNUMBER(Trend!$Q209),Trend!$Q209,G170),G170))))))))))))</f>
        <v>39140</v>
      </c>
      <c r="I170" s="11" t="n">
        <f aca="false">IF($E170="Manual",M170,IF($E170="Flat",H170,IF($E170="Inflation",H170*(1+Inputs!E$12),IF($E170="Salary",H170*(1+Inputs!E$10),IF($E170="Benefits",H170*(1+Inputs!E$11),IF($E170="Per Student",H170*I$4/H$4*(1+Inputs!E$12),IF($E170="Enrollment",H170*I$4/H$4,IF($E170="Tuition Index",H170*I$5/H$5,IF($E170="% of Salaries",IF($G$6=0,0,$G170/$G$6*I$6),IF($E170="Debt",$G170*Inputs!E$15/12,IF($E170="Reserve Yield",Inputs!E$13*Inputs!E$16,IF($E170="Trend",H170*(1+Inputs!E$12),H170))))))))))))</f>
        <v>40314.2</v>
      </c>
      <c r="J170" s="11" t="n">
        <f aca="false">IF($E170="Manual",N170,IF($E170="Flat",I170,IF($E170="Inflation",I170*(1+Inputs!F$12),IF($E170="Salary",I170*(1+Inputs!F$10),IF($E170="Benefits",I170*(1+Inputs!F$11),IF($E170="Per Student",I170*J$4/I$4*(1+Inputs!F$12),IF($E170="Enrollment",I170*J$4/I$4,IF($E170="Tuition Index",I170*J$5/I$5,IF($E170="% of Salaries",IF($G$6=0,0,$G170/$G$6*J$6),IF($E170="Debt",$G170*Inputs!F$15/12,IF($E170="Reserve Yield",Inputs!F$13*Inputs!F$16,IF($E170="Trend",I170*(1+Inputs!F$12),I170))))))))))))</f>
        <v>41523.626</v>
      </c>
      <c r="K170" s="11" t="n">
        <f aca="false">IF($E170="Manual",O170,IF($E170="Flat",J170,IF($E170="Inflation",J170*(1+Inputs!G$12),IF($E170="Salary",J170*(1+Inputs!G$10),IF($E170="Benefits",J170*(1+Inputs!G$11),IF($E170="Per Student",J170*K$4/J$4*(1+Inputs!G$12),IF($E170="Enrollment",J170*K$4/J$4,IF($E170="Tuition Index",J170*K$5/J$5,IF($E170="% of Salaries",IF($G$6=0,0,$G170/$G$6*K$6),IF($E170="Debt",$G170*Inputs!G$15/12,IF($E170="Reserve Yield",Inputs!G$13*Inputs!G$16,IF($E170="Trend",J170*(1+Inputs!G$12),J170))))))))))))</f>
        <v>42769.33478</v>
      </c>
      <c r="L170" s="22"/>
      <c r="M170" s="22"/>
      <c r="N170" s="22"/>
      <c r="O170" s="22"/>
    </row>
    <row r="171" customFormat="false" ht="15" hidden="false" customHeight="false" outlineLevel="0" collapsed="false">
      <c r="A171" s="6" t="s">
        <v>295</v>
      </c>
      <c r="B171" s="6" t="s">
        <v>17</v>
      </c>
      <c r="C171" s="30" t="s">
        <v>512</v>
      </c>
      <c r="D171" s="6" t="s">
        <v>513</v>
      </c>
      <c r="E171" s="20" t="s">
        <v>200</v>
      </c>
      <c r="F171" s="20" t="s">
        <v>132</v>
      </c>
      <c r="G171" s="31" t="n">
        <f aca="false">SUMIFS('QB Import'!$B$1:$B$600,'QB Import'!$H$1:$H$600,$C171,'QB Import'!$G$1:$G$600,1)</f>
        <v>0</v>
      </c>
      <c r="H171" s="11" t="n">
        <f aca="false">IF($E171="Manual",L171,IF($E171="Flat",G171,IF($E171="Inflation",G171*(1+Inputs!D$12),IF($E171="Salary",G171*(1+Inputs!D$10),IF($E171="Benefits",G171*(1+Inputs!D$11),IF($E171="Per Student",G171*H$4/G$4*(1+Inputs!D$12),IF($E171="Enrollment",G171*H$4/G$4,IF($E171="Tuition Index",G171*H$5/G$5,IF($E171="% of Salaries",IF($G$6=0,0,$G171/$G$6*H$6),IF($E171="Debt",$G171*Inputs!D$15/12,IF($E171="Reserve Yield",Inputs!D$13*Inputs!D$16,IF($E171="Trend",IF(ISNUMBER(Trend!$Q210),Trend!$Q210,G171),G171))))))))))))</f>
        <v>0</v>
      </c>
      <c r="I171" s="11" t="n">
        <f aca="false">IF($E171="Manual",M171,IF($E171="Flat",H171,IF($E171="Inflation",H171*(1+Inputs!E$12),IF($E171="Salary",H171*(1+Inputs!E$10),IF($E171="Benefits",H171*(1+Inputs!E$11),IF($E171="Per Student",H171*I$4/H$4*(1+Inputs!E$12),IF($E171="Enrollment",H171*I$4/H$4,IF($E171="Tuition Index",H171*I$5/H$5,IF($E171="% of Salaries",IF($G$6=0,0,$G171/$G$6*I$6),IF($E171="Debt",$G171*Inputs!E$15/12,IF($E171="Reserve Yield",Inputs!E$13*Inputs!E$16,IF($E171="Trend",H171*(1+Inputs!E$12),H171))))))))))))</f>
        <v>0</v>
      </c>
      <c r="J171" s="11" t="n">
        <f aca="false">IF($E171="Manual",N171,IF($E171="Flat",I171,IF($E171="Inflation",I171*(1+Inputs!F$12),IF($E171="Salary",I171*(1+Inputs!F$10),IF($E171="Benefits",I171*(1+Inputs!F$11),IF($E171="Per Student",I171*J$4/I$4*(1+Inputs!F$12),IF($E171="Enrollment",I171*J$4/I$4,IF($E171="Tuition Index",I171*J$5/I$5,IF($E171="% of Salaries",IF($G$6=0,0,$G171/$G$6*J$6),IF($E171="Debt",$G171*Inputs!F$15/12,IF($E171="Reserve Yield",Inputs!F$13*Inputs!F$16,IF($E171="Trend",I171*(1+Inputs!F$12),I171))))))))))))</f>
        <v>0</v>
      </c>
      <c r="K171" s="11" t="n">
        <f aca="false">IF($E171="Manual",O171,IF($E171="Flat",J171,IF($E171="Inflation",J171*(1+Inputs!G$12),IF($E171="Salary",J171*(1+Inputs!G$10),IF($E171="Benefits",J171*(1+Inputs!G$11),IF($E171="Per Student",J171*K$4/J$4*(1+Inputs!G$12),IF($E171="Enrollment",J171*K$4/J$4,IF($E171="Tuition Index",J171*K$5/J$5,IF($E171="% of Salaries",IF($G$6=0,0,$G171/$G$6*K$6),IF($E171="Debt",$G171*Inputs!G$15/12,IF($E171="Reserve Yield",Inputs!G$13*Inputs!G$16,IF($E171="Trend",J171*(1+Inputs!G$12),J171))))))))))))</f>
        <v>0</v>
      </c>
      <c r="L171" s="22"/>
      <c r="M171" s="22"/>
      <c r="N171" s="22"/>
      <c r="O171" s="22"/>
    </row>
    <row r="172" customFormat="false" ht="15" hidden="false" customHeight="false" outlineLevel="0" collapsed="false">
      <c r="A172" s="6" t="s">
        <v>295</v>
      </c>
      <c r="B172" s="6" t="s">
        <v>17</v>
      </c>
      <c r="C172" s="30" t="s">
        <v>514</v>
      </c>
      <c r="D172" s="6" t="s">
        <v>515</v>
      </c>
      <c r="E172" s="20" t="s">
        <v>330</v>
      </c>
      <c r="F172" s="20" t="s">
        <v>132</v>
      </c>
      <c r="G172" s="31" t="n">
        <f aca="false">SUMIFS('QB Import'!$B$1:$B$600,'QB Import'!$H$1:$H$600,$C172,'QB Import'!$G$1:$G$600,1)</f>
        <v>145000</v>
      </c>
      <c r="H172" s="11" t="n">
        <f aca="false">IF($E172="Manual",L172,IF($E172="Flat",G172,IF($E172="Inflation",G172*(1+Inputs!D$12),IF($E172="Salary",G172*(1+Inputs!D$10),IF($E172="Benefits",G172*(1+Inputs!D$11),IF($E172="Per Student",G172*H$4/G$4*(1+Inputs!D$12),IF($E172="Enrollment",G172*H$4/G$4,IF($E172="Tuition Index",G172*H$5/G$5,IF($E172="% of Salaries",IF($G$6=0,0,$G172/$G$6*H$6),IF($E172="Debt",$G172*Inputs!D$15/12,IF($E172="Reserve Yield",Inputs!D$13*Inputs!D$16,IF($E172="Trend",IF(ISNUMBER(Trend!$Q211),Trend!$Q211,G172),G172))))))))))))</f>
        <v>149350</v>
      </c>
      <c r="I172" s="11" t="n">
        <f aca="false">IF($E172="Manual",M172,IF($E172="Flat",H172,IF($E172="Inflation",H172*(1+Inputs!E$12),IF($E172="Salary",H172*(1+Inputs!E$10),IF($E172="Benefits",H172*(1+Inputs!E$11),IF($E172="Per Student",H172*I$4/H$4*(1+Inputs!E$12),IF($E172="Enrollment",H172*I$4/H$4,IF($E172="Tuition Index",H172*I$5/H$5,IF($E172="% of Salaries",IF($G$6=0,0,$G172/$G$6*I$6),IF($E172="Debt",$G172*Inputs!E$15/12,IF($E172="Reserve Yield",Inputs!E$13*Inputs!E$16,IF($E172="Trend",H172*(1+Inputs!E$12),H172))))))))))))</f>
        <v>153830.5</v>
      </c>
      <c r="J172" s="11" t="n">
        <f aca="false">IF($E172="Manual",N172,IF($E172="Flat",I172,IF($E172="Inflation",I172*(1+Inputs!F$12),IF($E172="Salary",I172*(1+Inputs!F$10),IF($E172="Benefits",I172*(1+Inputs!F$11),IF($E172="Per Student",I172*J$4/I$4*(1+Inputs!F$12),IF($E172="Enrollment",I172*J$4/I$4,IF($E172="Tuition Index",I172*J$5/I$5,IF($E172="% of Salaries",IF($G$6=0,0,$G172/$G$6*J$6),IF($E172="Debt",$G172*Inputs!F$15/12,IF($E172="Reserve Yield",Inputs!F$13*Inputs!F$16,IF($E172="Trend",I172*(1+Inputs!F$12),I172))))))))))))</f>
        <v>158445.415</v>
      </c>
      <c r="K172" s="11" t="n">
        <f aca="false">IF($E172="Manual",O172,IF($E172="Flat",J172,IF($E172="Inflation",J172*(1+Inputs!G$12),IF($E172="Salary",J172*(1+Inputs!G$10),IF($E172="Benefits",J172*(1+Inputs!G$11),IF($E172="Per Student",J172*K$4/J$4*(1+Inputs!G$12),IF($E172="Enrollment",J172*K$4/J$4,IF($E172="Tuition Index",J172*K$5/J$5,IF($E172="% of Salaries",IF($G$6=0,0,$G172/$G$6*K$6),IF($E172="Debt",$G172*Inputs!G$15/12,IF($E172="Reserve Yield",Inputs!G$13*Inputs!G$16,IF($E172="Trend",J172*(1+Inputs!G$12),J172))))))))))))</f>
        <v>163198.77745</v>
      </c>
      <c r="L172" s="22"/>
      <c r="M172" s="22"/>
      <c r="N172" s="22"/>
      <c r="O172" s="22"/>
    </row>
    <row r="173" customFormat="false" ht="15" hidden="false" customHeight="false" outlineLevel="0" collapsed="false">
      <c r="A173" s="6" t="s">
        <v>295</v>
      </c>
      <c r="B173" s="6" t="s">
        <v>17</v>
      </c>
      <c r="C173" s="30" t="s">
        <v>516</v>
      </c>
      <c r="D173" s="6" t="s">
        <v>517</v>
      </c>
      <c r="E173" s="20" t="s">
        <v>330</v>
      </c>
      <c r="F173" s="20" t="s">
        <v>132</v>
      </c>
      <c r="G173" s="31" t="n">
        <f aca="false">SUMIFS('QB Import'!$B$1:$B$600,'QB Import'!$H$1:$H$600,$C173,'QB Import'!$G$1:$G$600,1)</f>
        <v>55000</v>
      </c>
      <c r="H173" s="11" t="n">
        <f aca="false">IF($E173="Manual",L173,IF($E173="Flat",G173,IF($E173="Inflation",G173*(1+Inputs!D$12),IF($E173="Salary",G173*(1+Inputs!D$10),IF($E173="Benefits",G173*(1+Inputs!D$11),IF($E173="Per Student",G173*H$4/G$4*(1+Inputs!D$12),IF($E173="Enrollment",G173*H$4/G$4,IF($E173="Tuition Index",G173*H$5/G$5,IF($E173="% of Salaries",IF($G$6=0,0,$G173/$G$6*H$6),IF($E173="Debt",$G173*Inputs!D$15/12,IF($E173="Reserve Yield",Inputs!D$13*Inputs!D$16,IF($E173="Trend",IF(ISNUMBER(Trend!$Q212),Trend!$Q212,G173),G173))))))))))))</f>
        <v>56650</v>
      </c>
      <c r="I173" s="11" t="n">
        <f aca="false">IF($E173="Manual",M173,IF($E173="Flat",H173,IF($E173="Inflation",H173*(1+Inputs!E$12),IF($E173="Salary",H173*(1+Inputs!E$10),IF($E173="Benefits",H173*(1+Inputs!E$11),IF($E173="Per Student",H173*I$4/H$4*(1+Inputs!E$12),IF($E173="Enrollment",H173*I$4/H$4,IF($E173="Tuition Index",H173*I$5/H$5,IF($E173="% of Salaries",IF($G$6=0,0,$G173/$G$6*I$6),IF($E173="Debt",$G173*Inputs!E$15/12,IF($E173="Reserve Yield",Inputs!E$13*Inputs!E$16,IF($E173="Trend",H173*(1+Inputs!E$12),H173))))))))))))</f>
        <v>58349.5</v>
      </c>
      <c r="J173" s="11" t="n">
        <f aca="false">IF($E173="Manual",N173,IF($E173="Flat",I173,IF($E173="Inflation",I173*(1+Inputs!F$12),IF($E173="Salary",I173*(1+Inputs!F$10),IF($E173="Benefits",I173*(1+Inputs!F$11),IF($E173="Per Student",I173*J$4/I$4*(1+Inputs!F$12),IF($E173="Enrollment",I173*J$4/I$4,IF($E173="Tuition Index",I173*J$5/I$5,IF($E173="% of Salaries",IF($G$6=0,0,$G173/$G$6*J$6),IF($E173="Debt",$G173*Inputs!F$15/12,IF($E173="Reserve Yield",Inputs!F$13*Inputs!F$16,IF($E173="Trend",I173*(1+Inputs!F$12),I173))))))))))))</f>
        <v>60099.985</v>
      </c>
      <c r="K173" s="11" t="n">
        <f aca="false">IF($E173="Manual",O173,IF($E173="Flat",J173,IF($E173="Inflation",J173*(1+Inputs!G$12),IF($E173="Salary",J173*(1+Inputs!G$10),IF($E173="Benefits",J173*(1+Inputs!G$11),IF($E173="Per Student",J173*K$4/J$4*(1+Inputs!G$12),IF($E173="Enrollment",J173*K$4/J$4,IF($E173="Tuition Index",J173*K$5/J$5,IF($E173="% of Salaries",IF($G$6=0,0,$G173/$G$6*K$6),IF($E173="Debt",$G173*Inputs!G$15/12,IF($E173="Reserve Yield",Inputs!G$13*Inputs!G$16,IF($E173="Trend",J173*(1+Inputs!G$12),J173))))))))))))</f>
        <v>61902.98455</v>
      </c>
      <c r="L173" s="22"/>
      <c r="M173" s="22"/>
      <c r="N173" s="22"/>
      <c r="O173" s="22"/>
    </row>
    <row r="174" customFormat="false" ht="15" hidden="false" customHeight="false" outlineLevel="0" collapsed="false">
      <c r="A174" s="6" t="s">
        <v>295</v>
      </c>
      <c r="B174" s="6" t="s">
        <v>17</v>
      </c>
      <c r="C174" s="30" t="s">
        <v>518</v>
      </c>
      <c r="D174" s="6" t="s">
        <v>519</v>
      </c>
      <c r="E174" s="20" t="s">
        <v>200</v>
      </c>
      <c r="F174" s="20" t="s">
        <v>132</v>
      </c>
      <c r="G174" s="31" t="n">
        <f aca="false">SUMIFS('QB Import'!$B$1:$B$600,'QB Import'!$H$1:$H$600,$C174,'QB Import'!$G$1:$G$600,1)</f>
        <v>0</v>
      </c>
      <c r="H174" s="11" t="n">
        <f aca="false">IF($E174="Manual",L174,IF($E174="Flat",G174,IF($E174="Inflation",G174*(1+Inputs!D$12),IF($E174="Salary",G174*(1+Inputs!D$10),IF($E174="Benefits",G174*(1+Inputs!D$11),IF($E174="Per Student",G174*H$4/G$4*(1+Inputs!D$12),IF($E174="Enrollment",G174*H$4/G$4,IF($E174="Tuition Index",G174*H$5/G$5,IF($E174="% of Salaries",IF($G$6=0,0,$G174/$G$6*H$6),IF($E174="Debt",$G174*Inputs!D$15/12,IF($E174="Reserve Yield",Inputs!D$13*Inputs!D$16,IF($E174="Trend",IF(ISNUMBER(Trend!$Q213),Trend!$Q213,G174),G174))))))))))))</f>
        <v>0</v>
      </c>
      <c r="I174" s="11" t="n">
        <f aca="false">IF($E174="Manual",M174,IF($E174="Flat",H174,IF($E174="Inflation",H174*(1+Inputs!E$12),IF($E174="Salary",H174*(1+Inputs!E$10),IF($E174="Benefits",H174*(1+Inputs!E$11),IF($E174="Per Student",H174*I$4/H$4*(1+Inputs!E$12),IF($E174="Enrollment",H174*I$4/H$4,IF($E174="Tuition Index",H174*I$5/H$5,IF($E174="% of Salaries",IF($G$6=0,0,$G174/$G$6*I$6),IF($E174="Debt",$G174*Inputs!E$15/12,IF($E174="Reserve Yield",Inputs!E$13*Inputs!E$16,IF($E174="Trend",H174*(1+Inputs!E$12),H174))))))))))))</f>
        <v>0</v>
      </c>
      <c r="J174" s="11" t="n">
        <f aca="false">IF($E174="Manual",N174,IF($E174="Flat",I174,IF($E174="Inflation",I174*(1+Inputs!F$12),IF($E174="Salary",I174*(1+Inputs!F$10),IF($E174="Benefits",I174*(1+Inputs!F$11),IF($E174="Per Student",I174*J$4/I$4*(1+Inputs!F$12),IF($E174="Enrollment",I174*J$4/I$4,IF($E174="Tuition Index",I174*J$5/I$5,IF($E174="% of Salaries",IF($G$6=0,0,$G174/$G$6*J$6),IF($E174="Debt",$G174*Inputs!F$15/12,IF($E174="Reserve Yield",Inputs!F$13*Inputs!F$16,IF($E174="Trend",I174*(1+Inputs!F$12),I174))))))))))))</f>
        <v>0</v>
      </c>
      <c r="K174" s="11" t="n">
        <f aca="false">IF($E174="Manual",O174,IF($E174="Flat",J174,IF($E174="Inflation",J174*(1+Inputs!G$12),IF($E174="Salary",J174*(1+Inputs!G$10),IF($E174="Benefits",J174*(1+Inputs!G$11),IF($E174="Per Student",J174*K$4/J$4*(1+Inputs!G$12),IF($E174="Enrollment",J174*K$4/J$4,IF($E174="Tuition Index",J174*K$5/J$5,IF($E174="% of Salaries",IF($G$6=0,0,$G174/$G$6*K$6),IF($E174="Debt",$G174*Inputs!G$15/12,IF($E174="Reserve Yield",Inputs!G$13*Inputs!G$16,IF($E174="Trend",J174*(1+Inputs!G$12),J174))))))))))))</f>
        <v>0</v>
      </c>
      <c r="L174" s="22"/>
      <c r="M174" s="22"/>
      <c r="N174" s="22"/>
      <c r="O174" s="22"/>
    </row>
    <row r="175" customFormat="false" ht="15" hidden="false" customHeight="false" outlineLevel="0" collapsed="false">
      <c r="A175" s="6" t="s">
        <v>295</v>
      </c>
      <c r="B175" s="6" t="s">
        <v>17</v>
      </c>
      <c r="C175" s="30" t="s">
        <v>520</v>
      </c>
      <c r="D175" s="6" t="s">
        <v>521</v>
      </c>
      <c r="E175" s="20" t="s">
        <v>200</v>
      </c>
      <c r="F175" s="20" t="s">
        <v>132</v>
      </c>
      <c r="G175" s="31" t="n">
        <f aca="false">SUMIFS('QB Import'!$B$1:$B$600,'QB Import'!$H$1:$H$600,$C175,'QB Import'!$G$1:$G$600,1)</f>
        <v>0</v>
      </c>
      <c r="H175" s="11" t="n">
        <f aca="false">IF($E175="Manual",L175,IF($E175="Flat",G175,IF($E175="Inflation",G175*(1+Inputs!D$12),IF($E175="Salary",G175*(1+Inputs!D$10),IF($E175="Benefits",G175*(1+Inputs!D$11),IF($E175="Per Student",G175*H$4/G$4*(1+Inputs!D$12),IF($E175="Enrollment",G175*H$4/G$4,IF($E175="Tuition Index",G175*H$5/G$5,IF($E175="% of Salaries",IF($G$6=0,0,$G175/$G$6*H$6),IF($E175="Debt",$G175*Inputs!D$15/12,IF($E175="Reserve Yield",Inputs!D$13*Inputs!D$16,IF($E175="Trend",IF(ISNUMBER(Trend!$Q214),Trend!$Q214,G175),G175))))))))))))</f>
        <v>0</v>
      </c>
      <c r="I175" s="11" t="n">
        <f aca="false">IF($E175="Manual",M175,IF($E175="Flat",H175,IF($E175="Inflation",H175*(1+Inputs!E$12),IF($E175="Salary",H175*(1+Inputs!E$10),IF($E175="Benefits",H175*(1+Inputs!E$11),IF($E175="Per Student",H175*I$4/H$4*(1+Inputs!E$12),IF($E175="Enrollment",H175*I$4/H$4,IF($E175="Tuition Index",H175*I$5/H$5,IF($E175="% of Salaries",IF($G$6=0,0,$G175/$G$6*I$6),IF($E175="Debt",$G175*Inputs!E$15/12,IF($E175="Reserve Yield",Inputs!E$13*Inputs!E$16,IF($E175="Trend",H175*(1+Inputs!E$12),H175))))))))))))</f>
        <v>0</v>
      </c>
      <c r="J175" s="11" t="n">
        <f aca="false">IF($E175="Manual",N175,IF($E175="Flat",I175,IF($E175="Inflation",I175*(1+Inputs!F$12),IF($E175="Salary",I175*(1+Inputs!F$10),IF($E175="Benefits",I175*(1+Inputs!F$11),IF($E175="Per Student",I175*J$4/I$4*(1+Inputs!F$12),IF($E175="Enrollment",I175*J$4/I$4,IF($E175="Tuition Index",I175*J$5/I$5,IF($E175="% of Salaries",IF($G$6=0,0,$G175/$G$6*J$6),IF($E175="Debt",$G175*Inputs!F$15/12,IF($E175="Reserve Yield",Inputs!F$13*Inputs!F$16,IF($E175="Trend",I175*(1+Inputs!F$12),I175))))))))))))</f>
        <v>0</v>
      </c>
      <c r="K175" s="11" t="n">
        <f aca="false">IF($E175="Manual",O175,IF($E175="Flat",J175,IF($E175="Inflation",J175*(1+Inputs!G$12),IF($E175="Salary",J175*(1+Inputs!G$10),IF($E175="Benefits",J175*(1+Inputs!G$11),IF($E175="Per Student",J175*K$4/J$4*(1+Inputs!G$12),IF($E175="Enrollment",J175*K$4/J$4,IF($E175="Tuition Index",J175*K$5/J$5,IF($E175="% of Salaries",IF($G$6=0,0,$G175/$G$6*K$6),IF($E175="Debt",$G175*Inputs!G$15/12,IF($E175="Reserve Yield",Inputs!G$13*Inputs!G$16,IF($E175="Trend",J175*(1+Inputs!G$12),J175))))))))))))</f>
        <v>0</v>
      </c>
      <c r="L175" s="22"/>
      <c r="M175" s="22"/>
      <c r="N175" s="22"/>
      <c r="O175" s="22"/>
    </row>
    <row r="176" customFormat="false" ht="15" hidden="false" customHeight="false" outlineLevel="0" collapsed="false">
      <c r="A176" s="6" t="s">
        <v>295</v>
      </c>
      <c r="B176" s="6" t="s">
        <v>17</v>
      </c>
      <c r="C176" s="30" t="s">
        <v>522</v>
      </c>
      <c r="D176" s="6" t="s">
        <v>523</v>
      </c>
      <c r="E176" s="20" t="s">
        <v>200</v>
      </c>
      <c r="F176" s="20" t="s">
        <v>132</v>
      </c>
      <c r="G176" s="31" t="n">
        <f aca="false">SUMIFS('QB Import'!$B$1:$B$600,'QB Import'!$H$1:$H$600,$C176,'QB Import'!$G$1:$G$600,1)</f>
        <v>0</v>
      </c>
      <c r="H176" s="11" t="n">
        <f aca="false">IF($E176="Manual",L176,IF($E176="Flat",G176,IF($E176="Inflation",G176*(1+Inputs!D$12),IF($E176="Salary",G176*(1+Inputs!D$10),IF($E176="Benefits",G176*(1+Inputs!D$11),IF($E176="Per Student",G176*H$4/G$4*(1+Inputs!D$12),IF($E176="Enrollment",G176*H$4/G$4,IF($E176="Tuition Index",G176*H$5/G$5,IF($E176="% of Salaries",IF($G$6=0,0,$G176/$G$6*H$6),IF($E176="Debt",$G176*Inputs!D$15/12,IF($E176="Reserve Yield",Inputs!D$13*Inputs!D$16,IF($E176="Trend",IF(ISNUMBER(Trend!$Q215),Trend!$Q215,G176),G176))))))))))))</f>
        <v>0</v>
      </c>
      <c r="I176" s="11" t="n">
        <f aca="false">IF($E176="Manual",M176,IF($E176="Flat",H176,IF($E176="Inflation",H176*(1+Inputs!E$12),IF($E176="Salary",H176*(1+Inputs!E$10),IF($E176="Benefits",H176*(1+Inputs!E$11),IF($E176="Per Student",H176*I$4/H$4*(1+Inputs!E$12),IF($E176="Enrollment",H176*I$4/H$4,IF($E176="Tuition Index",H176*I$5/H$5,IF($E176="% of Salaries",IF($G$6=0,0,$G176/$G$6*I$6),IF($E176="Debt",$G176*Inputs!E$15/12,IF($E176="Reserve Yield",Inputs!E$13*Inputs!E$16,IF($E176="Trend",H176*(1+Inputs!E$12),H176))))))))))))</f>
        <v>0</v>
      </c>
      <c r="J176" s="11" t="n">
        <f aca="false">IF($E176="Manual",N176,IF($E176="Flat",I176,IF($E176="Inflation",I176*(1+Inputs!F$12),IF($E176="Salary",I176*(1+Inputs!F$10),IF($E176="Benefits",I176*(1+Inputs!F$11),IF($E176="Per Student",I176*J$4/I$4*(1+Inputs!F$12),IF($E176="Enrollment",I176*J$4/I$4,IF($E176="Tuition Index",I176*J$5/I$5,IF($E176="% of Salaries",IF($G$6=0,0,$G176/$G$6*J$6),IF($E176="Debt",$G176*Inputs!F$15/12,IF($E176="Reserve Yield",Inputs!F$13*Inputs!F$16,IF($E176="Trend",I176*(1+Inputs!F$12),I176))))))))))))</f>
        <v>0</v>
      </c>
      <c r="K176" s="11" t="n">
        <f aca="false">IF($E176="Manual",O176,IF($E176="Flat",J176,IF($E176="Inflation",J176*(1+Inputs!G$12),IF($E176="Salary",J176*(1+Inputs!G$10),IF($E176="Benefits",J176*(1+Inputs!G$11),IF($E176="Per Student",J176*K$4/J$4*(1+Inputs!G$12),IF($E176="Enrollment",J176*K$4/J$4,IF($E176="Tuition Index",J176*K$5/J$5,IF($E176="% of Salaries",IF($G$6=0,0,$G176/$G$6*K$6),IF($E176="Debt",$G176*Inputs!G$15/12,IF($E176="Reserve Yield",Inputs!G$13*Inputs!G$16,IF($E176="Trend",J176*(1+Inputs!G$12),J176))))))))))))</f>
        <v>0</v>
      </c>
      <c r="L176" s="22"/>
      <c r="M176" s="22"/>
      <c r="N176" s="22"/>
      <c r="O176" s="22"/>
    </row>
    <row r="177" customFormat="false" ht="15" hidden="false" customHeight="false" outlineLevel="0" collapsed="false">
      <c r="A177" s="6" t="s">
        <v>295</v>
      </c>
      <c r="B177" s="6" t="s">
        <v>17</v>
      </c>
      <c r="C177" s="30" t="s">
        <v>524</v>
      </c>
      <c r="D177" s="6" t="s">
        <v>525</v>
      </c>
      <c r="E177" s="20" t="s">
        <v>200</v>
      </c>
      <c r="F177" s="20" t="s">
        <v>132</v>
      </c>
      <c r="G177" s="31" t="n">
        <f aca="false">SUMIFS('QB Import'!$B$1:$B$600,'QB Import'!$H$1:$H$600,$C177,'QB Import'!$G$1:$G$600,1)</f>
        <v>0</v>
      </c>
      <c r="H177" s="11" t="n">
        <f aca="false">IF($E177="Manual",L177,IF($E177="Flat",G177,IF($E177="Inflation",G177*(1+Inputs!D$12),IF($E177="Salary",G177*(1+Inputs!D$10),IF($E177="Benefits",G177*(1+Inputs!D$11),IF($E177="Per Student",G177*H$4/G$4*(1+Inputs!D$12),IF($E177="Enrollment",G177*H$4/G$4,IF($E177="Tuition Index",G177*H$5/G$5,IF($E177="% of Salaries",IF($G$6=0,0,$G177/$G$6*H$6),IF($E177="Debt",$G177*Inputs!D$15/12,IF($E177="Reserve Yield",Inputs!D$13*Inputs!D$16,IF($E177="Trend",IF(ISNUMBER(Trend!$Q216),Trend!$Q216,G177),G177))))))))))))</f>
        <v>0</v>
      </c>
      <c r="I177" s="11" t="n">
        <f aca="false">IF($E177="Manual",M177,IF($E177="Flat",H177,IF($E177="Inflation",H177*(1+Inputs!E$12),IF($E177="Salary",H177*(1+Inputs!E$10),IF($E177="Benefits",H177*(1+Inputs!E$11),IF($E177="Per Student",H177*I$4/H$4*(1+Inputs!E$12),IF($E177="Enrollment",H177*I$4/H$4,IF($E177="Tuition Index",H177*I$5/H$5,IF($E177="% of Salaries",IF($G$6=0,0,$G177/$G$6*I$6),IF($E177="Debt",$G177*Inputs!E$15/12,IF($E177="Reserve Yield",Inputs!E$13*Inputs!E$16,IF($E177="Trend",H177*(1+Inputs!E$12),H177))))))))))))</f>
        <v>0</v>
      </c>
      <c r="J177" s="11" t="n">
        <f aca="false">IF($E177="Manual",N177,IF($E177="Flat",I177,IF($E177="Inflation",I177*(1+Inputs!F$12),IF($E177="Salary",I177*(1+Inputs!F$10),IF($E177="Benefits",I177*(1+Inputs!F$11),IF($E177="Per Student",I177*J$4/I$4*(1+Inputs!F$12),IF($E177="Enrollment",I177*J$4/I$4,IF($E177="Tuition Index",I177*J$5/I$5,IF($E177="% of Salaries",IF($G$6=0,0,$G177/$G$6*J$6),IF($E177="Debt",$G177*Inputs!F$15/12,IF($E177="Reserve Yield",Inputs!F$13*Inputs!F$16,IF($E177="Trend",I177*(1+Inputs!F$12),I177))))))))))))</f>
        <v>0</v>
      </c>
      <c r="K177" s="11" t="n">
        <f aca="false">IF($E177="Manual",O177,IF($E177="Flat",J177,IF($E177="Inflation",J177*(1+Inputs!G$12),IF($E177="Salary",J177*(1+Inputs!G$10),IF($E177="Benefits",J177*(1+Inputs!G$11),IF($E177="Per Student",J177*K$4/J$4*(1+Inputs!G$12),IF($E177="Enrollment",J177*K$4/J$4,IF($E177="Tuition Index",J177*K$5/J$5,IF($E177="% of Salaries",IF($G$6=0,0,$G177/$G$6*K$6),IF($E177="Debt",$G177*Inputs!G$15/12,IF($E177="Reserve Yield",Inputs!G$13*Inputs!G$16,IF($E177="Trend",J177*(1+Inputs!G$12),J177))))))))))))</f>
        <v>0</v>
      </c>
      <c r="L177" s="22"/>
      <c r="M177" s="22"/>
      <c r="N177" s="22"/>
      <c r="O177" s="22"/>
    </row>
    <row r="178" customFormat="false" ht="15" hidden="false" customHeight="false" outlineLevel="0" collapsed="false">
      <c r="A178" s="6" t="s">
        <v>295</v>
      </c>
      <c r="B178" s="6" t="s">
        <v>17</v>
      </c>
      <c r="C178" s="30" t="s">
        <v>526</v>
      </c>
      <c r="D178" s="6" t="s">
        <v>527</v>
      </c>
      <c r="E178" s="20" t="s">
        <v>200</v>
      </c>
      <c r="F178" s="20" t="s">
        <v>132</v>
      </c>
      <c r="G178" s="31" t="n">
        <f aca="false">SUMIFS('QB Import'!$B$1:$B$600,'QB Import'!$H$1:$H$600,$C178,'QB Import'!$G$1:$G$600,1)</f>
        <v>0</v>
      </c>
      <c r="H178" s="11" t="n">
        <f aca="false">IF($E178="Manual",L178,IF($E178="Flat",G178,IF($E178="Inflation",G178*(1+Inputs!D$12),IF($E178="Salary",G178*(1+Inputs!D$10),IF($E178="Benefits",G178*(1+Inputs!D$11),IF($E178="Per Student",G178*H$4/G$4*(1+Inputs!D$12),IF($E178="Enrollment",G178*H$4/G$4,IF($E178="Tuition Index",G178*H$5/G$5,IF($E178="% of Salaries",IF($G$6=0,0,$G178/$G$6*H$6),IF($E178="Debt",$G178*Inputs!D$15/12,IF($E178="Reserve Yield",Inputs!D$13*Inputs!D$16,IF($E178="Trend",IF(ISNUMBER(Trend!$Q217),Trend!$Q217,G178),G178))))))))))))</f>
        <v>0</v>
      </c>
      <c r="I178" s="11" t="n">
        <f aca="false">IF($E178="Manual",M178,IF($E178="Flat",H178,IF($E178="Inflation",H178*(1+Inputs!E$12),IF($E178="Salary",H178*(1+Inputs!E$10),IF($E178="Benefits",H178*(1+Inputs!E$11),IF($E178="Per Student",H178*I$4/H$4*(1+Inputs!E$12),IF($E178="Enrollment",H178*I$4/H$4,IF($E178="Tuition Index",H178*I$5/H$5,IF($E178="% of Salaries",IF($G$6=0,0,$G178/$G$6*I$6),IF($E178="Debt",$G178*Inputs!E$15/12,IF($E178="Reserve Yield",Inputs!E$13*Inputs!E$16,IF($E178="Trend",H178*(1+Inputs!E$12),H178))))))))))))</f>
        <v>0</v>
      </c>
      <c r="J178" s="11" t="n">
        <f aca="false">IF($E178="Manual",N178,IF($E178="Flat",I178,IF($E178="Inflation",I178*(1+Inputs!F$12),IF($E178="Salary",I178*(1+Inputs!F$10),IF($E178="Benefits",I178*(1+Inputs!F$11),IF($E178="Per Student",I178*J$4/I$4*(1+Inputs!F$12),IF($E178="Enrollment",I178*J$4/I$4,IF($E178="Tuition Index",I178*J$5/I$5,IF($E178="% of Salaries",IF($G$6=0,0,$G178/$G$6*J$6),IF($E178="Debt",$G178*Inputs!F$15/12,IF($E178="Reserve Yield",Inputs!F$13*Inputs!F$16,IF($E178="Trend",I178*(1+Inputs!F$12),I178))))))))))))</f>
        <v>0</v>
      </c>
      <c r="K178" s="11" t="n">
        <f aca="false">IF($E178="Manual",O178,IF($E178="Flat",J178,IF($E178="Inflation",J178*(1+Inputs!G$12),IF($E178="Salary",J178*(1+Inputs!G$10),IF($E178="Benefits",J178*(1+Inputs!G$11),IF($E178="Per Student",J178*K$4/J$4*(1+Inputs!G$12),IF($E178="Enrollment",J178*K$4/J$4,IF($E178="Tuition Index",J178*K$5/J$5,IF($E178="% of Salaries",IF($G$6=0,0,$G178/$G$6*K$6),IF($E178="Debt",$G178*Inputs!G$15/12,IF($E178="Reserve Yield",Inputs!G$13*Inputs!G$16,IF($E178="Trend",J178*(1+Inputs!G$12),J178))))))))))))</f>
        <v>0</v>
      </c>
      <c r="L178" s="22"/>
      <c r="M178" s="22"/>
      <c r="N178" s="22"/>
      <c r="O178" s="22"/>
    </row>
    <row r="179" customFormat="false" ht="15" hidden="false" customHeight="false" outlineLevel="0" collapsed="false">
      <c r="A179" s="6" t="s">
        <v>295</v>
      </c>
      <c r="B179" s="6" t="s">
        <v>17</v>
      </c>
      <c r="C179" s="30" t="s">
        <v>528</v>
      </c>
      <c r="D179" s="6" t="s">
        <v>529</v>
      </c>
      <c r="E179" s="20" t="s">
        <v>200</v>
      </c>
      <c r="F179" s="20" t="s">
        <v>132</v>
      </c>
      <c r="G179" s="31" t="n">
        <f aca="false">SUMIFS('QB Import'!$B$1:$B$600,'QB Import'!$H$1:$H$600,$C179,'QB Import'!$G$1:$G$600,1)</f>
        <v>0</v>
      </c>
      <c r="H179" s="11" t="n">
        <f aca="false">IF($E179="Manual",L179,IF($E179="Flat",G179,IF($E179="Inflation",G179*(1+Inputs!D$12),IF($E179="Salary",G179*(1+Inputs!D$10),IF($E179="Benefits",G179*(1+Inputs!D$11),IF($E179="Per Student",G179*H$4/G$4*(1+Inputs!D$12),IF($E179="Enrollment",G179*H$4/G$4,IF($E179="Tuition Index",G179*H$5/G$5,IF($E179="% of Salaries",IF($G$6=0,0,$G179/$G$6*H$6),IF($E179="Debt",$G179*Inputs!D$15/12,IF($E179="Reserve Yield",Inputs!D$13*Inputs!D$16,IF($E179="Trend",IF(ISNUMBER(Trend!$Q218),Trend!$Q218,G179),G179))))))))))))</f>
        <v>0</v>
      </c>
      <c r="I179" s="11" t="n">
        <f aca="false">IF($E179="Manual",M179,IF($E179="Flat",H179,IF($E179="Inflation",H179*(1+Inputs!E$12),IF($E179="Salary",H179*(1+Inputs!E$10),IF($E179="Benefits",H179*(1+Inputs!E$11),IF($E179="Per Student",H179*I$4/H$4*(1+Inputs!E$12),IF($E179="Enrollment",H179*I$4/H$4,IF($E179="Tuition Index",H179*I$5/H$5,IF($E179="% of Salaries",IF($G$6=0,0,$G179/$G$6*I$6),IF($E179="Debt",$G179*Inputs!E$15/12,IF($E179="Reserve Yield",Inputs!E$13*Inputs!E$16,IF($E179="Trend",H179*(1+Inputs!E$12),H179))))))))))))</f>
        <v>0</v>
      </c>
      <c r="J179" s="11" t="n">
        <f aca="false">IF($E179="Manual",N179,IF($E179="Flat",I179,IF($E179="Inflation",I179*(1+Inputs!F$12),IF($E179="Salary",I179*(1+Inputs!F$10),IF($E179="Benefits",I179*(1+Inputs!F$11),IF($E179="Per Student",I179*J$4/I$4*(1+Inputs!F$12),IF($E179="Enrollment",I179*J$4/I$4,IF($E179="Tuition Index",I179*J$5/I$5,IF($E179="% of Salaries",IF($G$6=0,0,$G179/$G$6*J$6),IF($E179="Debt",$G179*Inputs!F$15/12,IF($E179="Reserve Yield",Inputs!F$13*Inputs!F$16,IF($E179="Trend",I179*(1+Inputs!F$12),I179))))))))))))</f>
        <v>0</v>
      </c>
      <c r="K179" s="11" t="n">
        <f aca="false">IF($E179="Manual",O179,IF($E179="Flat",J179,IF($E179="Inflation",J179*(1+Inputs!G$12),IF($E179="Salary",J179*(1+Inputs!G$10),IF($E179="Benefits",J179*(1+Inputs!G$11),IF($E179="Per Student",J179*K$4/J$4*(1+Inputs!G$12),IF($E179="Enrollment",J179*K$4/J$4,IF($E179="Tuition Index",J179*K$5/J$5,IF($E179="% of Salaries",IF($G$6=0,0,$G179/$G$6*K$6),IF($E179="Debt",$G179*Inputs!G$15/12,IF($E179="Reserve Yield",Inputs!G$13*Inputs!G$16,IF($E179="Trend",J179*(1+Inputs!G$12),J179))))))))))))</f>
        <v>0</v>
      </c>
      <c r="L179" s="22"/>
      <c r="M179" s="22"/>
      <c r="N179" s="22"/>
      <c r="O179" s="22"/>
    </row>
    <row r="180" customFormat="false" ht="15" hidden="false" customHeight="false" outlineLevel="0" collapsed="false">
      <c r="A180" s="6" t="s">
        <v>295</v>
      </c>
      <c r="B180" s="6" t="s">
        <v>17</v>
      </c>
      <c r="C180" s="30" t="s">
        <v>530</v>
      </c>
      <c r="D180" s="6" t="s">
        <v>531</v>
      </c>
      <c r="E180" s="20" t="s">
        <v>200</v>
      </c>
      <c r="F180" s="20" t="s">
        <v>132</v>
      </c>
      <c r="G180" s="31" t="n">
        <f aca="false">SUMIFS('QB Import'!$B$1:$B$600,'QB Import'!$H$1:$H$600,$C180,'QB Import'!$G$1:$G$600,1)</f>
        <v>0</v>
      </c>
      <c r="H180" s="11" t="n">
        <f aca="false">IF($E180="Manual",L180,IF($E180="Flat",G180,IF($E180="Inflation",G180*(1+Inputs!D$12),IF($E180="Salary",G180*(1+Inputs!D$10),IF($E180="Benefits",G180*(1+Inputs!D$11),IF($E180="Per Student",G180*H$4/G$4*(1+Inputs!D$12),IF($E180="Enrollment",G180*H$4/G$4,IF($E180="Tuition Index",G180*H$5/G$5,IF($E180="% of Salaries",IF($G$6=0,0,$G180/$G$6*H$6),IF($E180="Debt",$G180*Inputs!D$15/12,IF($E180="Reserve Yield",Inputs!D$13*Inputs!D$16,IF($E180="Trend",IF(ISNUMBER(Trend!$Q219),Trend!$Q219,G180),G180))))))))))))</f>
        <v>0</v>
      </c>
      <c r="I180" s="11" t="n">
        <f aca="false">IF($E180="Manual",M180,IF($E180="Flat",H180,IF($E180="Inflation",H180*(1+Inputs!E$12),IF($E180="Salary",H180*(1+Inputs!E$10),IF($E180="Benefits",H180*(1+Inputs!E$11),IF($E180="Per Student",H180*I$4/H$4*(1+Inputs!E$12),IF($E180="Enrollment",H180*I$4/H$4,IF($E180="Tuition Index",H180*I$5/H$5,IF($E180="% of Salaries",IF($G$6=0,0,$G180/$G$6*I$6),IF($E180="Debt",$G180*Inputs!E$15/12,IF($E180="Reserve Yield",Inputs!E$13*Inputs!E$16,IF($E180="Trend",H180*(1+Inputs!E$12),H180))))))))))))</f>
        <v>0</v>
      </c>
      <c r="J180" s="11" t="n">
        <f aca="false">IF($E180="Manual",N180,IF($E180="Flat",I180,IF($E180="Inflation",I180*(1+Inputs!F$12),IF($E180="Salary",I180*(1+Inputs!F$10),IF($E180="Benefits",I180*(1+Inputs!F$11),IF($E180="Per Student",I180*J$4/I$4*(1+Inputs!F$12),IF($E180="Enrollment",I180*J$4/I$4,IF($E180="Tuition Index",I180*J$5/I$5,IF($E180="% of Salaries",IF($G$6=0,0,$G180/$G$6*J$6),IF($E180="Debt",$G180*Inputs!F$15/12,IF($E180="Reserve Yield",Inputs!F$13*Inputs!F$16,IF($E180="Trend",I180*(1+Inputs!F$12),I180))))))))))))</f>
        <v>0</v>
      </c>
      <c r="K180" s="11" t="n">
        <f aca="false">IF($E180="Manual",O180,IF($E180="Flat",J180,IF($E180="Inflation",J180*(1+Inputs!G$12),IF($E180="Salary",J180*(1+Inputs!G$10),IF($E180="Benefits",J180*(1+Inputs!G$11),IF($E180="Per Student",J180*K$4/J$4*(1+Inputs!G$12),IF($E180="Enrollment",J180*K$4/J$4,IF($E180="Tuition Index",J180*K$5/J$5,IF($E180="% of Salaries",IF($G$6=0,0,$G180/$G$6*K$6),IF($E180="Debt",$G180*Inputs!G$15/12,IF($E180="Reserve Yield",Inputs!G$13*Inputs!G$16,IF($E180="Trend",J180*(1+Inputs!G$12),J180))))))))))))</f>
        <v>0</v>
      </c>
      <c r="L180" s="22"/>
      <c r="M180" s="22"/>
      <c r="N180" s="22"/>
      <c r="O180" s="22"/>
    </row>
    <row r="181" customFormat="false" ht="15" hidden="false" customHeight="false" outlineLevel="0" collapsed="false">
      <c r="A181" s="6" t="s">
        <v>295</v>
      </c>
      <c r="B181" s="6" t="s">
        <v>17</v>
      </c>
      <c r="C181" s="30" t="s">
        <v>532</v>
      </c>
      <c r="D181" s="6" t="s">
        <v>533</v>
      </c>
      <c r="E181" s="20" t="s">
        <v>200</v>
      </c>
      <c r="F181" s="20" t="s">
        <v>132</v>
      </c>
      <c r="G181" s="31" t="n">
        <f aca="false">SUMIFS('QB Import'!$B$1:$B$600,'QB Import'!$H$1:$H$600,$C181,'QB Import'!$G$1:$G$600,1)</f>
        <v>0</v>
      </c>
      <c r="H181" s="11" t="n">
        <f aca="false">IF($E181="Manual",L181,IF($E181="Flat",G181,IF($E181="Inflation",G181*(1+Inputs!D$12),IF($E181="Salary",G181*(1+Inputs!D$10),IF($E181="Benefits",G181*(1+Inputs!D$11),IF($E181="Per Student",G181*H$4/G$4*(1+Inputs!D$12),IF($E181="Enrollment",G181*H$4/G$4,IF($E181="Tuition Index",G181*H$5/G$5,IF($E181="% of Salaries",IF($G$6=0,0,$G181/$G$6*H$6),IF($E181="Debt",$G181*Inputs!D$15/12,IF($E181="Reserve Yield",Inputs!D$13*Inputs!D$16,IF($E181="Trend",IF(ISNUMBER(Trend!$Q220),Trend!$Q220,G181),G181))))))))))))</f>
        <v>0</v>
      </c>
      <c r="I181" s="11" t="n">
        <f aca="false">IF($E181="Manual",M181,IF($E181="Flat",H181,IF($E181="Inflation",H181*(1+Inputs!E$12),IF($E181="Salary",H181*(1+Inputs!E$10),IF($E181="Benefits",H181*(1+Inputs!E$11),IF($E181="Per Student",H181*I$4/H$4*(1+Inputs!E$12),IF($E181="Enrollment",H181*I$4/H$4,IF($E181="Tuition Index",H181*I$5/H$5,IF($E181="% of Salaries",IF($G$6=0,0,$G181/$G$6*I$6),IF($E181="Debt",$G181*Inputs!E$15/12,IF($E181="Reserve Yield",Inputs!E$13*Inputs!E$16,IF($E181="Trend",H181*(1+Inputs!E$12),H181))))))))))))</f>
        <v>0</v>
      </c>
      <c r="J181" s="11" t="n">
        <f aca="false">IF($E181="Manual",N181,IF($E181="Flat",I181,IF($E181="Inflation",I181*(1+Inputs!F$12),IF($E181="Salary",I181*(1+Inputs!F$10),IF($E181="Benefits",I181*(1+Inputs!F$11),IF($E181="Per Student",I181*J$4/I$4*(1+Inputs!F$12),IF($E181="Enrollment",I181*J$4/I$4,IF($E181="Tuition Index",I181*J$5/I$5,IF($E181="% of Salaries",IF($G$6=0,0,$G181/$G$6*J$6),IF($E181="Debt",$G181*Inputs!F$15/12,IF($E181="Reserve Yield",Inputs!F$13*Inputs!F$16,IF($E181="Trend",I181*(1+Inputs!F$12),I181))))))))))))</f>
        <v>0</v>
      </c>
      <c r="K181" s="11" t="n">
        <f aca="false">IF($E181="Manual",O181,IF($E181="Flat",J181,IF($E181="Inflation",J181*(1+Inputs!G$12),IF($E181="Salary",J181*(1+Inputs!G$10),IF($E181="Benefits",J181*(1+Inputs!G$11),IF($E181="Per Student",J181*K$4/J$4*(1+Inputs!G$12),IF($E181="Enrollment",J181*K$4/J$4,IF($E181="Tuition Index",J181*K$5/J$5,IF($E181="% of Salaries",IF($G$6=0,0,$G181/$G$6*K$6),IF($E181="Debt",$G181*Inputs!G$15/12,IF($E181="Reserve Yield",Inputs!G$13*Inputs!G$16,IF($E181="Trend",J181*(1+Inputs!G$12),J181))))))))))))</f>
        <v>0</v>
      </c>
      <c r="L181" s="22"/>
      <c r="M181" s="22"/>
      <c r="N181" s="22"/>
      <c r="O181" s="22"/>
    </row>
    <row r="182" customFormat="false" ht="15" hidden="false" customHeight="false" outlineLevel="0" collapsed="false">
      <c r="A182" s="6" t="s">
        <v>295</v>
      </c>
      <c r="B182" s="6" t="s">
        <v>17</v>
      </c>
      <c r="C182" s="30" t="s">
        <v>534</v>
      </c>
      <c r="D182" s="6" t="s">
        <v>535</v>
      </c>
      <c r="E182" s="20" t="s">
        <v>200</v>
      </c>
      <c r="F182" s="20" t="s">
        <v>132</v>
      </c>
      <c r="G182" s="31" t="n">
        <f aca="false">SUMIFS('QB Import'!$B$1:$B$600,'QB Import'!$H$1:$H$600,$C182,'QB Import'!$G$1:$G$600,1)</f>
        <v>0</v>
      </c>
      <c r="H182" s="11" t="n">
        <f aca="false">IF($E182="Manual",L182,IF($E182="Flat",G182,IF($E182="Inflation",G182*(1+Inputs!D$12),IF($E182="Salary",G182*(1+Inputs!D$10),IF($E182="Benefits",G182*(1+Inputs!D$11),IF($E182="Per Student",G182*H$4/G$4*(1+Inputs!D$12),IF($E182="Enrollment",G182*H$4/G$4,IF($E182="Tuition Index",G182*H$5/G$5,IF($E182="% of Salaries",IF($G$6=0,0,$G182/$G$6*H$6),IF($E182="Debt",$G182*Inputs!D$15/12,IF($E182="Reserve Yield",Inputs!D$13*Inputs!D$16,IF($E182="Trend",IF(ISNUMBER(Trend!$Q221),Trend!$Q221,G182),G182))))))))))))</f>
        <v>0</v>
      </c>
      <c r="I182" s="11" t="n">
        <f aca="false">IF($E182="Manual",M182,IF($E182="Flat",H182,IF($E182="Inflation",H182*(1+Inputs!E$12),IF($E182="Salary",H182*(1+Inputs!E$10),IF($E182="Benefits",H182*(1+Inputs!E$11),IF($E182="Per Student",H182*I$4/H$4*(1+Inputs!E$12),IF($E182="Enrollment",H182*I$4/H$4,IF($E182="Tuition Index",H182*I$5/H$5,IF($E182="% of Salaries",IF($G$6=0,0,$G182/$G$6*I$6),IF($E182="Debt",$G182*Inputs!E$15/12,IF($E182="Reserve Yield",Inputs!E$13*Inputs!E$16,IF($E182="Trend",H182*(1+Inputs!E$12),H182))))))))))))</f>
        <v>0</v>
      </c>
      <c r="J182" s="11" t="n">
        <f aca="false">IF($E182="Manual",N182,IF($E182="Flat",I182,IF($E182="Inflation",I182*(1+Inputs!F$12),IF($E182="Salary",I182*(1+Inputs!F$10),IF($E182="Benefits",I182*(1+Inputs!F$11),IF($E182="Per Student",I182*J$4/I$4*(1+Inputs!F$12),IF($E182="Enrollment",I182*J$4/I$4,IF($E182="Tuition Index",I182*J$5/I$5,IF($E182="% of Salaries",IF($G$6=0,0,$G182/$G$6*J$6),IF($E182="Debt",$G182*Inputs!F$15/12,IF($E182="Reserve Yield",Inputs!F$13*Inputs!F$16,IF($E182="Trend",I182*(1+Inputs!F$12),I182))))))))))))</f>
        <v>0</v>
      </c>
      <c r="K182" s="11" t="n">
        <f aca="false">IF($E182="Manual",O182,IF($E182="Flat",J182,IF($E182="Inflation",J182*(1+Inputs!G$12),IF($E182="Salary",J182*(1+Inputs!G$10),IF($E182="Benefits",J182*(1+Inputs!G$11),IF($E182="Per Student",J182*K$4/J$4*(1+Inputs!G$12),IF($E182="Enrollment",J182*K$4/J$4,IF($E182="Tuition Index",J182*K$5/J$5,IF($E182="% of Salaries",IF($G$6=0,0,$G182/$G$6*K$6),IF($E182="Debt",$G182*Inputs!G$15/12,IF($E182="Reserve Yield",Inputs!G$13*Inputs!G$16,IF($E182="Trend",J182*(1+Inputs!G$12),J182))))))))))))</f>
        <v>0</v>
      </c>
      <c r="L182" s="22"/>
      <c r="M182" s="22"/>
      <c r="N182" s="22"/>
      <c r="O182" s="22"/>
    </row>
    <row r="183" customFormat="false" ht="15" hidden="false" customHeight="false" outlineLevel="0" collapsed="false">
      <c r="A183" s="6" t="s">
        <v>295</v>
      </c>
      <c r="B183" s="6" t="s">
        <v>17</v>
      </c>
      <c r="C183" s="30" t="s">
        <v>536</v>
      </c>
      <c r="D183" s="6" t="s">
        <v>537</v>
      </c>
      <c r="E183" s="20" t="s">
        <v>200</v>
      </c>
      <c r="F183" s="20" t="s">
        <v>132</v>
      </c>
      <c r="G183" s="31" t="n">
        <f aca="false">SUMIFS('QB Import'!$B$1:$B$600,'QB Import'!$H$1:$H$600,$C183,'QB Import'!$G$1:$G$600,1)</f>
        <v>0</v>
      </c>
      <c r="H183" s="11" t="n">
        <f aca="false">IF($E183="Manual",L183,IF($E183="Flat",G183,IF($E183="Inflation",G183*(1+Inputs!D$12),IF($E183="Salary",G183*(1+Inputs!D$10),IF($E183="Benefits",G183*(1+Inputs!D$11),IF($E183="Per Student",G183*H$4/G$4*(1+Inputs!D$12),IF($E183="Enrollment",G183*H$4/G$4,IF($E183="Tuition Index",G183*H$5/G$5,IF($E183="% of Salaries",IF($G$6=0,0,$G183/$G$6*H$6),IF($E183="Debt",$G183*Inputs!D$15/12,IF($E183="Reserve Yield",Inputs!D$13*Inputs!D$16,IF($E183="Trend",IF(ISNUMBER(Trend!$Q222),Trend!$Q222,G183),G183))))))))))))</f>
        <v>0</v>
      </c>
      <c r="I183" s="11" t="n">
        <f aca="false">IF($E183="Manual",M183,IF($E183="Flat",H183,IF($E183="Inflation",H183*(1+Inputs!E$12),IF($E183="Salary",H183*(1+Inputs!E$10),IF($E183="Benefits",H183*(1+Inputs!E$11),IF($E183="Per Student",H183*I$4/H$4*(1+Inputs!E$12),IF($E183="Enrollment",H183*I$4/H$4,IF($E183="Tuition Index",H183*I$5/H$5,IF($E183="% of Salaries",IF($G$6=0,0,$G183/$G$6*I$6),IF($E183="Debt",$G183*Inputs!E$15/12,IF($E183="Reserve Yield",Inputs!E$13*Inputs!E$16,IF($E183="Trend",H183*(1+Inputs!E$12),H183))))))))))))</f>
        <v>0</v>
      </c>
      <c r="J183" s="11" t="n">
        <f aca="false">IF($E183="Manual",N183,IF($E183="Flat",I183,IF($E183="Inflation",I183*(1+Inputs!F$12),IF($E183="Salary",I183*(1+Inputs!F$10),IF($E183="Benefits",I183*(1+Inputs!F$11),IF($E183="Per Student",I183*J$4/I$4*(1+Inputs!F$12),IF($E183="Enrollment",I183*J$4/I$4,IF($E183="Tuition Index",I183*J$5/I$5,IF($E183="% of Salaries",IF($G$6=0,0,$G183/$G$6*J$6),IF($E183="Debt",$G183*Inputs!F$15/12,IF($E183="Reserve Yield",Inputs!F$13*Inputs!F$16,IF($E183="Trend",I183*(1+Inputs!F$12),I183))))))))))))</f>
        <v>0</v>
      </c>
      <c r="K183" s="11" t="n">
        <f aca="false">IF($E183="Manual",O183,IF($E183="Flat",J183,IF($E183="Inflation",J183*(1+Inputs!G$12),IF($E183="Salary",J183*(1+Inputs!G$10),IF($E183="Benefits",J183*(1+Inputs!G$11),IF($E183="Per Student",J183*K$4/J$4*(1+Inputs!G$12),IF($E183="Enrollment",J183*K$4/J$4,IF($E183="Tuition Index",J183*K$5/J$5,IF($E183="% of Salaries",IF($G$6=0,0,$G183/$G$6*K$6),IF($E183="Debt",$G183*Inputs!G$15/12,IF($E183="Reserve Yield",Inputs!G$13*Inputs!G$16,IF($E183="Trend",J183*(1+Inputs!G$12),J183))))))))))))</f>
        <v>0</v>
      </c>
      <c r="L183" s="22"/>
      <c r="M183" s="22"/>
      <c r="N183" s="22"/>
      <c r="O183" s="22"/>
    </row>
    <row r="184" customFormat="false" ht="15" hidden="false" customHeight="false" outlineLevel="0" collapsed="false">
      <c r="A184" s="6" t="s">
        <v>295</v>
      </c>
      <c r="B184" s="6" t="s">
        <v>17</v>
      </c>
      <c r="C184" s="30" t="s">
        <v>538</v>
      </c>
      <c r="D184" s="6" t="s">
        <v>539</v>
      </c>
      <c r="E184" s="20" t="s">
        <v>200</v>
      </c>
      <c r="F184" s="20" t="s">
        <v>132</v>
      </c>
      <c r="G184" s="31" t="n">
        <f aca="false">SUMIFS('QB Import'!$B$1:$B$600,'QB Import'!$H$1:$H$600,$C184,'QB Import'!$G$1:$G$600,1)</f>
        <v>0</v>
      </c>
      <c r="H184" s="11" t="n">
        <f aca="false">IF($E184="Manual",L184,IF($E184="Flat",G184,IF($E184="Inflation",G184*(1+Inputs!D$12),IF($E184="Salary",G184*(1+Inputs!D$10),IF($E184="Benefits",G184*(1+Inputs!D$11),IF($E184="Per Student",G184*H$4/G$4*(1+Inputs!D$12),IF($E184="Enrollment",G184*H$4/G$4,IF($E184="Tuition Index",G184*H$5/G$5,IF($E184="% of Salaries",IF($G$6=0,0,$G184/$G$6*H$6),IF($E184="Debt",$G184*Inputs!D$15/12,IF($E184="Reserve Yield",Inputs!D$13*Inputs!D$16,IF($E184="Trend",IF(ISNUMBER(Trend!$Q223),Trend!$Q223,G184),G184))))))))))))</f>
        <v>0</v>
      </c>
      <c r="I184" s="11" t="n">
        <f aca="false">IF($E184="Manual",M184,IF($E184="Flat",H184,IF($E184="Inflation",H184*(1+Inputs!E$12),IF($E184="Salary",H184*(1+Inputs!E$10),IF($E184="Benefits",H184*(1+Inputs!E$11),IF($E184="Per Student",H184*I$4/H$4*(1+Inputs!E$12),IF($E184="Enrollment",H184*I$4/H$4,IF($E184="Tuition Index",H184*I$5/H$5,IF($E184="% of Salaries",IF($G$6=0,0,$G184/$G$6*I$6),IF($E184="Debt",$G184*Inputs!E$15/12,IF($E184="Reserve Yield",Inputs!E$13*Inputs!E$16,IF($E184="Trend",H184*(1+Inputs!E$12),H184))))))))))))</f>
        <v>0</v>
      </c>
      <c r="J184" s="11" t="n">
        <f aca="false">IF($E184="Manual",N184,IF($E184="Flat",I184,IF($E184="Inflation",I184*(1+Inputs!F$12),IF($E184="Salary",I184*(1+Inputs!F$10),IF($E184="Benefits",I184*(1+Inputs!F$11),IF($E184="Per Student",I184*J$4/I$4*(1+Inputs!F$12),IF($E184="Enrollment",I184*J$4/I$4,IF($E184="Tuition Index",I184*J$5/I$5,IF($E184="% of Salaries",IF($G$6=0,0,$G184/$G$6*J$6),IF($E184="Debt",$G184*Inputs!F$15/12,IF($E184="Reserve Yield",Inputs!F$13*Inputs!F$16,IF($E184="Trend",I184*(1+Inputs!F$12),I184))))))))))))</f>
        <v>0</v>
      </c>
      <c r="K184" s="11" t="n">
        <f aca="false">IF($E184="Manual",O184,IF($E184="Flat",J184,IF($E184="Inflation",J184*(1+Inputs!G$12),IF($E184="Salary",J184*(1+Inputs!G$10),IF($E184="Benefits",J184*(1+Inputs!G$11),IF($E184="Per Student",J184*K$4/J$4*(1+Inputs!G$12),IF($E184="Enrollment",J184*K$4/J$4,IF($E184="Tuition Index",J184*K$5/J$5,IF($E184="% of Salaries",IF($G$6=0,0,$G184/$G$6*K$6),IF($E184="Debt",$G184*Inputs!G$15/12,IF($E184="Reserve Yield",Inputs!G$13*Inputs!G$16,IF($E184="Trend",J184*(1+Inputs!G$12),J184))))))))))))</f>
        <v>0</v>
      </c>
      <c r="L184" s="22"/>
      <c r="M184" s="22"/>
      <c r="N184" s="22"/>
      <c r="O184" s="22"/>
    </row>
    <row r="185" customFormat="false" ht="15" hidden="false" customHeight="false" outlineLevel="0" collapsed="false">
      <c r="A185" s="6" t="s">
        <v>295</v>
      </c>
      <c r="B185" s="6" t="s">
        <v>18</v>
      </c>
      <c r="C185" s="30" t="s">
        <v>18</v>
      </c>
      <c r="D185" s="6" t="s">
        <v>18</v>
      </c>
      <c r="E185" s="20" t="s">
        <v>330</v>
      </c>
      <c r="F185" s="20" t="s">
        <v>132</v>
      </c>
      <c r="G185" s="31" t="n">
        <f aca="false">SUMIFS('QB Import'!$B$1:$B$600,'QB Import'!$H$1:$H$600,$C185,'QB Import'!$G$1:$G$600,1)</f>
        <v>171263</v>
      </c>
      <c r="H185" s="11" t="n">
        <f aca="false">IF($E185="Manual",L185,IF($E185="Flat",G185,IF($E185="Inflation",G185*(1+Inputs!D$12),IF($E185="Salary",G185*(1+Inputs!D$10),IF($E185="Benefits",G185*(1+Inputs!D$11),IF($E185="Per Student",G185*H$4/G$4*(1+Inputs!D$12),IF($E185="Enrollment",G185*H$4/G$4,IF($E185="Tuition Index",G185*H$5/G$5,IF($E185="% of Salaries",IF($G$6=0,0,$G185/$G$6*H$6),IF($E185="Debt",$G185*Inputs!D$15/12,IF($E185="Reserve Yield",Inputs!D$13*Inputs!D$16,IF($E185="Trend",IF(ISNUMBER(Trend!$Q224),Trend!$Q224,G185),G185))))))))))))</f>
        <v>176400.89</v>
      </c>
      <c r="I185" s="11" t="n">
        <f aca="false">IF($E185="Manual",M185,IF($E185="Flat",H185,IF($E185="Inflation",H185*(1+Inputs!E$12),IF($E185="Salary",H185*(1+Inputs!E$10),IF($E185="Benefits",H185*(1+Inputs!E$11),IF($E185="Per Student",H185*I$4/H$4*(1+Inputs!E$12),IF($E185="Enrollment",H185*I$4/H$4,IF($E185="Tuition Index",H185*I$5/H$5,IF($E185="% of Salaries",IF($G$6=0,0,$G185/$G$6*I$6),IF($E185="Debt",$G185*Inputs!E$15/12,IF($E185="Reserve Yield",Inputs!E$13*Inputs!E$16,IF($E185="Trend",H185*(1+Inputs!E$12),H185))))))))))))</f>
        <v>181692.9167</v>
      </c>
      <c r="J185" s="11" t="n">
        <f aca="false">IF($E185="Manual",N185,IF($E185="Flat",I185,IF($E185="Inflation",I185*(1+Inputs!F$12),IF($E185="Salary",I185*(1+Inputs!F$10),IF($E185="Benefits",I185*(1+Inputs!F$11),IF($E185="Per Student",I185*J$4/I$4*(1+Inputs!F$12),IF($E185="Enrollment",I185*J$4/I$4,IF($E185="Tuition Index",I185*J$5/I$5,IF($E185="% of Salaries",IF($G$6=0,0,$G185/$G$6*J$6),IF($E185="Debt",$G185*Inputs!F$15/12,IF($E185="Reserve Yield",Inputs!F$13*Inputs!F$16,IF($E185="Trend",I185*(1+Inputs!F$12),I185))))))))))))</f>
        <v>187143.704201</v>
      </c>
      <c r="K185" s="11" t="n">
        <f aca="false">IF($E185="Manual",O185,IF($E185="Flat",J185,IF($E185="Inflation",J185*(1+Inputs!G$12),IF($E185="Salary",J185*(1+Inputs!G$10),IF($E185="Benefits",J185*(1+Inputs!G$11),IF($E185="Per Student",J185*K$4/J$4*(1+Inputs!G$12),IF($E185="Enrollment",J185*K$4/J$4,IF($E185="Tuition Index",J185*K$5/J$5,IF($E185="% of Salaries",IF($G$6=0,0,$G185/$G$6*K$6),IF($E185="Debt",$G185*Inputs!G$15/12,IF($E185="Reserve Yield",Inputs!G$13*Inputs!G$16,IF($E185="Trend",J185*(1+Inputs!G$12),J185))))))))))))</f>
        <v>192758.01532703</v>
      </c>
      <c r="L185" s="22"/>
      <c r="M185" s="22"/>
      <c r="N185" s="22"/>
      <c r="O185" s="22"/>
    </row>
    <row r="186" customFormat="false" ht="15" hidden="false" customHeight="false" outlineLevel="0" collapsed="false">
      <c r="A186" s="6" t="s">
        <v>295</v>
      </c>
      <c r="B186" s="6" t="s">
        <v>18</v>
      </c>
      <c r="C186" s="30" t="s">
        <v>540</v>
      </c>
      <c r="D186" s="6" t="s">
        <v>541</v>
      </c>
      <c r="E186" s="20" t="s">
        <v>200</v>
      </c>
      <c r="F186" s="20" t="s">
        <v>132</v>
      </c>
      <c r="G186" s="31" t="n">
        <f aca="false">SUMIFS('QB Import'!$B$1:$B$600,'QB Import'!$H$1:$H$600,$C186,'QB Import'!$G$1:$G$600,1)</f>
        <v>0</v>
      </c>
      <c r="H186" s="11" t="n">
        <f aca="false">IF($E186="Manual",L186,IF($E186="Flat",G186,IF($E186="Inflation",G186*(1+Inputs!D$12),IF($E186="Salary",G186*(1+Inputs!D$10),IF($E186="Benefits",G186*(1+Inputs!D$11),IF($E186="Per Student",G186*H$4/G$4*(1+Inputs!D$12),IF($E186="Enrollment",G186*H$4/G$4,IF($E186="Tuition Index",G186*H$5/G$5,IF($E186="% of Salaries",IF($G$6=0,0,$G186/$G$6*H$6),IF($E186="Debt",$G186*Inputs!D$15/12,IF($E186="Reserve Yield",Inputs!D$13*Inputs!D$16,IF($E186="Trend",IF(ISNUMBER(Trend!$Q225),Trend!$Q225,G186),G186))))))))))))</f>
        <v>0</v>
      </c>
      <c r="I186" s="11" t="n">
        <f aca="false">IF($E186="Manual",M186,IF($E186="Flat",H186,IF($E186="Inflation",H186*(1+Inputs!E$12),IF($E186="Salary",H186*(1+Inputs!E$10),IF($E186="Benefits",H186*(1+Inputs!E$11),IF($E186="Per Student",H186*I$4/H$4*(1+Inputs!E$12),IF($E186="Enrollment",H186*I$4/H$4,IF($E186="Tuition Index",H186*I$5/H$5,IF($E186="% of Salaries",IF($G$6=0,0,$G186/$G$6*I$6),IF($E186="Debt",$G186*Inputs!E$15/12,IF($E186="Reserve Yield",Inputs!E$13*Inputs!E$16,IF($E186="Trend",H186*(1+Inputs!E$12),H186))))))))))))</f>
        <v>0</v>
      </c>
      <c r="J186" s="11" t="n">
        <f aca="false">IF($E186="Manual",N186,IF($E186="Flat",I186,IF($E186="Inflation",I186*(1+Inputs!F$12),IF($E186="Salary",I186*(1+Inputs!F$10),IF($E186="Benefits",I186*(1+Inputs!F$11),IF($E186="Per Student",I186*J$4/I$4*(1+Inputs!F$12),IF($E186="Enrollment",I186*J$4/I$4,IF($E186="Tuition Index",I186*J$5/I$5,IF($E186="% of Salaries",IF($G$6=0,0,$G186/$G$6*J$6),IF($E186="Debt",$G186*Inputs!F$15/12,IF($E186="Reserve Yield",Inputs!F$13*Inputs!F$16,IF($E186="Trend",I186*(1+Inputs!F$12),I186))))))))))))</f>
        <v>0</v>
      </c>
      <c r="K186" s="11" t="n">
        <f aca="false">IF($E186="Manual",O186,IF($E186="Flat",J186,IF($E186="Inflation",J186*(1+Inputs!G$12),IF($E186="Salary",J186*(1+Inputs!G$10),IF($E186="Benefits",J186*(1+Inputs!G$11),IF($E186="Per Student",J186*K$4/J$4*(1+Inputs!G$12),IF($E186="Enrollment",J186*K$4/J$4,IF($E186="Tuition Index",J186*K$5/J$5,IF($E186="% of Salaries",IF($G$6=0,0,$G186/$G$6*K$6),IF($E186="Debt",$G186*Inputs!G$15/12,IF($E186="Reserve Yield",Inputs!G$13*Inputs!G$16,IF($E186="Trend",J186*(1+Inputs!G$12),J186))))))))))))</f>
        <v>0</v>
      </c>
      <c r="L186" s="22"/>
      <c r="M186" s="22"/>
      <c r="N186" s="22"/>
      <c r="O186" s="22"/>
    </row>
    <row r="187" customFormat="false" ht="15" hidden="false" customHeight="false" outlineLevel="0" collapsed="false">
      <c r="A187" s="6" t="s">
        <v>191</v>
      </c>
      <c r="B187" s="6" t="s">
        <v>542</v>
      </c>
      <c r="C187" s="30" t="s">
        <v>543</v>
      </c>
      <c r="D187" s="6" t="s">
        <v>543</v>
      </c>
      <c r="E187" s="20" t="s">
        <v>200</v>
      </c>
      <c r="F187" s="20" t="s">
        <v>132</v>
      </c>
      <c r="G187" s="31" t="n">
        <f aca="false">SUMIFS('QB Import'!$B$1:$B$600,'QB Import'!$H$1:$H$600,$C187,'QB Import'!$G$1:$G$600,1)</f>
        <v>0</v>
      </c>
      <c r="H187" s="11" t="n">
        <f aca="false">IF($E187="Manual",L187,IF($E187="Flat",G187,IF($E187="Inflation",G187*(1+Inputs!D$12),IF($E187="Salary",G187*(1+Inputs!D$10),IF($E187="Benefits",G187*(1+Inputs!D$11),IF($E187="Per Student",G187*H$4/G$4*(1+Inputs!D$12),IF($E187="Enrollment",G187*H$4/G$4,IF($E187="Tuition Index",G187*H$5/G$5,IF($E187="% of Salaries",IF($G$6=0,0,$G187/$G$6*H$6),IF($E187="Debt",$G187*Inputs!D$15/12,IF($E187="Reserve Yield",Inputs!D$13*Inputs!D$16,IF($E187="Trend",IF(ISNUMBER(Trend!$Q226),Trend!$Q226,G187),G187))))))))))))</f>
        <v>0</v>
      </c>
      <c r="I187" s="11" t="n">
        <f aca="false">IF($E187="Manual",M187,IF($E187="Flat",H187,IF($E187="Inflation",H187*(1+Inputs!E$12),IF($E187="Salary",H187*(1+Inputs!E$10),IF($E187="Benefits",H187*(1+Inputs!E$11),IF($E187="Per Student",H187*I$4/H$4*(1+Inputs!E$12),IF($E187="Enrollment",H187*I$4/H$4,IF($E187="Tuition Index",H187*I$5/H$5,IF($E187="% of Salaries",IF($G$6=0,0,$G187/$G$6*I$6),IF($E187="Debt",$G187*Inputs!E$15/12,IF($E187="Reserve Yield",Inputs!E$13*Inputs!E$16,IF($E187="Trend",H187*(1+Inputs!E$12),H187))))))))))))</f>
        <v>0</v>
      </c>
      <c r="J187" s="11" t="n">
        <f aca="false">IF($E187="Manual",N187,IF($E187="Flat",I187,IF($E187="Inflation",I187*(1+Inputs!F$12),IF($E187="Salary",I187*(1+Inputs!F$10),IF($E187="Benefits",I187*(1+Inputs!F$11),IF($E187="Per Student",I187*J$4/I$4*(1+Inputs!F$12),IF($E187="Enrollment",I187*J$4/I$4,IF($E187="Tuition Index",I187*J$5/I$5,IF($E187="% of Salaries",IF($G$6=0,0,$G187/$G$6*J$6),IF($E187="Debt",$G187*Inputs!F$15/12,IF($E187="Reserve Yield",Inputs!F$13*Inputs!F$16,IF($E187="Trend",I187*(1+Inputs!F$12),I187))))))))))))</f>
        <v>0</v>
      </c>
      <c r="K187" s="11" t="n">
        <f aca="false">IF($E187="Manual",O187,IF($E187="Flat",J187,IF($E187="Inflation",J187*(1+Inputs!G$12),IF($E187="Salary",J187*(1+Inputs!G$10),IF($E187="Benefits",J187*(1+Inputs!G$11),IF($E187="Per Student",J187*K$4/J$4*(1+Inputs!G$12),IF($E187="Enrollment",J187*K$4/J$4,IF($E187="Tuition Index",J187*K$5/J$5,IF($E187="% of Salaries",IF($G$6=0,0,$G187/$G$6*K$6),IF($E187="Debt",$G187*Inputs!G$15/12,IF($E187="Reserve Yield",Inputs!G$13*Inputs!G$16,IF($E187="Trend",J187*(1+Inputs!G$12),J187))))))))))))</f>
        <v>0</v>
      </c>
      <c r="L187" s="22"/>
      <c r="M187" s="22"/>
      <c r="N187" s="22"/>
      <c r="O187" s="22"/>
    </row>
    <row r="188" customFormat="false" ht="15" hidden="false" customHeight="false" outlineLevel="0" collapsed="false">
      <c r="A188" s="6" t="s">
        <v>295</v>
      </c>
      <c r="B188" s="6" t="s">
        <v>544</v>
      </c>
      <c r="C188" s="30" t="s">
        <v>545</v>
      </c>
      <c r="D188" s="6" t="s">
        <v>545</v>
      </c>
      <c r="E188" s="20" t="s">
        <v>200</v>
      </c>
      <c r="F188" s="20" t="s">
        <v>132</v>
      </c>
      <c r="G188" s="31" t="n">
        <f aca="false">SUMIFS('QB Import'!$B$1:$B$600,'QB Import'!$H$1:$H$600,$C188,'QB Import'!$G$1:$G$600,1)</f>
        <v>0</v>
      </c>
      <c r="H188" s="11" t="n">
        <f aca="false">IF($E188="Manual",L188,IF($E188="Flat",G188,IF($E188="Inflation",G188*(1+Inputs!D$12),IF($E188="Salary",G188*(1+Inputs!D$10),IF($E188="Benefits",G188*(1+Inputs!D$11),IF($E188="Per Student",G188*H$4/G$4*(1+Inputs!D$12),IF($E188="Enrollment",G188*H$4/G$4,IF($E188="Tuition Index",G188*H$5/G$5,IF($E188="% of Salaries",IF($G$6=0,0,$G188/$G$6*H$6),IF($E188="Debt",$G188*Inputs!D$15/12,IF($E188="Reserve Yield",Inputs!D$13*Inputs!D$16,IF($E188="Trend",IF(ISNUMBER(Trend!$Q227),Trend!$Q227,G188),G188))))))))))))</f>
        <v>0</v>
      </c>
      <c r="I188" s="11" t="n">
        <f aca="false">IF($E188="Manual",M188,IF($E188="Flat",H188,IF($E188="Inflation",H188*(1+Inputs!E$12),IF($E188="Salary",H188*(1+Inputs!E$10),IF($E188="Benefits",H188*(1+Inputs!E$11),IF($E188="Per Student",H188*I$4/H$4*(1+Inputs!E$12),IF($E188="Enrollment",H188*I$4/H$4,IF($E188="Tuition Index",H188*I$5/H$5,IF($E188="% of Salaries",IF($G$6=0,0,$G188/$G$6*I$6),IF($E188="Debt",$G188*Inputs!E$15/12,IF($E188="Reserve Yield",Inputs!E$13*Inputs!E$16,IF($E188="Trend",H188*(1+Inputs!E$12),H188))))))))))))</f>
        <v>0</v>
      </c>
      <c r="J188" s="11" t="n">
        <f aca="false">IF($E188="Manual",N188,IF($E188="Flat",I188,IF($E188="Inflation",I188*(1+Inputs!F$12),IF($E188="Salary",I188*(1+Inputs!F$10),IF($E188="Benefits",I188*(1+Inputs!F$11),IF($E188="Per Student",I188*J$4/I$4*(1+Inputs!F$12),IF($E188="Enrollment",I188*J$4/I$4,IF($E188="Tuition Index",I188*J$5/I$5,IF($E188="% of Salaries",IF($G$6=0,0,$G188/$G$6*J$6),IF($E188="Debt",$G188*Inputs!F$15/12,IF($E188="Reserve Yield",Inputs!F$13*Inputs!F$16,IF($E188="Trend",I188*(1+Inputs!F$12),I188))))))))))))</f>
        <v>0</v>
      </c>
      <c r="K188" s="11" t="n">
        <f aca="false">IF($E188="Manual",O188,IF($E188="Flat",J188,IF($E188="Inflation",J188*(1+Inputs!G$12),IF($E188="Salary",J188*(1+Inputs!G$10),IF($E188="Benefits",J188*(1+Inputs!G$11),IF($E188="Per Student",J188*K$4/J$4*(1+Inputs!G$12),IF($E188="Enrollment",J188*K$4/J$4,IF($E188="Tuition Index",J188*K$5/J$5,IF($E188="% of Salaries",IF($G$6=0,0,$G188/$G$6*K$6),IF($E188="Debt",$G188*Inputs!G$15/12,IF($E188="Reserve Yield",Inputs!G$13*Inputs!G$16,IF($E188="Trend",J188*(1+Inputs!G$12),J188))))))))))))</f>
        <v>0</v>
      </c>
      <c r="L188" s="22"/>
      <c r="M188" s="22"/>
      <c r="N188" s="22"/>
      <c r="O188" s="22"/>
    </row>
    <row r="190" customFormat="false" ht="15" hidden="false" customHeight="false" outlineLevel="0" collapsed="false">
      <c r="A190" s="3" t="s">
        <v>546</v>
      </c>
    </row>
  </sheetData>
  <autoFilter ref="A7:O188"/>
  <dataValidations count="2">
    <dataValidation allowBlank="true" errorStyle="stop" operator="between" showDropDown="false" showErrorMessage="false" showInputMessage="false" sqref="E8:E400" type="list">
      <formula1>"Flat,Inflation,Salary,Benefits,Per Student,Enrollment,Tuition Index,% of Salaries,Debt,Reserve Yield,Trend,Manual"</formula1>
      <formula2>0</formula2>
    </dataValidation>
    <dataValidation allowBlank="true" errorStyle="stop" operator="between" showDropDown="false" showErrorMessage="false" showInputMessage="false" sqref="F8:F400" type="list">
      <formula1>"Tuition Plan,Even,Jul Lump,Custom A,Custom 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3"/>
    <col collapsed="false" customWidth="true" hidden="false" outlineLevel="0" max="4" min="4" style="0" width="18"/>
    <col collapsed="false" customWidth="true" hidden="false" outlineLevel="0" max="20" min="5" style="0" width="13"/>
  </cols>
  <sheetData>
    <row r="1" customFormat="false" ht="17.35" hidden="false" customHeight="false" outlineLevel="0" collapsed="false">
      <c r="A1" s="1" t="s">
        <v>547</v>
      </c>
    </row>
    <row r="2" customFormat="false" ht="15" hidden="false" customHeight="false" outlineLevel="0" collapsed="false">
      <c r="A2" s="3" t="s">
        <v>548</v>
      </c>
    </row>
    <row r="3" customFormat="false" ht="15" hidden="false" customHeight="false" outlineLevel="0" collapsed="false">
      <c r="A3" s="12" t="s">
        <v>549</v>
      </c>
      <c r="B3" s="32" t="n">
        <f aca="false">COUNT(B4:F4)</f>
        <v>0</v>
      </c>
      <c r="C3" s="12" t="s">
        <v>550</v>
      </c>
      <c r="D3" s="33" t="str">
        <f aca="false">IF(B3=0,"",MIN(B4:F4))</f>
        <v/>
      </c>
      <c r="E3" s="12" t="s">
        <v>551</v>
      </c>
      <c r="F3" s="32" t="str">
        <f aca="false">IF(B3=0,"",MAX(B4:F4))</f>
        <v/>
      </c>
      <c r="G3" s="12" t="s">
        <v>552</v>
      </c>
      <c r="H3" s="32" t="n">
        <f aca="false">YEAR(Inputs!$D$5)</f>
        <v>2028</v>
      </c>
    </row>
    <row r="4" customFormat="false" ht="15" hidden="false" customHeight="false" outlineLevel="0" collapsed="false">
      <c r="A4" s="6" t="s">
        <v>553</v>
      </c>
      <c r="B4" s="15" t="str">
        <f aca="false">IF(ISNUMBER(Inputs!$C$85),Inputs!$C$85,"")</f>
        <v/>
      </c>
      <c r="C4" s="15" t="str">
        <f aca="false">IF(ISNUMBER(Inputs!$C$86),Inputs!$C$86,"")</f>
        <v/>
      </c>
      <c r="D4" s="15" t="str">
        <f aca="false">IF(ISNUMBER(Inputs!$C$87),Inputs!$C$87,"")</f>
        <v/>
      </c>
      <c r="E4" s="15" t="str">
        <f aca="false">IF(ISNUMBER(Inputs!$C$88),Inputs!$C$88,"")</f>
        <v/>
      </c>
      <c r="F4" s="15" t="str">
        <f aca="false">IF(ISNUMBER(Inputs!$C$89),Inputs!$C$89,"")</f>
        <v/>
      </c>
    </row>
    <row r="5" customFormat="false" ht="30" hidden="false" customHeight="true" outlineLevel="0" collapsed="false">
      <c r="A5" s="4" t="s">
        <v>554</v>
      </c>
      <c r="B5" s="5" t="str">
        <f aca="false">IF(ISNUMBER(B$4),"FY"&amp;RIGHT(B$4,2)&amp;" Actual","(unused)")</f>
        <v>(unused)</v>
      </c>
      <c r="C5" s="5" t="str">
        <f aca="false">IF(ISNUMBER(C$4),"FY"&amp;RIGHT(C$4,2)&amp;" Actual","(unused)")</f>
        <v>(unused)</v>
      </c>
      <c r="D5" s="5" t="str">
        <f aca="false">IF(ISNUMBER(D$4),"FY"&amp;RIGHT(D$4,2)&amp;" Actual","(unused)")</f>
        <v>(unused)</v>
      </c>
      <c r="E5" s="5" t="str">
        <f aca="false">IF(ISNUMBER(E$4),"FY"&amp;RIGHT(E$4,2)&amp;" Actual","(unused)")</f>
        <v>(unused)</v>
      </c>
      <c r="F5" s="5" t="str">
        <f aca="false">IF(ISNUMBER(F$4),"FY"&amp;RIGHT(F$4,2)&amp;" Actual","(unused)")</f>
        <v>(unused)</v>
      </c>
      <c r="G5" s="5" t="str">
        <f aca="false">Inputs!C$4&amp;" Budget"</f>
        <v>FY27 Budget</v>
      </c>
      <c r="H5" s="5" t="str">
        <f aca="false">Inputs!D$4&amp;" Fcst"</f>
        <v>FY28 Fcst</v>
      </c>
      <c r="I5" s="5" t="str">
        <f aca="false">Inputs!E$4&amp;" Fcst"</f>
        <v>FY29 Fcst</v>
      </c>
      <c r="J5" s="5" t="str">
        <f aca="false">Inputs!F$4&amp;" Fcst"</f>
        <v>FY30 Fcst</v>
      </c>
      <c r="K5" s="5" t="str">
        <f aca="false">Inputs!G$4&amp;" Fcst"</f>
        <v>FY31 Fcst</v>
      </c>
      <c r="L5" s="5" t="s">
        <v>555</v>
      </c>
      <c r="M5" s="5" t="s">
        <v>556</v>
      </c>
    </row>
    <row r="6" customFormat="false" ht="15" hidden="false" customHeight="false" outlineLevel="0" collapsed="false">
      <c r="A6" s="6" t="s">
        <v>8</v>
      </c>
      <c r="B6" s="11" t="str">
        <f aca="false">IF(ISNUMBER(B$4),SUMIFS('Actuals Import'!$B$1:$B$600,'Actuals Import'!$F$1:$F$600,$A6,'Actuals Import'!$G$1:$G$600,1),"")</f>
        <v/>
      </c>
      <c r="C6" s="11" t="str">
        <f aca="false">IF(ISNUMBER(C$4),SUMIFS('Actuals Import'!$K$1:$K$600,'Actuals Import'!$O$1:$O$600,$A6,'Actuals Import'!$P$1:$P$600,1),"")</f>
        <v/>
      </c>
      <c r="D6" s="11" t="str">
        <f aca="false">IF(ISNUMBER(D$4),SUMIFS('Actuals Import'!$T$1:$T$600,'Actuals Import'!$X$1:$X$600,$A6,'Actuals Import'!$Y$1:$Y$600,1),"")</f>
        <v/>
      </c>
      <c r="E6" s="11" t="str">
        <f aca="false">IF(ISNUMBER(E$4),SUMIFS('Actuals Import'!$AC$1:$AC$600,'Actuals Import'!$AG$1:$AG$600,$A6,'Actuals Import'!$AH$1:$AH$600,1),"")</f>
        <v/>
      </c>
      <c r="F6" s="11" t="str">
        <f aca="false">IF(ISNUMBER(F$4),SUMIFS('Actuals Import'!$AL$1:$AL$600,'Actuals Import'!$AP$1:$AP$600,$A6,'Actuals Import'!$AQ$1:$AQ$600,1),"")</f>
        <v/>
      </c>
      <c r="G6" s="31" t="n">
        <f aca="false">Summary!B11</f>
        <v>8799382</v>
      </c>
      <c r="H6" s="31" t="n">
        <f aca="false">Summary!C11</f>
        <v>9300918.43818146</v>
      </c>
      <c r="I6" s="31" t="n">
        <f aca="false">Summary!D11</f>
        <v>9629546.2771512</v>
      </c>
      <c r="J6" s="31" t="n">
        <f aca="false">Summary!E11</f>
        <v>9941469.62509973</v>
      </c>
      <c r="K6" s="31" t="n">
        <f aca="false">Summary!F11</f>
        <v>10246937.1039501</v>
      </c>
      <c r="L6" s="8" t="str">
        <f aca="false">IF(OR($B$3&lt;2,$F$3=$D$3),"",IFERROR(IF(INDEX($B6:$F6,MATCH($D$3,$B$4:$F$4,0))*INDEX($B6:$F6,MATCH($F$3,$B$4:$F$4,0))&gt;0,(INDEX($B6:$F6,MATCH($F$3,$B$4:$F$4,0))/INDEX($B6:$F6,MATCH($D$3,$B$4:$F$4,0)))^(1/($F$3-$D$3))-1,""),""))</f>
        <v/>
      </c>
      <c r="M6" s="8" t="str">
        <f aca="false">IF($B$3=0,"",IF(INDEX($B6:$F6,MATCH($F$3,$B$4:$F$4,0))=0,"",$G6/INDEX($B6:$F6,MATCH($F$3,$B$4:$F$4,0))-1))</f>
        <v/>
      </c>
    </row>
    <row r="7" customFormat="false" ht="15" hidden="false" customHeight="false" outlineLevel="0" collapsed="false">
      <c r="A7" s="6" t="s">
        <v>9</v>
      </c>
      <c r="B7" s="11" t="str">
        <f aca="false">IF(ISNUMBER(B$4),SUMIFS('Actuals Import'!$B$1:$B$600,'Actuals Import'!$F$1:$F$600,$A7,'Actuals Import'!$G$1:$G$600,1),"")</f>
        <v/>
      </c>
      <c r="C7" s="11" t="str">
        <f aca="false">IF(ISNUMBER(C$4),SUMIFS('Actuals Import'!$K$1:$K$600,'Actuals Import'!$O$1:$O$600,$A7,'Actuals Import'!$P$1:$P$600,1),"")</f>
        <v/>
      </c>
      <c r="D7" s="11" t="str">
        <f aca="false">IF(ISNUMBER(D$4),SUMIFS('Actuals Import'!$T$1:$T$600,'Actuals Import'!$X$1:$X$600,$A7,'Actuals Import'!$Y$1:$Y$600,1),"")</f>
        <v/>
      </c>
      <c r="E7" s="11" t="str">
        <f aca="false">IF(ISNUMBER(E$4),SUMIFS('Actuals Import'!$AC$1:$AC$600,'Actuals Import'!$AG$1:$AG$600,$A7,'Actuals Import'!$AH$1:$AH$600,1),"")</f>
        <v/>
      </c>
      <c r="F7" s="11" t="str">
        <f aca="false">IF(ISNUMBER(F$4),SUMIFS('Actuals Import'!$AL$1:$AL$600,'Actuals Import'!$AP$1:$AP$600,$A7,'Actuals Import'!$AQ$1:$AQ$600,1),"")</f>
        <v/>
      </c>
      <c r="G7" s="31" t="n">
        <f aca="false">Summary!B12</f>
        <v>445000</v>
      </c>
      <c r="H7" s="31" t="n">
        <f aca="false">Summary!C12</f>
        <v>394005.03102</v>
      </c>
      <c r="I7" s="31" t="n">
        <f aca="false">Summary!D12</f>
        <v>344005.03102</v>
      </c>
      <c r="J7" s="31" t="n">
        <f aca="false">Summary!E12</f>
        <v>344005.03102</v>
      </c>
      <c r="K7" s="31" t="n">
        <f aca="false">Summary!F12</f>
        <v>344005.03102</v>
      </c>
      <c r="L7" s="8" t="str">
        <f aca="false">IF(OR($B$3&lt;2,$F$3=$D$3),"",IFERROR(IF(INDEX($B7:$F7,MATCH($D$3,$B$4:$F$4,0))*INDEX($B7:$F7,MATCH($F$3,$B$4:$F$4,0))&gt;0,(INDEX($B7:$F7,MATCH($F$3,$B$4:$F$4,0))/INDEX($B7:$F7,MATCH($D$3,$B$4:$F$4,0)))^(1/($F$3-$D$3))-1,""),""))</f>
        <v/>
      </c>
      <c r="M7" s="8" t="str">
        <f aca="false">IF($B$3=0,"",IF(INDEX($B7:$F7,MATCH($F$3,$B$4:$F$4,0))=0,"",$G7/INDEX($B7:$F7,MATCH($F$3,$B$4:$F$4,0))-1))</f>
        <v/>
      </c>
    </row>
    <row r="8" customFormat="false" ht="15" hidden="false" customHeight="false" outlineLevel="0" collapsed="false">
      <c r="A8" s="6" t="s">
        <v>10</v>
      </c>
      <c r="B8" s="11" t="str">
        <f aca="false">IF(ISNUMBER(B$4),SUMIFS('Actuals Import'!$B$1:$B$600,'Actuals Import'!$F$1:$F$600,$A8,'Actuals Import'!$G$1:$G$600,1),"")</f>
        <v/>
      </c>
      <c r="C8" s="11" t="str">
        <f aca="false">IF(ISNUMBER(C$4),SUMIFS('Actuals Import'!$K$1:$K$600,'Actuals Import'!$O$1:$O$600,$A8,'Actuals Import'!$P$1:$P$600,1),"")</f>
        <v/>
      </c>
      <c r="D8" s="11" t="str">
        <f aca="false">IF(ISNUMBER(D$4),SUMIFS('Actuals Import'!$T$1:$T$600,'Actuals Import'!$X$1:$X$600,$A8,'Actuals Import'!$Y$1:$Y$600,1),"")</f>
        <v/>
      </c>
      <c r="E8" s="11" t="str">
        <f aca="false">IF(ISNUMBER(E$4),SUMIFS('Actuals Import'!$AC$1:$AC$600,'Actuals Import'!$AG$1:$AG$600,$A8,'Actuals Import'!$AH$1:$AH$600,1),"")</f>
        <v/>
      </c>
      <c r="F8" s="11" t="str">
        <f aca="false">IF(ISNUMBER(F$4),SUMIFS('Actuals Import'!$AL$1:$AL$600,'Actuals Import'!$AP$1:$AP$600,$A8,'Actuals Import'!$AQ$1:$AQ$600,1),"")</f>
        <v/>
      </c>
      <c r="G8" s="31" t="n">
        <f aca="false">Summary!B13</f>
        <v>60000</v>
      </c>
      <c r="H8" s="31" t="n">
        <f aca="false">Summary!C13</f>
        <v>60000</v>
      </c>
      <c r="I8" s="31" t="n">
        <f aca="false">Summary!D13</f>
        <v>60000</v>
      </c>
      <c r="J8" s="31" t="n">
        <f aca="false">Summary!E13</f>
        <v>60000</v>
      </c>
      <c r="K8" s="31" t="n">
        <f aca="false">Summary!F13</f>
        <v>60000</v>
      </c>
      <c r="L8" s="8" t="str">
        <f aca="false">IF(OR($B$3&lt;2,$F$3=$D$3),"",IFERROR(IF(INDEX($B8:$F8,MATCH($D$3,$B$4:$F$4,0))*INDEX($B8:$F8,MATCH($F$3,$B$4:$F$4,0))&gt;0,(INDEX($B8:$F8,MATCH($F$3,$B$4:$F$4,0))/INDEX($B8:$F8,MATCH($D$3,$B$4:$F$4,0)))^(1/($F$3-$D$3))-1,""),""))</f>
        <v/>
      </c>
      <c r="M8" s="8" t="str">
        <f aca="false">IF($B$3=0,"",IF(INDEX($B8:$F8,MATCH($F$3,$B$4:$F$4,0))=0,"",$G8/INDEX($B8:$F8,MATCH($F$3,$B$4:$F$4,0))-1))</f>
        <v/>
      </c>
    </row>
    <row r="9" customFormat="false" ht="15" hidden="false" customHeight="false" outlineLevel="0" collapsed="false">
      <c r="A9" s="6" t="s">
        <v>11</v>
      </c>
      <c r="B9" s="11" t="str">
        <f aca="false">IF(ISNUMBER(B$4),SUMIFS('Actuals Import'!$B$1:$B$600,'Actuals Import'!$F$1:$F$600,$A9,'Actuals Import'!$G$1:$G$600,1),"")</f>
        <v/>
      </c>
      <c r="C9" s="11" t="str">
        <f aca="false">IF(ISNUMBER(C$4),SUMIFS('Actuals Import'!$K$1:$K$600,'Actuals Import'!$O$1:$O$600,$A9,'Actuals Import'!$P$1:$P$600,1),"")</f>
        <v/>
      </c>
      <c r="D9" s="11" t="str">
        <f aca="false">IF(ISNUMBER(D$4),SUMIFS('Actuals Import'!$T$1:$T$600,'Actuals Import'!$X$1:$X$600,$A9,'Actuals Import'!$Y$1:$Y$600,1),"")</f>
        <v/>
      </c>
      <c r="E9" s="11" t="str">
        <f aca="false">IF(ISNUMBER(E$4),SUMIFS('Actuals Import'!$AC$1:$AC$600,'Actuals Import'!$AG$1:$AG$600,$A9,'Actuals Import'!$AH$1:$AH$600,1),"")</f>
        <v/>
      </c>
      <c r="F9" s="11" t="str">
        <f aca="false">IF(ISNUMBER(F$4),SUMIFS('Actuals Import'!$AL$1:$AL$600,'Actuals Import'!$AP$1:$AP$600,$A9,'Actuals Import'!$AQ$1:$AQ$600,1),"")</f>
        <v/>
      </c>
      <c r="G9" s="31" t="n">
        <f aca="false">Summary!B14</f>
        <v>0</v>
      </c>
      <c r="H9" s="31" t="n">
        <f aca="false">Summary!C14</f>
        <v>0</v>
      </c>
      <c r="I9" s="31" t="n">
        <f aca="false">Summary!D14</f>
        <v>0</v>
      </c>
      <c r="J9" s="31" t="n">
        <f aca="false">Summary!E14</f>
        <v>0</v>
      </c>
      <c r="K9" s="31" t="n">
        <f aca="false">Summary!F14</f>
        <v>0</v>
      </c>
      <c r="L9" s="8" t="str">
        <f aca="false">IF(OR($B$3&lt;2,$F$3=$D$3),"",IFERROR(IF(INDEX($B9:$F9,MATCH($D$3,$B$4:$F$4,0))*INDEX($B9:$F9,MATCH($F$3,$B$4:$F$4,0))&gt;0,(INDEX($B9:$F9,MATCH($F$3,$B$4:$F$4,0))/INDEX($B9:$F9,MATCH($D$3,$B$4:$F$4,0)))^(1/($F$3-$D$3))-1,""),""))</f>
        <v/>
      </c>
      <c r="M9" s="8" t="str">
        <f aca="false">IF($B$3=0,"",IF(INDEX($B9:$F9,MATCH($F$3,$B$4:$F$4,0))=0,"",$G9/INDEX($B9:$F9,MATCH($F$3,$B$4:$F$4,0))-1))</f>
        <v/>
      </c>
    </row>
    <row r="10" customFormat="false" ht="15" hidden="false" customHeight="false" outlineLevel="0" collapsed="false">
      <c r="A10" s="12" t="s">
        <v>12</v>
      </c>
      <c r="B10" s="13" t="str">
        <f aca="false">IF(ISNUMBER(B$4),SUM(B6:B9),"")</f>
        <v/>
      </c>
      <c r="C10" s="13" t="str">
        <f aca="false">IF(ISNUMBER(C$4),SUM(C6:C9),"")</f>
        <v/>
      </c>
      <c r="D10" s="13" t="str">
        <f aca="false">IF(ISNUMBER(D$4),SUM(D6:D9),"")</f>
        <v/>
      </c>
      <c r="E10" s="13" t="str">
        <f aca="false">IF(ISNUMBER(E$4),SUM(E6:E9),"")</f>
        <v/>
      </c>
      <c r="F10" s="13" t="str">
        <f aca="false">IF(ISNUMBER(F$4),SUM(F6:F9),"")</f>
        <v/>
      </c>
      <c r="G10" s="13" t="n">
        <f aca="false">Summary!B15</f>
        <v>9304382</v>
      </c>
      <c r="H10" s="13" t="n">
        <f aca="false">Summary!C15</f>
        <v>9754923.46920146</v>
      </c>
      <c r="I10" s="13" t="n">
        <f aca="false">Summary!D15</f>
        <v>10033551.3081712</v>
      </c>
      <c r="J10" s="13" t="n">
        <f aca="false">Summary!E15</f>
        <v>10345474.6561197</v>
      </c>
      <c r="K10" s="13" t="n">
        <f aca="false">Summary!F15</f>
        <v>10650942.1349701</v>
      </c>
      <c r="L10" s="8" t="str">
        <f aca="false">IF(OR($B$3&lt;2,$F$3=$D$3),"",IFERROR(IF(INDEX($B10:$F10,MATCH($D$3,$B$4:$F$4,0))*INDEX($B10:$F10,MATCH($F$3,$B$4:$F$4,0))&gt;0,(INDEX($B10:$F10,MATCH($F$3,$B$4:$F$4,0))/INDEX($B10:$F10,MATCH($D$3,$B$4:$F$4,0)))^(1/($F$3-$D$3))-1,""),""))</f>
        <v/>
      </c>
      <c r="M10" s="8" t="str">
        <f aca="false">IF($B$3=0,"",IF(INDEX($B10:$F10,MATCH($F$3,$B$4:$F$4,0))=0,"",$G10/INDEX($B10:$F10,MATCH($F$3,$B$4:$F$4,0))-1))</f>
        <v/>
      </c>
    </row>
    <row r="11" customFormat="false" ht="15" hidden="false" customHeight="false" outlineLevel="0" collapsed="false">
      <c r="A11" s="6" t="s">
        <v>14</v>
      </c>
      <c r="B11" s="11" t="str">
        <f aca="false">IF(ISNUMBER(B$4),SUMIFS('Actuals Import'!$B$1:$B$600,'Actuals Import'!$F$1:$F$600,$A11,'Actuals Import'!$G$1:$G$600,1),"")</f>
        <v/>
      </c>
      <c r="C11" s="11" t="str">
        <f aca="false">IF(ISNUMBER(C$4),SUMIFS('Actuals Import'!$K$1:$K$600,'Actuals Import'!$O$1:$O$600,$A11,'Actuals Import'!$P$1:$P$600,1),"")</f>
        <v/>
      </c>
      <c r="D11" s="11" t="str">
        <f aca="false">IF(ISNUMBER(D$4),SUMIFS('Actuals Import'!$T$1:$T$600,'Actuals Import'!$X$1:$X$600,$A11,'Actuals Import'!$Y$1:$Y$600,1),"")</f>
        <v/>
      </c>
      <c r="E11" s="11" t="str">
        <f aca="false">IF(ISNUMBER(E$4),SUMIFS('Actuals Import'!$AC$1:$AC$600,'Actuals Import'!$AG$1:$AG$600,$A11,'Actuals Import'!$AH$1:$AH$600,1),"")</f>
        <v/>
      </c>
      <c r="F11" s="11" t="str">
        <f aca="false">IF(ISNUMBER(F$4),SUMIFS('Actuals Import'!$AL$1:$AL$600,'Actuals Import'!$AP$1:$AP$600,$A11,'Actuals Import'!$AQ$1:$AQ$600,1),"")</f>
        <v/>
      </c>
      <c r="G11" s="31" t="n">
        <f aca="false">Summary!B18</f>
        <v>6253109</v>
      </c>
      <c r="H11" s="31" t="n">
        <f aca="false">Summary!C18</f>
        <v>6455524.83884263</v>
      </c>
      <c r="I11" s="31" t="n">
        <f aca="false">Summary!D18</f>
        <v>6653066.151931</v>
      </c>
      <c r="J11" s="31" t="n">
        <f aca="false">Summary!E18</f>
        <v>6854595.47992527</v>
      </c>
      <c r="K11" s="31" t="n">
        <f aca="false">Summary!F18</f>
        <v>7061481.90590804</v>
      </c>
      <c r="L11" s="8" t="str">
        <f aca="false">IF(OR($B$3&lt;2,$F$3=$D$3),"",IFERROR(IF(INDEX($B11:$F11,MATCH($D$3,$B$4:$F$4,0))*INDEX($B11:$F11,MATCH($F$3,$B$4:$F$4,0))&gt;0,(INDEX($B11:$F11,MATCH($F$3,$B$4:$F$4,0))/INDEX($B11:$F11,MATCH($D$3,$B$4:$F$4,0)))^(1/($F$3-$D$3))-1,""),""))</f>
        <v/>
      </c>
      <c r="M11" s="8" t="str">
        <f aca="false">IF($B$3=0,"",IF(INDEX($B11:$F11,MATCH($F$3,$B$4:$F$4,0))=0,"",$G11/INDEX($B11:$F11,MATCH($F$3,$B$4:$F$4,0))-1))</f>
        <v/>
      </c>
    </row>
    <row r="12" customFormat="false" ht="15" hidden="false" customHeight="false" outlineLevel="0" collapsed="false">
      <c r="A12" s="6" t="s">
        <v>15</v>
      </c>
      <c r="B12" s="11" t="str">
        <f aca="false">IF(ISNUMBER(B$4),SUMIFS('Actuals Import'!$B$1:$B$600,'Actuals Import'!$F$1:$F$600,$A12,'Actuals Import'!$G$1:$G$600,1),"")</f>
        <v/>
      </c>
      <c r="C12" s="11" t="str">
        <f aca="false">IF(ISNUMBER(C$4),SUMIFS('Actuals Import'!$K$1:$K$600,'Actuals Import'!$O$1:$O$600,$A12,'Actuals Import'!$P$1:$P$600,1),"")</f>
        <v/>
      </c>
      <c r="D12" s="11" t="str">
        <f aca="false">IF(ISNUMBER(D$4),SUMIFS('Actuals Import'!$T$1:$T$600,'Actuals Import'!$X$1:$X$600,$A12,'Actuals Import'!$Y$1:$Y$600,1),"")</f>
        <v/>
      </c>
      <c r="E12" s="11" t="str">
        <f aca="false">IF(ISNUMBER(E$4),SUMIFS('Actuals Import'!$AC$1:$AC$600,'Actuals Import'!$AG$1:$AG$600,$A12,'Actuals Import'!$AH$1:$AH$600,1),"")</f>
        <v/>
      </c>
      <c r="F12" s="11" t="str">
        <f aca="false">IF(ISNUMBER(F$4),SUMIFS('Actuals Import'!$AL$1:$AL$600,'Actuals Import'!$AP$1:$AP$600,$A12,'Actuals Import'!$AQ$1:$AQ$600,1),"")</f>
        <v/>
      </c>
      <c r="G12" s="31" t="n">
        <f aca="false">Summary!B19</f>
        <v>252750</v>
      </c>
      <c r="H12" s="31" t="n">
        <f aca="false">Summary!C19</f>
        <v>260332.5</v>
      </c>
      <c r="I12" s="31" t="n">
        <f aca="false">Summary!D19</f>
        <v>268142.475</v>
      </c>
      <c r="J12" s="31" t="n">
        <f aca="false">Summary!E19</f>
        <v>276186.74925</v>
      </c>
      <c r="K12" s="31" t="n">
        <f aca="false">Summary!F19</f>
        <v>284472.3517275</v>
      </c>
      <c r="L12" s="8" t="str">
        <f aca="false">IF(OR($B$3&lt;2,$F$3=$D$3),"",IFERROR(IF(INDEX($B12:$F12,MATCH($D$3,$B$4:$F$4,0))*INDEX($B12:$F12,MATCH($F$3,$B$4:$F$4,0))&gt;0,(INDEX($B12:$F12,MATCH($F$3,$B$4:$F$4,0))/INDEX($B12:$F12,MATCH($D$3,$B$4:$F$4,0)))^(1/($F$3-$D$3))-1,""),""))</f>
        <v/>
      </c>
      <c r="M12" s="8" t="str">
        <f aca="false">IF($B$3=0,"",IF(INDEX($B12:$F12,MATCH($F$3,$B$4:$F$4,0))=0,"",$G12/INDEX($B12:$F12,MATCH($F$3,$B$4:$F$4,0))-1))</f>
        <v/>
      </c>
    </row>
    <row r="13" customFormat="false" ht="15" hidden="false" customHeight="false" outlineLevel="0" collapsed="false">
      <c r="A13" s="6" t="s">
        <v>16</v>
      </c>
      <c r="B13" s="11" t="str">
        <f aca="false">IF(ISNUMBER(B$4),SUMIFS('Actuals Import'!$B$1:$B$600,'Actuals Import'!$F$1:$F$600,$A13,'Actuals Import'!$G$1:$G$600,1),"")</f>
        <v/>
      </c>
      <c r="C13" s="11" t="str">
        <f aca="false">IF(ISNUMBER(C$4),SUMIFS('Actuals Import'!$K$1:$K$600,'Actuals Import'!$O$1:$O$600,$A13,'Actuals Import'!$P$1:$P$600,1),"")</f>
        <v/>
      </c>
      <c r="D13" s="11" t="str">
        <f aca="false">IF(ISNUMBER(D$4),SUMIFS('Actuals Import'!$T$1:$T$600,'Actuals Import'!$X$1:$X$600,$A13,'Actuals Import'!$Y$1:$Y$600,1),"")</f>
        <v/>
      </c>
      <c r="E13" s="11" t="str">
        <f aca="false">IF(ISNUMBER(E$4),SUMIFS('Actuals Import'!$AC$1:$AC$600,'Actuals Import'!$AG$1:$AG$600,$A13,'Actuals Import'!$AH$1:$AH$600,1),"")</f>
        <v/>
      </c>
      <c r="F13" s="11" t="str">
        <f aca="false">IF(ISNUMBER(F$4),SUMIFS('Actuals Import'!$AL$1:$AL$600,'Actuals Import'!$AP$1:$AP$600,$A13,'Actuals Import'!$AQ$1:$AQ$600,1),"")</f>
        <v/>
      </c>
      <c r="G13" s="31" t="n">
        <f aca="false">Summary!B20</f>
        <v>1847250</v>
      </c>
      <c r="H13" s="31" t="n">
        <f aca="false">Summary!C20</f>
        <v>1914294.81958763</v>
      </c>
      <c r="I13" s="31" t="n">
        <f aca="false">Summary!D20</f>
        <v>1967731.61778351</v>
      </c>
      <c r="J13" s="31" t="n">
        <f aca="false">Summary!E20</f>
        <v>2019910.5533445</v>
      </c>
      <c r="K13" s="31" t="n">
        <f aca="false">Summary!F20</f>
        <v>2074860.98725549</v>
      </c>
      <c r="L13" s="8" t="str">
        <f aca="false">IF(OR($B$3&lt;2,$F$3=$D$3),"",IFERROR(IF(INDEX($B13:$F13,MATCH($D$3,$B$4:$F$4,0))*INDEX($B13:$F13,MATCH($F$3,$B$4:$F$4,0))&gt;0,(INDEX($B13:$F13,MATCH($F$3,$B$4:$F$4,0))/INDEX($B13:$F13,MATCH($D$3,$B$4:$F$4,0)))^(1/($F$3-$D$3))-1,""),""))</f>
        <v/>
      </c>
      <c r="M13" s="8" t="str">
        <f aca="false">IF($B$3=0,"",IF(INDEX($B13:$F13,MATCH($F$3,$B$4:$F$4,0))=0,"",$G13/INDEX($B13:$F13,MATCH($F$3,$B$4:$F$4,0))-1))</f>
        <v/>
      </c>
    </row>
    <row r="14" customFormat="false" ht="15" hidden="false" customHeight="false" outlineLevel="0" collapsed="false">
      <c r="A14" s="6" t="s">
        <v>17</v>
      </c>
      <c r="B14" s="11" t="str">
        <f aca="false">IF(ISNUMBER(B$4),SUMIFS('Actuals Import'!$B$1:$B$600,'Actuals Import'!$F$1:$F$600,$A14,'Actuals Import'!$G$1:$G$600,1),"")</f>
        <v/>
      </c>
      <c r="C14" s="11" t="str">
        <f aca="false">IF(ISNUMBER(C$4),SUMIFS('Actuals Import'!$K$1:$K$600,'Actuals Import'!$O$1:$O$600,$A14,'Actuals Import'!$P$1:$P$600,1),"")</f>
        <v/>
      </c>
      <c r="D14" s="11" t="str">
        <f aca="false">IF(ISNUMBER(D$4),SUMIFS('Actuals Import'!$T$1:$T$600,'Actuals Import'!$X$1:$X$600,$A14,'Actuals Import'!$Y$1:$Y$600,1),"")</f>
        <v/>
      </c>
      <c r="E14" s="11" t="str">
        <f aca="false">IF(ISNUMBER(E$4),SUMIFS('Actuals Import'!$AC$1:$AC$600,'Actuals Import'!$AG$1:$AG$600,$A14,'Actuals Import'!$AH$1:$AH$600,1),"")</f>
        <v/>
      </c>
      <c r="F14" s="11" t="str">
        <f aca="false">IF(ISNUMBER(F$4),SUMIFS('Actuals Import'!$AL$1:$AL$600,'Actuals Import'!$AP$1:$AP$600,$A14,'Actuals Import'!$AQ$1:$AQ$600,1),"")</f>
        <v/>
      </c>
      <c r="G14" s="31" t="n">
        <f aca="false">Summary!B21</f>
        <v>778368</v>
      </c>
      <c r="H14" s="31" t="n">
        <f aca="false">Summary!C21</f>
        <v>795138.742268041</v>
      </c>
      <c r="I14" s="31" t="n">
        <f aca="false">Summary!D21</f>
        <v>810947.374845361</v>
      </c>
      <c r="J14" s="31" t="n">
        <f aca="false">Summary!E21</f>
        <v>703223.515540894</v>
      </c>
      <c r="K14" s="31" t="n">
        <f aca="false">Summary!F21</f>
        <v>658007.96196932</v>
      </c>
      <c r="L14" s="8" t="str">
        <f aca="false">IF(OR($B$3&lt;2,$F$3=$D$3),"",IFERROR(IF(INDEX($B14:$F14,MATCH($D$3,$B$4:$F$4,0))*INDEX($B14:$F14,MATCH($F$3,$B$4:$F$4,0))&gt;0,(INDEX($B14:$F14,MATCH($F$3,$B$4:$F$4,0))/INDEX($B14:$F14,MATCH($D$3,$B$4:$F$4,0)))^(1/($F$3-$D$3))-1,""),""))</f>
        <v/>
      </c>
      <c r="M14" s="8" t="str">
        <f aca="false">IF($B$3=0,"",IF(INDEX($B14:$F14,MATCH($F$3,$B$4:$F$4,0))=0,"",$G14/INDEX($B14:$F14,MATCH($F$3,$B$4:$F$4,0))-1))</f>
        <v/>
      </c>
    </row>
    <row r="15" customFormat="false" ht="15" hidden="false" customHeight="false" outlineLevel="0" collapsed="false">
      <c r="A15" s="6" t="s">
        <v>18</v>
      </c>
      <c r="B15" s="11" t="str">
        <f aca="false">IF(ISNUMBER(B$4),SUMIFS('Actuals Import'!$B$1:$B$600,'Actuals Import'!$F$1:$F$600,$A15,'Actuals Import'!$G$1:$G$600,1),"")</f>
        <v/>
      </c>
      <c r="C15" s="11" t="str">
        <f aca="false">IF(ISNUMBER(C$4),SUMIFS('Actuals Import'!$K$1:$K$600,'Actuals Import'!$O$1:$O$600,$A15,'Actuals Import'!$P$1:$P$600,1),"")</f>
        <v/>
      </c>
      <c r="D15" s="11" t="str">
        <f aca="false">IF(ISNUMBER(D$4),SUMIFS('Actuals Import'!$T$1:$T$600,'Actuals Import'!$X$1:$X$600,$A15,'Actuals Import'!$Y$1:$Y$600,1),"")</f>
        <v/>
      </c>
      <c r="E15" s="11" t="str">
        <f aca="false">IF(ISNUMBER(E$4),SUMIFS('Actuals Import'!$AC$1:$AC$600,'Actuals Import'!$AG$1:$AG$600,$A15,'Actuals Import'!$AH$1:$AH$600,1),"")</f>
        <v/>
      </c>
      <c r="F15" s="11" t="str">
        <f aca="false">IF(ISNUMBER(F$4),SUMIFS('Actuals Import'!$AL$1:$AL$600,'Actuals Import'!$AP$1:$AP$600,$A15,'Actuals Import'!$AQ$1:$AQ$600,1),"")</f>
        <v/>
      </c>
      <c r="G15" s="31" t="n">
        <f aca="false">Summary!B22</f>
        <v>171263</v>
      </c>
      <c r="H15" s="31" t="n">
        <f aca="false">Summary!C22</f>
        <v>176400.89</v>
      </c>
      <c r="I15" s="31" t="n">
        <f aca="false">Summary!D22</f>
        <v>181692.9167</v>
      </c>
      <c r="J15" s="31" t="n">
        <f aca="false">Summary!E22</f>
        <v>187143.704201</v>
      </c>
      <c r="K15" s="31" t="n">
        <f aca="false">Summary!F22</f>
        <v>192758.01532703</v>
      </c>
      <c r="L15" s="8" t="str">
        <f aca="false">IF(OR($B$3&lt;2,$F$3=$D$3),"",IFERROR(IF(INDEX($B15:$F15,MATCH($D$3,$B$4:$F$4,0))*INDEX($B15:$F15,MATCH($F$3,$B$4:$F$4,0))&gt;0,(INDEX($B15:$F15,MATCH($F$3,$B$4:$F$4,0))/INDEX($B15:$F15,MATCH($D$3,$B$4:$F$4,0)))^(1/($F$3-$D$3))-1,""),""))</f>
        <v/>
      </c>
      <c r="M15" s="8" t="str">
        <f aca="false">IF($B$3=0,"",IF(INDEX($B15:$F15,MATCH($F$3,$B$4:$F$4,0))=0,"",$G15/INDEX($B15:$F15,MATCH($F$3,$B$4:$F$4,0))-1))</f>
        <v/>
      </c>
    </row>
    <row r="16" customFormat="false" ht="15" hidden="false" customHeight="false" outlineLevel="0" collapsed="false">
      <c r="A16" s="6" t="s">
        <v>557</v>
      </c>
      <c r="G16" s="31" t="n">
        <f aca="false">Summary!B23</f>
        <v>0</v>
      </c>
      <c r="H16" s="31" t="n">
        <f aca="false">Summary!C23</f>
        <v>50000</v>
      </c>
      <c r="I16" s="31" t="n">
        <f aca="false">Summary!D23</f>
        <v>100000</v>
      </c>
      <c r="J16" s="31" t="n">
        <f aca="false">Summary!E23</f>
        <v>150000</v>
      </c>
      <c r="K16" s="31" t="n">
        <f aca="false">Summary!F23</f>
        <v>200000</v>
      </c>
    </row>
    <row r="17" customFormat="false" ht="15" hidden="false" customHeight="false" outlineLevel="0" collapsed="false">
      <c r="A17" s="12" t="s">
        <v>20</v>
      </c>
      <c r="B17" s="13" t="str">
        <f aca="false">IF(ISNUMBER(B$4),SUM(B11:B15),"")</f>
        <v/>
      </c>
      <c r="C17" s="13" t="str">
        <f aca="false">IF(ISNUMBER(C$4),SUM(C11:C15),"")</f>
        <v/>
      </c>
      <c r="D17" s="13" t="str">
        <f aca="false">IF(ISNUMBER(D$4),SUM(D11:D15),"")</f>
        <v/>
      </c>
      <c r="E17" s="13" t="str">
        <f aca="false">IF(ISNUMBER(E$4),SUM(E11:E15),"")</f>
        <v/>
      </c>
      <c r="F17" s="13" t="str">
        <f aca="false">IF(ISNUMBER(F$4),SUM(F11:F15),"")</f>
        <v/>
      </c>
      <c r="G17" s="13" t="n">
        <f aca="false">Summary!B24</f>
        <v>9302740</v>
      </c>
      <c r="H17" s="13" t="n">
        <f aca="false">Summary!C24</f>
        <v>9651691.7906983</v>
      </c>
      <c r="I17" s="13" t="n">
        <f aca="false">Summary!D24</f>
        <v>9981580.53625986</v>
      </c>
      <c r="J17" s="13" t="n">
        <f aca="false">Summary!E24</f>
        <v>10191060.0022617</v>
      </c>
      <c r="K17" s="13" t="n">
        <f aca="false">Summary!F24</f>
        <v>10471581.2221874</v>
      </c>
      <c r="L17" s="8" t="str">
        <f aca="false">IF(OR($B$3&lt;2,$F$3=$D$3),"",IFERROR(IF(INDEX($B17:$F17,MATCH($D$3,$B$4:$F$4,0))*INDEX($B17:$F17,MATCH($F$3,$B$4:$F$4,0))&gt;0,(INDEX($B17:$F17,MATCH($F$3,$B$4:$F$4,0))/INDEX($B17:$F17,MATCH($D$3,$B$4:$F$4,0)))^(1/($F$3-$D$3))-1,""),""))</f>
        <v/>
      </c>
      <c r="M17" s="8" t="str">
        <f aca="false">IF($B$3=0,"",IF(INDEX($B17:$F17,MATCH($F$3,$B$4:$F$4,0))=0,"",$G17/INDEX($B17:$F17,MATCH($F$3,$B$4:$F$4,0))-1))</f>
        <v/>
      </c>
    </row>
    <row r="18" customFormat="false" ht="15" hidden="false" customHeight="false" outlineLevel="0" collapsed="false">
      <c r="A18" s="12" t="s">
        <v>21</v>
      </c>
      <c r="B18" s="14" t="str">
        <f aca="false">IF(ISNUMBER(B$4),B10-B17,"")</f>
        <v/>
      </c>
      <c r="C18" s="14" t="str">
        <f aca="false">IF(ISNUMBER(C$4),C10-C17,"")</f>
        <v/>
      </c>
      <c r="D18" s="14" t="str">
        <f aca="false">IF(ISNUMBER(D$4),D10-D17,"")</f>
        <v/>
      </c>
      <c r="E18" s="14" t="str">
        <f aca="false">IF(ISNUMBER(E$4),E10-E17,"")</f>
        <v/>
      </c>
      <c r="F18" s="14" t="str">
        <f aca="false">IF(ISNUMBER(F$4),F10-F17,"")</f>
        <v/>
      </c>
      <c r="G18" s="14" t="n">
        <f aca="false">Summary!B26</f>
        <v>1642</v>
      </c>
      <c r="H18" s="14" t="n">
        <f aca="false">Summary!C26</f>
        <v>103231.678503159</v>
      </c>
      <c r="I18" s="14" t="n">
        <f aca="false">Summary!D26</f>
        <v>51970.7719113343</v>
      </c>
      <c r="J18" s="14" t="n">
        <f aca="false">Summary!E26</f>
        <v>154414.653858073</v>
      </c>
      <c r="K18" s="14" t="n">
        <f aca="false">Summary!F26</f>
        <v>179360.91278276</v>
      </c>
    </row>
    <row r="19" customFormat="false" ht="15" hidden="false" customHeight="false" outlineLevel="0" collapsed="false">
      <c r="A19" s="3" t="s">
        <v>558</v>
      </c>
    </row>
    <row r="41" customFormat="false" ht="15" hidden="false" customHeight="false" outlineLevel="0" collapsed="false">
      <c r="A41" s="34" t="s">
        <v>559</v>
      </c>
      <c r="B41" s="34" t="str">
        <f aca="false">B5</f>
        <v>(unused)</v>
      </c>
      <c r="C41" s="34" t="str">
        <f aca="false">C5</f>
        <v>(unused)</v>
      </c>
      <c r="D41" s="34" t="str">
        <f aca="false">D5</f>
        <v>(unused)</v>
      </c>
      <c r="E41" s="34" t="str">
        <f aca="false">E5</f>
        <v>(unused)</v>
      </c>
      <c r="F41" s="34" t="str">
        <f aca="false">F5</f>
        <v>(unused)</v>
      </c>
      <c r="G41" s="34" t="str">
        <f aca="false">G5</f>
        <v>FY27 Budget</v>
      </c>
      <c r="H41" s="34" t="str">
        <f aca="false">H5</f>
        <v>FY28 Fcst</v>
      </c>
      <c r="I41" s="34" t="str">
        <f aca="false">I5</f>
        <v>FY29 Fcst</v>
      </c>
      <c r="J41" s="34" t="str">
        <f aca="false">J5</f>
        <v>FY30 Fcst</v>
      </c>
      <c r="K41" s="34" t="str">
        <f aca="false">K5</f>
        <v>FY31 Fcst</v>
      </c>
    </row>
    <row r="42" customFormat="false" ht="15" hidden="false" customHeight="false" outlineLevel="0" collapsed="false">
      <c r="A42" s="34" t="s">
        <v>12</v>
      </c>
      <c r="B42" s="35" t="e">
        <f aca="false">IF(ISNUMBER(B10),B10,NA())</f>
        <v>#N/A</v>
      </c>
      <c r="C42" s="35" t="e">
        <f aca="false">IF(ISNUMBER(C10),C10,NA())</f>
        <v>#N/A</v>
      </c>
      <c r="D42" s="35" t="e">
        <f aca="false">IF(ISNUMBER(D10),D10,NA())</f>
        <v>#N/A</v>
      </c>
      <c r="E42" s="35" t="e">
        <f aca="false">IF(ISNUMBER(E10),E10,NA())</f>
        <v>#N/A</v>
      </c>
      <c r="F42" s="35" t="e">
        <f aca="false">IF(ISNUMBER(F10),F10,NA())</f>
        <v>#N/A</v>
      </c>
      <c r="G42" s="35" t="n">
        <f aca="false">IF(ISNUMBER(G10),G10,NA())</f>
        <v>9304382</v>
      </c>
      <c r="H42" s="35" t="n">
        <f aca="false">IF(ISNUMBER(H10),H10,NA())</f>
        <v>9754923.46920146</v>
      </c>
      <c r="I42" s="35" t="n">
        <f aca="false">IF(ISNUMBER(I10),I10,NA())</f>
        <v>10033551.3081712</v>
      </c>
      <c r="J42" s="35" t="n">
        <f aca="false">IF(ISNUMBER(J10),J10,NA())</f>
        <v>10345474.6561197</v>
      </c>
      <c r="K42" s="35" t="n">
        <f aca="false">IF(ISNUMBER(K10),K10,NA())</f>
        <v>10650942.1349701</v>
      </c>
    </row>
    <row r="43" customFormat="false" ht="15" hidden="false" customHeight="false" outlineLevel="0" collapsed="false">
      <c r="A43" s="34" t="s">
        <v>20</v>
      </c>
      <c r="B43" s="35" t="e">
        <f aca="false">IF(ISNUMBER(B17),B17,NA())</f>
        <v>#N/A</v>
      </c>
      <c r="C43" s="35" t="e">
        <f aca="false">IF(ISNUMBER(C17),C17,NA())</f>
        <v>#N/A</v>
      </c>
      <c r="D43" s="35" t="e">
        <f aca="false">IF(ISNUMBER(D17),D17,NA())</f>
        <v>#N/A</v>
      </c>
      <c r="E43" s="35" t="e">
        <f aca="false">IF(ISNUMBER(E17),E17,NA())</f>
        <v>#N/A</v>
      </c>
      <c r="F43" s="35" t="e">
        <f aca="false">IF(ISNUMBER(F17),F17,NA())</f>
        <v>#N/A</v>
      </c>
      <c r="G43" s="35" t="n">
        <f aca="false">IF(ISNUMBER(G17),G17,NA())</f>
        <v>9302740</v>
      </c>
      <c r="H43" s="35" t="n">
        <f aca="false">IF(ISNUMBER(H17),H17,NA())</f>
        <v>9651691.7906983</v>
      </c>
      <c r="I43" s="35" t="n">
        <f aca="false">IF(ISNUMBER(I17),I17,NA())</f>
        <v>9981580.53625986</v>
      </c>
      <c r="J43" s="35" t="n">
        <f aca="false">IF(ISNUMBER(J17),J17,NA())</f>
        <v>10191060.0022617</v>
      </c>
      <c r="K43" s="35" t="n">
        <f aca="false">IF(ISNUMBER(K17),K17,NA())</f>
        <v>10471581.2221874</v>
      </c>
    </row>
    <row r="45" customFormat="false" ht="15" hidden="false" customHeight="false" outlineLevel="0" collapsed="false">
      <c r="A45" s="12" t="s">
        <v>560</v>
      </c>
    </row>
    <row r="46" customFormat="false" ht="30" hidden="false" customHeight="true" outlineLevel="0" collapsed="false">
      <c r="A46" s="4" t="s">
        <v>188</v>
      </c>
      <c r="B46" s="5" t="s">
        <v>66</v>
      </c>
      <c r="C46" s="5" t="s">
        <v>187</v>
      </c>
      <c r="D46" s="5" t="s">
        <v>554</v>
      </c>
      <c r="E46" s="5" t="str">
        <f aca="false">B$5</f>
        <v>(unused)</v>
      </c>
      <c r="F46" s="5" t="str">
        <f aca="false">C$5</f>
        <v>(unused)</v>
      </c>
      <c r="G46" s="5" t="str">
        <f aca="false">D$5</f>
        <v>(unused)</v>
      </c>
      <c r="H46" s="5" t="str">
        <f aca="false">E$5</f>
        <v>(unused)</v>
      </c>
      <c r="I46" s="5" t="str">
        <f aca="false">F$5</f>
        <v>(unused)</v>
      </c>
      <c r="J46" s="5" t="str">
        <f aca="false">Inputs!C$4&amp;" Budget"</f>
        <v>FY27 Budget</v>
      </c>
      <c r="K46" s="5" t="s">
        <v>561</v>
      </c>
      <c r="L46" s="5" t="s">
        <v>562</v>
      </c>
      <c r="M46" s="5" t="s">
        <v>563</v>
      </c>
      <c r="N46" s="5" t="s">
        <v>564</v>
      </c>
      <c r="O46" s="5" t="s">
        <v>565</v>
      </c>
      <c r="P46" s="5" t="s">
        <v>566</v>
      </c>
      <c r="Q46" s="5" t="str">
        <f aca="false">"Recommended "&amp;Inputs!D$4</f>
        <v>Recommended FY28</v>
      </c>
      <c r="R46" s="5" t="str">
        <f aca="false">"Model "&amp;Inputs!D$4</f>
        <v>Model FY28</v>
      </c>
      <c r="S46" s="5" t="s">
        <v>567</v>
      </c>
      <c r="T46" s="5" t="s">
        <v>568</v>
      </c>
    </row>
    <row r="47" customFormat="false" ht="15" hidden="false" customHeight="false" outlineLevel="0" collapsed="false">
      <c r="A47" s="36" t="str">
        <f aca="false">'Forecast Detail'!D8</f>
        <v>400186 Tuition Income</v>
      </c>
      <c r="B47" s="36" t="str">
        <f aca="false">'Forecast Detail'!A8</f>
        <v>Revenue</v>
      </c>
      <c r="C47" s="36" t="str">
        <f aca="false">'Forecast Detail'!C8</f>
        <v>400186</v>
      </c>
      <c r="D47" s="36" t="str">
        <f aca="false">'Forecast Detail'!B8</f>
        <v>1 Tuition and Fees</v>
      </c>
      <c r="E47" s="11" t="str">
        <f aca="false">IF(ISNUMBER(B$4),SUMIFS('Actuals Import'!$B$1:$B$600,'Actuals Import'!$H$1:$H$600,$C47,'Actuals Import'!$G$1:$G$600,1),"")</f>
        <v/>
      </c>
      <c r="F47" s="11" t="str">
        <f aca="false">IF(ISNUMBER(C$4),SUMIFS('Actuals Import'!$K$1:$K$600,'Actuals Import'!$Q$1:$Q$600,$C47,'Actuals Import'!$P$1:$P$600,1),"")</f>
        <v/>
      </c>
      <c r="G47" s="11" t="str">
        <f aca="false">IF(ISNUMBER(D$4),SUMIFS('Actuals Import'!$T$1:$T$600,'Actuals Import'!$Z$1:$Z$600,$C47,'Actuals Import'!$Y$1:$Y$600,1),"")</f>
        <v/>
      </c>
      <c r="H47" s="11" t="str">
        <f aca="false">IF(ISNUMBER(E$4),SUMIFS('Actuals Import'!$AC$1:$AC$600,'Actuals Import'!$AI$1:$AI$600,$C47,'Actuals Import'!$AH$1:$AH$600,1),"")</f>
        <v/>
      </c>
      <c r="I47" s="11" t="str">
        <f aca="false">IF(ISNUMBER(F$4),SUMIFS('Actuals Import'!$AL$1:$AL$600,'Actuals Import'!$AR$1:$AR$600,$C47,'Actuals Import'!$AQ$1:$AQ$600,1),"")</f>
        <v/>
      </c>
      <c r="J47" s="31" t="n">
        <f aca="false">'Forecast Detail'!G8</f>
        <v>7858980</v>
      </c>
      <c r="K47" s="11" t="str">
        <f aca="false">IF($B$3=0,"",INDEX($E47:$I47,MATCH($F$3,$B$4:$F$4,0)))</f>
        <v/>
      </c>
      <c r="L47" s="11" t="str">
        <f aca="false">IF($B$3=0,"",AVERAGE($E47:$I47))</f>
        <v/>
      </c>
      <c r="M47" s="11" t="str">
        <f aca="false">IF($B$3&lt;3,"",IFERROR(FORECAST($H$3,$E47:$I47,$B$4:$F$4),""))</f>
        <v/>
      </c>
      <c r="N47" s="11" t="str">
        <f aca="false">IF($B$3&lt;2,"",IFERROR(IF(INDEX($E47:$I47,MATCH($D$3,$B$4:$F$4,0))*K47&gt;0,K47*(K47/INDEX($E47:$I47,MATCH($D$3,$B$4:$F$4,0)))^(($H$3-$F$3)/($F$3-$D$3)),K47),K47))</f>
        <v/>
      </c>
      <c r="O47" s="20"/>
      <c r="P47" s="6" t="str">
        <f aca="false">IF(O47&lt;&gt;"",O47,Inputs!$C$90)</f>
        <v>Linear Trend</v>
      </c>
      <c r="Q47" s="37" t="str">
        <f aca="false">IF($B$3=0,"",IF(Inputs!$C$91&gt;0,ROUND(IF(ISNUMBER(IF(P47="Last Actual",K47,IF(P47="Average",L47,IF(P47="Linear Trend",M47,N47)))),IF(P47="Last Actual",K47,IF(P47="Average",L47,IF(P47="Linear Trend",M47,N47))),K47)/Inputs!$C$91,0)*Inputs!$C$91,IF(ISNUMBER(IF(P47="Last Actual",K47,IF(P47="Average",L47,IF(P47="Linear Trend",M47,N47)))),IF(P47="Last Actual",K47,IF(P47="Average",L47,IF(P47="Linear Trend",M47,N47))),K47)))</f>
        <v/>
      </c>
      <c r="R47" s="31" t="n">
        <f aca="false">'Forecast Detail'!H8</f>
        <v>8452157.15983095</v>
      </c>
      <c r="S47" s="8" t="str">
        <f aca="false">IF(Q47="","",IF(J47=0,"",Q47/J47-1))</f>
        <v/>
      </c>
      <c r="T47" s="38" t="str">
        <f aca="false">IF(S47="","",IF(ABS(S47)&gt;Inputs!$C$92,"REVIEW",""))</f>
        <v/>
      </c>
    </row>
    <row r="48" customFormat="false" ht="15" hidden="false" customHeight="false" outlineLevel="0" collapsed="false">
      <c r="A48" s="36" t="str">
        <f aca="false">'Forecast Detail'!D9</f>
        <v>400187 Scholarship for Kids Tuition</v>
      </c>
      <c r="B48" s="36" t="str">
        <f aca="false">'Forecast Detail'!A9</f>
        <v>Revenue</v>
      </c>
      <c r="C48" s="36" t="str">
        <f aca="false">'Forecast Detail'!C9</f>
        <v>400187</v>
      </c>
      <c r="D48" s="36" t="str">
        <f aca="false">'Forecast Detail'!B9</f>
        <v>1 Tuition and Fees</v>
      </c>
      <c r="E48" s="11" t="str">
        <f aca="false">IF(ISNUMBER(B$4),SUMIFS('Actuals Import'!$B$1:$B$600,'Actuals Import'!$H$1:$H$600,$C48,'Actuals Import'!$G$1:$G$600,1),"")</f>
        <v/>
      </c>
      <c r="F48" s="11" t="str">
        <f aca="false">IF(ISNUMBER(C$4),SUMIFS('Actuals Import'!$K$1:$K$600,'Actuals Import'!$Q$1:$Q$600,$C48,'Actuals Import'!$P$1:$P$600,1),"")</f>
        <v/>
      </c>
      <c r="G48" s="11" t="str">
        <f aca="false">IF(ISNUMBER(D$4),SUMIFS('Actuals Import'!$T$1:$T$600,'Actuals Import'!$Z$1:$Z$600,$C48,'Actuals Import'!$Y$1:$Y$600,1),"")</f>
        <v/>
      </c>
      <c r="H48" s="11" t="str">
        <f aca="false">IF(ISNUMBER(E$4),SUMIFS('Actuals Import'!$AC$1:$AC$600,'Actuals Import'!$AI$1:$AI$600,$C48,'Actuals Import'!$AH$1:$AH$600,1),"")</f>
        <v/>
      </c>
      <c r="I48" s="11" t="str">
        <f aca="false">IF(ISNUMBER(F$4),SUMIFS('Actuals Import'!$AL$1:$AL$600,'Actuals Import'!$AR$1:$AR$600,$C48,'Actuals Import'!$AQ$1:$AQ$600,1),"")</f>
        <v/>
      </c>
      <c r="J48" s="31" t="n">
        <f aca="false">'Forecast Detail'!G9</f>
        <v>410000</v>
      </c>
      <c r="K48" s="11" t="str">
        <f aca="false">IF($B$3=0,"",INDEX($E48:$I48,MATCH($F$3,$B$4:$F$4,0)))</f>
        <v/>
      </c>
      <c r="L48" s="11" t="str">
        <f aca="false">IF($B$3=0,"",AVERAGE($E48:$I48))</f>
        <v/>
      </c>
      <c r="M48" s="11" t="str">
        <f aca="false">IF($B$3&lt;3,"",IFERROR(FORECAST($H$3,$E48:$I48,$B$4:$F$4),""))</f>
        <v/>
      </c>
      <c r="N48" s="11" t="str">
        <f aca="false">IF($B$3&lt;2,"",IFERROR(IF(INDEX($E48:$I48,MATCH($D$3,$B$4:$F$4,0))*K48&gt;0,K48*(K48/INDEX($E48:$I48,MATCH($D$3,$B$4:$F$4,0)))^(($H$3-$F$3)/($F$3-$D$3)),K48),K48))</f>
        <v/>
      </c>
      <c r="O48" s="20"/>
      <c r="P48" s="6" t="str">
        <f aca="false">IF(O48&lt;&gt;"",O48,Inputs!$C$90)</f>
        <v>Linear Trend</v>
      </c>
      <c r="Q48" s="37" t="str">
        <f aca="false">IF($B$3=0,"",IF(Inputs!$C$91&gt;0,ROUND(IF(ISNUMBER(IF(P48="Last Actual",K48,IF(P48="Average",L48,IF(P48="Linear Trend",M48,N48)))),IF(P48="Last Actual",K48,IF(P48="Average",L48,IF(P48="Linear Trend",M48,N48))),K48)/Inputs!$C$91,0)*Inputs!$C$91,IF(ISNUMBER(IF(P48="Last Actual",K48,IF(P48="Average",L48,IF(P48="Linear Trend",M48,N48)))),IF(P48="Last Actual",K48,IF(P48="Average",L48,IF(P48="Linear Trend",M48,N48))),K48)))</f>
        <v/>
      </c>
      <c r="R48" s="31" t="n">
        <f aca="false">'Forecast Detail'!H9</f>
        <v>380000</v>
      </c>
      <c r="S48" s="8" t="str">
        <f aca="false">IF(Q48="","",IF(J48=0,"",Q48/J48-1))</f>
        <v/>
      </c>
      <c r="T48" s="38" t="str">
        <f aca="false">IF(S48="","",IF(ABS(S48)&gt;Inputs!$C$92,"REVIEW",""))</f>
        <v/>
      </c>
    </row>
    <row r="49" customFormat="false" ht="15" hidden="false" customHeight="false" outlineLevel="0" collapsed="false">
      <c r="A49" s="36" t="str">
        <f aca="false">'Forecast Detail'!D10</f>
        <v>400188 Choose Act Tuition</v>
      </c>
      <c r="B49" s="36" t="str">
        <f aca="false">'Forecast Detail'!A10</f>
        <v>Revenue</v>
      </c>
      <c r="C49" s="36" t="str">
        <f aca="false">'Forecast Detail'!C10</f>
        <v>400188</v>
      </c>
      <c r="D49" s="36" t="str">
        <f aca="false">'Forecast Detail'!B10</f>
        <v>1 Tuition and Fees</v>
      </c>
      <c r="E49" s="11" t="str">
        <f aca="false">IF(ISNUMBER(B$4),SUMIFS('Actuals Import'!$B$1:$B$600,'Actuals Import'!$H$1:$H$600,$C49,'Actuals Import'!$G$1:$G$600,1),"")</f>
        <v/>
      </c>
      <c r="F49" s="11" t="str">
        <f aca="false">IF(ISNUMBER(C$4),SUMIFS('Actuals Import'!$K$1:$K$600,'Actuals Import'!$Q$1:$Q$600,$C49,'Actuals Import'!$P$1:$P$600,1),"")</f>
        <v/>
      </c>
      <c r="G49" s="11" t="str">
        <f aca="false">IF(ISNUMBER(D$4),SUMIFS('Actuals Import'!$T$1:$T$600,'Actuals Import'!$Z$1:$Z$600,$C49,'Actuals Import'!$Y$1:$Y$600,1),"")</f>
        <v/>
      </c>
      <c r="H49" s="11" t="str">
        <f aca="false">IF(ISNUMBER(E$4),SUMIFS('Actuals Import'!$AC$1:$AC$600,'Actuals Import'!$AI$1:$AI$600,$C49,'Actuals Import'!$AH$1:$AH$600,1),"")</f>
        <v/>
      </c>
      <c r="I49" s="11" t="str">
        <f aca="false">IF(ISNUMBER(F$4),SUMIFS('Actuals Import'!$AL$1:$AL$600,'Actuals Import'!$AR$1:$AR$600,$C49,'Actuals Import'!$AQ$1:$AQ$600,1),"")</f>
        <v/>
      </c>
      <c r="J49" s="31" t="n">
        <f aca="false">'Forecast Detail'!G10</f>
        <v>616000</v>
      </c>
      <c r="K49" s="11" t="str">
        <f aca="false">IF($B$3=0,"",INDEX($E49:$I49,MATCH($F$3,$B$4:$F$4,0)))</f>
        <v/>
      </c>
      <c r="L49" s="11" t="str">
        <f aca="false">IF($B$3=0,"",AVERAGE($E49:$I49))</f>
        <v/>
      </c>
      <c r="M49" s="11" t="str">
        <f aca="false">IF($B$3&lt;3,"",IFERROR(FORECAST($H$3,$E49:$I49,$B$4:$F$4),""))</f>
        <v/>
      </c>
      <c r="N49" s="11" t="str">
        <f aca="false">IF($B$3&lt;2,"",IFERROR(IF(INDEX($E49:$I49,MATCH($D$3,$B$4:$F$4,0))*K49&gt;0,K49*(K49/INDEX($E49:$I49,MATCH($D$3,$B$4:$F$4,0)))^(($H$3-$F$3)/($F$3-$D$3)),K49),K49))</f>
        <v/>
      </c>
      <c r="O49" s="20"/>
      <c r="P49" s="6" t="str">
        <f aca="false">IF(O49&lt;&gt;"",O49,Inputs!$C$90)</f>
        <v>Linear Trend</v>
      </c>
      <c r="Q49" s="37" t="str">
        <f aca="false">IF($B$3=0,"",IF(Inputs!$C$91&gt;0,ROUND(IF(ISNUMBER(IF(P49="Last Actual",K49,IF(P49="Average",L49,IF(P49="Linear Trend",M49,N49)))),IF(P49="Last Actual",K49,IF(P49="Average",L49,IF(P49="Linear Trend",M49,N49))),K49)/Inputs!$C$91,0)*Inputs!$C$91,IF(ISNUMBER(IF(P49="Last Actual",K49,IF(P49="Average",L49,IF(P49="Linear Trend",M49,N49)))),IF(P49="Last Actual",K49,IF(P49="Average",L49,IF(P49="Linear Trend",M49,N49))),K49)))</f>
        <v/>
      </c>
      <c r="R49" s="31" t="n">
        <f aca="false">'Forecast Detail'!H10</f>
        <v>616000</v>
      </c>
      <c r="S49" s="8" t="str">
        <f aca="false">IF(Q49="","",IF(J49=0,"",Q49/J49-1))</f>
        <v/>
      </c>
      <c r="T49" s="38" t="str">
        <f aca="false">IF(S49="","",IF(ABS(S49)&gt;Inputs!$C$92,"REVIEW",""))</f>
        <v/>
      </c>
    </row>
    <row r="50" customFormat="false" ht="15" hidden="false" customHeight="false" outlineLevel="0" collapsed="false">
      <c r="A50" s="36" t="str">
        <f aca="false">'Forecast Detail'!D11</f>
        <v>400189 AOSF Tuition</v>
      </c>
      <c r="B50" s="36" t="str">
        <f aca="false">'Forecast Detail'!A11</f>
        <v>Revenue</v>
      </c>
      <c r="C50" s="36" t="str">
        <f aca="false">'Forecast Detail'!C11</f>
        <v>400189</v>
      </c>
      <c r="D50" s="36" t="str">
        <f aca="false">'Forecast Detail'!B11</f>
        <v>1 Tuition and Fees</v>
      </c>
      <c r="E50" s="11" t="str">
        <f aca="false">IF(ISNUMBER(B$4),SUMIFS('Actuals Import'!$B$1:$B$600,'Actuals Import'!$H$1:$H$600,$C50,'Actuals Import'!$G$1:$G$600,1),"")</f>
        <v/>
      </c>
      <c r="F50" s="11" t="str">
        <f aca="false">IF(ISNUMBER(C$4),SUMIFS('Actuals Import'!$K$1:$K$600,'Actuals Import'!$Q$1:$Q$600,$C50,'Actuals Import'!$P$1:$P$600,1),"")</f>
        <v/>
      </c>
      <c r="G50" s="11" t="str">
        <f aca="false">IF(ISNUMBER(D$4),SUMIFS('Actuals Import'!$T$1:$T$600,'Actuals Import'!$Z$1:$Z$600,$C50,'Actuals Import'!$Y$1:$Y$600,1),"")</f>
        <v/>
      </c>
      <c r="H50" s="11" t="str">
        <f aca="false">IF(ISNUMBER(E$4),SUMIFS('Actuals Import'!$AC$1:$AC$600,'Actuals Import'!$AI$1:$AI$600,$C50,'Actuals Import'!$AH$1:$AH$600,1),"")</f>
        <v/>
      </c>
      <c r="I50" s="11" t="str">
        <f aca="false">IF(ISNUMBER(F$4),SUMIFS('Actuals Import'!$AL$1:$AL$600,'Actuals Import'!$AR$1:$AR$600,$C50,'Actuals Import'!$AQ$1:$AQ$600,1),"")</f>
        <v/>
      </c>
      <c r="J50" s="31" t="n">
        <f aca="false">'Forecast Detail'!G11</f>
        <v>0</v>
      </c>
      <c r="K50" s="11" t="str">
        <f aca="false">IF($B$3=0,"",INDEX($E50:$I50,MATCH($F$3,$B$4:$F$4,0)))</f>
        <v/>
      </c>
      <c r="L50" s="11" t="str">
        <f aca="false">IF($B$3=0,"",AVERAGE($E50:$I50))</f>
        <v/>
      </c>
      <c r="M50" s="11" t="str">
        <f aca="false">IF($B$3&lt;3,"",IFERROR(FORECAST($H$3,$E50:$I50,$B$4:$F$4),""))</f>
        <v/>
      </c>
      <c r="N50" s="11" t="str">
        <f aca="false">IF($B$3&lt;2,"",IFERROR(IF(INDEX($E50:$I50,MATCH($D$3,$B$4:$F$4,0))*K50&gt;0,K50*(K50/INDEX($E50:$I50,MATCH($D$3,$B$4:$F$4,0)))^(($H$3-$F$3)/($F$3-$D$3)),K50),K50))</f>
        <v/>
      </c>
      <c r="O50" s="20"/>
      <c r="P50" s="6" t="str">
        <f aca="false">IF(O50&lt;&gt;"",O50,Inputs!$C$90)</f>
        <v>Linear Trend</v>
      </c>
      <c r="Q50" s="37" t="str">
        <f aca="false">IF($B$3=0,"",IF(Inputs!$C$91&gt;0,ROUND(IF(ISNUMBER(IF(P50="Last Actual",K50,IF(P50="Average",L50,IF(P50="Linear Trend",M50,N50)))),IF(P50="Last Actual",K50,IF(P50="Average",L50,IF(P50="Linear Trend",M50,N50))),K50)/Inputs!$C$91,0)*Inputs!$C$91,IF(ISNUMBER(IF(P50="Last Actual",K50,IF(P50="Average",L50,IF(P50="Linear Trend",M50,N50)))),IF(P50="Last Actual",K50,IF(P50="Average",L50,IF(P50="Linear Trend",M50,N50))),K50)))</f>
        <v/>
      </c>
      <c r="R50" s="31" t="n">
        <f aca="false">'Forecast Detail'!H11</f>
        <v>0</v>
      </c>
      <c r="S50" s="8" t="str">
        <f aca="false">IF(Q50="","",IF(J50=0,"",Q50/J50-1))</f>
        <v/>
      </c>
      <c r="T50" s="38" t="str">
        <f aca="false">IF(S50="","",IF(ABS(S50)&gt;Inputs!$C$92,"REVIEW",""))</f>
        <v/>
      </c>
    </row>
    <row r="51" customFormat="false" ht="15" hidden="false" customHeight="false" outlineLevel="0" collapsed="false">
      <c r="A51" s="36" t="str">
        <f aca="false">'Forecast Detail'!D12</f>
        <v>400180 Building Fees</v>
      </c>
      <c r="B51" s="36" t="str">
        <f aca="false">'Forecast Detail'!A12</f>
        <v>Revenue</v>
      </c>
      <c r="C51" s="36" t="str">
        <f aca="false">'Forecast Detail'!C12</f>
        <v>400180</v>
      </c>
      <c r="D51" s="36" t="str">
        <f aca="false">'Forecast Detail'!B12</f>
        <v>1 Tuition and Fees</v>
      </c>
      <c r="E51" s="11" t="str">
        <f aca="false">IF(ISNUMBER(B$4),SUMIFS('Actuals Import'!$B$1:$B$600,'Actuals Import'!$H$1:$H$600,$C51,'Actuals Import'!$G$1:$G$600,1),"")</f>
        <v/>
      </c>
      <c r="F51" s="11" t="str">
        <f aca="false">IF(ISNUMBER(C$4),SUMIFS('Actuals Import'!$K$1:$K$600,'Actuals Import'!$Q$1:$Q$600,$C51,'Actuals Import'!$P$1:$P$600,1),"")</f>
        <v/>
      </c>
      <c r="G51" s="11" t="str">
        <f aca="false">IF(ISNUMBER(D$4),SUMIFS('Actuals Import'!$T$1:$T$600,'Actuals Import'!$Z$1:$Z$600,$C51,'Actuals Import'!$Y$1:$Y$600,1),"")</f>
        <v/>
      </c>
      <c r="H51" s="11" t="str">
        <f aca="false">IF(ISNUMBER(E$4),SUMIFS('Actuals Import'!$AC$1:$AC$600,'Actuals Import'!$AI$1:$AI$600,$C51,'Actuals Import'!$AH$1:$AH$600,1),"")</f>
        <v/>
      </c>
      <c r="I51" s="11" t="str">
        <f aca="false">IF(ISNUMBER(F$4),SUMIFS('Actuals Import'!$AL$1:$AL$600,'Actuals Import'!$AR$1:$AR$600,$C51,'Actuals Import'!$AQ$1:$AQ$600,1),"")</f>
        <v/>
      </c>
      <c r="J51" s="31" t="n">
        <f aca="false">'Forecast Detail'!G12</f>
        <v>35000</v>
      </c>
      <c r="K51" s="11" t="str">
        <f aca="false">IF($B$3=0,"",INDEX($E51:$I51,MATCH($F$3,$B$4:$F$4,0)))</f>
        <v/>
      </c>
      <c r="L51" s="11" t="str">
        <f aca="false">IF($B$3=0,"",AVERAGE($E51:$I51))</f>
        <v/>
      </c>
      <c r="M51" s="11" t="str">
        <f aca="false">IF($B$3&lt;3,"",IFERROR(FORECAST($H$3,$E51:$I51,$B$4:$F$4),""))</f>
        <v/>
      </c>
      <c r="N51" s="11" t="str">
        <f aca="false">IF($B$3&lt;2,"",IFERROR(IF(INDEX($E51:$I51,MATCH($D$3,$B$4:$F$4,0))*K51&gt;0,K51*(K51/INDEX($E51:$I51,MATCH($D$3,$B$4:$F$4,0)))^(($H$3-$F$3)/($F$3-$D$3)),K51),K51))</f>
        <v/>
      </c>
      <c r="O51" s="20"/>
      <c r="P51" s="6" t="str">
        <f aca="false">IF(O51&lt;&gt;"",O51,Inputs!$C$90)</f>
        <v>Linear Trend</v>
      </c>
      <c r="Q51" s="37" t="str">
        <f aca="false">IF($B$3=0,"",IF(Inputs!$C$91&gt;0,ROUND(IF(ISNUMBER(IF(P51="Last Actual",K51,IF(P51="Average",L51,IF(P51="Linear Trend",M51,N51)))),IF(P51="Last Actual",K51,IF(P51="Average",L51,IF(P51="Linear Trend",M51,N51))),K51)/Inputs!$C$91,0)*Inputs!$C$91,IF(ISNUMBER(IF(P51="Last Actual",K51,IF(P51="Average",L51,IF(P51="Linear Trend",M51,N51)))),IF(P51="Last Actual",K51,IF(P51="Average",L51,IF(P51="Linear Trend",M51,N51))),K51)))</f>
        <v/>
      </c>
      <c r="R51" s="31" t="n">
        <f aca="false">'Forecast Detail'!H12</f>
        <v>0</v>
      </c>
      <c r="S51" s="8" t="str">
        <f aca="false">IF(Q51="","",IF(J51=0,"",Q51/J51-1))</f>
        <v/>
      </c>
      <c r="T51" s="38" t="str">
        <f aca="false">IF(S51="","",IF(ABS(S51)&gt;Inputs!$C$92,"REVIEW",""))</f>
        <v/>
      </c>
    </row>
    <row r="52" customFormat="false" ht="15" hidden="false" customHeight="false" outlineLevel="0" collapsed="false">
      <c r="A52" s="36" t="str">
        <f aca="false">'Forecast Detail'!D13</f>
        <v>400181 Enrollment Fees</v>
      </c>
      <c r="B52" s="36" t="str">
        <f aca="false">'Forecast Detail'!A13</f>
        <v>Revenue</v>
      </c>
      <c r="C52" s="36" t="str">
        <f aca="false">'Forecast Detail'!C13</f>
        <v>400181</v>
      </c>
      <c r="D52" s="36" t="str">
        <f aca="false">'Forecast Detail'!B13</f>
        <v>1 Tuition and Fees</v>
      </c>
      <c r="E52" s="11" t="str">
        <f aca="false">IF(ISNUMBER(B$4),SUMIFS('Actuals Import'!$B$1:$B$600,'Actuals Import'!$H$1:$H$600,$C52,'Actuals Import'!$G$1:$G$600,1),"")</f>
        <v/>
      </c>
      <c r="F52" s="11" t="str">
        <f aca="false">IF(ISNUMBER(C$4),SUMIFS('Actuals Import'!$K$1:$K$600,'Actuals Import'!$Q$1:$Q$600,$C52,'Actuals Import'!$P$1:$P$600,1),"")</f>
        <v/>
      </c>
      <c r="G52" s="11" t="str">
        <f aca="false">IF(ISNUMBER(D$4),SUMIFS('Actuals Import'!$T$1:$T$600,'Actuals Import'!$Z$1:$Z$600,$C52,'Actuals Import'!$Y$1:$Y$600,1),"")</f>
        <v/>
      </c>
      <c r="H52" s="11" t="str">
        <f aca="false">IF(ISNUMBER(E$4),SUMIFS('Actuals Import'!$AC$1:$AC$600,'Actuals Import'!$AI$1:$AI$600,$C52,'Actuals Import'!$AH$1:$AH$600,1),"")</f>
        <v/>
      </c>
      <c r="I52" s="11" t="str">
        <f aca="false">IF(ISNUMBER(F$4),SUMIFS('Actuals Import'!$AL$1:$AL$600,'Actuals Import'!$AR$1:$AR$600,$C52,'Actuals Import'!$AQ$1:$AQ$600,1),"")</f>
        <v/>
      </c>
      <c r="J52" s="31" t="n">
        <f aca="false">'Forecast Detail'!G13</f>
        <v>162300</v>
      </c>
      <c r="K52" s="11" t="str">
        <f aca="false">IF($B$3=0,"",INDEX($E52:$I52,MATCH($F$3,$B$4:$F$4,0)))</f>
        <v/>
      </c>
      <c r="L52" s="11" t="str">
        <f aca="false">IF($B$3=0,"",AVERAGE($E52:$I52))</f>
        <v/>
      </c>
      <c r="M52" s="11" t="str">
        <f aca="false">IF($B$3&lt;3,"",IFERROR(FORECAST($H$3,$E52:$I52,$B$4:$F$4),""))</f>
        <v/>
      </c>
      <c r="N52" s="11" t="str">
        <f aca="false">IF($B$3&lt;2,"",IFERROR(IF(INDEX($E52:$I52,MATCH($D$3,$B$4:$F$4,0))*K52&gt;0,K52*(K52/INDEX($E52:$I52,MATCH($D$3,$B$4:$F$4,0)))^(($H$3-$F$3)/($F$3-$D$3)),K52),K52))</f>
        <v/>
      </c>
      <c r="O52" s="20"/>
      <c r="P52" s="6" t="str">
        <f aca="false">IF(O52&lt;&gt;"",O52,Inputs!$C$90)</f>
        <v>Linear Trend</v>
      </c>
      <c r="Q52" s="37" t="str">
        <f aca="false">IF($B$3=0,"",IF(Inputs!$C$91&gt;0,ROUND(IF(ISNUMBER(IF(P52="Last Actual",K52,IF(P52="Average",L52,IF(P52="Linear Trend",M52,N52)))),IF(P52="Last Actual",K52,IF(P52="Average",L52,IF(P52="Linear Trend",M52,N52))),K52)/Inputs!$C$91,0)*Inputs!$C$91,IF(ISNUMBER(IF(P52="Last Actual",K52,IF(P52="Average",L52,IF(P52="Linear Trend",M52,N52)))),IF(P52="Last Actual",K52,IF(P52="Average",L52,IF(P52="Linear Trend",M52,N52))),K52)))</f>
        <v/>
      </c>
      <c r="R52" s="31" t="n">
        <f aca="false">'Forecast Detail'!H13</f>
        <v>164809.793814433</v>
      </c>
      <c r="S52" s="8" t="str">
        <f aca="false">IF(Q52="","",IF(J52=0,"",Q52/J52-1))</f>
        <v/>
      </c>
      <c r="T52" s="38" t="str">
        <f aca="false">IF(S52="","",IF(ABS(S52)&gt;Inputs!$C$92,"REVIEW",""))</f>
        <v/>
      </c>
    </row>
    <row r="53" customFormat="false" ht="15" hidden="false" customHeight="false" outlineLevel="0" collapsed="false">
      <c r="A53" s="36" t="str">
        <f aca="false">'Forecast Detail'!D14</f>
        <v>400183 Tuition Insurance Income</v>
      </c>
      <c r="B53" s="36" t="str">
        <f aca="false">'Forecast Detail'!A14</f>
        <v>Revenue</v>
      </c>
      <c r="C53" s="36" t="str">
        <f aca="false">'Forecast Detail'!C14</f>
        <v>400183</v>
      </c>
      <c r="D53" s="36" t="str">
        <f aca="false">'Forecast Detail'!B14</f>
        <v>1 Tuition and Fees</v>
      </c>
      <c r="E53" s="11" t="str">
        <f aca="false">IF(ISNUMBER(B$4),SUMIFS('Actuals Import'!$B$1:$B$600,'Actuals Import'!$H$1:$H$600,$C53,'Actuals Import'!$G$1:$G$600,1),"")</f>
        <v/>
      </c>
      <c r="F53" s="11" t="str">
        <f aca="false">IF(ISNUMBER(C$4),SUMIFS('Actuals Import'!$K$1:$K$600,'Actuals Import'!$Q$1:$Q$600,$C53,'Actuals Import'!$P$1:$P$600,1),"")</f>
        <v/>
      </c>
      <c r="G53" s="11" t="str">
        <f aca="false">IF(ISNUMBER(D$4),SUMIFS('Actuals Import'!$T$1:$T$600,'Actuals Import'!$Z$1:$Z$600,$C53,'Actuals Import'!$Y$1:$Y$600,1),"")</f>
        <v/>
      </c>
      <c r="H53" s="11" t="str">
        <f aca="false">IF(ISNUMBER(E$4),SUMIFS('Actuals Import'!$AC$1:$AC$600,'Actuals Import'!$AI$1:$AI$600,$C53,'Actuals Import'!$AH$1:$AH$600,1),"")</f>
        <v/>
      </c>
      <c r="I53" s="11" t="str">
        <f aca="false">IF(ISNUMBER(F$4),SUMIFS('Actuals Import'!$AL$1:$AL$600,'Actuals Import'!$AR$1:$AR$600,$C53,'Actuals Import'!$AQ$1:$AQ$600,1),"")</f>
        <v/>
      </c>
      <c r="J53" s="31" t="n">
        <f aca="false">'Forecast Detail'!G14</f>
        <v>139000</v>
      </c>
      <c r="K53" s="11" t="str">
        <f aca="false">IF($B$3=0,"",INDEX($E53:$I53,MATCH($F$3,$B$4:$F$4,0)))</f>
        <v/>
      </c>
      <c r="L53" s="11" t="str">
        <f aca="false">IF($B$3=0,"",AVERAGE($E53:$I53))</f>
        <v/>
      </c>
      <c r="M53" s="11" t="str">
        <f aca="false">IF($B$3&lt;3,"",IFERROR(FORECAST($H$3,$E53:$I53,$B$4:$F$4),""))</f>
        <v/>
      </c>
      <c r="N53" s="11" t="str">
        <f aca="false">IF($B$3&lt;2,"",IFERROR(IF(INDEX($E53:$I53,MATCH($D$3,$B$4:$F$4,0))*K53&gt;0,K53*(K53/INDEX($E53:$I53,MATCH($D$3,$B$4:$F$4,0)))^(($H$3-$F$3)/($F$3-$D$3)),K53),K53))</f>
        <v/>
      </c>
      <c r="O53" s="20"/>
      <c r="P53" s="6" t="str">
        <f aca="false">IF(O53&lt;&gt;"",O53,Inputs!$C$90)</f>
        <v>Linear Trend</v>
      </c>
      <c r="Q53" s="37" t="str">
        <f aca="false">IF($B$3=0,"",IF(Inputs!$C$91&gt;0,ROUND(IF(ISNUMBER(IF(P53="Last Actual",K53,IF(P53="Average",L53,IF(P53="Linear Trend",M53,N53)))),IF(P53="Last Actual",K53,IF(P53="Average",L53,IF(P53="Linear Trend",M53,N53))),K53)/Inputs!$C$91,0)*Inputs!$C$91,IF(ISNUMBER(IF(P53="Last Actual",K53,IF(P53="Average",L53,IF(P53="Linear Trend",M53,N53)))),IF(P53="Last Actual",K53,IF(P53="Average",L53,IF(P53="Linear Trend",M53,N53))),K53)))</f>
        <v/>
      </c>
      <c r="R53" s="31" t="n">
        <f aca="false">'Forecast Detail'!H14</f>
        <v>141149.484536082</v>
      </c>
      <c r="S53" s="8" t="str">
        <f aca="false">IF(Q53="","",IF(J53=0,"",Q53/J53-1))</f>
        <v/>
      </c>
      <c r="T53" s="38" t="str">
        <f aca="false">IF(S53="","",IF(ABS(S53)&gt;Inputs!$C$92,"REVIEW",""))</f>
        <v/>
      </c>
    </row>
    <row r="54" customFormat="false" ht="15" hidden="false" customHeight="false" outlineLevel="0" collapsed="false">
      <c r="A54" s="36" t="str">
        <f aca="false">'Forecast Detail'!D15</f>
        <v>400184 Application Fees</v>
      </c>
      <c r="B54" s="36" t="str">
        <f aca="false">'Forecast Detail'!A15</f>
        <v>Revenue</v>
      </c>
      <c r="C54" s="36" t="str">
        <f aca="false">'Forecast Detail'!C15</f>
        <v>400184</v>
      </c>
      <c r="D54" s="36" t="str">
        <f aca="false">'Forecast Detail'!B15</f>
        <v>1 Tuition and Fees</v>
      </c>
      <c r="E54" s="11" t="str">
        <f aca="false">IF(ISNUMBER(B$4),SUMIFS('Actuals Import'!$B$1:$B$600,'Actuals Import'!$H$1:$H$600,$C54,'Actuals Import'!$G$1:$G$600,1),"")</f>
        <v/>
      </c>
      <c r="F54" s="11" t="str">
        <f aca="false">IF(ISNUMBER(C$4),SUMIFS('Actuals Import'!$K$1:$K$600,'Actuals Import'!$Q$1:$Q$600,$C54,'Actuals Import'!$P$1:$P$600,1),"")</f>
        <v/>
      </c>
      <c r="G54" s="11" t="str">
        <f aca="false">IF(ISNUMBER(D$4),SUMIFS('Actuals Import'!$T$1:$T$600,'Actuals Import'!$Z$1:$Z$600,$C54,'Actuals Import'!$Y$1:$Y$600,1),"")</f>
        <v/>
      </c>
      <c r="H54" s="11" t="str">
        <f aca="false">IF(ISNUMBER(E$4),SUMIFS('Actuals Import'!$AC$1:$AC$600,'Actuals Import'!$AI$1:$AI$600,$C54,'Actuals Import'!$AH$1:$AH$600,1),"")</f>
        <v/>
      </c>
      <c r="I54" s="11" t="str">
        <f aca="false">IF(ISNUMBER(F$4),SUMIFS('Actuals Import'!$AL$1:$AL$600,'Actuals Import'!$AR$1:$AR$600,$C54,'Actuals Import'!$AQ$1:$AQ$600,1),"")</f>
        <v/>
      </c>
      <c r="J54" s="31" t="n">
        <f aca="false">'Forecast Detail'!G15</f>
        <v>0</v>
      </c>
      <c r="K54" s="11" t="str">
        <f aca="false">IF($B$3=0,"",INDEX($E54:$I54,MATCH($F$3,$B$4:$F$4,0)))</f>
        <v/>
      </c>
      <c r="L54" s="11" t="str">
        <f aca="false">IF($B$3=0,"",AVERAGE($E54:$I54))</f>
        <v/>
      </c>
      <c r="M54" s="11" t="str">
        <f aca="false">IF($B$3&lt;3,"",IFERROR(FORECAST($H$3,$E54:$I54,$B$4:$F$4),""))</f>
        <v/>
      </c>
      <c r="N54" s="11" t="str">
        <f aca="false">IF($B$3&lt;2,"",IFERROR(IF(INDEX($E54:$I54,MATCH($D$3,$B$4:$F$4,0))*K54&gt;0,K54*(K54/INDEX($E54:$I54,MATCH($D$3,$B$4:$F$4,0)))^(($H$3-$F$3)/($F$3-$D$3)),K54),K54))</f>
        <v/>
      </c>
      <c r="O54" s="20"/>
      <c r="P54" s="6" t="str">
        <f aca="false">IF(O54&lt;&gt;"",O54,Inputs!$C$90)</f>
        <v>Linear Trend</v>
      </c>
      <c r="Q54" s="37" t="str">
        <f aca="false">IF($B$3=0,"",IF(Inputs!$C$91&gt;0,ROUND(IF(ISNUMBER(IF(P54="Last Actual",K54,IF(P54="Average",L54,IF(P54="Linear Trend",M54,N54)))),IF(P54="Last Actual",K54,IF(P54="Average",L54,IF(P54="Linear Trend",M54,N54))),K54)/Inputs!$C$91,0)*Inputs!$C$91,IF(ISNUMBER(IF(P54="Last Actual",K54,IF(P54="Average",L54,IF(P54="Linear Trend",M54,N54)))),IF(P54="Last Actual",K54,IF(P54="Average",L54,IF(P54="Linear Trend",M54,N54))),K54)))</f>
        <v/>
      </c>
      <c r="R54" s="31" t="n">
        <f aca="false">'Forecast Detail'!H15</f>
        <v>0</v>
      </c>
      <c r="S54" s="8" t="str">
        <f aca="false">IF(Q54="","",IF(J54=0,"",Q54/J54-1))</f>
        <v/>
      </c>
      <c r="T54" s="38" t="str">
        <f aca="false">IF(S54="","",IF(ABS(S54)&gt;Inputs!$C$92,"REVIEW",""))</f>
        <v/>
      </c>
    </row>
    <row r="55" customFormat="false" ht="15" hidden="false" customHeight="false" outlineLevel="0" collapsed="false">
      <c r="A55" s="36" t="str">
        <f aca="false">'Forecast Detail'!D16</f>
        <v>400185 Enrollment Fee Waived - Alumni Credit</v>
      </c>
      <c r="B55" s="36" t="str">
        <f aca="false">'Forecast Detail'!A16</f>
        <v>Revenue</v>
      </c>
      <c r="C55" s="36" t="str">
        <f aca="false">'Forecast Detail'!C16</f>
        <v>400185</v>
      </c>
      <c r="D55" s="36" t="str">
        <f aca="false">'Forecast Detail'!B16</f>
        <v>1 Tuition and Fees</v>
      </c>
      <c r="E55" s="11" t="str">
        <f aca="false">IF(ISNUMBER(B$4),SUMIFS('Actuals Import'!$B$1:$B$600,'Actuals Import'!$H$1:$H$600,$C55,'Actuals Import'!$G$1:$G$600,1),"")</f>
        <v/>
      </c>
      <c r="F55" s="11" t="str">
        <f aca="false">IF(ISNUMBER(C$4),SUMIFS('Actuals Import'!$K$1:$K$600,'Actuals Import'!$Q$1:$Q$600,$C55,'Actuals Import'!$P$1:$P$600,1),"")</f>
        <v/>
      </c>
      <c r="G55" s="11" t="str">
        <f aca="false">IF(ISNUMBER(D$4),SUMIFS('Actuals Import'!$T$1:$T$600,'Actuals Import'!$Z$1:$Z$600,$C55,'Actuals Import'!$Y$1:$Y$600,1),"")</f>
        <v/>
      </c>
      <c r="H55" s="11" t="str">
        <f aca="false">IF(ISNUMBER(E$4),SUMIFS('Actuals Import'!$AC$1:$AC$600,'Actuals Import'!$AI$1:$AI$600,$C55,'Actuals Import'!$AH$1:$AH$600,1),"")</f>
        <v/>
      </c>
      <c r="I55" s="11" t="str">
        <f aca="false">IF(ISNUMBER(F$4),SUMIFS('Actuals Import'!$AL$1:$AL$600,'Actuals Import'!$AR$1:$AR$600,$C55,'Actuals Import'!$AQ$1:$AQ$600,1),"")</f>
        <v/>
      </c>
      <c r="J55" s="31" t="n">
        <f aca="false">'Forecast Detail'!G16</f>
        <v>0</v>
      </c>
      <c r="K55" s="11" t="str">
        <f aca="false">IF($B$3=0,"",INDEX($E55:$I55,MATCH($F$3,$B$4:$F$4,0)))</f>
        <v/>
      </c>
      <c r="L55" s="11" t="str">
        <f aca="false">IF($B$3=0,"",AVERAGE($E55:$I55))</f>
        <v/>
      </c>
      <c r="M55" s="11" t="str">
        <f aca="false">IF($B$3&lt;3,"",IFERROR(FORECAST($H$3,$E55:$I55,$B$4:$F$4),""))</f>
        <v/>
      </c>
      <c r="N55" s="11" t="str">
        <f aca="false">IF($B$3&lt;2,"",IFERROR(IF(INDEX($E55:$I55,MATCH($D$3,$B$4:$F$4,0))*K55&gt;0,K55*(K55/INDEX($E55:$I55,MATCH($D$3,$B$4:$F$4,0)))^(($H$3-$F$3)/($F$3-$D$3)),K55),K55))</f>
        <v/>
      </c>
      <c r="O55" s="20"/>
      <c r="P55" s="6" t="str">
        <f aca="false">IF(O55&lt;&gt;"",O55,Inputs!$C$90)</f>
        <v>Linear Trend</v>
      </c>
      <c r="Q55" s="37" t="str">
        <f aca="false">IF($B$3=0,"",IF(Inputs!$C$91&gt;0,ROUND(IF(ISNUMBER(IF(P55="Last Actual",K55,IF(P55="Average",L55,IF(P55="Linear Trend",M55,N55)))),IF(P55="Last Actual",K55,IF(P55="Average",L55,IF(P55="Linear Trend",M55,N55))),K55)/Inputs!$C$91,0)*Inputs!$C$91,IF(ISNUMBER(IF(P55="Last Actual",K55,IF(P55="Average",L55,IF(P55="Linear Trend",M55,N55)))),IF(P55="Last Actual",K55,IF(P55="Average",L55,IF(P55="Linear Trend",M55,N55))),K55)))</f>
        <v/>
      </c>
      <c r="R55" s="31" t="n">
        <f aca="false">'Forecast Detail'!H16</f>
        <v>0</v>
      </c>
      <c r="S55" s="8" t="str">
        <f aca="false">IF(Q55="","",IF(J55=0,"",Q55/J55-1))</f>
        <v/>
      </c>
      <c r="T55" s="38" t="str">
        <f aca="false">IF(S55="","",IF(ABS(S55)&gt;Inputs!$C$92,"REVIEW",""))</f>
        <v/>
      </c>
    </row>
    <row r="56" customFormat="false" ht="15" hidden="false" customHeight="false" outlineLevel="0" collapsed="false">
      <c r="A56" s="36" t="str">
        <f aca="false">'Forecast Detail'!D17</f>
        <v>400199 Fee - Tuition Discount</v>
      </c>
      <c r="B56" s="36" t="str">
        <f aca="false">'Forecast Detail'!A17</f>
        <v>Revenue</v>
      </c>
      <c r="C56" s="36" t="str">
        <f aca="false">'Forecast Detail'!C17</f>
        <v>400199</v>
      </c>
      <c r="D56" s="36" t="str">
        <f aca="false">'Forecast Detail'!B17</f>
        <v>1 Tuition and Fees</v>
      </c>
      <c r="E56" s="11" t="str">
        <f aca="false">IF(ISNUMBER(B$4),SUMIFS('Actuals Import'!$B$1:$B$600,'Actuals Import'!$H$1:$H$600,$C56,'Actuals Import'!$G$1:$G$600,1),"")</f>
        <v/>
      </c>
      <c r="F56" s="11" t="str">
        <f aca="false">IF(ISNUMBER(C$4),SUMIFS('Actuals Import'!$K$1:$K$600,'Actuals Import'!$Q$1:$Q$600,$C56,'Actuals Import'!$P$1:$P$600,1),"")</f>
        <v/>
      </c>
      <c r="G56" s="11" t="str">
        <f aca="false">IF(ISNUMBER(D$4),SUMIFS('Actuals Import'!$T$1:$T$600,'Actuals Import'!$Z$1:$Z$600,$C56,'Actuals Import'!$Y$1:$Y$600,1),"")</f>
        <v/>
      </c>
      <c r="H56" s="11" t="str">
        <f aca="false">IF(ISNUMBER(E$4),SUMIFS('Actuals Import'!$AC$1:$AC$600,'Actuals Import'!$AI$1:$AI$600,$C56,'Actuals Import'!$AH$1:$AH$600,1),"")</f>
        <v/>
      </c>
      <c r="I56" s="11" t="str">
        <f aca="false">IF(ISNUMBER(F$4),SUMIFS('Actuals Import'!$AL$1:$AL$600,'Actuals Import'!$AR$1:$AR$600,$C56,'Actuals Import'!$AQ$1:$AQ$600,1),"")</f>
        <v/>
      </c>
      <c r="J56" s="31" t="n">
        <f aca="false">'Forecast Detail'!G17</f>
        <v>0</v>
      </c>
      <c r="K56" s="11" t="str">
        <f aca="false">IF($B$3=0,"",INDEX($E56:$I56,MATCH($F$3,$B$4:$F$4,0)))</f>
        <v/>
      </c>
      <c r="L56" s="11" t="str">
        <f aca="false">IF($B$3=0,"",AVERAGE($E56:$I56))</f>
        <v/>
      </c>
      <c r="M56" s="11" t="str">
        <f aca="false">IF($B$3&lt;3,"",IFERROR(FORECAST($H$3,$E56:$I56,$B$4:$F$4),""))</f>
        <v/>
      </c>
      <c r="N56" s="11" t="str">
        <f aca="false">IF($B$3&lt;2,"",IFERROR(IF(INDEX($E56:$I56,MATCH($D$3,$B$4:$F$4,0))*K56&gt;0,K56*(K56/INDEX($E56:$I56,MATCH($D$3,$B$4:$F$4,0)))^(($H$3-$F$3)/($F$3-$D$3)),K56),K56))</f>
        <v/>
      </c>
      <c r="O56" s="20"/>
      <c r="P56" s="6" t="str">
        <f aca="false">IF(O56&lt;&gt;"",O56,Inputs!$C$90)</f>
        <v>Linear Trend</v>
      </c>
      <c r="Q56" s="37" t="str">
        <f aca="false">IF($B$3=0,"",IF(Inputs!$C$91&gt;0,ROUND(IF(ISNUMBER(IF(P56="Last Actual",K56,IF(P56="Average",L56,IF(P56="Linear Trend",M56,N56)))),IF(P56="Last Actual",K56,IF(P56="Average",L56,IF(P56="Linear Trend",M56,N56))),K56)/Inputs!$C$91,0)*Inputs!$C$91,IF(ISNUMBER(IF(P56="Last Actual",K56,IF(P56="Average",L56,IF(P56="Linear Trend",M56,N56)))),IF(P56="Last Actual",K56,IF(P56="Average",L56,IF(P56="Linear Trend",M56,N56))),K56)))</f>
        <v/>
      </c>
      <c r="R56" s="31" t="n">
        <f aca="false">'Forecast Detail'!H17</f>
        <v>0</v>
      </c>
      <c r="S56" s="8" t="str">
        <f aca="false">IF(Q56="","",IF(J56=0,"",Q56/J56-1))</f>
        <v/>
      </c>
      <c r="T56" s="38" t="str">
        <f aca="false">IF(S56="","",IF(ABS(S56)&gt;Inputs!$C$92,"REVIEW",""))</f>
        <v/>
      </c>
    </row>
    <row r="57" customFormat="false" ht="15" hidden="false" customHeight="false" outlineLevel="0" collapsed="false">
      <c r="A57" s="36" t="str">
        <f aca="false">'Forecast Detail'!D18</f>
        <v>400201 Referral Fee - Tuition Discount</v>
      </c>
      <c r="B57" s="36" t="str">
        <f aca="false">'Forecast Detail'!A18</f>
        <v>Revenue</v>
      </c>
      <c r="C57" s="36" t="str">
        <f aca="false">'Forecast Detail'!C18</f>
        <v>400201</v>
      </c>
      <c r="D57" s="36" t="str">
        <f aca="false">'Forecast Detail'!B18</f>
        <v>1 Tuition and Fees</v>
      </c>
      <c r="E57" s="11" t="str">
        <f aca="false">IF(ISNUMBER(B$4),SUMIFS('Actuals Import'!$B$1:$B$600,'Actuals Import'!$H$1:$H$600,$C57,'Actuals Import'!$G$1:$G$600,1),"")</f>
        <v/>
      </c>
      <c r="F57" s="11" t="str">
        <f aca="false">IF(ISNUMBER(C$4),SUMIFS('Actuals Import'!$K$1:$K$600,'Actuals Import'!$Q$1:$Q$600,$C57,'Actuals Import'!$P$1:$P$600,1),"")</f>
        <v/>
      </c>
      <c r="G57" s="11" t="str">
        <f aca="false">IF(ISNUMBER(D$4),SUMIFS('Actuals Import'!$T$1:$T$600,'Actuals Import'!$Z$1:$Z$600,$C57,'Actuals Import'!$Y$1:$Y$600,1),"")</f>
        <v/>
      </c>
      <c r="H57" s="11" t="str">
        <f aca="false">IF(ISNUMBER(E$4),SUMIFS('Actuals Import'!$AC$1:$AC$600,'Actuals Import'!$AI$1:$AI$600,$C57,'Actuals Import'!$AH$1:$AH$600,1),"")</f>
        <v/>
      </c>
      <c r="I57" s="11" t="str">
        <f aca="false">IF(ISNUMBER(F$4),SUMIFS('Actuals Import'!$AL$1:$AL$600,'Actuals Import'!$AR$1:$AR$600,$C57,'Actuals Import'!$AQ$1:$AQ$600,1),"")</f>
        <v/>
      </c>
      <c r="J57" s="31" t="n">
        <f aca="false">'Forecast Detail'!G18</f>
        <v>0</v>
      </c>
      <c r="K57" s="11" t="str">
        <f aca="false">IF($B$3=0,"",INDEX($E57:$I57,MATCH($F$3,$B$4:$F$4,0)))</f>
        <v/>
      </c>
      <c r="L57" s="11" t="str">
        <f aca="false">IF($B$3=0,"",AVERAGE($E57:$I57))</f>
        <v/>
      </c>
      <c r="M57" s="11" t="str">
        <f aca="false">IF($B$3&lt;3,"",IFERROR(FORECAST($H$3,$E57:$I57,$B$4:$F$4),""))</f>
        <v/>
      </c>
      <c r="N57" s="11" t="str">
        <f aca="false">IF($B$3&lt;2,"",IFERROR(IF(INDEX($E57:$I57,MATCH($D$3,$B$4:$F$4,0))*K57&gt;0,K57*(K57/INDEX($E57:$I57,MATCH($D$3,$B$4:$F$4,0)))^(($H$3-$F$3)/($F$3-$D$3)),K57),K57))</f>
        <v/>
      </c>
      <c r="O57" s="20"/>
      <c r="P57" s="6" t="str">
        <f aca="false">IF(O57&lt;&gt;"",O57,Inputs!$C$90)</f>
        <v>Linear Trend</v>
      </c>
      <c r="Q57" s="37" t="str">
        <f aca="false">IF($B$3=0,"",IF(Inputs!$C$91&gt;0,ROUND(IF(ISNUMBER(IF(P57="Last Actual",K57,IF(P57="Average",L57,IF(P57="Linear Trend",M57,N57)))),IF(P57="Last Actual",K57,IF(P57="Average",L57,IF(P57="Linear Trend",M57,N57))),K57)/Inputs!$C$91,0)*Inputs!$C$91,IF(ISNUMBER(IF(P57="Last Actual",K57,IF(P57="Average",L57,IF(P57="Linear Trend",M57,N57)))),IF(P57="Last Actual",K57,IF(P57="Average",L57,IF(P57="Linear Trend",M57,N57))),K57)))</f>
        <v/>
      </c>
      <c r="R57" s="31" t="n">
        <f aca="false">'Forecast Detail'!H18</f>
        <v>0</v>
      </c>
      <c r="S57" s="8" t="str">
        <f aca="false">IF(Q57="","",IF(J57=0,"",Q57/J57-1))</f>
        <v/>
      </c>
      <c r="T57" s="38" t="str">
        <f aca="false">IF(S57="","",IF(ABS(S57)&gt;Inputs!$C$92,"REVIEW",""))</f>
        <v/>
      </c>
    </row>
    <row r="58" customFormat="false" ht="15" hidden="false" customHeight="false" outlineLevel="0" collapsed="false">
      <c r="A58" s="36" t="str">
        <f aca="false">'Forecast Detail'!D19</f>
        <v>400126 Late Fees</v>
      </c>
      <c r="B58" s="36" t="str">
        <f aca="false">'Forecast Detail'!A19</f>
        <v>Revenue</v>
      </c>
      <c r="C58" s="36" t="str">
        <f aca="false">'Forecast Detail'!C19</f>
        <v>400126</v>
      </c>
      <c r="D58" s="36" t="str">
        <f aca="false">'Forecast Detail'!B19</f>
        <v>1 Tuition and Fees</v>
      </c>
      <c r="E58" s="11" t="str">
        <f aca="false">IF(ISNUMBER(B$4),SUMIFS('Actuals Import'!$B$1:$B$600,'Actuals Import'!$H$1:$H$600,$C58,'Actuals Import'!$G$1:$G$600,1),"")</f>
        <v/>
      </c>
      <c r="F58" s="11" t="str">
        <f aca="false">IF(ISNUMBER(C$4),SUMIFS('Actuals Import'!$K$1:$K$600,'Actuals Import'!$Q$1:$Q$600,$C58,'Actuals Import'!$P$1:$P$600,1),"")</f>
        <v/>
      </c>
      <c r="G58" s="11" t="str">
        <f aca="false">IF(ISNUMBER(D$4),SUMIFS('Actuals Import'!$T$1:$T$600,'Actuals Import'!$Z$1:$Z$600,$C58,'Actuals Import'!$Y$1:$Y$600,1),"")</f>
        <v/>
      </c>
      <c r="H58" s="11" t="str">
        <f aca="false">IF(ISNUMBER(E$4),SUMIFS('Actuals Import'!$AC$1:$AC$600,'Actuals Import'!$AI$1:$AI$600,$C58,'Actuals Import'!$AH$1:$AH$600,1),"")</f>
        <v/>
      </c>
      <c r="I58" s="11" t="str">
        <f aca="false">IF(ISNUMBER(F$4),SUMIFS('Actuals Import'!$AL$1:$AL$600,'Actuals Import'!$AR$1:$AR$600,$C58,'Actuals Import'!$AQ$1:$AQ$600,1),"")</f>
        <v/>
      </c>
      <c r="J58" s="31" t="n">
        <f aca="false">'Forecast Detail'!G19</f>
        <v>9300</v>
      </c>
      <c r="K58" s="11" t="str">
        <f aca="false">IF($B$3=0,"",INDEX($E58:$I58,MATCH($F$3,$B$4:$F$4,0)))</f>
        <v/>
      </c>
      <c r="L58" s="11" t="str">
        <f aca="false">IF($B$3=0,"",AVERAGE($E58:$I58))</f>
        <v/>
      </c>
      <c r="M58" s="11" t="str">
        <f aca="false">IF($B$3&lt;3,"",IFERROR(FORECAST($H$3,$E58:$I58,$B$4:$F$4),""))</f>
        <v/>
      </c>
      <c r="N58" s="11" t="str">
        <f aca="false">IF($B$3&lt;2,"",IFERROR(IF(INDEX($E58:$I58,MATCH($D$3,$B$4:$F$4,0))*K58&gt;0,K58*(K58/INDEX($E58:$I58,MATCH($D$3,$B$4:$F$4,0)))^(($H$3-$F$3)/($F$3-$D$3)),K58),K58))</f>
        <v/>
      </c>
      <c r="O58" s="20"/>
      <c r="P58" s="6" t="str">
        <f aca="false">IF(O58&lt;&gt;"",O58,Inputs!$C$90)</f>
        <v>Linear Trend</v>
      </c>
      <c r="Q58" s="37" t="str">
        <f aca="false">IF($B$3=0,"",IF(Inputs!$C$91&gt;0,ROUND(IF(ISNUMBER(IF(P58="Last Actual",K58,IF(P58="Average",L58,IF(P58="Linear Trend",M58,N58)))),IF(P58="Last Actual",K58,IF(P58="Average",L58,IF(P58="Linear Trend",M58,N58))),K58)/Inputs!$C$91,0)*Inputs!$C$91,IF(ISNUMBER(IF(P58="Last Actual",K58,IF(P58="Average",L58,IF(P58="Linear Trend",M58,N58)))),IF(P58="Last Actual",K58,IF(P58="Average",L58,IF(P58="Linear Trend",M58,N58))),K58)))</f>
        <v/>
      </c>
      <c r="R58" s="31" t="n">
        <f aca="false">'Forecast Detail'!H19</f>
        <v>3000</v>
      </c>
      <c r="S58" s="8" t="str">
        <f aca="false">IF(Q58="","",IF(J58=0,"",Q58/J58-1))</f>
        <v/>
      </c>
      <c r="T58" s="38" t="str">
        <f aca="false">IF(S58="","",IF(ABS(S58)&gt;Inputs!$C$92,"REVIEW",""))</f>
        <v/>
      </c>
    </row>
    <row r="59" customFormat="false" ht="15" hidden="false" customHeight="false" outlineLevel="0" collapsed="false">
      <c r="A59" s="36" t="str">
        <f aca="false">'Forecast Detail'!D20</f>
        <v>400127 Waived Late Fees</v>
      </c>
      <c r="B59" s="36" t="str">
        <f aca="false">'Forecast Detail'!A20</f>
        <v>Revenue</v>
      </c>
      <c r="C59" s="36" t="str">
        <f aca="false">'Forecast Detail'!C20</f>
        <v>400127</v>
      </c>
      <c r="D59" s="36" t="str">
        <f aca="false">'Forecast Detail'!B20</f>
        <v>1 Tuition and Fees</v>
      </c>
      <c r="E59" s="11" t="str">
        <f aca="false">IF(ISNUMBER(B$4),SUMIFS('Actuals Import'!$B$1:$B$600,'Actuals Import'!$H$1:$H$600,$C59,'Actuals Import'!$G$1:$G$600,1),"")</f>
        <v/>
      </c>
      <c r="F59" s="11" t="str">
        <f aca="false">IF(ISNUMBER(C$4),SUMIFS('Actuals Import'!$K$1:$K$600,'Actuals Import'!$Q$1:$Q$600,$C59,'Actuals Import'!$P$1:$P$600,1),"")</f>
        <v/>
      </c>
      <c r="G59" s="11" t="str">
        <f aca="false">IF(ISNUMBER(D$4),SUMIFS('Actuals Import'!$T$1:$T$600,'Actuals Import'!$Z$1:$Z$600,$C59,'Actuals Import'!$Y$1:$Y$600,1),"")</f>
        <v/>
      </c>
      <c r="H59" s="11" t="str">
        <f aca="false">IF(ISNUMBER(E$4),SUMIFS('Actuals Import'!$AC$1:$AC$600,'Actuals Import'!$AI$1:$AI$600,$C59,'Actuals Import'!$AH$1:$AH$600,1),"")</f>
        <v/>
      </c>
      <c r="I59" s="11" t="str">
        <f aca="false">IF(ISNUMBER(F$4),SUMIFS('Actuals Import'!$AL$1:$AL$600,'Actuals Import'!$AR$1:$AR$600,$C59,'Actuals Import'!$AQ$1:$AQ$600,1),"")</f>
        <v/>
      </c>
      <c r="J59" s="31" t="n">
        <f aca="false">'Forecast Detail'!G20</f>
        <v>0</v>
      </c>
      <c r="K59" s="11" t="str">
        <f aca="false">IF($B$3=0,"",INDEX($E59:$I59,MATCH($F$3,$B$4:$F$4,0)))</f>
        <v/>
      </c>
      <c r="L59" s="11" t="str">
        <f aca="false">IF($B$3=0,"",AVERAGE($E59:$I59))</f>
        <v/>
      </c>
      <c r="M59" s="11" t="str">
        <f aca="false">IF($B$3&lt;3,"",IFERROR(FORECAST($H$3,$E59:$I59,$B$4:$F$4),""))</f>
        <v/>
      </c>
      <c r="N59" s="11" t="str">
        <f aca="false">IF($B$3&lt;2,"",IFERROR(IF(INDEX($E59:$I59,MATCH($D$3,$B$4:$F$4,0))*K59&gt;0,K59*(K59/INDEX($E59:$I59,MATCH($D$3,$B$4:$F$4,0)))^(($H$3-$F$3)/($F$3-$D$3)),K59),K59))</f>
        <v/>
      </c>
      <c r="O59" s="20"/>
      <c r="P59" s="6" t="str">
        <f aca="false">IF(O59&lt;&gt;"",O59,Inputs!$C$90)</f>
        <v>Linear Trend</v>
      </c>
      <c r="Q59" s="37" t="str">
        <f aca="false">IF($B$3=0,"",IF(Inputs!$C$91&gt;0,ROUND(IF(ISNUMBER(IF(P59="Last Actual",K59,IF(P59="Average",L59,IF(P59="Linear Trend",M59,N59)))),IF(P59="Last Actual",K59,IF(P59="Average",L59,IF(P59="Linear Trend",M59,N59))),K59)/Inputs!$C$91,0)*Inputs!$C$91,IF(ISNUMBER(IF(P59="Last Actual",K59,IF(P59="Average",L59,IF(P59="Linear Trend",M59,N59)))),IF(P59="Last Actual",K59,IF(P59="Average",L59,IF(P59="Linear Trend",M59,N59))),K59)))</f>
        <v/>
      </c>
      <c r="R59" s="31" t="n">
        <f aca="false">'Forecast Detail'!H20</f>
        <v>0</v>
      </c>
      <c r="S59" s="8" t="str">
        <f aca="false">IF(Q59="","",IF(J59=0,"",Q59/J59-1))</f>
        <v/>
      </c>
      <c r="T59" s="38" t="str">
        <f aca="false">IF(S59="","",IF(ABS(S59)&gt;Inputs!$C$92,"REVIEW",""))</f>
        <v/>
      </c>
    </row>
    <row r="60" customFormat="false" ht="15" hidden="false" customHeight="false" outlineLevel="0" collapsed="false">
      <c r="A60" s="36" t="str">
        <f aca="false">'Forecast Detail'!D21</f>
        <v>400128 Late Fees - Past Due Accounts</v>
      </c>
      <c r="B60" s="36" t="str">
        <f aca="false">'Forecast Detail'!A21</f>
        <v>Revenue</v>
      </c>
      <c r="C60" s="36" t="str">
        <f aca="false">'Forecast Detail'!C21</f>
        <v>400128</v>
      </c>
      <c r="D60" s="36" t="str">
        <f aca="false">'Forecast Detail'!B21</f>
        <v>1 Tuition and Fees</v>
      </c>
      <c r="E60" s="11" t="str">
        <f aca="false">IF(ISNUMBER(B$4),SUMIFS('Actuals Import'!$B$1:$B$600,'Actuals Import'!$H$1:$H$600,$C60,'Actuals Import'!$G$1:$G$600,1),"")</f>
        <v/>
      </c>
      <c r="F60" s="11" t="str">
        <f aca="false">IF(ISNUMBER(C$4),SUMIFS('Actuals Import'!$K$1:$K$600,'Actuals Import'!$Q$1:$Q$600,$C60,'Actuals Import'!$P$1:$P$600,1),"")</f>
        <v/>
      </c>
      <c r="G60" s="11" t="str">
        <f aca="false">IF(ISNUMBER(D$4),SUMIFS('Actuals Import'!$T$1:$T$600,'Actuals Import'!$Z$1:$Z$600,$C60,'Actuals Import'!$Y$1:$Y$600,1),"")</f>
        <v/>
      </c>
      <c r="H60" s="11" t="str">
        <f aca="false">IF(ISNUMBER(E$4),SUMIFS('Actuals Import'!$AC$1:$AC$600,'Actuals Import'!$AI$1:$AI$600,$C60,'Actuals Import'!$AH$1:$AH$600,1),"")</f>
        <v/>
      </c>
      <c r="I60" s="11" t="str">
        <f aca="false">IF(ISNUMBER(F$4),SUMIFS('Actuals Import'!$AL$1:$AL$600,'Actuals Import'!$AR$1:$AR$600,$C60,'Actuals Import'!$AQ$1:$AQ$600,1),"")</f>
        <v/>
      </c>
      <c r="J60" s="31" t="n">
        <f aca="false">'Forecast Detail'!G21</f>
        <v>0</v>
      </c>
      <c r="K60" s="11" t="str">
        <f aca="false">IF($B$3=0,"",INDEX($E60:$I60,MATCH($F$3,$B$4:$F$4,0)))</f>
        <v/>
      </c>
      <c r="L60" s="11" t="str">
        <f aca="false">IF($B$3=0,"",AVERAGE($E60:$I60))</f>
        <v/>
      </c>
      <c r="M60" s="11" t="str">
        <f aca="false">IF($B$3&lt;3,"",IFERROR(FORECAST($H$3,$E60:$I60,$B$4:$F$4),""))</f>
        <v/>
      </c>
      <c r="N60" s="11" t="str">
        <f aca="false">IF($B$3&lt;2,"",IFERROR(IF(INDEX($E60:$I60,MATCH($D$3,$B$4:$F$4,0))*K60&gt;0,K60*(K60/INDEX($E60:$I60,MATCH($D$3,$B$4:$F$4,0)))^(($H$3-$F$3)/($F$3-$D$3)),K60),K60))</f>
        <v/>
      </c>
      <c r="O60" s="20"/>
      <c r="P60" s="6" t="str">
        <f aca="false">IF(O60&lt;&gt;"",O60,Inputs!$C$90)</f>
        <v>Linear Trend</v>
      </c>
      <c r="Q60" s="37" t="str">
        <f aca="false">IF($B$3=0,"",IF(Inputs!$C$91&gt;0,ROUND(IF(ISNUMBER(IF(P60="Last Actual",K60,IF(P60="Average",L60,IF(P60="Linear Trend",M60,N60)))),IF(P60="Last Actual",K60,IF(P60="Average",L60,IF(P60="Linear Trend",M60,N60))),K60)/Inputs!$C$91,0)*Inputs!$C$91,IF(ISNUMBER(IF(P60="Last Actual",K60,IF(P60="Average",L60,IF(P60="Linear Trend",M60,N60)))),IF(P60="Last Actual",K60,IF(P60="Average",L60,IF(P60="Linear Trend",M60,N60))),K60)))</f>
        <v/>
      </c>
      <c r="R60" s="31" t="n">
        <f aca="false">'Forecast Detail'!H21</f>
        <v>0</v>
      </c>
      <c r="S60" s="8" t="str">
        <f aca="false">IF(Q60="","",IF(J60=0,"",Q60/J60-1))</f>
        <v/>
      </c>
      <c r="T60" s="38" t="str">
        <f aca="false">IF(S60="","",IF(ABS(S60)&gt;Inputs!$C$92,"REVIEW",""))</f>
        <v/>
      </c>
    </row>
    <row r="61" customFormat="false" ht="15" hidden="false" customHeight="false" outlineLevel="0" collapsed="false">
      <c r="A61" s="36" t="str">
        <f aca="false">'Forecast Detail'!D22</f>
        <v>400193 Pastoral Discount</v>
      </c>
      <c r="B61" s="36" t="str">
        <f aca="false">'Forecast Detail'!A22</f>
        <v>Revenue</v>
      </c>
      <c r="C61" s="36" t="str">
        <f aca="false">'Forecast Detail'!C22</f>
        <v>400193</v>
      </c>
      <c r="D61" s="36" t="str">
        <f aca="false">'Forecast Detail'!B22</f>
        <v>1 Tuition and Fees</v>
      </c>
      <c r="E61" s="11" t="str">
        <f aca="false">IF(ISNUMBER(B$4),SUMIFS('Actuals Import'!$B$1:$B$600,'Actuals Import'!$H$1:$H$600,$C61,'Actuals Import'!$G$1:$G$600,1),"")</f>
        <v/>
      </c>
      <c r="F61" s="11" t="str">
        <f aca="false">IF(ISNUMBER(C$4),SUMIFS('Actuals Import'!$K$1:$K$600,'Actuals Import'!$Q$1:$Q$600,$C61,'Actuals Import'!$P$1:$P$600,1),"")</f>
        <v/>
      </c>
      <c r="G61" s="11" t="str">
        <f aca="false">IF(ISNUMBER(D$4),SUMIFS('Actuals Import'!$T$1:$T$600,'Actuals Import'!$Z$1:$Z$600,$C61,'Actuals Import'!$Y$1:$Y$600,1),"")</f>
        <v/>
      </c>
      <c r="H61" s="11" t="str">
        <f aca="false">IF(ISNUMBER(E$4),SUMIFS('Actuals Import'!$AC$1:$AC$600,'Actuals Import'!$AI$1:$AI$600,$C61,'Actuals Import'!$AH$1:$AH$600,1),"")</f>
        <v/>
      </c>
      <c r="I61" s="11" t="str">
        <f aca="false">IF(ISNUMBER(F$4),SUMIFS('Actuals Import'!$AL$1:$AL$600,'Actuals Import'!$AR$1:$AR$600,$C61,'Actuals Import'!$AQ$1:$AQ$600,1),"")</f>
        <v/>
      </c>
      <c r="J61" s="31" t="n">
        <f aca="false">'Forecast Detail'!G22</f>
        <v>-16070</v>
      </c>
      <c r="K61" s="11" t="str">
        <f aca="false">IF($B$3=0,"",INDEX($E61:$I61,MATCH($F$3,$B$4:$F$4,0)))</f>
        <v/>
      </c>
      <c r="L61" s="11" t="str">
        <f aca="false">IF($B$3=0,"",AVERAGE($E61:$I61))</f>
        <v/>
      </c>
      <c r="M61" s="11" t="str">
        <f aca="false">IF($B$3&lt;3,"",IFERROR(FORECAST($H$3,$E61:$I61,$B$4:$F$4),""))</f>
        <v/>
      </c>
      <c r="N61" s="11" t="str">
        <f aca="false">IF($B$3&lt;2,"",IFERROR(IF(INDEX($E61:$I61,MATCH($D$3,$B$4:$F$4,0))*K61&gt;0,K61*(K61/INDEX($E61:$I61,MATCH($D$3,$B$4:$F$4,0)))^(($H$3-$F$3)/($F$3-$D$3)),K61),K61))</f>
        <v/>
      </c>
      <c r="O61" s="20"/>
      <c r="P61" s="6" t="str">
        <f aca="false">IF(O61&lt;&gt;"",O61,Inputs!$C$90)</f>
        <v>Linear Trend</v>
      </c>
      <c r="Q61" s="37" t="str">
        <f aca="false">IF($B$3=0,"",IF(Inputs!$C$91&gt;0,ROUND(IF(ISNUMBER(IF(P61="Last Actual",K61,IF(P61="Average",L61,IF(P61="Linear Trend",M61,N61)))),IF(P61="Last Actual",K61,IF(P61="Average",L61,IF(P61="Linear Trend",M61,N61))),K61)/Inputs!$C$91,0)*Inputs!$C$91,IF(ISNUMBER(IF(P61="Last Actual",K61,IF(P61="Average",L61,IF(P61="Linear Trend",M61,N61)))),IF(P61="Last Actual",K61,IF(P61="Average",L61,IF(P61="Linear Trend",M61,N61))),K61)))</f>
        <v/>
      </c>
      <c r="R61" s="31" t="n">
        <f aca="false">'Forecast Detail'!H22</f>
        <v>-16070</v>
      </c>
      <c r="S61" s="8" t="str">
        <f aca="false">IF(Q61="","",IF(J61=0,"",Q61/J61-1))</f>
        <v/>
      </c>
      <c r="T61" s="38" t="str">
        <f aca="false">IF(S61="","",IF(ABS(S61)&gt;Inputs!$C$92,"REVIEW",""))</f>
        <v/>
      </c>
    </row>
    <row r="62" customFormat="false" ht="15" hidden="false" customHeight="false" outlineLevel="0" collapsed="false">
      <c r="A62" s="36" t="str">
        <f aca="false">'Forecast Detail'!D23</f>
        <v>400194 Grace Based Financial Assistance</v>
      </c>
      <c r="B62" s="36" t="str">
        <f aca="false">'Forecast Detail'!A23</f>
        <v>Revenue</v>
      </c>
      <c r="C62" s="36" t="str">
        <f aca="false">'Forecast Detail'!C23</f>
        <v>400194</v>
      </c>
      <c r="D62" s="36" t="str">
        <f aca="false">'Forecast Detail'!B23</f>
        <v>1 Tuition and Fees</v>
      </c>
      <c r="E62" s="11" t="str">
        <f aca="false">IF(ISNUMBER(B$4),SUMIFS('Actuals Import'!$B$1:$B$600,'Actuals Import'!$H$1:$H$600,$C62,'Actuals Import'!$G$1:$G$600,1),"")</f>
        <v/>
      </c>
      <c r="F62" s="11" t="str">
        <f aca="false">IF(ISNUMBER(C$4),SUMIFS('Actuals Import'!$K$1:$K$600,'Actuals Import'!$Q$1:$Q$600,$C62,'Actuals Import'!$P$1:$P$600,1),"")</f>
        <v/>
      </c>
      <c r="G62" s="11" t="str">
        <f aca="false">IF(ISNUMBER(D$4),SUMIFS('Actuals Import'!$T$1:$T$600,'Actuals Import'!$Z$1:$Z$600,$C62,'Actuals Import'!$Y$1:$Y$600,1),"")</f>
        <v/>
      </c>
      <c r="H62" s="11" t="str">
        <f aca="false">IF(ISNUMBER(E$4),SUMIFS('Actuals Import'!$AC$1:$AC$600,'Actuals Import'!$AI$1:$AI$600,$C62,'Actuals Import'!$AH$1:$AH$600,1),"")</f>
        <v/>
      </c>
      <c r="I62" s="11" t="str">
        <f aca="false">IF(ISNUMBER(F$4),SUMIFS('Actuals Import'!$AL$1:$AL$600,'Actuals Import'!$AR$1:$AR$600,$C62,'Actuals Import'!$AQ$1:$AQ$600,1),"")</f>
        <v/>
      </c>
      <c r="J62" s="31" t="n">
        <f aca="false">'Forecast Detail'!G23</f>
        <v>-300000</v>
      </c>
      <c r="K62" s="11" t="str">
        <f aca="false">IF($B$3=0,"",INDEX($E62:$I62,MATCH($F$3,$B$4:$F$4,0)))</f>
        <v/>
      </c>
      <c r="L62" s="11" t="str">
        <f aca="false">IF($B$3=0,"",AVERAGE($E62:$I62))</f>
        <v/>
      </c>
      <c r="M62" s="11" t="str">
        <f aca="false">IF($B$3&lt;3,"",IFERROR(FORECAST($H$3,$E62:$I62,$B$4:$F$4),""))</f>
        <v/>
      </c>
      <c r="N62" s="11" t="str">
        <f aca="false">IF($B$3&lt;2,"",IFERROR(IF(INDEX($E62:$I62,MATCH($D$3,$B$4:$F$4,0))*K62&gt;0,K62*(K62/INDEX($E62:$I62,MATCH($D$3,$B$4:$F$4,0)))^(($H$3-$F$3)/($F$3-$D$3)),K62),K62))</f>
        <v/>
      </c>
      <c r="O62" s="20"/>
      <c r="P62" s="6" t="str">
        <f aca="false">IF(O62&lt;&gt;"",O62,Inputs!$C$90)</f>
        <v>Linear Trend</v>
      </c>
      <c r="Q62" s="37" t="str">
        <f aca="false">IF($B$3=0,"",IF(Inputs!$C$91&gt;0,ROUND(IF(ISNUMBER(IF(P62="Last Actual",K62,IF(P62="Average",L62,IF(P62="Linear Trend",M62,N62)))),IF(P62="Last Actual",K62,IF(P62="Average",L62,IF(P62="Linear Trend",M62,N62))),K62)/Inputs!$C$91,0)*Inputs!$C$91,IF(ISNUMBER(IF(P62="Last Actual",K62,IF(P62="Average",L62,IF(P62="Linear Trend",M62,N62)))),IF(P62="Last Actual",K62,IF(P62="Average",L62,IF(P62="Linear Trend",M62,N62))),K62)))</f>
        <v/>
      </c>
      <c r="R62" s="31" t="n">
        <f aca="false">'Forecast Detail'!H23</f>
        <v>-325000</v>
      </c>
      <c r="S62" s="8" t="str">
        <f aca="false">IF(Q62="","",IF(J62=0,"",Q62/J62-1))</f>
        <v/>
      </c>
      <c r="T62" s="38" t="str">
        <f aca="false">IF(S62="","",IF(ABS(S62)&gt;Inputs!$C$92,"REVIEW",""))</f>
        <v/>
      </c>
    </row>
    <row r="63" customFormat="false" ht="15" hidden="false" customHeight="false" outlineLevel="0" collapsed="false">
      <c r="A63" s="36" t="str">
        <f aca="false">'Forecast Detail'!D24</f>
        <v>400195 Multi-Child Discounts</v>
      </c>
      <c r="B63" s="36" t="str">
        <f aca="false">'Forecast Detail'!A24</f>
        <v>Revenue</v>
      </c>
      <c r="C63" s="36" t="str">
        <f aca="false">'Forecast Detail'!C24</f>
        <v>400195</v>
      </c>
      <c r="D63" s="36" t="str">
        <f aca="false">'Forecast Detail'!B24</f>
        <v>1 Tuition and Fees</v>
      </c>
      <c r="E63" s="11" t="str">
        <f aca="false">IF(ISNUMBER(B$4),SUMIFS('Actuals Import'!$B$1:$B$600,'Actuals Import'!$H$1:$H$600,$C63,'Actuals Import'!$G$1:$G$600,1),"")</f>
        <v/>
      </c>
      <c r="F63" s="11" t="str">
        <f aca="false">IF(ISNUMBER(C$4),SUMIFS('Actuals Import'!$K$1:$K$600,'Actuals Import'!$Q$1:$Q$600,$C63,'Actuals Import'!$P$1:$P$600,1),"")</f>
        <v/>
      </c>
      <c r="G63" s="11" t="str">
        <f aca="false">IF(ISNUMBER(D$4),SUMIFS('Actuals Import'!$T$1:$T$600,'Actuals Import'!$Z$1:$Z$600,$C63,'Actuals Import'!$Y$1:$Y$600,1),"")</f>
        <v/>
      </c>
      <c r="H63" s="11" t="str">
        <f aca="false">IF(ISNUMBER(E$4),SUMIFS('Actuals Import'!$AC$1:$AC$600,'Actuals Import'!$AI$1:$AI$600,$C63,'Actuals Import'!$AH$1:$AH$600,1),"")</f>
        <v/>
      </c>
      <c r="I63" s="11" t="str">
        <f aca="false">IF(ISNUMBER(F$4),SUMIFS('Actuals Import'!$AL$1:$AL$600,'Actuals Import'!$AR$1:$AR$600,$C63,'Actuals Import'!$AQ$1:$AQ$600,1),"")</f>
        <v/>
      </c>
      <c r="J63" s="31" t="n">
        <f aca="false">'Forecast Detail'!G24</f>
        <v>-49675</v>
      </c>
      <c r="K63" s="11" t="str">
        <f aca="false">IF($B$3=0,"",INDEX($E63:$I63,MATCH($F$3,$B$4:$F$4,0)))</f>
        <v/>
      </c>
      <c r="L63" s="11" t="str">
        <f aca="false">IF($B$3=0,"",AVERAGE($E63:$I63))</f>
        <v/>
      </c>
      <c r="M63" s="11" t="str">
        <f aca="false">IF($B$3&lt;3,"",IFERROR(FORECAST($H$3,$E63:$I63,$B$4:$F$4),""))</f>
        <v/>
      </c>
      <c r="N63" s="11" t="str">
        <f aca="false">IF($B$3&lt;2,"",IFERROR(IF(INDEX($E63:$I63,MATCH($D$3,$B$4:$F$4,0))*K63&gt;0,K63*(K63/INDEX($E63:$I63,MATCH($D$3,$B$4:$F$4,0)))^(($H$3-$F$3)/($F$3-$D$3)),K63),K63))</f>
        <v/>
      </c>
      <c r="O63" s="20"/>
      <c r="P63" s="6" t="str">
        <f aca="false">IF(O63&lt;&gt;"",O63,Inputs!$C$90)</f>
        <v>Linear Trend</v>
      </c>
      <c r="Q63" s="37" t="str">
        <f aca="false">IF($B$3=0,"",IF(Inputs!$C$91&gt;0,ROUND(IF(ISNUMBER(IF(P63="Last Actual",K63,IF(P63="Average",L63,IF(P63="Linear Trend",M63,N63)))),IF(P63="Last Actual",K63,IF(P63="Average",L63,IF(P63="Linear Trend",M63,N63))),K63)/Inputs!$C$91,0)*Inputs!$C$91,IF(ISNUMBER(IF(P63="Last Actual",K63,IF(P63="Average",L63,IF(P63="Linear Trend",M63,N63)))),IF(P63="Last Actual",K63,IF(P63="Average",L63,IF(P63="Linear Trend",M63,N63))),K63)))</f>
        <v/>
      </c>
      <c r="R63" s="31" t="n">
        <f aca="false">'Forecast Detail'!H24</f>
        <v>-49675</v>
      </c>
      <c r="S63" s="8" t="str">
        <f aca="false">IF(Q63="","",IF(J63=0,"",Q63/J63-1))</f>
        <v/>
      </c>
      <c r="T63" s="38" t="str">
        <f aca="false">IF(S63="","",IF(ABS(S63)&gt;Inputs!$C$92,"REVIEW",""))</f>
        <v/>
      </c>
    </row>
    <row r="64" customFormat="false" ht="15" hidden="false" customHeight="false" outlineLevel="0" collapsed="false">
      <c r="A64" s="36" t="str">
        <f aca="false">'Forecast Detail'!D25</f>
        <v>400196 Military Discount</v>
      </c>
      <c r="B64" s="36" t="str">
        <f aca="false">'Forecast Detail'!A25</f>
        <v>Revenue</v>
      </c>
      <c r="C64" s="36" t="str">
        <f aca="false">'Forecast Detail'!C25</f>
        <v>400196</v>
      </c>
      <c r="D64" s="36" t="str">
        <f aca="false">'Forecast Detail'!B25</f>
        <v>1 Tuition and Fees</v>
      </c>
      <c r="E64" s="11" t="str">
        <f aca="false">IF(ISNUMBER(B$4),SUMIFS('Actuals Import'!$B$1:$B$600,'Actuals Import'!$H$1:$H$600,$C64,'Actuals Import'!$G$1:$G$600,1),"")</f>
        <v/>
      </c>
      <c r="F64" s="11" t="str">
        <f aca="false">IF(ISNUMBER(C$4),SUMIFS('Actuals Import'!$K$1:$K$600,'Actuals Import'!$Q$1:$Q$600,$C64,'Actuals Import'!$P$1:$P$600,1),"")</f>
        <v/>
      </c>
      <c r="G64" s="11" t="str">
        <f aca="false">IF(ISNUMBER(D$4),SUMIFS('Actuals Import'!$T$1:$T$600,'Actuals Import'!$Z$1:$Z$600,$C64,'Actuals Import'!$Y$1:$Y$600,1),"")</f>
        <v/>
      </c>
      <c r="H64" s="11" t="str">
        <f aca="false">IF(ISNUMBER(E$4),SUMIFS('Actuals Import'!$AC$1:$AC$600,'Actuals Import'!$AI$1:$AI$600,$C64,'Actuals Import'!$AH$1:$AH$600,1),"")</f>
        <v/>
      </c>
      <c r="I64" s="11" t="str">
        <f aca="false">IF(ISNUMBER(F$4),SUMIFS('Actuals Import'!$AL$1:$AL$600,'Actuals Import'!$AR$1:$AR$600,$C64,'Actuals Import'!$AQ$1:$AQ$600,1),"")</f>
        <v/>
      </c>
      <c r="J64" s="31" t="n">
        <f aca="false">'Forecast Detail'!G25</f>
        <v>-65453</v>
      </c>
      <c r="K64" s="11" t="str">
        <f aca="false">IF($B$3=0,"",INDEX($E64:$I64,MATCH($F$3,$B$4:$F$4,0)))</f>
        <v/>
      </c>
      <c r="L64" s="11" t="str">
        <f aca="false">IF($B$3=0,"",AVERAGE($E64:$I64))</f>
        <v/>
      </c>
      <c r="M64" s="11" t="str">
        <f aca="false">IF($B$3&lt;3,"",IFERROR(FORECAST($H$3,$E64:$I64,$B$4:$F$4),""))</f>
        <v/>
      </c>
      <c r="N64" s="11" t="str">
        <f aca="false">IF($B$3&lt;2,"",IFERROR(IF(INDEX($E64:$I64,MATCH($D$3,$B$4:$F$4,0))*K64&gt;0,K64*(K64/INDEX($E64:$I64,MATCH($D$3,$B$4:$F$4,0)))^(($H$3-$F$3)/($F$3-$D$3)),K64),K64))</f>
        <v/>
      </c>
      <c r="O64" s="20"/>
      <c r="P64" s="6" t="str">
        <f aca="false">IF(O64&lt;&gt;"",O64,Inputs!$C$90)</f>
        <v>Linear Trend</v>
      </c>
      <c r="Q64" s="37" t="str">
        <f aca="false">IF($B$3=0,"",IF(Inputs!$C$91&gt;0,ROUND(IF(ISNUMBER(IF(P64="Last Actual",K64,IF(P64="Average",L64,IF(P64="Linear Trend",M64,N64)))),IF(P64="Last Actual",K64,IF(P64="Average",L64,IF(P64="Linear Trend",M64,N64))),K64)/Inputs!$C$91,0)*Inputs!$C$91,IF(ISNUMBER(IF(P64="Last Actual",K64,IF(P64="Average",L64,IF(P64="Linear Trend",M64,N64)))),IF(P64="Last Actual",K64,IF(P64="Average",L64,IF(P64="Linear Trend",M64,N64))),K64)))</f>
        <v/>
      </c>
      <c r="R64" s="31" t="n">
        <f aca="false">'Forecast Detail'!H25</f>
        <v>-65453</v>
      </c>
      <c r="S64" s="8" t="str">
        <f aca="false">IF(Q64="","",IF(J64=0,"",Q64/J64-1))</f>
        <v/>
      </c>
      <c r="T64" s="38" t="str">
        <f aca="false">IF(S64="","",IF(ABS(S64)&gt;Inputs!$C$92,"REVIEW",""))</f>
        <v/>
      </c>
    </row>
    <row r="65" customFormat="false" ht="15" hidden="false" customHeight="false" outlineLevel="0" collapsed="false">
      <c r="A65" s="36" t="str">
        <f aca="false">'Forecast Detail'!D26</f>
        <v>400133 Cat Quest Revenue</v>
      </c>
      <c r="B65" s="36" t="str">
        <f aca="false">'Forecast Detail'!A26</f>
        <v>Revenue</v>
      </c>
      <c r="C65" s="36" t="str">
        <f aca="false">'Forecast Detail'!C26</f>
        <v>400133</v>
      </c>
      <c r="D65" s="36" t="str">
        <f aca="false">'Forecast Detail'!B26</f>
        <v>2 Interest and Other Income</v>
      </c>
      <c r="E65" s="11" t="str">
        <f aca="false">IF(ISNUMBER(B$4),SUMIFS('Actuals Import'!$B$1:$B$600,'Actuals Import'!$H$1:$H$600,$C65,'Actuals Import'!$G$1:$G$600,1),"")</f>
        <v/>
      </c>
      <c r="F65" s="11" t="str">
        <f aca="false">IF(ISNUMBER(C$4),SUMIFS('Actuals Import'!$K$1:$K$600,'Actuals Import'!$Q$1:$Q$600,$C65,'Actuals Import'!$P$1:$P$600,1),"")</f>
        <v/>
      </c>
      <c r="G65" s="11" t="str">
        <f aca="false">IF(ISNUMBER(D$4),SUMIFS('Actuals Import'!$T$1:$T$600,'Actuals Import'!$Z$1:$Z$600,$C65,'Actuals Import'!$Y$1:$Y$600,1),"")</f>
        <v/>
      </c>
      <c r="H65" s="11" t="str">
        <f aca="false">IF(ISNUMBER(E$4),SUMIFS('Actuals Import'!$AC$1:$AC$600,'Actuals Import'!$AI$1:$AI$600,$C65,'Actuals Import'!$AH$1:$AH$600,1),"")</f>
        <v/>
      </c>
      <c r="I65" s="11" t="str">
        <f aca="false">IF(ISNUMBER(F$4),SUMIFS('Actuals Import'!$AL$1:$AL$600,'Actuals Import'!$AR$1:$AR$600,$C65,'Actuals Import'!$AQ$1:$AQ$600,1),"")</f>
        <v/>
      </c>
      <c r="J65" s="31" t="n">
        <f aca="false">'Forecast Detail'!G26</f>
        <v>145000</v>
      </c>
      <c r="K65" s="11" t="str">
        <f aca="false">IF($B$3=0,"",INDEX($E65:$I65,MATCH($F$3,$B$4:$F$4,0)))</f>
        <v/>
      </c>
      <c r="L65" s="11" t="str">
        <f aca="false">IF($B$3=0,"",AVERAGE($E65:$I65))</f>
        <v/>
      </c>
      <c r="M65" s="11" t="str">
        <f aca="false">IF($B$3&lt;3,"",IFERROR(FORECAST($H$3,$E65:$I65,$B$4:$F$4),""))</f>
        <v/>
      </c>
      <c r="N65" s="11" t="str">
        <f aca="false">IF($B$3&lt;2,"",IFERROR(IF(INDEX($E65:$I65,MATCH($D$3,$B$4:$F$4,0))*K65&gt;0,K65*(K65/INDEX($E65:$I65,MATCH($D$3,$B$4:$F$4,0)))^(($H$3-$F$3)/($F$3-$D$3)),K65),K65))</f>
        <v/>
      </c>
      <c r="O65" s="20"/>
      <c r="P65" s="6" t="str">
        <f aca="false">IF(O65&lt;&gt;"",O65,Inputs!$C$90)</f>
        <v>Linear Trend</v>
      </c>
      <c r="Q65" s="37" t="str">
        <f aca="false">IF($B$3=0,"",IF(Inputs!$C$91&gt;0,ROUND(IF(ISNUMBER(IF(P65="Last Actual",K65,IF(P65="Average",L65,IF(P65="Linear Trend",M65,N65)))),IF(P65="Last Actual",K65,IF(P65="Average",L65,IF(P65="Linear Trend",M65,N65))),K65)/Inputs!$C$91,0)*Inputs!$C$91,IF(ISNUMBER(IF(P65="Last Actual",K65,IF(P65="Average",L65,IF(P65="Linear Trend",M65,N65)))),IF(P65="Last Actual",K65,IF(P65="Average",L65,IF(P65="Linear Trend",M65,N65))),K65)))</f>
        <v/>
      </c>
      <c r="R65" s="31" t="n">
        <f aca="false">'Forecast Detail'!H26</f>
        <v>145000</v>
      </c>
      <c r="S65" s="8" t="str">
        <f aca="false">IF(Q65="","",IF(J65=0,"",Q65/J65-1))</f>
        <v/>
      </c>
      <c r="T65" s="38" t="str">
        <f aca="false">IF(S65="","",IF(ABS(S65)&gt;Inputs!$C$92,"REVIEW",""))</f>
        <v/>
      </c>
    </row>
    <row r="66" customFormat="false" ht="15" hidden="false" customHeight="false" outlineLevel="0" collapsed="false">
      <c r="A66" s="36" t="str">
        <f aca="false">'Forecast Detail'!D27</f>
        <v>400134 Summer Quest Income</v>
      </c>
      <c r="B66" s="36" t="str">
        <f aca="false">'Forecast Detail'!A27</f>
        <v>Revenue</v>
      </c>
      <c r="C66" s="36" t="str">
        <f aca="false">'Forecast Detail'!C27</f>
        <v>400134</v>
      </c>
      <c r="D66" s="36" t="str">
        <f aca="false">'Forecast Detail'!B27</f>
        <v>2 Interest and Other Income</v>
      </c>
      <c r="E66" s="11" t="str">
        <f aca="false">IF(ISNUMBER(B$4),SUMIFS('Actuals Import'!$B$1:$B$600,'Actuals Import'!$H$1:$H$600,$C66,'Actuals Import'!$G$1:$G$600,1),"")</f>
        <v/>
      </c>
      <c r="F66" s="11" t="str">
        <f aca="false">IF(ISNUMBER(C$4),SUMIFS('Actuals Import'!$K$1:$K$600,'Actuals Import'!$Q$1:$Q$600,$C66,'Actuals Import'!$P$1:$P$600,1),"")</f>
        <v/>
      </c>
      <c r="G66" s="11" t="str">
        <f aca="false">IF(ISNUMBER(D$4),SUMIFS('Actuals Import'!$T$1:$T$600,'Actuals Import'!$Z$1:$Z$600,$C66,'Actuals Import'!$Y$1:$Y$600,1),"")</f>
        <v/>
      </c>
      <c r="H66" s="11" t="str">
        <f aca="false">IF(ISNUMBER(E$4),SUMIFS('Actuals Import'!$AC$1:$AC$600,'Actuals Import'!$AI$1:$AI$600,$C66,'Actuals Import'!$AH$1:$AH$600,1),"")</f>
        <v/>
      </c>
      <c r="I66" s="11" t="str">
        <f aca="false">IF(ISNUMBER(F$4),SUMIFS('Actuals Import'!$AL$1:$AL$600,'Actuals Import'!$AR$1:$AR$600,$C66,'Actuals Import'!$AQ$1:$AQ$600,1),"")</f>
        <v/>
      </c>
      <c r="J66" s="31" t="n">
        <f aca="false">'Forecast Detail'!G27</f>
        <v>0</v>
      </c>
      <c r="K66" s="11" t="str">
        <f aca="false">IF($B$3=0,"",INDEX($E66:$I66,MATCH($F$3,$B$4:$F$4,0)))</f>
        <v/>
      </c>
      <c r="L66" s="11" t="str">
        <f aca="false">IF($B$3=0,"",AVERAGE($E66:$I66))</f>
        <v/>
      </c>
      <c r="M66" s="11" t="str">
        <f aca="false">IF($B$3&lt;3,"",IFERROR(FORECAST($H$3,$E66:$I66,$B$4:$F$4),""))</f>
        <v/>
      </c>
      <c r="N66" s="11" t="str">
        <f aca="false">IF($B$3&lt;2,"",IFERROR(IF(INDEX($E66:$I66,MATCH($D$3,$B$4:$F$4,0))*K66&gt;0,K66*(K66/INDEX($E66:$I66,MATCH($D$3,$B$4:$F$4,0)))^(($H$3-$F$3)/($F$3-$D$3)),K66),K66))</f>
        <v/>
      </c>
      <c r="O66" s="20"/>
      <c r="P66" s="6" t="str">
        <f aca="false">IF(O66&lt;&gt;"",O66,Inputs!$C$90)</f>
        <v>Linear Trend</v>
      </c>
      <c r="Q66" s="37" t="str">
        <f aca="false">IF($B$3=0,"",IF(Inputs!$C$91&gt;0,ROUND(IF(ISNUMBER(IF(P66="Last Actual",K66,IF(P66="Average",L66,IF(P66="Linear Trend",M66,N66)))),IF(P66="Last Actual",K66,IF(P66="Average",L66,IF(P66="Linear Trend",M66,N66))),K66)/Inputs!$C$91,0)*Inputs!$C$91,IF(ISNUMBER(IF(P66="Last Actual",K66,IF(P66="Average",L66,IF(P66="Linear Trend",M66,N66)))),IF(P66="Last Actual",K66,IF(P66="Average",L66,IF(P66="Linear Trend",M66,N66))),K66)))</f>
        <v/>
      </c>
      <c r="R66" s="31" t="n">
        <f aca="false">'Forecast Detail'!H27</f>
        <v>0</v>
      </c>
      <c r="S66" s="8" t="str">
        <f aca="false">IF(Q66="","",IF(J66=0,"",Q66/J66-1))</f>
        <v/>
      </c>
      <c r="T66" s="38" t="str">
        <f aca="false">IF(S66="","",IF(ABS(S66)&gt;Inputs!$C$92,"REVIEW",""))</f>
        <v/>
      </c>
    </row>
    <row r="67" customFormat="false" ht="15" hidden="false" customHeight="false" outlineLevel="0" collapsed="false">
      <c r="A67" s="36" t="str">
        <f aca="false">'Forecast Detail'!D28</f>
        <v>400197 Cat Quest Expenses (Contra)</v>
      </c>
      <c r="B67" s="36" t="str">
        <f aca="false">'Forecast Detail'!A28</f>
        <v>Revenue</v>
      </c>
      <c r="C67" s="36" t="str">
        <f aca="false">'Forecast Detail'!C28</f>
        <v>400197</v>
      </c>
      <c r="D67" s="36" t="str">
        <f aca="false">'Forecast Detail'!B28</f>
        <v>2 Interest and Other Income</v>
      </c>
      <c r="E67" s="11" t="str">
        <f aca="false">IF(ISNUMBER(B$4),SUMIFS('Actuals Import'!$B$1:$B$600,'Actuals Import'!$H$1:$H$600,$C67,'Actuals Import'!$G$1:$G$600,1),"")</f>
        <v/>
      </c>
      <c r="F67" s="11" t="str">
        <f aca="false">IF(ISNUMBER(C$4),SUMIFS('Actuals Import'!$K$1:$K$600,'Actuals Import'!$Q$1:$Q$600,$C67,'Actuals Import'!$P$1:$P$600,1),"")</f>
        <v/>
      </c>
      <c r="G67" s="11" t="str">
        <f aca="false">IF(ISNUMBER(D$4),SUMIFS('Actuals Import'!$T$1:$T$600,'Actuals Import'!$Z$1:$Z$600,$C67,'Actuals Import'!$Y$1:$Y$600,1),"")</f>
        <v/>
      </c>
      <c r="H67" s="11" t="str">
        <f aca="false">IF(ISNUMBER(E$4),SUMIFS('Actuals Import'!$AC$1:$AC$600,'Actuals Import'!$AI$1:$AI$600,$C67,'Actuals Import'!$AH$1:$AH$600,1),"")</f>
        <v/>
      </c>
      <c r="I67" s="11" t="str">
        <f aca="false">IF(ISNUMBER(F$4),SUMIFS('Actuals Import'!$AL$1:$AL$600,'Actuals Import'!$AR$1:$AR$600,$C67,'Actuals Import'!$AQ$1:$AQ$600,1),"")</f>
        <v/>
      </c>
      <c r="J67" s="31" t="n">
        <f aca="false">'Forecast Detail'!G28</f>
        <v>-95000</v>
      </c>
      <c r="K67" s="11" t="str">
        <f aca="false">IF($B$3=0,"",INDEX($E67:$I67,MATCH($F$3,$B$4:$F$4,0)))</f>
        <v/>
      </c>
      <c r="L67" s="11" t="str">
        <f aca="false">IF($B$3=0,"",AVERAGE($E67:$I67))</f>
        <v/>
      </c>
      <c r="M67" s="11" t="str">
        <f aca="false">IF($B$3&lt;3,"",IFERROR(FORECAST($H$3,$E67:$I67,$B$4:$F$4),""))</f>
        <v/>
      </c>
      <c r="N67" s="11" t="str">
        <f aca="false">IF($B$3&lt;2,"",IFERROR(IF(INDEX($E67:$I67,MATCH($D$3,$B$4:$F$4,0))*K67&gt;0,K67*(K67/INDEX($E67:$I67,MATCH($D$3,$B$4:$F$4,0)))^(($H$3-$F$3)/($F$3-$D$3)),K67),K67))</f>
        <v/>
      </c>
      <c r="O67" s="20"/>
      <c r="P67" s="6" t="str">
        <f aca="false">IF(O67&lt;&gt;"",O67,Inputs!$C$90)</f>
        <v>Linear Trend</v>
      </c>
      <c r="Q67" s="37" t="str">
        <f aca="false">IF($B$3=0,"",IF(Inputs!$C$91&gt;0,ROUND(IF(ISNUMBER(IF(P67="Last Actual",K67,IF(P67="Average",L67,IF(P67="Linear Trend",M67,N67)))),IF(P67="Last Actual",K67,IF(P67="Average",L67,IF(P67="Linear Trend",M67,N67))),K67)/Inputs!$C$91,0)*Inputs!$C$91,IF(ISNUMBER(IF(P67="Last Actual",K67,IF(P67="Average",L67,IF(P67="Linear Trend",M67,N67)))),IF(P67="Last Actual",K67,IF(P67="Average",L67,IF(P67="Linear Trend",M67,N67))),K67)))</f>
        <v/>
      </c>
      <c r="R67" s="31" t="n">
        <f aca="false">'Forecast Detail'!H28</f>
        <v>-95000</v>
      </c>
      <c r="S67" s="8" t="str">
        <f aca="false">IF(Q67="","",IF(J67=0,"",Q67/J67-1))</f>
        <v/>
      </c>
      <c r="T67" s="38" t="str">
        <f aca="false">IF(S67="","",IF(ABS(S67)&gt;Inputs!$C$92,"REVIEW",""))</f>
        <v/>
      </c>
    </row>
    <row r="68" customFormat="false" ht="15" hidden="false" customHeight="false" outlineLevel="0" collapsed="false">
      <c r="A68" s="36" t="str">
        <f aca="false">'Forecast Detail'!D29</f>
        <v>400198 Summer Cat Quest Expenses (Contra)</v>
      </c>
      <c r="B68" s="36" t="str">
        <f aca="false">'Forecast Detail'!A29</f>
        <v>Revenue</v>
      </c>
      <c r="C68" s="36" t="str">
        <f aca="false">'Forecast Detail'!C29</f>
        <v>400198</v>
      </c>
      <c r="D68" s="36" t="str">
        <f aca="false">'Forecast Detail'!B29</f>
        <v>2 Interest and Other Income</v>
      </c>
      <c r="E68" s="11" t="str">
        <f aca="false">IF(ISNUMBER(B$4),SUMIFS('Actuals Import'!$B$1:$B$600,'Actuals Import'!$H$1:$H$600,$C68,'Actuals Import'!$G$1:$G$600,1),"")</f>
        <v/>
      </c>
      <c r="F68" s="11" t="str">
        <f aca="false">IF(ISNUMBER(C$4),SUMIFS('Actuals Import'!$K$1:$K$600,'Actuals Import'!$Q$1:$Q$600,$C68,'Actuals Import'!$P$1:$P$600,1),"")</f>
        <v/>
      </c>
      <c r="G68" s="11" t="str">
        <f aca="false">IF(ISNUMBER(D$4),SUMIFS('Actuals Import'!$T$1:$T$600,'Actuals Import'!$Z$1:$Z$600,$C68,'Actuals Import'!$Y$1:$Y$600,1),"")</f>
        <v/>
      </c>
      <c r="H68" s="11" t="str">
        <f aca="false">IF(ISNUMBER(E$4),SUMIFS('Actuals Import'!$AC$1:$AC$600,'Actuals Import'!$AI$1:$AI$600,$C68,'Actuals Import'!$AH$1:$AH$600,1),"")</f>
        <v/>
      </c>
      <c r="I68" s="11" t="str">
        <f aca="false">IF(ISNUMBER(F$4),SUMIFS('Actuals Import'!$AL$1:$AL$600,'Actuals Import'!$AR$1:$AR$600,$C68,'Actuals Import'!$AQ$1:$AQ$600,1),"")</f>
        <v/>
      </c>
      <c r="J68" s="31" t="n">
        <f aca="false">'Forecast Detail'!G29</f>
        <v>0</v>
      </c>
      <c r="K68" s="11" t="str">
        <f aca="false">IF($B$3=0,"",INDEX($E68:$I68,MATCH($F$3,$B$4:$F$4,0)))</f>
        <v/>
      </c>
      <c r="L68" s="11" t="str">
        <f aca="false">IF($B$3=0,"",AVERAGE($E68:$I68))</f>
        <v/>
      </c>
      <c r="M68" s="11" t="str">
        <f aca="false">IF($B$3&lt;3,"",IFERROR(FORECAST($H$3,$E68:$I68,$B$4:$F$4),""))</f>
        <v/>
      </c>
      <c r="N68" s="11" t="str">
        <f aca="false">IF($B$3&lt;2,"",IFERROR(IF(INDEX($E68:$I68,MATCH($D$3,$B$4:$F$4,0))*K68&gt;0,K68*(K68/INDEX($E68:$I68,MATCH($D$3,$B$4:$F$4,0)))^(($H$3-$F$3)/($F$3-$D$3)),K68),K68))</f>
        <v/>
      </c>
      <c r="O68" s="20"/>
      <c r="P68" s="6" t="str">
        <f aca="false">IF(O68&lt;&gt;"",O68,Inputs!$C$90)</f>
        <v>Linear Trend</v>
      </c>
      <c r="Q68" s="37" t="str">
        <f aca="false">IF($B$3=0,"",IF(Inputs!$C$91&gt;0,ROUND(IF(ISNUMBER(IF(P68="Last Actual",K68,IF(P68="Average",L68,IF(P68="Linear Trend",M68,N68)))),IF(P68="Last Actual",K68,IF(P68="Average",L68,IF(P68="Linear Trend",M68,N68))),K68)/Inputs!$C$91,0)*Inputs!$C$91,IF(ISNUMBER(IF(P68="Last Actual",K68,IF(P68="Average",L68,IF(P68="Linear Trend",M68,N68)))),IF(P68="Last Actual",K68,IF(P68="Average",L68,IF(P68="Linear Trend",M68,N68))),K68)))</f>
        <v/>
      </c>
      <c r="R68" s="31" t="n">
        <f aca="false">'Forecast Detail'!H29</f>
        <v>0</v>
      </c>
      <c r="S68" s="8" t="str">
        <f aca="false">IF(Q68="","",IF(J68=0,"",Q68/J68-1))</f>
        <v/>
      </c>
      <c r="T68" s="38" t="str">
        <f aca="false">IF(S68="","",IF(ABS(S68)&gt;Inputs!$C$92,"REVIEW",""))</f>
        <v/>
      </c>
    </row>
    <row r="69" customFormat="false" ht="15" hidden="false" customHeight="false" outlineLevel="0" collapsed="false">
      <c r="A69" s="36" t="str">
        <f aca="false">'Forecast Detail'!D30</f>
        <v>400080 Contribution from Charitable Trust</v>
      </c>
      <c r="B69" s="36" t="str">
        <f aca="false">'Forecast Detail'!A30</f>
        <v>Revenue</v>
      </c>
      <c r="C69" s="36" t="str">
        <f aca="false">'Forecast Detail'!C30</f>
        <v>400080</v>
      </c>
      <c r="D69" s="36" t="str">
        <f aca="false">'Forecast Detail'!B30</f>
        <v>2 Interest and Other Income</v>
      </c>
      <c r="E69" s="11" t="str">
        <f aca="false">IF(ISNUMBER(B$4),SUMIFS('Actuals Import'!$B$1:$B$600,'Actuals Import'!$H$1:$H$600,$C69,'Actuals Import'!$G$1:$G$600,1),"")</f>
        <v/>
      </c>
      <c r="F69" s="11" t="str">
        <f aca="false">IF(ISNUMBER(C$4),SUMIFS('Actuals Import'!$K$1:$K$600,'Actuals Import'!$Q$1:$Q$600,$C69,'Actuals Import'!$P$1:$P$600,1),"")</f>
        <v/>
      </c>
      <c r="G69" s="11" t="str">
        <f aca="false">IF(ISNUMBER(D$4),SUMIFS('Actuals Import'!$T$1:$T$600,'Actuals Import'!$Z$1:$Z$600,$C69,'Actuals Import'!$Y$1:$Y$600,1),"")</f>
        <v/>
      </c>
      <c r="H69" s="11" t="str">
        <f aca="false">IF(ISNUMBER(E$4),SUMIFS('Actuals Import'!$AC$1:$AC$600,'Actuals Import'!$AI$1:$AI$600,$C69,'Actuals Import'!$AH$1:$AH$600,1),"")</f>
        <v/>
      </c>
      <c r="I69" s="11" t="str">
        <f aca="false">IF(ISNUMBER(F$4),SUMIFS('Actuals Import'!$AL$1:$AL$600,'Actuals Import'!$AR$1:$AR$600,$C69,'Actuals Import'!$AQ$1:$AQ$600,1),"")</f>
        <v/>
      </c>
      <c r="J69" s="31" t="n">
        <f aca="false">'Forecast Detail'!G30</f>
        <v>60000</v>
      </c>
      <c r="K69" s="11" t="str">
        <f aca="false">IF($B$3=0,"",INDEX($E69:$I69,MATCH($F$3,$B$4:$F$4,0)))</f>
        <v/>
      </c>
      <c r="L69" s="11" t="str">
        <f aca="false">IF($B$3=0,"",AVERAGE($E69:$I69))</f>
        <v/>
      </c>
      <c r="M69" s="11" t="str">
        <f aca="false">IF($B$3&lt;3,"",IFERROR(FORECAST($H$3,$E69:$I69,$B$4:$F$4),""))</f>
        <v/>
      </c>
      <c r="N69" s="11" t="str">
        <f aca="false">IF($B$3&lt;2,"",IFERROR(IF(INDEX($E69:$I69,MATCH($D$3,$B$4:$F$4,0))*K69&gt;0,K69*(K69/INDEX($E69:$I69,MATCH($D$3,$B$4:$F$4,0)))^(($H$3-$F$3)/($F$3-$D$3)),K69),K69))</f>
        <v/>
      </c>
      <c r="O69" s="20"/>
      <c r="P69" s="6" t="str">
        <f aca="false">IF(O69&lt;&gt;"",O69,Inputs!$C$90)</f>
        <v>Linear Trend</v>
      </c>
      <c r="Q69" s="37" t="str">
        <f aca="false">IF($B$3=0,"",IF(Inputs!$C$91&gt;0,ROUND(IF(ISNUMBER(IF(P69="Last Actual",K69,IF(P69="Average",L69,IF(P69="Linear Trend",M69,N69)))),IF(P69="Last Actual",K69,IF(P69="Average",L69,IF(P69="Linear Trend",M69,N69))),K69)/Inputs!$C$91,0)*Inputs!$C$91,IF(ISNUMBER(IF(P69="Last Actual",K69,IF(P69="Average",L69,IF(P69="Linear Trend",M69,N69)))),IF(P69="Last Actual",K69,IF(P69="Average",L69,IF(P69="Linear Trend",M69,N69))),K69)))</f>
        <v/>
      </c>
      <c r="R69" s="31" t="n">
        <f aca="false">'Forecast Detail'!H30</f>
        <v>60000</v>
      </c>
      <c r="S69" s="8" t="str">
        <f aca="false">IF(Q69="","",IF(J69=0,"",Q69/J69-1))</f>
        <v/>
      </c>
      <c r="T69" s="38" t="str">
        <f aca="false">IF(S69="","",IF(ABS(S69)&gt;Inputs!$C$92,"REVIEW",""))</f>
        <v/>
      </c>
    </row>
    <row r="70" customFormat="false" ht="15" hidden="false" customHeight="false" outlineLevel="0" collapsed="false">
      <c r="A70" s="36" t="str">
        <f aca="false">'Forecast Detail'!D31</f>
        <v>400081 Scholarship Income Charitable Trust</v>
      </c>
      <c r="B70" s="36" t="str">
        <f aca="false">'Forecast Detail'!A31</f>
        <v>Revenue</v>
      </c>
      <c r="C70" s="36" t="str">
        <f aca="false">'Forecast Detail'!C31</f>
        <v>400081</v>
      </c>
      <c r="D70" s="36" t="str">
        <f aca="false">'Forecast Detail'!B31</f>
        <v>2 Interest and Other Income</v>
      </c>
      <c r="E70" s="11" t="str">
        <f aca="false">IF(ISNUMBER(B$4),SUMIFS('Actuals Import'!$B$1:$B$600,'Actuals Import'!$H$1:$H$600,$C70,'Actuals Import'!$G$1:$G$600,1),"")</f>
        <v/>
      </c>
      <c r="F70" s="11" t="str">
        <f aca="false">IF(ISNUMBER(C$4),SUMIFS('Actuals Import'!$K$1:$K$600,'Actuals Import'!$Q$1:$Q$600,$C70,'Actuals Import'!$P$1:$P$600,1),"")</f>
        <v/>
      </c>
      <c r="G70" s="11" t="str">
        <f aca="false">IF(ISNUMBER(D$4),SUMIFS('Actuals Import'!$T$1:$T$600,'Actuals Import'!$Z$1:$Z$600,$C70,'Actuals Import'!$Y$1:$Y$600,1),"")</f>
        <v/>
      </c>
      <c r="H70" s="11" t="str">
        <f aca="false">IF(ISNUMBER(E$4),SUMIFS('Actuals Import'!$AC$1:$AC$600,'Actuals Import'!$AI$1:$AI$600,$C70,'Actuals Import'!$AH$1:$AH$600,1),"")</f>
        <v/>
      </c>
      <c r="I70" s="11" t="str">
        <f aca="false">IF(ISNUMBER(F$4),SUMIFS('Actuals Import'!$AL$1:$AL$600,'Actuals Import'!$AR$1:$AR$600,$C70,'Actuals Import'!$AQ$1:$AQ$600,1),"")</f>
        <v/>
      </c>
      <c r="J70" s="31" t="n">
        <f aca="false">'Forecast Detail'!G31</f>
        <v>0</v>
      </c>
      <c r="K70" s="11" t="str">
        <f aca="false">IF($B$3=0,"",INDEX($E70:$I70,MATCH($F$3,$B$4:$F$4,0)))</f>
        <v/>
      </c>
      <c r="L70" s="11" t="str">
        <f aca="false">IF($B$3=0,"",AVERAGE($E70:$I70))</f>
        <v/>
      </c>
      <c r="M70" s="11" t="str">
        <f aca="false">IF($B$3&lt;3,"",IFERROR(FORECAST($H$3,$E70:$I70,$B$4:$F$4),""))</f>
        <v/>
      </c>
      <c r="N70" s="11" t="str">
        <f aca="false">IF($B$3&lt;2,"",IFERROR(IF(INDEX($E70:$I70,MATCH($D$3,$B$4:$F$4,0))*K70&gt;0,K70*(K70/INDEX($E70:$I70,MATCH($D$3,$B$4:$F$4,0)))^(($H$3-$F$3)/($F$3-$D$3)),K70),K70))</f>
        <v/>
      </c>
      <c r="O70" s="20"/>
      <c r="P70" s="6" t="str">
        <f aca="false">IF(O70&lt;&gt;"",O70,Inputs!$C$90)</f>
        <v>Linear Trend</v>
      </c>
      <c r="Q70" s="37" t="str">
        <f aca="false">IF($B$3=0,"",IF(Inputs!$C$91&gt;0,ROUND(IF(ISNUMBER(IF(P70="Last Actual",K70,IF(P70="Average",L70,IF(P70="Linear Trend",M70,N70)))),IF(P70="Last Actual",K70,IF(P70="Average",L70,IF(P70="Linear Trend",M70,N70))),K70)/Inputs!$C$91,0)*Inputs!$C$91,IF(ISNUMBER(IF(P70="Last Actual",K70,IF(P70="Average",L70,IF(P70="Linear Trend",M70,N70)))),IF(P70="Last Actual",K70,IF(P70="Average",L70,IF(P70="Linear Trend",M70,N70))),K70)))</f>
        <v/>
      </c>
      <c r="R70" s="31" t="n">
        <f aca="false">'Forecast Detail'!H31</f>
        <v>0</v>
      </c>
      <c r="S70" s="8" t="str">
        <f aca="false">IF(Q70="","",IF(J70=0,"",Q70/J70-1))</f>
        <v/>
      </c>
      <c r="T70" s="38" t="str">
        <f aca="false">IF(S70="","",IF(ABS(S70)&gt;Inputs!$C$92,"REVIEW",""))</f>
        <v/>
      </c>
    </row>
    <row r="71" customFormat="false" ht="15" hidden="false" customHeight="false" outlineLevel="0" collapsed="false">
      <c r="A71" s="36" t="str">
        <f aca="false">'Forecast Detail'!D32</f>
        <v>400084 Trinity Church Contribution</v>
      </c>
      <c r="B71" s="36" t="str">
        <f aca="false">'Forecast Detail'!A32</f>
        <v>Revenue</v>
      </c>
      <c r="C71" s="36" t="str">
        <f aca="false">'Forecast Detail'!C32</f>
        <v>400084</v>
      </c>
      <c r="D71" s="36" t="str">
        <f aca="false">'Forecast Detail'!B32</f>
        <v>2 Interest and Other Income</v>
      </c>
      <c r="E71" s="11" t="str">
        <f aca="false">IF(ISNUMBER(B$4),SUMIFS('Actuals Import'!$B$1:$B$600,'Actuals Import'!$H$1:$H$600,$C71,'Actuals Import'!$G$1:$G$600,1),"")</f>
        <v/>
      </c>
      <c r="F71" s="11" t="str">
        <f aca="false">IF(ISNUMBER(C$4),SUMIFS('Actuals Import'!$K$1:$K$600,'Actuals Import'!$Q$1:$Q$600,$C71,'Actuals Import'!$P$1:$P$600,1),"")</f>
        <v/>
      </c>
      <c r="G71" s="11" t="str">
        <f aca="false">IF(ISNUMBER(D$4),SUMIFS('Actuals Import'!$T$1:$T$600,'Actuals Import'!$Z$1:$Z$600,$C71,'Actuals Import'!$Y$1:$Y$600,1),"")</f>
        <v/>
      </c>
      <c r="H71" s="11" t="str">
        <f aca="false">IF(ISNUMBER(E$4),SUMIFS('Actuals Import'!$AC$1:$AC$600,'Actuals Import'!$AI$1:$AI$600,$C71,'Actuals Import'!$AH$1:$AH$600,1),"")</f>
        <v/>
      </c>
      <c r="I71" s="11" t="str">
        <f aca="false">IF(ISNUMBER(F$4),SUMIFS('Actuals Import'!$AL$1:$AL$600,'Actuals Import'!$AR$1:$AR$600,$C71,'Actuals Import'!$AQ$1:$AQ$600,1),"")</f>
        <v/>
      </c>
      <c r="J71" s="31" t="n">
        <f aca="false">'Forecast Detail'!G32</f>
        <v>55000</v>
      </c>
      <c r="K71" s="11" t="str">
        <f aca="false">IF($B$3=0,"",INDEX($E71:$I71,MATCH($F$3,$B$4:$F$4,0)))</f>
        <v/>
      </c>
      <c r="L71" s="11" t="str">
        <f aca="false">IF($B$3=0,"",AVERAGE($E71:$I71))</f>
        <v/>
      </c>
      <c r="M71" s="11" t="str">
        <f aca="false">IF($B$3&lt;3,"",IFERROR(FORECAST($H$3,$E71:$I71,$B$4:$F$4),""))</f>
        <v/>
      </c>
      <c r="N71" s="11" t="str">
        <f aca="false">IF($B$3&lt;2,"",IFERROR(IF(INDEX($E71:$I71,MATCH($D$3,$B$4:$F$4,0))*K71&gt;0,K71*(K71/INDEX($E71:$I71,MATCH($D$3,$B$4:$F$4,0)))^(($H$3-$F$3)/($F$3-$D$3)),K71),K71))</f>
        <v/>
      </c>
      <c r="O71" s="20"/>
      <c r="P71" s="6" t="str">
        <f aca="false">IF(O71&lt;&gt;"",O71,Inputs!$C$90)</f>
        <v>Linear Trend</v>
      </c>
      <c r="Q71" s="37" t="str">
        <f aca="false">IF($B$3=0,"",IF(Inputs!$C$91&gt;0,ROUND(IF(ISNUMBER(IF(P71="Last Actual",K71,IF(P71="Average",L71,IF(P71="Linear Trend",M71,N71)))),IF(P71="Last Actual",K71,IF(P71="Average",L71,IF(P71="Linear Trend",M71,N71))),K71)/Inputs!$C$91,0)*Inputs!$C$91,IF(ISNUMBER(IF(P71="Last Actual",K71,IF(P71="Average",L71,IF(P71="Linear Trend",M71,N71)))),IF(P71="Last Actual",K71,IF(P71="Average",L71,IF(P71="Linear Trend",M71,N71))),K71)))</f>
        <v/>
      </c>
      <c r="R71" s="31" t="n">
        <f aca="false">'Forecast Detail'!H32</f>
        <v>55000</v>
      </c>
      <c r="S71" s="8" t="str">
        <f aca="false">IF(Q71="","",IF(J71=0,"",Q71/J71-1))</f>
        <v/>
      </c>
      <c r="T71" s="38" t="str">
        <f aca="false">IF(S71="","",IF(ABS(S71)&gt;Inputs!$C$92,"REVIEW",""))</f>
        <v/>
      </c>
    </row>
    <row r="72" customFormat="false" ht="15" hidden="false" customHeight="false" outlineLevel="0" collapsed="false">
      <c r="A72" s="36" t="str">
        <f aca="false">'Forecast Detail'!D33</f>
        <v>400191 Corporate Sponsors - General Fund Contribution</v>
      </c>
      <c r="B72" s="36" t="str">
        <f aca="false">'Forecast Detail'!A33</f>
        <v>Revenue</v>
      </c>
      <c r="C72" s="36" t="str">
        <f aca="false">'Forecast Detail'!C33</f>
        <v>400191</v>
      </c>
      <c r="D72" s="36" t="str">
        <f aca="false">'Forecast Detail'!B33</f>
        <v>2 Interest and Other Income</v>
      </c>
      <c r="E72" s="11" t="str">
        <f aca="false">IF(ISNUMBER(B$4),SUMIFS('Actuals Import'!$B$1:$B$600,'Actuals Import'!$H$1:$H$600,$C72,'Actuals Import'!$G$1:$G$600,1),"")</f>
        <v/>
      </c>
      <c r="F72" s="11" t="str">
        <f aca="false">IF(ISNUMBER(C$4),SUMIFS('Actuals Import'!$K$1:$K$600,'Actuals Import'!$Q$1:$Q$600,$C72,'Actuals Import'!$P$1:$P$600,1),"")</f>
        <v/>
      </c>
      <c r="G72" s="11" t="str">
        <f aca="false">IF(ISNUMBER(D$4),SUMIFS('Actuals Import'!$T$1:$T$600,'Actuals Import'!$Z$1:$Z$600,$C72,'Actuals Import'!$Y$1:$Y$600,1),"")</f>
        <v/>
      </c>
      <c r="H72" s="11" t="str">
        <f aca="false">IF(ISNUMBER(E$4),SUMIFS('Actuals Import'!$AC$1:$AC$600,'Actuals Import'!$AI$1:$AI$600,$C72,'Actuals Import'!$AH$1:$AH$600,1),"")</f>
        <v/>
      </c>
      <c r="I72" s="11" t="str">
        <f aca="false">IF(ISNUMBER(F$4),SUMIFS('Actuals Import'!$AL$1:$AL$600,'Actuals Import'!$AR$1:$AR$600,$C72,'Actuals Import'!$AQ$1:$AQ$600,1),"")</f>
        <v/>
      </c>
      <c r="J72" s="31" t="n">
        <f aca="false">'Forecast Detail'!G33</f>
        <v>100000</v>
      </c>
      <c r="K72" s="11" t="str">
        <f aca="false">IF($B$3=0,"",INDEX($E72:$I72,MATCH($F$3,$B$4:$F$4,0)))</f>
        <v/>
      </c>
      <c r="L72" s="11" t="str">
        <f aca="false">IF($B$3=0,"",AVERAGE($E72:$I72))</f>
        <v/>
      </c>
      <c r="M72" s="11" t="str">
        <f aca="false">IF($B$3&lt;3,"",IFERROR(FORECAST($H$3,$E72:$I72,$B$4:$F$4),""))</f>
        <v/>
      </c>
      <c r="N72" s="11" t="str">
        <f aca="false">IF($B$3&lt;2,"",IFERROR(IF(INDEX($E72:$I72,MATCH($D$3,$B$4:$F$4,0))*K72&gt;0,K72*(K72/INDEX($E72:$I72,MATCH($D$3,$B$4:$F$4,0)))^(($H$3-$F$3)/($F$3-$D$3)),K72),K72))</f>
        <v/>
      </c>
      <c r="O72" s="20"/>
      <c r="P72" s="6" t="str">
        <f aca="false">IF(O72&lt;&gt;"",O72,Inputs!$C$90)</f>
        <v>Linear Trend</v>
      </c>
      <c r="Q72" s="37" t="str">
        <f aca="false">IF($B$3=0,"",IF(Inputs!$C$91&gt;0,ROUND(IF(ISNUMBER(IF(P72="Last Actual",K72,IF(P72="Average",L72,IF(P72="Linear Trend",M72,N72)))),IF(P72="Last Actual",K72,IF(P72="Average",L72,IF(P72="Linear Trend",M72,N72))),K72)/Inputs!$C$91,0)*Inputs!$C$91,IF(ISNUMBER(IF(P72="Last Actual",K72,IF(P72="Average",L72,IF(P72="Linear Trend",M72,N72)))),IF(P72="Last Actual",K72,IF(P72="Average",L72,IF(P72="Linear Trend",M72,N72))),K72)))</f>
        <v/>
      </c>
      <c r="R72" s="31" t="n">
        <f aca="false">'Forecast Detail'!H33</f>
        <v>50000</v>
      </c>
      <c r="S72" s="8" t="str">
        <f aca="false">IF(Q72="","",IF(J72=0,"",Q72/J72-1))</f>
        <v/>
      </c>
      <c r="T72" s="38" t="str">
        <f aca="false">IF(S72="","",IF(ABS(S72)&gt;Inputs!$C$92,"REVIEW",""))</f>
        <v/>
      </c>
    </row>
    <row r="73" customFormat="false" ht="15" hidden="false" customHeight="false" outlineLevel="0" collapsed="false">
      <c r="A73" s="36" t="str">
        <f aca="false">'Forecast Detail'!D34</f>
        <v>400192 Annual Fund Unrestricted-General Fund Contribution</v>
      </c>
      <c r="B73" s="36" t="str">
        <f aca="false">'Forecast Detail'!A34</f>
        <v>Revenue</v>
      </c>
      <c r="C73" s="36" t="str">
        <f aca="false">'Forecast Detail'!C34</f>
        <v>400192</v>
      </c>
      <c r="D73" s="36" t="str">
        <f aca="false">'Forecast Detail'!B34</f>
        <v>2 Interest and Other Income</v>
      </c>
      <c r="E73" s="11" t="str">
        <f aca="false">IF(ISNUMBER(B$4),SUMIFS('Actuals Import'!$B$1:$B$600,'Actuals Import'!$H$1:$H$600,$C73,'Actuals Import'!$G$1:$G$600,1),"")</f>
        <v/>
      </c>
      <c r="F73" s="11" t="str">
        <f aca="false">IF(ISNUMBER(C$4),SUMIFS('Actuals Import'!$K$1:$K$600,'Actuals Import'!$Q$1:$Q$600,$C73,'Actuals Import'!$P$1:$P$600,1),"")</f>
        <v/>
      </c>
      <c r="G73" s="11" t="str">
        <f aca="false">IF(ISNUMBER(D$4),SUMIFS('Actuals Import'!$T$1:$T$600,'Actuals Import'!$Z$1:$Z$600,$C73,'Actuals Import'!$Y$1:$Y$600,1),"")</f>
        <v/>
      </c>
      <c r="H73" s="11" t="str">
        <f aca="false">IF(ISNUMBER(E$4),SUMIFS('Actuals Import'!$AC$1:$AC$600,'Actuals Import'!$AI$1:$AI$600,$C73,'Actuals Import'!$AH$1:$AH$600,1),"")</f>
        <v/>
      </c>
      <c r="I73" s="11" t="str">
        <f aca="false">IF(ISNUMBER(F$4),SUMIFS('Actuals Import'!$AL$1:$AL$600,'Actuals Import'!$AR$1:$AR$600,$C73,'Actuals Import'!$AQ$1:$AQ$600,1),"")</f>
        <v/>
      </c>
      <c r="J73" s="31" t="n">
        <f aca="false">'Forecast Detail'!G34</f>
        <v>150000</v>
      </c>
      <c r="K73" s="11" t="str">
        <f aca="false">IF($B$3=0,"",INDEX($E73:$I73,MATCH($F$3,$B$4:$F$4,0)))</f>
        <v/>
      </c>
      <c r="L73" s="11" t="str">
        <f aca="false">IF($B$3=0,"",AVERAGE($E73:$I73))</f>
        <v/>
      </c>
      <c r="M73" s="11" t="str">
        <f aca="false">IF($B$3&lt;3,"",IFERROR(FORECAST($H$3,$E73:$I73,$B$4:$F$4),""))</f>
        <v/>
      </c>
      <c r="N73" s="11" t="str">
        <f aca="false">IF($B$3&lt;2,"",IFERROR(IF(INDEX($E73:$I73,MATCH($D$3,$B$4:$F$4,0))*K73&gt;0,K73*(K73/INDEX($E73:$I73,MATCH($D$3,$B$4:$F$4,0)))^(($H$3-$F$3)/($F$3-$D$3)),K73),K73))</f>
        <v/>
      </c>
      <c r="O73" s="20"/>
      <c r="P73" s="6" t="str">
        <f aca="false">IF(O73&lt;&gt;"",O73,Inputs!$C$90)</f>
        <v>Linear Trend</v>
      </c>
      <c r="Q73" s="37" t="str">
        <f aca="false">IF($B$3=0,"",IF(Inputs!$C$91&gt;0,ROUND(IF(ISNUMBER(IF(P73="Last Actual",K73,IF(P73="Average",L73,IF(P73="Linear Trend",M73,N73)))),IF(P73="Last Actual",K73,IF(P73="Average",L73,IF(P73="Linear Trend",M73,N73))),K73)/Inputs!$C$91,0)*Inputs!$C$91,IF(ISNUMBER(IF(P73="Last Actual",K73,IF(P73="Average",L73,IF(P73="Linear Trend",M73,N73)))),IF(P73="Last Actual",K73,IF(P73="Average",L73,IF(P73="Linear Trend",M73,N73))),K73)))</f>
        <v/>
      </c>
      <c r="R73" s="31" t="n">
        <f aca="false">'Forecast Detail'!H34</f>
        <v>150000</v>
      </c>
      <c r="S73" s="8" t="str">
        <f aca="false">IF(Q73="","",IF(J73=0,"",Q73/J73-1))</f>
        <v/>
      </c>
      <c r="T73" s="38" t="str">
        <f aca="false">IF(S73="","",IF(ABS(S73)&gt;Inputs!$C$92,"REVIEW",""))</f>
        <v/>
      </c>
    </row>
    <row r="74" customFormat="false" ht="15" hidden="false" customHeight="false" outlineLevel="0" collapsed="false">
      <c r="A74" s="36" t="str">
        <f aca="false">'Forecast Detail'!D35</f>
        <v>400124 Interest Income Reserve Acct Synovus</v>
      </c>
      <c r="B74" s="36" t="str">
        <f aca="false">'Forecast Detail'!A35</f>
        <v>Revenue</v>
      </c>
      <c r="C74" s="36" t="str">
        <f aca="false">'Forecast Detail'!C35</f>
        <v>400124</v>
      </c>
      <c r="D74" s="36" t="str">
        <f aca="false">'Forecast Detail'!B35</f>
        <v>2 Interest and Other Income</v>
      </c>
      <c r="E74" s="11" t="str">
        <f aca="false">IF(ISNUMBER(B$4),SUMIFS('Actuals Import'!$B$1:$B$600,'Actuals Import'!$H$1:$H$600,$C74,'Actuals Import'!$G$1:$G$600,1),"")</f>
        <v/>
      </c>
      <c r="F74" s="11" t="str">
        <f aca="false">IF(ISNUMBER(C$4),SUMIFS('Actuals Import'!$K$1:$K$600,'Actuals Import'!$Q$1:$Q$600,$C74,'Actuals Import'!$P$1:$P$600,1),"")</f>
        <v/>
      </c>
      <c r="G74" s="11" t="str">
        <f aca="false">IF(ISNUMBER(D$4),SUMIFS('Actuals Import'!$T$1:$T$600,'Actuals Import'!$Z$1:$Z$600,$C74,'Actuals Import'!$Y$1:$Y$600,1),"")</f>
        <v/>
      </c>
      <c r="H74" s="11" t="str">
        <f aca="false">IF(ISNUMBER(E$4),SUMIFS('Actuals Import'!$AC$1:$AC$600,'Actuals Import'!$AI$1:$AI$600,$C74,'Actuals Import'!$AH$1:$AH$600,1),"")</f>
        <v/>
      </c>
      <c r="I74" s="11" t="str">
        <f aca="false">IF(ISNUMBER(F$4),SUMIFS('Actuals Import'!$AL$1:$AL$600,'Actuals Import'!$AR$1:$AR$600,$C74,'Actuals Import'!$AQ$1:$AQ$600,1),"")</f>
        <v/>
      </c>
      <c r="J74" s="31" t="n">
        <f aca="false">'Forecast Detail'!G35</f>
        <v>30000</v>
      </c>
      <c r="K74" s="11" t="str">
        <f aca="false">IF($B$3=0,"",INDEX($E74:$I74,MATCH($F$3,$B$4:$F$4,0)))</f>
        <v/>
      </c>
      <c r="L74" s="11" t="str">
        <f aca="false">IF($B$3=0,"",AVERAGE($E74:$I74))</f>
        <v/>
      </c>
      <c r="M74" s="11" t="str">
        <f aca="false">IF($B$3&lt;3,"",IFERROR(FORECAST($H$3,$E74:$I74,$B$4:$F$4),""))</f>
        <v/>
      </c>
      <c r="N74" s="11" t="str">
        <f aca="false">IF($B$3&lt;2,"",IFERROR(IF(INDEX($E74:$I74,MATCH($D$3,$B$4:$F$4,0))*K74&gt;0,K74*(K74/INDEX($E74:$I74,MATCH($D$3,$B$4:$F$4,0)))^(($H$3-$F$3)/($F$3-$D$3)),K74),K74))</f>
        <v/>
      </c>
      <c r="O74" s="20"/>
      <c r="P74" s="6" t="str">
        <f aca="false">IF(O74&lt;&gt;"",O74,Inputs!$C$90)</f>
        <v>Linear Trend</v>
      </c>
      <c r="Q74" s="37" t="str">
        <f aca="false">IF($B$3=0,"",IF(Inputs!$C$91&gt;0,ROUND(IF(ISNUMBER(IF(P74="Last Actual",K74,IF(P74="Average",L74,IF(P74="Linear Trend",M74,N74)))),IF(P74="Last Actual",K74,IF(P74="Average",L74,IF(P74="Linear Trend",M74,N74))),K74)/Inputs!$C$91,0)*Inputs!$C$91,IF(ISNUMBER(IF(P74="Last Actual",K74,IF(P74="Average",L74,IF(P74="Linear Trend",M74,N74)))),IF(P74="Last Actual",K74,IF(P74="Average",L74,IF(P74="Linear Trend",M74,N74))),K74)))</f>
        <v/>
      </c>
      <c r="R74" s="31" t="n">
        <f aca="false">'Forecast Detail'!H35</f>
        <v>29005.03102</v>
      </c>
      <c r="S74" s="8" t="str">
        <f aca="false">IF(Q74="","",IF(J74=0,"",Q74/J74-1))</f>
        <v/>
      </c>
      <c r="T74" s="38" t="str">
        <f aca="false">IF(S74="","",IF(ABS(S74)&gt;Inputs!$C$92,"REVIEW",""))</f>
        <v/>
      </c>
    </row>
    <row r="75" customFormat="false" ht="15" hidden="false" customHeight="false" outlineLevel="0" collapsed="false">
      <c r="A75" s="36" t="str">
        <f aca="false">'Forecast Detail'!D36</f>
        <v>400125 Interest Income Contingency Synovus</v>
      </c>
      <c r="B75" s="36" t="str">
        <f aca="false">'Forecast Detail'!A36</f>
        <v>Revenue</v>
      </c>
      <c r="C75" s="36" t="str">
        <f aca="false">'Forecast Detail'!C36</f>
        <v>400125</v>
      </c>
      <c r="D75" s="36" t="str">
        <f aca="false">'Forecast Detail'!B36</f>
        <v>2 Interest and Other Income</v>
      </c>
      <c r="E75" s="11" t="str">
        <f aca="false">IF(ISNUMBER(B$4),SUMIFS('Actuals Import'!$B$1:$B$600,'Actuals Import'!$H$1:$H$600,$C75,'Actuals Import'!$G$1:$G$600,1),"")</f>
        <v/>
      </c>
      <c r="F75" s="11" t="str">
        <f aca="false">IF(ISNUMBER(C$4),SUMIFS('Actuals Import'!$K$1:$K$600,'Actuals Import'!$Q$1:$Q$600,$C75,'Actuals Import'!$P$1:$P$600,1),"")</f>
        <v/>
      </c>
      <c r="G75" s="11" t="str">
        <f aca="false">IF(ISNUMBER(D$4),SUMIFS('Actuals Import'!$T$1:$T$600,'Actuals Import'!$Z$1:$Z$600,$C75,'Actuals Import'!$Y$1:$Y$600,1),"")</f>
        <v/>
      </c>
      <c r="H75" s="11" t="str">
        <f aca="false">IF(ISNUMBER(E$4),SUMIFS('Actuals Import'!$AC$1:$AC$600,'Actuals Import'!$AI$1:$AI$600,$C75,'Actuals Import'!$AH$1:$AH$600,1),"")</f>
        <v/>
      </c>
      <c r="I75" s="11" t="str">
        <f aca="false">IF(ISNUMBER(F$4),SUMIFS('Actuals Import'!$AL$1:$AL$600,'Actuals Import'!$AR$1:$AR$600,$C75,'Actuals Import'!$AQ$1:$AQ$600,1),"")</f>
        <v/>
      </c>
      <c r="J75" s="31" t="n">
        <f aca="false">'Forecast Detail'!G36</f>
        <v>0</v>
      </c>
      <c r="K75" s="11" t="str">
        <f aca="false">IF($B$3=0,"",INDEX($E75:$I75,MATCH($F$3,$B$4:$F$4,0)))</f>
        <v/>
      </c>
      <c r="L75" s="11" t="str">
        <f aca="false">IF($B$3=0,"",AVERAGE($E75:$I75))</f>
        <v/>
      </c>
      <c r="M75" s="11" t="str">
        <f aca="false">IF($B$3&lt;3,"",IFERROR(FORECAST($H$3,$E75:$I75,$B$4:$F$4),""))</f>
        <v/>
      </c>
      <c r="N75" s="11" t="str">
        <f aca="false">IF($B$3&lt;2,"",IFERROR(IF(INDEX($E75:$I75,MATCH($D$3,$B$4:$F$4,0))*K75&gt;0,K75*(K75/INDEX($E75:$I75,MATCH($D$3,$B$4:$F$4,0)))^(($H$3-$F$3)/($F$3-$D$3)),K75),K75))</f>
        <v/>
      </c>
      <c r="O75" s="20"/>
      <c r="P75" s="6" t="str">
        <f aca="false">IF(O75&lt;&gt;"",O75,Inputs!$C$90)</f>
        <v>Linear Trend</v>
      </c>
      <c r="Q75" s="37" t="str">
        <f aca="false">IF($B$3=0,"",IF(Inputs!$C$91&gt;0,ROUND(IF(ISNUMBER(IF(P75="Last Actual",K75,IF(P75="Average",L75,IF(P75="Linear Trend",M75,N75)))),IF(P75="Last Actual",K75,IF(P75="Average",L75,IF(P75="Linear Trend",M75,N75))),K75)/Inputs!$C$91,0)*Inputs!$C$91,IF(ISNUMBER(IF(P75="Last Actual",K75,IF(P75="Average",L75,IF(P75="Linear Trend",M75,N75)))),IF(P75="Last Actual",K75,IF(P75="Average",L75,IF(P75="Linear Trend",M75,N75))),K75)))</f>
        <v/>
      </c>
      <c r="R75" s="31" t="n">
        <f aca="false">'Forecast Detail'!H36</f>
        <v>0</v>
      </c>
      <c r="S75" s="8" t="str">
        <f aca="false">IF(Q75="","",IF(J75=0,"",Q75/J75-1))</f>
        <v/>
      </c>
      <c r="T75" s="38" t="str">
        <f aca="false">IF(S75="","",IF(ABS(S75)&gt;Inputs!$C$92,"REVIEW",""))</f>
        <v/>
      </c>
    </row>
    <row r="76" customFormat="false" ht="15" hidden="false" customHeight="false" outlineLevel="0" collapsed="false">
      <c r="A76" s="36" t="str">
        <f aca="false">'Forecast Detail'!D37</f>
        <v>400182 Scholarship for Kids Interest Income</v>
      </c>
      <c r="B76" s="36" t="str">
        <f aca="false">'Forecast Detail'!A37</f>
        <v>Revenue</v>
      </c>
      <c r="C76" s="36" t="str">
        <f aca="false">'Forecast Detail'!C37</f>
        <v>400182</v>
      </c>
      <c r="D76" s="36" t="str">
        <f aca="false">'Forecast Detail'!B37</f>
        <v>2 Interest and Other Income</v>
      </c>
      <c r="E76" s="11" t="str">
        <f aca="false">IF(ISNUMBER(B$4),SUMIFS('Actuals Import'!$B$1:$B$600,'Actuals Import'!$H$1:$H$600,$C76,'Actuals Import'!$G$1:$G$600,1),"")</f>
        <v/>
      </c>
      <c r="F76" s="11" t="str">
        <f aca="false">IF(ISNUMBER(C$4),SUMIFS('Actuals Import'!$K$1:$K$600,'Actuals Import'!$Q$1:$Q$600,$C76,'Actuals Import'!$P$1:$P$600,1),"")</f>
        <v/>
      </c>
      <c r="G76" s="11" t="str">
        <f aca="false">IF(ISNUMBER(D$4),SUMIFS('Actuals Import'!$T$1:$T$600,'Actuals Import'!$Z$1:$Z$600,$C76,'Actuals Import'!$Y$1:$Y$600,1),"")</f>
        <v/>
      </c>
      <c r="H76" s="11" t="str">
        <f aca="false">IF(ISNUMBER(E$4),SUMIFS('Actuals Import'!$AC$1:$AC$600,'Actuals Import'!$AI$1:$AI$600,$C76,'Actuals Import'!$AH$1:$AH$600,1),"")</f>
        <v/>
      </c>
      <c r="I76" s="11" t="str">
        <f aca="false">IF(ISNUMBER(F$4),SUMIFS('Actuals Import'!$AL$1:$AL$600,'Actuals Import'!$AR$1:$AR$600,$C76,'Actuals Import'!$AQ$1:$AQ$600,1),"")</f>
        <v/>
      </c>
      <c r="J76" s="31" t="n">
        <f aca="false">'Forecast Detail'!G37</f>
        <v>0</v>
      </c>
      <c r="K76" s="11" t="str">
        <f aca="false">IF($B$3=0,"",INDEX($E76:$I76,MATCH($F$3,$B$4:$F$4,0)))</f>
        <v/>
      </c>
      <c r="L76" s="11" t="str">
        <f aca="false">IF($B$3=0,"",AVERAGE($E76:$I76))</f>
        <v/>
      </c>
      <c r="M76" s="11" t="str">
        <f aca="false">IF($B$3&lt;3,"",IFERROR(FORECAST($H$3,$E76:$I76,$B$4:$F$4),""))</f>
        <v/>
      </c>
      <c r="N76" s="11" t="str">
        <f aca="false">IF($B$3&lt;2,"",IFERROR(IF(INDEX($E76:$I76,MATCH($D$3,$B$4:$F$4,0))*K76&gt;0,K76*(K76/INDEX($E76:$I76,MATCH($D$3,$B$4:$F$4,0)))^(($H$3-$F$3)/($F$3-$D$3)),K76),K76))</f>
        <v/>
      </c>
      <c r="O76" s="20"/>
      <c r="P76" s="6" t="str">
        <f aca="false">IF(O76&lt;&gt;"",O76,Inputs!$C$90)</f>
        <v>Linear Trend</v>
      </c>
      <c r="Q76" s="37" t="str">
        <f aca="false">IF($B$3=0,"",IF(Inputs!$C$91&gt;0,ROUND(IF(ISNUMBER(IF(P76="Last Actual",K76,IF(P76="Average",L76,IF(P76="Linear Trend",M76,N76)))),IF(P76="Last Actual",K76,IF(P76="Average",L76,IF(P76="Linear Trend",M76,N76))),K76)/Inputs!$C$91,0)*Inputs!$C$91,IF(ISNUMBER(IF(P76="Last Actual",K76,IF(P76="Average",L76,IF(P76="Linear Trend",M76,N76)))),IF(P76="Last Actual",K76,IF(P76="Average",L76,IF(P76="Linear Trend",M76,N76))),K76)))</f>
        <v/>
      </c>
      <c r="R76" s="31" t="n">
        <f aca="false">'Forecast Detail'!H37</f>
        <v>0</v>
      </c>
      <c r="S76" s="8" t="str">
        <f aca="false">IF(Q76="","",IF(J76=0,"",Q76/J76-1))</f>
        <v/>
      </c>
      <c r="T76" s="38" t="str">
        <f aca="false">IF(S76="","",IF(ABS(S76)&gt;Inputs!$C$92,"REVIEW",""))</f>
        <v/>
      </c>
    </row>
    <row r="77" customFormat="false" ht="15" hidden="false" customHeight="false" outlineLevel="0" collapsed="false">
      <c r="A77" s="36" t="str">
        <f aca="false">'Forecast Detail'!D38</f>
        <v>4 Other Miscellaneous Income</v>
      </c>
      <c r="B77" s="36" t="str">
        <f aca="false">'Forecast Detail'!A38</f>
        <v>Revenue</v>
      </c>
      <c r="C77" s="36" t="str">
        <f aca="false">'Forecast Detail'!C38</f>
        <v>4 Other Miscellaneous Income</v>
      </c>
      <c r="D77" s="36" t="str">
        <f aca="false">'Forecast Detail'!B38</f>
        <v>4 Other Miscellaneous Income</v>
      </c>
      <c r="E77" s="11" t="str">
        <f aca="false">IF(ISNUMBER(B$4),SUMIFS('Actuals Import'!$B$1:$B$600,'Actuals Import'!$H$1:$H$600,$C77,'Actuals Import'!$G$1:$G$600,1),"")</f>
        <v/>
      </c>
      <c r="F77" s="11" t="str">
        <f aca="false">IF(ISNUMBER(C$4),SUMIFS('Actuals Import'!$K$1:$K$600,'Actuals Import'!$Q$1:$Q$600,$C77,'Actuals Import'!$P$1:$P$600,1),"")</f>
        <v/>
      </c>
      <c r="G77" s="11" t="str">
        <f aca="false">IF(ISNUMBER(D$4),SUMIFS('Actuals Import'!$T$1:$T$600,'Actuals Import'!$Z$1:$Z$600,$C77,'Actuals Import'!$Y$1:$Y$600,1),"")</f>
        <v/>
      </c>
      <c r="H77" s="11" t="str">
        <f aca="false">IF(ISNUMBER(E$4),SUMIFS('Actuals Import'!$AC$1:$AC$600,'Actuals Import'!$AI$1:$AI$600,$C77,'Actuals Import'!$AH$1:$AH$600,1),"")</f>
        <v/>
      </c>
      <c r="I77" s="11" t="str">
        <f aca="false">IF(ISNUMBER(F$4),SUMIFS('Actuals Import'!$AL$1:$AL$600,'Actuals Import'!$AR$1:$AR$600,$C77,'Actuals Import'!$AQ$1:$AQ$600,1),"")</f>
        <v/>
      </c>
      <c r="J77" s="31" t="n">
        <f aca="false">'Forecast Detail'!G38</f>
        <v>60000</v>
      </c>
      <c r="K77" s="11" t="str">
        <f aca="false">IF($B$3=0,"",INDEX($E77:$I77,MATCH($F$3,$B$4:$F$4,0)))</f>
        <v/>
      </c>
      <c r="L77" s="11" t="str">
        <f aca="false">IF($B$3=0,"",AVERAGE($E77:$I77))</f>
        <v/>
      </c>
      <c r="M77" s="11" t="str">
        <f aca="false">IF($B$3&lt;3,"",IFERROR(FORECAST($H$3,$E77:$I77,$B$4:$F$4),""))</f>
        <v/>
      </c>
      <c r="N77" s="11" t="str">
        <f aca="false">IF($B$3&lt;2,"",IFERROR(IF(INDEX($E77:$I77,MATCH($D$3,$B$4:$F$4,0))*K77&gt;0,K77*(K77/INDEX($E77:$I77,MATCH($D$3,$B$4:$F$4,0)))^(($H$3-$F$3)/($F$3-$D$3)),K77),K77))</f>
        <v/>
      </c>
      <c r="O77" s="20"/>
      <c r="P77" s="6" t="str">
        <f aca="false">IF(O77&lt;&gt;"",O77,Inputs!$C$90)</f>
        <v>Linear Trend</v>
      </c>
      <c r="Q77" s="37" t="str">
        <f aca="false">IF($B$3=0,"",IF(Inputs!$C$91&gt;0,ROUND(IF(ISNUMBER(IF(P77="Last Actual",K77,IF(P77="Average",L77,IF(P77="Linear Trend",M77,N77)))),IF(P77="Last Actual",K77,IF(P77="Average",L77,IF(P77="Linear Trend",M77,N77))),K77)/Inputs!$C$91,0)*Inputs!$C$91,IF(ISNUMBER(IF(P77="Last Actual",K77,IF(P77="Average",L77,IF(P77="Linear Trend",M77,N77)))),IF(P77="Last Actual",K77,IF(P77="Average",L77,IF(P77="Linear Trend",M77,N77))),K77)))</f>
        <v/>
      </c>
      <c r="R77" s="31" t="n">
        <f aca="false">'Forecast Detail'!H38</f>
        <v>60000</v>
      </c>
      <c r="S77" s="8" t="str">
        <f aca="false">IF(Q77="","",IF(J77=0,"",Q77/J77-1))</f>
        <v/>
      </c>
      <c r="T77" s="38" t="str">
        <f aca="false">IF(S77="","",IF(ABS(S77)&gt;Inputs!$C$92,"REVIEW",""))</f>
        <v/>
      </c>
    </row>
    <row r="78" customFormat="false" ht="15" hidden="false" customHeight="false" outlineLevel="0" collapsed="false">
      <c r="A78" s="36" t="str">
        <f aca="false">'Forecast Detail'!D39</f>
        <v>400027 Contingency Income Athletic Playoffs</v>
      </c>
      <c r="B78" s="36" t="str">
        <f aca="false">'Forecast Detail'!A39</f>
        <v>Revenue</v>
      </c>
      <c r="C78" s="36" t="str">
        <f aca="false">'Forecast Detail'!C39</f>
        <v>400027</v>
      </c>
      <c r="D78" s="36" t="str">
        <f aca="false">'Forecast Detail'!B39</f>
        <v>4 Other Miscellaneous Income</v>
      </c>
      <c r="E78" s="11" t="str">
        <f aca="false">IF(ISNUMBER(B$4),SUMIFS('Actuals Import'!$B$1:$B$600,'Actuals Import'!$H$1:$H$600,$C78,'Actuals Import'!$G$1:$G$600,1),"")</f>
        <v/>
      </c>
      <c r="F78" s="11" t="str">
        <f aca="false">IF(ISNUMBER(C$4),SUMIFS('Actuals Import'!$K$1:$K$600,'Actuals Import'!$Q$1:$Q$600,$C78,'Actuals Import'!$P$1:$P$600,1),"")</f>
        <v/>
      </c>
      <c r="G78" s="11" t="str">
        <f aca="false">IF(ISNUMBER(D$4),SUMIFS('Actuals Import'!$T$1:$T$600,'Actuals Import'!$Z$1:$Z$600,$C78,'Actuals Import'!$Y$1:$Y$600,1),"")</f>
        <v/>
      </c>
      <c r="H78" s="11" t="str">
        <f aca="false">IF(ISNUMBER(E$4),SUMIFS('Actuals Import'!$AC$1:$AC$600,'Actuals Import'!$AI$1:$AI$600,$C78,'Actuals Import'!$AH$1:$AH$600,1),"")</f>
        <v/>
      </c>
      <c r="I78" s="11" t="str">
        <f aca="false">IF(ISNUMBER(F$4),SUMIFS('Actuals Import'!$AL$1:$AL$600,'Actuals Import'!$AR$1:$AR$600,$C78,'Actuals Import'!$AQ$1:$AQ$600,1),"")</f>
        <v/>
      </c>
      <c r="J78" s="31" t="n">
        <f aca="false">'Forecast Detail'!G39</f>
        <v>0</v>
      </c>
      <c r="K78" s="11" t="str">
        <f aca="false">IF($B$3=0,"",INDEX($E78:$I78,MATCH($F$3,$B$4:$F$4,0)))</f>
        <v/>
      </c>
      <c r="L78" s="11" t="str">
        <f aca="false">IF($B$3=0,"",AVERAGE($E78:$I78))</f>
        <v/>
      </c>
      <c r="M78" s="11" t="str">
        <f aca="false">IF($B$3&lt;3,"",IFERROR(FORECAST($H$3,$E78:$I78,$B$4:$F$4),""))</f>
        <v/>
      </c>
      <c r="N78" s="11" t="str">
        <f aca="false">IF($B$3&lt;2,"",IFERROR(IF(INDEX($E78:$I78,MATCH($D$3,$B$4:$F$4,0))*K78&gt;0,K78*(K78/INDEX($E78:$I78,MATCH($D$3,$B$4:$F$4,0)))^(($H$3-$F$3)/($F$3-$D$3)),K78),K78))</f>
        <v/>
      </c>
      <c r="O78" s="20"/>
      <c r="P78" s="6" t="str">
        <f aca="false">IF(O78&lt;&gt;"",O78,Inputs!$C$90)</f>
        <v>Linear Trend</v>
      </c>
      <c r="Q78" s="37" t="str">
        <f aca="false">IF($B$3=0,"",IF(Inputs!$C$91&gt;0,ROUND(IF(ISNUMBER(IF(P78="Last Actual",K78,IF(P78="Average",L78,IF(P78="Linear Trend",M78,N78)))),IF(P78="Last Actual",K78,IF(P78="Average",L78,IF(P78="Linear Trend",M78,N78))),K78)/Inputs!$C$91,0)*Inputs!$C$91,IF(ISNUMBER(IF(P78="Last Actual",K78,IF(P78="Average",L78,IF(P78="Linear Trend",M78,N78)))),IF(P78="Last Actual",K78,IF(P78="Average",L78,IF(P78="Linear Trend",M78,N78))),K78)))</f>
        <v/>
      </c>
      <c r="R78" s="31" t="n">
        <f aca="false">'Forecast Detail'!H39</f>
        <v>0</v>
      </c>
      <c r="S78" s="8" t="str">
        <f aca="false">IF(Q78="","",IF(J78=0,"",Q78/J78-1))</f>
        <v/>
      </c>
      <c r="T78" s="38" t="str">
        <f aca="false">IF(S78="","",IF(ABS(S78)&gt;Inputs!$C$92,"REVIEW",""))</f>
        <v/>
      </c>
    </row>
    <row r="79" customFormat="false" ht="15" hidden="false" customHeight="false" outlineLevel="0" collapsed="false">
      <c r="A79" s="36" t="str">
        <f aca="false">'Forecast Detail'!D40</f>
        <v>400082 Grant Income</v>
      </c>
      <c r="B79" s="36" t="str">
        <f aca="false">'Forecast Detail'!A40</f>
        <v>Revenue</v>
      </c>
      <c r="C79" s="36" t="str">
        <f aca="false">'Forecast Detail'!C40</f>
        <v>400082</v>
      </c>
      <c r="D79" s="36" t="str">
        <f aca="false">'Forecast Detail'!B40</f>
        <v>4 Other Miscellaneous Income</v>
      </c>
      <c r="E79" s="11" t="str">
        <f aca="false">IF(ISNUMBER(B$4),SUMIFS('Actuals Import'!$B$1:$B$600,'Actuals Import'!$H$1:$H$600,$C79,'Actuals Import'!$G$1:$G$600,1),"")</f>
        <v/>
      </c>
      <c r="F79" s="11" t="str">
        <f aca="false">IF(ISNUMBER(C$4),SUMIFS('Actuals Import'!$K$1:$K$600,'Actuals Import'!$Q$1:$Q$600,$C79,'Actuals Import'!$P$1:$P$600,1),"")</f>
        <v/>
      </c>
      <c r="G79" s="11" t="str">
        <f aca="false">IF(ISNUMBER(D$4),SUMIFS('Actuals Import'!$T$1:$T$600,'Actuals Import'!$Z$1:$Z$600,$C79,'Actuals Import'!$Y$1:$Y$600,1),"")</f>
        <v/>
      </c>
      <c r="H79" s="11" t="str">
        <f aca="false">IF(ISNUMBER(E$4),SUMIFS('Actuals Import'!$AC$1:$AC$600,'Actuals Import'!$AI$1:$AI$600,$C79,'Actuals Import'!$AH$1:$AH$600,1),"")</f>
        <v/>
      </c>
      <c r="I79" s="11" t="str">
        <f aca="false">IF(ISNUMBER(F$4),SUMIFS('Actuals Import'!$AL$1:$AL$600,'Actuals Import'!$AR$1:$AR$600,$C79,'Actuals Import'!$AQ$1:$AQ$600,1),"")</f>
        <v/>
      </c>
      <c r="J79" s="31" t="n">
        <f aca="false">'Forecast Detail'!G40</f>
        <v>0</v>
      </c>
      <c r="K79" s="11" t="str">
        <f aca="false">IF($B$3=0,"",INDEX($E79:$I79,MATCH($F$3,$B$4:$F$4,0)))</f>
        <v/>
      </c>
      <c r="L79" s="11" t="str">
        <f aca="false">IF($B$3=0,"",AVERAGE($E79:$I79))</f>
        <v/>
      </c>
      <c r="M79" s="11" t="str">
        <f aca="false">IF($B$3&lt;3,"",IFERROR(FORECAST($H$3,$E79:$I79,$B$4:$F$4),""))</f>
        <v/>
      </c>
      <c r="N79" s="11" t="str">
        <f aca="false">IF($B$3&lt;2,"",IFERROR(IF(INDEX($E79:$I79,MATCH($D$3,$B$4:$F$4,0))*K79&gt;0,K79*(K79/INDEX($E79:$I79,MATCH($D$3,$B$4:$F$4,0)))^(($H$3-$F$3)/($F$3-$D$3)),K79),K79))</f>
        <v/>
      </c>
      <c r="O79" s="20"/>
      <c r="P79" s="6" t="str">
        <f aca="false">IF(O79&lt;&gt;"",O79,Inputs!$C$90)</f>
        <v>Linear Trend</v>
      </c>
      <c r="Q79" s="37" t="str">
        <f aca="false">IF($B$3=0,"",IF(Inputs!$C$91&gt;0,ROUND(IF(ISNUMBER(IF(P79="Last Actual",K79,IF(P79="Average",L79,IF(P79="Linear Trend",M79,N79)))),IF(P79="Last Actual",K79,IF(P79="Average",L79,IF(P79="Linear Trend",M79,N79))),K79)/Inputs!$C$91,0)*Inputs!$C$91,IF(ISNUMBER(IF(P79="Last Actual",K79,IF(P79="Average",L79,IF(P79="Linear Trend",M79,N79)))),IF(P79="Last Actual",K79,IF(P79="Average",L79,IF(P79="Linear Trend",M79,N79))),K79)))</f>
        <v/>
      </c>
      <c r="R79" s="31" t="n">
        <f aca="false">'Forecast Detail'!H40</f>
        <v>0</v>
      </c>
      <c r="S79" s="8" t="str">
        <f aca="false">IF(Q79="","",IF(J79=0,"",Q79/J79-1))</f>
        <v/>
      </c>
      <c r="T79" s="38" t="str">
        <f aca="false">IF(S79="","",IF(ABS(S79)&gt;Inputs!$C$92,"REVIEW",""))</f>
        <v/>
      </c>
    </row>
    <row r="80" customFormat="false" ht="15" hidden="false" customHeight="false" outlineLevel="0" collapsed="false">
      <c r="A80" s="36" t="str">
        <f aca="false">'Forecast Detail'!D41</f>
        <v>400132 Facility Rental/Usage Income</v>
      </c>
      <c r="B80" s="36" t="str">
        <f aca="false">'Forecast Detail'!A41</f>
        <v>Revenue</v>
      </c>
      <c r="C80" s="36" t="str">
        <f aca="false">'Forecast Detail'!C41</f>
        <v>400132</v>
      </c>
      <c r="D80" s="36" t="str">
        <f aca="false">'Forecast Detail'!B41</f>
        <v>4 Other Miscellaneous Income</v>
      </c>
      <c r="E80" s="11" t="str">
        <f aca="false">IF(ISNUMBER(B$4),SUMIFS('Actuals Import'!$B$1:$B$600,'Actuals Import'!$H$1:$H$600,$C80,'Actuals Import'!$G$1:$G$600,1),"")</f>
        <v/>
      </c>
      <c r="F80" s="11" t="str">
        <f aca="false">IF(ISNUMBER(C$4),SUMIFS('Actuals Import'!$K$1:$K$600,'Actuals Import'!$Q$1:$Q$600,$C80,'Actuals Import'!$P$1:$P$600,1),"")</f>
        <v/>
      </c>
      <c r="G80" s="11" t="str">
        <f aca="false">IF(ISNUMBER(D$4),SUMIFS('Actuals Import'!$T$1:$T$600,'Actuals Import'!$Z$1:$Z$600,$C80,'Actuals Import'!$Y$1:$Y$600,1),"")</f>
        <v/>
      </c>
      <c r="H80" s="11" t="str">
        <f aca="false">IF(ISNUMBER(E$4),SUMIFS('Actuals Import'!$AC$1:$AC$600,'Actuals Import'!$AI$1:$AI$600,$C80,'Actuals Import'!$AH$1:$AH$600,1),"")</f>
        <v/>
      </c>
      <c r="I80" s="11" t="str">
        <f aca="false">IF(ISNUMBER(F$4),SUMIFS('Actuals Import'!$AL$1:$AL$600,'Actuals Import'!$AR$1:$AR$600,$C80,'Actuals Import'!$AQ$1:$AQ$600,1),"")</f>
        <v/>
      </c>
      <c r="J80" s="31" t="n">
        <f aca="false">'Forecast Detail'!G41</f>
        <v>0</v>
      </c>
      <c r="K80" s="11" t="str">
        <f aca="false">IF($B$3=0,"",INDEX($E80:$I80,MATCH($F$3,$B$4:$F$4,0)))</f>
        <v/>
      </c>
      <c r="L80" s="11" t="str">
        <f aca="false">IF($B$3=0,"",AVERAGE($E80:$I80))</f>
        <v/>
      </c>
      <c r="M80" s="11" t="str">
        <f aca="false">IF($B$3&lt;3,"",IFERROR(FORECAST($H$3,$E80:$I80,$B$4:$F$4),""))</f>
        <v/>
      </c>
      <c r="N80" s="11" t="str">
        <f aca="false">IF($B$3&lt;2,"",IFERROR(IF(INDEX($E80:$I80,MATCH($D$3,$B$4:$F$4,0))*K80&gt;0,K80*(K80/INDEX($E80:$I80,MATCH($D$3,$B$4:$F$4,0)))^(($H$3-$F$3)/($F$3-$D$3)),K80),K80))</f>
        <v/>
      </c>
      <c r="O80" s="20"/>
      <c r="P80" s="6" t="str">
        <f aca="false">IF(O80&lt;&gt;"",O80,Inputs!$C$90)</f>
        <v>Linear Trend</v>
      </c>
      <c r="Q80" s="37" t="str">
        <f aca="false">IF($B$3=0,"",IF(Inputs!$C$91&gt;0,ROUND(IF(ISNUMBER(IF(P80="Last Actual",K80,IF(P80="Average",L80,IF(P80="Linear Trend",M80,N80)))),IF(P80="Last Actual",K80,IF(P80="Average",L80,IF(P80="Linear Trend",M80,N80))),K80)/Inputs!$C$91,0)*Inputs!$C$91,IF(ISNUMBER(IF(P80="Last Actual",K80,IF(P80="Average",L80,IF(P80="Linear Trend",M80,N80)))),IF(P80="Last Actual",K80,IF(P80="Average",L80,IF(P80="Linear Trend",M80,N80))),K80)))</f>
        <v/>
      </c>
      <c r="R80" s="31" t="n">
        <f aca="false">'Forecast Detail'!H41</f>
        <v>0</v>
      </c>
      <c r="S80" s="8" t="str">
        <f aca="false">IF(Q80="","",IF(J80=0,"",Q80/J80-1))</f>
        <v/>
      </c>
      <c r="T80" s="38" t="str">
        <f aca="false">IF(S80="","",IF(ABS(S80)&gt;Inputs!$C$92,"REVIEW",""))</f>
        <v/>
      </c>
    </row>
    <row r="81" customFormat="false" ht="15" hidden="false" customHeight="false" outlineLevel="0" collapsed="false">
      <c r="A81" s="36" t="str">
        <f aca="false">'Forecast Detail'!D42</f>
        <v>400143 Speech Therapy Fees</v>
      </c>
      <c r="B81" s="36" t="str">
        <f aca="false">'Forecast Detail'!A42</f>
        <v>Revenue</v>
      </c>
      <c r="C81" s="36" t="str">
        <f aca="false">'Forecast Detail'!C42</f>
        <v>400143</v>
      </c>
      <c r="D81" s="36" t="str">
        <f aca="false">'Forecast Detail'!B42</f>
        <v>4 Other Miscellaneous Income</v>
      </c>
      <c r="E81" s="11" t="str">
        <f aca="false">IF(ISNUMBER(B$4),SUMIFS('Actuals Import'!$B$1:$B$600,'Actuals Import'!$H$1:$H$600,$C81,'Actuals Import'!$G$1:$G$600,1),"")</f>
        <v/>
      </c>
      <c r="F81" s="11" t="str">
        <f aca="false">IF(ISNUMBER(C$4),SUMIFS('Actuals Import'!$K$1:$K$600,'Actuals Import'!$Q$1:$Q$600,$C81,'Actuals Import'!$P$1:$P$600,1),"")</f>
        <v/>
      </c>
      <c r="G81" s="11" t="str">
        <f aca="false">IF(ISNUMBER(D$4),SUMIFS('Actuals Import'!$T$1:$T$600,'Actuals Import'!$Z$1:$Z$600,$C81,'Actuals Import'!$Y$1:$Y$600,1),"")</f>
        <v/>
      </c>
      <c r="H81" s="11" t="str">
        <f aca="false">IF(ISNUMBER(E$4),SUMIFS('Actuals Import'!$AC$1:$AC$600,'Actuals Import'!$AI$1:$AI$600,$C81,'Actuals Import'!$AH$1:$AH$600,1),"")</f>
        <v/>
      </c>
      <c r="I81" s="11" t="str">
        <f aca="false">IF(ISNUMBER(F$4),SUMIFS('Actuals Import'!$AL$1:$AL$600,'Actuals Import'!$AR$1:$AR$600,$C81,'Actuals Import'!$AQ$1:$AQ$600,1),"")</f>
        <v/>
      </c>
      <c r="J81" s="31" t="n">
        <f aca="false">'Forecast Detail'!G42</f>
        <v>0</v>
      </c>
      <c r="K81" s="11" t="str">
        <f aca="false">IF($B$3=0,"",INDEX($E81:$I81,MATCH($F$3,$B$4:$F$4,0)))</f>
        <v/>
      </c>
      <c r="L81" s="11" t="str">
        <f aca="false">IF($B$3=0,"",AVERAGE($E81:$I81))</f>
        <v/>
      </c>
      <c r="M81" s="11" t="str">
        <f aca="false">IF($B$3&lt;3,"",IFERROR(FORECAST($H$3,$E81:$I81,$B$4:$F$4),""))</f>
        <v/>
      </c>
      <c r="N81" s="11" t="str">
        <f aca="false">IF($B$3&lt;2,"",IFERROR(IF(INDEX($E81:$I81,MATCH($D$3,$B$4:$F$4,0))*K81&gt;0,K81*(K81/INDEX($E81:$I81,MATCH($D$3,$B$4:$F$4,0)))^(($H$3-$F$3)/($F$3-$D$3)),K81),K81))</f>
        <v/>
      </c>
      <c r="O81" s="20"/>
      <c r="P81" s="6" t="str">
        <f aca="false">IF(O81&lt;&gt;"",O81,Inputs!$C$90)</f>
        <v>Linear Trend</v>
      </c>
      <c r="Q81" s="37" t="str">
        <f aca="false">IF($B$3=0,"",IF(Inputs!$C$91&gt;0,ROUND(IF(ISNUMBER(IF(P81="Last Actual",K81,IF(P81="Average",L81,IF(P81="Linear Trend",M81,N81)))),IF(P81="Last Actual",K81,IF(P81="Average",L81,IF(P81="Linear Trend",M81,N81))),K81)/Inputs!$C$91,0)*Inputs!$C$91,IF(ISNUMBER(IF(P81="Last Actual",K81,IF(P81="Average",L81,IF(P81="Linear Trend",M81,N81)))),IF(P81="Last Actual",K81,IF(P81="Average",L81,IF(P81="Linear Trend",M81,N81))),K81)))</f>
        <v/>
      </c>
      <c r="R81" s="31" t="n">
        <f aca="false">'Forecast Detail'!H42</f>
        <v>0</v>
      </c>
      <c r="S81" s="8" t="str">
        <f aca="false">IF(Q81="","",IF(J81=0,"",Q81/J81-1))</f>
        <v/>
      </c>
      <c r="T81" s="38" t="str">
        <f aca="false">IF(S81="","",IF(ABS(S81)&gt;Inputs!$C$92,"REVIEW",""))</f>
        <v/>
      </c>
    </row>
    <row r="82" customFormat="false" ht="15" hidden="false" customHeight="false" outlineLevel="0" collapsed="false">
      <c r="A82" s="36" t="str">
        <f aca="false">'Forecast Detail'!D43</f>
        <v>400144 Credit Card Rebates</v>
      </c>
      <c r="B82" s="36" t="str">
        <f aca="false">'Forecast Detail'!A43</f>
        <v>Revenue</v>
      </c>
      <c r="C82" s="36" t="str">
        <f aca="false">'Forecast Detail'!C43</f>
        <v>400144</v>
      </c>
      <c r="D82" s="36" t="str">
        <f aca="false">'Forecast Detail'!B43</f>
        <v>4 Other Miscellaneous Income</v>
      </c>
      <c r="E82" s="11" t="str">
        <f aca="false">IF(ISNUMBER(B$4),SUMIFS('Actuals Import'!$B$1:$B$600,'Actuals Import'!$H$1:$H$600,$C82,'Actuals Import'!$G$1:$G$600,1),"")</f>
        <v/>
      </c>
      <c r="F82" s="11" t="str">
        <f aca="false">IF(ISNUMBER(C$4),SUMIFS('Actuals Import'!$K$1:$K$600,'Actuals Import'!$Q$1:$Q$600,$C82,'Actuals Import'!$P$1:$P$600,1),"")</f>
        <v/>
      </c>
      <c r="G82" s="11" t="str">
        <f aca="false">IF(ISNUMBER(D$4),SUMIFS('Actuals Import'!$T$1:$T$600,'Actuals Import'!$Z$1:$Z$600,$C82,'Actuals Import'!$Y$1:$Y$600,1),"")</f>
        <v/>
      </c>
      <c r="H82" s="11" t="str">
        <f aca="false">IF(ISNUMBER(E$4),SUMIFS('Actuals Import'!$AC$1:$AC$600,'Actuals Import'!$AI$1:$AI$600,$C82,'Actuals Import'!$AH$1:$AH$600,1),"")</f>
        <v/>
      </c>
      <c r="I82" s="11" t="str">
        <f aca="false">IF(ISNUMBER(F$4),SUMIFS('Actuals Import'!$AL$1:$AL$600,'Actuals Import'!$AR$1:$AR$600,$C82,'Actuals Import'!$AQ$1:$AQ$600,1),"")</f>
        <v/>
      </c>
      <c r="J82" s="31" t="n">
        <f aca="false">'Forecast Detail'!G43</f>
        <v>0</v>
      </c>
      <c r="K82" s="11" t="str">
        <f aca="false">IF($B$3=0,"",INDEX($E82:$I82,MATCH($F$3,$B$4:$F$4,0)))</f>
        <v/>
      </c>
      <c r="L82" s="11" t="str">
        <f aca="false">IF($B$3=0,"",AVERAGE($E82:$I82))</f>
        <v/>
      </c>
      <c r="M82" s="11" t="str">
        <f aca="false">IF($B$3&lt;3,"",IFERROR(FORECAST($H$3,$E82:$I82,$B$4:$F$4),""))</f>
        <v/>
      </c>
      <c r="N82" s="11" t="str">
        <f aca="false">IF($B$3&lt;2,"",IFERROR(IF(INDEX($E82:$I82,MATCH($D$3,$B$4:$F$4,0))*K82&gt;0,K82*(K82/INDEX($E82:$I82,MATCH($D$3,$B$4:$F$4,0)))^(($H$3-$F$3)/($F$3-$D$3)),K82),K82))</f>
        <v/>
      </c>
      <c r="O82" s="20"/>
      <c r="P82" s="6" t="str">
        <f aca="false">IF(O82&lt;&gt;"",O82,Inputs!$C$90)</f>
        <v>Linear Trend</v>
      </c>
      <c r="Q82" s="37" t="str">
        <f aca="false">IF($B$3=0,"",IF(Inputs!$C$91&gt;0,ROUND(IF(ISNUMBER(IF(P82="Last Actual",K82,IF(P82="Average",L82,IF(P82="Linear Trend",M82,N82)))),IF(P82="Last Actual",K82,IF(P82="Average",L82,IF(P82="Linear Trend",M82,N82))),K82)/Inputs!$C$91,0)*Inputs!$C$91,IF(ISNUMBER(IF(P82="Last Actual",K82,IF(P82="Average",L82,IF(P82="Linear Trend",M82,N82)))),IF(P82="Last Actual",K82,IF(P82="Average",L82,IF(P82="Linear Trend",M82,N82))),K82)))</f>
        <v/>
      </c>
      <c r="R82" s="31" t="n">
        <f aca="false">'Forecast Detail'!H43</f>
        <v>0</v>
      </c>
      <c r="S82" s="8" t="str">
        <f aca="false">IF(Q82="","",IF(J82=0,"",Q82/J82-1))</f>
        <v/>
      </c>
      <c r="T82" s="38" t="str">
        <f aca="false">IF(S82="","",IF(ABS(S82)&gt;Inputs!$C$92,"REVIEW",""))</f>
        <v/>
      </c>
    </row>
    <row r="83" customFormat="false" ht="15" hidden="false" customHeight="false" outlineLevel="0" collapsed="false">
      <c r="A83" s="36" t="str">
        <f aca="false">'Forecast Detail'!D44</f>
        <v>400145 Sale of AP Textbooks</v>
      </c>
      <c r="B83" s="36" t="str">
        <f aca="false">'Forecast Detail'!A44</f>
        <v>Revenue</v>
      </c>
      <c r="C83" s="36" t="str">
        <f aca="false">'Forecast Detail'!C44</f>
        <v>400145</v>
      </c>
      <c r="D83" s="36" t="str">
        <f aca="false">'Forecast Detail'!B44</f>
        <v>4 Other Miscellaneous Income</v>
      </c>
      <c r="E83" s="11" t="str">
        <f aca="false">IF(ISNUMBER(B$4),SUMIFS('Actuals Import'!$B$1:$B$600,'Actuals Import'!$H$1:$H$600,$C83,'Actuals Import'!$G$1:$G$600,1),"")</f>
        <v/>
      </c>
      <c r="F83" s="11" t="str">
        <f aca="false">IF(ISNUMBER(C$4),SUMIFS('Actuals Import'!$K$1:$K$600,'Actuals Import'!$Q$1:$Q$600,$C83,'Actuals Import'!$P$1:$P$600,1),"")</f>
        <v/>
      </c>
      <c r="G83" s="11" t="str">
        <f aca="false">IF(ISNUMBER(D$4),SUMIFS('Actuals Import'!$T$1:$T$600,'Actuals Import'!$Z$1:$Z$600,$C83,'Actuals Import'!$Y$1:$Y$600,1),"")</f>
        <v/>
      </c>
      <c r="H83" s="11" t="str">
        <f aca="false">IF(ISNUMBER(E$4),SUMIFS('Actuals Import'!$AC$1:$AC$600,'Actuals Import'!$AI$1:$AI$600,$C83,'Actuals Import'!$AH$1:$AH$600,1),"")</f>
        <v/>
      </c>
      <c r="I83" s="11" t="str">
        <f aca="false">IF(ISNUMBER(F$4),SUMIFS('Actuals Import'!$AL$1:$AL$600,'Actuals Import'!$AR$1:$AR$600,$C83,'Actuals Import'!$AQ$1:$AQ$600,1),"")</f>
        <v/>
      </c>
      <c r="J83" s="31" t="n">
        <f aca="false">'Forecast Detail'!G44</f>
        <v>0</v>
      </c>
      <c r="K83" s="11" t="str">
        <f aca="false">IF($B$3=0,"",INDEX($E83:$I83,MATCH($F$3,$B$4:$F$4,0)))</f>
        <v/>
      </c>
      <c r="L83" s="11" t="str">
        <f aca="false">IF($B$3=0,"",AVERAGE($E83:$I83))</f>
        <v/>
      </c>
      <c r="M83" s="11" t="str">
        <f aca="false">IF($B$3&lt;3,"",IFERROR(FORECAST($H$3,$E83:$I83,$B$4:$F$4),""))</f>
        <v/>
      </c>
      <c r="N83" s="11" t="str">
        <f aca="false">IF($B$3&lt;2,"",IFERROR(IF(INDEX($E83:$I83,MATCH($D$3,$B$4:$F$4,0))*K83&gt;0,K83*(K83/INDEX($E83:$I83,MATCH($D$3,$B$4:$F$4,0)))^(($H$3-$F$3)/($F$3-$D$3)),K83),K83))</f>
        <v/>
      </c>
      <c r="O83" s="20"/>
      <c r="P83" s="6" t="str">
        <f aca="false">IF(O83&lt;&gt;"",O83,Inputs!$C$90)</f>
        <v>Linear Trend</v>
      </c>
      <c r="Q83" s="37" t="str">
        <f aca="false">IF($B$3=0,"",IF(Inputs!$C$91&gt;0,ROUND(IF(ISNUMBER(IF(P83="Last Actual",K83,IF(P83="Average",L83,IF(P83="Linear Trend",M83,N83)))),IF(P83="Last Actual",K83,IF(P83="Average",L83,IF(P83="Linear Trend",M83,N83))),K83)/Inputs!$C$91,0)*Inputs!$C$91,IF(ISNUMBER(IF(P83="Last Actual",K83,IF(P83="Average",L83,IF(P83="Linear Trend",M83,N83)))),IF(P83="Last Actual",K83,IF(P83="Average",L83,IF(P83="Linear Trend",M83,N83))),K83)))</f>
        <v/>
      </c>
      <c r="R83" s="31" t="n">
        <f aca="false">'Forecast Detail'!H44</f>
        <v>0</v>
      </c>
      <c r="S83" s="8" t="str">
        <f aca="false">IF(Q83="","",IF(J83=0,"",Q83/J83-1))</f>
        <v/>
      </c>
      <c r="T83" s="38" t="str">
        <f aca="false">IF(S83="","",IF(ABS(S83)&gt;Inputs!$C$92,"REVIEW",""))</f>
        <v/>
      </c>
    </row>
    <row r="84" customFormat="false" ht="15" hidden="false" customHeight="false" outlineLevel="0" collapsed="false">
      <c r="A84" s="36" t="str">
        <f aca="false">'Forecast Detail'!D45</f>
        <v>400147 Coke Machines Proceeds</v>
      </c>
      <c r="B84" s="36" t="str">
        <f aca="false">'Forecast Detail'!A45</f>
        <v>Revenue</v>
      </c>
      <c r="C84" s="36" t="str">
        <f aca="false">'Forecast Detail'!C45</f>
        <v>400147</v>
      </c>
      <c r="D84" s="36" t="str">
        <f aca="false">'Forecast Detail'!B45</f>
        <v>4 Other Miscellaneous Income</v>
      </c>
      <c r="E84" s="11" t="str">
        <f aca="false">IF(ISNUMBER(B$4),SUMIFS('Actuals Import'!$B$1:$B$600,'Actuals Import'!$H$1:$H$600,$C84,'Actuals Import'!$G$1:$G$600,1),"")</f>
        <v/>
      </c>
      <c r="F84" s="11" t="str">
        <f aca="false">IF(ISNUMBER(C$4),SUMIFS('Actuals Import'!$K$1:$K$600,'Actuals Import'!$Q$1:$Q$600,$C84,'Actuals Import'!$P$1:$P$600,1),"")</f>
        <v/>
      </c>
      <c r="G84" s="11" t="str">
        <f aca="false">IF(ISNUMBER(D$4),SUMIFS('Actuals Import'!$T$1:$T$600,'Actuals Import'!$Z$1:$Z$600,$C84,'Actuals Import'!$Y$1:$Y$600,1),"")</f>
        <v/>
      </c>
      <c r="H84" s="11" t="str">
        <f aca="false">IF(ISNUMBER(E$4),SUMIFS('Actuals Import'!$AC$1:$AC$600,'Actuals Import'!$AI$1:$AI$600,$C84,'Actuals Import'!$AH$1:$AH$600,1),"")</f>
        <v/>
      </c>
      <c r="I84" s="11" t="str">
        <f aca="false">IF(ISNUMBER(F$4),SUMIFS('Actuals Import'!$AL$1:$AL$600,'Actuals Import'!$AR$1:$AR$600,$C84,'Actuals Import'!$AQ$1:$AQ$600,1),"")</f>
        <v/>
      </c>
      <c r="J84" s="31" t="n">
        <f aca="false">'Forecast Detail'!G45</f>
        <v>0</v>
      </c>
      <c r="K84" s="11" t="str">
        <f aca="false">IF($B$3=0,"",INDEX($E84:$I84,MATCH($F$3,$B$4:$F$4,0)))</f>
        <v/>
      </c>
      <c r="L84" s="11" t="str">
        <f aca="false">IF($B$3=0,"",AVERAGE($E84:$I84))</f>
        <v/>
      </c>
      <c r="M84" s="11" t="str">
        <f aca="false">IF($B$3&lt;3,"",IFERROR(FORECAST($H$3,$E84:$I84,$B$4:$F$4),""))</f>
        <v/>
      </c>
      <c r="N84" s="11" t="str">
        <f aca="false">IF($B$3&lt;2,"",IFERROR(IF(INDEX($E84:$I84,MATCH($D$3,$B$4:$F$4,0))*K84&gt;0,K84*(K84/INDEX($E84:$I84,MATCH($D$3,$B$4:$F$4,0)))^(($H$3-$F$3)/($F$3-$D$3)),K84),K84))</f>
        <v/>
      </c>
      <c r="O84" s="20"/>
      <c r="P84" s="6" t="str">
        <f aca="false">IF(O84&lt;&gt;"",O84,Inputs!$C$90)</f>
        <v>Linear Trend</v>
      </c>
      <c r="Q84" s="37" t="str">
        <f aca="false">IF($B$3=0,"",IF(Inputs!$C$91&gt;0,ROUND(IF(ISNUMBER(IF(P84="Last Actual",K84,IF(P84="Average",L84,IF(P84="Linear Trend",M84,N84)))),IF(P84="Last Actual",K84,IF(P84="Average",L84,IF(P84="Linear Trend",M84,N84))),K84)/Inputs!$C$91,0)*Inputs!$C$91,IF(ISNUMBER(IF(P84="Last Actual",K84,IF(P84="Average",L84,IF(P84="Linear Trend",M84,N84)))),IF(P84="Last Actual",K84,IF(P84="Average",L84,IF(P84="Linear Trend",M84,N84))),K84)))</f>
        <v/>
      </c>
      <c r="R84" s="31" t="n">
        <f aca="false">'Forecast Detail'!H45</f>
        <v>0</v>
      </c>
      <c r="S84" s="8" t="str">
        <f aca="false">IF(Q84="","",IF(J84=0,"",Q84/J84-1))</f>
        <v/>
      </c>
      <c r="T84" s="38" t="str">
        <f aca="false">IF(S84="","",IF(ABS(S84)&gt;Inputs!$C$92,"REVIEW",""))</f>
        <v/>
      </c>
    </row>
    <row r="85" customFormat="false" ht="15" hidden="false" customHeight="false" outlineLevel="0" collapsed="false">
      <c r="A85" s="36" t="str">
        <f aca="false">'Forecast Detail'!D46</f>
        <v>400148 Convenience Fee Income</v>
      </c>
      <c r="B85" s="36" t="str">
        <f aca="false">'Forecast Detail'!A46</f>
        <v>Revenue</v>
      </c>
      <c r="C85" s="36" t="str">
        <f aca="false">'Forecast Detail'!C46</f>
        <v>400148</v>
      </c>
      <c r="D85" s="36" t="str">
        <f aca="false">'Forecast Detail'!B46</f>
        <v>4 Other Miscellaneous Income</v>
      </c>
      <c r="E85" s="11" t="str">
        <f aca="false">IF(ISNUMBER(B$4),SUMIFS('Actuals Import'!$B$1:$B$600,'Actuals Import'!$H$1:$H$600,$C85,'Actuals Import'!$G$1:$G$600,1),"")</f>
        <v/>
      </c>
      <c r="F85" s="11" t="str">
        <f aca="false">IF(ISNUMBER(C$4),SUMIFS('Actuals Import'!$K$1:$K$600,'Actuals Import'!$Q$1:$Q$600,$C85,'Actuals Import'!$P$1:$P$600,1),"")</f>
        <v/>
      </c>
      <c r="G85" s="11" t="str">
        <f aca="false">IF(ISNUMBER(D$4),SUMIFS('Actuals Import'!$T$1:$T$600,'Actuals Import'!$Z$1:$Z$600,$C85,'Actuals Import'!$Y$1:$Y$600,1),"")</f>
        <v/>
      </c>
      <c r="H85" s="11" t="str">
        <f aca="false">IF(ISNUMBER(E$4),SUMIFS('Actuals Import'!$AC$1:$AC$600,'Actuals Import'!$AI$1:$AI$600,$C85,'Actuals Import'!$AH$1:$AH$600,1),"")</f>
        <v/>
      </c>
      <c r="I85" s="11" t="str">
        <f aca="false">IF(ISNUMBER(F$4),SUMIFS('Actuals Import'!$AL$1:$AL$600,'Actuals Import'!$AR$1:$AR$600,$C85,'Actuals Import'!$AQ$1:$AQ$600,1),"")</f>
        <v/>
      </c>
      <c r="J85" s="31" t="n">
        <f aca="false">'Forecast Detail'!G46</f>
        <v>0</v>
      </c>
      <c r="K85" s="11" t="str">
        <f aca="false">IF($B$3=0,"",INDEX($E85:$I85,MATCH($F$3,$B$4:$F$4,0)))</f>
        <v/>
      </c>
      <c r="L85" s="11" t="str">
        <f aca="false">IF($B$3=0,"",AVERAGE($E85:$I85))</f>
        <v/>
      </c>
      <c r="M85" s="11" t="str">
        <f aca="false">IF($B$3&lt;3,"",IFERROR(FORECAST($H$3,$E85:$I85,$B$4:$F$4),""))</f>
        <v/>
      </c>
      <c r="N85" s="11" t="str">
        <f aca="false">IF($B$3&lt;2,"",IFERROR(IF(INDEX($E85:$I85,MATCH($D$3,$B$4:$F$4,0))*K85&gt;0,K85*(K85/INDEX($E85:$I85,MATCH($D$3,$B$4:$F$4,0)))^(($H$3-$F$3)/($F$3-$D$3)),K85),K85))</f>
        <v/>
      </c>
      <c r="O85" s="20"/>
      <c r="P85" s="6" t="str">
        <f aca="false">IF(O85&lt;&gt;"",O85,Inputs!$C$90)</f>
        <v>Linear Trend</v>
      </c>
      <c r="Q85" s="37" t="str">
        <f aca="false">IF($B$3=0,"",IF(Inputs!$C$91&gt;0,ROUND(IF(ISNUMBER(IF(P85="Last Actual",K85,IF(P85="Average",L85,IF(P85="Linear Trend",M85,N85)))),IF(P85="Last Actual",K85,IF(P85="Average",L85,IF(P85="Linear Trend",M85,N85))),K85)/Inputs!$C$91,0)*Inputs!$C$91,IF(ISNUMBER(IF(P85="Last Actual",K85,IF(P85="Average",L85,IF(P85="Linear Trend",M85,N85)))),IF(P85="Last Actual",K85,IF(P85="Average",L85,IF(P85="Linear Trend",M85,N85))),K85)))</f>
        <v/>
      </c>
      <c r="R85" s="31" t="n">
        <f aca="false">'Forecast Detail'!H46</f>
        <v>0</v>
      </c>
      <c r="S85" s="8" t="str">
        <f aca="false">IF(Q85="","",IF(J85=0,"",Q85/J85-1))</f>
        <v/>
      </c>
      <c r="T85" s="38" t="str">
        <f aca="false">IF(S85="","",IF(ABS(S85)&gt;Inputs!$C$92,"REVIEW",""))</f>
        <v/>
      </c>
    </row>
    <row r="86" customFormat="false" ht="15" hidden="false" customHeight="false" outlineLevel="0" collapsed="false">
      <c r="A86" s="36" t="str">
        <f aca="false">'Forecast Detail'!D47</f>
        <v>400149 AP Testing Fees</v>
      </c>
      <c r="B86" s="36" t="str">
        <f aca="false">'Forecast Detail'!A47</f>
        <v>Revenue</v>
      </c>
      <c r="C86" s="36" t="str">
        <f aca="false">'Forecast Detail'!C47</f>
        <v>400149</v>
      </c>
      <c r="D86" s="36" t="str">
        <f aca="false">'Forecast Detail'!B47</f>
        <v>4 Other Miscellaneous Income</v>
      </c>
      <c r="E86" s="11" t="str">
        <f aca="false">IF(ISNUMBER(B$4),SUMIFS('Actuals Import'!$B$1:$B$600,'Actuals Import'!$H$1:$H$600,$C86,'Actuals Import'!$G$1:$G$600,1),"")</f>
        <v/>
      </c>
      <c r="F86" s="11" t="str">
        <f aca="false">IF(ISNUMBER(C$4),SUMIFS('Actuals Import'!$K$1:$K$600,'Actuals Import'!$Q$1:$Q$600,$C86,'Actuals Import'!$P$1:$P$600,1),"")</f>
        <v/>
      </c>
      <c r="G86" s="11" t="str">
        <f aca="false">IF(ISNUMBER(D$4),SUMIFS('Actuals Import'!$T$1:$T$600,'Actuals Import'!$Z$1:$Z$600,$C86,'Actuals Import'!$Y$1:$Y$600,1),"")</f>
        <v/>
      </c>
      <c r="H86" s="11" t="str">
        <f aca="false">IF(ISNUMBER(E$4),SUMIFS('Actuals Import'!$AC$1:$AC$600,'Actuals Import'!$AI$1:$AI$600,$C86,'Actuals Import'!$AH$1:$AH$600,1),"")</f>
        <v/>
      </c>
      <c r="I86" s="11" t="str">
        <f aca="false">IF(ISNUMBER(F$4),SUMIFS('Actuals Import'!$AL$1:$AL$600,'Actuals Import'!$AR$1:$AR$600,$C86,'Actuals Import'!$AQ$1:$AQ$600,1),"")</f>
        <v/>
      </c>
      <c r="J86" s="31" t="n">
        <f aca="false">'Forecast Detail'!G47</f>
        <v>0</v>
      </c>
      <c r="K86" s="11" t="str">
        <f aca="false">IF($B$3=0,"",INDEX($E86:$I86,MATCH($F$3,$B$4:$F$4,0)))</f>
        <v/>
      </c>
      <c r="L86" s="11" t="str">
        <f aca="false">IF($B$3=0,"",AVERAGE($E86:$I86))</f>
        <v/>
      </c>
      <c r="M86" s="11" t="str">
        <f aca="false">IF($B$3&lt;3,"",IFERROR(FORECAST($H$3,$E86:$I86,$B$4:$F$4),""))</f>
        <v/>
      </c>
      <c r="N86" s="11" t="str">
        <f aca="false">IF($B$3&lt;2,"",IFERROR(IF(INDEX($E86:$I86,MATCH($D$3,$B$4:$F$4,0))*K86&gt;0,K86*(K86/INDEX($E86:$I86,MATCH($D$3,$B$4:$F$4,0)))^(($H$3-$F$3)/($F$3-$D$3)),K86),K86))</f>
        <v/>
      </c>
      <c r="O86" s="20"/>
      <c r="P86" s="6" t="str">
        <f aca="false">IF(O86&lt;&gt;"",O86,Inputs!$C$90)</f>
        <v>Linear Trend</v>
      </c>
      <c r="Q86" s="37" t="str">
        <f aca="false">IF($B$3=0,"",IF(Inputs!$C$91&gt;0,ROUND(IF(ISNUMBER(IF(P86="Last Actual",K86,IF(P86="Average",L86,IF(P86="Linear Trend",M86,N86)))),IF(P86="Last Actual",K86,IF(P86="Average",L86,IF(P86="Linear Trend",M86,N86))),K86)/Inputs!$C$91,0)*Inputs!$C$91,IF(ISNUMBER(IF(P86="Last Actual",K86,IF(P86="Average",L86,IF(P86="Linear Trend",M86,N86)))),IF(P86="Last Actual",K86,IF(P86="Average",L86,IF(P86="Linear Trend",M86,N86))),K86)))</f>
        <v/>
      </c>
      <c r="R86" s="31" t="n">
        <f aca="false">'Forecast Detail'!H47</f>
        <v>0</v>
      </c>
      <c r="S86" s="8" t="str">
        <f aca="false">IF(Q86="","",IF(J86=0,"",Q86/J86-1))</f>
        <v/>
      </c>
      <c r="T86" s="38" t="str">
        <f aca="false">IF(S86="","",IF(ABS(S86)&gt;Inputs!$C$92,"REVIEW",""))</f>
        <v/>
      </c>
    </row>
    <row r="87" customFormat="false" ht="15" hidden="false" customHeight="false" outlineLevel="0" collapsed="false">
      <c r="A87" s="36" t="str">
        <f aca="false">'Forecast Detail'!D48</f>
        <v>400165 Lost Textbook Fines</v>
      </c>
      <c r="B87" s="36" t="str">
        <f aca="false">'Forecast Detail'!A48</f>
        <v>Revenue</v>
      </c>
      <c r="C87" s="36" t="str">
        <f aca="false">'Forecast Detail'!C48</f>
        <v>400165</v>
      </c>
      <c r="D87" s="36" t="str">
        <f aca="false">'Forecast Detail'!B48</f>
        <v>4 Other Miscellaneous Income</v>
      </c>
      <c r="E87" s="11" t="str">
        <f aca="false">IF(ISNUMBER(B$4),SUMIFS('Actuals Import'!$B$1:$B$600,'Actuals Import'!$H$1:$H$600,$C87,'Actuals Import'!$G$1:$G$600,1),"")</f>
        <v/>
      </c>
      <c r="F87" s="11" t="str">
        <f aca="false">IF(ISNUMBER(C$4),SUMIFS('Actuals Import'!$K$1:$K$600,'Actuals Import'!$Q$1:$Q$600,$C87,'Actuals Import'!$P$1:$P$600,1),"")</f>
        <v/>
      </c>
      <c r="G87" s="11" t="str">
        <f aca="false">IF(ISNUMBER(D$4),SUMIFS('Actuals Import'!$T$1:$T$600,'Actuals Import'!$Z$1:$Z$600,$C87,'Actuals Import'!$Y$1:$Y$600,1),"")</f>
        <v/>
      </c>
      <c r="H87" s="11" t="str">
        <f aca="false">IF(ISNUMBER(E$4),SUMIFS('Actuals Import'!$AC$1:$AC$600,'Actuals Import'!$AI$1:$AI$600,$C87,'Actuals Import'!$AH$1:$AH$600,1),"")</f>
        <v/>
      </c>
      <c r="I87" s="11" t="str">
        <f aca="false">IF(ISNUMBER(F$4),SUMIFS('Actuals Import'!$AL$1:$AL$600,'Actuals Import'!$AR$1:$AR$600,$C87,'Actuals Import'!$AQ$1:$AQ$600,1),"")</f>
        <v/>
      </c>
      <c r="J87" s="31" t="n">
        <f aca="false">'Forecast Detail'!G48</f>
        <v>0</v>
      </c>
      <c r="K87" s="11" t="str">
        <f aca="false">IF($B$3=0,"",INDEX($E87:$I87,MATCH($F$3,$B$4:$F$4,0)))</f>
        <v/>
      </c>
      <c r="L87" s="11" t="str">
        <f aca="false">IF($B$3=0,"",AVERAGE($E87:$I87))</f>
        <v/>
      </c>
      <c r="M87" s="11" t="str">
        <f aca="false">IF($B$3&lt;3,"",IFERROR(FORECAST($H$3,$E87:$I87,$B$4:$F$4),""))</f>
        <v/>
      </c>
      <c r="N87" s="11" t="str">
        <f aca="false">IF($B$3&lt;2,"",IFERROR(IF(INDEX($E87:$I87,MATCH($D$3,$B$4:$F$4,0))*K87&gt;0,K87*(K87/INDEX($E87:$I87,MATCH($D$3,$B$4:$F$4,0)))^(($H$3-$F$3)/($F$3-$D$3)),K87),K87))</f>
        <v/>
      </c>
      <c r="O87" s="20"/>
      <c r="P87" s="6" t="str">
        <f aca="false">IF(O87&lt;&gt;"",O87,Inputs!$C$90)</f>
        <v>Linear Trend</v>
      </c>
      <c r="Q87" s="37" t="str">
        <f aca="false">IF($B$3=0,"",IF(Inputs!$C$91&gt;0,ROUND(IF(ISNUMBER(IF(P87="Last Actual",K87,IF(P87="Average",L87,IF(P87="Linear Trend",M87,N87)))),IF(P87="Last Actual",K87,IF(P87="Average",L87,IF(P87="Linear Trend",M87,N87))),K87)/Inputs!$C$91,0)*Inputs!$C$91,IF(ISNUMBER(IF(P87="Last Actual",K87,IF(P87="Average",L87,IF(P87="Linear Trend",M87,N87)))),IF(P87="Last Actual",K87,IF(P87="Average",L87,IF(P87="Linear Trend",M87,N87))),K87)))</f>
        <v/>
      </c>
      <c r="R87" s="31" t="n">
        <f aca="false">'Forecast Detail'!H48</f>
        <v>0</v>
      </c>
      <c r="S87" s="8" t="str">
        <f aca="false">IF(Q87="","",IF(J87=0,"",Q87/J87-1))</f>
        <v/>
      </c>
      <c r="T87" s="38" t="str">
        <f aca="false">IF(S87="","",IF(ABS(S87)&gt;Inputs!$C$92,"REVIEW",""))</f>
        <v/>
      </c>
    </row>
    <row r="88" customFormat="false" ht="15" hidden="false" customHeight="false" outlineLevel="0" collapsed="false">
      <c r="A88" s="36" t="str">
        <f aca="false">'Forecast Detail'!D49</f>
        <v>400166 School Picture Income</v>
      </c>
      <c r="B88" s="36" t="str">
        <f aca="false">'Forecast Detail'!A49</f>
        <v>Revenue</v>
      </c>
      <c r="C88" s="36" t="str">
        <f aca="false">'Forecast Detail'!C49</f>
        <v>400166</v>
      </c>
      <c r="D88" s="36" t="str">
        <f aca="false">'Forecast Detail'!B49</f>
        <v>4 Other Miscellaneous Income</v>
      </c>
      <c r="E88" s="11" t="str">
        <f aca="false">IF(ISNUMBER(B$4),SUMIFS('Actuals Import'!$B$1:$B$600,'Actuals Import'!$H$1:$H$600,$C88,'Actuals Import'!$G$1:$G$600,1),"")</f>
        <v/>
      </c>
      <c r="F88" s="11" t="str">
        <f aca="false">IF(ISNUMBER(C$4),SUMIFS('Actuals Import'!$K$1:$K$600,'Actuals Import'!$Q$1:$Q$600,$C88,'Actuals Import'!$P$1:$P$600,1),"")</f>
        <v/>
      </c>
      <c r="G88" s="11" t="str">
        <f aca="false">IF(ISNUMBER(D$4),SUMIFS('Actuals Import'!$T$1:$T$600,'Actuals Import'!$Z$1:$Z$600,$C88,'Actuals Import'!$Y$1:$Y$600,1),"")</f>
        <v/>
      </c>
      <c r="H88" s="11" t="str">
        <f aca="false">IF(ISNUMBER(E$4),SUMIFS('Actuals Import'!$AC$1:$AC$600,'Actuals Import'!$AI$1:$AI$600,$C88,'Actuals Import'!$AH$1:$AH$600,1),"")</f>
        <v/>
      </c>
      <c r="I88" s="11" t="str">
        <f aca="false">IF(ISNUMBER(F$4),SUMIFS('Actuals Import'!$AL$1:$AL$600,'Actuals Import'!$AR$1:$AR$600,$C88,'Actuals Import'!$AQ$1:$AQ$600,1),"")</f>
        <v/>
      </c>
      <c r="J88" s="31" t="n">
        <f aca="false">'Forecast Detail'!G49</f>
        <v>0</v>
      </c>
      <c r="K88" s="11" t="str">
        <f aca="false">IF($B$3=0,"",INDEX($E88:$I88,MATCH($F$3,$B$4:$F$4,0)))</f>
        <v/>
      </c>
      <c r="L88" s="11" t="str">
        <f aca="false">IF($B$3=0,"",AVERAGE($E88:$I88))</f>
        <v/>
      </c>
      <c r="M88" s="11" t="str">
        <f aca="false">IF($B$3&lt;3,"",IFERROR(FORECAST($H$3,$E88:$I88,$B$4:$F$4),""))</f>
        <v/>
      </c>
      <c r="N88" s="11" t="str">
        <f aca="false">IF($B$3&lt;2,"",IFERROR(IF(INDEX($E88:$I88,MATCH($D$3,$B$4:$F$4,0))*K88&gt;0,K88*(K88/INDEX($E88:$I88,MATCH($D$3,$B$4:$F$4,0)))^(($H$3-$F$3)/($F$3-$D$3)),K88),K88))</f>
        <v/>
      </c>
      <c r="O88" s="20"/>
      <c r="P88" s="6" t="str">
        <f aca="false">IF(O88&lt;&gt;"",O88,Inputs!$C$90)</f>
        <v>Linear Trend</v>
      </c>
      <c r="Q88" s="37" t="str">
        <f aca="false">IF($B$3=0,"",IF(Inputs!$C$91&gt;0,ROUND(IF(ISNUMBER(IF(P88="Last Actual",K88,IF(P88="Average",L88,IF(P88="Linear Trend",M88,N88)))),IF(P88="Last Actual",K88,IF(P88="Average",L88,IF(P88="Linear Trend",M88,N88))),K88)/Inputs!$C$91,0)*Inputs!$C$91,IF(ISNUMBER(IF(P88="Last Actual",K88,IF(P88="Average",L88,IF(P88="Linear Trend",M88,N88)))),IF(P88="Last Actual",K88,IF(P88="Average",L88,IF(P88="Linear Trend",M88,N88))),K88)))</f>
        <v/>
      </c>
      <c r="R88" s="31" t="n">
        <f aca="false">'Forecast Detail'!H49</f>
        <v>0</v>
      </c>
      <c r="S88" s="8" t="str">
        <f aca="false">IF(Q88="","",IF(J88=0,"",Q88/J88-1))</f>
        <v/>
      </c>
      <c r="T88" s="38" t="str">
        <f aca="false">IF(S88="","",IF(ABS(S88)&gt;Inputs!$C$92,"REVIEW",""))</f>
        <v/>
      </c>
    </row>
    <row r="89" customFormat="false" ht="15" hidden="false" customHeight="false" outlineLevel="0" collapsed="false">
      <c r="A89" s="36" t="str">
        <f aca="false">'Forecast Detail'!D50</f>
        <v>400169 Other Income For Non-Classified Activities</v>
      </c>
      <c r="B89" s="36" t="str">
        <f aca="false">'Forecast Detail'!A50</f>
        <v>Revenue</v>
      </c>
      <c r="C89" s="36" t="str">
        <f aca="false">'Forecast Detail'!C50</f>
        <v>400169</v>
      </c>
      <c r="D89" s="36" t="str">
        <f aca="false">'Forecast Detail'!B50</f>
        <v>4 Other Miscellaneous Income</v>
      </c>
      <c r="E89" s="11" t="str">
        <f aca="false">IF(ISNUMBER(B$4),SUMIFS('Actuals Import'!$B$1:$B$600,'Actuals Import'!$H$1:$H$600,$C89,'Actuals Import'!$G$1:$G$600,1),"")</f>
        <v/>
      </c>
      <c r="F89" s="11" t="str">
        <f aca="false">IF(ISNUMBER(C$4),SUMIFS('Actuals Import'!$K$1:$K$600,'Actuals Import'!$Q$1:$Q$600,$C89,'Actuals Import'!$P$1:$P$600,1),"")</f>
        <v/>
      </c>
      <c r="G89" s="11" t="str">
        <f aca="false">IF(ISNUMBER(D$4),SUMIFS('Actuals Import'!$T$1:$T$600,'Actuals Import'!$Z$1:$Z$600,$C89,'Actuals Import'!$Y$1:$Y$600,1),"")</f>
        <v/>
      </c>
      <c r="H89" s="11" t="str">
        <f aca="false">IF(ISNUMBER(E$4),SUMIFS('Actuals Import'!$AC$1:$AC$600,'Actuals Import'!$AI$1:$AI$600,$C89,'Actuals Import'!$AH$1:$AH$600,1),"")</f>
        <v/>
      </c>
      <c r="I89" s="11" t="str">
        <f aca="false">IF(ISNUMBER(F$4),SUMIFS('Actuals Import'!$AL$1:$AL$600,'Actuals Import'!$AR$1:$AR$600,$C89,'Actuals Import'!$AQ$1:$AQ$600,1),"")</f>
        <v/>
      </c>
      <c r="J89" s="31" t="n">
        <f aca="false">'Forecast Detail'!G50</f>
        <v>0</v>
      </c>
      <c r="K89" s="11" t="str">
        <f aca="false">IF($B$3=0,"",INDEX($E89:$I89,MATCH($F$3,$B$4:$F$4,0)))</f>
        <v/>
      </c>
      <c r="L89" s="11" t="str">
        <f aca="false">IF($B$3=0,"",AVERAGE($E89:$I89))</f>
        <v/>
      </c>
      <c r="M89" s="11" t="str">
        <f aca="false">IF($B$3&lt;3,"",IFERROR(FORECAST($H$3,$E89:$I89,$B$4:$F$4),""))</f>
        <v/>
      </c>
      <c r="N89" s="11" t="str">
        <f aca="false">IF($B$3&lt;2,"",IFERROR(IF(INDEX($E89:$I89,MATCH($D$3,$B$4:$F$4,0))*K89&gt;0,K89*(K89/INDEX($E89:$I89,MATCH($D$3,$B$4:$F$4,0)))^(($H$3-$F$3)/($F$3-$D$3)),K89),K89))</f>
        <v/>
      </c>
      <c r="O89" s="20"/>
      <c r="P89" s="6" t="str">
        <f aca="false">IF(O89&lt;&gt;"",O89,Inputs!$C$90)</f>
        <v>Linear Trend</v>
      </c>
      <c r="Q89" s="37" t="str">
        <f aca="false">IF($B$3=0,"",IF(Inputs!$C$91&gt;0,ROUND(IF(ISNUMBER(IF(P89="Last Actual",K89,IF(P89="Average",L89,IF(P89="Linear Trend",M89,N89)))),IF(P89="Last Actual",K89,IF(P89="Average",L89,IF(P89="Linear Trend",M89,N89))),K89)/Inputs!$C$91,0)*Inputs!$C$91,IF(ISNUMBER(IF(P89="Last Actual",K89,IF(P89="Average",L89,IF(P89="Linear Trend",M89,N89)))),IF(P89="Last Actual",K89,IF(P89="Average",L89,IF(P89="Linear Trend",M89,N89))),K89)))</f>
        <v/>
      </c>
      <c r="R89" s="31" t="n">
        <f aca="false">'Forecast Detail'!H50</f>
        <v>0</v>
      </c>
      <c r="S89" s="8" t="str">
        <f aca="false">IF(Q89="","",IF(J89=0,"",Q89/J89-1))</f>
        <v/>
      </c>
      <c r="T89" s="38" t="str">
        <f aca="false">IF(S89="","",IF(ABS(S89)&gt;Inputs!$C$92,"REVIEW",""))</f>
        <v/>
      </c>
    </row>
    <row r="90" customFormat="false" ht="15" hidden="false" customHeight="false" outlineLevel="0" collapsed="false">
      <c r="A90" s="36" t="str">
        <f aca="false">'Forecast Detail'!D51</f>
        <v>400170 Hospitality Collections from Employees</v>
      </c>
      <c r="B90" s="36" t="str">
        <f aca="false">'Forecast Detail'!A51</f>
        <v>Revenue</v>
      </c>
      <c r="C90" s="36" t="str">
        <f aca="false">'Forecast Detail'!C51</f>
        <v>400170</v>
      </c>
      <c r="D90" s="36" t="str">
        <f aca="false">'Forecast Detail'!B51</f>
        <v>4 Other Miscellaneous Income</v>
      </c>
      <c r="E90" s="11" t="str">
        <f aca="false">IF(ISNUMBER(B$4),SUMIFS('Actuals Import'!$B$1:$B$600,'Actuals Import'!$H$1:$H$600,$C90,'Actuals Import'!$G$1:$G$600,1),"")</f>
        <v/>
      </c>
      <c r="F90" s="11" t="str">
        <f aca="false">IF(ISNUMBER(C$4),SUMIFS('Actuals Import'!$K$1:$K$600,'Actuals Import'!$Q$1:$Q$600,$C90,'Actuals Import'!$P$1:$P$600,1),"")</f>
        <v/>
      </c>
      <c r="G90" s="11" t="str">
        <f aca="false">IF(ISNUMBER(D$4),SUMIFS('Actuals Import'!$T$1:$T$600,'Actuals Import'!$Z$1:$Z$600,$C90,'Actuals Import'!$Y$1:$Y$600,1),"")</f>
        <v/>
      </c>
      <c r="H90" s="11" t="str">
        <f aca="false">IF(ISNUMBER(E$4),SUMIFS('Actuals Import'!$AC$1:$AC$600,'Actuals Import'!$AI$1:$AI$600,$C90,'Actuals Import'!$AH$1:$AH$600,1),"")</f>
        <v/>
      </c>
      <c r="I90" s="11" t="str">
        <f aca="false">IF(ISNUMBER(F$4),SUMIFS('Actuals Import'!$AL$1:$AL$600,'Actuals Import'!$AR$1:$AR$600,$C90,'Actuals Import'!$AQ$1:$AQ$600,1),"")</f>
        <v/>
      </c>
      <c r="J90" s="31" t="n">
        <f aca="false">'Forecast Detail'!G51</f>
        <v>0</v>
      </c>
      <c r="K90" s="11" t="str">
        <f aca="false">IF($B$3=0,"",INDEX($E90:$I90,MATCH($F$3,$B$4:$F$4,0)))</f>
        <v/>
      </c>
      <c r="L90" s="11" t="str">
        <f aca="false">IF($B$3=0,"",AVERAGE($E90:$I90))</f>
        <v/>
      </c>
      <c r="M90" s="11" t="str">
        <f aca="false">IF($B$3&lt;3,"",IFERROR(FORECAST($H$3,$E90:$I90,$B$4:$F$4),""))</f>
        <v/>
      </c>
      <c r="N90" s="11" t="str">
        <f aca="false">IF($B$3&lt;2,"",IFERROR(IF(INDEX($E90:$I90,MATCH($D$3,$B$4:$F$4,0))*K90&gt;0,K90*(K90/INDEX($E90:$I90,MATCH($D$3,$B$4:$F$4,0)))^(($H$3-$F$3)/($F$3-$D$3)),K90),K90))</f>
        <v/>
      </c>
      <c r="O90" s="20"/>
      <c r="P90" s="6" t="str">
        <f aca="false">IF(O90&lt;&gt;"",O90,Inputs!$C$90)</f>
        <v>Linear Trend</v>
      </c>
      <c r="Q90" s="37" t="str">
        <f aca="false">IF($B$3=0,"",IF(Inputs!$C$91&gt;0,ROUND(IF(ISNUMBER(IF(P90="Last Actual",K90,IF(P90="Average",L90,IF(P90="Linear Trend",M90,N90)))),IF(P90="Last Actual",K90,IF(P90="Average",L90,IF(P90="Linear Trend",M90,N90))),K90)/Inputs!$C$91,0)*Inputs!$C$91,IF(ISNUMBER(IF(P90="Last Actual",K90,IF(P90="Average",L90,IF(P90="Linear Trend",M90,N90)))),IF(P90="Last Actual",K90,IF(P90="Average",L90,IF(P90="Linear Trend",M90,N90))),K90)))</f>
        <v/>
      </c>
      <c r="R90" s="31" t="n">
        <f aca="false">'Forecast Detail'!H51</f>
        <v>0</v>
      </c>
      <c r="S90" s="8" t="str">
        <f aca="false">IF(Q90="","",IF(J90=0,"",Q90/J90-1))</f>
        <v/>
      </c>
      <c r="T90" s="38" t="str">
        <f aca="false">IF(S90="","",IF(ABS(S90)&gt;Inputs!$C$92,"REVIEW",""))</f>
        <v/>
      </c>
    </row>
    <row r="91" customFormat="false" ht="15" hidden="false" customHeight="false" outlineLevel="0" collapsed="false">
      <c r="A91" s="36" t="str">
        <f aca="false">'Forecast Detail'!D52</f>
        <v>400129 Tutoring Fees Lower School</v>
      </c>
      <c r="B91" s="36" t="str">
        <f aca="false">'Forecast Detail'!A52</f>
        <v>Revenue</v>
      </c>
      <c r="C91" s="36" t="str">
        <f aca="false">'Forecast Detail'!C52</f>
        <v>400129</v>
      </c>
      <c r="D91" s="36" t="str">
        <f aca="false">'Forecast Detail'!B52</f>
        <v>4 Other Miscellaneous Income</v>
      </c>
      <c r="E91" s="11" t="str">
        <f aca="false">IF(ISNUMBER(B$4),SUMIFS('Actuals Import'!$B$1:$B$600,'Actuals Import'!$H$1:$H$600,$C91,'Actuals Import'!$G$1:$G$600,1),"")</f>
        <v/>
      </c>
      <c r="F91" s="11" t="str">
        <f aca="false">IF(ISNUMBER(C$4),SUMIFS('Actuals Import'!$K$1:$K$600,'Actuals Import'!$Q$1:$Q$600,$C91,'Actuals Import'!$P$1:$P$600,1),"")</f>
        <v/>
      </c>
      <c r="G91" s="11" t="str">
        <f aca="false">IF(ISNUMBER(D$4),SUMIFS('Actuals Import'!$T$1:$T$600,'Actuals Import'!$Z$1:$Z$600,$C91,'Actuals Import'!$Y$1:$Y$600,1),"")</f>
        <v/>
      </c>
      <c r="H91" s="11" t="str">
        <f aca="false">IF(ISNUMBER(E$4),SUMIFS('Actuals Import'!$AC$1:$AC$600,'Actuals Import'!$AI$1:$AI$600,$C91,'Actuals Import'!$AH$1:$AH$600,1),"")</f>
        <v/>
      </c>
      <c r="I91" s="11" t="str">
        <f aca="false">IF(ISNUMBER(F$4),SUMIFS('Actuals Import'!$AL$1:$AL$600,'Actuals Import'!$AR$1:$AR$600,$C91,'Actuals Import'!$AQ$1:$AQ$600,1),"")</f>
        <v/>
      </c>
      <c r="J91" s="31" t="n">
        <f aca="false">'Forecast Detail'!G52</f>
        <v>0</v>
      </c>
      <c r="K91" s="11" t="str">
        <f aca="false">IF($B$3=0,"",INDEX($E91:$I91,MATCH($F$3,$B$4:$F$4,0)))</f>
        <v/>
      </c>
      <c r="L91" s="11" t="str">
        <f aca="false">IF($B$3=0,"",AVERAGE($E91:$I91))</f>
        <v/>
      </c>
      <c r="M91" s="11" t="str">
        <f aca="false">IF($B$3&lt;3,"",IFERROR(FORECAST($H$3,$E91:$I91,$B$4:$F$4),""))</f>
        <v/>
      </c>
      <c r="N91" s="11" t="str">
        <f aca="false">IF($B$3&lt;2,"",IFERROR(IF(INDEX($E91:$I91,MATCH($D$3,$B$4:$F$4,0))*K91&gt;0,K91*(K91/INDEX($E91:$I91,MATCH($D$3,$B$4:$F$4,0)))^(($H$3-$F$3)/($F$3-$D$3)),K91),K91))</f>
        <v/>
      </c>
      <c r="O91" s="20"/>
      <c r="P91" s="6" t="str">
        <f aca="false">IF(O91&lt;&gt;"",O91,Inputs!$C$90)</f>
        <v>Linear Trend</v>
      </c>
      <c r="Q91" s="37" t="str">
        <f aca="false">IF($B$3=0,"",IF(Inputs!$C$91&gt;0,ROUND(IF(ISNUMBER(IF(P91="Last Actual",K91,IF(P91="Average",L91,IF(P91="Linear Trend",M91,N91)))),IF(P91="Last Actual",K91,IF(P91="Average",L91,IF(P91="Linear Trend",M91,N91))),K91)/Inputs!$C$91,0)*Inputs!$C$91,IF(ISNUMBER(IF(P91="Last Actual",K91,IF(P91="Average",L91,IF(P91="Linear Trend",M91,N91)))),IF(P91="Last Actual",K91,IF(P91="Average",L91,IF(P91="Linear Trend",M91,N91))),K91)))</f>
        <v/>
      </c>
      <c r="R91" s="31" t="n">
        <f aca="false">'Forecast Detail'!H52</f>
        <v>0</v>
      </c>
      <c r="S91" s="8" t="str">
        <f aca="false">IF(Q91="","",IF(J91=0,"",Q91/J91-1))</f>
        <v/>
      </c>
      <c r="T91" s="38" t="str">
        <f aca="false">IF(S91="","",IF(ABS(S91)&gt;Inputs!$C$92,"REVIEW",""))</f>
        <v/>
      </c>
    </row>
    <row r="92" customFormat="false" ht="15" hidden="false" customHeight="false" outlineLevel="0" collapsed="false">
      <c r="A92" s="36" t="str">
        <f aca="false">'Forecast Detail'!D53</f>
        <v>400130 Tutoring Fees Middle School</v>
      </c>
      <c r="B92" s="36" t="str">
        <f aca="false">'Forecast Detail'!A53</f>
        <v>Revenue</v>
      </c>
      <c r="C92" s="36" t="str">
        <f aca="false">'Forecast Detail'!C53</f>
        <v>400130</v>
      </c>
      <c r="D92" s="36" t="str">
        <f aca="false">'Forecast Detail'!B53</f>
        <v>4 Other Miscellaneous Income</v>
      </c>
      <c r="E92" s="11" t="str">
        <f aca="false">IF(ISNUMBER(B$4),SUMIFS('Actuals Import'!$B$1:$B$600,'Actuals Import'!$H$1:$H$600,$C92,'Actuals Import'!$G$1:$G$600,1),"")</f>
        <v/>
      </c>
      <c r="F92" s="11" t="str">
        <f aca="false">IF(ISNUMBER(C$4),SUMIFS('Actuals Import'!$K$1:$K$600,'Actuals Import'!$Q$1:$Q$600,$C92,'Actuals Import'!$P$1:$P$600,1),"")</f>
        <v/>
      </c>
      <c r="G92" s="11" t="str">
        <f aca="false">IF(ISNUMBER(D$4),SUMIFS('Actuals Import'!$T$1:$T$600,'Actuals Import'!$Z$1:$Z$600,$C92,'Actuals Import'!$Y$1:$Y$600,1),"")</f>
        <v/>
      </c>
      <c r="H92" s="11" t="str">
        <f aca="false">IF(ISNUMBER(E$4),SUMIFS('Actuals Import'!$AC$1:$AC$600,'Actuals Import'!$AI$1:$AI$600,$C92,'Actuals Import'!$AH$1:$AH$600,1),"")</f>
        <v/>
      </c>
      <c r="I92" s="11" t="str">
        <f aca="false">IF(ISNUMBER(F$4),SUMIFS('Actuals Import'!$AL$1:$AL$600,'Actuals Import'!$AR$1:$AR$600,$C92,'Actuals Import'!$AQ$1:$AQ$600,1),"")</f>
        <v/>
      </c>
      <c r="J92" s="31" t="n">
        <f aca="false">'Forecast Detail'!G53</f>
        <v>0</v>
      </c>
      <c r="K92" s="11" t="str">
        <f aca="false">IF($B$3=0,"",INDEX($E92:$I92,MATCH($F$3,$B$4:$F$4,0)))</f>
        <v/>
      </c>
      <c r="L92" s="11" t="str">
        <f aca="false">IF($B$3=0,"",AVERAGE($E92:$I92))</f>
        <v/>
      </c>
      <c r="M92" s="11" t="str">
        <f aca="false">IF($B$3&lt;3,"",IFERROR(FORECAST($H$3,$E92:$I92,$B$4:$F$4),""))</f>
        <v/>
      </c>
      <c r="N92" s="11" t="str">
        <f aca="false">IF($B$3&lt;2,"",IFERROR(IF(INDEX($E92:$I92,MATCH($D$3,$B$4:$F$4,0))*K92&gt;0,K92*(K92/INDEX($E92:$I92,MATCH($D$3,$B$4:$F$4,0)))^(($H$3-$F$3)/($F$3-$D$3)),K92),K92))</f>
        <v/>
      </c>
      <c r="O92" s="20"/>
      <c r="P92" s="6" t="str">
        <f aca="false">IF(O92&lt;&gt;"",O92,Inputs!$C$90)</f>
        <v>Linear Trend</v>
      </c>
      <c r="Q92" s="37" t="str">
        <f aca="false">IF($B$3=0,"",IF(Inputs!$C$91&gt;0,ROUND(IF(ISNUMBER(IF(P92="Last Actual",K92,IF(P92="Average",L92,IF(P92="Linear Trend",M92,N92)))),IF(P92="Last Actual",K92,IF(P92="Average",L92,IF(P92="Linear Trend",M92,N92))),K92)/Inputs!$C$91,0)*Inputs!$C$91,IF(ISNUMBER(IF(P92="Last Actual",K92,IF(P92="Average",L92,IF(P92="Linear Trend",M92,N92)))),IF(P92="Last Actual",K92,IF(P92="Average",L92,IF(P92="Linear Trend",M92,N92))),K92)))</f>
        <v/>
      </c>
      <c r="R92" s="31" t="n">
        <f aca="false">'Forecast Detail'!H53</f>
        <v>0</v>
      </c>
      <c r="S92" s="8" t="str">
        <f aca="false">IF(Q92="","",IF(J92=0,"",Q92/J92-1))</f>
        <v/>
      </c>
      <c r="T92" s="38" t="str">
        <f aca="false">IF(S92="","",IF(ABS(S92)&gt;Inputs!$C$92,"REVIEW",""))</f>
        <v/>
      </c>
    </row>
    <row r="93" customFormat="false" ht="15" hidden="false" customHeight="false" outlineLevel="0" collapsed="false">
      <c r="A93" s="36" t="str">
        <f aca="false">'Forecast Detail'!D54</f>
        <v>400131 Tutoring Fees Upper School</v>
      </c>
      <c r="B93" s="36" t="str">
        <f aca="false">'Forecast Detail'!A54</f>
        <v>Revenue</v>
      </c>
      <c r="C93" s="36" t="str">
        <f aca="false">'Forecast Detail'!C54</f>
        <v>400131</v>
      </c>
      <c r="D93" s="36" t="str">
        <f aca="false">'Forecast Detail'!B54</f>
        <v>4 Other Miscellaneous Income</v>
      </c>
      <c r="E93" s="11" t="str">
        <f aca="false">IF(ISNUMBER(B$4),SUMIFS('Actuals Import'!$B$1:$B$600,'Actuals Import'!$H$1:$H$600,$C93,'Actuals Import'!$G$1:$G$600,1),"")</f>
        <v/>
      </c>
      <c r="F93" s="11" t="str">
        <f aca="false">IF(ISNUMBER(C$4),SUMIFS('Actuals Import'!$K$1:$K$600,'Actuals Import'!$Q$1:$Q$600,$C93,'Actuals Import'!$P$1:$P$600,1),"")</f>
        <v/>
      </c>
      <c r="G93" s="11" t="str">
        <f aca="false">IF(ISNUMBER(D$4),SUMIFS('Actuals Import'!$T$1:$T$600,'Actuals Import'!$Z$1:$Z$600,$C93,'Actuals Import'!$Y$1:$Y$600,1),"")</f>
        <v/>
      </c>
      <c r="H93" s="11" t="str">
        <f aca="false">IF(ISNUMBER(E$4),SUMIFS('Actuals Import'!$AC$1:$AC$600,'Actuals Import'!$AI$1:$AI$600,$C93,'Actuals Import'!$AH$1:$AH$600,1),"")</f>
        <v/>
      </c>
      <c r="I93" s="11" t="str">
        <f aca="false">IF(ISNUMBER(F$4),SUMIFS('Actuals Import'!$AL$1:$AL$600,'Actuals Import'!$AR$1:$AR$600,$C93,'Actuals Import'!$AQ$1:$AQ$600,1),"")</f>
        <v/>
      </c>
      <c r="J93" s="31" t="n">
        <f aca="false">'Forecast Detail'!G54</f>
        <v>0</v>
      </c>
      <c r="K93" s="11" t="str">
        <f aca="false">IF($B$3=0,"",INDEX($E93:$I93,MATCH($F$3,$B$4:$F$4,0)))</f>
        <v/>
      </c>
      <c r="L93" s="11" t="str">
        <f aca="false">IF($B$3=0,"",AVERAGE($E93:$I93))</f>
        <v/>
      </c>
      <c r="M93" s="11" t="str">
        <f aca="false">IF($B$3&lt;3,"",IFERROR(FORECAST($H$3,$E93:$I93,$B$4:$F$4),""))</f>
        <v/>
      </c>
      <c r="N93" s="11" t="str">
        <f aca="false">IF($B$3&lt;2,"",IFERROR(IF(INDEX($E93:$I93,MATCH($D$3,$B$4:$F$4,0))*K93&gt;0,K93*(K93/INDEX($E93:$I93,MATCH($D$3,$B$4:$F$4,0)))^(($H$3-$F$3)/($F$3-$D$3)),K93),K93))</f>
        <v/>
      </c>
      <c r="O93" s="20"/>
      <c r="P93" s="6" t="str">
        <f aca="false">IF(O93&lt;&gt;"",O93,Inputs!$C$90)</f>
        <v>Linear Trend</v>
      </c>
      <c r="Q93" s="37" t="str">
        <f aca="false">IF($B$3=0,"",IF(Inputs!$C$91&gt;0,ROUND(IF(ISNUMBER(IF(P93="Last Actual",K93,IF(P93="Average",L93,IF(P93="Linear Trend",M93,N93)))),IF(P93="Last Actual",K93,IF(P93="Average",L93,IF(P93="Linear Trend",M93,N93))),K93)/Inputs!$C$91,0)*Inputs!$C$91,IF(ISNUMBER(IF(P93="Last Actual",K93,IF(P93="Average",L93,IF(P93="Linear Trend",M93,N93)))),IF(P93="Last Actual",K93,IF(P93="Average",L93,IF(P93="Linear Trend",M93,N93))),K93)))</f>
        <v/>
      </c>
      <c r="R93" s="31" t="n">
        <f aca="false">'Forecast Detail'!H54</f>
        <v>0</v>
      </c>
      <c r="S93" s="8" t="str">
        <f aca="false">IF(Q93="","",IF(J93=0,"",Q93/J93-1))</f>
        <v/>
      </c>
      <c r="T93" s="38" t="str">
        <f aca="false">IF(S93="","",IF(ABS(S93)&gt;Inputs!$C$92,"REVIEW",""))</f>
        <v/>
      </c>
    </row>
    <row r="94" customFormat="false" ht="15" hidden="false" customHeight="false" outlineLevel="0" collapsed="false">
      <c r="A94" s="36" t="str">
        <f aca="false">'Forecast Detail'!D55</f>
        <v>400151 ACT Prep Income</v>
      </c>
      <c r="B94" s="36" t="str">
        <f aca="false">'Forecast Detail'!A55</f>
        <v>Revenue</v>
      </c>
      <c r="C94" s="36" t="str">
        <f aca="false">'Forecast Detail'!C55</f>
        <v>400151</v>
      </c>
      <c r="D94" s="36" t="str">
        <f aca="false">'Forecast Detail'!B55</f>
        <v>4 Other Miscellaneous Income</v>
      </c>
      <c r="E94" s="11" t="str">
        <f aca="false">IF(ISNUMBER(B$4),SUMIFS('Actuals Import'!$B$1:$B$600,'Actuals Import'!$H$1:$H$600,$C94,'Actuals Import'!$G$1:$G$600,1),"")</f>
        <v/>
      </c>
      <c r="F94" s="11" t="str">
        <f aca="false">IF(ISNUMBER(C$4),SUMIFS('Actuals Import'!$K$1:$K$600,'Actuals Import'!$Q$1:$Q$600,$C94,'Actuals Import'!$P$1:$P$600,1),"")</f>
        <v/>
      </c>
      <c r="G94" s="11" t="str">
        <f aca="false">IF(ISNUMBER(D$4),SUMIFS('Actuals Import'!$T$1:$T$600,'Actuals Import'!$Z$1:$Z$600,$C94,'Actuals Import'!$Y$1:$Y$600,1),"")</f>
        <v/>
      </c>
      <c r="H94" s="11" t="str">
        <f aca="false">IF(ISNUMBER(E$4),SUMIFS('Actuals Import'!$AC$1:$AC$600,'Actuals Import'!$AI$1:$AI$600,$C94,'Actuals Import'!$AH$1:$AH$600,1),"")</f>
        <v/>
      </c>
      <c r="I94" s="11" t="str">
        <f aca="false">IF(ISNUMBER(F$4),SUMIFS('Actuals Import'!$AL$1:$AL$600,'Actuals Import'!$AR$1:$AR$600,$C94,'Actuals Import'!$AQ$1:$AQ$600,1),"")</f>
        <v/>
      </c>
      <c r="J94" s="31" t="n">
        <f aca="false">'Forecast Detail'!G55</f>
        <v>0</v>
      </c>
      <c r="K94" s="11" t="str">
        <f aca="false">IF($B$3=0,"",INDEX($E94:$I94,MATCH($F$3,$B$4:$F$4,0)))</f>
        <v/>
      </c>
      <c r="L94" s="11" t="str">
        <f aca="false">IF($B$3=0,"",AVERAGE($E94:$I94))</f>
        <v/>
      </c>
      <c r="M94" s="11" t="str">
        <f aca="false">IF($B$3&lt;3,"",IFERROR(FORECAST($H$3,$E94:$I94,$B$4:$F$4),""))</f>
        <v/>
      </c>
      <c r="N94" s="11" t="str">
        <f aca="false">IF($B$3&lt;2,"",IFERROR(IF(INDEX($E94:$I94,MATCH($D$3,$B$4:$F$4,0))*K94&gt;0,K94*(K94/INDEX($E94:$I94,MATCH($D$3,$B$4:$F$4,0)))^(($H$3-$F$3)/($F$3-$D$3)),K94),K94))</f>
        <v/>
      </c>
      <c r="O94" s="20"/>
      <c r="P94" s="6" t="str">
        <f aca="false">IF(O94&lt;&gt;"",O94,Inputs!$C$90)</f>
        <v>Linear Trend</v>
      </c>
      <c r="Q94" s="37" t="str">
        <f aca="false">IF($B$3=0,"",IF(Inputs!$C$91&gt;0,ROUND(IF(ISNUMBER(IF(P94="Last Actual",K94,IF(P94="Average",L94,IF(P94="Linear Trend",M94,N94)))),IF(P94="Last Actual",K94,IF(P94="Average",L94,IF(P94="Linear Trend",M94,N94))),K94)/Inputs!$C$91,0)*Inputs!$C$91,IF(ISNUMBER(IF(P94="Last Actual",K94,IF(P94="Average",L94,IF(P94="Linear Trend",M94,N94)))),IF(P94="Last Actual",K94,IF(P94="Average",L94,IF(P94="Linear Trend",M94,N94))),K94)))</f>
        <v/>
      </c>
      <c r="R94" s="31" t="n">
        <f aca="false">'Forecast Detail'!H55</f>
        <v>0</v>
      </c>
      <c r="S94" s="8" t="str">
        <f aca="false">IF(Q94="","",IF(J94=0,"",Q94/J94-1))</f>
        <v/>
      </c>
      <c r="T94" s="38" t="str">
        <f aca="false">IF(S94="","",IF(ABS(S94)&gt;Inputs!$C$92,"REVIEW",""))</f>
        <v/>
      </c>
    </row>
    <row r="95" customFormat="false" ht="15" hidden="false" customHeight="false" outlineLevel="0" collapsed="false">
      <c r="A95" s="36" t="str">
        <f aca="false">'Forecast Detail'!D56</f>
        <v>400086 Twas the Night Revenue</v>
      </c>
      <c r="B95" s="36" t="str">
        <f aca="false">'Forecast Detail'!A56</f>
        <v>Revenue</v>
      </c>
      <c r="C95" s="36" t="str">
        <f aca="false">'Forecast Detail'!C56</f>
        <v>400086</v>
      </c>
      <c r="D95" s="36" t="str">
        <f aca="false">'Forecast Detail'!B56</f>
        <v>4 Other Miscellaneous Income</v>
      </c>
      <c r="E95" s="11" t="str">
        <f aca="false">IF(ISNUMBER(B$4),SUMIFS('Actuals Import'!$B$1:$B$600,'Actuals Import'!$H$1:$H$600,$C95,'Actuals Import'!$G$1:$G$600,1),"")</f>
        <v/>
      </c>
      <c r="F95" s="11" t="str">
        <f aca="false">IF(ISNUMBER(C$4),SUMIFS('Actuals Import'!$K$1:$K$600,'Actuals Import'!$Q$1:$Q$600,$C95,'Actuals Import'!$P$1:$P$600,1),"")</f>
        <v/>
      </c>
      <c r="G95" s="11" t="str">
        <f aca="false">IF(ISNUMBER(D$4),SUMIFS('Actuals Import'!$T$1:$T$600,'Actuals Import'!$Z$1:$Z$600,$C95,'Actuals Import'!$Y$1:$Y$600,1),"")</f>
        <v/>
      </c>
      <c r="H95" s="11" t="str">
        <f aca="false">IF(ISNUMBER(E$4),SUMIFS('Actuals Import'!$AC$1:$AC$600,'Actuals Import'!$AI$1:$AI$600,$C95,'Actuals Import'!$AH$1:$AH$600,1),"")</f>
        <v/>
      </c>
      <c r="I95" s="11" t="str">
        <f aca="false">IF(ISNUMBER(F$4),SUMIFS('Actuals Import'!$AL$1:$AL$600,'Actuals Import'!$AR$1:$AR$600,$C95,'Actuals Import'!$AQ$1:$AQ$600,1),"")</f>
        <v/>
      </c>
      <c r="J95" s="31" t="n">
        <f aca="false">'Forecast Detail'!G56</f>
        <v>0</v>
      </c>
      <c r="K95" s="11" t="str">
        <f aca="false">IF($B$3=0,"",INDEX($E95:$I95,MATCH($F$3,$B$4:$F$4,0)))</f>
        <v/>
      </c>
      <c r="L95" s="11" t="str">
        <f aca="false">IF($B$3=0,"",AVERAGE($E95:$I95))</f>
        <v/>
      </c>
      <c r="M95" s="11" t="str">
        <f aca="false">IF($B$3&lt;3,"",IFERROR(FORECAST($H$3,$E95:$I95,$B$4:$F$4),""))</f>
        <v/>
      </c>
      <c r="N95" s="11" t="str">
        <f aca="false">IF($B$3&lt;2,"",IFERROR(IF(INDEX($E95:$I95,MATCH($D$3,$B$4:$F$4,0))*K95&gt;0,K95*(K95/INDEX($E95:$I95,MATCH($D$3,$B$4:$F$4,0)))^(($H$3-$F$3)/($F$3-$D$3)),K95),K95))</f>
        <v/>
      </c>
      <c r="O95" s="20"/>
      <c r="P95" s="6" t="str">
        <f aca="false">IF(O95&lt;&gt;"",O95,Inputs!$C$90)</f>
        <v>Linear Trend</v>
      </c>
      <c r="Q95" s="37" t="str">
        <f aca="false">IF($B$3=0,"",IF(Inputs!$C$91&gt;0,ROUND(IF(ISNUMBER(IF(P95="Last Actual",K95,IF(P95="Average",L95,IF(P95="Linear Trend",M95,N95)))),IF(P95="Last Actual",K95,IF(P95="Average",L95,IF(P95="Linear Trend",M95,N95))),K95)/Inputs!$C$91,0)*Inputs!$C$91,IF(ISNUMBER(IF(P95="Last Actual",K95,IF(P95="Average",L95,IF(P95="Linear Trend",M95,N95)))),IF(P95="Last Actual",K95,IF(P95="Average",L95,IF(P95="Linear Trend",M95,N95))),K95)))</f>
        <v/>
      </c>
      <c r="R95" s="31" t="n">
        <f aca="false">'Forecast Detail'!H56</f>
        <v>0</v>
      </c>
      <c r="S95" s="8" t="str">
        <f aca="false">IF(Q95="","",IF(J95=0,"",Q95/J95-1))</f>
        <v/>
      </c>
      <c r="T95" s="38" t="str">
        <f aca="false">IF(S95="","",IF(ABS(S95)&gt;Inputs!$C$92,"REVIEW",""))</f>
        <v/>
      </c>
    </row>
    <row r="96" customFormat="false" ht="15" hidden="false" customHeight="false" outlineLevel="0" collapsed="false">
      <c r="A96" s="36" t="str">
        <f aca="false">'Forecast Detail'!D57</f>
        <v>400200 Twas the Night Costs Contra</v>
      </c>
      <c r="B96" s="36" t="str">
        <f aca="false">'Forecast Detail'!A57</f>
        <v>Revenue</v>
      </c>
      <c r="C96" s="36" t="str">
        <f aca="false">'Forecast Detail'!C57</f>
        <v>400200</v>
      </c>
      <c r="D96" s="36" t="str">
        <f aca="false">'Forecast Detail'!B57</f>
        <v>4 Other Miscellaneous Income</v>
      </c>
      <c r="E96" s="11" t="str">
        <f aca="false">IF(ISNUMBER(B$4),SUMIFS('Actuals Import'!$B$1:$B$600,'Actuals Import'!$H$1:$H$600,$C96,'Actuals Import'!$G$1:$G$600,1),"")</f>
        <v/>
      </c>
      <c r="F96" s="11" t="str">
        <f aca="false">IF(ISNUMBER(C$4),SUMIFS('Actuals Import'!$K$1:$K$600,'Actuals Import'!$Q$1:$Q$600,$C96,'Actuals Import'!$P$1:$P$600,1),"")</f>
        <v/>
      </c>
      <c r="G96" s="11" t="str">
        <f aca="false">IF(ISNUMBER(D$4),SUMIFS('Actuals Import'!$T$1:$T$600,'Actuals Import'!$Z$1:$Z$600,$C96,'Actuals Import'!$Y$1:$Y$600,1),"")</f>
        <v/>
      </c>
      <c r="H96" s="11" t="str">
        <f aca="false">IF(ISNUMBER(E$4),SUMIFS('Actuals Import'!$AC$1:$AC$600,'Actuals Import'!$AI$1:$AI$600,$C96,'Actuals Import'!$AH$1:$AH$600,1),"")</f>
        <v/>
      </c>
      <c r="I96" s="11" t="str">
        <f aca="false">IF(ISNUMBER(F$4),SUMIFS('Actuals Import'!$AL$1:$AL$600,'Actuals Import'!$AR$1:$AR$600,$C96,'Actuals Import'!$AQ$1:$AQ$600,1),"")</f>
        <v/>
      </c>
      <c r="J96" s="31" t="n">
        <f aca="false">'Forecast Detail'!G57</f>
        <v>0</v>
      </c>
      <c r="K96" s="11" t="str">
        <f aca="false">IF($B$3=0,"",INDEX($E96:$I96,MATCH($F$3,$B$4:$F$4,0)))</f>
        <v/>
      </c>
      <c r="L96" s="11" t="str">
        <f aca="false">IF($B$3=0,"",AVERAGE($E96:$I96))</f>
        <v/>
      </c>
      <c r="M96" s="11" t="str">
        <f aca="false">IF($B$3&lt;3,"",IFERROR(FORECAST($H$3,$E96:$I96,$B$4:$F$4),""))</f>
        <v/>
      </c>
      <c r="N96" s="11" t="str">
        <f aca="false">IF($B$3&lt;2,"",IFERROR(IF(INDEX($E96:$I96,MATCH($D$3,$B$4:$F$4,0))*K96&gt;0,K96*(K96/INDEX($E96:$I96,MATCH($D$3,$B$4:$F$4,0)))^(($H$3-$F$3)/($F$3-$D$3)),K96),K96))</f>
        <v/>
      </c>
      <c r="O96" s="20"/>
      <c r="P96" s="6" t="str">
        <f aca="false">IF(O96&lt;&gt;"",O96,Inputs!$C$90)</f>
        <v>Linear Trend</v>
      </c>
      <c r="Q96" s="37" t="str">
        <f aca="false">IF($B$3=0,"",IF(Inputs!$C$91&gt;0,ROUND(IF(ISNUMBER(IF(P96="Last Actual",K96,IF(P96="Average",L96,IF(P96="Linear Trend",M96,N96)))),IF(P96="Last Actual",K96,IF(P96="Average",L96,IF(P96="Linear Trend",M96,N96))),K96)/Inputs!$C$91,0)*Inputs!$C$91,IF(ISNUMBER(IF(P96="Last Actual",K96,IF(P96="Average",L96,IF(P96="Linear Trend",M96,N96)))),IF(P96="Last Actual",K96,IF(P96="Average",L96,IF(P96="Linear Trend",M96,N96))),K96)))</f>
        <v/>
      </c>
      <c r="R96" s="31" t="n">
        <f aca="false">'Forecast Detail'!H57</f>
        <v>0</v>
      </c>
      <c r="S96" s="8" t="str">
        <f aca="false">IF(Q96="","",IF(J96=0,"",Q96/J96-1))</f>
        <v/>
      </c>
      <c r="T96" s="38" t="str">
        <f aca="false">IF(S96="","",IF(ABS(S96)&gt;Inputs!$C$92,"REVIEW",""))</f>
        <v/>
      </c>
    </row>
    <row r="97" customFormat="false" ht="15" hidden="false" customHeight="false" outlineLevel="0" collapsed="false">
      <c r="A97" s="36" t="str">
        <f aca="false">'Forecast Detail'!D58</f>
        <v>5 Athletic Income</v>
      </c>
      <c r="B97" s="36" t="str">
        <f aca="false">'Forecast Detail'!A58</f>
        <v>Revenue</v>
      </c>
      <c r="C97" s="36" t="str">
        <f aca="false">'Forecast Detail'!C58</f>
        <v>5 Athletic Income</v>
      </c>
      <c r="D97" s="36" t="str">
        <f aca="false">'Forecast Detail'!B58</f>
        <v>5 Athletic Income</v>
      </c>
      <c r="E97" s="11" t="str">
        <f aca="false">IF(ISNUMBER(B$4),SUMIFS('Actuals Import'!$B$1:$B$600,'Actuals Import'!$H$1:$H$600,$C97,'Actuals Import'!$G$1:$G$600,1),"")</f>
        <v/>
      </c>
      <c r="F97" s="11" t="str">
        <f aca="false">IF(ISNUMBER(C$4),SUMIFS('Actuals Import'!$K$1:$K$600,'Actuals Import'!$Q$1:$Q$600,$C97,'Actuals Import'!$P$1:$P$600,1),"")</f>
        <v/>
      </c>
      <c r="G97" s="11" t="str">
        <f aca="false">IF(ISNUMBER(D$4),SUMIFS('Actuals Import'!$T$1:$T$600,'Actuals Import'!$Z$1:$Z$600,$C97,'Actuals Import'!$Y$1:$Y$600,1),"")</f>
        <v/>
      </c>
      <c r="H97" s="11" t="str">
        <f aca="false">IF(ISNUMBER(E$4),SUMIFS('Actuals Import'!$AC$1:$AC$600,'Actuals Import'!$AI$1:$AI$600,$C97,'Actuals Import'!$AH$1:$AH$600,1),"")</f>
        <v/>
      </c>
      <c r="I97" s="11" t="str">
        <f aca="false">IF(ISNUMBER(F$4),SUMIFS('Actuals Import'!$AL$1:$AL$600,'Actuals Import'!$AR$1:$AR$600,$C97,'Actuals Import'!$AQ$1:$AQ$600,1),"")</f>
        <v/>
      </c>
      <c r="J97" s="31" t="n">
        <f aca="false">'Forecast Detail'!G58</f>
        <v>0</v>
      </c>
      <c r="K97" s="11" t="str">
        <f aca="false">IF($B$3=0,"",INDEX($E97:$I97,MATCH($F$3,$B$4:$F$4,0)))</f>
        <v/>
      </c>
      <c r="L97" s="11" t="str">
        <f aca="false">IF($B$3=0,"",AVERAGE($E97:$I97))</f>
        <v/>
      </c>
      <c r="M97" s="11" t="str">
        <f aca="false">IF($B$3&lt;3,"",IFERROR(FORECAST($H$3,$E97:$I97,$B$4:$F$4),""))</f>
        <v/>
      </c>
      <c r="N97" s="11" t="str">
        <f aca="false">IF($B$3&lt;2,"",IFERROR(IF(INDEX($E97:$I97,MATCH($D$3,$B$4:$F$4,0))*K97&gt;0,K97*(K97/INDEX($E97:$I97,MATCH($D$3,$B$4:$F$4,0)))^(($H$3-$F$3)/($F$3-$D$3)),K97),K97))</f>
        <v/>
      </c>
      <c r="O97" s="20"/>
      <c r="P97" s="6" t="str">
        <f aca="false">IF(O97&lt;&gt;"",O97,Inputs!$C$90)</f>
        <v>Linear Trend</v>
      </c>
      <c r="Q97" s="37" t="str">
        <f aca="false">IF($B$3=0,"",IF(Inputs!$C$91&gt;0,ROUND(IF(ISNUMBER(IF(P97="Last Actual",K97,IF(P97="Average",L97,IF(P97="Linear Trend",M97,N97)))),IF(P97="Last Actual",K97,IF(P97="Average",L97,IF(P97="Linear Trend",M97,N97))),K97)/Inputs!$C$91,0)*Inputs!$C$91,IF(ISNUMBER(IF(P97="Last Actual",K97,IF(P97="Average",L97,IF(P97="Linear Trend",M97,N97)))),IF(P97="Last Actual",K97,IF(P97="Average",L97,IF(P97="Linear Trend",M97,N97))),K97)))</f>
        <v/>
      </c>
      <c r="R97" s="31" t="n">
        <f aca="false">'Forecast Detail'!H58</f>
        <v>0</v>
      </c>
      <c r="S97" s="8" t="str">
        <f aca="false">IF(Q97="","",IF(J97=0,"",Q97/J97-1))</f>
        <v/>
      </c>
      <c r="T97" s="38" t="str">
        <f aca="false">IF(S97="","",IF(ABS(S97)&gt;Inputs!$C$92,"REVIEW",""))</f>
        <v/>
      </c>
    </row>
    <row r="98" customFormat="false" ht="15" hidden="false" customHeight="false" outlineLevel="0" collapsed="false">
      <c r="A98" s="36" t="str">
        <f aca="false">'Forecast Detail'!D59</f>
        <v>500267 Expenses for 401K plan</v>
      </c>
      <c r="B98" s="36" t="str">
        <f aca="false">'Forecast Detail'!A59</f>
        <v>Expense</v>
      </c>
      <c r="C98" s="36" t="str">
        <f aca="false">'Forecast Detail'!C59</f>
        <v>500267</v>
      </c>
      <c r="D98" s="36" t="str">
        <f aca="false">'Forecast Detail'!B59</f>
        <v>1 Salaries and Benefits</v>
      </c>
      <c r="E98" s="11" t="str">
        <f aca="false">IF(ISNUMBER(B$4),SUMIFS('Actuals Import'!$B$1:$B$600,'Actuals Import'!$H$1:$H$600,$C98,'Actuals Import'!$G$1:$G$600,1),"")</f>
        <v/>
      </c>
      <c r="F98" s="11" t="str">
        <f aca="false">IF(ISNUMBER(C$4),SUMIFS('Actuals Import'!$K$1:$K$600,'Actuals Import'!$Q$1:$Q$600,$C98,'Actuals Import'!$P$1:$P$600,1),"")</f>
        <v/>
      </c>
      <c r="G98" s="11" t="str">
        <f aca="false">IF(ISNUMBER(D$4),SUMIFS('Actuals Import'!$T$1:$T$600,'Actuals Import'!$Z$1:$Z$600,$C98,'Actuals Import'!$Y$1:$Y$600,1),"")</f>
        <v/>
      </c>
      <c r="H98" s="11" t="str">
        <f aca="false">IF(ISNUMBER(E$4),SUMIFS('Actuals Import'!$AC$1:$AC$600,'Actuals Import'!$AI$1:$AI$600,$C98,'Actuals Import'!$AH$1:$AH$600,1),"")</f>
        <v/>
      </c>
      <c r="I98" s="11" t="str">
        <f aca="false">IF(ISNUMBER(F$4),SUMIFS('Actuals Import'!$AL$1:$AL$600,'Actuals Import'!$AR$1:$AR$600,$C98,'Actuals Import'!$AQ$1:$AQ$600,1),"")</f>
        <v/>
      </c>
      <c r="J98" s="31" t="n">
        <f aca="false">'Forecast Detail'!G59</f>
        <v>138720</v>
      </c>
      <c r="K98" s="11" t="str">
        <f aca="false">IF($B$3=0,"",INDEX($E98:$I98,MATCH($F$3,$B$4:$F$4,0)))</f>
        <v/>
      </c>
      <c r="L98" s="11" t="str">
        <f aca="false">IF($B$3=0,"",AVERAGE($E98:$I98))</f>
        <v/>
      </c>
      <c r="M98" s="11" t="str">
        <f aca="false">IF($B$3&lt;3,"",IFERROR(FORECAST($H$3,$E98:$I98,$B$4:$F$4),""))</f>
        <v/>
      </c>
      <c r="N98" s="11" t="str">
        <f aca="false">IF($B$3&lt;2,"",IFERROR(IF(INDEX($E98:$I98,MATCH($D$3,$B$4:$F$4,0))*K98&gt;0,K98*(K98/INDEX($E98:$I98,MATCH($D$3,$B$4:$F$4,0)))^(($H$3-$F$3)/($F$3-$D$3)),K98),K98))</f>
        <v/>
      </c>
      <c r="O98" s="20"/>
      <c r="P98" s="6" t="str">
        <f aca="false">IF(O98&lt;&gt;"",O98,Inputs!$C$90)</f>
        <v>Linear Trend</v>
      </c>
      <c r="Q98" s="37" t="str">
        <f aca="false">IF($B$3=0,"",IF(Inputs!$C$91&gt;0,ROUND(IF(ISNUMBER(IF(P98="Last Actual",K98,IF(P98="Average",L98,IF(P98="Linear Trend",M98,N98)))),IF(P98="Last Actual",K98,IF(P98="Average",L98,IF(P98="Linear Trend",M98,N98))),K98)/Inputs!$C$91,0)*Inputs!$C$91,IF(ISNUMBER(IF(P98="Last Actual",K98,IF(P98="Average",L98,IF(P98="Linear Trend",M98,N98)))),IF(P98="Last Actual",K98,IF(P98="Average",L98,IF(P98="Linear Trend",M98,N98))),K98)))</f>
        <v/>
      </c>
      <c r="R98" s="31" t="n">
        <f aca="false">'Forecast Detail'!H59</f>
        <v>142881.6</v>
      </c>
      <c r="S98" s="8" t="str">
        <f aca="false">IF(Q98="","",IF(J98=0,"",Q98/J98-1))</f>
        <v/>
      </c>
      <c r="T98" s="38" t="str">
        <f aca="false">IF(S98="","",IF(ABS(S98)&gt;Inputs!$C$92,"REVIEW",""))</f>
        <v/>
      </c>
    </row>
    <row r="99" customFormat="false" ht="15" hidden="false" customHeight="false" outlineLevel="0" collapsed="false">
      <c r="A99" s="36" t="str">
        <f aca="false">'Forecast Detail'!D60</f>
        <v>500268 Medical Insurance Expense</v>
      </c>
      <c r="B99" s="36" t="str">
        <f aca="false">'Forecast Detail'!A60</f>
        <v>Expense</v>
      </c>
      <c r="C99" s="36" t="str">
        <f aca="false">'Forecast Detail'!C60</f>
        <v>500268</v>
      </c>
      <c r="D99" s="36" t="str">
        <f aca="false">'Forecast Detail'!B60</f>
        <v>1 Salaries and Benefits</v>
      </c>
      <c r="E99" s="11" t="str">
        <f aca="false">IF(ISNUMBER(B$4),SUMIFS('Actuals Import'!$B$1:$B$600,'Actuals Import'!$H$1:$H$600,$C99,'Actuals Import'!$G$1:$G$600,1),"")</f>
        <v/>
      </c>
      <c r="F99" s="11" t="str">
        <f aca="false">IF(ISNUMBER(C$4),SUMIFS('Actuals Import'!$K$1:$K$600,'Actuals Import'!$Q$1:$Q$600,$C99,'Actuals Import'!$P$1:$P$600,1),"")</f>
        <v/>
      </c>
      <c r="G99" s="11" t="str">
        <f aca="false">IF(ISNUMBER(D$4),SUMIFS('Actuals Import'!$T$1:$T$600,'Actuals Import'!$Z$1:$Z$600,$C99,'Actuals Import'!$Y$1:$Y$600,1),"")</f>
        <v/>
      </c>
      <c r="H99" s="11" t="str">
        <f aca="false">IF(ISNUMBER(E$4),SUMIFS('Actuals Import'!$AC$1:$AC$600,'Actuals Import'!$AI$1:$AI$600,$C99,'Actuals Import'!$AH$1:$AH$600,1),"")</f>
        <v/>
      </c>
      <c r="I99" s="11" t="str">
        <f aca="false">IF(ISNUMBER(F$4),SUMIFS('Actuals Import'!$AL$1:$AL$600,'Actuals Import'!$AR$1:$AR$600,$C99,'Actuals Import'!$AQ$1:$AQ$600,1),"")</f>
        <v/>
      </c>
      <c r="J99" s="31" t="n">
        <f aca="false">'Forecast Detail'!G60</f>
        <v>285000</v>
      </c>
      <c r="K99" s="11" t="str">
        <f aca="false">IF($B$3=0,"",INDEX($E99:$I99,MATCH($F$3,$B$4:$F$4,0)))</f>
        <v/>
      </c>
      <c r="L99" s="11" t="str">
        <f aca="false">IF($B$3=0,"",AVERAGE($E99:$I99))</f>
        <v/>
      </c>
      <c r="M99" s="11" t="str">
        <f aca="false">IF($B$3&lt;3,"",IFERROR(FORECAST($H$3,$E99:$I99,$B$4:$F$4),""))</f>
        <v/>
      </c>
      <c r="N99" s="11" t="str">
        <f aca="false">IF($B$3&lt;2,"",IFERROR(IF(INDEX($E99:$I99,MATCH($D$3,$B$4:$F$4,0))*K99&gt;0,K99*(K99/INDEX($E99:$I99,MATCH($D$3,$B$4:$F$4,0)))^(($H$3-$F$3)/($F$3-$D$3)),K99),K99))</f>
        <v/>
      </c>
      <c r="O99" s="20"/>
      <c r="P99" s="6" t="str">
        <f aca="false">IF(O99&lt;&gt;"",O99,Inputs!$C$90)</f>
        <v>Linear Trend</v>
      </c>
      <c r="Q99" s="37" t="str">
        <f aca="false">IF($B$3=0,"",IF(Inputs!$C$91&gt;0,ROUND(IF(ISNUMBER(IF(P99="Last Actual",K99,IF(P99="Average",L99,IF(P99="Linear Trend",M99,N99)))),IF(P99="Last Actual",K99,IF(P99="Average",L99,IF(P99="Linear Trend",M99,N99))),K99)/Inputs!$C$91,0)*Inputs!$C$91,IF(ISNUMBER(IF(P99="Last Actual",K99,IF(P99="Average",L99,IF(P99="Linear Trend",M99,N99)))),IF(P99="Last Actual",K99,IF(P99="Average",L99,IF(P99="Linear Trend",M99,N99))),K99)))</f>
        <v/>
      </c>
      <c r="R99" s="31" t="n">
        <f aca="false">'Forecast Detail'!H60</f>
        <v>293550</v>
      </c>
      <c r="S99" s="8" t="str">
        <f aca="false">IF(Q99="","",IF(J99=0,"",Q99/J99-1))</f>
        <v/>
      </c>
      <c r="T99" s="38" t="str">
        <f aca="false">IF(S99="","",IF(ABS(S99)&gt;Inputs!$C$92,"REVIEW",""))</f>
        <v/>
      </c>
    </row>
    <row r="100" customFormat="false" ht="15" hidden="false" customHeight="false" outlineLevel="0" collapsed="false">
      <c r="A100" s="36" t="str">
        <f aca="false">'Forecast Detail'!D61</f>
        <v>500269 Dental/Life Insurance Expense</v>
      </c>
      <c r="B100" s="36" t="str">
        <f aca="false">'Forecast Detail'!A61</f>
        <v>Expense</v>
      </c>
      <c r="C100" s="36" t="str">
        <f aca="false">'Forecast Detail'!C61</f>
        <v>500269</v>
      </c>
      <c r="D100" s="36" t="str">
        <f aca="false">'Forecast Detail'!B61</f>
        <v>1 Salaries and Benefits</v>
      </c>
      <c r="E100" s="11" t="str">
        <f aca="false">IF(ISNUMBER(B$4),SUMIFS('Actuals Import'!$B$1:$B$600,'Actuals Import'!$H$1:$H$600,$C100,'Actuals Import'!$G$1:$G$600,1),"")</f>
        <v/>
      </c>
      <c r="F100" s="11" t="str">
        <f aca="false">IF(ISNUMBER(C$4),SUMIFS('Actuals Import'!$K$1:$K$600,'Actuals Import'!$Q$1:$Q$600,$C100,'Actuals Import'!$P$1:$P$600,1),"")</f>
        <v/>
      </c>
      <c r="G100" s="11" t="str">
        <f aca="false">IF(ISNUMBER(D$4),SUMIFS('Actuals Import'!$T$1:$T$600,'Actuals Import'!$Z$1:$Z$600,$C100,'Actuals Import'!$Y$1:$Y$600,1),"")</f>
        <v/>
      </c>
      <c r="H100" s="11" t="str">
        <f aca="false">IF(ISNUMBER(E$4),SUMIFS('Actuals Import'!$AC$1:$AC$600,'Actuals Import'!$AI$1:$AI$600,$C100,'Actuals Import'!$AH$1:$AH$600,1),"")</f>
        <v/>
      </c>
      <c r="I100" s="11" t="str">
        <f aca="false">IF(ISNUMBER(F$4),SUMIFS('Actuals Import'!$AL$1:$AL$600,'Actuals Import'!$AR$1:$AR$600,$C100,'Actuals Import'!$AQ$1:$AQ$600,1),"")</f>
        <v/>
      </c>
      <c r="J100" s="31" t="n">
        <f aca="false">'Forecast Detail'!G61</f>
        <v>10000</v>
      </c>
      <c r="K100" s="11" t="str">
        <f aca="false">IF($B$3=0,"",INDEX($E100:$I100,MATCH($F$3,$B$4:$F$4,0)))</f>
        <v/>
      </c>
      <c r="L100" s="11" t="str">
        <f aca="false">IF($B$3=0,"",AVERAGE($E100:$I100))</f>
        <v/>
      </c>
      <c r="M100" s="11" t="str">
        <f aca="false">IF($B$3&lt;3,"",IFERROR(FORECAST($H$3,$E100:$I100,$B$4:$F$4),""))</f>
        <v/>
      </c>
      <c r="N100" s="11" t="str">
        <f aca="false">IF($B$3&lt;2,"",IFERROR(IF(INDEX($E100:$I100,MATCH($D$3,$B$4:$F$4,0))*K100&gt;0,K100*(K100/INDEX($E100:$I100,MATCH($D$3,$B$4:$F$4,0)))^(($H$3-$F$3)/($F$3-$D$3)),K100),K100))</f>
        <v/>
      </c>
      <c r="O100" s="20"/>
      <c r="P100" s="6" t="str">
        <f aca="false">IF(O100&lt;&gt;"",O100,Inputs!$C$90)</f>
        <v>Linear Trend</v>
      </c>
      <c r="Q100" s="37" t="str">
        <f aca="false">IF($B$3=0,"",IF(Inputs!$C$91&gt;0,ROUND(IF(ISNUMBER(IF(P100="Last Actual",K100,IF(P100="Average",L100,IF(P100="Linear Trend",M100,N100)))),IF(P100="Last Actual",K100,IF(P100="Average",L100,IF(P100="Linear Trend",M100,N100))),K100)/Inputs!$C$91,0)*Inputs!$C$91,IF(ISNUMBER(IF(P100="Last Actual",K100,IF(P100="Average",L100,IF(P100="Linear Trend",M100,N100)))),IF(P100="Last Actual",K100,IF(P100="Average",L100,IF(P100="Linear Trend",M100,N100))),K100)))</f>
        <v/>
      </c>
      <c r="R100" s="31" t="n">
        <f aca="false">'Forecast Detail'!H61</f>
        <v>10300</v>
      </c>
      <c r="S100" s="8" t="str">
        <f aca="false">IF(Q100="","",IF(J100=0,"",Q100/J100-1))</f>
        <v/>
      </c>
      <c r="T100" s="38" t="str">
        <f aca="false">IF(S100="","",IF(ABS(S100)&gt;Inputs!$C$92,"REVIEW",""))</f>
        <v/>
      </c>
    </row>
    <row r="101" customFormat="false" ht="15" hidden="false" customHeight="false" outlineLevel="0" collapsed="false">
      <c r="A101" s="36" t="str">
        <f aca="false">'Forecast Detail'!D62</f>
        <v>500270 Staff Tuition Benefits</v>
      </c>
      <c r="B101" s="36" t="str">
        <f aca="false">'Forecast Detail'!A62</f>
        <v>Expense</v>
      </c>
      <c r="C101" s="36" t="str">
        <f aca="false">'Forecast Detail'!C62</f>
        <v>500270</v>
      </c>
      <c r="D101" s="36" t="str">
        <f aca="false">'Forecast Detail'!B62</f>
        <v>1 Salaries and Benefits</v>
      </c>
      <c r="E101" s="11" t="str">
        <f aca="false">IF(ISNUMBER(B$4),SUMIFS('Actuals Import'!$B$1:$B$600,'Actuals Import'!$H$1:$H$600,$C101,'Actuals Import'!$G$1:$G$600,1),"")</f>
        <v/>
      </c>
      <c r="F101" s="11" t="str">
        <f aca="false">IF(ISNUMBER(C$4),SUMIFS('Actuals Import'!$K$1:$K$600,'Actuals Import'!$Q$1:$Q$600,$C101,'Actuals Import'!$P$1:$P$600,1),"")</f>
        <v/>
      </c>
      <c r="G101" s="11" t="str">
        <f aca="false">IF(ISNUMBER(D$4),SUMIFS('Actuals Import'!$T$1:$T$600,'Actuals Import'!$Z$1:$Z$600,$C101,'Actuals Import'!$Y$1:$Y$600,1),"")</f>
        <v/>
      </c>
      <c r="H101" s="11" t="str">
        <f aca="false">IF(ISNUMBER(E$4),SUMIFS('Actuals Import'!$AC$1:$AC$600,'Actuals Import'!$AI$1:$AI$600,$C101,'Actuals Import'!$AH$1:$AH$600,1),"")</f>
        <v/>
      </c>
      <c r="I101" s="11" t="str">
        <f aca="false">IF(ISNUMBER(F$4),SUMIFS('Actuals Import'!$AL$1:$AL$600,'Actuals Import'!$AR$1:$AR$600,$C101,'Actuals Import'!$AQ$1:$AQ$600,1),"")</f>
        <v/>
      </c>
      <c r="J101" s="31" t="n">
        <f aca="false">'Forecast Detail'!G62</f>
        <v>329889</v>
      </c>
      <c r="K101" s="11" t="str">
        <f aca="false">IF($B$3=0,"",INDEX($E101:$I101,MATCH($F$3,$B$4:$F$4,0)))</f>
        <v/>
      </c>
      <c r="L101" s="11" t="str">
        <f aca="false">IF($B$3=0,"",AVERAGE($E101:$I101))</f>
        <v/>
      </c>
      <c r="M101" s="11" t="str">
        <f aca="false">IF($B$3&lt;3,"",IFERROR(FORECAST($H$3,$E101:$I101,$B$4:$F$4),""))</f>
        <v/>
      </c>
      <c r="N101" s="11" t="str">
        <f aca="false">IF($B$3&lt;2,"",IFERROR(IF(INDEX($E101:$I101,MATCH($D$3,$B$4:$F$4,0))*K101&gt;0,K101*(K101/INDEX($E101:$I101,MATCH($D$3,$B$4:$F$4,0)))^(($H$3-$F$3)/($F$3-$D$3)),K101),K101))</f>
        <v/>
      </c>
      <c r="O101" s="20"/>
      <c r="P101" s="6" t="str">
        <f aca="false">IF(O101&lt;&gt;"",O101,Inputs!$C$90)</f>
        <v>Linear Trend</v>
      </c>
      <c r="Q101" s="37" t="str">
        <f aca="false">IF($B$3=0,"",IF(Inputs!$C$91&gt;0,ROUND(IF(ISNUMBER(IF(P101="Last Actual",K101,IF(P101="Average",L101,IF(P101="Linear Trend",M101,N101)))),IF(P101="Last Actual",K101,IF(P101="Average",L101,IF(P101="Linear Trend",M101,N101))),K101)/Inputs!$C$91,0)*Inputs!$C$91,IF(ISNUMBER(IF(P101="Last Actual",K101,IF(P101="Average",L101,IF(P101="Linear Trend",M101,N101)))),IF(P101="Last Actual",K101,IF(P101="Average",L101,IF(P101="Linear Trend",M101,N101))),K101)))</f>
        <v/>
      </c>
      <c r="R101" s="31" t="n">
        <f aca="false">'Forecast Detail'!H62</f>
        <v>354788.238842632</v>
      </c>
      <c r="S101" s="8" t="str">
        <f aca="false">IF(Q101="","",IF(J101=0,"",Q101/J101-1))</f>
        <v/>
      </c>
      <c r="T101" s="38" t="str">
        <f aca="false">IF(S101="","",IF(ABS(S101)&gt;Inputs!$C$92,"REVIEW",""))</f>
        <v/>
      </c>
    </row>
    <row r="102" customFormat="false" ht="15" hidden="false" customHeight="false" outlineLevel="0" collapsed="false">
      <c r="A102" s="36" t="str">
        <f aca="false">'Forecast Detail'!D63</f>
        <v>500271 Staff Benefit After School Care</v>
      </c>
      <c r="B102" s="36" t="str">
        <f aca="false">'Forecast Detail'!A63</f>
        <v>Expense</v>
      </c>
      <c r="C102" s="36" t="str">
        <f aca="false">'Forecast Detail'!C63</f>
        <v>500271</v>
      </c>
      <c r="D102" s="36" t="str">
        <f aca="false">'Forecast Detail'!B63</f>
        <v>1 Salaries and Benefits</v>
      </c>
      <c r="E102" s="11" t="str">
        <f aca="false">IF(ISNUMBER(B$4),SUMIFS('Actuals Import'!$B$1:$B$600,'Actuals Import'!$H$1:$H$600,$C102,'Actuals Import'!$G$1:$G$600,1),"")</f>
        <v/>
      </c>
      <c r="F102" s="11" t="str">
        <f aca="false">IF(ISNUMBER(C$4),SUMIFS('Actuals Import'!$K$1:$K$600,'Actuals Import'!$Q$1:$Q$600,$C102,'Actuals Import'!$P$1:$P$600,1),"")</f>
        <v/>
      </c>
      <c r="G102" s="11" t="str">
        <f aca="false">IF(ISNUMBER(D$4),SUMIFS('Actuals Import'!$T$1:$T$600,'Actuals Import'!$Z$1:$Z$600,$C102,'Actuals Import'!$Y$1:$Y$600,1),"")</f>
        <v/>
      </c>
      <c r="H102" s="11" t="str">
        <f aca="false">IF(ISNUMBER(E$4),SUMIFS('Actuals Import'!$AC$1:$AC$600,'Actuals Import'!$AI$1:$AI$600,$C102,'Actuals Import'!$AH$1:$AH$600,1),"")</f>
        <v/>
      </c>
      <c r="I102" s="11" t="str">
        <f aca="false">IF(ISNUMBER(F$4),SUMIFS('Actuals Import'!$AL$1:$AL$600,'Actuals Import'!$AR$1:$AR$600,$C102,'Actuals Import'!$AQ$1:$AQ$600,1),"")</f>
        <v/>
      </c>
      <c r="J102" s="31" t="n">
        <f aca="false">'Forecast Detail'!G63</f>
        <v>0</v>
      </c>
      <c r="K102" s="11" t="str">
        <f aca="false">IF($B$3=0,"",INDEX($E102:$I102,MATCH($F$3,$B$4:$F$4,0)))</f>
        <v/>
      </c>
      <c r="L102" s="11" t="str">
        <f aca="false">IF($B$3=0,"",AVERAGE($E102:$I102))</f>
        <v/>
      </c>
      <c r="M102" s="11" t="str">
        <f aca="false">IF($B$3&lt;3,"",IFERROR(FORECAST($H$3,$E102:$I102,$B$4:$F$4),""))</f>
        <v/>
      </c>
      <c r="N102" s="11" t="str">
        <f aca="false">IF($B$3&lt;2,"",IFERROR(IF(INDEX($E102:$I102,MATCH($D$3,$B$4:$F$4,0))*K102&gt;0,K102*(K102/INDEX($E102:$I102,MATCH($D$3,$B$4:$F$4,0)))^(($H$3-$F$3)/($F$3-$D$3)),K102),K102))</f>
        <v/>
      </c>
      <c r="O102" s="20"/>
      <c r="P102" s="6" t="str">
        <f aca="false">IF(O102&lt;&gt;"",O102,Inputs!$C$90)</f>
        <v>Linear Trend</v>
      </c>
      <c r="Q102" s="37" t="str">
        <f aca="false">IF($B$3=0,"",IF(Inputs!$C$91&gt;0,ROUND(IF(ISNUMBER(IF(P102="Last Actual",K102,IF(P102="Average",L102,IF(P102="Linear Trend",M102,N102)))),IF(P102="Last Actual",K102,IF(P102="Average",L102,IF(P102="Linear Trend",M102,N102))),K102)/Inputs!$C$91,0)*Inputs!$C$91,IF(ISNUMBER(IF(P102="Last Actual",K102,IF(P102="Average",L102,IF(P102="Linear Trend",M102,N102)))),IF(P102="Last Actual",K102,IF(P102="Average",L102,IF(P102="Linear Trend",M102,N102))),K102)))</f>
        <v/>
      </c>
      <c r="R102" s="31" t="n">
        <f aca="false">'Forecast Detail'!H63</f>
        <v>0</v>
      </c>
      <c r="S102" s="8" t="str">
        <f aca="false">IF(Q102="","",IF(J102=0,"",Q102/J102-1))</f>
        <v/>
      </c>
      <c r="T102" s="38" t="str">
        <f aca="false">IF(S102="","",IF(ABS(S102)&gt;Inputs!$C$92,"REVIEW",""))</f>
        <v/>
      </c>
    </row>
    <row r="103" customFormat="false" ht="15" hidden="false" customHeight="false" outlineLevel="0" collapsed="false">
      <c r="A103" s="36" t="str">
        <f aca="false">'Forecast Detail'!D64</f>
        <v>500272 Head of School Auto Allowance</v>
      </c>
      <c r="B103" s="36" t="str">
        <f aca="false">'Forecast Detail'!A64</f>
        <v>Expense</v>
      </c>
      <c r="C103" s="36" t="str">
        <f aca="false">'Forecast Detail'!C64</f>
        <v>500272</v>
      </c>
      <c r="D103" s="36" t="str">
        <f aca="false">'Forecast Detail'!B64</f>
        <v>1 Salaries and Benefits</v>
      </c>
      <c r="E103" s="11" t="str">
        <f aca="false">IF(ISNUMBER(B$4),SUMIFS('Actuals Import'!$B$1:$B$600,'Actuals Import'!$H$1:$H$600,$C103,'Actuals Import'!$G$1:$G$600,1),"")</f>
        <v/>
      </c>
      <c r="F103" s="11" t="str">
        <f aca="false">IF(ISNUMBER(C$4),SUMIFS('Actuals Import'!$K$1:$K$600,'Actuals Import'!$Q$1:$Q$600,$C103,'Actuals Import'!$P$1:$P$600,1),"")</f>
        <v/>
      </c>
      <c r="G103" s="11" t="str">
        <f aca="false">IF(ISNUMBER(D$4),SUMIFS('Actuals Import'!$T$1:$T$600,'Actuals Import'!$Z$1:$Z$600,$C103,'Actuals Import'!$Y$1:$Y$600,1),"")</f>
        <v/>
      </c>
      <c r="H103" s="11" t="str">
        <f aca="false">IF(ISNUMBER(E$4),SUMIFS('Actuals Import'!$AC$1:$AC$600,'Actuals Import'!$AI$1:$AI$600,$C103,'Actuals Import'!$AH$1:$AH$600,1),"")</f>
        <v/>
      </c>
      <c r="I103" s="11" t="str">
        <f aca="false">IF(ISNUMBER(F$4),SUMIFS('Actuals Import'!$AL$1:$AL$600,'Actuals Import'!$AR$1:$AR$600,$C103,'Actuals Import'!$AQ$1:$AQ$600,1),"")</f>
        <v/>
      </c>
      <c r="J103" s="31" t="n">
        <f aca="false">'Forecast Detail'!G64</f>
        <v>6000</v>
      </c>
      <c r="K103" s="11" t="str">
        <f aca="false">IF($B$3=0,"",INDEX($E103:$I103,MATCH($F$3,$B$4:$F$4,0)))</f>
        <v/>
      </c>
      <c r="L103" s="11" t="str">
        <f aca="false">IF($B$3=0,"",AVERAGE($E103:$I103))</f>
        <v/>
      </c>
      <c r="M103" s="11" t="str">
        <f aca="false">IF($B$3&lt;3,"",IFERROR(FORECAST($H$3,$E103:$I103,$B$4:$F$4),""))</f>
        <v/>
      </c>
      <c r="N103" s="11" t="str">
        <f aca="false">IF($B$3&lt;2,"",IFERROR(IF(INDEX($E103:$I103,MATCH($D$3,$B$4:$F$4,0))*K103&gt;0,K103*(K103/INDEX($E103:$I103,MATCH($D$3,$B$4:$F$4,0)))^(($H$3-$F$3)/($F$3-$D$3)),K103),K103))</f>
        <v/>
      </c>
      <c r="O103" s="20"/>
      <c r="P103" s="6" t="str">
        <f aca="false">IF(O103&lt;&gt;"",O103,Inputs!$C$90)</f>
        <v>Linear Trend</v>
      </c>
      <c r="Q103" s="37" t="str">
        <f aca="false">IF($B$3=0,"",IF(Inputs!$C$91&gt;0,ROUND(IF(ISNUMBER(IF(P103="Last Actual",K103,IF(P103="Average",L103,IF(P103="Linear Trend",M103,N103)))),IF(P103="Last Actual",K103,IF(P103="Average",L103,IF(P103="Linear Trend",M103,N103))),K103)/Inputs!$C$91,0)*Inputs!$C$91,IF(ISNUMBER(IF(P103="Last Actual",K103,IF(P103="Average",L103,IF(P103="Linear Trend",M103,N103)))),IF(P103="Last Actual",K103,IF(P103="Average",L103,IF(P103="Linear Trend",M103,N103))),K103)))</f>
        <v/>
      </c>
      <c r="R103" s="31" t="n">
        <f aca="false">'Forecast Detail'!H64</f>
        <v>6000</v>
      </c>
      <c r="S103" s="8" t="str">
        <f aca="false">IF(Q103="","",IF(J103=0,"",Q103/J103-1))</f>
        <v/>
      </c>
      <c r="T103" s="38" t="str">
        <f aca="false">IF(S103="","",IF(ABS(S103)&gt;Inputs!$C$92,"REVIEW",""))</f>
        <v/>
      </c>
    </row>
    <row r="104" customFormat="false" ht="15" hidden="false" customHeight="false" outlineLevel="0" collapsed="false">
      <c r="A104" s="36" t="str">
        <f aca="false">'Forecast Detail'!D65</f>
        <v>500273 State Unemployment Insurance</v>
      </c>
      <c r="B104" s="36" t="str">
        <f aca="false">'Forecast Detail'!A65</f>
        <v>Expense</v>
      </c>
      <c r="C104" s="36" t="str">
        <f aca="false">'Forecast Detail'!C65</f>
        <v>500273</v>
      </c>
      <c r="D104" s="36" t="str">
        <f aca="false">'Forecast Detail'!B65</f>
        <v>1 Salaries and Benefits</v>
      </c>
      <c r="E104" s="11" t="str">
        <f aca="false">IF(ISNUMBER(B$4),SUMIFS('Actuals Import'!$B$1:$B$600,'Actuals Import'!$H$1:$H$600,$C104,'Actuals Import'!$G$1:$G$600,1),"")</f>
        <v/>
      </c>
      <c r="F104" s="11" t="str">
        <f aca="false">IF(ISNUMBER(C$4),SUMIFS('Actuals Import'!$K$1:$K$600,'Actuals Import'!$Q$1:$Q$600,$C104,'Actuals Import'!$P$1:$P$600,1),"")</f>
        <v/>
      </c>
      <c r="G104" s="11" t="str">
        <f aca="false">IF(ISNUMBER(D$4),SUMIFS('Actuals Import'!$T$1:$T$600,'Actuals Import'!$Z$1:$Z$600,$C104,'Actuals Import'!$Y$1:$Y$600,1),"")</f>
        <v/>
      </c>
      <c r="H104" s="11" t="str">
        <f aca="false">IF(ISNUMBER(E$4),SUMIFS('Actuals Import'!$AC$1:$AC$600,'Actuals Import'!$AI$1:$AI$600,$C104,'Actuals Import'!$AH$1:$AH$600,1),"")</f>
        <v/>
      </c>
      <c r="I104" s="11" t="str">
        <f aca="false">IF(ISNUMBER(F$4),SUMIFS('Actuals Import'!$AL$1:$AL$600,'Actuals Import'!$AR$1:$AR$600,$C104,'Actuals Import'!$AQ$1:$AQ$600,1),"")</f>
        <v/>
      </c>
      <c r="J104" s="31" t="n">
        <f aca="false">'Forecast Detail'!G65</f>
        <v>0</v>
      </c>
      <c r="K104" s="11" t="str">
        <f aca="false">IF($B$3=0,"",INDEX($E104:$I104,MATCH($F$3,$B$4:$F$4,0)))</f>
        <v/>
      </c>
      <c r="L104" s="11" t="str">
        <f aca="false">IF($B$3=0,"",AVERAGE($E104:$I104))</f>
        <v/>
      </c>
      <c r="M104" s="11" t="str">
        <f aca="false">IF($B$3&lt;3,"",IFERROR(FORECAST($H$3,$E104:$I104,$B$4:$F$4),""))</f>
        <v/>
      </c>
      <c r="N104" s="11" t="str">
        <f aca="false">IF($B$3&lt;2,"",IFERROR(IF(INDEX($E104:$I104,MATCH($D$3,$B$4:$F$4,0))*K104&gt;0,K104*(K104/INDEX($E104:$I104,MATCH($D$3,$B$4:$F$4,0)))^(($H$3-$F$3)/($F$3-$D$3)),K104),K104))</f>
        <v/>
      </c>
      <c r="O104" s="20"/>
      <c r="P104" s="6" t="str">
        <f aca="false">IF(O104&lt;&gt;"",O104,Inputs!$C$90)</f>
        <v>Linear Trend</v>
      </c>
      <c r="Q104" s="37" t="str">
        <f aca="false">IF($B$3=0,"",IF(Inputs!$C$91&gt;0,ROUND(IF(ISNUMBER(IF(P104="Last Actual",K104,IF(P104="Average",L104,IF(P104="Linear Trend",M104,N104)))),IF(P104="Last Actual",K104,IF(P104="Average",L104,IF(P104="Linear Trend",M104,N104))),K104)/Inputs!$C$91,0)*Inputs!$C$91,IF(ISNUMBER(IF(P104="Last Actual",K104,IF(P104="Average",L104,IF(P104="Linear Trend",M104,N104)))),IF(P104="Last Actual",K104,IF(P104="Average",L104,IF(P104="Linear Trend",M104,N104))),K104)))</f>
        <v/>
      </c>
      <c r="R104" s="31" t="n">
        <f aca="false">'Forecast Detail'!H65</f>
        <v>0</v>
      </c>
      <c r="S104" s="8" t="str">
        <f aca="false">IF(Q104="","",IF(J104=0,"",Q104/J104-1))</f>
        <v/>
      </c>
      <c r="T104" s="38" t="str">
        <f aca="false">IF(S104="","",IF(ABS(S104)&gt;Inputs!$C$92,"REVIEW",""))</f>
        <v/>
      </c>
    </row>
    <row r="105" customFormat="false" ht="15" hidden="false" customHeight="false" outlineLevel="0" collapsed="false">
      <c r="A105" s="36" t="str">
        <f aca="false">'Forecast Detail'!D66</f>
        <v>500274 Federal Payroll Taxes</v>
      </c>
      <c r="B105" s="36" t="str">
        <f aca="false">'Forecast Detail'!A66</f>
        <v>Expense</v>
      </c>
      <c r="C105" s="36" t="str">
        <f aca="false">'Forecast Detail'!C66</f>
        <v>500274</v>
      </c>
      <c r="D105" s="36" t="str">
        <f aca="false">'Forecast Detail'!B66</f>
        <v>1 Salaries and Benefits</v>
      </c>
      <c r="E105" s="11" t="str">
        <f aca="false">IF(ISNUMBER(B$4),SUMIFS('Actuals Import'!$B$1:$B$600,'Actuals Import'!$H$1:$H$600,$C105,'Actuals Import'!$G$1:$G$600,1),"")</f>
        <v/>
      </c>
      <c r="F105" s="11" t="str">
        <f aca="false">IF(ISNUMBER(C$4),SUMIFS('Actuals Import'!$K$1:$K$600,'Actuals Import'!$Q$1:$Q$600,$C105,'Actuals Import'!$P$1:$P$600,1),"")</f>
        <v/>
      </c>
      <c r="G105" s="11" t="str">
        <f aca="false">IF(ISNUMBER(D$4),SUMIFS('Actuals Import'!$T$1:$T$600,'Actuals Import'!$Z$1:$Z$600,$C105,'Actuals Import'!$Y$1:$Y$600,1),"")</f>
        <v/>
      </c>
      <c r="H105" s="11" t="str">
        <f aca="false">IF(ISNUMBER(E$4),SUMIFS('Actuals Import'!$AC$1:$AC$600,'Actuals Import'!$AI$1:$AI$600,$C105,'Actuals Import'!$AH$1:$AH$600,1),"")</f>
        <v/>
      </c>
      <c r="I105" s="11" t="str">
        <f aca="false">IF(ISNUMBER(F$4),SUMIFS('Actuals Import'!$AL$1:$AL$600,'Actuals Import'!$AR$1:$AR$600,$C105,'Actuals Import'!$AQ$1:$AQ$600,1),"")</f>
        <v/>
      </c>
      <c r="J105" s="31" t="n">
        <f aca="false">'Forecast Detail'!G66</f>
        <v>385500</v>
      </c>
      <c r="K105" s="11" t="str">
        <f aca="false">IF($B$3=0,"",INDEX($E105:$I105,MATCH($F$3,$B$4:$F$4,0)))</f>
        <v/>
      </c>
      <c r="L105" s="11" t="str">
        <f aca="false">IF($B$3=0,"",AVERAGE($E105:$I105))</f>
        <v/>
      </c>
      <c r="M105" s="11" t="str">
        <f aca="false">IF($B$3&lt;3,"",IFERROR(FORECAST($H$3,$E105:$I105,$B$4:$F$4),""))</f>
        <v/>
      </c>
      <c r="N105" s="11" t="str">
        <f aca="false">IF($B$3&lt;2,"",IFERROR(IF(INDEX($E105:$I105,MATCH($D$3,$B$4:$F$4,0))*K105&gt;0,K105*(K105/INDEX($E105:$I105,MATCH($D$3,$B$4:$F$4,0)))^(($H$3-$F$3)/($F$3-$D$3)),K105),K105))</f>
        <v/>
      </c>
      <c r="O105" s="20"/>
      <c r="P105" s="6" t="str">
        <f aca="false">IF(O105&lt;&gt;"",O105,Inputs!$C$90)</f>
        <v>Linear Trend</v>
      </c>
      <c r="Q105" s="37" t="str">
        <f aca="false">IF($B$3=0,"",IF(Inputs!$C$91&gt;0,ROUND(IF(ISNUMBER(IF(P105="Last Actual",K105,IF(P105="Average",L105,IF(P105="Linear Trend",M105,N105)))),IF(P105="Last Actual",K105,IF(P105="Average",L105,IF(P105="Linear Trend",M105,N105))),K105)/Inputs!$C$91,0)*Inputs!$C$91,IF(ISNUMBER(IF(P105="Last Actual",K105,IF(P105="Average",L105,IF(P105="Linear Trend",M105,N105)))),IF(P105="Last Actual",K105,IF(P105="Average",L105,IF(P105="Linear Trend",M105,N105))),K105)))</f>
        <v/>
      </c>
      <c r="R105" s="31" t="n">
        <f aca="false">'Forecast Detail'!H66</f>
        <v>397065</v>
      </c>
      <c r="S105" s="8" t="str">
        <f aca="false">IF(Q105="","",IF(J105=0,"",Q105/J105-1))</f>
        <v/>
      </c>
      <c r="T105" s="38" t="str">
        <f aca="false">IF(S105="","",IF(ABS(S105)&gt;Inputs!$C$92,"REVIEW",""))</f>
        <v/>
      </c>
    </row>
    <row r="106" customFormat="false" ht="15" hidden="false" customHeight="false" outlineLevel="0" collapsed="false">
      <c r="A106" s="36" t="str">
        <f aca="false">'Forecast Detail'!D67</f>
        <v>500275 Administrative Salaries</v>
      </c>
      <c r="B106" s="36" t="str">
        <f aca="false">'Forecast Detail'!A67</f>
        <v>Expense</v>
      </c>
      <c r="C106" s="36" t="str">
        <f aca="false">'Forecast Detail'!C67</f>
        <v>500275</v>
      </c>
      <c r="D106" s="36" t="str">
        <f aca="false">'Forecast Detail'!B67</f>
        <v>1 Salaries and Benefits</v>
      </c>
      <c r="E106" s="11" t="str">
        <f aca="false">IF(ISNUMBER(B$4),SUMIFS('Actuals Import'!$B$1:$B$600,'Actuals Import'!$H$1:$H$600,$C106,'Actuals Import'!$G$1:$G$600,1),"")</f>
        <v/>
      </c>
      <c r="F106" s="11" t="str">
        <f aca="false">IF(ISNUMBER(C$4),SUMIFS('Actuals Import'!$K$1:$K$600,'Actuals Import'!$Q$1:$Q$600,$C106,'Actuals Import'!$P$1:$P$600,1),"")</f>
        <v/>
      </c>
      <c r="G106" s="11" t="str">
        <f aca="false">IF(ISNUMBER(D$4),SUMIFS('Actuals Import'!$T$1:$T$600,'Actuals Import'!$Z$1:$Z$600,$C106,'Actuals Import'!$Y$1:$Y$600,1),"")</f>
        <v/>
      </c>
      <c r="H106" s="11" t="str">
        <f aca="false">IF(ISNUMBER(E$4),SUMIFS('Actuals Import'!$AC$1:$AC$600,'Actuals Import'!$AI$1:$AI$600,$C106,'Actuals Import'!$AH$1:$AH$600,1),"")</f>
        <v/>
      </c>
      <c r="I106" s="11" t="str">
        <f aca="false">IF(ISNUMBER(F$4),SUMIFS('Actuals Import'!$AL$1:$AL$600,'Actuals Import'!$AR$1:$AR$600,$C106,'Actuals Import'!$AQ$1:$AQ$600,1),"")</f>
        <v/>
      </c>
      <c r="J106" s="31" t="n">
        <f aca="false">'Forecast Detail'!G67</f>
        <v>1420000</v>
      </c>
      <c r="K106" s="11" t="str">
        <f aca="false">IF($B$3=0,"",INDEX($E106:$I106,MATCH($F$3,$B$4:$F$4,0)))</f>
        <v/>
      </c>
      <c r="L106" s="11" t="str">
        <f aca="false">IF($B$3=0,"",AVERAGE($E106:$I106))</f>
        <v/>
      </c>
      <c r="M106" s="11" t="str">
        <f aca="false">IF($B$3&lt;3,"",IFERROR(FORECAST($H$3,$E106:$I106,$B$4:$F$4),""))</f>
        <v/>
      </c>
      <c r="N106" s="11" t="str">
        <f aca="false">IF($B$3&lt;2,"",IFERROR(IF(INDEX($E106:$I106,MATCH($D$3,$B$4:$F$4,0))*K106&gt;0,K106*(K106/INDEX($E106:$I106,MATCH($D$3,$B$4:$F$4,0)))^(($H$3-$F$3)/($F$3-$D$3)),K106),K106))</f>
        <v/>
      </c>
      <c r="O106" s="20"/>
      <c r="P106" s="6" t="str">
        <f aca="false">IF(O106&lt;&gt;"",O106,Inputs!$C$90)</f>
        <v>Linear Trend</v>
      </c>
      <c r="Q106" s="37" t="str">
        <f aca="false">IF($B$3=0,"",IF(Inputs!$C$91&gt;0,ROUND(IF(ISNUMBER(IF(P106="Last Actual",K106,IF(P106="Average",L106,IF(P106="Linear Trend",M106,N106)))),IF(P106="Last Actual",K106,IF(P106="Average",L106,IF(P106="Linear Trend",M106,N106))),K106)/Inputs!$C$91,0)*Inputs!$C$91,IF(ISNUMBER(IF(P106="Last Actual",K106,IF(P106="Average",L106,IF(P106="Linear Trend",M106,N106)))),IF(P106="Last Actual",K106,IF(P106="Average",L106,IF(P106="Linear Trend",M106,N106))),K106)))</f>
        <v/>
      </c>
      <c r="R106" s="31" t="n">
        <f aca="false">'Forecast Detail'!H67</f>
        <v>1462600</v>
      </c>
      <c r="S106" s="8" t="str">
        <f aca="false">IF(Q106="","",IF(J106=0,"",Q106/J106-1))</f>
        <v/>
      </c>
      <c r="T106" s="38" t="str">
        <f aca="false">IF(S106="","",IF(ABS(S106)&gt;Inputs!$C$92,"REVIEW",""))</f>
        <v/>
      </c>
    </row>
    <row r="107" customFormat="false" ht="15" hidden="false" customHeight="false" outlineLevel="0" collapsed="false">
      <c r="A107" s="36" t="str">
        <f aca="false">'Forecast Detail'!D68</f>
        <v>500276 Teacher Salaries</v>
      </c>
      <c r="B107" s="36" t="str">
        <f aca="false">'Forecast Detail'!A68</f>
        <v>Expense</v>
      </c>
      <c r="C107" s="36" t="str">
        <f aca="false">'Forecast Detail'!C68</f>
        <v>500276</v>
      </c>
      <c r="D107" s="36" t="str">
        <f aca="false">'Forecast Detail'!B68</f>
        <v>1 Salaries and Benefits</v>
      </c>
      <c r="E107" s="11" t="str">
        <f aca="false">IF(ISNUMBER(B$4),SUMIFS('Actuals Import'!$B$1:$B$600,'Actuals Import'!$H$1:$H$600,$C107,'Actuals Import'!$G$1:$G$600,1),"")</f>
        <v/>
      </c>
      <c r="F107" s="11" t="str">
        <f aca="false">IF(ISNUMBER(C$4),SUMIFS('Actuals Import'!$K$1:$K$600,'Actuals Import'!$Q$1:$Q$600,$C107,'Actuals Import'!$P$1:$P$600,1),"")</f>
        <v/>
      </c>
      <c r="G107" s="11" t="str">
        <f aca="false">IF(ISNUMBER(D$4),SUMIFS('Actuals Import'!$T$1:$T$600,'Actuals Import'!$Z$1:$Z$600,$C107,'Actuals Import'!$Y$1:$Y$600,1),"")</f>
        <v/>
      </c>
      <c r="H107" s="11" t="str">
        <f aca="false">IF(ISNUMBER(E$4),SUMIFS('Actuals Import'!$AC$1:$AC$600,'Actuals Import'!$AI$1:$AI$600,$C107,'Actuals Import'!$AH$1:$AH$600,1),"")</f>
        <v/>
      </c>
      <c r="I107" s="11" t="str">
        <f aca="false">IF(ISNUMBER(F$4),SUMIFS('Actuals Import'!$AL$1:$AL$600,'Actuals Import'!$AR$1:$AR$600,$C107,'Actuals Import'!$AQ$1:$AQ$600,1),"")</f>
        <v/>
      </c>
      <c r="J107" s="31" t="n">
        <f aca="false">'Forecast Detail'!G68</f>
        <v>3461000</v>
      </c>
      <c r="K107" s="11" t="str">
        <f aca="false">IF($B$3=0,"",INDEX($E107:$I107,MATCH($F$3,$B$4:$F$4,0)))</f>
        <v/>
      </c>
      <c r="L107" s="11" t="str">
        <f aca="false">IF($B$3=0,"",AVERAGE($E107:$I107))</f>
        <v/>
      </c>
      <c r="M107" s="11" t="str">
        <f aca="false">IF($B$3&lt;3,"",IFERROR(FORECAST($H$3,$E107:$I107,$B$4:$F$4),""))</f>
        <v/>
      </c>
      <c r="N107" s="11" t="str">
        <f aca="false">IF($B$3&lt;2,"",IFERROR(IF(INDEX($E107:$I107,MATCH($D$3,$B$4:$F$4,0))*K107&gt;0,K107*(K107/INDEX($E107:$I107,MATCH($D$3,$B$4:$F$4,0)))^(($H$3-$F$3)/($F$3-$D$3)),K107),K107))</f>
        <v/>
      </c>
      <c r="O107" s="20"/>
      <c r="P107" s="6" t="str">
        <f aca="false">IF(O107&lt;&gt;"",O107,Inputs!$C$90)</f>
        <v>Linear Trend</v>
      </c>
      <c r="Q107" s="37" t="str">
        <f aca="false">IF($B$3=0,"",IF(Inputs!$C$91&gt;0,ROUND(IF(ISNUMBER(IF(P107="Last Actual",K107,IF(P107="Average",L107,IF(P107="Linear Trend",M107,N107)))),IF(P107="Last Actual",K107,IF(P107="Average",L107,IF(P107="Linear Trend",M107,N107))),K107)/Inputs!$C$91,0)*Inputs!$C$91,IF(ISNUMBER(IF(P107="Last Actual",K107,IF(P107="Average",L107,IF(P107="Linear Trend",M107,N107)))),IF(P107="Last Actual",K107,IF(P107="Average",L107,IF(P107="Linear Trend",M107,N107))),K107)))</f>
        <v/>
      </c>
      <c r="R107" s="31" t="n">
        <f aca="false">'Forecast Detail'!H68</f>
        <v>3564830</v>
      </c>
      <c r="S107" s="8" t="str">
        <f aca="false">IF(Q107="","",IF(J107=0,"",Q107/J107-1))</f>
        <v/>
      </c>
      <c r="T107" s="38" t="str">
        <f aca="false">IF(S107="","",IF(ABS(S107)&gt;Inputs!$C$92,"REVIEW",""))</f>
        <v/>
      </c>
    </row>
    <row r="108" customFormat="false" ht="15" hidden="false" customHeight="false" outlineLevel="0" collapsed="false">
      <c r="A108" s="36" t="str">
        <f aca="false">'Forecast Detail'!D69</f>
        <v>500277 Faculty/Staff Stipends</v>
      </c>
      <c r="B108" s="36" t="str">
        <f aca="false">'Forecast Detail'!A69</f>
        <v>Expense</v>
      </c>
      <c r="C108" s="36" t="str">
        <f aca="false">'Forecast Detail'!C69</f>
        <v>500277</v>
      </c>
      <c r="D108" s="36" t="str">
        <f aca="false">'Forecast Detail'!B69</f>
        <v>1 Salaries and Benefits</v>
      </c>
      <c r="E108" s="11" t="str">
        <f aca="false">IF(ISNUMBER(B$4),SUMIFS('Actuals Import'!$B$1:$B$600,'Actuals Import'!$H$1:$H$600,$C108,'Actuals Import'!$G$1:$G$600,1),"")</f>
        <v/>
      </c>
      <c r="F108" s="11" t="str">
        <f aca="false">IF(ISNUMBER(C$4),SUMIFS('Actuals Import'!$K$1:$K$600,'Actuals Import'!$Q$1:$Q$600,$C108,'Actuals Import'!$P$1:$P$600,1),"")</f>
        <v/>
      </c>
      <c r="G108" s="11" t="str">
        <f aca="false">IF(ISNUMBER(D$4),SUMIFS('Actuals Import'!$T$1:$T$600,'Actuals Import'!$Z$1:$Z$600,$C108,'Actuals Import'!$Y$1:$Y$600,1),"")</f>
        <v/>
      </c>
      <c r="H108" s="11" t="str">
        <f aca="false">IF(ISNUMBER(E$4),SUMIFS('Actuals Import'!$AC$1:$AC$600,'Actuals Import'!$AI$1:$AI$600,$C108,'Actuals Import'!$AH$1:$AH$600,1),"")</f>
        <v/>
      </c>
      <c r="I108" s="11" t="str">
        <f aca="false">IF(ISNUMBER(F$4),SUMIFS('Actuals Import'!$AL$1:$AL$600,'Actuals Import'!$AR$1:$AR$600,$C108,'Actuals Import'!$AQ$1:$AQ$600,1),"")</f>
        <v/>
      </c>
      <c r="J108" s="31" t="n">
        <f aca="false">'Forecast Detail'!G69</f>
        <v>0</v>
      </c>
      <c r="K108" s="11" t="str">
        <f aca="false">IF($B$3=0,"",INDEX($E108:$I108,MATCH($F$3,$B$4:$F$4,0)))</f>
        <v/>
      </c>
      <c r="L108" s="11" t="str">
        <f aca="false">IF($B$3=0,"",AVERAGE($E108:$I108))</f>
        <v/>
      </c>
      <c r="M108" s="11" t="str">
        <f aca="false">IF($B$3&lt;3,"",IFERROR(FORECAST($H$3,$E108:$I108,$B$4:$F$4),""))</f>
        <v/>
      </c>
      <c r="N108" s="11" t="str">
        <f aca="false">IF($B$3&lt;2,"",IFERROR(IF(INDEX($E108:$I108,MATCH($D$3,$B$4:$F$4,0))*K108&gt;0,K108*(K108/INDEX($E108:$I108,MATCH($D$3,$B$4:$F$4,0)))^(($H$3-$F$3)/($F$3-$D$3)),K108),K108))</f>
        <v/>
      </c>
      <c r="O108" s="20"/>
      <c r="P108" s="6" t="str">
        <f aca="false">IF(O108&lt;&gt;"",O108,Inputs!$C$90)</f>
        <v>Linear Trend</v>
      </c>
      <c r="Q108" s="37" t="str">
        <f aca="false">IF($B$3=0,"",IF(Inputs!$C$91&gt;0,ROUND(IF(ISNUMBER(IF(P108="Last Actual",K108,IF(P108="Average",L108,IF(P108="Linear Trend",M108,N108)))),IF(P108="Last Actual",K108,IF(P108="Average",L108,IF(P108="Linear Trend",M108,N108))),K108)/Inputs!$C$91,0)*Inputs!$C$91,IF(ISNUMBER(IF(P108="Last Actual",K108,IF(P108="Average",L108,IF(P108="Linear Trend",M108,N108)))),IF(P108="Last Actual",K108,IF(P108="Average",L108,IF(P108="Linear Trend",M108,N108))),K108)))</f>
        <v/>
      </c>
      <c r="R108" s="31" t="n">
        <f aca="false">'Forecast Detail'!H69</f>
        <v>0</v>
      </c>
      <c r="S108" s="8" t="str">
        <f aca="false">IF(Q108="","",IF(J108=0,"",Q108/J108-1))</f>
        <v/>
      </c>
      <c r="T108" s="38" t="str">
        <f aca="false">IF(S108="","",IF(ABS(S108)&gt;Inputs!$C$92,"REVIEW",""))</f>
        <v/>
      </c>
    </row>
    <row r="109" customFormat="false" ht="15" hidden="false" customHeight="false" outlineLevel="0" collapsed="false">
      <c r="A109" s="36" t="str">
        <f aca="false">'Forecast Detail'!D70</f>
        <v>500278 Substitute Expenses Upper School</v>
      </c>
      <c r="B109" s="36" t="str">
        <f aca="false">'Forecast Detail'!A70</f>
        <v>Expense</v>
      </c>
      <c r="C109" s="36" t="str">
        <f aca="false">'Forecast Detail'!C70</f>
        <v>500278</v>
      </c>
      <c r="D109" s="36" t="str">
        <f aca="false">'Forecast Detail'!B70</f>
        <v>1 Salaries and Benefits</v>
      </c>
      <c r="E109" s="11" t="str">
        <f aca="false">IF(ISNUMBER(B$4),SUMIFS('Actuals Import'!$B$1:$B$600,'Actuals Import'!$H$1:$H$600,$C109,'Actuals Import'!$G$1:$G$600,1),"")</f>
        <v/>
      </c>
      <c r="F109" s="11" t="str">
        <f aca="false">IF(ISNUMBER(C$4),SUMIFS('Actuals Import'!$K$1:$K$600,'Actuals Import'!$Q$1:$Q$600,$C109,'Actuals Import'!$P$1:$P$600,1),"")</f>
        <v/>
      </c>
      <c r="G109" s="11" t="str">
        <f aca="false">IF(ISNUMBER(D$4),SUMIFS('Actuals Import'!$T$1:$T$600,'Actuals Import'!$Z$1:$Z$600,$C109,'Actuals Import'!$Y$1:$Y$600,1),"")</f>
        <v/>
      </c>
      <c r="H109" s="11" t="str">
        <f aca="false">IF(ISNUMBER(E$4),SUMIFS('Actuals Import'!$AC$1:$AC$600,'Actuals Import'!$AI$1:$AI$600,$C109,'Actuals Import'!$AH$1:$AH$600,1),"")</f>
        <v/>
      </c>
      <c r="I109" s="11" t="str">
        <f aca="false">IF(ISNUMBER(F$4),SUMIFS('Actuals Import'!$AL$1:$AL$600,'Actuals Import'!$AR$1:$AR$600,$C109,'Actuals Import'!$AQ$1:$AQ$600,1),"")</f>
        <v/>
      </c>
      <c r="J109" s="31" t="n">
        <f aca="false">'Forecast Detail'!G70</f>
        <v>20000</v>
      </c>
      <c r="K109" s="11" t="str">
        <f aca="false">IF($B$3=0,"",INDEX($E109:$I109,MATCH($F$3,$B$4:$F$4,0)))</f>
        <v/>
      </c>
      <c r="L109" s="11" t="str">
        <f aca="false">IF($B$3=0,"",AVERAGE($E109:$I109))</f>
        <v/>
      </c>
      <c r="M109" s="11" t="str">
        <f aca="false">IF($B$3&lt;3,"",IFERROR(FORECAST($H$3,$E109:$I109,$B$4:$F$4),""))</f>
        <v/>
      </c>
      <c r="N109" s="11" t="str">
        <f aca="false">IF($B$3&lt;2,"",IFERROR(IF(INDEX($E109:$I109,MATCH($D$3,$B$4:$F$4,0))*K109&gt;0,K109*(K109/INDEX($E109:$I109,MATCH($D$3,$B$4:$F$4,0)))^(($H$3-$F$3)/($F$3-$D$3)),K109),K109))</f>
        <v/>
      </c>
      <c r="O109" s="20"/>
      <c r="P109" s="6" t="str">
        <f aca="false">IF(O109&lt;&gt;"",O109,Inputs!$C$90)</f>
        <v>Linear Trend</v>
      </c>
      <c r="Q109" s="37" t="str">
        <f aca="false">IF($B$3=0,"",IF(Inputs!$C$91&gt;0,ROUND(IF(ISNUMBER(IF(P109="Last Actual",K109,IF(P109="Average",L109,IF(P109="Linear Trend",M109,N109)))),IF(P109="Last Actual",K109,IF(P109="Average",L109,IF(P109="Linear Trend",M109,N109))),K109)/Inputs!$C$91,0)*Inputs!$C$91,IF(ISNUMBER(IF(P109="Last Actual",K109,IF(P109="Average",L109,IF(P109="Linear Trend",M109,N109)))),IF(P109="Last Actual",K109,IF(P109="Average",L109,IF(P109="Linear Trend",M109,N109))),K109)))</f>
        <v/>
      </c>
      <c r="R109" s="31" t="n">
        <f aca="false">'Forecast Detail'!H70</f>
        <v>20600</v>
      </c>
      <c r="S109" s="8" t="str">
        <f aca="false">IF(Q109="","",IF(J109=0,"",Q109/J109-1))</f>
        <v/>
      </c>
      <c r="T109" s="38" t="str">
        <f aca="false">IF(S109="","",IF(ABS(S109)&gt;Inputs!$C$92,"REVIEW",""))</f>
        <v/>
      </c>
    </row>
    <row r="110" customFormat="false" ht="15" hidden="false" customHeight="false" outlineLevel="0" collapsed="false">
      <c r="A110" s="36" t="str">
        <f aca="false">'Forecast Detail'!D71</f>
        <v>500279 Substitute Expense Lower School</v>
      </c>
      <c r="B110" s="36" t="str">
        <f aca="false">'Forecast Detail'!A71</f>
        <v>Expense</v>
      </c>
      <c r="C110" s="36" t="str">
        <f aca="false">'Forecast Detail'!C71</f>
        <v>500279</v>
      </c>
      <c r="D110" s="36" t="str">
        <f aca="false">'Forecast Detail'!B71</f>
        <v>1 Salaries and Benefits</v>
      </c>
      <c r="E110" s="11" t="str">
        <f aca="false">IF(ISNUMBER(B$4),SUMIFS('Actuals Import'!$B$1:$B$600,'Actuals Import'!$H$1:$H$600,$C110,'Actuals Import'!$G$1:$G$600,1),"")</f>
        <v/>
      </c>
      <c r="F110" s="11" t="str">
        <f aca="false">IF(ISNUMBER(C$4),SUMIFS('Actuals Import'!$K$1:$K$600,'Actuals Import'!$Q$1:$Q$600,$C110,'Actuals Import'!$P$1:$P$600,1),"")</f>
        <v/>
      </c>
      <c r="G110" s="11" t="str">
        <f aca="false">IF(ISNUMBER(D$4),SUMIFS('Actuals Import'!$T$1:$T$600,'Actuals Import'!$Z$1:$Z$600,$C110,'Actuals Import'!$Y$1:$Y$600,1),"")</f>
        <v/>
      </c>
      <c r="H110" s="11" t="str">
        <f aca="false">IF(ISNUMBER(E$4),SUMIFS('Actuals Import'!$AC$1:$AC$600,'Actuals Import'!$AI$1:$AI$600,$C110,'Actuals Import'!$AH$1:$AH$600,1),"")</f>
        <v/>
      </c>
      <c r="I110" s="11" t="str">
        <f aca="false">IF(ISNUMBER(F$4),SUMIFS('Actuals Import'!$AL$1:$AL$600,'Actuals Import'!$AR$1:$AR$600,$C110,'Actuals Import'!$AQ$1:$AQ$600,1),"")</f>
        <v/>
      </c>
      <c r="J110" s="31" t="n">
        <f aca="false">'Forecast Detail'!G71</f>
        <v>15000</v>
      </c>
      <c r="K110" s="11" t="str">
        <f aca="false">IF($B$3=0,"",INDEX($E110:$I110,MATCH($F$3,$B$4:$F$4,0)))</f>
        <v/>
      </c>
      <c r="L110" s="11" t="str">
        <f aca="false">IF($B$3=0,"",AVERAGE($E110:$I110))</f>
        <v/>
      </c>
      <c r="M110" s="11" t="str">
        <f aca="false">IF($B$3&lt;3,"",IFERROR(FORECAST($H$3,$E110:$I110,$B$4:$F$4),""))</f>
        <v/>
      </c>
      <c r="N110" s="11" t="str">
        <f aca="false">IF($B$3&lt;2,"",IFERROR(IF(INDEX($E110:$I110,MATCH($D$3,$B$4:$F$4,0))*K110&gt;0,K110*(K110/INDEX($E110:$I110,MATCH($D$3,$B$4:$F$4,0)))^(($H$3-$F$3)/($F$3-$D$3)),K110),K110))</f>
        <v/>
      </c>
      <c r="O110" s="20"/>
      <c r="P110" s="6" t="str">
        <f aca="false">IF(O110&lt;&gt;"",O110,Inputs!$C$90)</f>
        <v>Linear Trend</v>
      </c>
      <c r="Q110" s="37" t="str">
        <f aca="false">IF($B$3=0,"",IF(Inputs!$C$91&gt;0,ROUND(IF(ISNUMBER(IF(P110="Last Actual",K110,IF(P110="Average",L110,IF(P110="Linear Trend",M110,N110)))),IF(P110="Last Actual",K110,IF(P110="Average",L110,IF(P110="Linear Trend",M110,N110))),K110)/Inputs!$C$91,0)*Inputs!$C$91,IF(ISNUMBER(IF(P110="Last Actual",K110,IF(P110="Average",L110,IF(P110="Linear Trend",M110,N110)))),IF(P110="Last Actual",K110,IF(P110="Average",L110,IF(P110="Linear Trend",M110,N110))),K110)))</f>
        <v/>
      </c>
      <c r="R110" s="31" t="n">
        <f aca="false">'Forecast Detail'!H71</f>
        <v>15450</v>
      </c>
      <c r="S110" s="8" t="str">
        <f aca="false">IF(Q110="","",IF(J110=0,"",Q110/J110-1))</f>
        <v/>
      </c>
      <c r="T110" s="38" t="str">
        <f aca="false">IF(S110="","",IF(ABS(S110)&gt;Inputs!$C$92,"REVIEW",""))</f>
        <v/>
      </c>
    </row>
    <row r="111" customFormat="false" ht="15" hidden="false" customHeight="false" outlineLevel="0" collapsed="false">
      <c r="A111" s="36" t="str">
        <f aca="false">'Forecast Detail'!D72</f>
        <v>500280 Maintenance Salaries</v>
      </c>
      <c r="B111" s="36" t="str">
        <f aca="false">'Forecast Detail'!A72</f>
        <v>Expense</v>
      </c>
      <c r="C111" s="36" t="str">
        <f aca="false">'Forecast Detail'!C72</f>
        <v>500280</v>
      </c>
      <c r="D111" s="36" t="str">
        <f aca="false">'Forecast Detail'!B72</f>
        <v>1 Salaries and Benefits</v>
      </c>
      <c r="E111" s="11" t="str">
        <f aca="false">IF(ISNUMBER(B$4),SUMIFS('Actuals Import'!$B$1:$B$600,'Actuals Import'!$H$1:$H$600,$C111,'Actuals Import'!$G$1:$G$600,1),"")</f>
        <v/>
      </c>
      <c r="F111" s="11" t="str">
        <f aca="false">IF(ISNUMBER(C$4),SUMIFS('Actuals Import'!$K$1:$K$600,'Actuals Import'!$Q$1:$Q$600,$C111,'Actuals Import'!$P$1:$P$600,1),"")</f>
        <v/>
      </c>
      <c r="G111" s="11" t="str">
        <f aca="false">IF(ISNUMBER(D$4),SUMIFS('Actuals Import'!$T$1:$T$600,'Actuals Import'!$Z$1:$Z$600,$C111,'Actuals Import'!$Y$1:$Y$600,1),"")</f>
        <v/>
      </c>
      <c r="H111" s="11" t="str">
        <f aca="false">IF(ISNUMBER(E$4),SUMIFS('Actuals Import'!$AC$1:$AC$600,'Actuals Import'!$AI$1:$AI$600,$C111,'Actuals Import'!$AH$1:$AH$600,1),"")</f>
        <v/>
      </c>
      <c r="I111" s="11" t="str">
        <f aca="false">IF(ISNUMBER(F$4),SUMIFS('Actuals Import'!$AL$1:$AL$600,'Actuals Import'!$AR$1:$AR$600,$C111,'Actuals Import'!$AQ$1:$AQ$600,1),"")</f>
        <v/>
      </c>
      <c r="J111" s="31" t="n">
        <f aca="false">'Forecast Detail'!G72</f>
        <v>182000</v>
      </c>
      <c r="K111" s="11" t="str">
        <f aca="false">IF($B$3=0,"",INDEX($E111:$I111,MATCH($F$3,$B$4:$F$4,0)))</f>
        <v/>
      </c>
      <c r="L111" s="11" t="str">
        <f aca="false">IF($B$3=0,"",AVERAGE($E111:$I111))</f>
        <v/>
      </c>
      <c r="M111" s="11" t="str">
        <f aca="false">IF($B$3&lt;3,"",IFERROR(FORECAST($H$3,$E111:$I111,$B$4:$F$4),""))</f>
        <v/>
      </c>
      <c r="N111" s="11" t="str">
        <f aca="false">IF($B$3&lt;2,"",IFERROR(IF(INDEX($E111:$I111,MATCH($D$3,$B$4:$F$4,0))*K111&gt;0,K111*(K111/INDEX($E111:$I111,MATCH($D$3,$B$4:$F$4,0)))^(($H$3-$F$3)/($F$3-$D$3)),K111),K111))</f>
        <v/>
      </c>
      <c r="O111" s="20"/>
      <c r="P111" s="6" t="str">
        <f aca="false">IF(O111&lt;&gt;"",O111,Inputs!$C$90)</f>
        <v>Linear Trend</v>
      </c>
      <c r="Q111" s="37" t="str">
        <f aca="false">IF($B$3=0,"",IF(Inputs!$C$91&gt;0,ROUND(IF(ISNUMBER(IF(P111="Last Actual",K111,IF(P111="Average",L111,IF(P111="Linear Trend",M111,N111)))),IF(P111="Last Actual",K111,IF(P111="Average",L111,IF(P111="Linear Trend",M111,N111))),K111)/Inputs!$C$91,0)*Inputs!$C$91,IF(ISNUMBER(IF(P111="Last Actual",K111,IF(P111="Average",L111,IF(P111="Linear Trend",M111,N111)))),IF(P111="Last Actual",K111,IF(P111="Average",L111,IF(P111="Linear Trend",M111,N111))),K111)))</f>
        <v/>
      </c>
      <c r="R111" s="31" t="n">
        <f aca="false">'Forecast Detail'!H72</f>
        <v>187460</v>
      </c>
      <c r="S111" s="8" t="str">
        <f aca="false">IF(Q111="","",IF(J111=0,"",Q111/J111-1))</f>
        <v/>
      </c>
      <c r="T111" s="38" t="str">
        <f aca="false">IF(S111="","",IF(ABS(S111)&gt;Inputs!$C$92,"REVIEW",""))</f>
        <v/>
      </c>
    </row>
    <row r="112" customFormat="false" ht="15" hidden="false" customHeight="false" outlineLevel="0" collapsed="false">
      <c r="A112" s="36" t="str">
        <f aca="false">'Forecast Detail'!D73</f>
        <v>500023 Teacher Development</v>
      </c>
      <c r="B112" s="36" t="str">
        <f aca="false">'Forecast Detail'!A73</f>
        <v>Expense</v>
      </c>
      <c r="C112" s="36" t="str">
        <f aca="false">'Forecast Detail'!C73</f>
        <v>500023</v>
      </c>
      <c r="D112" s="36" t="str">
        <f aca="false">'Forecast Detail'!B73</f>
        <v>2 Instructional Expenses</v>
      </c>
      <c r="E112" s="11" t="str">
        <f aca="false">IF(ISNUMBER(B$4),SUMIFS('Actuals Import'!$B$1:$B$600,'Actuals Import'!$H$1:$H$600,$C112,'Actuals Import'!$G$1:$G$600,1),"")</f>
        <v/>
      </c>
      <c r="F112" s="11" t="str">
        <f aca="false">IF(ISNUMBER(C$4),SUMIFS('Actuals Import'!$K$1:$K$600,'Actuals Import'!$Q$1:$Q$600,$C112,'Actuals Import'!$P$1:$P$600,1),"")</f>
        <v/>
      </c>
      <c r="G112" s="11" t="str">
        <f aca="false">IF(ISNUMBER(D$4),SUMIFS('Actuals Import'!$T$1:$T$600,'Actuals Import'!$Z$1:$Z$600,$C112,'Actuals Import'!$Y$1:$Y$600,1),"")</f>
        <v/>
      </c>
      <c r="H112" s="11" t="str">
        <f aca="false">IF(ISNUMBER(E$4),SUMIFS('Actuals Import'!$AC$1:$AC$600,'Actuals Import'!$AI$1:$AI$600,$C112,'Actuals Import'!$AH$1:$AH$600,1),"")</f>
        <v/>
      </c>
      <c r="I112" s="11" t="str">
        <f aca="false">IF(ISNUMBER(F$4),SUMIFS('Actuals Import'!$AL$1:$AL$600,'Actuals Import'!$AR$1:$AR$600,$C112,'Actuals Import'!$AQ$1:$AQ$600,1),"")</f>
        <v/>
      </c>
      <c r="J112" s="31" t="n">
        <f aca="false">'Forecast Detail'!G73</f>
        <v>0</v>
      </c>
      <c r="K112" s="11" t="str">
        <f aca="false">IF($B$3=0,"",INDEX($E112:$I112,MATCH($F$3,$B$4:$F$4,0)))</f>
        <v/>
      </c>
      <c r="L112" s="11" t="str">
        <f aca="false">IF($B$3=0,"",AVERAGE($E112:$I112))</f>
        <v/>
      </c>
      <c r="M112" s="11" t="str">
        <f aca="false">IF($B$3&lt;3,"",IFERROR(FORECAST($H$3,$E112:$I112,$B$4:$F$4),""))</f>
        <v/>
      </c>
      <c r="N112" s="11" t="str">
        <f aca="false">IF($B$3&lt;2,"",IFERROR(IF(INDEX($E112:$I112,MATCH($D$3,$B$4:$F$4,0))*K112&gt;0,K112*(K112/INDEX($E112:$I112,MATCH($D$3,$B$4:$F$4,0)))^(($H$3-$F$3)/($F$3-$D$3)),K112),K112))</f>
        <v/>
      </c>
      <c r="O112" s="20"/>
      <c r="P112" s="6" t="str">
        <f aca="false">IF(O112&lt;&gt;"",O112,Inputs!$C$90)</f>
        <v>Linear Trend</v>
      </c>
      <c r="Q112" s="37" t="str">
        <f aca="false">IF($B$3=0,"",IF(Inputs!$C$91&gt;0,ROUND(IF(ISNUMBER(IF(P112="Last Actual",K112,IF(P112="Average",L112,IF(P112="Linear Trend",M112,N112)))),IF(P112="Last Actual",K112,IF(P112="Average",L112,IF(P112="Linear Trend",M112,N112))),K112)/Inputs!$C$91,0)*Inputs!$C$91,IF(ISNUMBER(IF(P112="Last Actual",K112,IF(P112="Average",L112,IF(P112="Linear Trend",M112,N112)))),IF(P112="Last Actual",K112,IF(P112="Average",L112,IF(P112="Linear Trend",M112,N112))),K112)))</f>
        <v/>
      </c>
      <c r="R112" s="31" t="n">
        <f aca="false">'Forecast Detail'!H73</f>
        <v>0</v>
      </c>
      <c r="S112" s="8" t="str">
        <f aca="false">IF(Q112="","",IF(J112=0,"",Q112/J112-1))</f>
        <v/>
      </c>
      <c r="T112" s="38" t="str">
        <f aca="false">IF(S112="","",IF(ABS(S112)&gt;Inputs!$C$92,"REVIEW",""))</f>
        <v/>
      </c>
    </row>
    <row r="113" customFormat="false" ht="15" hidden="false" customHeight="false" outlineLevel="0" collapsed="false">
      <c r="A113" s="36" t="str">
        <f aca="false">'Forecast Detail'!D74</f>
        <v>All School Supplies</v>
      </c>
      <c r="B113" s="36" t="str">
        <f aca="false">'Forecast Detail'!A74</f>
        <v>Expense</v>
      </c>
      <c r="C113" s="36" t="str">
        <f aca="false">'Forecast Detail'!C74</f>
        <v>All School Supplies</v>
      </c>
      <c r="D113" s="36" t="str">
        <f aca="false">'Forecast Detail'!B74</f>
        <v>2 Instructional Expenses</v>
      </c>
      <c r="E113" s="11" t="str">
        <f aca="false">IF(ISNUMBER(B$4),SUMIFS('Actuals Import'!$B$1:$B$600,'Actuals Import'!$H$1:$H$600,$C113,'Actuals Import'!$G$1:$G$600,1),"")</f>
        <v/>
      </c>
      <c r="F113" s="11" t="str">
        <f aca="false">IF(ISNUMBER(C$4),SUMIFS('Actuals Import'!$K$1:$K$600,'Actuals Import'!$Q$1:$Q$600,$C113,'Actuals Import'!$P$1:$P$600,1),"")</f>
        <v/>
      </c>
      <c r="G113" s="11" t="str">
        <f aca="false">IF(ISNUMBER(D$4),SUMIFS('Actuals Import'!$T$1:$T$600,'Actuals Import'!$Z$1:$Z$600,$C113,'Actuals Import'!$Y$1:$Y$600,1),"")</f>
        <v/>
      </c>
      <c r="H113" s="11" t="str">
        <f aca="false">IF(ISNUMBER(E$4),SUMIFS('Actuals Import'!$AC$1:$AC$600,'Actuals Import'!$AI$1:$AI$600,$C113,'Actuals Import'!$AH$1:$AH$600,1),"")</f>
        <v/>
      </c>
      <c r="I113" s="11" t="str">
        <f aca="false">IF(ISNUMBER(F$4),SUMIFS('Actuals Import'!$AL$1:$AL$600,'Actuals Import'!$AR$1:$AR$600,$C113,'Actuals Import'!$AQ$1:$AQ$600,1),"")</f>
        <v/>
      </c>
      <c r="J113" s="31" t="n">
        <f aca="false">'Forecast Detail'!G74</f>
        <v>25000</v>
      </c>
      <c r="K113" s="11" t="str">
        <f aca="false">IF($B$3=0,"",INDEX($E113:$I113,MATCH($F$3,$B$4:$F$4,0)))</f>
        <v/>
      </c>
      <c r="L113" s="11" t="str">
        <f aca="false">IF($B$3=0,"",AVERAGE($E113:$I113))</f>
        <v/>
      </c>
      <c r="M113" s="11" t="str">
        <f aca="false">IF($B$3&lt;3,"",IFERROR(FORECAST($H$3,$E113:$I113,$B$4:$F$4),""))</f>
        <v/>
      </c>
      <c r="N113" s="11" t="str">
        <f aca="false">IF($B$3&lt;2,"",IFERROR(IF(INDEX($E113:$I113,MATCH($D$3,$B$4:$F$4,0))*K113&gt;0,K113*(K113/INDEX($E113:$I113,MATCH($D$3,$B$4:$F$4,0)))^(($H$3-$F$3)/($F$3-$D$3)),K113),K113))</f>
        <v/>
      </c>
      <c r="O113" s="20"/>
      <c r="P113" s="6" t="str">
        <f aca="false">IF(O113&lt;&gt;"",O113,Inputs!$C$90)</f>
        <v>Linear Trend</v>
      </c>
      <c r="Q113" s="37" t="str">
        <f aca="false">IF($B$3=0,"",IF(Inputs!$C$91&gt;0,ROUND(IF(ISNUMBER(IF(P113="Last Actual",K113,IF(P113="Average",L113,IF(P113="Linear Trend",M113,N113)))),IF(P113="Last Actual",K113,IF(P113="Average",L113,IF(P113="Linear Trend",M113,N113))),K113)/Inputs!$C$91,0)*Inputs!$C$91,IF(ISNUMBER(IF(P113="Last Actual",K113,IF(P113="Average",L113,IF(P113="Linear Trend",M113,N113)))),IF(P113="Last Actual",K113,IF(P113="Average",L113,IF(P113="Linear Trend",M113,N113))),K113)))</f>
        <v/>
      </c>
      <c r="R113" s="31" t="n">
        <f aca="false">'Forecast Detail'!H74</f>
        <v>25750</v>
      </c>
      <c r="S113" s="8" t="str">
        <f aca="false">IF(Q113="","",IF(J113=0,"",Q113/J113-1))</f>
        <v/>
      </c>
      <c r="T113" s="38" t="str">
        <f aca="false">IF(S113="","",IF(ABS(S113)&gt;Inputs!$C$92,"REVIEW",""))</f>
        <v/>
      </c>
    </row>
    <row r="114" customFormat="false" ht="15" hidden="false" customHeight="false" outlineLevel="0" collapsed="false">
      <c r="A114" s="36" t="str">
        <f aca="false">'Forecast Detail'!D75</f>
        <v>500168 All School Supplies</v>
      </c>
      <c r="B114" s="36" t="str">
        <f aca="false">'Forecast Detail'!A75</f>
        <v>Expense</v>
      </c>
      <c r="C114" s="36" t="str">
        <f aca="false">'Forecast Detail'!C75</f>
        <v>500168</v>
      </c>
      <c r="D114" s="36" t="str">
        <f aca="false">'Forecast Detail'!B75</f>
        <v>2 Instructional Expenses</v>
      </c>
      <c r="E114" s="11" t="str">
        <f aca="false">IF(ISNUMBER(B$4),SUMIFS('Actuals Import'!$B$1:$B$600,'Actuals Import'!$H$1:$H$600,$C114,'Actuals Import'!$G$1:$G$600,1),"")</f>
        <v/>
      </c>
      <c r="F114" s="11" t="str">
        <f aca="false">IF(ISNUMBER(C$4),SUMIFS('Actuals Import'!$K$1:$K$600,'Actuals Import'!$Q$1:$Q$600,$C114,'Actuals Import'!$P$1:$P$600,1),"")</f>
        <v/>
      </c>
      <c r="G114" s="11" t="str">
        <f aca="false">IF(ISNUMBER(D$4),SUMIFS('Actuals Import'!$T$1:$T$600,'Actuals Import'!$Z$1:$Z$600,$C114,'Actuals Import'!$Y$1:$Y$600,1),"")</f>
        <v/>
      </c>
      <c r="H114" s="11" t="str">
        <f aca="false">IF(ISNUMBER(E$4),SUMIFS('Actuals Import'!$AC$1:$AC$600,'Actuals Import'!$AI$1:$AI$600,$C114,'Actuals Import'!$AH$1:$AH$600,1),"")</f>
        <v/>
      </c>
      <c r="I114" s="11" t="str">
        <f aca="false">IF(ISNUMBER(F$4),SUMIFS('Actuals Import'!$AL$1:$AL$600,'Actuals Import'!$AR$1:$AR$600,$C114,'Actuals Import'!$AQ$1:$AQ$600,1),"")</f>
        <v/>
      </c>
      <c r="J114" s="31" t="n">
        <f aca="false">'Forecast Detail'!G75</f>
        <v>0</v>
      </c>
      <c r="K114" s="11" t="str">
        <f aca="false">IF($B$3=0,"",INDEX($E114:$I114,MATCH($F$3,$B$4:$F$4,0)))</f>
        <v/>
      </c>
      <c r="L114" s="11" t="str">
        <f aca="false">IF($B$3=0,"",AVERAGE($E114:$I114))</f>
        <v/>
      </c>
      <c r="M114" s="11" t="str">
        <f aca="false">IF($B$3&lt;3,"",IFERROR(FORECAST($H$3,$E114:$I114,$B$4:$F$4),""))</f>
        <v/>
      </c>
      <c r="N114" s="11" t="str">
        <f aca="false">IF($B$3&lt;2,"",IFERROR(IF(INDEX($E114:$I114,MATCH($D$3,$B$4:$F$4,0))*K114&gt;0,K114*(K114/INDEX($E114:$I114,MATCH($D$3,$B$4:$F$4,0)))^(($H$3-$F$3)/($F$3-$D$3)),K114),K114))</f>
        <v/>
      </c>
      <c r="O114" s="20"/>
      <c r="P114" s="6" t="str">
        <f aca="false">IF(O114&lt;&gt;"",O114,Inputs!$C$90)</f>
        <v>Linear Trend</v>
      </c>
      <c r="Q114" s="37" t="str">
        <f aca="false">IF($B$3=0,"",IF(Inputs!$C$91&gt;0,ROUND(IF(ISNUMBER(IF(P114="Last Actual",K114,IF(P114="Average",L114,IF(P114="Linear Trend",M114,N114)))),IF(P114="Last Actual",K114,IF(P114="Average",L114,IF(P114="Linear Trend",M114,N114))),K114)/Inputs!$C$91,0)*Inputs!$C$91,IF(ISNUMBER(IF(P114="Last Actual",K114,IF(P114="Average",L114,IF(P114="Linear Trend",M114,N114)))),IF(P114="Last Actual",K114,IF(P114="Average",L114,IF(P114="Linear Trend",M114,N114))),K114)))</f>
        <v/>
      </c>
      <c r="R114" s="31" t="n">
        <f aca="false">'Forecast Detail'!H75</f>
        <v>0</v>
      </c>
      <c r="S114" s="8" t="str">
        <f aca="false">IF(Q114="","",IF(J114=0,"",Q114/J114-1))</f>
        <v/>
      </c>
      <c r="T114" s="38" t="str">
        <f aca="false">IF(S114="","",IF(ABS(S114)&gt;Inputs!$C$92,"REVIEW",""))</f>
        <v/>
      </c>
    </row>
    <row r="115" customFormat="false" ht="15" hidden="false" customHeight="false" outlineLevel="0" collapsed="false">
      <c r="A115" s="36" t="str">
        <f aca="false">'Forecast Detail'!D76</f>
        <v>500169 School Machine Supplies DO NOT USE</v>
      </c>
      <c r="B115" s="36" t="str">
        <f aca="false">'Forecast Detail'!A76</f>
        <v>Expense</v>
      </c>
      <c r="C115" s="36" t="str">
        <f aca="false">'Forecast Detail'!C76</f>
        <v>500169</v>
      </c>
      <c r="D115" s="36" t="str">
        <f aca="false">'Forecast Detail'!B76</f>
        <v>2 Instructional Expenses</v>
      </c>
      <c r="E115" s="11" t="str">
        <f aca="false">IF(ISNUMBER(B$4),SUMIFS('Actuals Import'!$B$1:$B$600,'Actuals Import'!$H$1:$H$600,$C115,'Actuals Import'!$G$1:$G$600,1),"")</f>
        <v/>
      </c>
      <c r="F115" s="11" t="str">
        <f aca="false">IF(ISNUMBER(C$4),SUMIFS('Actuals Import'!$K$1:$K$600,'Actuals Import'!$Q$1:$Q$600,$C115,'Actuals Import'!$P$1:$P$600,1),"")</f>
        <v/>
      </c>
      <c r="G115" s="11" t="str">
        <f aca="false">IF(ISNUMBER(D$4),SUMIFS('Actuals Import'!$T$1:$T$600,'Actuals Import'!$Z$1:$Z$600,$C115,'Actuals Import'!$Y$1:$Y$600,1),"")</f>
        <v/>
      </c>
      <c r="H115" s="11" t="str">
        <f aca="false">IF(ISNUMBER(E$4),SUMIFS('Actuals Import'!$AC$1:$AC$600,'Actuals Import'!$AI$1:$AI$600,$C115,'Actuals Import'!$AH$1:$AH$600,1),"")</f>
        <v/>
      </c>
      <c r="I115" s="11" t="str">
        <f aca="false">IF(ISNUMBER(F$4),SUMIFS('Actuals Import'!$AL$1:$AL$600,'Actuals Import'!$AR$1:$AR$600,$C115,'Actuals Import'!$AQ$1:$AQ$600,1),"")</f>
        <v/>
      </c>
      <c r="J115" s="31" t="n">
        <f aca="false">'Forecast Detail'!G76</f>
        <v>0</v>
      </c>
      <c r="K115" s="11" t="str">
        <f aca="false">IF($B$3=0,"",INDEX($E115:$I115,MATCH($F$3,$B$4:$F$4,0)))</f>
        <v/>
      </c>
      <c r="L115" s="11" t="str">
        <f aca="false">IF($B$3=0,"",AVERAGE($E115:$I115))</f>
        <v/>
      </c>
      <c r="M115" s="11" t="str">
        <f aca="false">IF($B$3&lt;3,"",IFERROR(FORECAST($H$3,$E115:$I115,$B$4:$F$4),""))</f>
        <v/>
      </c>
      <c r="N115" s="11" t="str">
        <f aca="false">IF($B$3&lt;2,"",IFERROR(IF(INDEX($E115:$I115,MATCH($D$3,$B$4:$F$4,0))*K115&gt;0,K115*(K115/INDEX($E115:$I115,MATCH($D$3,$B$4:$F$4,0)))^(($H$3-$F$3)/($F$3-$D$3)),K115),K115))</f>
        <v/>
      </c>
      <c r="O115" s="20"/>
      <c r="P115" s="6" t="str">
        <f aca="false">IF(O115&lt;&gt;"",O115,Inputs!$C$90)</f>
        <v>Linear Trend</v>
      </c>
      <c r="Q115" s="37" t="str">
        <f aca="false">IF($B$3=0,"",IF(Inputs!$C$91&gt;0,ROUND(IF(ISNUMBER(IF(P115="Last Actual",K115,IF(P115="Average",L115,IF(P115="Linear Trend",M115,N115)))),IF(P115="Last Actual",K115,IF(P115="Average",L115,IF(P115="Linear Trend",M115,N115))),K115)/Inputs!$C$91,0)*Inputs!$C$91,IF(ISNUMBER(IF(P115="Last Actual",K115,IF(P115="Average",L115,IF(P115="Linear Trend",M115,N115)))),IF(P115="Last Actual",K115,IF(P115="Average",L115,IF(P115="Linear Trend",M115,N115))),K115)))</f>
        <v/>
      </c>
      <c r="R115" s="31" t="n">
        <f aca="false">'Forecast Detail'!H76</f>
        <v>0</v>
      </c>
      <c r="S115" s="8" t="str">
        <f aca="false">IF(Q115="","",IF(J115=0,"",Q115/J115-1))</f>
        <v/>
      </c>
      <c r="T115" s="38" t="str">
        <f aca="false">IF(S115="","",IF(ABS(S115)&gt;Inputs!$C$92,"REVIEW",""))</f>
        <v/>
      </c>
    </row>
    <row r="116" customFormat="false" ht="15" hidden="false" customHeight="false" outlineLevel="0" collapsed="false">
      <c r="A116" s="36" t="str">
        <f aca="false">'Forecast Detail'!D77</f>
        <v>500170 Copy and Duplication Paper DO NOT USE</v>
      </c>
      <c r="B116" s="36" t="str">
        <f aca="false">'Forecast Detail'!A77</f>
        <v>Expense</v>
      </c>
      <c r="C116" s="36" t="str">
        <f aca="false">'Forecast Detail'!C77</f>
        <v>500170</v>
      </c>
      <c r="D116" s="36" t="str">
        <f aca="false">'Forecast Detail'!B77</f>
        <v>2 Instructional Expenses</v>
      </c>
      <c r="E116" s="11" t="str">
        <f aca="false">IF(ISNUMBER(B$4),SUMIFS('Actuals Import'!$B$1:$B$600,'Actuals Import'!$H$1:$H$600,$C116,'Actuals Import'!$G$1:$G$600,1),"")</f>
        <v/>
      </c>
      <c r="F116" s="11" t="str">
        <f aca="false">IF(ISNUMBER(C$4),SUMIFS('Actuals Import'!$K$1:$K$600,'Actuals Import'!$Q$1:$Q$600,$C116,'Actuals Import'!$P$1:$P$600,1),"")</f>
        <v/>
      </c>
      <c r="G116" s="11" t="str">
        <f aca="false">IF(ISNUMBER(D$4),SUMIFS('Actuals Import'!$T$1:$T$600,'Actuals Import'!$Z$1:$Z$600,$C116,'Actuals Import'!$Y$1:$Y$600,1),"")</f>
        <v/>
      </c>
      <c r="H116" s="11" t="str">
        <f aca="false">IF(ISNUMBER(E$4),SUMIFS('Actuals Import'!$AC$1:$AC$600,'Actuals Import'!$AI$1:$AI$600,$C116,'Actuals Import'!$AH$1:$AH$600,1),"")</f>
        <v/>
      </c>
      <c r="I116" s="11" t="str">
        <f aca="false">IF(ISNUMBER(F$4),SUMIFS('Actuals Import'!$AL$1:$AL$600,'Actuals Import'!$AR$1:$AR$600,$C116,'Actuals Import'!$AQ$1:$AQ$600,1),"")</f>
        <v/>
      </c>
      <c r="J116" s="31" t="n">
        <f aca="false">'Forecast Detail'!G77</f>
        <v>0</v>
      </c>
      <c r="K116" s="11" t="str">
        <f aca="false">IF($B$3=0,"",INDEX($E116:$I116,MATCH($F$3,$B$4:$F$4,0)))</f>
        <v/>
      </c>
      <c r="L116" s="11" t="str">
        <f aca="false">IF($B$3=0,"",AVERAGE($E116:$I116))</f>
        <v/>
      </c>
      <c r="M116" s="11" t="str">
        <f aca="false">IF($B$3&lt;3,"",IFERROR(FORECAST($H$3,$E116:$I116,$B$4:$F$4),""))</f>
        <v/>
      </c>
      <c r="N116" s="11" t="str">
        <f aca="false">IF($B$3&lt;2,"",IFERROR(IF(INDEX($E116:$I116,MATCH($D$3,$B$4:$F$4,0))*K116&gt;0,K116*(K116/INDEX($E116:$I116,MATCH($D$3,$B$4:$F$4,0)))^(($H$3-$F$3)/($F$3-$D$3)),K116),K116))</f>
        <v/>
      </c>
      <c r="O116" s="20"/>
      <c r="P116" s="6" t="str">
        <f aca="false">IF(O116&lt;&gt;"",O116,Inputs!$C$90)</f>
        <v>Linear Trend</v>
      </c>
      <c r="Q116" s="37" t="str">
        <f aca="false">IF($B$3=0,"",IF(Inputs!$C$91&gt;0,ROUND(IF(ISNUMBER(IF(P116="Last Actual",K116,IF(P116="Average",L116,IF(P116="Linear Trend",M116,N116)))),IF(P116="Last Actual",K116,IF(P116="Average",L116,IF(P116="Linear Trend",M116,N116))),K116)/Inputs!$C$91,0)*Inputs!$C$91,IF(ISNUMBER(IF(P116="Last Actual",K116,IF(P116="Average",L116,IF(P116="Linear Trend",M116,N116)))),IF(P116="Last Actual",K116,IF(P116="Average",L116,IF(P116="Linear Trend",M116,N116))),K116)))</f>
        <v/>
      </c>
      <c r="R116" s="31" t="n">
        <f aca="false">'Forecast Detail'!H77</f>
        <v>0</v>
      </c>
      <c r="S116" s="8" t="str">
        <f aca="false">IF(Q116="","",IF(J116=0,"",Q116/J116-1))</f>
        <v/>
      </c>
      <c r="T116" s="38" t="str">
        <f aca="false">IF(S116="","",IF(ABS(S116)&gt;Inputs!$C$92,"REVIEW",""))</f>
        <v/>
      </c>
    </row>
    <row r="117" customFormat="false" ht="15" hidden="false" customHeight="false" outlineLevel="0" collapsed="false">
      <c r="A117" s="36" t="str">
        <f aca="false">'Forecast Detail'!D78</f>
        <v>500171 Supplies Teachers Lounge</v>
      </c>
      <c r="B117" s="36" t="str">
        <f aca="false">'Forecast Detail'!A78</f>
        <v>Expense</v>
      </c>
      <c r="C117" s="36" t="str">
        <f aca="false">'Forecast Detail'!C78</f>
        <v>500171</v>
      </c>
      <c r="D117" s="36" t="str">
        <f aca="false">'Forecast Detail'!B78</f>
        <v>2 Instructional Expenses</v>
      </c>
      <c r="E117" s="11" t="str">
        <f aca="false">IF(ISNUMBER(B$4),SUMIFS('Actuals Import'!$B$1:$B$600,'Actuals Import'!$H$1:$H$600,$C117,'Actuals Import'!$G$1:$G$600,1),"")</f>
        <v/>
      </c>
      <c r="F117" s="11" t="str">
        <f aca="false">IF(ISNUMBER(C$4),SUMIFS('Actuals Import'!$K$1:$K$600,'Actuals Import'!$Q$1:$Q$600,$C117,'Actuals Import'!$P$1:$P$600,1),"")</f>
        <v/>
      </c>
      <c r="G117" s="11" t="str">
        <f aca="false">IF(ISNUMBER(D$4),SUMIFS('Actuals Import'!$T$1:$T$600,'Actuals Import'!$Z$1:$Z$600,$C117,'Actuals Import'!$Y$1:$Y$600,1),"")</f>
        <v/>
      </c>
      <c r="H117" s="11" t="str">
        <f aca="false">IF(ISNUMBER(E$4),SUMIFS('Actuals Import'!$AC$1:$AC$600,'Actuals Import'!$AI$1:$AI$600,$C117,'Actuals Import'!$AH$1:$AH$600,1),"")</f>
        <v/>
      </c>
      <c r="I117" s="11" t="str">
        <f aca="false">IF(ISNUMBER(F$4),SUMIFS('Actuals Import'!$AL$1:$AL$600,'Actuals Import'!$AR$1:$AR$600,$C117,'Actuals Import'!$AQ$1:$AQ$600,1),"")</f>
        <v/>
      </c>
      <c r="J117" s="31" t="n">
        <f aca="false">'Forecast Detail'!G78</f>
        <v>0</v>
      </c>
      <c r="K117" s="11" t="str">
        <f aca="false">IF($B$3=0,"",INDEX($E117:$I117,MATCH($F$3,$B$4:$F$4,0)))</f>
        <v/>
      </c>
      <c r="L117" s="11" t="str">
        <f aca="false">IF($B$3=0,"",AVERAGE($E117:$I117))</f>
        <v/>
      </c>
      <c r="M117" s="11" t="str">
        <f aca="false">IF($B$3&lt;3,"",IFERROR(FORECAST($H$3,$E117:$I117,$B$4:$F$4),""))</f>
        <v/>
      </c>
      <c r="N117" s="11" t="str">
        <f aca="false">IF($B$3&lt;2,"",IFERROR(IF(INDEX($E117:$I117,MATCH($D$3,$B$4:$F$4,0))*K117&gt;0,K117*(K117/INDEX($E117:$I117,MATCH($D$3,$B$4:$F$4,0)))^(($H$3-$F$3)/($F$3-$D$3)),K117),K117))</f>
        <v/>
      </c>
      <c r="O117" s="20"/>
      <c r="P117" s="6" t="str">
        <f aca="false">IF(O117&lt;&gt;"",O117,Inputs!$C$90)</f>
        <v>Linear Trend</v>
      </c>
      <c r="Q117" s="37" t="str">
        <f aca="false">IF($B$3=0,"",IF(Inputs!$C$91&gt;0,ROUND(IF(ISNUMBER(IF(P117="Last Actual",K117,IF(P117="Average",L117,IF(P117="Linear Trend",M117,N117)))),IF(P117="Last Actual",K117,IF(P117="Average",L117,IF(P117="Linear Trend",M117,N117))),K117)/Inputs!$C$91,0)*Inputs!$C$91,IF(ISNUMBER(IF(P117="Last Actual",K117,IF(P117="Average",L117,IF(P117="Linear Trend",M117,N117)))),IF(P117="Last Actual",K117,IF(P117="Average",L117,IF(P117="Linear Trend",M117,N117))),K117)))</f>
        <v/>
      </c>
      <c r="R117" s="31" t="n">
        <f aca="false">'Forecast Detail'!H78</f>
        <v>0</v>
      </c>
      <c r="S117" s="8" t="str">
        <f aca="false">IF(Q117="","",IF(J117=0,"",Q117/J117-1))</f>
        <v/>
      </c>
      <c r="T117" s="38" t="str">
        <f aca="false">IF(S117="","",IF(ABS(S117)&gt;Inputs!$C$92,"REVIEW",""))</f>
        <v/>
      </c>
    </row>
    <row r="118" customFormat="false" ht="15" hidden="false" customHeight="false" outlineLevel="0" collapsed="false">
      <c r="A118" s="36" t="str">
        <f aca="false">'Forecast Detail'!D79</f>
        <v>Band Activities</v>
      </c>
      <c r="B118" s="36" t="str">
        <f aca="false">'Forecast Detail'!A79</f>
        <v>Expense</v>
      </c>
      <c r="C118" s="36" t="str">
        <f aca="false">'Forecast Detail'!C79</f>
        <v>Band Activities</v>
      </c>
      <c r="D118" s="36" t="str">
        <f aca="false">'Forecast Detail'!B79</f>
        <v>2 Instructional Expenses</v>
      </c>
      <c r="E118" s="11" t="str">
        <f aca="false">IF(ISNUMBER(B$4),SUMIFS('Actuals Import'!$B$1:$B$600,'Actuals Import'!$H$1:$H$600,$C118,'Actuals Import'!$G$1:$G$600,1),"")</f>
        <v/>
      </c>
      <c r="F118" s="11" t="str">
        <f aca="false">IF(ISNUMBER(C$4),SUMIFS('Actuals Import'!$K$1:$K$600,'Actuals Import'!$Q$1:$Q$600,$C118,'Actuals Import'!$P$1:$P$600,1),"")</f>
        <v/>
      </c>
      <c r="G118" s="11" t="str">
        <f aca="false">IF(ISNUMBER(D$4),SUMIFS('Actuals Import'!$T$1:$T$600,'Actuals Import'!$Z$1:$Z$600,$C118,'Actuals Import'!$Y$1:$Y$600,1),"")</f>
        <v/>
      </c>
      <c r="H118" s="11" t="str">
        <f aca="false">IF(ISNUMBER(E$4),SUMIFS('Actuals Import'!$AC$1:$AC$600,'Actuals Import'!$AI$1:$AI$600,$C118,'Actuals Import'!$AH$1:$AH$600,1),"")</f>
        <v/>
      </c>
      <c r="I118" s="11" t="str">
        <f aca="false">IF(ISNUMBER(F$4),SUMIFS('Actuals Import'!$AL$1:$AL$600,'Actuals Import'!$AR$1:$AR$600,$C118,'Actuals Import'!$AQ$1:$AQ$600,1),"")</f>
        <v/>
      </c>
      <c r="J118" s="31" t="n">
        <f aca="false">'Forecast Detail'!G79</f>
        <v>3000</v>
      </c>
      <c r="K118" s="11" t="str">
        <f aca="false">IF($B$3=0,"",INDEX($E118:$I118,MATCH($F$3,$B$4:$F$4,0)))</f>
        <v/>
      </c>
      <c r="L118" s="11" t="str">
        <f aca="false">IF($B$3=0,"",AVERAGE($E118:$I118))</f>
        <v/>
      </c>
      <c r="M118" s="11" t="str">
        <f aca="false">IF($B$3&lt;3,"",IFERROR(FORECAST($H$3,$E118:$I118,$B$4:$F$4),""))</f>
        <v/>
      </c>
      <c r="N118" s="11" t="str">
        <f aca="false">IF($B$3&lt;2,"",IFERROR(IF(INDEX($E118:$I118,MATCH($D$3,$B$4:$F$4,0))*K118&gt;0,K118*(K118/INDEX($E118:$I118,MATCH($D$3,$B$4:$F$4,0)))^(($H$3-$F$3)/($F$3-$D$3)),K118),K118))</f>
        <v/>
      </c>
      <c r="O118" s="20"/>
      <c r="P118" s="6" t="str">
        <f aca="false">IF(O118&lt;&gt;"",O118,Inputs!$C$90)</f>
        <v>Linear Trend</v>
      </c>
      <c r="Q118" s="37" t="str">
        <f aca="false">IF($B$3=0,"",IF(Inputs!$C$91&gt;0,ROUND(IF(ISNUMBER(IF(P118="Last Actual",K118,IF(P118="Average",L118,IF(P118="Linear Trend",M118,N118)))),IF(P118="Last Actual",K118,IF(P118="Average",L118,IF(P118="Linear Trend",M118,N118))),K118)/Inputs!$C$91,0)*Inputs!$C$91,IF(ISNUMBER(IF(P118="Last Actual",K118,IF(P118="Average",L118,IF(P118="Linear Trend",M118,N118)))),IF(P118="Last Actual",K118,IF(P118="Average",L118,IF(P118="Linear Trend",M118,N118))),K118)))</f>
        <v/>
      </c>
      <c r="R118" s="31" t="n">
        <f aca="false">'Forecast Detail'!H79</f>
        <v>3090</v>
      </c>
      <c r="S118" s="8" t="str">
        <f aca="false">IF(Q118="","",IF(J118=0,"",Q118/J118-1))</f>
        <v/>
      </c>
      <c r="T118" s="38" t="str">
        <f aca="false">IF(S118="","",IF(ABS(S118)&gt;Inputs!$C$92,"REVIEW",""))</f>
        <v/>
      </c>
    </row>
    <row r="119" customFormat="false" ht="15" hidden="false" customHeight="false" outlineLevel="0" collapsed="false">
      <c r="A119" s="36" t="str">
        <f aca="false">'Forecast Detail'!D80</f>
        <v>Clubs</v>
      </c>
      <c r="B119" s="36" t="str">
        <f aca="false">'Forecast Detail'!A80</f>
        <v>Expense</v>
      </c>
      <c r="C119" s="36" t="str">
        <f aca="false">'Forecast Detail'!C80</f>
        <v>Clubs</v>
      </c>
      <c r="D119" s="36" t="str">
        <f aca="false">'Forecast Detail'!B80</f>
        <v>2 Instructional Expenses</v>
      </c>
      <c r="E119" s="11" t="str">
        <f aca="false">IF(ISNUMBER(B$4),SUMIFS('Actuals Import'!$B$1:$B$600,'Actuals Import'!$H$1:$H$600,$C119,'Actuals Import'!$G$1:$G$600,1),"")</f>
        <v/>
      </c>
      <c r="F119" s="11" t="str">
        <f aca="false">IF(ISNUMBER(C$4),SUMIFS('Actuals Import'!$K$1:$K$600,'Actuals Import'!$Q$1:$Q$600,$C119,'Actuals Import'!$P$1:$P$600,1),"")</f>
        <v/>
      </c>
      <c r="G119" s="11" t="str">
        <f aca="false">IF(ISNUMBER(D$4),SUMIFS('Actuals Import'!$T$1:$T$600,'Actuals Import'!$Z$1:$Z$600,$C119,'Actuals Import'!$Y$1:$Y$600,1),"")</f>
        <v/>
      </c>
      <c r="H119" s="11" t="str">
        <f aca="false">IF(ISNUMBER(E$4),SUMIFS('Actuals Import'!$AC$1:$AC$600,'Actuals Import'!$AI$1:$AI$600,$C119,'Actuals Import'!$AH$1:$AH$600,1),"")</f>
        <v/>
      </c>
      <c r="I119" s="11" t="str">
        <f aca="false">IF(ISNUMBER(F$4),SUMIFS('Actuals Import'!$AL$1:$AL$600,'Actuals Import'!$AR$1:$AR$600,$C119,'Actuals Import'!$AQ$1:$AQ$600,1),"")</f>
        <v/>
      </c>
      <c r="J119" s="31" t="n">
        <f aca="false">'Forecast Detail'!G80</f>
        <v>2000</v>
      </c>
      <c r="K119" s="11" t="str">
        <f aca="false">IF($B$3=0,"",INDEX($E119:$I119,MATCH($F$3,$B$4:$F$4,0)))</f>
        <v/>
      </c>
      <c r="L119" s="11" t="str">
        <f aca="false">IF($B$3=0,"",AVERAGE($E119:$I119))</f>
        <v/>
      </c>
      <c r="M119" s="11" t="str">
        <f aca="false">IF($B$3&lt;3,"",IFERROR(FORECAST($H$3,$E119:$I119,$B$4:$F$4),""))</f>
        <v/>
      </c>
      <c r="N119" s="11" t="str">
        <f aca="false">IF($B$3&lt;2,"",IFERROR(IF(INDEX($E119:$I119,MATCH($D$3,$B$4:$F$4,0))*K119&gt;0,K119*(K119/INDEX($E119:$I119,MATCH($D$3,$B$4:$F$4,0)))^(($H$3-$F$3)/($F$3-$D$3)),K119),K119))</f>
        <v/>
      </c>
      <c r="O119" s="20"/>
      <c r="P119" s="6" t="str">
        <f aca="false">IF(O119&lt;&gt;"",O119,Inputs!$C$90)</f>
        <v>Linear Trend</v>
      </c>
      <c r="Q119" s="37" t="str">
        <f aca="false">IF($B$3=0,"",IF(Inputs!$C$91&gt;0,ROUND(IF(ISNUMBER(IF(P119="Last Actual",K119,IF(P119="Average",L119,IF(P119="Linear Trend",M119,N119)))),IF(P119="Last Actual",K119,IF(P119="Average",L119,IF(P119="Linear Trend",M119,N119))),K119)/Inputs!$C$91,0)*Inputs!$C$91,IF(ISNUMBER(IF(P119="Last Actual",K119,IF(P119="Average",L119,IF(P119="Linear Trend",M119,N119)))),IF(P119="Last Actual",K119,IF(P119="Average",L119,IF(P119="Linear Trend",M119,N119))),K119)))</f>
        <v/>
      </c>
      <c r="R119" s="31" t="n">
        <f aca="false">'Forecast Detail'!H80</f>
        <v>2060</v>
      </c>
      <c r="S119" s="8" t="str">
        <f aca="false">IF(Q119="","",IF(J119=0,"",Q119/J119-1))</f>
        <v/>
      </c>
      <c r="T119" s="38" t="str">
        <f aca="false">IF(S119="","",IF(ABS(S119)&gt;Inputs!$C$92,"REVIEW",""))</f>
        <v/>
      </c>
    </row>
    <row r="120" customFormat="false" ht="15" hidden="false" customHeight="false" outlineLevel="0" collapsed="false">
      <c r="A120" s="36" t="str">
        <f aca="false">'Forecast Detail'!D81</f>
        <v>Combined Libraries</v>
      </c>
      <c r="B120" s="36" t="str">
        <f aca="false">'Forecast Detail'!A81</f>
        <v>Expense</v>
      </c>
      <c r="C120" s="36" t="str">
        <f aca="false">'Forecast Detail'!C81</f>
        <v>Combined Libraries</v>
      </c>
      <c r="D120" s="36" t="str">
        <f aca="false">'Forecast Detail'!B81</f>
        <v>2 Instructional Expenses</v>
      </c>
      <c r="E120" s="11" t="str">
        <f aca="false">IF(ISNUMBER(B$4),SUMIFS('Actuals Import'!$B$1:$B$600,'Actuals Import'!$H$1:$H$600,$C120,'Actuals Import'!$G$1:$G$600,1),"")</f>
        <v/>
      </c>
      <c r="F120" s="11" t="str">
        <f aca="false">IF(ISNUMBER(C$4),SUMIFS('Actuals Import'!$K$1:$K$600,'Actuals Import'!$Q$1:$Q$600,$C120,'Actuals Import'!$P$1:$P$600,1),"")</f>
        <v/>
      </c>
      <c r="G120" s="11" t="str">
        <f aca="false">IF(ISNUMBER(D$4),SUMIFS('Actuals Import'!$T$1:$T$600,'Actuals Import'!$Z$1:$Z$600,$C120,'Actuals Import'!$Y$1:$Y$600,1),"")</f>
        <v/>
      </c>
      <c r="H120" s="11" t="str">
        <f aca="false">IF(ISNUMBER(E$4),SUMIFS('Actuals Import'!$AC$1:$AC$600,'Actuals Import'!$AI$1:$AI$600,$C120,'Actuals Import'!$AH$1:$AH$600,1),"")</f>
        <v/>
      </c>
      <c r="I120" s="11" t="str">
        <f aca="false">IF(ISNUMBER(F$4),SUMIFS('Actuals Import'!$AL$1:$AL$600,'Actuals Import'!$AR$1:$AR$600,$C120,'Actuals Import'!$AQ$1:$AQ$600,1),"")</f>
        <v/>
      </c>
      <c r="J120" s="31" t="n">
        <f aca="false">'Forecast Detail'!G81</f>
        <v>35000</v>
      </c>
      <c r="K120" s="11" t="str">
        <f aca="false">IF($B$3=0,"",INDEX($E120:$I120,MATCH($F$3,$B$4:$F$4,0)))</f>
        <v/>
      </c>
      <c r="L120" s="11" t="str">
        <f aca="false">IF($B$3=0,"",AVERAGE($E120:$I120))</f>
        <v/>
      </c>
      <c r="M120" s="11" t="str">
        <f aca="false">IF($B$3&lt;3,"",IFERROR(FORECAST($H$3,$E120:$I120,$B$4:$F$4),""))</f>
        <v/>
      </c>
      <c r="N120" s="11" t="str">
        <f aca="false">IF($B$3&lt;2,"",IFERROR(IF(INDEX($E120:$I120,MATCH($D$3,$B$4:$F$4,0))*K120&gt;0,K120*(K120/INDEX($E120:$I120,MATCH($D$3,$B$4:$F$4,0)))^(($H$3-$F$3)/($F$3-$D$3)),K120),K120))</f>
        <v/>
      </c>
      <c r="O120" s="20"/>
      <c r="P120" s="6" t="str">
        <f aca="false">IF(O120&lt;&gt;"",O120,Inputs!$C$90)</f>
        <v>Linear Trend</v>
      </c>
      <c r="Q120" s="37" t="str">
        <f aca="false">IF($B$3=0,"",IF(Inputs!$C$91&gt;0,ROUND(IF(ISNUMBER(IF(P120="Last Actual",K120,IF(P120="Average",L120,IF(P120="Linear Trend",M120,N120)))),IF(P120="Last Actual",K120,IF(P120="Average",L120,IF(P120="Linear Trend",M120,N120))),K120)/Inputs!$C$91,0)*Inputs!$C$91,IF(ISNUMBER(IF(P120="Last Actual",K120,IF(P120="Average",L120,IF(P120="Linear Trend",M120,N120)))),IF(P120="Last Actual",K120,IF(P120="Average",L120,IF(P120="Linear Trend",M120,N120))),K120)))</f>
        <v/>
      </c>
      <c r="R120" s="31" t="n">
        <f aca="false">'Forecast Detail'!H81</f>
        <v>36050</v>
      </c>
      <c r="S120" s="8" t="str">
        <f aca="false">IF(Q120="","",IF(J120=0,"",Q120/J120-1))</f>
        <v/>
      </c>
      <c r="T120" s="38" t="str">
        <f aca="false">IF(S120="","",IF(ABS(S120)&gt;Inputs!$C$92,"REVIEW",""))</f>
        <v/>
      </c>
    </row>
    <row r="121" customFormat="false" ht="15" hidden="false" customHeight="false" outlineLevel="0" collapsed="false">
      <c r="A121" s="36" t="str">
        <f aca="false">'Forecast Detail'!D82</f>
        <v>Drama Expenses</v>
      </c>
      <c r="B121" s="36" t="str">
        <f aca="false">'Forecast Detail'!A82</f>
        <v>Expense</v>
      </c>
      <c r="C121" s="36" t="str">
        <f aca="false">'Forecast Detail'!C82</f>
        <v>Drama Expenses</v>
      </c>
      <c r="D121" s="36" t="str">
        <f aca="false">'Forecast Detail'!B82</f>
        <v>2 Instructional Expenses</v>
      </c>
      <c r="E121" s="11" t="str">
        <f aca="false">IF(ISNUMBER(B$4),SUMIFS('Actuals Import'!$B$1:$B$600,'Actuals Import'!$H$1:$H$600,$C121,'Actuals Import'!$G$1:$G$600,1),"")</f>
        <v/>
      </c>
      <c r="F121" s="11" t="str">
        <f aca="false">IF(ISNUMBER(C$4),SUMIFS('Actuals Import'!$K$1:$K$600,'Actuals Import'!$Q$1:$Q$600,$C121,'Actuals Import'!$P$1:$P$600,1),"")</f>
        <v/>
      </c>
      <c r="G121" s="11" t="str">
        <f aca="false">IF(ISNUMBER(D$4),SUMIFS('Actuals Import'!$T$1:$T$600,'Actuals Import'!$Z$1:$Z$600,$C121,'Actuals Import'!$Y$1:$Y$600,1),"")</f>
        <v/>
      </c>
      <c r="H121" s="11" t="str">
        <f aca="false">IF(ISNUMBER(E$4),SUMIFS('Actuals Import'!$AC$1:$AC$600,'Actuals Import'!$AI$1:$AI$600,$C121,'Actuals Import'!$AH$1:$AH$600,1),"")</f>
        <v/>
      </c>
      <c r="I121" s="11" t="str">
        <f aca="false">IF(ISNUMBER(F$4),SUMIFS('Actuals Import'!$AL$1:$AL$600,'Actuals Import'!$AR$1:$AR$600,$C121,'Actuals Import'!$AQ$1:$AQ$600,1),"")</f>
        <v/>
      </c>
      <c r="J121" s="31" t="n">
        <f aca="false">'Forecast Detail'!G82</f>
        <v>1000</v>
      </c>
      <c r="K121" s="11" t="str">
        <f aca="false">IF($B$3=0,"",INDEX($E121:$I121,MATCH($F$3,$B$4:$F$4,0)))</f>
        <v/>
      </c>
      <c r="L121" s="11" t="str">
        <f aca="false">IF($B$3=0,"",AVERAGE($E121:$I121))</f>
        <v/>
      </c>
      <c r="M121" s="11" t="str">
        <f aca="false">IF($B$3&lt;3,"",IFERROR(FORECAST($H$3,$E121:$I121,$B$4:$F$4),""))</f>
        <v/>
      </c>
      <c r="N121" s="11" t="str">
        <f aca="false">IF($B$3&lt;2,"",IFERROR(IF(INDEX($E121:$I121,MATCH($D$3,$B$4:$F$4,0))*K121&gt;0,K121*(K121/INDEX($E121:$I121,MATCH($D$3,$B$4:$F$4,0)))^(($H$3-$F$3)/($F$3-$D$3)),K121),K121))</f>
        <v/>
      </c>
      <c r="O121" s="20"/>
      <c r="P121" s="6" t="str">
        <f aca="false">IF(O121&lt;&gt;"",O121,Inputs!$C$90)</f>
        <v>Linear Trend</v>
      </c>
      <c r="Q121" s="37" t="str">
        <f aca="false">IF($B$3=0,"",IF(Inputs!$C$91&gt;0,ROUND(IF(ISNUMBER(IF(P121="Last Actual",K121,IF(P121="Average",L121,IF(P121="Linear Trend",M121,N121)))),IF(P121="Last Actual",K121,IF(P121="Average",L121,IF(P121="Linear Trend",M121,N121))),K121)/Inputs!$C$91,0)*Inputs!$C$91,IF(ISNUMBER(IF(P121="Last Actual",K121,IF(P121="Average",L121,IF(P121="Linear Trend",M121,N121)))),IF(P121="Last Actual",K121,IF(P121="Average",L121,IF(P121="Linear Trend",M121,N121))),K121)))</f>
        <v/>
      </c>
      <c r="R121" s="31" t="n">
        <f aca="false">'Forecast Detail'!H82</f>
        <v>1030</v>
      </c>
      <c r="S121" s="8" t="str">
        <f aca="false">IF(Q121="","",IF(J121=0,"",Q121/J121-1))</f>
        <v/>
      </c>
      <c r="T121" s="38" t="str">
        <f aca="false">IF(S121="","",IF(ABS(S121)&gt;Inputs!$C$92,"REVIEW",""))</f>
        <v/>
      </c>
    </row>
    <row r="122" customFormat="false" ht="15" hidden="false" customHeight="false" outlineLevel="0" collapsed="false">
      <c r="A122" s="36" t="str">
        <f aca="false">'Forecast Detail'!D83</f>
        <v>Fine Arts</v>
      </c>
      <c r="B122" s="36" t="str">
        <f aca="false">'Forecast Detail'!A83</f>
        <v>Expense</v>
      </c>
      <c r="C122" s="36" t="str">
        <f aca="false">'Forecast Detail'!C83</f>
        <v>Fine Arts</v>
      </c>
      <c r="D122" s="36" t="str">
        <f aca="false">'Forecast Detail'!B83</f>
        <v>2 Instructional Expenses</v>
      </c>
      <c r="E122" s="11" t="str">
        <f aca="false">IF(ISNUMBER(B$4),SUMIFS('Actuals Import'!$B$1:$B$600,'Actuals Import'!$H$1:$H$600,$C122,'Actuals Import'!$G$1:$G$600,1),"")</f>
        <v/>
      </c>
      <c r="F122" s="11" t="str">
        <f aca="false">IF(ISNUMBER(C$4),SUMIFS('Actuals Import'!$K$1:$K$600,'Actuals Import'!$Q$1:$Q$600,$C122,'Actuals Import'!$P$1:$P$600,1),"")</f>
        <v/>
      </c>
      <c r="G122" s="11" t="str">
        <f aca="false">IF(ISNUMBER(D$4),SUMIFS('Actuals Import'!$T$1:$T$600,'Actuals Import'!$Z$1:$Z$600,$C122,'Actuals Import'!$Y$1:$Y$600,1),"")</f>
        <v/>
      </c>
      <c r="H122" s="11" t="str">
        <f aca="false">IF(ISNUMBER(E$4),SUMIFS('Actuals Import'!$AC$1:$AC$600,'Actuals Import'!$AI$1:$AI$600,$C122,'Actuals Import'!$AH$1:$AH$600,1),"")</f>
        <v/>
      </c>
      <c r="I122" s="11" t="str">
        <f aca="false">IF(ISNUMBER(F$4),SUMIFS('Actuals Import'!$AL$1:$AL$600,'Actuals Import'!$AR$1:$AR$600,$C122,'Actuals Import'!$AQ$1:$AQ$600,1),"")</f>
        <v/>
      </c>
      <c r="J122" s="31" t="n">
        <f aca="false">'Forecast Detail'!G83</f>
        <v>15000</v>
      </c>
      <c r="K122" s="11" t="str">
        <f aca="false">IF($B$3=0,"",INDEX($E122:$I122,MATCH($F$3,$B$4:$F$4,0)))</f>
        <v/>
      </c>
      <c r="L122" s="11" t="str">
        <f aca="false">IF($B$3=0,"",AVERAGE($E122:$I122))</f>
        <v/>
      </c>
      <c r="M122" s="11" t="str">
        <f aca="false">IF($B$3&lt;3,"",IFERROR(FORECAST($H$3,$E122:$I122,$B$4:$F$4),""))</f>
        <v/>
      </c>
      <c r="N122" s="11" t="str">
        <f aca="false">IF($B$3&lt;2,"",IFERROR(IF(INDEX($E122:$I122,MATCH($D$3,$B$4:$F$4,0))*K122&gt;0,K122*(K122/INDEX($E122:$I122,MATCH($D$3,$B$4:$F$4,0)))^(($H$3-$F$3)/($F$3-$D$3)),K122),K122))</f>
        <v/>
      </c>
      <c r="O122" s="20"/>
      <c r="P122" s="6" t="str">
        <f aca="false">IF(O122&lt;&gt;"",O122,Inputs!$C$90)</f>
        <v>Linear Trend</v>
      </c>
      <c r="Q122" s="37" t="str">
        <f aca="false">IF($B$3=0,"",IF(Inputs!$C$91&gt;0,ROUND(IF(ISNUMBER(IF(P122="Last Actual",K122,IF(P122="Average",L122,IF(P122="Linear Trend",M122,N122)))),IF(P122="Last Actual",K122,IF(P122="Average",L122,IF(P122="Linear Trend",M122,N122))),K122)/Inputs!$C$91,0)*Inputs!$C$91,IF(ISNUMBER(IF(P122="Last Actual",K122,IF(P122="Average",L122,IF(P122="Linear Trend",M122,N122)))),IF(P122="Last Actual",K122,IF(P122="Average",L122,IF(P122="Linear Trend",M122,N122))),K122)))</f>
        <v/>
      </c>
      <c r="R122" s="31" t="n">
        <f aca="false">'Forecast Detail'!H83</f>
        <v>15450</v>
      </c>
      <c r="S122" s="8" t="str">
        <f aca="false">IF(Q122="","",IF(J122=0,"",Q122/J122-1))</f>
        <v/>
      </c>
      <c r="T122" s="38" t="str">
        <f aca="false">IF(S122="","",IF(ABS(S122)&gt;Inputs!$C$92,"REVIEW",""))</f>
        <v/>
      </c>
    </row>
    <row r="123" customFormat="false" ht="15" hidden="false" customHeight="false" outlineLevel="0" collapsed="false">
      <c r="A123" s="36" t="str">
        <f aca="false">'Forecast Detail'!D84</f>
        <v>500025 In-Service Expenses</v>
      </c>
      <c r="B123" s="36" t="str">
        <f aca="false">'Forecast Detail'!A84</f>
        <v>Expense</v>
      </c>
      <c r="C123" s="36" t="str">
        <f aca="false">'Forecast Detail'!C84</f>
        <v>500025</v>
      </c>
      <c r="D123" s="36" t="str">
        <f aca="false">'Forecast Detail'!B84</f>
        <v>2 Instructional Expenses</v>
      </c>
      <c r="E123" s="11" t="str">
        <f aca="false">IF(ISNUMBER(B$4),SUMIFS('Actuals Import'!$B$1:$B$600,'Actuals Import'!$H$1:$H$600,$C123,'Actuals Import'!$G$1:$G$600,1),"")</f>
        <v/>
      </c>
      <c r="F123" s="11" t="str">
        <f aca="false">IF(ISNUMBER(C$4),SUMIFS('Actuals Import'!$K$1:$K$600,'Actuals Import'!$Q$1:$Q$600,$C123,'Actuals Import'!$P$1:$P$600,1),"")</f>
        <v/>
      </c>
      <c r="G123" s="11" t="str">
        <f aca="false">IF(ISNUMBER(D$4),SUMIFS('Actuals Import'!$T$1:$T$600,'Actuals Import'!$Z$1:$Z$600,$C123,'Actuals Import'!$Y$1:$Y$600,1),"")</f>
        <v/>
      </c>
      <c r="H123" s="11" t="str">
        <f aca="false">IF(ISNUMBER(E$4),SUMIFS('Actuals Import'!$AC$1:$AC$600,'Actuals Import'!$AI$1:$AI$600,$C123,'Actuals Import'!$AH$1:$AH$600,1),"")</f>
        <v/>
      </c>
      <c r="I123" s="11" t="str">
        <f aca="false">IF(ISNUMBER(F$4),SUMIFS('Actuals Import'!$AL$1:$AL$600,'Actuals Import'!$AR$1:$AR$600,$C123,'Actuals Import'!$AQ$1:$AQ$600,1),"")</f>
        <v/>
      </c>
      <c r="J123" s="31" t="n">
        <f aca="false">'Forecast Detail'!G84</f>
        <v>5000</v>
      </c>
      <c r="K123" s="11" t="str">
        <f aca="false">IF($B$3=0,"",INDEX($E123:$I123,MATCH($F$3,$B$4:$F$4,0)))</f>
        <v/>
      </c>
      <c r="L123" s="11" t="str">
        <f aca="false">IF($B$3=0,"",AVERAGE($E123:$I123))</f>
        <v/>
      </c>
      <c r="M123" s="11" t="str">
        <f aca="false">IF($B$3&lt;3,"",IFERROR(FORECAST($H$3,$E123:$I123,$B$4:$F$4),""))</f>
        <v/>
      </c>
      <c r="N123" s="11" t="str">
        <f aca="false">IF($B$3&lt;2,"",IFERROR(IF(INDEX($E123:$I123,MATCH($D$3,$B$4:$F$4,0))*K123&gt;0,K123*(K123/INDEX($E123:$I123,MATCH($D$3,$B$4:$F$4,0)))^(($H$3-$F$3)/($F$3-$D$3)),K123),K123))</f>
        <v/>
      </c>
      <c r="O123" s="20"/>
      <c r="P123" s="6" t="str">
        <f aca="false">IF(O123&lt;&gt;"",O123,Inputs!$C$90)</f>
        <v>Linear Trend</v>
      </c>
      <c r="Q123" s="37" t="str">
        <f aca="false">IF($B$3=0,"",IF(Inputs!$C$91&gt;0,ROUND(IF(ISNUMBER(IF(P123="Last Actual",K123,IF(P123="Average",L123,IF(P123="Linear Trend",M123,N123)))),IF(P123="Last Actual",K123,IF(P123="Average",L123,IF(P123="Linear Trend",M123,N123))),K123)/Inputs!$C$91,0)*Inputs!$C$91,IF(ISNUMBER(IF(P123="Last Actual",K123,IF(P123="Average",L123,IF(P123="Linear Trend",M123,N123)))),IF(P123="Last Actual",K123,IF(P123="Average",L123,IF(P123="Linear Trend",M123,N123))),K123)))</f>
        <v/>
      </c>
      <c r="R123" s="31" t="n">
        <f aca="false">'Forecast Detail'!H84</f>
        <v>5150</v>
      </c>
      <c r="S123" s="8" t="str">
        <f aca="false">IF(Q123="","",IF(J123=0,"",Q123/J123-1))</f>
        <v/>
      </c>
      <c r="T123" s="38" t="str">
        <f aca="false">IF(S123="","",IF(ABS(S123)&gt;Inputs!$C$92,"REVIEW",""))</f>
        <v/>
      </c>
    </row>
    <row r="124" customFormat="false" ht="15" hidden="false" customHeight="false" outlineLevel="0" collapsed="false">
      <c r="A124" s="36" t="str">
        <f aca="false">'Forecast Detail'!D85</f>
        <v>500219 ACT Prep Expense</v>
      </c>
      <c r="B124" s="36" t="str">
        <f aca="false">'Forecast Detail'!A85</f>
        <v>Expense</v>
      </c>
      <c r="C124" s="36" t="str">
        <f aca="false">'Forecast Detail'!C85</f>
        <v>500219</v>
      </c>
      <c r="D124" s="36" t="str">
        <f aca="false">'Forecast Detail'!B85</f>
        <v>2 Instructional Expenses</v>
      </c>
      <c r="E124" s="11" t="str">
        <f aca="false">IF(ISNUMBER(B$4),SUMIFS('Actuals Import'!$B$1:$B$600,'Actuals Import'!$H$1:$H$600,$C124,'Actuals Import'!$G$1:$G$600,1),"")</f>
        <v/>
      </c>
      <c r="F124" s="11" t="str">
        <f aca="false">IF(ISNUMBER(C$4),SUMIFS('Actuals Import'!$K$1:$K$600,'Actuals Import'!$Q$1:$Q$600,$C124,'Actuals Import'!$P$1:$P$600,1),"")</f>
        <v/>
      </c>
      <c r="G124" s="11" t="str">
        <f aca="false">IF(ISNUMBER(D$4),SUMIFS('Actuals Import'!$T$1:$T$600,'Actuals Import'!$Z$1:$Z$600,$C124,'Actuals Import'!$Y$1:$Y$600,1),"")</f>
        <v/>
      </c>
      <c r="H124" s="11" t="str">
        <f aca="false">IF(ISNUMBER(E$4),SUMIFS('Actuals Import'!$AC$1:$AC$600,'Actuals Import'!$AI$1:$AI$600,$C124,'Actuals Import'!$AH$1:$AH$600,1),"")</f>
        <v/>
      </c>
      <c r="I124" s="11" t="str">
        <f aca="false">IF(ISNUMBER(F$4),SUMIFS('Actuals Import'!$AL$1:$AL$600,'Actuals Import'!$AR$1:$AR$600,$C124,'Actuals Import'!$AQ$1:$AQ$600,1),"")</f>
        <v/>
      </c>
      <c r="J124" s="31" t="n">
        <f aca="false">'Forecast Detail'!G85</f>
        <v>0</v>
      </c>
      <c r="K124" s="11" t="str">
        <f aca="false">IF($B$3=0,"",INDEX($E124:$I124,MATCH($F$3,$B$4:$F$4,0)))</f>
        <v/>
      </c>
      <c r="L124" s="11" t="str">
        <f aca="false">IF($B$3=0,"",AVERAGE($E124:$I124))</f>
        <v/>
      </c>
      <c r="M124" s="11" t="str">
        <f aca="false">IF($B$3&lt;3,"",IFERROR(FORECAST($H$3,$E124:$I124,$B$4:$F$4),""))</f>
        <v/>
      </c>
      <c r="N124" s="11" t="str">
        <f aca="false">IF($B$3&lt;2,"",IFERROR(IF(INDEX($E124:$I124,MATCH($D$3,$B$4:$F$4,0))*K124&gt;0,K124*(K124/INDEX($E124:$I124,MATCH($D$3,$B$4:$F$4,0)))^(($H$3-$F$3)/($F$3-$D$3)),K124),K124))</f>
        <v/>
      </c>
      <c r="O124" s="20"/>
      <c r="P124" s="6" t="str">
        <f aca="false">IF(O124&lt;&gt;"",O124,Inputs!$C$90)</f>
        <v>Linear Trend</v>
      </c>
      <c r="Q124" s="37" t="str">
        <f aca="false">IF($B$3=0,"",IF(Inputs!$C$91&gt;0,ROUND(IF(ISNUMBER(IF(P124="Last Actual",K124,IF(P124="Average",L124,IF(P124="Linear Trend",M124,N124)))),IF(P124="Last Actual",K124,IF(P124="Average",L124,IF(P124="Linear Trend",M124,N124))),K124)/Inputs!$C$91,0)*Inputs!$C$91,IF(ISNUMBER(IF(P124="Last Actual",K124,IF(P124="Average",L124,IF(P124="Linear Trend",M124,N124)))),IF(P124="Last Actual",K124,IF(P124="Average",L124,IF(P124="Linear Trend",M124,N124))),K124)))</f>
        <v/>
      </c>
      <c r="R124" s="31" t="n">
        <f aca="false">'Forecast Detail'!H85</f>
        <v>0</v>
      </c>
      <c r="S124" s="8" t="str">
        <f aca="false">IF(Q124="","",IF(J124=0,"",Q124/J124-1))</f>
        <v/>
      </c>
      <c r="T124" s="38" t="str">
        <f aca="false">IF(S124="","",IF(ABS(S124)&gt;Inputs!$C$92,"REVIEW",""))</f>
        <v/>
      </c>
    </row>
    <row r="125" customFormat="false" ht="15" hidden="false" customHeight="false" outlineLevel="0" collapsed="false">
      <c r="A125" s="36" t="str">
        <f aca="false">'Forecast Detail'!D86</f>
        <v>500312 Honor Society Expenses</v>
      </c>
      <c r="B125" s="36" t="str">
        <f aca="false">'Forecast Detail'!A86</f>
        <v>Expense</v>
      </c>
      <c r="C125" s="36" t="str">
        <f aca="false">'Forecast Detail'!C86</f>
        <v>500312</v>
      </c>
      <c r="D125" s="36" t="str">
        <f aca="false">'Forecast Detail'!B86</f>
        <v>2 Instructional Expenses</v>
      </c>
      <c r="E125" s="11" t="str">
        <f aca="false">IF(ISNUMBER(B$4),SUMIFS('Actuals Import'!$B$1:$B$600,'Actuals Import'!$H$1:$H$600,$C125,'Actuals Import'!$G$1:$G$600,1),"")</f>
        <v/>
      </c>
      <c r="F125" s="11" t="str">
        <f aca="false">IF(ISNUMBER(C$4),SUMIFS('Actuals Import'!$K$1:$K$600,'Actuals Import'!$Q$1:$Q$600,$C125,'Actuals Import'!$P$1:$P$600,1),"")</f>
        <v/>
      </c>
      <c r="G125" s="11" t="str">
        <f aca="false">IF(ISNUMBER(D$4),SUMIFS('Actuals Import'!$T$1:$T$600,'Actuals Import'!$Z$1:$Z$600,$C125,'Actuals Import'!$Y$1:$Y$600,1),"")</f>
        <v/>
      </c>
      <c r="H125" s="11" t="str">
        <f aca="false">IF(ISNUMBER(E$4),SUMIFS('Actuals Import'!$AC$1:$AC$600,'Actuals Import'!$AI$1:$AI$600,$C125,'Actuals Import'!$AH$1:$AH$600,1),"")</f>
        <v/>
      </c>
      <c r="I125" s="11" t="str">
        <f aca="false">IF(ISNUMBER(F$4),SUMIFS('Actuals Import'!$AL$1:$AL$600,'Actuals Import'!$AR$1:$AR$600,$C125,'Actuals Import'!$AQ$1:$AQ$600,1),"")</f>
        <v/>
      </c>
      <c r="J125" s="31" t="n">
        <f aca="false">'Forecast Detail'!G86</f>
        <v>1000</v>
      </c>
      <c r="K125" s="11" t="str">
        <f aca="false">IF($B$3=0,"",INDEX($E125:$I125,MATCH($F$3,$B$4:$F$4,0)))</f>
        <v/>
      </c>
      <c r="L125" s="11" t="str">
        <f aca="false">IF($B$3=0,"",AVERAGE($E125:$I125))</f>
        <v/>
      </c>
      <c r="M125" s="11" t="str">
        <f aca="false">IF($B$3&lt;3,"",IFERROR(FORECAST($H$3,$E125:$I125,$B$4:$F$4),""))</f>
        <v/>
      </c>
      <c r="N125" s="11" t="str">
        <f aca="false">IF($B$3&lt;2,"",IFERROR(IF(INDEX($E125:$I125,MATCH($D$3,$B$4:$F$4,0))*K125&gt;0,K125*(K125/INDEX($E125:$I125,MATCH($D$3,$B$4:$F$4,0)))^(($H$3-$F$3)/($F$3-$D$3)),K125),K125))</f>
        <v/>
      </c>
      <c r="O125" s="20"/>
      <c r="P125" s="6" t="str">
        <f aca="false">IF(O125&lt;&gt;"",O125,Inputs!$C$90)</f>
        <v>Linear Trend</v>
      </c>
      <c r="Q125" s="37" t="str">
        <f aca="false">IF($B$3=0,"",IF(Inputs!$C$91&gt;0,ROUND(IF(ISNUMBER(IF(P125="Last Actual",K125,IF(P125="Average",L125,IF(P125="Linear Trend",M125,N125)))),IF(P125="Last Actual",K125,IF(P125="Average",L125,IF(P125="Linear Trend",M125,N125))),K125)/Inputs!$C$91,0)*Inputs!$C$91,IF(ISNUMBER(IF(P125="Last Actual",K125,IF(P125="Average",L125,IF(P125="Linear Trend",M125,N125)))),IF(P125="Last Actual",K125,IF(P125="Average",L125,IF(P125="Linear Trend",M125,N125))),K125)))</f>
        <v/>
      </c>
      <c r="R125" s="31" t="n">
        <f aca="false">'Forecast Detail'!H86</f>
        <v>1030</v>
      </c>
      <c r="S125" s="8" t="str">
        <f aca="false">IF(Q125="","",IF(J125=0,"",Q125/J125-1))</f>
        <v/>
      </c>
      <c r="T125" s="38" t="str">
        <f aca="false">IF(S125="","",IF(ABS(S125)&gt;Inputs!$C$92,"REVIEW",""))</f>
        <v/>
      </c>
    </row>
    <row r="126" customFormat="false" ht="15" hidden="false" customHeight="false" outlineLevel="0" collapsed="false">
      <c r="A126" s="36" t="str">
        <f aca="false">'Forecast Detail'!D87</f>
        <v>Lower School Expenses</v>
      </c>
      <c r="B126" s="36" t="str">
        <f aca="false">'Forecast Detail'!A87</f>
        <v>Expense</v>
      </c>
      <c r="C126" s="36" t="str">
        <f aca="false">'Forecast Detail'!C87</f>
        <v>Lower School Expenses</v>
      </c>
      <c r="D126" s="36" t="str">
        <f aca="false">'Forecast Detail'!B87</f>
        <v>2 Instructional Expenses</v>
      </c>
      <c r="E126" s="11" t="str">
        <f aca="false">IF(ISNUMBER(B$4),SUMIFS('Actuals Import'!$B$1:$B$600,'Actuals Import'!$H$1:$H$600,$C126,'Actuals Import'!$G$1:$G$600,1),"")</f>
        <v/>
      </c>
      <c r="F126" s="11" t="str">
        <f aca="false">IF(ISNUMBER(C$4),SUMIFS('Actuals Import'!$K$1:$K$600,'Actuals Import'!$Q$1:$Q$600,$C126,'Actuals Import'!$P$1:$P$600,1),"")</f>
        <v/>
      </c>
      <c r="G126" s="11" t="str">
        <f aca="false">IF(ISNUMBER(D$4),SUMIFS('Actuals Import'!$T$1:$T$600,'Actuals Import'!$Z$1:$Z$600,$C126,'Actuals Import'!$Y$1:$Y$600,1),"")</f>
        <v/>
      </c>
      <c r="H126" s="11" t="str">
        <f aca="false">IF(ISNUMBER(E$4),SUMIFS('Actuals Import'!$AC$1:$AC$600,'Actuals Import'!$AI$1:$AI$600,$C126,'Actuals Import'!$AH$1:$AH$600,1),"")</f>
        <v/>
      </c>
      <c r="I126" s="11" t="str">
        <f aca="false">IF(ISNUMBER(F$4),SUMIFS('Actuals Import'!$AL$1:$AL$600,'Actuals Import'!$AR$1:$AR$600,$C126,'Actuals Import'!$AQ$1:$AQ$600,1),"")</f>
        <v/>
      </c>
      <c r="J126" s="31" t="n">
        <f aca="false">'Forecast Detail'!G87</f>
        <v>55950</v>
      </c>
      <c r="K126" s="11" t="str">
        <f aca="false">IF($B$3=0,"",INDEX($E126:$I126,MATCH($F$3,$B$4:$F$4,0)))</f>
        <v/>
      </c>
      <c r="L126" s="11" t="str">
        <f aca="false">IF($B$3=0,"",AVERAGE($E126:$I126))</f>
        <v/>
      </c>
      <c r="M126" s="11" t="str">
        <f aca="false">IF($B$3&lt;3,"",IFERROR(FORECAST($H$3,$E126:$I126,$B$4:$F$4),""))</f>
        <v/>
      </c>
      <c r="N126" s="11" t="str">
        <f aca="false">IF($B$3&lt;2,"",IFERROR(IF(INDEX($E126:$I126,MATCH($D$3,$B$4:$F$4,0))*K126&gt;0,K126*(K126/INDEX($E126:$I126,MATCH($D$3,$B$4:$F$4,0)))^(($H$3-$F$3)/($F$3-$D$3)),K126),K126))</f>
        <v/>
      </c>
      <c r="O126" s="20"/>
      <c r="P126" s="6" t="str">
        <f aca="false">IF(O126&lt;&gt;"",O126,Inputs!$C$90)</f>
        <v>Linear Trend</v>
      </c>
      <c r="Q126" s="37" t="str">
        <f aca="false">IF($B$3=0,"",IF(Inputs!$C$91&gt;0,ROUND(IF(ISNUMBER(IF(P126="Last Actual",K126,IF(P126="Average",L126,IF(P126="Linear Trend",M126,N126)))),IF(P126="Last Actual",K126,IF(P126="Average",L126,IF(P126="Linear Trend",M126,N126))),K126)/Inputs!$C$91,0)*Inputs!$C$91,IF(ISNUMBER(IF(P126="Last Actual",K126,IF(P126="Average",L126,IF(P126="Linear Trend",M126,N126)))),IF(P126="Last Actual",K126,IF(P126="Average",L126,IF(P126="Linear Trend",M126,N126))),K126)))</f>
        <v/>
      </c>
      <c r="R126" s="31" t="n">
        <f aca="false">'Forecast Detail'!H87</f>
        <v>57628.5</v>
      </c>
      <c r="S126" s="8" t="str">
        <f aca="false">IF(Q126="","",IF(J126=0,"",Q126/J126-1))</f>
        <v/>
      </c>
      <c r="T126" s="38" t="str">
        <f aca="false">IF(S126="","",IF(ABS(S126)&gt;Inputs!$C$92,"REVIEW",""))</f>
        <v/>
      </c>
    </row>
    <row r="127" customFormat="false" ht="15" hidden="false" customHeight="false" outlineLevel="0" collapsed="false">
      <c r="A127" s="36" t="str">
        <f aca="false">'Forecast Detail'!D88</f>
        <v>500181 Lower School Activity Fee</v>
      </c>
      <c r="B127" s="36" t="str">
        <f aca="false">'Forecast Detail'!A88</f>
        <v>Expense</v>
      </c>
      <c r="C127" s="36" t="str">
        <f aca="false">'Forecast Detail'!C88</f>
        <v>500181</v>
      </c>
      <c r="D127" s="36" t="str">
        <f aca="false">'Forecast Detail'!B88</f>
        <v>2 Instructional Expenses</v>
      </c>
      <c r="E127" s="11" t="str">
        <f aca="false">IF(ISNUMBER(B$4),SUMIFS('Actuals Import'!$B$1:$B$600,'Actuals Import'!$H$1:$H$600,$C127,'Actuals Import'!$G$1:$G$600,1),"")</f>
        <v/>
      </c>
      <c r="F127" s="11" t="str">
        <f aca="false">IF(ISNUMBER(C$4),SUMIFS('Actuals Import'!$K$1:$K$600,'Actuals Import'!$Q$1:$Q$600,$C127,'Actuals Import'!$P$1:$P$600,1),"")</f>
        <v/>
      </c>
      <c r="G127" s="11" t="str">
        <f aca="false">IF(ISNUMBER(D$4),SUMIFS('Actuals Import'!$T$1:$T$600,'Actuals Import'!$Z$1:$Z$600,$C127,'Actuals Import'!$Y$1:$Y$600,1),"")</f>
        <v/>
      </c>
      <c r="H127" s="11" t="str">
        <f aca="false">IF(ISNUMBER(E$4),SUMIFS('Actuals Import'!$AC$1:$AC$600,'Actuals Import'!$AI$1:$AI$600,$C127,'Actuals Import'!$AH$1:$AH$600,1),"")</f>
        <v/>
      </c>
      <c r="I127" s="11" t="str">
        <f aca="false">IF(ISNUMBER(F$4),SUMIFS('Actuals Import'!$AL$1:$AL$600,'Actuals Import'!$AR$1:$AR$600,$C127,'Actuals Import'!$AQ$1:$AQ$600,1),"")</f>
        <v/>
      </c>
      <c r="J127" s="31" t="n">
        <f aca="false">'Forecast Detail'!G88</f>
        <v>35000</v>
      </c>
      <c r="K127" s="11" t="str">
        <f aca="false">IF($B$3=0,"",INDEX($E127:$I127,MATCH($F$3,$B$4:$F$4,0)))</f>
        <v/>
      </c>
      <c r="L127" s="11" t="str">
        <f aca="false">IF($B$3=0,"",AVERAGE($E127:$I127))</f>
        <v/>
      </c>
      <c r="M127" s="11" t="str">
        <f aca="false">IF($B$3&lt;3,"",IFERROR(FORECAST($H$3,$E127:$I127,$B$4:$F$4),""))</f>
        <v/>
      </c>
      <c r="N127" s="11" t="str">
        <f aca="false">IF($B$3&lt;2,"",IFERROR(IF(INDEX($E127:$I127,MATCH($D$3,$B$4:$F$4,0))*K127&gt;0,K127*(K127/INDEX($E127:$I127,MATCH($D$3,$B$4:$F$4,0)))^(($H$3-$F$3)/($F$3-$D$3)),K127),K127))</f>
        <v/>
      </c>
      <c r="O127" s="20"/>
      <c r="P127" s="6" t="str">
        <f aca="false">IF(O127&lt;&gt;"",O127,Inputs!$C$90)</f>
        <v>Linear Trend</v>
      </c>
      <c r="Q127" s="37" t="str">
        <f aca="false">IF($B$3=0,"",IF(Inputs!$C$91&gt;0,ROUND(IF(ISNUMBER(IF(P127="Last Actual",K127,IF(P127="Average",L127,IF(P127="Linear Trend",M127,N127)))),IF(P127="Last Actual",K127,IF(P127="Average",L127,IF(P127="Linear Trend",M127,N127))),K127)/Inputs!$C$91,0)*Inputs!$C$91,IF(ISNUMBER(IF(P127="Last Actual",K127,IF(P127="Average",L127,IF(P127="Linear Trend",M127,N127)))),IF(P127="Last Actual",K127,IF(P127="Average",L127,IF(P127="Linear Trend",M127,N127))),K127)))</f>
        <v/>
      </c>
      <c r="R127" s="31" t="n">
        <f aca="false">'Forecast Detail'!H88</f>
        <v>36050</v>
      </c>
      <c r="S127" s="8" t="str">
        <f aca="false">IF(Q127="","",IF(J127=0,"",Q127/J127-1))</f>
        <v/>
      </c>
      <c r="T127" s="38" t="str">
        <f aca="false">IF(S127="","",IF(ABS(S127)&gt;Inputs!$C$92,"REVIEW",""))</f>
        <v/>
      </c>
    </row>
    <row r="128" customFormat="false" ht="15" hidden="false" customHeight="false" outlineLevel="0" collapsed="false">
      <c r="A128" s="36" t="str">
        <f aca="false">'Forecast Detail'!D89</f>
        <v>500193 Math Department Expenses</v>
      </c>
      <c r="B128" s="36" t="str">
        <f aca="false">'Forecast Detail'!A89</f>
        <v>Expense</v>
      </c>
      <c r="C128" s="36" t="str">
        <f aca="false">'Forecast Detail'!C89</f>
        <v>500193</v>
      </c>
      <c r="D128" s="36" t="str">
        <f aca="false">'Forecast Detail'!B89</f>
        <v>2 Instructional Expenses</v>
      </c>
      <c r="E128" s="11" t="str">
        <f aca="false">IF(ISNUMBER(B$4),SUMIFS('Actuals Import'!$B$1:$B$600,'Actuals Import'!$H$1:$H$600,$C128,'Actuals Import'!$G$1:$G$600,1),"")</f>
        <v/>
      </c>
      <c r="F128" s="11" t="str">
        <f aca="false">IF(ISNUMBER(C$4),SUMIFS('Actuals Import'!$K$1:$K$600,'Actuals Import'!$Q$1:$Q$600,$C128,'Actuals Import'!$P$1:$P$600,1),"")</f>
        <v/>
      </c>
      <c r="G128" s="11" t="str">
        <f aca="false">IF(ISNUMBER(D$4),SUMIFS('Actuals Import'!$T$1:$T$600,'Actuals Import'!$Z$1:$Z$600,$C128,'Actuals Import'!$Y$1:$Y$600,1),"")</f>
        <v/>
      </c>
      <c r="H128" s="11" t="str">
        <f aca="false">IF(ISNUMBER(E$4),SUMIFS('Actuals Import'!$AC$1:$AC$600,'Actuals Import'!$AI$1:$AI$600,$C128,'Actuals Import'!$AH$1:$AH$600,1),"")</f>
        <v/>
      </c>
      <c r="I128" s="11" t="str">
        <f aca="false">IF(ISNUMBER(F$4),SUMIFS('Actuals Import'!$AL$1:$AL$600,'Actuals Import'!$AR$1:$AR$600,$C128,'Actuals Import'!$AQ$1:$AQ$600,1),"")</f>
        <v/>
      </c>
      <c r="J128" s="31" t="n">
        <f aca="false">'Forecast Detail'!G89</f>
        <v>1800</v>
      </c>
      <c r="K128" s="11" t="str">
        <f aca="false">IF($B$3=0,"",INDEX($E128:$I128,MATCH($F$3,$B$4:$F$4,0)))</f>
        <v/>
      </c>
      <c r="L128" s="11" t="str">
        <f aca="false">IF($B$3=0,"",AVERAGE($E128:$I128))</f>
        <v/>
      </c>
      <c r="M128" s="11" t="str">
        <f aca="false">IF($B$3&lt;3,"",IFERROR(FORECAST($H$3,$E128:$I128,$B$4:$F$4),""))</f>
        <v/>
      </c>
      <c r="N128" s="11" t="str">
        <f aca="false">IF($B$3&lt;2,"",IFERROR(IF(INDEX($E128:$I128,MATCH($D$3,$B$4:$F$4,0))*K128&gt;0,K128*(K128/INDEX($E128:$I128,MATCH($D$3,$B$4:$F$4,0)))^(($H$3-$F$3)/($F$3-$D$3)),K128),K128))</f>
        <v/>
      </c>
      <c r="O128" s="20"/>
      <c r="P128" s="6" t="str">
        <f aca="false">IF(O128&lt;&gt;"",O128,Inputs!$C$90)</f>
        <v>Linear Trend</v>
      </c>
      <c r="Q128" s="37" t="str">
        <f aca="false">IF($B$3=0,"",IF(Inputs!$C$91&gt;0,ROUND(IF(ISNUMBER(IF(P128="Last Actual",K128,IF(P128="Average",L128,IF(P128="Linear Trend",M128,N128)))),IF(P128="Last Actual",K128,IF(P128="Average",L128,IF(P128="Linear Trend",M128,N128))),K128)/Inputs!$C$91,0)*Inputs!$C$91,IF(ISNUMBER(IF(P128="Last Actual",K128,IF(P128="Average",L128,IF(P128="Linear Trend",M128,N128)))),IF(P128="Last Actual",K128,IF(P128="Average",L128,IF(P128="Linear Trend",M128,N128))),K128)))</f>
        <v/>
      </c>
      <c r="R128" s="31" t="n">
        <f aca="false">'Forecast Detail'!H89</f>
        <v>1854</v>
      </c>
      <c r="S128" s="8" t="str">
        <f aca="false">IF(Q128="","",IF(J128=0,"",Q128/J128-1))</f>
        <v/>
      </c>
      <c r="T128" s="38" t="str">
        <f aca="false">IF(S128="","",IF(ABS(S128)&gt;Inputs!$C$92,"REVIEW",""))</f>
        <v/>
      </c>
    </row>
    <row r="129" customFormat="false" ht="15" hidden="false" customHeight="false" outlineLevel="0" collapsed="false">
      <c r="A129" s="36" t="str">
        <f aca="false">'Forecast Detail'!D90</f>
        <v>500194 English Department Expense</v>
      </c>
      <c r="B129" s="36" t="str">
        <f aca="false">'Forecast Detail'!A90</f>
        <v>Expense</v>
      </c>
      <c r="C129" s="36" t="str">
        <f aca="false">'Forecast Detail'!C90</f>
        <v>500194</v>
      </c>
      <c r="D129" s="36" t="str">
        <f aca="false">'Forecast Detail'!B90</f>
        <v>2 Instructional Expenses</v>
      </c>
      <c r="E129" s="11" t="str">
        <f aca="false">IF(ISNUMBER(B$4),SUMIFS('Actuals Import'!$B$1:$B$600,'Actuals Import'!$H$1:$H$600,$C129,'Actuals Import'!$G$1:$G$600,1),"")</f>
        <v/>
      </c>
      <c r="F129" s="11" t="str">
        <f aca="false">IF(ISNUMBER(C$4),SUMIFS('Actuals Import'!$K$1:$K$600,'Actuals Import'!$Q$1:$Q$600,$C129,'Actuals Import'!$P$1:$P$600,1),"")</f>
        <v/>
      </c>
      <c r="G129" s="11" t="str">
        <f aca="false">IF(ISNUMBER(D$4),SUMIFS('Actuals Import'!$T$1:$T$600,'Actuals Import'!$Z$1:$Z$600,$C129,'Actuals Import'!$Y$1:$Y$600,1),"")</f>
        <v/>
      </c>
      <c r="H129" s="11" t="str">
        <f aca="false">IF(ISNUMBER(E$4),SUMIFS('Actuals Import'!$AC$1:$AC$600,'Actuals Import'!$AI$1:$AI$600,$C129,'Actuals Import'!$AH$1:$AH$600,1),"")</f>
        <v/>
      </c>
      <c r="I129" s="11" t="str">
        <f aca="false">IF(ISNUMBER(F$4),SUMIFS('Actuals Import'!$AL$1:$AL$600,'Actuals Import'!$AR$1:$AR$600,$C129,'Actuals Import'!$AQ$1:$AQ$600,1),"")</f>
        <v/>
      </c>
      <c r="J129" s="31" t="n">
        <f aca="false">'Forecast Detail'!G90</f>
        <v>300</v>
      </c>
      <c r="K129" s="11" t="str">
        <f aca="false">IF($B$3=0,"",INDEX($E129:$I129,MATCH($F$3,$B$4:$F$4,0)))</f>
        <v/>
      </c>
      <c r="L129" s="11" t="str">
        <f aca="false">IF($B$3=0,"",AVERAGE($E129:$I129))</f>
        <v/>
      </c>
      <c r="M129" s="11" t="str">
        <f aca="false">IF($B$3&lt;3,"",IFERROR(FORECAST($H$3,$E129:$I129,$B$4:$F$4),""))</f>
        <v/>
      </c>
      <c r="N129" s="11" t="str">
        <f aca="false">IF($B$3&lt;2,"",IFERROR(IF(INDEX($E129:$I129,MATCH($D$3,$B$4:$F$4,0))*K129&gt;0,K129*(K129/INDEX($E129:$I129,MATCH($D$3,$B$4:$F$4,0)))^(($H$3-$F$3)/($F$3-$D$3)),K129),K129))</f>
        <v/>
      </c>
      <c r="O129" s="20"/>
      <c r="P129" s="6" t="str">
        <f aca="false">IF(O129&lt;&gt;"",O129,Inputs!$C$90)</f>
        <v>Linear Trend</v>
      </c>
      <c r="Q129" s="37" t="str">
        <f aca="false">IF($B$3=0,"",IF(Inputs!$C$91&gt;0,ROUND(IF(ISNUMBER(IF(P129="Last Actual",K129,IF(P129="Average",L129,IF(P129="Linear Trend",M129,N129)))),IF(P129="Last Actual",K129,IF(P129="Average",L129,IF(P129="Linear Trend",M129,N129))),K129)/Inputs!$C$91,0)*Inputs!$C$91,IF(ISNUMBER(IF(P129="Last Actual",K129,IF(P129="Average",L129,IF(P129="Linear Trend",M129,N129)))),IF(P129="Last Actual",K129,IF(P129="Average",L129,IF(P129="Linear Trend",M129,N129))),K129)))</f>
        <v/>
      </c>
      <c r="R129" s="31" t="n">
        <f aca="false">'Forecast Detail'!H90</f>
        <v>309</v>
      </c>
      <c r="S129" s="8" t="str">
        <f aca="false">IF(Q129="","",IF(J129=0,"",Q129/J129-1))</f>
        <v/>
      </c>
      <c r="T129" s="38" t="str">
        <f aca="false">IF(S129="","",IF(ABS(S129)&gt;Inputs!$C$92,"REVIEW",""))</f>
        <v/>
      </c>
    </row>
    <row r="130" customFormat="false" ht="15" hidden="false" customHeight="false" outlineLevel="0" collapsed="false">
      <c r="A130" s="36" t="str">
        <f aca="false">'Forecast Detail'!D91</f>
        <v>500195 Curriculum Review</v>
      </c>
      <c r="B130" s="36" t="str">
        <f aca="false">'Forecast Detail'!A91</f>
        <v>Expense</v>
      </c>
      <c r="C130" s="36" t="str">
        <f aca="false">'Forecast Detail'!C91</f>
        <v>500195</v>
      </c>
      <c r="D130" s="36" t="str">
        <f aca="false">'Forecast Detail'!B91</f>
        <v>2 Instructional Expenses</v>
      </c>
      <c r="E130" s="11" t="str">
        <f aca="false">IF(ISNUMBER(B$4),SUMIFS('Actuals Import'!$B$1:$B$600,'Actuals Import'!$H$1:$H$600,$C130,'Actuals Import'!$G$1:$G$600,1),"")</f>
        <v/>
      </c>
      <c r="F130" s="11" t="str">
        <f aca="false">IF(ISNUMBER(C$4),SUMIFS('Actuals Import'!$K$1:$K$600,'Actuals Import'!$Q$1:$Q$600,$C130,'Actuals Import'!$P$1:$P$600,1),"")</f>
        <v/>
      </c>
      <c r="G130" s="11" t="str">
        <f aca="false">IF(ISNUMBER(D$4),SUMIFS('Actuals Import'!$T$1:$T$600,'Actuals Import'!$Z$1:$Z$600,$C130,'Actuals Import'!$Y$1:$Y$600,1),"")</f>
        <v/>
      </c>
      <c r="H130" s="11" t="str">
        <f aca="false">IF(ISNUMBER(E$4),SUMIFS('Actuals Import'!$AC$1:$AC$600,'Actuals Import'!$AI$1:$AI$600,$C130,'Actuals Import'!$AH$1:$AH$600,1),"")</f>
        <v/>
      </c>
      <c r="I130" s="11" t="str">
        <f aca="false">IF(ISNUMBER(F$4),SUMIFS('Actuals Import'!$AL$1:$AL$600,'Actuals Import'!$AR$1:$AR$600,$C130,'Actuals Import'!$AQ$1:$AQ$600,1),"")</f>
        <v/>
      </c>
      <c r="J130" s="31" t="n">
        <f aca="false">'Forecast Detail'!G91</f>
        <v>0</v>
      </c>
      <c r="K130" s="11" t="str">
        <f aca="false">IF($B$3=0,"",INDEX($E130:$I130,MATCH($F$3,$B$4:$F$4,0)))</f>
        <v/>
      </c>
      <c r="L130" s="11" t="str">
        <f aca="false">IF($B$3=0,"",AVERAGE($E130:$I130))</f>
        <v/>
      </c>
      <c r="M130" s="11" t="str">
        <f aca="false">IF($B$3&lt;3,"",IFERROR(FORECAST($H$3,$E130:$I130,$B$4:$F$4),""))</f>
        <v/>
      </c>
      <c r="N130" s="11" t="str">
        <f aca="false">IF($B$3&lt;2,"",IFERROR(IF(INDEX($E130:$I130,MATCH($D$3,$B$4:$F$4,0))*K130&gt;0,K130*(K130/INDEX($E130:$I130,MATCH($D$3,$B$4:$F$4,0)))^(($H$3-$F$3)/($F$3-$D$3)),K130),K130))</f>
        <v/>
      </c>
      <c r="O130" s="20"/>
      <c r="P130" s="6" t="str">
        <f aca="false">IF(O130&lt;&gt;"",O130,Inputs!$C$90)</f>
        <v>Linear Trend</v>
      </c>
      <c r="Q130" s="37" t="str">
        <f aca="false">IF($B$3=0,"",IF(Inputs!$C$91&gt;0,ROUND(IF(ISNUMBER(IF(P130="Last Actual",K130,IF(P130="Average",L130,IF(P130="Linear Trend",M130,N130)))),IF(P130="Last Actual",K130,IF(P130="Average",L130,IF(P130="Linear Trend",M130,N130))),K130)/Inputs!$C$91,0)*Inputs!$C$91,IF(ISNUMBER(IF(P130="Last Actual",K130,IF(P130="Average",L130,IF(P130="Linear Trend",M130,N130)))),IF(P130="Last Actual",K130,IF(P130="Average",L130,IF(P130="Linear Trend",M130,N130))),K130)))</f>
        <v/>
      </c>
      <c r="R130" s="31" t="n">
        <f aca="false">'Forecast Detail'!H91</f>
        <v>0</v>
      </c>
      <c r="S130" s="8" t="str">
        <f aca="false">IF(Q130="","",IF(J130=0,"",Q130/J130-1))</f>
        <v/>
      </c>
      <c r="T130" s="38" t="str">
        <f aca="false">IF(S130="","",IF(ABS(S130)&gt;Inputs!$C$92,"REVIEW",""))</f>
        <v/>
      </c>
    </row>
    <row r="131" customFormat="false" ht="15" hidden="false" customHeight="false" outlineLevel="0" collapsed="false">
      <c r="A131" s="36" t="str">
        <f aca="false">'Forecast Detail'!D92</f>
        <v>500196 History Department Expense</v>
      </c>
      <c r="B131" s="36" t="str">
        <f aca="false">'Forecast Detail'!A92</f>
        <v>Expense</v>
      </c>
      <c r="C131" s="36" t="str">
        <f aca="false">'Forecast Detail'!C92</f>
        <v>500196</v>
      </c>
      <c r="D131" s="36" t="str">
        <f aca="false">'Forecast Detail'!B92</f>
        <v>2 Instructional Expenses</v>
      </c>
      <c r="E131" s="11" t="str">
        <f aca="false">IF(ISNUMBER(B$4),SUMIFS('Actuals Import'!$B$1:$B$600,'Actuals Import'!$H$1:$H$600,$C131,'Actuals Import'!$G$1:$G$600,1),"")</f>
        <v/>
      </c>
      <c r="F131" s="11" t="str">
        <f aca="false">IF(ISNUMBER(C$4),SUMIFS('Actuals Import'!$K$1:$K$600,'Actuals Import'!$Q$1:$Q$600,$C131,'Actuals Import'!$P$1:$P$600,1),"")</f>
        <v/>
      </c>
      <c r="G131" s="11" t="str">
        <f aca="false">IF(ISNUMBER(D$4),SUMIFS('Actuals Import'!$T$1:$T$600,'Actuals Import'!$Z$1:$Z$600,$C131,'Actuals Import'!$Y$1:$Y$600,1),"")</f>
        <v/>
      </c>
      <c r="H131" s="11" t="str">
        <f aca="false">IF(ISNUMBER(E$4),SUMIFS('Actuals Import'!$AC$1:$AC$600,'Actuals Import'!$AI$1:$AI$600,$C131,'Actuals Import'!$AH$1:$AH$600,1),"")</f>
        <v/>
      </c>
      <c r="I131" s="11" t="str">
        <f aca="false">IF(ISNUMBER(F$4),SUMIFS('Actuals Import'!$AL$1:$AL$600,'Actuals Import'!$AR$1:$AR$600,$C131,'Actuals Import'!$AQ$1:$AQ$600,1),"")</f>
        <v/>
      </c>
      <c r="J131" s="31" t="n">
        <f aca="false">'Forecast Detail'!G92</f>
        <v>300</v>
      </c>
      <c r="K131" s="11" t="str">
        <f aca="false">IF($B$3=0,"",INDEX($E131:$I131,MATCH($F$3,$B$4:$F$4,0)))</f>
        <v/>
      </c>
      <c r="L131" s="11" t="str">
        <f aca="false">IF($B$3=0,"",AVERAGE($E131:$I131))</f>
        <v/>
      </c>
      <c r="M131" s="11" t="str">
        <f aca="false">IF($B$3&lt;3,"",IFERROR(FORECAST($H$3,$E131:$I131,$B$4:$F$4),""))</f>
        <v/>
      </c>
      <c r="N131" s="11" t="str">
        <f aca="false">IF($B$3&lt;2,"",IFERROR(IF(INDEX($E131:$I131,MATCH($D$3,$B$4:$F$4,0))*K131&gt;0,K131*(K131/INDEX($E131:$I131,MATCH($D$3,$B$4:$F$4,0)))^(($H$3-$F$3)/($F$3-$D$3)),K131),K131))</f>
        <v/>
      </c>
      <c r="O131" s="20"/>
      <c r="P131" s="6" t="str">
        <f aca="false">IF(O131&lt;&gt;"",O131,Inputs!$C$90)</f>
        <v>Linear Trend</v>
      </c>
      <c r="Q131" s="37" t="str">
        <f aca="false">IF($B$3=0,"",IF(Inputs!$C$91&gt;0,ROUND(IF(ISNUMBER(IF(P131="Last Actual",K131,IF(P131="Average",L131,IF(P131="Linear Trend",M131,N131)))),IF(P131="Last Actual",K131,IF(P131="Average",L131,IF(P131="Linear Trend",M131,N131))),K131)/Inputs!$C$91,0)*Inputs!$C$91,IF(ISNUMBER(IF(P131="Last Actual",K131,IF(P131="Average",L131,IF(P131="Linear Trend",M131,N131)))),IF(P131="Last Actual",K131,IF(P131="Average",L131,IF(P131="Linear Trend",M131,N131))),K131)))</f>
        <v/>
      </c>
      <c r="R131" s="31" t="n">
        <f aca="false">'Forecast Detail'!H92</f>
        <v>309</v>
      </c>
      <c r="S131" s="8" t="str">
        <f aca="false">IF(Q131="","",IF(J131=0,"",Q131/J131-1))</f>
        <v/>
      </c>
      <c r="T131" s="38" t="str">
        <f aca="false">IF(S131="","",IF(ABS(S131)&gt;Inputs!$C$92,"REVIEW",""))</f>
        <v/>
      </c>
    </row>
    <row r="132" customFormat="false" ht="15" hidden="false" customHeight="false" outlineLevel="0" collapsed="false">
      <c r="A132" s="36" t="str">
        <f aca="false">'Forecast Detail'!D93</f>
        <v>500197 Foreign Language Expenses</v>
      </c>
      <c r="B132" s="36" t="str">
        <f aca="false">'Forecast Detail'!A93</f>
        <v>Expense</v>
      </c>
      <c r="C132" s="36" t="str">
        <f aca="false">'Forecast Detail'!C93</f>
        <v>500197</v>
      </c>
      <c r="D132" s="36" t="str">
        <f aca="false">'Forecast Detail'!B93</f>
        <v>2 Instructional Expenses</v>
      </c>
      <c r="E132" s="11" t="str">
        <f aca="false">IF(ISNUMBER(B$4),SUMIFS('Actuals Import'!$B$1:$B$600,'Actuals Import'!$H$1:$H$600,$C132,'Actuals Import'!$G$1:$G$600,1),"")</f>
        <v/>
      </c>
      <c r="F132" s="11" t="str">
        <f aca="false">IF(ISNUMBER(C$4),SUMIFS('Actuals Import'!$K$1:$K$600,'Actuals Import'!$Q$1:$Q$600,$C132,'Actuals Import'!$P$1:$P$600,1),"")</f>
        <v/>
      </c>
      <c r="G132" s="11" t="str">
        <f aca="false">IF(ISNUMBER(D$4),SUMIFS('Actuals Import'!$T$1:$T$600,'Actuals Import'!$Z$1:$Z$600,$C132,'Actuals Import'!$Y$1:$Y$600,1),"")</f>
        <v/>
      </c>
      <c r="H132" s="11" t="str">
        <f aca="false">IF(ISNUMBER(E$4),SUMIFS('Actuals Import'!$AC$1:$AC$600,'Actuals Import'!$AI$1:$AI$600,$C132,'Actuals Import'!$AH$1:$AH$600,1),"")</f>
        <v/>
      </c>
      <c r="I132" s="11" t="str">
        <f aca="false">IF(ISNUMBER(F$4),SUMIFS('Actuals Import'!$AL$1:$AL$600,'Actuals Import'!$AR$1:$AR$600,$C132,'Actuals Import'!$AQ$1:$AQ$600,1),"")</f>
        <v/>
      </c>
      <c r="J132" s="31" t="n">
        <f aca="false">'Forecast Detail'!G93</f>
        <v>2000</v>
      </c>
      <c r="K132" s="11" t="str">
        <f aca="false">IF($B$3=0,"",INDEX($E132:$I132,MATCH($F$3,$B$4:$F$4,0)))</f>
        <v/>
      </c>
      <c r="L132" s="11" t="str">
        <f aca="false">IF($B$3=0,"",AVERAGE($E132:$I132))</f>
        <v/>
      </c>
      <c r="M132" s="11" t="str">
        <f aca="false">IF($B$3&lt;3,"",IFERROR(FORECAST($H$3,$E132:$I132,$B$4:$F$4),""))</f>
        <v/>
      </c>
      <c r="N132" s="11" t="str">
        <f aca="false">IF($B$3&lt;2,"",IFERROR(IF(INDEX($E132:$I132,MATCH($D$3,$B$4:$F$4,0))*K132&gt;0,K132*(K132/INDEX($E132:$I132,MATCH($D$3,$B$4:$F$4,0)))^(($H$3-$F$3)/($F$3-$D$3)),K132),K132))</f>
        <v/>
      </c>
      <c r="O132" s="20"/>
      <c r="P132" s="6" t="str">
        <f aca="false">IF(O132&lt;&gt;"",O132,Inputs!$C$90)</f>
        <v>Linear Trend</v>
      </c>
      <c r="Q132" s="37" t="str">
        <f aca="false">IF($B$3=0,"",IF(Inputs!$C$91&gt;0,ROUND(IF(ISNUMBER(IF(P132="Last Actual",K132,IF(P132="Average",L132,IF(P132="Linear Trend",M132,N132)))),IF(P132="Last Actual",K132,IF(P132="Average",L132,IF(P132="Linear Trend",M132,N132))),K132)/Inputs!$C$91,0)*Inputs!$C$91,IF(ISNUMBER(IF(P132="Last Actual",K132,IF(P132="Average",L132,IF(P132="Linear Trend",M132,N132)))),IF(P132="Last Actual",K132,IF(P132="Average",L132,IF(P132="Linear Trend",M132,N132))),K132)))</f>
        <v/>
      </c>
      <c r="R132" s="31" t="n">
        <f aca="false">'Forecast Detail'!H93</f>
        <v>2060</v>
      </c>
      <c r="S132" s="8" t="str">
        <f aca="false">IF(Q132="","",IF(J132=0,"",Q132/J132-1))</f>
        <v/>
      </c>
      <c r="T132" s="38" t="str">
        <f aca="false">IF(S132="","",IF(ABS(S132)&gt;Inputs!$C$92,"REVIEW",""))</f>
        <v/>
      </c>
    </row>
    <row r="133" customFormat="false" ht="15" hidden="false" customHeight="false" outlineLevel="0" collapsed="false">
      <c r="A133" s="36" t="str">
        <f aca="false">'Forecast Detail'!D94</f>
        <v>500198 Christian Studies Department</v>
      </c>
      <c r="B133" s="36" t="str">
        <f aca="false">'Forecast Detail'!A94</f>
        <v>Expense</v>
      </c>
      <c r="C133" s="36" t="str">
        <f aca="false">'Forecast Detail'!C94</f>
        <v>500198</v>
      </c>
      <c r="D133" s="36" t="str">
        <f aca="false">'Forecast Detail'!B94</f>
        <v>2 Instructional Expenses</v>
      </c>
      <c r="E133" s="11" t="str">
        <f aca="false">IF(ISNUMBER(B$4),SUMIFS('Actuals Import'!$B$1:$B$600,'Actuals Import'!$H$1:$H$600,$C133,'Actuals Import'!$G$1:$G$600,1),"")</f>
        <v/>
      </c>
      <c r="F133" s="11" t="str">
        <f aca="false">IF(ISNUMBER(C$4),SUMIFS('Actuals Import'!$K$1:$K$600,'Actuals Import'!$Q$1:$Q$600,$C133,'Actuals Import'!$P$1:$P$600,1),"")</f>
        <v/>
      </c>
      <c r="G133" s="11" t="str">
        <f aca="false">IF(ISNUMBER(D$4),SUMIFS('Actuals Import'!$T$1:$T$600,'Actuals Import'!$Z$1:$Z$600,$C133,'Actuals Import'!$Y$1:$Y$600,1),"")</f>
        <v/>
      </c>
      <c r="H133" s="11" t="str">
        <f aca="false">IF(ISNUMBER(E$4),SUMIFS('Actuals Import'!$AC$1:$AC$600,'Actuals Import'!$AI$1:$AI$600,$C133,'Actuals Import'!$AH$1:$AH$600,1),"")</f>
        <v/>
      </c>
      <c r="I133" s="11" t="str">
        <f aca="false">IF(ISNUMBER(F$4),SUMIFS('Actuals Import'!$AL$1:$AL$600,'Actuals Import'!$AR$1:$AR$600,$C133,'Actuals Import'!$AQ$1:$AQ$600,1),"")</f>
        <v/>
      </c>
      <c r="J133" s="31" t="n">
        <f aca="false">'Forecast Detail'!G94</f>
        <v>500</v>
      </c>
      <c r="K133" s="11" t="str">
        <f aca="false">IF($B$3=0,"",INDEX($E133:$I133,MATCH($F$3,$B$4:$F$4,0)))</f>
        <v/>
      </c>
      <c r="L133" s="11" t="str">
        <f aca="false">IF($B$3=0,"",AVERAGE($E133:$I133))</f>
        <v/>
      </c>
      <c r="M133" s="11" t="str">
        <f aca="false">IF($B$3&lt;3,"",IFERROR(FORECAST($H$3,$E133:$I133,$B$4:$F$4),""))</f>
        <v/>
      </c>
      <c r="N133" s="11" t="str">
        <f aca="false">IF($B$3&lt;2,"",IFERROR(IF(INDEX($E133:$I133,MATCH($D$3,$B$4:$F$4,0))*K133&gt;0,K133*(K133/INDEX($E133:$I133,MATCH($D$3,$B$4:$F$4,0)))^(($H$3-$F$3)/($F$3-$D$3)),K133),K133))</f>
        <v/>
      </c>
      <c r="O133" s="20"/>
      <c r="P133" s="6" t="str">
        <f aca="false">IF(O133&lt;&gt;"",O133,Inputs!$C$90)</f>
        <v>Linear Trend</v>
      </c>
      <c r="Q133" s="37" t="str">
        <f aca="false">IF($B$3=0,"",IF(Inputs!$C$91&gt;0,ROUND(IF(ISNUMBER(IF(P133="Last Actual",K133,IF(P133="Average",L133,IF(P133="Linear Trend",M133,N133)))),IF(P133="Last Actual",K133,IF(P133="Average",L133,IF(P133="Linear Trend",M133,N133))),K133)/Inputs!$C$91,0)*Inputs!$C$91,IF(ISNUMBER(IF(P133="Last Actual",K133,IF(P133="Average",L133,IF(P133="Linear Trend",M133,N133)))),IF(P133="Last Actual",K133,IF(P133="Average",L133,IF(P133="Linear Trend",M133,N133))),K133)))</f>
        <v/>
      </c>
      <c r="R133" s="31" t="n">
        <f aca="false">'Forecast Detail'!H94</f>
        <v>515</v>
      </c>
      <c r="S133" s="8" t="str">
        <f aca="false">IF(Q133="","",IF(J133=0,"",Q133/J133-1))</f>
        <v/>
      </c>
      <c r="T133" s="38" t="str">
        <f aca="false">IF(S133="","",IF(ABS(S133)&gt;Inputs!$C$92,"REVIEW",""))</f>
        <v/>
      </c>
    </row>
    <row r="134" customFormat="false" ht="15" hidden="false" customHeight="false" outlineLevel="0" collapsed="false">
      <c r="A134" s="36" t="str">
        <f aca="false">'Forecast Detail'!D95</f>
        <v>500199 Science Department</v>
      </c>
      <c r="B134" s="36" t="str">
        <f aca="false">'Forecast Detail'!A95</f>
        <v>Expense</v>
      </c>
      <c r="C134" s="36" t="str">
        <f aca="false">'Forecast Detail'!C95</f>
        <v>500199</v>
      </c>
      <c r="D134" s="36" t="str">
        <f aca="false">'Forecast Detail'!B95</f>
        <v>2 Instructional Expenses</v>
      </c>
      <c r="E134" s="11" t="str">
        <f aca="false">IF(ISNUMBER(B$4),SUMIFS('Actuals Import'!$B$1:$B$600,'Actuals Import'!$H$1:$H$600,$C134,'Actuals Import'!$G$1:$G$600,1),"")</f>
        <v/>
      </c>
      <c r="F134" s="11" t="str">
        <f aca="false">IF(ISNUMBER(C$4),SUMIFS('Actuals Import'!$K$1:$K$600,'Actuals Import'!$Q$1:$Q$600,$C134,'Actuals Import'!$P$1:$P$600,1),"")</f>
        <v/>
      </c>
      <c r="G134" s="11" t="str">
        <f aca="false">IF(ISNUMBER(D$4),SUMIFS('Actuals Import'!$T$1:$T$600,'Actuals Import'!$Z$1:$Z$600,$C134,'Actuals Import'!$Y$1:$Y$600,1),"")</f>
        <v/>
      </c>
      <c r="H134" s="11" t="str">
        <f aca="false">IF(ISNUMBER(E$4),SUMIFS('Actuals Import'!$AC$1:$AC$600,'Actuals Import'!$AI$1:$AI$600,$C134,'Actuals Import'!$AH$1:$AH$600,1),"")</f>
        <v/>
      </c>
      <c r="I134" s="11" t="str">
        <f aca="false">IF(ISNUMBER(F$4),SUMIFS('Actuals Import'!$AL$1:$AL$600,'Actuals Import'!$AR$1:$AR$600,$C134,'Actuals Import'!$AQ$1:$AQ$600,1),"")</f>
        <v/>
      </c>
      <c r="J134" s="31" t="n">
        <f aca="false">'Forecast Detail'!G95</f>
        <v>3000</v>
      </c>
      <c r="K134" s="11" t="str">
        <f aca="false">IF($B$3=0,"",INDEX($E134:$I134,MATCH($F$3,$B$4:$F$4,0)))</f>
        <v/>
      </c>
      <c r="L134" s="11" t="str">
        <f aca="false">IF($B$3=0,"",AVERAGE($E134:$I134))</f>
        <v/>
      </c>
      <c r="M134" s="11" t="str">
        <f aca="false">IF($B$3&lt;3,"",IFERROR(FORECAST($H$3,$E134:$I134,$B$4:$F$4),""))</f>
        <v/>
      </c>
      <c r="N134" s="11" t="str">
        <f aca="false">IF($B$3&lt;2,"",IFERROR(IF(INDEX($E134:$I134,MATCH($D$3,$B$4:$F$4,0))*K134&gt;0,K134*(K134/INDEX($E134:$I134,MATCH($D$3,$B$4:$F$4,0)))^(($H$3-$F$3)/($F$3-$D$3)),K134),K134))</f>
        <v/>
      </c>
      <c r="O134" s="20"/>
      <c r="P134" s="6" t="str">
        <f aca="false">IF(O134&lt;&gt;"",O134,Inputs!$C$90)</f>
        <v>Linear Trend</v>
      </c>
      <c r="Q134" s="37" t="str">
        <f aca="false">IF($B$3=0,"",IF(Inputs!$C$91&gt;0,ROUND(IF(ISNUMBER(IF(P134="Last Actual",K134,IF(P134="Average",L134,IF(P134="Linear Trend",M134,N134)))),IF(P134="Last Actual",K134,IF(P134="Average",L134,IF(P134="Linear Trend",M134,N134))),K134)/Inputs!$C$91,0)*Inputs!$C$91,IF(ISNUMBER(IF(P134="Last Actual",K134,IF(P134="Average",L134,IF(P134="Linear Trend",M134,N134)))),IF(P134="Last Actual",K134,IF(P134="Average",L134,IF(P134="Linear Trend",M134,N134))),K134)))</f>
        <v/>
      </c>
      <c r="R134" s="31" t="n">
        <f aca="false">'Forecast Detail'!H95</f>
        <v>3090</v>
      </c>
      <c r="S134" s="8" t="str">
        <f aca="false">IF(Q134="","",IF(J134=0,"",Q134/J134-1))</f>
        <v/>
      </c>
      <c r="T134" s="38" t="str">
        <f aca="false">IF(S134="","",IF(ABS(S134)&gt;Inputs!$C$92,"REVIEW",""))</f>
        <v/>
      </c>
    </row>
    <row r="135" customFormat="false" ht="15" hidden="false" customHeight="false" outlineLevel="0" collapsed="false">
      <c r="A135" s="36" t="str">
        <f aca="false">'Forecast Detail'!D96</f>
        <v>500200 Tech and Media Class Expenses</v>
      </c>
      <c r="B135" s="36" t="str">
        <f aca="false">'Forecast Detail'!A96</f>
        <v>Expense</v>
      </c>
      <c r="C135" s="36" t="str">
        <f aca="false">'Forecast Detail'!C96</f>
        <v>500200</v>
      </c>
      <c r="D135" s="36" t="str">
        <f aca="false">'Forecast Detail'!B96</f>
        <v>2 Instructional Expenses</v>
      </c>
      <c r="E135" s="11" t="str">
        <f aca="false">IF(ISNUMBER(B$4),SUMIFS('Actuals Import'!$B$1:$B$600,'Actuals Import'!$H$1:$H$600,$C135,'Actuals Import'!$G$1:$G$600,1),"")</f>
        <v/>
      </c>
      <c r="F135" s="11" t="str">
        <f aca="false">IF(ISNUMBER(C$4),SUMIFS('Actuals Import'!$K$1:$K$600,'Actuals Import'!$Q$1:$Q$600,$C135,'Actuals Import'!$P$1:$P$600,1),"")</f>
        <v/>
      </c>
      <c r="G135" s="11" t="str">
        <f aca="false">IF(ISNUMBER(D$4),SUMIFS('Actuals Import'!$T$1:$T$600,'Actuals Import'!$Z$1:$Z$600,$C135,'Actuals Import'!$Y$1:$Y$600,1),"")</f>
        <v/>
      </c>
      <c r="H135" s="11" t="str">
        <f aca="false">IF(ISNUMBER(E$4),SUMIFS('Actuals Import'!$AC$1:$AC$600,'Actuals Import'!$AI$1:$AI$600,$C135,'Actuals Import'!$AH$1:$AH$600,1),"")</f>
        <v/>
      </c>
      <c r="I135" s="11" t="str">
        <f aca="false">IF(ISNUMBER(F$4),SUMIFS('Actuals Import'!$AL$1:$AL$600,'Actuals Import'!$AR$1:$AR$600,$C135,'Actuals Import'!$AQ$1:$AQ$600,1),"")</f>
        <v/>
      </c>
      <c r="J135" s="31" t="n">
        <f aca="false">'Forecast Detail'!G96</f>
        <v>8700</v>
      </c>
      <c r="K135" s="11" t="str">
        <f aca="false">IF($B$3=0,"",INDEX($E135:$I135,MATCH($F$3,$B$4:$F$4,0)))</f>
        <v/>
      </c>
      <c r="L135" s="11" t="str">
        <f aca="false">IF($B$3=0,"",AVERAGE($E135:$I135))</f>
        <v/>
      </c>
      <c r="M135" s="11" t="str">
        <f aca="false">IF($B$3&lt;3,"",IFERROR(FORECAST($H$3,$E135:$I135,$B$4:$F$4),""))</f>
        <v/>
      </c>
      <c r="N135" s="11" t="str">
        <f aca="false">IF($B$3&lt;2,"",IFERROR(IF(INDEX($E135:$I135,MATCH($D$3,$B$4:$F$4,0))*K135&gt;0,K135*(K135/INDEX($E135:$I135,MATCH($D$3,$B$4:$F$4,0)))^(($H$3-$F$3)/($F$3-$D$3)),K135),K135))</f>
        <v/>
      </c>
      <c r="O135" s="20"/>
      <c r="P135" s="6" t="str">
        <f aca="false">IF(O135&lt;&gt;"",O135,Inputs!$C$90)</f>
        <v>Linear Trend</v>
      </c>
      <c r="Q135" s="37" t="str">
        <f aca="false">IF($B$3=0,"",IF(Inputs!$C$91&gt;0,ROUND(IF(ISNUMBER(IF(P135="Last Actual",K135,IF(P135="Average",L135,IF(P135="Linear Trend",M135,N135)))),IF(P135="Last Actual",K135,IF(P135="Average",L135,IF(P135="Linear Trend",M135,N135))),K135)/Inputs!$C$91,0)*Inputs!$C$91,IF(ISNUMBER(IF(P135="Last Actual",K135,IF(P135="Average",L135,IF(P135="Linear Trend",M135,N135)))),IF(P135="Last Actual",K135,IF(P135="Average",L135,IF(P135="Linear Trend",M135,N135))),K135)))</f>
        <v/>
      </c>
      <c r="R135" s="31" t="n">
        <f aca="false">'Forecast Detail'!H96</f>
        <v>8961</v>
      </c>
      <c r="S135" s="8" t="str">
        <f aca="false">IF(Q135="","",IF(J135=0,"",Q135/J135-1))</f>
        <v/>
      </c>
      <c r="T135" s="38" t="str">
        <f aca="false">IF(S135="","",IF(ABS(S135)&gt;Inputs!$C$92,"REVIEW",""))</f>
        <v/>
      </c>
    </row>
    <row r="136" customFormat="false" ht="15" hidden="false" customHeight="false" outlineLevel="0" collapsed="false">
      <c r="A136" s="36" t="str">
        <f aca="false">'Forecast Detail'!D97</f>
        <v>500203 Middle School/Upper School Supplies</v>
      </c>
      <c r="B136" s="36" t="str">
        <f aca="false">'Forecast Detail'!A97</f>
        <v>Expense</v>
      </c>
      <c r="C136" s="36" t="str">
        <f aca="false">'Forecast Detail'!C97</f>
        <v>500203</v>
      </c>
      <c r="D136" s="36" t="str">
        <f aca="false">'Forecast Detail'!B97</f>
        <v>2 Instructional Expenses</v>
      </c>
      <c r="E136" s="11" t="str">
        <f aca="false">IF(ISNUMBER(B$4),SUMIFS('Actuals Import'!$B$1:$B$600,'Actuals Import'!$H$1:$H$600,$C136,'Actuals Import'!$G$1:$G$600,1),"")</f>
        <v/>
      </c>
      <c r="F136" s="11" t="str">
        <f aca="false">IF(ISNUMBER(C$4),SUMIFS('Actuals Import'!$K$1:$K$600,'Actuals Import'!$Q$1:$Q$600,$C136,'Actuals Import'!$P$1:$P$600,1),"")</f>
        <v/>
      </c>
      <c r="G136" s="11" t="str">
        <f aca="false">IF(ISNUMBER(D$4),SUMIFS('Actuals Import'!$T$1:$T$600,'Actuals Import'!$Z$1:$Z$600,$C136,'Actuals Import'!$Y$1:$Y$600,1),"")</f>
        <v/>
      </c>
      <c r="H136" s="11" t="str">
        <f aca="false">IF(ISNUMBER(E$4),SUMIFS('Actuals Import'!$AC$1:$AC$600,'Actuals Import'!$AI$1:$AI$600,$C136,'Actuals Import'!$AH$1:$AH$600,1),"")</f>
        <v/>
      </c>
      <c r="I136" s="11" t="str">
        <f aca="false">IF(ISNUMBER(F$4),SUMIFS('Actuals Import'!$AL$1:$AL$600,'Actuals Import'!$AR$1:$AR$600,$C136,'Actuals Import'!$AQ$1:$AQ$600,1),"")</f>
        <v/>
      </c>
      <c r="J136" s="31" t="n">
        <f aca="false">'Forecast Detail'!G97</f>
        <v>2000</v>
      </c>
      <c r="K136" s="11" t="str">
        <f aca="false">IF($B$3=0,"",INDEX($E136:$I136,MATCH($F$3,$B$4:$F$4,0)))</f>
        <v/>
      </c>
      <c r="L136" s="11" t="str">
        <f aca="false">IF($B$3=0,"",AVERAGE($E136:$I136))</f>
        <v/>
      </c>
      <c r="M136" s="11" t="str">
        <f aca="false">IF($B$3&lt;3,"",IFERROR(FORECAST($H$3,$E136:$I136,$B$4:$F$4),""))</f>
        <v/>
      </c>
      <c r="N136" s="11" t="str">
        <f aca="false">IF($B$3&lt;2,"",IFERROR(IF(INDEX($E136:$I136,MATCH($D$3,$B$4:$F$4,0))*K136&gt;0,K136*(K136/INDEX($E136:$I136,MATCH($D$3,$B$4:$F$4,0)))^(($H$3-$F$3)/($F$3-$D$3)),K136),K136))</f>
        <v/>
      </c>
      <c r="O136" s="20"/>
      <c r="P136" s="6" t="str">
        <f aca="false">IF(O136&lt;&gt;"",O136,Inputs!$C$90)</f>
        <v>Linear Trend</v>
      </c>
      <c r="Q136" s="37" t="str">
        <f aca="false">IF($B$3=0,"",IF(Inputs!$C$91&gt;0,ROUND(IF(ISNUMBER(IF(P136="Last Actual",K136,IF(P136="Average",L136,IF(P136="Linear Trend",M136,N136)))),IF(P136="Last Actual",K136,IF(P136="Average",L136,IF(P136="Linear Trend",M136,N136))),K136)/Inputs!$C$91,0)*Inputs!$C$91,IF(ISNUMBER(IF(P136="Last Actual",K136,IF(P136="Average",L136,IF(P136="Linear Trend",M136,N136)))),IF(P136="Last Actual",K136,IF(P136="Average",L136,IF(P136="Linear Trend",M136,N136))),K136)))</f>
        <v/>
      </c>
      <c r="R136" s="31" t="n">
        <f aca="false">'Forecast Detail'!H97</f>
        <v>2060</v>
      </c>
      <c r="S136" s="8" t="str">
        <f aca="false">IF(Q136="","",IF(J136=0,"",Q136/J136-1))</f>
        <v/>
      </c>
      <c r="T136" s="38" t="str">
        <f aca="false">IF(S136="","",IF(ABS(S136)&gt;Inputs!$C$92,"REVIEW",""))</f>
        <v/>
      </c>
    </row>
    <row r="137" customFormat="false" ht="15" hidden="false" customHeight="false" outlineLevel="0" collapsed="false">
      <c r="A137" s="36" t="str">
        <f aca="false">'Forecast Detail'!D98</f>
        <v>500204 Winterim Class Expense</v>
      </c>
      <c r="B137" s="36" t="str">
        <f aca="false">'Forecast Detail'!A98</f>
        <v>Expense</v>
      </c>
      <c r="C137" s="36" t="str">
        <f aca="false">'Forecast Detail'!C98</f>
        <v>500204</v>
      </c>
      <c r="D137" s="36" t="str">
        <f aca="false">'Forecast Detail'!B98</f>
        <v>2 Instructional Expenses</v>
      </c>
      <c r="E137" s="11" t="str">
        <f aca="false">IF(ISNUMBER(B$4),SUMIFS('Actuals Import'!$B$1:$B$600,'Actuals Import'!$H$1:$H$600,$C137,'Actuals Import'!$G$1:$G$600,1),"")</f>
        <v/>
      </c>
      <c r="F137" s="11" t="str">
        <f aca="false">IF(ISNUMBER(C$4),SUMIFS('Actuals Import'!$K$1:$K$600,'Actuals Import'!$Q$1:$Q$600,$C137,'Actuals Import'!$P$1:$P$600,1),"")</f>
        <v/>
      </c>
      <c r="G137" s="11" t="str">
        <f aca="false">IF(ISNUMBER(D$4),SUMIFS('Actuals Import'!$T$1:$T$600,'Actuals Import'!$Z$1:$Z$600,$C137,'Actuals Import'!$Y$1:$Y$600,1),"")</f>
        <v/>
      </c>
      <c r="H137" s="11" t="str">
        <f aca="false">IF(ISNUMBER(E$4),SUMIFS('Actuals Import'!$AC$1:$AC$600,'Actuals Import'!$AI$1:$AI$600,$C137,'Actuals Import'!$AH$1:$AH$600,1),"")</f>
        <v/>
      </c>
      <c r="I137" s="11" t="str">
        <f aca="false">IF(ISNUMBER(F$4),SUMIFS('Actuals Import'!$AL$1:$AL$600,'Actuals Import'!$AR$1:$AR$600,$C137,'Actuals Import'!$AQ$1:$AQ$600,1),"")</f>
        <v/>
      </c>
      <c r="J137" s="31" t="n">
        <f aca="false">'Forecast Detail'!G98</f>
        <v>2000</v>
      </c>
      <c r="K137" s="11" t="str">
        <f aca="false">IF($B$3=0,"",INDEX($E137:$I137,MATCH($F$3,$B$4:$F$4,0)))</f>
        <v/>
      </c>
      <c r="L137" s="11" t="str">
        <f aca="false">IF($B$3=0,"",AVERAGE($E137:$I137))</f>
        <v/>
      </c>
      <c r="M137" s="11" t="str">
        <f aca="false">IF($B$3&lt;3,"",IFERROR(FORECAST($H$3,$E137:$I137,$B$4:$F$4),""))</f>
        <v/>
      </c>
      <c r="N137" s="11" t="str">
        <f aca="false">IF($B$3&lt;2,"",IFERROR(IF(INDEX($E137:$I137,MATCH($D$3,$B$4:$F$4,0))*K137&gt;0,K137*(K137/INDEX($E137:$I137,MATCH($D$3,$B$4:$F$4,0)))^(($H$3-$F$3)/($F$3-$D$3)),K137),K137))</f>
        <v/>
      </c>
      <c r="O137" s="20"/>
      <c r="P137" s="6" t="str">
        <f aca="false">IF(O137&lt;&gt;"",O137,Inputs!$C$90)</f>
        <v>Linear Trend</v>
      </c>
      <c r="Q137" s="37" t="str">
        <f aca="false">IF($B$3=0,"",IF(Inputs!$C$91&gt;0,ROUND(IF(ISNUMBER(IF(P137="Last Actual",K137,IF(P137="Average",L137,IF(P137="Linear Trend",M137,N137)))),IF(P137="Last Actual",K137,IF(P137="Average",L137,IF(P137="Linear Trend",M137,N137))),K137)/Inputs!$C$91,0)*Inputs!$C$91,IF(ISNUMBER(IF(P137="Last Actual",K137,IF(P137="Average",L137,IF(P137="Linear Trend",M137,N137)))),IF(P137="Last Actual",K137,IF(P137="Average",L137,IF(P137="Linear Trend",M137,N137))),K137)))</f>
        <v/>
      </c>
      <c r="R137" s="31" t="n">
        <f aca="false">'Forecast Detail'!H98</f>
        <v>2060</v>
      </c>
      <c r="S137" s="8" t="str">
        <f aca="false">IF(Q137="","",IF(J137=0,"",Q137/J137-1))</f>
        <v/>
      </c>
      <c r="T137" s="38" t="str">
        <f aca="false">IF(S137="","",IF(ABS(S137)&gt;Inputs!$C$92,"REVIEW",""))</f>
        <v/>
      </c>
    </row>
    <row r="138" customFormat="false" ht="15" hidden="false" customHeight="false" outlineLevel="0" collapsed="false">
      <c r="A138" s="36" t="str">
        <f aca="false">'Forecast Detail'!D99</f>
        <v>500205 MakerSpace Expenses</v>
      </c>
      <c r="B138" s="36" t="str">
        <f aca="false">'Forecast Detail'!A99</f>
        <v>Expense</v>
      </c>
      <c r="C138" s="36" t="str">
        <f aca="false">'Forecast Detail'!C99</f>
        <v>500205</v>
      </c>
      <c r="D138" s="36" t="str">
        <f aca="false">'Forecast Detail'!B99</f>
        <v>2 Instructional Expenses</v>
      </c>
      <c r="E138" s="11" t="str">
        <f aca="false">IF(ISNUMBER(B$4),SUMIFS('Actuals Import'!$B$1:$B$600,'Actuals Import'!$H$1:$H$600,$C138,'Actuals Import'!$G$1:$G$600,1),"")</f>
        <v/>
      </c>
      <c r="F138" s="11" t="str">
        <f aca="false">IF(ISNUMBER(C$4),SUMIFS('Actuals Import'!$K$1:$K$600,'Actuals Import'!$Q$1:$Q$600,$C138,'Actuals Import'!$P$1:$P$600,1),"")</f>
        <v/>
      </c>
      <c r="G138" s="11" t="str">
        <f aca="false">IF(ISNUMBER(D$4),SUMIFS('Actuals Import'!$T$1:$T$600,'Actuals Import'!$Z$1:$Z$600,$C138,'Actuals Import'!$Y$1:$Y$600,1),"")</f>
        <v/>
      </c>
      <c r="H138" s="11" t="str">
        <f aca="false">IF(ISNUMBER(E$4),SUMIFS('Actuals Import'!$AC$1:$AC$600,'Actuals Import'!$AI$1:$AI$600,$C138,'Actuals Import'!$AH$1:$AH$600,1),"")</f>
        <v/>
      </c>
      <c r="I138" s="11" t="str">
        <f aca="false">IF(ISNUMBER(F$4),SUMIFS('Actuals Import'!$AL$1:$AL$600,'Actuals Import'!$AR$1:$AR$600,$C138,'Actuals Import'!$AQ$1:$AQ$600,1),"")</f>
        <v/>
      </c>
      <c r="J138" s="31" t="n">
        <f aca="false">'Forecast Detail'!G99</f>
        <v>0</v>
      </c>
      <c r="K138" s="11" t="str">
        <f aca="false">IF($B$3=0,"",INDEX($E138:$I138,MATCH($F$3,$B$4:$F$4,0)))</f>
        <v/>
      </c>
      <c r="L138" s="11" t="str">
        <f aca="false">IF($B$3=0,"",AVERAGE($E138:$I138))</f>
        <v/>
      </c>
      <c r="M138" s="11" t="str">
        <f aca="false">IF($B$3&lt;3,"",IFERROR(FORECAST($H$3,$E138:$I138,$B$4:$F$4),""))</f>
        <v/>
      </c>
      <c r="N138" s="11" t="str">
        <f aca="false">IF($B$3&lt;2,"",IFERROR(IF(INDEX($E138:$I138,MATCH($D$3,$B$4:$F$4,0))*K138&gt;0,K138*(K138/INDEX($E138:$I138,MATCH($D$3,$B$4:$F$4,0)))^(($H$3-$F$3)/($F$3-$D$3)),K138),K138))</f>
        <v/>
      </c>
      <c r="O138" s="20"/>
      <c r="P138" s="6" t="str">
        <f aca="false">IF(O138&lt;&gt;"",O138,Inputs!$C$90)</f>
        <v>Linear Trend</v>
      </c>
      <c r="Q138" s="37" t="str">
        <f aca="false">IF($B$3=0,"",IF(Inputs!$C$91&gt;0,ROUND(IF(ISNUMBER(IF(P138="Last Actual",K138,IF(P138="Average",L138,IF(P138="Linear Trend",M138,N138)))),IF(P138="Last Actual",K138,IF(P138="Average",L138,IF(P138="Linear Trend",M138,N138))),K138)/Inputs!$C$91,0)*Inputs!$C$91,IF(ISNUMBER(IF(P138="Last Actual",K138,IF(P138="Average",L138,IF(P138="Linear Trend",M138,N138)))),IF(P138="Last Actual",K138,IF(P138="Average",L138,IF(P138="Linear Trend",M138,N138))),K138)))</f>
        <v/>
      </c>
      <c r="R138" s="31" t="n">
        <f aca="false">'Forecast Detail'!H99</f>
        <v>0</v>
      </c>
      <c r="S138" s="8" t="str">
        <f aca="false">IF(Q138="","",IF(J138=0,"",Q138/J138-1))</f>
        <v/>
      </c>
      <c r="T138" s="38" t="str">
        <f aca="false">IF(S138="","",IF(ABS(S138)&gt;Inputs!$C$92,"REVIEW",""))</f>
        <v/>
      </c>
    </row>
    <row r="139" customFormat="false" ht="15" hidden="false" customHeight="false" outlineLevel="0" collapsed="false">
      <c r="A139" s="36" t="str">
        <f aca="false">'Forecast Detail'!D100</f>
        <v>500207 MS/US Activities Billed</v>
      </c>
      <c r="B139" s="36" t="str">
        <f aca="false">'Forecast Detail'!A100</f>
        <v>Expense</v>
      </c>
      <c r="C139" s="36" t="str">
        <f aca="false">'Forecast Detail'!C100</f>
        <v>500207</v>
      </c>
      <c r="D139" s="36" t="str">
        <f aca="false">'Forecast Detail'!B100</f>
        <v>2 Instructional Expenses</v>
      </c>
      <c r="E139" s="11" t="str">
        <f aca="false">IF(ISNUMBER(B$4),SUMIFS('Actuals Import'!$B$1:$B$600,'Actuals Import'!$H$1:$H$600,$C139,'Actuals Import'!$G$1:$G$600,1),"")</f>
        <v/>
      </c>
      <c r="F139" s="11" t="str">
        <f aca="false">IF(ISNUMBER(C$4),SUMIFS('Actuals Import'!$K$1:$K$600,'Actuals Import'!$Q$1:$Q$600,$C139,'Actuals Import'!$P$1:$P$600,1),"")</f>
        <v/>
      </c>
      <c r="G139" s="11" t="str">
        <f aca="false">IF(ISNUMBER(D$4),SUMIFS('Actuals Import'!$T$1:$T$600,'Actuals Import'!$Z$1:$Z$600,$C139,'Actuals Import'!$Y$1:$Y$600,1),"")</f>
        <v/>
      </c>
      <c r="H139" s="11" t="str">
        <f aca="false">IF(ISNUMBER(E$4),SUMIFS('Actuals Import'!$AC$1:$AC$600,'Actuals Import'!$AI$1:$AI$600,$C139,'Actuals Import'!$AH$1:$AH$600,1),"")</f>
        <v/>
      </c>
      <c r="I139" s="11" t="str">
        <f aca="false">IF(ISNUMBER(F$4),SUMIFS('Actuals Import'!$AL$1:$AL$600,'Actuals Import'!$AR$1:$AR$600,$C139,'Actuals Import'!$AQ$1:$AQ$600,1),"")</f>
        <v/>
      </c>
      <c r="J139" s="31" t="n">
        <f aca="false">'Forecast Detail'!G100</f>
        <v>0</v>
      </c>
      <c r="K139" s="11" t="str">
        <f aca="false">IF($B$3=0,"",INDEX($E139:$I139,MATCH($F$3,$B$4:$F$4,0)))</f>
        <v/>
      </c>
      <c r="L139" s="11" t="str">
        <f aca="false">IF($B$3=0,"",AVERAGE($E139:$I139))</f>
        <v/>
      </c>
      <c r="M139" s="11" t="str">
        <f aca="false">IF($B$3&lt;3,"",IFERROR(FORECAST($H$3,$E139:$I139,$B$4:$F$4),""))</f>
        <v/>
      </c>
      <c r="N139" s="11" t="str">
        <f aca="false">IF($B$3&lt;2,"",IFERROR(IF(INDEX($E139:$I139,MATCH($D$3,$B$4:$F$4,0))*K139&gt;0,K139*(K139/INDEX($E139:$I139,MATCH($D$3,$B$4:$F$4,0)))^(($H$3-$F$3)/($F$3-$D$3)),K139),K139))</f>
        <v/>
      </c>
      <c r="O139" s="20"/>
      <c r="P139" s="6" t="str">
        <f aca="false">IF(O139&lt;&gt;"",O139,Inputs!$C$90)</f>
        <v>Linear Trend</v>
      </c>
      <c r="Q139" s="37" t="str">
        <f aca="false">IF($B$3=0,"",IF(Inputs!$C$91&gt;0,ROUND(IF(ISNUMBER(IF(P139="Last Actual",K139,IF(P139="Average",L139,IF(P139="Linear Trend",M139,N139)))),IF(P139="Last Actual",K139,IF(P139="Average",L139,IF(P139="Linear Trend",M139,N139))),K139)/Inputs!$C$91,0)*Inputs!$C$91,IF(ISNUMBER(IF(P139="Last Actual",K139,IF(P139="Average",L139,IF(P139="Linear Trend",M139,N139)))),IF(P139="Last Actual",K139,IF(P139="Average",L139,IF(P139="Linear Trend",M139,N139))),K139)))</f>
        <v/>
      </c>
      <c r="R139" s="31" t="n">
        <f aca="false">'Forecast Detail'!H100</f>
        <v>0</v>
      </c>
      <c r="S139" s="8" t="str">
        <f aca="false">IF(Q139="","",IF(J139=0,"",Q139/J139-1))</f>
        <v/>
      </c>
      <c r="T139" s="38" t="str">
        <f aca="false">IF(S139="","",IF(ABS(S139)&gt;Inputs!$C$92,"REVIEW",""))</f>
        <v/>
      </c>
    </row>
    <row r="140" customFormat="false" ht="15" hidden="false" customHeight="false" outlineLevel="0" collapsed="false">
      <c r="A140" s="36" t="str">
        <f aca="false">'Forecast Detail'!D101</f>
        <v>500208 Academic Testing AP</v>
      </c>
      <c r="B140" s="36" t="str">
        <f aca="false">'Forecast Detail'!A101</f>
        <v>Expense</v>
      </c>
      <c r="C140" s="36" t="str">
        <f aca="false">'Forecast Detail'!C101</f>
        <v>500208</v>
      </c>
      <c r="D140" s="36" t="str">
        <f aca="false">'Forecast Detail'!B101</f>
        <v>2 Instructional Expenses</v>
      </c>
      <c r="E140" s="11" t="str">
        <f aca="false">IF(ISNUMBER(B$4),SUMIFS('Actuals Import'!$B$1:$B$600,'Actuals Import'!$H$1:$H$600,$C140,'Actuals Import'!$G$1:$G$600,1),"")</f>
        <v/>
      </c>
      <c r="F140" s="11" t="str">
        <f aca="false">IF(ISNUMBER(C$4),SUMIFS('Actuals Import'!$K$1:$K$600,'Actuals Import'!$Q$1:$Q$600,$C140,'Actuals Import'!$P$1:$P$600,1),"")</f>
        <v/>
      </c>
      <c r="G140" s="11" t="str">
        <f aca="false">IF(ISNUMBER(D$4),SUMIFS('Actuals Import'!$T$1:$T$600,'Actuals Import'!$Z$1:$Z$600,$C140,'Actuals Import'!$Y$1:$Y$600,1),"")</f>
        <v/>
      </c>
      <c r="H140" s="11" t="str">
        <f aca="false">IF(ISNUMBER(E$4),SUMIFS('Actuals Import'!$AC$1:$AC$600,'Actuals Import'!$AI$1:$AI$600,$C140,'Actuals Import'!$AH$1:$AH$600,1),"")</f>
        <v/>
      </c>
      <c r="I140" s="11" t="str">
        <f aca="false">IF(ISNUMBER(F$4),SUMIFS('Actuals Import'!$AL$1:$AL$600,'Actuals Import'!$AR$1:$AR$600,$C140,'Actuals Import'!$AQ$1:$AQ$600,1),"")</f>
        <v/>
      </c>
      <c r="J140" s="31" t="n">
        <f aca="false">'Forecast Detail'!G101</f>
        <v>0</v>
      </c>
      <c r="K140" s="11" t="str">
        <f aca="false">IF($B$3=0,"",INDEX($E140:$I140,MATCH($F$3,$B$4:$F$4,0)))</f>
        <v/>
      </c>
      <c r="L140" s="11" t="str">
        <f aca="false">IF($B$3=0,"",AVERAGE($E140:$I140))</f>
        <v/>
      </c>
      <c r="M140" s="11" t="str">
        <f aca="false">IF($B$3&lt;3,"",IFERROR(FORECAST($H$3,$E140:$I140,$B$4:$F$4),""))</f>
        <v/>
      </c>
      <c r="N140" s="11" t="str">
        <f aca="false">IF($B$3&lt;2,"",IFERROR(IF(INDEX($E140:$I140,MATCH($D$3,$B$4:$F$4,0))*K140&gt;0,K140*(K140/INDEX($E140:$I140,MATCH($D$3,$B$4:$F$4,0)))^(($H$3-$F$3)/($F$3-$D$3)),K140),K140))</f>
        <v/>
      </c>
      <c r="O140" s="20"/>
      <c r="P140" s="6" t="str">
        <f aca="false">IF(O140&lt;&gt;"",O140,Inputs!$C$90)</f>
        <v>Linear Trend</v>
      </c>
      <c r="Q140" s="37" t="str">
        <f aca="false">IF($B$3=0,"",IF(Inputs!$C$91&gt;0,ROUND(IF(ISNUMBER(IF(P140="Last Actual",K140,IF(P140="Average",L140,IF(P140="Linear Trend",M140,N140)))),IF(P140="Last Actual",K140,IF(P140="Average",L140,IF(P140="Linear Trend",M140,N140))),K140)/Inputs!$C$91,0)*Inputs!$C$91,IF(ISNUMBER(IF(P140="Last Actual",K140,IF(P140="Average",L140,IF(P140="Linear Trend",M140,N140)))),IF(P140="Last Actual",K140,IF(P140="Average",L140,IF(P140="Linear Trend",M140,N140))),K140)))</f>
        <v/>
      </c>
      <c r="R140" s="31" t="n">
        <f aca="false">'Forecast Detail'!H101</f>
        <v>0</v>
      </c>
      <c r="S140" s="8" t="str">
        <f aca="false">IF(Q140="","",IF(J140=0,"",Q140/J140-1))</f>
        <v/>
      </c>
      <c r="T140" s="38" t="str">
        <f aca="false">IF(S140="","",IF(ABS(S140)&gt;Inputs!$C$92,"REVIEW",""))</f>
        <v/>
      </c>
    </row>
    <row r="141" customFormat="false" ht="15" hidden="false" customHeight="false" outlineLevel="0" collapsed="false">
      <c r="A141" s="36" t="str">
        <f aca="false">'Forecast Detail'!D102</f>
        <v>500209 MS/US Principal Activities</v>
      </c>
      <c r="B141" s="36" t="str">
        <f aca="false">'Forecast Detail'!A102</f>
        <v>Expense</v>
      </c>
      <c r="C141" s="36" t="str">
        <f aca="false">'Forecast Detail'!C102</f>
        <v>500209</v>
      </c>
      <c r="D141" s="36" t="str">
        <f aca="false">'Forecast Detail'!B102</f>
        <v>2 Instructional Expenses</v>
      </c>
      <c r="E141" s="11" t="str">
        <f aca="false">IF(ISNUMBER(B$4),SUMIFS('Actuals Import'!$B$1:$B$600,'Actuals Import'!$H$1:$H$600,$C141,'Actuals Import'!$G$1:$G$600,1),"")</f>
        <v/>
      </c>
      <c r="F141" s="11" t="str">
        <f aca="false">IF(ISNUMBER(C$4),SUMIFS('Actuals Import'!$K$1:$K$600,'Actuals Import'!$Q$1:$Q$600,$C141,'Actuals Import'!$P$1:$P$600,1),"")</f>
        <v/>
      </c>
      <c r="G141" s="11" t="str">
        <f aca="false">IF(ISNUMBER(D$4),SUMIFS('Actuals Import'!$T$1:$T$600,'Actuals Import'!$Z$1:$Z$600,$C141,'Actuals Import'!$Y$1:$Y$600,1),"")</f>
        <v/>
      </c>
      <c r="H141" s="11" t="str">
        <f aca="false">IF(ISNUMBER(E$4),SUMIFS('Actuals Import'!$AC$1:$AC$600,'Actuals Import'!$AI$1:$AI$600,$C141,'Actuals Import'!$AH$1:$AH$600,1),"")</f>
        <v/>
      </c>
      <c r="I141" s="11" t="str">
        <f aca="false">IF(ISNUMBER(F$4),SUMIFS('Actuals Import'!$AL$1:$AL$600,'Actuals Import'!$AR$1:$AR$600,$C141,'Actuals Import'!$AQ$1:$AQ$600,1),"")</f>
        <v/>
      </c>
      <c r="J141" s="31" t="n">
        <f aca="false">'Forecast Detail'!G102</f>
        <v>1500</v>
      </c>
      <c r="K141" s="11" t="str">
        <f aca="false">IF($B$3=0,"",INDEX($E141:$I141,MATCH($F$3,$B$4:$F$4,0)))</f>
        <v/>
      </c>
      <c r="L141" s="11" t="str">
        <f aca="false">IF($B$3=0,"",AVERAGE($E141:$I141))</f>
        <v/>
      </c>
      <c r="M141" s="11" t="str">
        <f aca="false">IF($B$3&lt;3,"",IFERROR(FORECAST($H$3,$E141:$I141,$B$4:$F$4),""))</f>
        <v/>
      </c>
      <c r="N141" s="11" t="str">
        <f aca="false">IF($B$3&lt;2,"",IFERROR(IF(INDEX($E141:$I141,MATCH($D$3,$B$4:$F$4,0))*K141&gt;0,K141*(K141/INDEX($E141:$I141,MATCH($D$3,$B$4:$F$4,0)))^(($H$3-$F$3)/($F$3-$D$3)),K141),K141))</f>
        <v/>
      </c>
      <c r="O141" s="20"/>
      <c r="P141" s="6" t="str">
        <f aca="false">IF(O141&lt;&gt;"",O141,Inputs!$C$90)</f>
        <v>Linear Trend</v>
      </c>
      <c r="Q141" s="37" t="str">
        <f aca="false">IF($B$3=0,"",IF(Inputs!$C$91&gt;0,ROUND(IF(ISNUMBER(IF(P141="Last Actual",K141,IF(P141="Average",L141,IF(P141="Linear Trend",M141,N141)))),IF(P141="Last Actual",K141,IF(P141="Average",L141,IF(P141="Linear Trend",M141,N141))),K141)/Inputs!$C$91,0)*Inputs!$C$91,IF(ISNUMBER(IF(P141="Last Actual",K141,IF(P141="Average",L141,IF(P141="Linear Trend",M141,N141)))),IF(P141="Last Actual",K141,IF(P141="Average",L141,IF(P141="Linear Trend",M141,N141))),K141)))</f>
        <v/>
      </c>
      <c r="R141" s="31" t="n">
        <f aca="false">'Forecast Detail'!H102</f>
        <v>1545</v>
      </c>
      <c r="S141" s="8" t="str">
        <f aca="false">IF(Q141="","",IF(J141=0,"",Q141/J141-1))</f>
        <v/>
      </c>
      <c r="T141" s="38" t="str">
        <f aca="false">IF(S141="","",IF(ABS(S141)&gt;Inputs!$C$92,"REVIEW",""))</f>
        <v/>
      </c>
    </row>
    <row r="142" customFormat="false" ht="15" hidden="false" customHeight="false" outlineLevel="0" collapsed="false">
      <c r="A142" s="36" t="str">
        <f aca="false">'Forecast Detail'!D103</f>
        <v>500211 Consumables/Workbooks US&amp;MS</v>
      </c>
      <c r="B142" s="36" t="str">
        <f aca="false">'Forecast Detail'!A103</f>
        <v>Expense</v>
      </c>
      <c r="C142" s="36" t="str">
        <f aca="false">'Forecast Detail'!C103</f>
        <v>500211</v>
      </c>
      <c r="D142" s="36" t="str">
        <f aca="false">'Forecast Detail'!B103</f>
        <v>2 Instructional Expenses</v>
      </c>
      <c r="E142" s="11" t="str">
        <f aca="false">IF(ISNUMBER(B$4),SUMIFS('Actuals Import'!$B$1:$B$600,'Actuals Import'!$H$1:$H$600,$C142,'Actuals Import'!$G$1:$G$600,1),"")</f>
        <v/>
      </c>
      <c r="F142" s="11" t="str">
        <f aca="false">IF(ISNUMBER(C$4),SUMIFS('Actuals Import'!$K$1:$K$600,'Actuals Import'!$Q$1:$Q$600,$C142,'Actuals Import'!$P$1:$P$600,1),"")</f>
        <v/>
      </c>
      <c r="G142" s="11" t="str">
        <f aca="false">IF(ISNUMBER(D$4),SUMIFS('Actuals Import'!$T$1:$T$600,'Actuals Import'!$Z$1:$Z$600,$C142,'Actuals Import'!$Y$1:$Y$600,1),"")</f>
        <v/>
      </c>
      <c r="H142" s="11" t="str">
        <f aca="false">IF(ISNUMBER(E$4),SUMIFS('Actuals Import'!$AC$1:$AC$600,'Actuals Import'!$AI$1:$AI$600,$C142,'Actuals Import'!$AH$1:$AH$600,1),"")</f>
        <v/>
      </c>
      <c r="I142" s="11" t="str">
        <f aca="false">IF(ISNUMBER(F$4),SUMIFS('Actuals Import'!$AL$1:$AL$600,'Actuals Import'!$AR$1:$AR$600,$C142,'Actuals Import'!$AQ$1:$AQ$600,1),"")</f>
        <v/>
      </c>
      <c r="J142" s="31" t="n">
        <f aca="false">'Forecast Detail'!G103</f>
        <v>0</v>
      </c>
      <c r="K142" s="11" t="str">
        <f aca="false">IF($B$3=0,"",INDEX($E142:$I142,MATCH($F$3,$B$4:$F$4,0)))</f>
        <v/>
      </c>
      <c r="L142" s="11" t="str">
        <f aca="false">IF($B$3=0,"",AVERAGE($E142:$I142))</f>
        <v/>
      </c>
      <c r="M142" s="11" t="str">
        <f aca="false">IF($B$3&lt;3,"",IFERROR(FORECAST($H$3,$E142:$I142,$B$4:$F$4),""))</f>
        <v/>
      </c>
      <c r="N142" s="11" t="str">
        <f aca="false">IF($B$3&lt;2,"",IFERROR(IF(INDEX($E142:$I142,MATCH($D$3,$B$4:$F$4,0))*K142&gt;0,K142*(K142/INDEX($E142:$I142,MATCH($D$3,$B$4:$F$4,0)))^(($H$3-$F$3)/($F$3-$D$3)),K142),K142))</f>
        <v/>
      </c>
      <c r="O142" s="20"/>
      <c r="P142" s="6" t="str">
        <f aca="false">IF(O142&lt;&gt;"",O142,Inputs!$C$90)</f>
        <v>Linear Trend</v>
      </c>
      <c r="Q142" s="37" t="str">
        <f aca="false">IF($B$3=0,"",IF(Inputs!$C$91&gt;0,ROUND(IF(ISNUMBER(IF(P142="Last Actual",K142,IF(P142="Average",L142,IF(P142="Linear Trend",M142,N142)))),IF(P142="Last Actual",K142,IF(P142="Average",L142,IF(P142="Linear Trend",M142,N142))),K142)/Inputs!$C$91,0)*Inputs!$C$91,IF(ISNUMBER(IF(P142="Last Actual",K142,IF(P142="Average",L142,IF(P142="Linear Trend",M142,N142)))),IF(P142="Last Actual",K142,IF(P142="Average",L142,IF(P142="Linear Trend",M142,N142))),K142)))</f>
        <v/>
      </c>
      <c r="R142" s="31" t="n">
        <f aca="false">'Forecast Detail'!H103</f>
        <v>0</v>
      </c>
      <c r="S142" s="8" t="str">
        <f aca="false">IF(Q142="","",IF(J142=0,"",Q142/J142-1))</f>
        <v/>
      </c>
      <c r="T142" s="38" t="str">
        <f aca="false">IF(S142="","",IF(ABS(S142)&gt;Inputs!$C$92,"REVIEW",""))</f>
        <v/>
      </c>
    </row>
    <row r="143" customFormat="false" ht="15" hidden="false" customHeight="false" outlineLevel="0" collapsed="false">
      <c r="A143" s="36" t="str">
        <f aca="false">'Forecast Detail'!D104</f>
        <v>500212 MS Textbooks</v>
      </c>
      <c r="B143" s="36" t="str">
        <f aca="false">'Forecast Detail'!A104</f>
        <v>Expense</v>
      </c>
      <c r="C143" s="36" t="str">
        <f aca="false">'Forecast Detail'!C104</f>
        <v>500212</v>
      </c>
      <c r="D143" s="36" t="str">
        <f aca="false">'Forecast Detail'!B104</f>
        <v>2 Instructional Expenses</v>
      </c>
      <c r="E143" s="11" t="str">
        <f aca="false">IF(ISNUMBER(B$4),SUMIFS('Actuals Import'!$B$1:$B$600,'Actuals Import'!$H$1:$H$600,$C143,'Actuals Import'!$G$1:$G$600,1),"")</f>
        <v/>
      </c>
      <c r="F143" s="11" t="str">
        <f aca="false">IF(ISNUMBER(C$4),SUMIFS('Actuals Import'!$K$1:$K$600,'Actuals Import'!$Q$1:$Q$600,$C143,'Actuals Import'!$P$1:$P$600,1),"")</f>
        <v/>
      </c>
      <c r="G143" s="11" t="str">
        <f aca="false">IF(ISNUMBER(D$4),SUMIFS('Actuals Import'!$T$1:$T$600,'Actuals Import'!$Z$1:$Z$600,$C143,'Actuals Import'!$Y$1:$Y$600,1),"")</f>
        <v/>
      </c>
      <c r="H143" s="11" t="str">
        <f aca="false">IF(ISNUMBER(E$4),SUMIFS('Actuals Import'!$AC$1:$AC$600,'Actuals Import'!$AI$1:$AI$600,$C143,'Actuals Import'!$AH$1:$AH$600,1),"")</f>
        <v/>
      </c>
      <c r="I143" s="11" t="str">
        <f aca="false">IF(ISNUMBER(F$4),SUMIFS('Actuals Import'!$AL$1:$AL$600,'Actuals Import'!$AR$1:$AR$600,$C143,'Actuals Import'!$AQ$1:$AQ$600,1),"")</f>
        <v/>
      </c>
      <c r="J143" s="31" t="n">
        <f aca="false">'Forecast Detail'!G104</f>
        <v>29700</v>
      </c>
      <c r="K143" s="11" t="str">
        <f aca="false">IF($B$3=0,"",INDEX($E143:$I143,MATCH($F$3,$B$4:$F$4,0)))</f>
        <v/>
      </c>
      <c r="L143" s="11" t="str">
        <f aca="false">IF($B$3=0,"",AVERAGE($E143:$I143))</f>
        <v/>
      </c>
      <c r="M143" s="11" t="str">
        <f aca="false">IF($B$3&lt;3,"",IFERROR(FORECAST($H$3,$E143:$I143,$B$4:$F$4),""))</f>
        <v/>
      </c>
      <c r="N143" s="11" t="str">
        <f aca="false">IF($B$3&lt;2,"",IFERROR(IF(INDEX($E143:$I143,MATCH($D$3,$B$4:$F$4,0))*K143&gt;0,K143*(K143/INDEX($E143:$I143,MATCH($D$3,$B$4:$F$4,0)))^(($H$3-$F$3)/($F$3-$D$3)),K143),K143))</f>
        <v/>
      </c>
      <c r="O143" s="20"/>
      <c r="P143" s="6" t="str">
        <f aca="false">IF(O143&lt;&gt;"",O143,Inputs!$C$90)</f>
        <v>Linear Trend</v>
      </c>
      <c r="Q143" s="37" t="str">
        <f aca="false">IF($B$3=0,"",IF(Inputs!$C$91&gt;0,ROUND(IF(ISNUMBER(IF(P143="Last Actual",K143,IF(P143="Average",L143,IF(P143="Linear Trend",M143,N143)))),IF(P143="Last Actual",K143,IF(P143="Average",L143,IF(P143="Linear Trend",M143,N143))),K143)/Inputs!$C$91,0)*Inputs!$C$91,IF(ISNUMBER(IF(P143="Last Actual",K143,IF(P143="Average",L143,IF(P143="Linear Trend",M143,N143)))),IF(P143="Last Actual",K143,IF(P143="Average",L143,IF(P143="Linear Trend",M143,N143))),K143)))</f>
        <v/>
      </c>
      <c r="R143" s="31" t="n">
        <f aca="false">'Forecast Detail'!H104</f>
        <v>30591</v>
      </c>
      <c r="S143" s="8" t="str">
        <f aca="false">IF(Q143="","",IF(J143=0,"",Q143/J143-1))</f>
        <v/>
      </c>
      <c r="T143" s="38" t="str">
        <f aca="false">IF(S143="","",IF(ABS(S143)&gt;Inputs!$C$92,"REVIEW",""))</f>
        <v/>
      </c>
    </row>
    <row r="144" customFormat="false" ht="15" hidden="false" customHeight="false" outlineLevel="0" collapsed="false">
      <c r="A144" s="36" t="str">
        <f aca="false">'Forecast Detail'!D105</f>
        <v>500213 Textbooks AP</v>
      </c>
      <c r="B144" s="36" t="str">
        <f aca="false">'Forecast Detail'!A105</f>
        <v>Expense</v>
      </c>
      <c r="C144" s="36" t="str">
        <f aca="false">'Forecast Detail'!C105</f>
        <v>500213</v>
      </c>
      <c r="D144" s="36" t="str">
        <f aca="false">'Forecast Detail'!B105</f>
        <v>2 Instructional Expenses</v>
      </c>
      <c r="E144" s="11" t="str">
        <f aca="false">IF(ISNUMBER(B$4),SUMIFS('Actuals Import'!$B$1:$B$600,'Actuals Import'!$H$1:$H$600,$C144,'Actuals Import'!$G$1:$G$600,1),"")</f>
        <v/>
      </c>
      <c r="F144" s="11" t="str">
        <f aca="false">IF(ISNUMBER(C$4),SUMIFS('Actuals Import'!$K$1:$K$600,'Actuals Import'!$Q$1:$Q$600,$C144,'Actuals Import'!$P$1:$P$600,1),"")</f>
        <v/>
      </c>
      <c r="G144" s="11" t="str">
        <f aca="false">IF(ISNUMBER(D$4),SUMIFS('Actuals Import'!$T$1:$T$600,'Actuals Import'!$Z$1:$Z$600,$C144,'Actuals Import'!$Y$1:$Y$600,1),"")</f>
        <v/>
      </c>
      <c r="H144" s="11" t="str">
        <f aca="false">IF(ISNUMBER(E$4),SUMIFS('Actuals Import'!$AC$1:$AC$600,'Actuals Import'!$AI$1:$AI$600,$C144,'Actuals Import'!$AH$1:$AH$600,1),"")</f>
        <v/>
      </c>
      <c r="I144" s="11" t="str">
        <f aca="false">IF(ISNUMBER(F$4),SUMIFS('Actuals Import'!$AL$1:$AL$600,'Actuals Import'!$AR$1:$AR$600,$C144,'Actuals Import'!$AQ$1:$AQ$600,1),"")</f>
        <v/>
      </c>
      <c r="J144" s="31" t="n">
        <f aca="false">'Forecast Detail'!G105</f>
        <v>0</v>
      </c>
      <c r="K144" s="11" t="str">
        <f aca="false">IF($B$3=0,"",INDEX($E144:$I144,MATCH($F$3,$B$4:$F$4,0)))</f>
        <v/>
      </c>
      <c r="L144" s="11" t="str">
        <f aca="false">IF($B$3=0,"",AVERAGE($E144:$I144))</f>
        <v/>
      </c>
      <c r="M144" s="11" t="str">
        <f aca="false">IF($B$3&lt;3,"",IFERROR(FORECAST($H$3,$E144:$I144,$B$4:$F$4),""))</f>
        <v/>
      </c>
      <c r="N144" s="11" t="str">
        <f aca="false">IF($B$3&lt;2,"",IFERROR(IF(INDEX($E144:$I144,MATCH($D$3,$B$4:$F$4,0))*K144&gt;0,K144*(K144/INDEX($E144:$I144,MATCH($D$3,$B$4:$F$4,0)))^(($H$3-$F$3)/($F$3-$D$3)),K144),K144))</f>
        <v/>
      </c>
      <c r="O144" s="20"/>
      <c r="P144" s="6" t="str">
        <f aca="false">IF(O144&lt;&gt;"",O144,Inputs!$C$90)</f>
        <v>Linear Trend</v>
      </c>
      <c r="Q144" s="37" t="str">
        <f aca="false">IF($B$3=0,"",IF(Inputs!$C$91&gt;0,ROUND(IF(ISNUMBER(IF(P144="Last Actual",K144,IF(P144="Average",L144,IF(P144="Linear Trend",M144,N144)))),IF(P144="Last Actual",K144,IF(P144="Average",L144,IF(P144="Linear Trend",M144,N144))),K144)/Inputs!$C$91,0)*Inputs!$C$91,IF(ISNUMBER(IF(P144="Last Actual",K144,IF(P144="Average",L144,IF(P144="Linear Trend",M144,N144)))),IF(P144="Last Actual",K144,IF(P144="Average",L144,IF(P144="Linear Trend",M144,N144))),K144)))</f>
        <v/>
      </c>
      <c r="R144" s="31" t="n">
        <f aca="false">'Forecast Detail'!H105</f>
        <v>0</v>
      </c>
      <c r="S144" s="8" t="str">
        <f aca="false">IF(Q144="","",IF(J144=0,"",Q144/J144-1))</f>
        <v/>
      </c>
      <c r="T144" s="38" t="str">
        <f aca="false">IF(S144="","",IF(ABS(S144)&gt;Inputs!$C$92,"REVIEW",""))</f>
        <v/>
      </c>
    </row>
    <row r="145" customFormat="false" ht="15" hidden="false" customHeight="false" outlineLevel="0" collapsed="false">
      <c r="A145" s="36" t="str">
        <f aca="false">'Forecast Detail'!D106</f>
        <v>500214 Textbooks US</v>
      </c>
      <c r="B145" s="36" t="str">
        <f aca="false">'Forecast Detail'!A106</f>
        <v>Expense</v>
      </c>
      <c r="C145" s="36" t="str">
        <f aca="false">'Forecast Detail'!C106</f>
        <v>500214</v>
      </c>
      <c r="D145" s="36" t="str">
        <f aca="false">'Forecast Detail'!B106</f>
        <v>2 Instructional Expenses</v>
      </c>
      <c r="E145" s="11" t="str">
        <f aca="false">IF(ISNUMBER(B$4),SUMIFS('Actuals Import'!$B$1:$B$600,'Actuals Import'!$H$1:$H$600,$C145,'Actuals Import'!$G$1:$G$600,1),"")</f>
        <v/>
      </c>
      <c r="F145" s="11" t="str">
        <f aca="false">IF(ISNUMBER(C$4),SUMIFS('Actuals Import'!$K$1:$K$600,'Actuals Import'!$Q$1:$Q$600,$C145,'Actuals Import'!$P$1:$P$600,1),"")</f>
        <v/>
      </c>
      <c r="G145" s="11" t="str">
        <f aca="false">IF(ISNUMBER(D$4),SUMIFS('Actuals Import'!$T$1:$T$600,'Actuals Import'!$Z$1:$Z$600,$C145,'Actuals Import'!$Y$1:$Y$600,1),"")</f>
        <v/>
      </c>
      <c r="H145" s="11" t="str">
        <f aca="false">IF(ISNUMBER(E$4),SUMIFS('Actuals Import'!$AC$1:$AC$600,'Actuals Import'!$AI$1:$AI$600,$C145,'Actuals Import'!$AH$1:$AH$600,1),"")</f>
        <v/>
      </c>
      <c r="I145" s="11" t="str">
        <f aca="false">IF(ISNUMBER(F$4),SUMIFS('Actuals Import'!$AL$1:$AL$600,'Actuals Import'!$AR$1:$AR$600,$C145,'Actuals Import'!$AQ$1:$AQ$600,1),"")</f>
        <v/>
      </c>
      <c r="J145" s="31" t="n">
        <f aca="false">'Forecast Detail'!G106</f>
        <v>0</v>
      </c>
      <c r="K145" s="11" t="str">
        <f aca="false">IF($B$3=0,"",INDEX($E145:$I145,MATCH($F$3,$B$4:$F$4,0)))</f>
        <v/>
      </c>
      <c r="L145" s="11" t="str">
        <f aca="false">IF($B$3=0,"",AVERAGE($E145:$I145))</f>
        <v/>
      </c>
      <c r="M145" s="11" t="str">
        <f aca="false">IF($B$3&lt;3,"",IFERROR(FORECAST($H$3,$E145:$I145,$B$4:$F$4),""))</f>
        <v/>
      </c>
      <c r="N145" s="11" t="str">
        <f aca="false">IF($B$3&lt;2,"",IFERROR(IF(INDEX($E145:$I145,MATCH($D$3,$B$4:$F$4,0))*K145&gt;0,K145*(K145/INDEX($E145:$I145,MATCH($D$3,$B$4:$F$4,0)))^(($H$3-$F$3)/($F$3-$D$3)),K145),K145))</f>
        <v/>
      </c>
      <c r="O145" s="20"/>
      <c r="P145" s="6" t="str">
        <f aca="false">IF(O145&lt;&gt;"",O145,Inputs!$C$90)</f>
        <v>Linear Trend</v>
      </c>
      <c r="Q145" s="37" t="str">
        <f aca="false">IF($B$3=0,"",IF(Inputs!$C$91&gt;0,ROUND(IF(ISNUMBER(IF(P145="Last Actual",K145,IF(P145="Average",L145,IF(P145="Linear Trend",M145,N145)))),IF(P145="Last Actual",K145,IF(P145="Average",L145,IF(P145="Linear Trend",M145,N145))),K145)/Inputs!$C$91,0)*Inputs!$C$91,IF(ISNUMBER(IF(P145="Last Actual",K145,IF(P145="Average",L145,IF(P145="Linear Trend",M145,N145)))),IF(P145="Last Actual",K145,IF(P145="Average",L145,IF(P145="Linear Trend",M145,N145))),K145)))</f>
        <v/>
      </c>
      <c r="R145" s="31" t="n">
        <f aca="false">'Forecast Detail'!H106</f>
        <v>0</v>
      </c>
      <c r="S145" s="8" t="str">
        <f aca="false">IF(Q145="","",IF(J145=0,"",Q145/J145-1))</f>
        <v/>
      </c>
      <c r="T145" s="38" t="str">
        <f aca="false">IF(S145="","",IF(ABS(S145)&gt;Inputs!$C$92,"REVIEW",""))</f>
        <v/>
      </c>
    </row>
    <row r="146" customFormat="false" ht="15" hidden="false" customHeight="false" outlineLevel="0" collapsed="false">
      <c r="A146" s="36" t="str">
        <f aca="false">'Forecast Detail'!D107</f>
        <v>500215 Innovation Class Expenses</v>
      </c>
      <c r="B146" s="36" t="str">
        <f aca="false">'Forecast Detail'!A107</f>
        <v>Expense</v>
      </c>
      <c r="C146" s="36" t="str">
        <f aca="false">'Forecast Detail'!C107</f>
        <v>500215</v>
      </c>
      <c r="D146" s="36" t="str">
        <f aca="false">'Forecast Detail'!B107</f>
        <v>2 Instructional Expenses</v>
      </c>
      <c r="E146" s="11" t="str">
        <f aca="false">IF(ISNUMBER(B$4),SUMIFS('Actuals Import'!$B$1:$B$600,'Actuals Import'!$H$1:$H$600,$C146,'Actuals Import'!$G$1:$G$600,1),"")</f>
        <v/>
      </c>
      <c r="F146" s="11" t="str">
        <f aca="false">IF(ISNUMBER(C$4),SUMIFS('Actuals Import'!$K$1:$K$600,'Actuals Import'!$Q$1:$Q$600,$C146,'Actuals Import'!$P$1:$P$600,1),"")</f>
        <v/>
      </c>
      <c r="G146" s="11" t="str">
        <f aca="false">IF(ISNUMBER(D$4),SUMIFS('Actuals Import'!$T$1:$T$600,'Actuals Import'!$Z$1:$Z$600,$C146,'Actuals Import'!$Y$1:$Y$600,1),"")</f>
        <v/>
      </c>
      <c r="H146" s="11" t="str">
        <f aca="false">IF(ISNUMBER(E$4),SUMIFS('Actuals Import'!$AC$1:$AC$600,'Actuals Import'!$AI$1:$AI$600,$C146,'Actuals Import'!$AH$1:$AH$600,1),"")</f>
        <v/>
      </c>
      <c r="I146" s="11" t="str">
        <f aca="false">IF(ISNUMBER(F$4),SUMIFS('Actuals Import'!$AL$1:$AL$600,'Actuals Import'!$AR$1:$AR$600,$C146,'Actuals Import'!$AQ$1:$AQ$600,1),"")</f>
        <v/>
      </c>
      <c r="J146" s="31" t="n">
        <f aca="false">'Forecast Detail'!G107</f>
        <v>1000</v>
      </c>
      <c r="K146" s="11" t="str">
        <f aca="false">IF($B$3=0,"",INDEX($E146:$I146,MATCH($F$3,$B$4:$F$4,0)))</f>
        <v/>
      </c>
      <c r="L146" s="11" t="str">
        <f aca="false">IF($B$3=0,"",AVERAGE($E146:$I146))</f>
        <v/>
      </c>
      <c r="M146" s="11" t="str">
        <f aca="false">IF($B$3&lt;3,"",IFERROR(FORECAST($H$3,$E146:$I146,$B$4:$F$4),""))</f>
        <v/>
      </c>
      <c r="N146" s="11" t="str">
        <f aca="false">IF($B$3&lt;2,"",IFERROR(IF(INDEX($E146:$I146,MATCH($D$3,$B$4:$F$4,0))*K146&gt;0,K146*(K146/INDEX($E146:$I146,MATCH($D$3,$B$4:$F$4,0)))^(($H$3-$F$3)/($F$3-$D$3)),K146),K146))</f>
        <v/>
      </c>
      <c r="O146" s="20"/>
      <c r="P146" s="6" t="str">
        <f aca="false">IF(O146&lt;&gt;"",O146,Inputs!$C$90)</f>
        <v>Linear Trend</v>
      </c>
      <c r="Q146" s="37" t="str">
        <f aca="false">IF($B$3=0,"",IF(Inputs!$C$91&gt;0,ROUND(IF(ISNUMBER(IF(P146="Last Actual",K146,IF(P146="Average",L146,IF(P146="Linear Trend",M146,N146)))),IF(P146="Last Actual",K146,IF(P146="Average",L146,IF(P146="Linear Trend",M146,N146))),K146)/Inputs!$C$91,0)*Inputs!$C$91,IF(ISNUMBER(IF(P146="Last Actual",K146,IF(P146="Average",L146,IF(P146="Linear Trend",M146,N146)))),IF(P146="Last Actual",K146,IF(P146="Average",L146,IF(P146="Linear Trend",M146,N146))),K146)))</f>
        <v/>
      </c>
      <c r="R146" s="31" t="n">
        <f aca="false">'Forecast Detail'!H107</f>
        <v>1030</v>
      </c>
      <c r="S146" s="8" t="str">
        <f aca="false">IF(Q146="","",IF(J146=0,"",Q146/J146-1))</f>
        <v/>
      </c>
      <c r="T146" s="38" t="str">
        <f aca="false">IF(S146="","",IF(ABS(S146)&gt;Inputs!$C$92,"REVIEW",""))</f>
        <v/>
      </c>
    </row>
    <row r="147" customFormat="false" ht="15" hidden="false" customHeight="false" outlineLevel="0" collapsed="false">
      <c r="A147" s="36" t="str">
        <f aca="false">'Forecast Detail'!D108</f>
        <v>500216 OnLine Course Expense</v>
      </c>
      <c r="B147" s="36" t="str">
        <f aca="false">'Forecast Detail'!A108</f>
        <v>Expense</v>
      </c>
      <c r="C147" s="36" t="str">
        <f aca="false">'Forecast Detail'!C108</f>
        <v>500216</v>
      </c>
      <c r="D147" s="36" t="str">
        <f aca="false">'Forecast Detail'!B108</f>
        <v>2 Instructional Expenses</v>
      </c>
      <c r="E147" s="11" t="str">
        <f aca="false">IF(ISNUMBER(B$4),SUMIFS('Actuals Import'!$B$1:$B$600,'Actuals Import'!$H$1:$H$600,$C147,'Actuals Import'!$G$1:$G$600,1),"")</f>
        <v/>
      </c>
      <c r="F147" s="11" t="str">
        <f aca="false">IF(ISNUMBER(C$4),SUMIFS('Actuals Import'!$K$1:$K$600,'Actuals Import'!$Q$1:$Q$600,$C147,'Actuals Import'!$P$1:$P$600,1),"")</f>
        <v/>
      </c>
      <c r="G147" s="11" t="str">
        <f aca="false">IF(ISNUMBER(D$4),SUMIFS('Actuals Import'!$T$1:$T$600,'Actuals Import'!$Z$1:$Z$600,$C147,'Actuals Import'!$Y$1:$Y$600,1),"")</f>
        <v/>
      </c>
      <c r="H147" s="11" t="str">
        <f aca="false">IF(ISNUMBER(E$4),SUMIFS('Actuals Import'!$AC$1:$AC$600,'Actuals Import'!$AI$1:$AI$600,$C147,'Actuals Import'!$AH$1:$AH$600,1),"")</f>
        <v/>
      </c>
      <c r="I147" s="11" t="str">
        <f aca="false">IF(ISNUMBER(F$4),SUMIFS('Actuals Import'!$AL$1:$AL$600,'Actuals Import'!$AR$1:$AR$600,$C147,'Actuals Import'!$AQ$1:$AQ$600,1),"")</f>
        <v/>
      </c>
      <c r="J147" s="31" t="n">
        <f aca="false">'Forecast Detail'!G108</f>
        <v>7000</v>
      </c>
      <c r="K147" s="11" t="str">
        <f aca="false">IF($B$3=0,"",INDEX($E147:$I147,MATCH($F$3,$B$4:$F$4,0)))</f>
        <v/>
      </c>
      <c r="L147" s="11" t="str">
        <f aca="false">IF($B$3=0,"",AVERAGE($E147:$I147))</f>
        <v/>
      </c>
      <c r="M147" s="11" t="str">
        <f aca="false">IF($B$3&lt;3,"",IFERROR(FORECAST($H$3,$E147:$I147,$B$4:$F$4),""))</f>
        <v/>
      </c>
      <c r="N147" s="11" t="str">
        <f aca="false">IF($B$3&lt;2,"",IFERROR(IF(INDEX($E147:$I147,MATCH($D$3,$B$4:$F$4,0))*K147&gt;0,K147*(K147/INDEX($E147:$I147,MATCH($D$3,$B$4:$F$4,0)))^(($H$3-$F$3)/($F$3-$D$3)),K147),K147))</f>
        <v/>
      </c>
      <c r="O147" s="20"/>
      <c r="P147" s="6" t="str">
        <f aca="false">IF(O147&lt;&gt;"",O147,Inputs!$C$90)</f>
        <v>Linear Trend</v>
      </c>
      <c r="Q147" s="37" t="str">
        <f aca="false">IF($B$3=0,"",IF(Inputs!$C$91&gt;0,ROUND(IF(ISNUMBER(IF(P147="Last Actual",K147,IF(P147="Average",L147,IF(P147="Linear Trend",M147,N147)))),IF(P147="Last Actual",K147,IF(P147="Average",L147,IF(P147="Linear Trend",M147,N147))),K147)/Inputs!$C$91,0)*Inputs!$C$91,IF(ISNUMBER(IF(P147="Last Actual",K147,IF(P147="Average",L147,IF(P147="Linear Trend",M147,N147)))),IF(P147="Last Actual",K147,IF(P147="Average",L147,IF(P147="Linear Trend",M147,N147))),K147)))</f>
        <v/>
      </c>
      <c r="R147" s="31" t="n">
        <f aca="false">'Forecast Detail'!H108</f>
        <v>7210</v>
      </c>
      <c r="S147" s="8" t="str">
        <f aca="false">IF(Q147="","",IF(J147=0,"",Q147/J147-1))</f>
        <v/>
      </c>
      <c r="T147" s="38" t="str">
        <f aca="false">IF(S147="","",IF(ABS(S147)&gt;Inputs!$C$92,"REVIEW",""))</f>
        <v/>
      </c>
    </row>
    <row r="148" customFormat="false" ht="15" hidden="false" customHeight="false" outlineLevel="0" collapsed="false">
      <c r="A148" s="36" t="str">
        <f aca="false">'Forecast Detail'!D109</f>
        <v>Student Activities Expenses</v>
      </c>
      <c r="B148" s="36" t="str">
        <f aca="false">'Forecast Detail'!A109</f>
        <v>Expense</v>
      </c>
      <c r="C148" s="36" t="str">
        <f aca="false">'Forecast Detail'!C109</f>
        <v>Student Activities Expenses</v>
      </c>
      <c r="D148" s="36" t="str">
        <f aca="false">'Forecast Detail'!B109</f>
        <v>2 Instructional Expenses</v>
      </c>
      <c r="E148" s="11" t="str">
        <f aca="false">IF(ISNUMBER(B$4),SUMIFS('Actuals Import'!$B$1:$B$600,'Actuals Import'!$H$1:$H$600,$C148,'Actuals Import'!$G$1:$G$600,1),"")</f>
        <v/>
      </c>
      <c r="F148" s="11" t="str">
        <f aca="false">IF(ISNUMBER(C$4),SUMIFS('Actuals Import'!$K$1:$K$600,'Actuals Import'!$Q$1:$Q$600,$C148,'Actuals Import'!$P$1:$P$600,1),"")</f>
        <v/>
      </c>
      <c r="G148" s="11" t="str">
        <f aca="false">IF(ISNUMBER(D$4),SUMIFS('Actuals Import'!$T$1:$T$600,'Actuals Import'!$Z$1:$Z$600,$C148,'Actuals Import'!$Y$1:$Y$600,1),"")</f>
        <v/>
      </c>
      <c r="H148" s="11" t="str">
        <f aca="false">IF(ISNUMBER(E$4),SUMIFS('Actuals Import'!$AC$1:$AC$600,'Actuals Import'!$AI$1:$AI$600,$C148,'Actuals Import'!$AH$1:$AH$600,1),"")</f>
        <v/>
      </c>
      <c r="I148" s="11" t="str">
        <f aca="false">IF(ISNUMBER(F$4),SUMIFS('Actuals Import'!$AL$1:$AL$600,'Actuals Import'!$AR$1:$AR$600,$C148,'Actuals Import'!$AQ$1:$AQ$600,1),"")</f>
        <v/>
      </c>
      <c r="J148" s="31" t="n">
        <f aca="false">'Forecast Detail'!G109</f>
        <v>5000</v>
      </c>
      <c r="K148" s="11" t="str">
        <f aca="false">IF($B$3=0,"",INDEX($E148:$I148,MATCH($F$3,$B$4:$F$4,0)))</f>
        <v/>
      </c>
      <c r="L148" s="11" t="str">
        <f aca="false">IF($B$3=0,"",AVERAGE($E148:$I148))</f>
        <v/>
      </c>
      <c r="M148" s="11" t="str">
        <f aca="false">IF($B$3&lt;3,"",IFERROR(FORECAST($H$3,$E148:$I148,$B$4:$F$4),""))</f>
        <v/>
      </c>
      <c r="N148" s="11" t="str">
        <f aca="false">IF($B$3&lt;2,"",IFERROR(IF(INDEX($E148:$I148,MATCH($D$3,$B$4:$F$4,0))*K148&gt;0,K148*(K148/INDEX($E148:$I148,MATCH($D$3,$B$4:$F$4,0)))^(($H$3-$F$3)/($F$3-$D$3)),K148),K148))</f>
        <v/>
      </c>
      <c r="O148" s="20"/>
      <c r="P148" s="6" t="str">
        <f aca="false">IF(O148&lt;&gt;"",O148,Inputs!$C$90)</f>
        <v>Linear Trend</v>
      </c>
      <c r="Q148" s="37" t="str">
        <f aca="false">IF($B$3=0,"",IF(Inputs!$C$91&gt;0,ROUND(IF(ISNUMBER(IF(P148="Last Actual",K148,IF(P148="Average",L148,IF(P148="Linear Trend",M148,N148)))),IF(P148="Last Actual",K148,IF(P148="Average",L148,IF(P148="Linear Trend",M148,N148))),K148)/Inputs!$C$91,0)*Inputs!$C$91,IF(ISNUMBER(IF(P148="Last Actual",K148,IF(P148="Average",L148,IF(P148="Linear Trend",M148,N148)))),IF(P148="Last Actual",K148,IF(P148="Average",L148,IF(P148="Linear Trend",M148,N148))),K148)))</f>
        <v/>
      </c>
      <c r="R148" s="31" t="n">
        <f aca="false">'Forecast Detail'!H109</f>
        <v>5150</v>
      </c>
      <c r="S148" s="8" t="str">
        <f aca="false">IF(Q148="","",IF(J148=0,"",Q148/J148-1))</f>
        <v/>
      </c>
      <c r="T148" s="38" t="str">
        <f aca="false">IF(S148="","",IF(ABS(S148)&gt;Inputs!$C$92,"REVIEW",""))</f>
        <v/>
      </c>
    </row>
    <row r="149" customFormat="false" ht="15" hidden="false" customHeight="false" outlineLevel="0" collapsed="false">
      <c r="A149" s="36" t="str">
        <f aca="false">'Forecast Detail'!D110</f>
        <v>500283 All School Activity Expenses</v>
      </c>
      <c r="B149" s="36" t="str">
        <f aca="false">'Forecast Detail'!A110</f>
        <v>Expense</v>
      </c>
      <c r="C149" s="36" t="str">
        <f aca="false">'Forecast Detail'!C110</f>
        <v>500283</v>
      </c>
      <c r="D149" s="36" t="str">
        <f aca="false">'Forecast Detail'!B110</f>
        <v>2 Instructional Expenses</v>
      </c>
      <c r="E149" s="11" t="str">
        <f aca="false">IF(ISNUMBER(B$4),SUMIFS('Actuals Import'!$B$1:$B$600,'Actuals Import'!$H$1:$H$600,$C149,'Actuals Import'!$G$1:$G$600,1),"")</f>
        <v/>
      </c>
      <c r="F149" s="11" t="str">
        <f aca="false">IF(ISNUMBER(C$4),SUMIFS('Actuals Import'!$K$1:$K$600,'Actuals Import'!$Q$1:$Q$600,$C149,'Actuals Import'!$P$1:$P$600,1),"")</f>
        <v/>
      </c>
      <c r="G149" s="11" t="str">
        <f aca="false">IF(ISNUMBER(D$4),SUMIFS('Actuals Import'!$T$1:$T$600,'Actuals Import'!$Z$1:$Z$600,$C149,'Actuals Import'!$Y$1:$Y$600,1),"")</f>
        <v/>
      </c>
      <c r="H149" s="11" t="str">
        <f aca="false">IF(ISNUMBER(E$4),SUMIFS('Actuals Import'!$AC$1:$AC$600,'Actuals Import'!$AI$1:$AI$600,$C149,'Actuals Import'!$AH$1:$AH$600,1),"")</f>
        <v/>
      </c>
      <c r="I149" s="11" t="str">
        <f aca="false">IF(ISNUMBER(F$4),SUMIFS('Actuals Import'!$AL$1:$AL$600,'Actuals Import'!$AR$1:$AR$600,$C149,'Actuals Import'!$AQ$1:$AQ$600,1),"")</f>
        <v/>
      </c>
      <c r="J149" s="31" t="n">
        <f aca="false">'Forecast Detail'!G110</f>
        <v>0</v>
      </c>
      <c r="K149" s="11" t="str">
        <f aca="false">IF($B$3=0,"",INDEX($E149:$I149,MATCH($F$3,$B$4:$F$4,0)))</f>
        <v/>
      </c>
      <c r="L149" s="11" t="str">
        <f aca="false">IF($B$3=0,"",AVERAGE($E149:$I149))</f>
        <v/>
      </c>
      <c r="M149" s="11" t="str">
        <f aca="false">IF($B$3&lt;3,"",IFERROR(FORECAST($H$3,$E149:$I149,$B$4:$F$4),""))</f>
        <v/>
      </c>
      <c r="N149" s="11" t="str">
        <f aca="false">IF($B$3&lt;2,"",IFERROR(IF(INDEX($E149:$I149,MATCH($D$3,$B$4:$F$4,0))*K149&gt;0,K149*(K149/INDEX($E149:$I149,MATCH($D$3,$B$4:$F$4,0)))^(($H$3-$F$3)/($F$3-$D$3)),K149),K149))</f>
        <v/>
      </c>
      <c r="O149" s="20"/>
      <c r="P149" s="6" t="str">
        <f aca="false">IF(O149&lt;&gt;"",O149,Inputs!$C$90)</f>
        <v>Linear Trend</v>
      </c>
      <c r="Q149" s="37" t="str">
        <f aca="false">IF($B$3=0,"",IF(Inputs!$C$91&gt;0,ROUND(IF(ISNUMBER(IF(P149="Last Actual",K149,IF(P149="Average",L149,IF(P149="Linear Trend",M149,N149)))),IF(P149="Last Actual",K149,IF(P149="Average",L149,IF(P149="Linear Trend",M149,N149))),K149)/Inputs!$C$91,0)*Inputs!$C$91,IF(ISNUMBER(IF(P149="Last Actual",K149,IF(P149="Average",L149,IF(P149="Linear Trend",M149,N149)))),IF(P149="Last Actual",K149,IF(P149="Average",L149,IF(P149="Linear Trend",M149,N149))),K149)))</f>
        <v/>
      </c>
      <c r="R149" s="31" t="n">
        <f aca="false">'Forecast Detail'!H110</f>
        <v>0</v>
      </c>
      <c r="S149" s="8" t="str">
        <f aca="false">IF(Q149="","",IF(J149=0,"",Q149/J149-1))</f>
        <v/>
      </c>
      <c r="T149" s="38" t="str">
        <f aca="false">IF(S149="","",IF(ABS(S149)&gt;Inputs!$C$92,"REVIEW",""))</f>
        <v/>
      </c>
    </row>
    <row r="150" customFormat="false" ht="15" hidden="false" customHeight="false" outlineLevel="0" collapsed="false">
      <c r="A150" s="36" t="str">
        <f aca="false">'Forecast Detail'!D111</f>
        <v>500311 Graduation Activities</v>
      </c>
      <c r="B150" s="36" t="str">
        <f aca="false">'Forecast Detail'!A111</f>
        <v>Expense</v>
      </c>
      <c r="C150" s="36" t="str">
        <f aca="false">'Forecast Detail'!C111</f>
        <v>500311</v>
      </c>
      <c r="D150" s="36" t="str">
        <f aca="false">'Forecast Detail'!B111</f>
        <v>2 Instructional Expenses</v>
      </c>
      <c r="E150" s="11" t="str">
        <f aca="false">IF(ISNUMBER(B$4),SUMIFS('Actuals Import'!$B$1:$B$600,'Actuals Import'!$H$1:$H$600,$C150,'Actuals Import'!$G$1:$G$600,1),"")</f>
        <v/>
      </c>
      <c r="F150" s="11" t="str">
        <f aca="false">IF(ISNUMBER(C$4),SUMIFS('Actuals Import'!$K$1:$K$600,'Actuals Import'!$Q$1:$Q$600,$C150,'Actuals Import'!$P$1:$P$600,1),"")</f>
        <v/>
      </c>
      <c r="G150" s="11" t="str">
        <f aca="false">IF(ISNUMBER(D$4),SUMIFS('Actuals Import'!$T$1:$T$600,'Actuals Import'!$Z$1:$Z$600,$C150,'Actuals Import'!$Y$1:$Y$600,1),"")</f>
        <v/>
      </c>
      <c r="H150" s="11" t="str">
        <f aca="false">IF(ISNUMBER(E$4),SUMIFS('Actuals Import'!$AC$1:$AC$600,'Actuals Import'!$AI$1:$AI$600,$C150,'Actuals Import'!$AH$1:$AH$600,1),"")</f>
        <v/>
      </c>
      <c r="I150" s="11" t="str">
        <f aca="false">IF(ISNUMBER(F$4),SUMIFS('Actuals Import'!$AL$1:$AL$600,'Actuals Import'!$AR$1:$AR$600,$C150,'Actuals Import'!$AQ$1:$AQ$600,1),"")</f>
        <v/>
      </c>
      <c r="J150" s="31" t="n">
        <f aca="false">'Forecast Detail'!G111</f>
        <v>10000</v>
      </c>
      <c r="K150" s="11" t="str">
        <f aca="false">IF($B$3=0,"",INDEX($E150:$I150,MATCH($F$3,$B$4:$F$4,0)))</f>
        <v/>
      </c>
      <c r="L150" s="11" t="str">
        <f aca="false">IF($B$3=0,"",AVERAGE($E150:$I150))</f>
        <v/>
      </c>
      <c r="M150" s="11" t="str">
        <f aca="false">IF($B$3&lt;3,"",IFERROR(FORECAST($H$3,$E150:$I150,$B$4:$F$4),""))</f>
        <v/>
      </c>
      <c r="N150" s="11" t="str">
        <f aca="false">IF($B$3&lt;2,"",IFERROR(IF(INDEX($E150:$I150,MATCH($D$3,$B$4:$F$4,0))*K150&gt;0,K150*(K150/INDEX($E150:$I150,MATCH($D$3,$B$4:$F$4,0)))^(($H$3-$F$3)/($F$3-$D$3)),K150),K150))</f>
        <v/>
      </c>
      <c r="O150" s="20"/>
      <c r="P150" s="6" t="str">
        <f aca="false">IF(O150&lt;&gt;"",O150,Inputs!$C$90)</f>
        <v>Linear Trend</v>
      </c>
      <c r="Q150" s="37" t="str">
        <f aca="false">IF($B$3=0,"",IF(Inputs!$C$91&gt;0,ROUND(IF(ISNUMBER(IF(P150="Last Actual",K150,IF(P150="Average",L150,IF(P150="Linear Trend",M150,N150)))),IF(P150="Last Actual",K150,IF(P150="Average",L150,IF(P150="Linear Trend",M150,N150))),K150)/Inputs!$C$91,0)*Inputs!$C$91,IF(ISNUMBER(IF(P150="Last Actual",K150,IF(P150="Average",L150,IF(P150="Linear Trend",M150,N150)))),IF(P150="Last Actual",K150,IF(P150="Average",L150,IF(P150="Linear Trend",M150,N150))),K150)))</f>
        <v/>
      </c>
      <c r="R150" s="31" t="n">
        <f aca="false">'Forecast Detail'!H111</f>
        <v>10300</v>
      </c>
      <c r="S150" s="8" t="str">
        <f aca="false">IF(Q150="","",IF(J150=0,"",Q150/J150-1))</f>
        <v/>
      </c>
      <c r="T150" s="38" t="str">
        <f aca="false">IF(S150="","",IF(ABS(S150)&gt;Inputs!$C$92,"REVIEW",""))</f>
        <v/>
      </c>
    </row>
    <row r="151" customFormat="false" ht="15" hidden="false" customHeight="false" outlineLevel="0" collapsed="false">
      <c r="A151" s="36" t="str">
        <f aca="false">'Forecast Detail'!D112</f>
        <v>500313 Junior Class Prom</v>
      </c>
      <c r="B151" s="36" t="str">
        <f aca="false">'Forecast Detail'!A112</f>
        <v>Expense</v>
      </c>
      <c r="C151" s="36" t="str">
        <f aca="false">'Forecast Detail'!C112</f>
        <v>500313</v>
      </c>
      <c r="D151" s="36" t="str">
        <f aca="false">'Forecast Detail'!B112</f>
        <v>2 Instructional Expenses</v>
      </c>
      <c r="E151" s="11" t="str">
        <f aca="false">IF(ISNUMBER(B$4),SUMIFS('Actuals Import'!$B$1:$B$600,'Actuals Import'!$H$1:$H$600,$C151,'Actuals Import'!$G$1:$G$600,1),"")</f>
        <v/>
      </c>
      <c r="F151" s="11" t="str">
        <f aca="false">IF(ISNUMBER(C$4),SUMIFS('Actuals Import'!$K$1:$K$600,'Actuals Import'!$Q$1:$Q$600,$C151,'Actuals Import'!$P$1:$P$600,1),"")</f>
        <v/>
      </c>
      <c r="G151" s="11" t="str">
        <f aca="false">IF(ISNUMBER(D$4),SUMIFS('Actuals Import'!$T$1:$T$600,'Actuals Import'!$Z$1:$Z$600,$C151,'Actuals Import'!$Y$1:$Y$600,1),"")</f>
        <v/>
      </c>
      <c r="H151" s="11" t="str">
        <f aca="false">IF(ISNUMBER(E$4),SUMIFS('Actuals Import'!$AC$1:$AC$600,'Actuals Import'!$AI$1:$AI$600,$C151,'Actuals Import'!$AH$1:$AH$600,1),"")</f>
        <v/>
      </c>
      <c r="I151" s="11" t="str">
        <f aca="false">IF(ISNUMBER(F$4),SUMIFS('Actuals Import'!$AL$1:$AL$600,'Actuals Import'!$AR$1:$AR$600,$C151,'Actuals Import'!$AQ$1:$AQ$600,1),"")</f>
        <v/>
      </c>
      <c r="J151" s="31" t="n">
        <f aca="false">'Forecast Detail'!G112</f>
        <v>0</v>
      </c>
      <c r="K151" s="11" t="str">
        <f aca="false">IF($B$3=0,"",INDEX($E151:$I151,MATCH($F$3,$B$4:$F$4,0)))</f>
        <v/>
      </c>
      <c r="L151" s="11" t="str">
        <f aca="false">IF($B$3=0,"",AVERAGE($E151:$I151))</f>
        <v/>
      </c>
      <c r="M151" s="11" t="str">
        <f aca="false">IF($B$3&lt;3,"",IFERROR(FORECAST($H$3,$E151:$I151,$B$4:$F$4),""))</f>
        <v/>
      </c>
      <c r="N151" s="11" t="str">
        <f aca="false">IF($B$3&lt;2,"",IFERROR(IF(INDEX($E151:$I151,MATCH($D$3,$B$4:$F$4,0))*K151&gt;0,K151*(K151/INDEX($E151:$I151,MATCH($D$3,$B$4:$F$4,0)))^(($H$3-$F$3)/($F$3-$D$3)),K151),K151))</f>
        <v/>
      </c>
      <c r="O151" s="20"/>
      <c r="P151" s="6" t="str">
        <f aca="false">IF(O151&lt;&gt;"",O151,Inputs!$C$90)</f>
        <v>Linear Trend</v>
      </c>
      <c r="Q151" s="37" t="str">
        <f aca="false">IF($B$3=0,"",IF(Inputs!$C$91&gt;0,ROUND(IF(ISNUMBER(IF(P151="Last Actual",K151,IF(P151="Average",L151,IF(P151="Linear Trend",M151,N151)))),IF(P151="Last Actual",K151,IF(P151="Average",L151,IF(P151="Linear Trend",M151,N151))),K151)/Inputs!$C$91,0)*Inputs!$C$91,IF(ISNUMBER(IF(P151="Last Actual",K151,IF(P151="Average",L151,IF(P151="Linear Trend",M151,N151)))),IF(P151="Last Actual",K151,IF(P151="Average",L151,IF(P151="Linear Trend",M151,N151))),K151)))</f>
        <v/>
      </c>
      <c r="R151" s="31" t="n">
        <f aca="false">'Forecast Detail'!H112</f>
        <v>0</v>
      </c>
      <c r="S151" s="8" t="str">
        <f aca="false">IF(Q151="","",IF(J151=0,"",Q151/J151-1))</f>
        <v/>
      </c>
      <c r="T151" s="38" t="str">
        <f aca="false">IF(S151="","",IF(ABS(S151)&gt;Inputs!$C$92,"REVIEW",""))</f>
        <v/>
      </c>
    </row>
    <row r="152" customFormat="false" ht="15" hidden="false" customHeight="false" outlineLevel="0" collapsed="false">
      <c r="A152" s="36" t="str">
        <f aca="false">'Forecast Detail'!D113</f>
        <v>500318 Purchases Student Activities Billable</v>
      </c>
      <c r="B152" s="36" t="str">
        <f aca="false">'Forecast Detail'!A113</f>
        <v>Expense</v>
      </c>
      <c r="C152" s="36" t="str">
        <f aca="false">'Forecast Detail'!C113</f>
        <v>500318</v>
      </c>
      <c r="D152" s="36" t="str">
        <f aca="false">'Forecast Detail'!B113</f>
        <v>2 Instructional Expenses</v>
      </c>
      <c r="E152" s="11" t="str">
        <f aca="false">IF(ISNUMBER(B$4),SUMIFS('Actuals Import'!$B$1:$B$600,'Actuals Import'!$H$1:$H$600,$C152,'Actuals Import'!$G$1:$G$600,1),"")</f>
        <v/>
      </c>
      <c r="F152" s="11" t="str">
        <f aca="false">IF(ISNUMBER(C$4),SUMIFS('Actuals Import'!$K$1:$K$600,'Actuals Import'!$Q$1:$Q$600,$C152,'Actuals Import'!$P$1:$P$600,1),"")</f>
        <v/>
      </c>
      <c r="G152" s="11" t="str">
        <f aca="false">IF(ISNUMBER(D$4),SUMIFS('Actuals Import'!$T$1:$T$600,'Actuals Import'!$Z$1:$Z$600,$C152,'Actuals Import'!$Y$1:$Y$600,1),"")</f>
        <v/>
      </c>
      <c r="H152" s="11" t="str">
        <f aca="false">IF(ISNUMBER(E$4),SUMIFS('Actuals Import'!$AC$1:$AC$600,'Actuals Import'!$AI$1:$AI$600,$C152,'Actuals Import'!$AH$1:$AH$600,1),"")</f>
        <v/>
      </c>
      <c r="I152" s="11" t="str">
        <f aca="false">IF(ISNUMBER(F$4),SUMIFS('Actuals Import'!$AL$1:$AL$600,'Actuals Import'!$AR$1:$AR$600,$C152,'Actuals Import'!$AQ$1:$AQ$600,1),"")</f>
        <v/>
      </c>
      <c r="J152" s="31" t="n">
        <f aca="false">'Forecast Detail'!G113</f>
        <v>0</v>
      </c>
      <c r="K152" s="11" t="str">
        <f aca="false">IF($B$3=0,"",INDEX($E152:$I152,MATCH($F$3,$B$4:$F$4,0)))</f>
        <v/>
      </c>
      <c r="L152" s="11" t="str">
        <f aca="false">IF($B$3=0,"",AVERAGE($E152:$I152))</f>
        <v/>
      </c>
      <c r="M152" s="11" t="str">
        <f aca="false">IF($B$3&lt;3,"",IFERROR(FORECAST($H$3,$E152:$I152,$B$4:$F$4),""))</f>
        <v/>
      </c>
      <c r="N152" s="11" t="str">
        <f aca="false">IF($B$3&lt;2,"",IFERROR(IF(INDEX($E152:$I152,MATCH($D$3,$B$4:$F$4,0))*K152&gt;0,K152*(K152/INDEX($E152:$I152,MATCH($D$3,$B$4:$F$4,0)))^(($H$3-$F$3)/($F$3-$D$3)),K152),K152))</f>
        <v/>
      </c>
      <c r="O152" s="20"/>
      <c r="P152" s="6" t="str">
        <f aca="false">IF(O152&lt;&gt;"",O152,Inputs!$C$90)</f>
        <v>Linear Trend</v>
      </c>
      <c r="Q152" s="37" t="str">
        <f aca="false">IF($B$3=0,"",IF(Inputs!$C$91&gt;0,ROUND(IF(ISNUMBER(IF(P152="Last Actual",K152,IF(P152="Average",L152,IF(P152="Linear Trend",M152,N152)))),IF(P152="Last Actual",K152,IF(P152="Average",L152,IF(P152="Linear Trend",M152,N152))),K152)/Inputs!$C$91,0)*Inputs!$C$91,IF(ISNUMBER(IF(P152="Last Actual",K152,IF(P152="Average",L152,IF(P152="Linear Trend",M152,N152)))),IF(P152="Last Actual",K152,IF(P152="Average",L152,IF(P152="Linear Trend",M152,N152))),K152)))</f>
        <v/>
      </c>
      <c r="R152" s="31" t="n">
        <f aca="false">'Forecast Detail'!H113</f>
        <v>0</v>
      </c>
      <c r="S152" s="8" t="str">
        <f aca="false">IF(Q152="","",IF(J152=0,"",Q152/J152-1))</f>
        <v/>
      </c>
      <c r="T152" s="38" t="str">
        <f aca="false">IF(S152="","",IF(ABS(S152)&gt;Inputs!$C$92,"REVIEW",""))</f>
        <v/>
      </c>
    </row>
    <row r="153" customFormat="false" ht="15" hidden="false" customHeight="false" outlineLevel="0" collapsed="false">
      <c r="A153" s="36" t="str">
        <f aca="false">'Forecast Detail'!D114</f>
        <v>500340 Senior Class Expenses</v>
      </c>
      <c r="B153" s="36" t="str">
        <f aca="false">'Forecast Detail'!A114</f>
        <v>Expense</v>
      </c>
      <c r="C153" s="36" t="str">
        <f aca="false">'Forecast Detail'!C114</f>
        <v>500340</v>
      </c>
      <c r="D153" s="36" t="str">
        <f aca="false">'Forecast Detail'!B114</f>
        <v>2 Instructional Expenses</v>
      </c>
      <c r="E153" s="11" t="str">
        <f aca="false">IF(ISNUMBER(B$4),SUMIFS('Actuals Import'!$B$1:$B$600,'Actuals Import'!$H$1:$H$600,$C153,'Actuals Import'!$G$1:$G$600,1),"")</f>
        <v/>
      </c>
      <c r="F153" s="11" t="str">
        <f aca="false">IF(ISNUMBER(C$4),SUMIFS('Actuals Import'!$K$1:$K$600,'Actuals Import'!$Q$1:$Q$600,$C153,'Actuals Import'!$P$1:$P$600,1),"")</f>
        <v/>
      </c>
      <c r="G153" s="11" t="str">
        <f aca="false">IF(ISNUMBER(D$4),SUMIFS('Actuals Import'!$T$1:$T$600,'Actuals Import'!$Z$1:$Z$600,$C153,'Actuals Import'!$Y$1:$Y$600,1),"")</f>
        <v/>
      </c>
      <c r="H153" s="11" t="str">
        <f aca="false">IF(ISNUMBER(E$4),SUMIFS('Actuals Import'!$AC$1:$AC$600,'Actuals Import'!$AI$1:$AI$600,$C153,'Actuals Import'!$AH$1:$AH$600,1),"")</f>
        <v/>
      </c>
      <c r="I153" s="11" t="str">
        <f aca="false">IF(ISNUMBER(F$4),SUMIFS('Actuals Import'!$AL$1:$AL$600,'Actuals Import'!$AR$1:$AR$600,$C153,'Actuals Import'!$AQ$1:$AQ$600,1),"")</f>
        <v/>
      </c>
      <c r="J153" s="31" t="n">
        <f aca="false">'Forecast Detail'!G114</f>
        <v>0</v>
      </c>
      <c r="K153" s="11" t="str">
        <f aca="false">IF($B$3=0,"",INDEX($E153:$I153,MATCH($F$3,$B$4:$F$4,0)))</f>
        <v/>
      </c>
      <c r="L153" s="11" t="str">
        <f aca="false">IF($B$3=0,"",AVERAGE($E153:$I153))</f>
        <v/>
      </c>
      <c r="M153" s="11" t="str">
        <f aca="false">IF($B$3&lt;3,"",IFERROR(FORECAST($H$3,$E153:$I153,$B$4:$F$4),""))</f>
        <v/>
      </c>
      <c r="N153" s="11" t="str">
        <f aca="false">IF($B$3&lt;2,"",IFERROR(IF(INDEX($E153:$I153,MATCH($D$3,$B$4:$F$4,0))*K153&gt;0,K153*(K153/INDEX($E153:$I153,MATCH($D$3,$B$4:$F$4,0)))^(($H$3-$F$3)/($F$3-$D$3)),K153),K153))</f>
        <v/>
      </c>
      <c r="O153" s="20"/>
      <c r="P153" s="6" t="str">
        <f aca="false">IF(O153&lt;&gt;"",O153,Inputs!$C$90)</f>
        <v>Linear Trend</v>
      </c>
      <c r="Q153" s="37" t="str">
        <f aca="false">IF($B$3=0,"",IF(Inputs!$C$91&gt;0,ROUND(IF(ISNUMBER(IF(P153="Last Actual",K153,IF(P153="Average",L153,IF(P153="Linear Trend",M153,N153)))),IF(P153="Last Actual",K153,IF(P153="Average",L153,IF(P153="Linear Trend",M153,N153))),K153)/Inputs!$C$91,0)*Inputs!$C$91,IF(ISNUMBER(IF(P153="Last Actual",K153,IF(P153="Average",L153,IF(P153="Linear Trend",M153,N153)))),IF(P153="Last Actual",K153,IF(P153="Average",L153,IF(P153="Linear Trend",M153,N153))),K153)))</f>
        <v/>
      </c>
      <c r="R153" s="31" t="n">
        <f aca="false">'Forecast Detail'!H114</f>
        <v>0</v>
      </c>
      <c r="S153" s="8" t="str">
        <f aca="false">IF(Q153="","",IF(J153=0,"",Q153/J153-1))</f>
        <v/>
      </c>
      <c r="T153" s="38" t="str">
        <f aca="false">IF(S153="","",IF(ABS(S153)&gt;Inputs!$C$92,"REVIEW",""))</f>
        <v/>
      </c>
    </row>
    <row r="154" customFormat="false" ht="15" hidden="false" customHeight="false" outlineLevel="0" collapsed="false">
      <c r="A154" s="36" t="str">
        <f aca="false">'Forecast Detail'!D115</f>
        <v>500428 Wildcat Carnival</v>
      </c>
      <c r="B154" s="36" t="str">
        <f aca="false">'Forecast Detail'!A115</f>
        <v>Expense</v>
      </c>
      <c r="C154" s="36" t="str">
        <f aca="false">'Forecast Detail'!C115</f>
        <v>500428</v>
      </c>
      <c r="D154" s="36" t="str">
        <f aca="false">'Forecast Detail'!B115</f>
        <v>2 Instructional Expenses</v>
      </c>
      <c r="E154" s="11" t="str">
        <f aca="false">IF(ISNUMBER(B$4),SUMIFS('Actuals Import'!$B$1:$B$600,'Actuals Import'!$H$1:$H$600,$C154,'Actuals Import'!$G$1:$G$600,1),"")</f>
        <v/>
      </c>
      <c r="F154" s="11" t="str">
        <f aca="false">IF(ISNUMBER(C$4),SUMIFS('Actuals Import'!$K$1:$K$600,'Actuals Import'!$Q$1:$Q$600,$C154,'Actuals Import'!$P$1:$P$600,1),"")</f>
        <v/>
      </c>
      <c r="G154" s="11" t="str">
        <f aca="false">IF(ISNUMBER(D$4),SUMIFS('Actuals Import'!$T$1:$T$600,'Actuals Import'!$Z$1:$Z$600,$C154,'Actuals Import'!$Y$1:$Y$600,1),"")</f>
        <v/>
      </c>
      <c r="H154" s="11" t="str">
        <f aca="false">IF(ISNUMBER(E$4),SUMIFS('Actuals Import'!$AC$1:$AC$600,'Actuals Import'!$AI$1:$AI$600,$C154,'Actuals Import'!$AH$1:$AH$600,1),"")</f>
        <v/>
      </c>
      <c r="I154" s="11" t="str">
        <f aca="false">IF(ISNUMBER(F$4),SUMIFS('Actuals Import'!$AL$1:$AL$600,'Actuals Import'!$AR$1:$AR$600,$C154,'Actuals Import'!$AQ$1:$AQ$600,1),"")</f>
        <v/>
      </c>
      <c r="J154" s="31" t="n">
        <f aca="false">'Forecast Detail'!G115</f>
        <v>0</v>
      </c>
      <c r="K154" s="11" t="str">
        <f aca="false">IF($B$3=0,"",INDEX($E154:$I154,MATCH($F$3,$B$4:$F$4,0)))</f>
        <v/>
      </c>
      <c r="L154" s="11" t="str">
        <f aca="false">IF($B$3=0,"",AVERAGE($E154:$I154))</f>
        <v/>
      </c>
      <c r="M154" s="11" t="str">
        <f aca="false">IF($B$3&lt;3,"",IFERROR(FORECAST($H$3,$E154:$I154,$B$4:$F$4),""))</f>
        <v/>
      </c>
      <c r="N154" s="11" t="str">
        <f aca="false">IF($B$3&lt;2,"",IFERROR(IF(INDEX($E154:$I154,MATCH($D$3,$B$4:$F$4,0))*K154&gt;0,K154*(K154/INDEX($E154:$I154,MATCH($D$3,$B$4:$F$4,0)))^(($H$3-$F$3)/($F$3-$D$3)),K154),K154))</f>
        <v/>
      </c>
      <c r="O154" s="20"/>
      <c r="P154" s="6" t="str">
        <f aca="false">IF(O154&lt;&gt;"",O154,Inputs!$C$90)</f>
        <v>Linear Trend</v>
      </c>
      <c r="Q154" s="37" t="str">
        <f aca="false">IF($B$3=0,"",IF(Inputs!$C$91&gt;0,ROUND(IF(ISNUMBER(IF(P154="Last Actual",K154,IF(P154="Average",L154,IF(P154="Linear Trend",M154,N154)))),IF(P154="Last Actual",K154,IF(P154="Average",L154,IF(P154="Linear Trend",M154,N154))),K154)/Inputs!$C$91,0)*Inputs!$C$91,IF(ISNUMBER(IF(P154="Last Actual",K154,IF(P154="Average",L154,IF(P154="Linear Trend",M154,N154)))),IF(P154="Last Actual",K154,IF(P154="Average",L154,IF(P154="Linear Trend",M154,N154))),K154)))</f>
        <v/>
      </c>
      <c r="R154" s="31" t="n">
        <f aca="false">'Forecast Detail'!H115</f>
        <v>0</v>
      </c>
      <c r="S154" s="8" t="str">
        <f aca="false">IF(Q154="","",IF(J154=0,"",Q154/J154-1))</f>
        <v/>
      </c>
      <c r="T154" s="38" t="str">
        <f aca="false">IF(S154="","",IF(ABS(S154)&gt;Inputs!$C$92,"REVIEW",""))</f>
        <v/>
      </c>
    </row>
    <row r="155" customFormat="false" ht="15" hidden="false" customHeight="false" outlineLevel="0" collapsed="false">
      <c r="A155" s="36" t="str">
        <f aca="false">'Forecast Detail'!D116</f>
        <v>500434 MS/US Field Trips Billable</v>
      </c>
      <c r="B155" s="36" t="str">
        <f aca="false">'Forecast Detail'!A116</f>
        <v>Expense</v>
      </c>
      <c r="C155" s="36" t="str">
        <f aca="false">'Forecast Detail'!C116</f>
        <v>500434</v>
      </c>
      <c r="D155" s="36" t="str">
        <f aca="false">'Forecast Detail'!B116</f>
        <v>2 Instructional Expenses</v>
      </c>
      <c r="E155" s="11" t="str">
        <f aca="false">IF(ISNUMBER(B$4),SUMIFS('Actuals Import'!$B$1:$B$600,'Actuals Import'!$H$1:$H$600,$C155,'Actuals Import'!$G$1:$G$600,1),"")</f>
        <v/>
      </c>
      <c r="F155" s="11" t="str">
        <f aca="false">IF(ISNUMBER(C$4),SUMIFS('Actuals Import'!$K$1:$K$600,'Actuals Import'!$Q$1:$Q$600,$C155,'Actuals Import'!$P$1:$P$600,1),"")</f>
        <v/>
      </c>
      <c r="G155" s="11" t="str">
        <f aca="false">IF(ISNUMBER(D$4),SUMIFS('Actuals Import'!$T$1:$T$600,'Actuals Import'!$Z$1:$Z$600,$C155,'Actuals Import'!$Y$1:$Y$600,1),"")</f>
        <v/>
      </c>
      <c r="H155" s="11" t="str">
        <f aca="false">IF(ISNUMBER(E$4),SUMIFS('Actuals Import'!$AC$1:$AC$600,'Actuals Import'!$AI$1:$AI$600,$C155,'Actuals Import'!$AH$1:$AH$600,1),"")</f>
        <v/>
      </c>
      <c r="I155" s="11" t="str">
        <f aca="false">IF(ISNUMBER(F$4),SUMIFS('Actuals Import'!$AL$1:$AL$600,'Actuals Import'!$AR$1:$AR$600,$C155,'Actuals Import'!$AQ$1:$AQ$600,1),"")</f>
        <v/>
      </c>
      <c r="J155" s="31" t="n">
        <f aca="false">'Forecast Detail'!G116</f>
        <v>0</v>
      </c>
      <c r="K155" s="11" t="str">
        <f aca="false">IF($B$3=0,"",INDEX($E155:$I155,MATCH($F$3,$B$4:$F$4,0)))</f>
        <v/>
      </c>
      <c r="L155" s="11" t="str">
        <f aca="false">IF($B$3=0,"",AVERAGE($E155:$I155))</f>
        <v/>
      </c>
      <c r="M155" s="11" t="str">
        <f aca="false">IF($B$3&lt;3,"",IFERROR(FORECAST($H$3,$E155:$I155,$B$4:$F$4),""))</f>
        <v/>
      </c>
      <c r="N155" s="11" t="str">
        <f aca="false">IF($B$3&lt;2,"",IFERROR(IF(INDEX($E155:$I155,MATCH($D$3,$B$4:$F$4,0))*K155&gt;0,K155*(K155/INDEX($E155:$I155,MATCH($D$3,$B$4:$F$4,0)))^(($H$3-$F$3)/($F$3-$D$3)),K155),K155))</f>
        <v/>
      </c>
      <c r="O155" s="20"/>
      <c r="P155" s="6" t="str">
        <f aca="false">IF(O155&lt;&gt;"",O155,Inputs!$C$90)</f>
        <v>Linear Trend</v>
      </c>
      <c r="Q155" s="37" t="str">
        <f aca="false">IF($B$3=0,"",IF(Inputs!$C$91&gt;0,ROUND(IF(ISNUMBER(IF(P155="Last Actual",K155,IF(P155="Average",L155,IF(P155="Linear Trend",M155,N155)))),IF(P155="Last Actual",K155,IF(P155="Average",L155,IF(P155="Linear Trend",M155,N155))),K155)/Inputs!$C$91,0)*Inputs!$C$91,IF(ISNUMBER(IF(P155="Last Actual",K155,IF(P155="Average",L155,IF(P155="Linear Trend",M155,N155)))),IF(P155="Last Actual",K155,IF(P155="Average",L155,IF(P155="Linear Trend",M155,N155))),K155)))</f>
        <v/>
      </c>
      <c r="R155" s="31" t="n">
        <f aca="false">'Forecast Detail'!H116</f>
        <v>0</v>
      </c>
      <c r="S155" s="8" t="str">
        <f aca="false">IF(Q155="","",IF(J155=0,"",Q155/J155-1))</f>
        <v/>
      </c>
      <c r="T155" s="38" t="str">
        <f aca="false">IF(S155="","",IF(ABS(S155)&gt;Inputs!$C$92,"REVIEW",""))</f>
        <v/>
      </c>
    </row>
    <row r="156" customFormat="false" ht="15" hidden="false" customHeight="false" outlineLevel="0" collapsed="false">
      <c r="A156" s="36" t="str">
        <f aca="false">'Forecast Detail'!D117</f>
        <v>Business Office Expenses</v>
      </c>
      <c r="B156" s="36" t="str">
        <f aca="false">'Forecast Detail'!A117</f>
        <v>Expense</v>
      </c>
      <c r="C156" s="36" t="str">
        <f aca="false">'Forecast Detail'!C117</f>
        <v>Business Office Expenses</v>
      </c>
      <c r="D156" s="36" t="str">
        <f aca="false">'Forecast Detail'!B117</f>
        <v>3 Operations</v>
      </c>
      <c r="E156" s="11" t="str">
        <f aca="false">IF(ISNUMBER(B$4),SUMIFS('Actuals Import'!$B$1:$B$600,'Actuals Import'!$H$1:$H$600,$C156,'Actuals Import'!$G$1:$G$600,1),"")</f>
        <v/>
      </c>
      <c r="F156" s="11" t="str">
        <f aca="false">IF(ISNUMBER(C$4),SUMIFS('Actuals Import'!$K$1:$K$600,'Actuals Import'!$Q$1:$Q$600,$C156,'Actuals Import'!$P$1:$P$600,1),"")</f>
        <v/>
      </c>
      <c r="G156" s="11" t="str">
        <f aca="false">IF(ISNUMBER(D$4),SUMIFS('Actuals Import'!$T$1:$T$600,'Actuals Import'!$Z$1:$Z$600,$C156,'Actuals Import'!$Y$1:$Y$600,1),"")</f>
        <v/>
      </c>
      <c r="H156" s="11" t="str">
        <f aca="false">IF(ISNUMBER(E$4),SUMIFS('Actuals Import'!$AC$1:$AC$600,'Actuals Import'!$AI$1:$AI$600,$C156,'Actuals Import'!$AH$1:$AH$600,1),"")</f>
        <v/>
      </c>
      <c r="I156" s="11" t="str">
        <f aca="false">IF(ISNUMBER(F$4),SUMIFS('Actuals Import'!$AL$1:$AL$600,'Actuals Import'!$AR$1:$AR$600,$C156,'Actuals Import'!$AQ$1:$AQ$600,1),"")</f>
        <v/>
      </c>
      <c r="J156" s="31" t="n">
        <f aca="false">'Forecast Detail'!G117</f>
        <v>45000</v>
      </c>
      <c r="K156" s="11" t="str">
        <f aca="false">IF($B$3=0,"",INDEX($E156:$I156,MATCH($F$3,$B$4:$F$4,0)))</f>
        <v/>
      </c>
      <c r="L156" s="11" t="str">
        <f aca="false">IF($B$3=0,"",AVERAGE($E156:$I156))</f>
        <v/>
      </c>
      <c r="M156" s="11" t="str">
        <f aca="false">IF($B$3&lt;3,"",IFERROR(FORECAST($H$3,$E156:$I156,$B$4:$F$4),""))</f>
        <v/>
      </c>
      <c r="N156" s="11" t="str">
        <f aca="false">IF($B$3&lt;2,"",IFERROR(IF(INDEX($E156:$I156,MATCH($D$3,$B$4:$F$4,0))*K156&gt;0,K156*(K156/INDEX($E156:$I156,MATCH($D$3,$B$4:$F$4,0)))^(($H$3-$F$3)/($F$3-$D$3)),K156),K156))</f>
        <v/>
      </c>
      <c r="O156" s="20"/>
      <c r="P156" s="6" t="str">
        <f aca="false">IF(O156&lt;&gt;"",O156,Inputs!$C$90)</f>
        <v>Linear Trend</v>
      </c>
      <c r="Q156" s="37" t="str">
        <f aca="false">IF($B$3=0,"",IF(Inputs!$C$91&gt;0,ROUND(IF(ISNUMBER(IF(P156="Last Actual",K156,IF(P156="Average",L156,IF(P156="Linear Trend",M156,N156)))),IF(P156="Last Actual",K156,IF(P156="Average",L156,IF(P156="Linear Trend",M156,N156))),K156)/Inputs!$C$91,0)*Inputs!$C$91,IF(ISNUMBER(IF(P156="Last Actual",K156,IF(P156="Average",L156,IF(P156="Linear Trend",M156,N156)))),IF(P156="Last Actual",K156,IF(P156="Average",L156,IF(P156="Linear Trend",M156,N156))),K156)))</f>
        <v/>
      </c>
      <c r="R156" s="31" t="n">
        <f aca="false">'Forecast Detail'!H117</f>
        <v>46350</v>
      </c>
      <c r="S156" s="8" t="str">
        <f aca="false">IF(Q156="","",IF(J156=0,"",Q156/J156-1))</f>
        <v/>
      </c>
      <c r="T156" s="38" t="str">
        <f aca="false">IF(S156="","",IF(ABS(S156)&gt;Inputs!$C$92,"REVIEW",""))</f>
        <v/>
      </c>
    </row>
    <row r="157" customFormat="false" ht="15" hidden="false" customHeight="false" outlineLevel="0" collapsed="false">
      <c r="A157" s="36" t="str">
        <f aca="false">'Forecast Detail'!D118</f>
        <v>500010 Postage Expense</v>
      </c>
      <c r="B157" s="36" t="str">
        <f aca="false">'Forecast Detail'!A118</f>
        <v>Expense</v>
      </c>
      <c r="C157" s="36" t="str">
        <f aca="false">'Forecast Detail'!C118</f>
        <v>500010</v>
      </c>
      <c r="D157" s="36" t="str">
        <f aca="false">'Forecast Detail'!B118</f>
        <v>3 Operations</v>
      </c>
      <c r="E157" s="11" t="str">
        <f aca="false">IF(ISNUMBER(B$4),SUMIFS('Actuals Import'!$B$1:$B$600,'Actuals Import'!$H$1:$H$600,$C157,'Actuals Import'!$G$1:$G$600,1),"")</f>
        <v/>
      </c>
      <c r="F157" s="11" t="str">
        <f aca="false">IF(ISNUMBER(C$4),SUMIFS('Actuals Import'!$K$1:$K$600,'Actuals Import'!$Q$1:$Q$600,$C157,'Actuals Import'!$P$1:$P$600,1),"")</f>
        <v/>
      </c>
      <c r="G157" s="11" t="str">
        <f aca="false">IF(ISNUMBER(D$4),SUMIFS('Actuals Import'!$T$1:$T$600,'Actuals Import'!$Z$1:$Z$600,$C157,'Actuals Import'!$Y$1:$Y$600,1),"")</f>
        <v/>
      </c>
      <c r="H157" s="11" t="str">
        <f aca="false">IF(ISNUMBER(E$4),SUMIFS('Actuals Import'!$AC$1:$AC$600,'Actuals Import'!$AI$1:$AI$600,$C157,'Actuals Import'!$AH$1:$AH$600,1),"")</f>
        <v/>
      </c>
      <c r="I157" s="11" t="str">
        <f aca="false">IF(ISNUMBER(F$4),SUMIFS('Actuals Import'!$AL$1:$AL$600,'Actuals Import'!$AR$1:$AR$600,$C157,'Actuals Import'!$AQ$1:$AQ$600,1),"")</f>
        <v/>
      </c>
      <c r="J157" s="31" t="n">
        <f aca="false">'Forecast Detail'!G118</f>
        <v>0</v>
      </c>
      <c r="K157" s="11" t="str">
        <f aca="false">IF($B$3=0,"",INDEX($E157:$I157,MATCH($F$3,$B$4:$F$4,0)))</f>
        <v/>
      </c>
      <c r="L157" s="11" t="str">
        <f aca="false">IF($B$3=0,"",AVERAGE($E157:$I157))</f>
        <v/>
      </c>
      <c r="M157" s="11" t="str">
        <f aca="false">IF($B$3&lt;3,"",IFERROR(FORECAST($H$3,$E157:$I157,$B$4:$F$4),""))</f>
        <v/>
      </c>
      <c r="N157" s="11" t="str">
        <f aca="false">IF($B$3&lt;2,"",IFERROR(IF(INDEX($E157:$I157,MATCH($D$3,$B$4:$F$4,0))*K157&gt;0,K157*(K157/INDEX($E157:$I157,MATCH($D$3,$B$4:$F$4,0)))^(($H$3-$F$3)/($F$3-$D$3)),K157),K157))</f>
        <v/>
      </c>
      <c r="O157" s="20"/>
      <c r="P157" s="6" t="str">
        <f aca="false">IF(O157&lt;&gt;"",O157,Inputs!$C$90)</f>
        <v>Linear Trend</v>
      </c>
      <c r="Q157" s="37" t="str">
        <f aca="false">IF($B$3=0,"",IF(Inputs!$C$91&gt;0,ROUND(IF(ISNUMBER(IF(P157="Last Actual",K157,IF(P157="Average",L157,IF(P157="Linear Trend",M157,N157)))),IF(P157="Last Actual",K157,IF(P157="Average",L157,IF(P157="Linear Trend",M157,N157))),K157)/Inputs!$C$91,0)*Inputs!$C$91,IF(ISNUMBER(IF(P157="Last Actual",K157,IF(P157="Average",L157,IF(P157="Linear Trend",M157,N157)))),IF(P157="Last Actual",K157,IF(P157="Average",L157,IF(P157="Linear Trend",M157,N157))),K157)))</f>
        <v/>
      </c>
      <c r="R157" s="31" t="n">
        <f aca="false">'Forecast Detail'!H118</f>
        <v>0</v>
      </c>
      <c r="S157" s="8" t="str">
        <f aca="false">IF(Q157="","",IF(J157=0,"",Q157/J157-1))</f>
        <v/>
      </c>
      <c r="T157" s="38" t="str">
        <f aca="false">IF(S157="","",IF(ABS(S157)&gt;Inputs!$C$92,"REVIEW",""))</f>
        <v/>
      </c>
    </row>
    <row r="158" customFormat="false" ht="15" hidden="false" customHeight="false" outlineLevel="0" collapsed="false">
      <c r="A158" s="36" t="str">
        <f aca="false">'Forecast Detail'!D119</f>
        <v>500241 FACTS Enrollment Fee Expense</v>
      </c>
      <c r="B158" s="36" t="str">
        <f aca="false">'Forecast Detail'!A119</f>
        <v>Expense</v>
      </c>
      <c r="C158" s="36" t="str">
        <f aca="false">'Forecast Detail'!C119</f>
        <v>500241</v>
      </c>
      <c r="D158" s="36" t="str">
        <f aca="false">'Forecast Detail'!B119</f>
        <v>3 Operations</v>
      </c>
      <c r="E158" s="11" t="str">
        <f aca="false">IF(ISNUMBER(B$4),SUMIFS('Actuals Import'!$B$1:$B$600,'Actuals Import'!$H$1:$H$600,$C158,'Actuals Import'!$G$1:$G$600,1),"")</f>
        <v/>
      </c>
      <c r="F158" s="11" t="str">
        <f aca="false">IF(ISNUMBER(C$4),SUMIFS('Actuals Import'!$K$1:$K$600,'Actuals Import'!$Q$1:$Q$600,$C158,'Actuals Import'!$P$1:$P$600,1),"")</f>
        <v/>
      </c>
      <c r="G158" s="11" t="str">
        <f aca="false">IF(ISNUMBER(D$4),SUMIFS('Actuals Import'!$T$1:$T$600,'Actuals Import'!$Z$1:$Z$600,$C158,'Actuals Import'!$Y$1:$Y$600,1),"")</f>
        <v/>
      </c>
      <c r="H158" s="11" t="str">
        <f aca="false">IF(ISNUMBER(E$4),SUMIFS('Actuals Import'!$AC$1:$AC$600,'Actuals Import'!$AI$1:$AI$600,$C158,'Actuals Import'!$AH$1:$AH$600,1),"")</f>
        <v/>
      </c>
      <c r="I158" s="11" t="str">
        <f aca="false">IF(ISNUMBER(F$4),SUMIFS('Actuals Import'!$AL$1:$AL$600,'Actuals Import'!$AR$1:$AR$600,$C158,'Actuals Import'!$AQ$1:$AQ$600,1),"")</f>
        <v/>
      </c>
      <c r="J158" s="31" t="n">
        <f aca="false">'Forecast Detail'!G119</f>
        <v>0</v>
      </c>
      <c r="K158" s="11" t="str">
        <f aca="false">IF($B$3=0,"",INDEX($E158:$I158,MATCH($F$3,$B$4:$F$4,0)))</f>
        <v/>
      </c>
      <c r="L158" s="11" t="str">
        <f aca="false">IF($B$3=0,"",AVERAGE($E158:$I158))</f>
        <v/>
      </c>
      <c r="M158" s="11" t="str">
        <f aca="false">IF($B$3&lt;3,"",IFERROR(FORECAST($H$3,$E158:$I158,$B$4:$F$4),""))</f>
        <v/>
      </c>
      <c r="N158" s="11" t="str">
        <f aca="false">IF($B$3&lt;2,"",IFERROR(IF(INDEX($E158:$I158,MATCH($D$3,$B$4:$F$4,0))*K158&gt;0,K158*(K158/INDEX($E158:$I158,MATCH($D$3,$B$4:$F$4,0)))^(($H$3-$F$3)/($F$3-$D$3)),K158),K158))</f>
        <v/>
      </c>
      <c r="O158" s="20"/>
      <c r="P158" s="6" t="str">
        <f aca="false">IF(O158&lt;&gt;"",O158,Inputs!$C$90)</f>
        <v>Linear Trend</v>
      </c>
      <c r="Q158" s="37" t="str">
        <f aca="false">IF($B$3=0,"",IF(Inputs!$C$91&gt;0,ROUND(IF(ISNUMBER(IF(P158="Last Actual",K158,IF(P158="Average",L158,IF(P158="Linear Trend",M158,N158)))),IF(P158="Last Actual",K158,IF(P158="Average",L158,IF(P158="Linear Trend",M158,N158))),K158)/Inputs!$C$91,0)*Inputs!$C$91,IF(ISNUMBER(IF(P158="Last Actual",K158,IF(P158="Average",L158,IF(P158="Linear Trend",M158,N158)))),IF(P158="Last Actual",K158,IF(P158="Average",L158,IF(P158="Linear Trend",M158,N158))),K158)))</f>
        <v/>
      </c>
      <c r="R158" s="31" t="n">
        <f aca="false">'Forecast Detail'!H119</f>
        <v>0</v>
      </c>
      <c r="S158" s="8" t="str">
        <f aca="false">IF(Q158="","",IF(J158=0,"",Q158/J158-1))</f>
        <v/>
      </c>
      <c r="T158" s="38" t="str">
        <f aca="false">IF(S158="","",IF(ABS(S158)&gt;Inputs!$C$92,"REVIEW",""))</f>
        <v/>
      </c>
    </row>
    <row r="159" customFormat="false" ht="15" hidden="false" customHeight="false" outlineLevel="0" collapsed="false">
      <c r="A159" s="36" t="str">
        <f aca="false">'Forecast Detail'!D120</f>
        <v>500242 FACTS Hosting Fee</v>
      </c>
      <c r="B159" s="36" t="str">
        <f aca="false">'Forecast Detail'!A120</f>
        <v>Expense</v>
      </c>
      <c r="C159" s="36" t="str">
        <f aca="false">'Forecast Detail'!C120</f>
        <v>500242</v>
      </c>
      <c r="D159" s="36" t="str">
        <f aca="false">'Forecast Detail'!B120</f>
        <v>3 Operations</v>
      </c>
      <c r="E159" s="11" t="str">
        <f aca="false">IF(ISNUMBER(B$4),SUMIFS('Actuals Import'!$B$1:$B$600,'Actuals Import'!$H$1:$H$600,$C159,'Actuals Import'!$G$1:$G$600,1),"")</f>
        <v/>
      </c>
      <c r="F159" s="11" t="str">
        <f aca="false">IF(ISNUMBER(C$4),SUMIFS('Actuals Import'!$K$1:$K$600,'Actuals Import'!$Q$1:$Q$600,$C159,'Actuals Import'!$P$1:$P$600,1),"")</f>
        <v/>
      </c>
      <c r="G159" s="11" t="str">
        <f aca="false">IF(ISNUMBER(D$4),SUMIFS('Actuals Import'!$T$1:$T$600,'Actuals Import'!$Z$1:$Z$600,$C159,'Actuals Import'!$Y$1:$Y$600,1),"")</f>
        <v/>
      </c>
      <c r="H159" s="11" t="str">
        <f aca="false">IF(ISNUMBER(E$4),SUMIFS('Actuals Import'!$AC$1:$AC$600,'Actuals Import'!$AI$1:$AI$600,$C159,'Actuals Import'!$AH$1:$AH$600,1),"")</f>
        <v/>
      </c>
      <c r="I159" s="11" t="str">
        <f aca="false">IF(ISNUMBER(F$4),SUMIFS('Actuals Import'!$AL$1:$AL$600,'Actuals Import'!$AR$1:$AR$600,$C159,'Actuals Import'!$AQ$1:$AQ$600,1),"")</f>
        <v/>
      </c>
      <c r="J159" s="31" t="n">
        <f aca="false">'Forecast Detail'!G120</f>
        <v>7500</v>
      </c>
      <c r="K159" s="11" t="str">
        <f aca="false">IF($B$3=0,"",INDEX($E159:$I159,MATCH($F$3,$B$4:$F$4,0)))</f>
        <v/>
      </c>
      <c r="L159" s="11" t="str">
        <f aca="false">IF($B$3=0,"",AVERAGE($E159:$I159))</f>
        <v/>
      </c>
      <c r="M159" s="11" t="str">
        <f aca="false">IF($B$3&lt;3,"",IFERROR(FORECAST($H$3,$E159:$I159,$B$4:$F$4),""))</f>
        <v/>
      </c>
      <c r="N159" s="11" t="str">
        <f aca="false">IF($B$3&lt;2,"",IFERROR(IF(INDEX($E159:$I159,MATCH($D$3,$B$4:$F$4,0))*K159&gt;0,K159*(K159/INDEX($E159:$I159,MATCH($D$3,$B$4:$F$4,0)))^(($H$3-$F$3)/($F$3-$D$3)),K159),K159))</f>
        <v/>
      </c>
      <c r="O159" s="20"/>
      <c r="P159" s="6" t="str">
        <f aca="false">IF(O159&lt;&gt;"",O159,Inputs!$C$90)</f>
        <v>Linear Trend</v>
      </c>
      <c r="Q159" s="37" t="str">
        <f aca="false">IF($B$3=0,"",IF(Inputs!$C$91&gt;0,ROUND(IF(ISNUMBER(IF(P159="Last Actual",K159,IF(P159="Average",L159,IF(P159="Linear Trend",M159,N159)))),IF(P159="Last Actual",K159,IF(P159="Average",L159,IF(P159="Linear Trend",M159,N159))),K159)/Inputs!$C$91,0)*Inputs!$C$91,IF(ISNUMBER(IF(P159="Last Actual",K159,IF(P159="Average",L159,IF(P159="Linear Trend",M159,N159)))),IF(P159="Last Actual",K159,IF(P159="Average",L159,IF(P159="Linear Trend",M159,N159))),K159)))</f>
        <v/>
      </c>
      <c r="R159" s="31" t="n">
        <f aca="false">'Forecast Detail'!H120</f>
        <v>7725</v>
      </c>
      <c r="S159" s="8" t="str">
        <f aca="false">IF(Q159="","",IF(J159=0,"",Q159/J159-1))</f>
        <v/>
      </c>
      <c r="T159" s="38" t="str">
        <f aca="false">IF(S159="","",IF(ABS(S159)&gt;Inputs!$C$92,"REVIEW",""))</f>
        <v/>
      </c>
    </row>
    <row r="160" customFormat="false" ht="15" hidden="false" customHeight="false" outlineLevel="0" collapsed="false">
      <c r="A160" s="36" t="str">
        <f aca="false">'Forecast Detail'!D121</f>
        <v>500243 FACTS Implementation Fee</v>
      </c>
      <c r="B160" s="36" t="str">
        <f aca="false">'Forecast Detail'!A121</f>
        <v>Expense</v>
      </c>
      <c r="C160" s="36" t="str">
        <f aca="false">'Forecast Detail'!C121</f>
        <v>500243</v>
      </c>
      <c r="D160" s="36" t="str">
        <f aca="false">'Forecast Detail'!B121</f>
        <v>3 Operations</v>
      </c>
      <c r="E160" s="11" t="str">
        <f aca="false">IF(ISNUMBER(B$4),SUMIFS('Actuals Import'!$B$1:$B$600,'Actuals Import'!$H$1:$H$600,$C160,'Actuals Import'!$G$1:$G$600,1),"")</f>
        <v/>
      </c>
      <c r="F160" s="11" t="str">
        <f aca="false">IF(ISNUMBER(C$4),SUMIFS('Actuals Import'!$K$1:$K$600,'Actuals Import'!$Q$1:$Q$600,$C160,'Actuals Import'!$P$1:$P$600,1),"")</f>
        <v/>
      </c>
      <c r="G160" s="11" t="str">
        <f aca="false">IF(ISNUMBER(D$4),SUMIFS('Actuals Import'!$T$1:$T$600,'Actuals Import'!$Z$1:$Z$600,$C160,'Actuals Import'!$Y$1:$Y$600,1),"")</f>
        <v/>
      </c>
      <c r="H160" s="11" t="str">
        <f aca="false">IF(ISNUMBER(E$4),SUMIFS('Actuals Import'!$AC$1:$AC$600,'Actuals Import'!$AI$1:$AI$600,$C160,'Actuals Import'!$AH$1:$AH$600,1),"")</f>
        <v/>
      </c>
      <c r="I160" s="11" t="str">
        <f aca="false">IF(ISNUMBER(F$4),SUMIFS('Actuals Import'!$AL$1:$AL$600,'Actuals Import'!$AR$1:$AR$600,$C160,'Actuals Import'!$AQ$1:$AQ$600,1),"")</f>
        <v/>
      </c>
      <c r="J160" s="31" t="n">
        <f aca="false">'Forecast Detail'!G121</f>
        <v>0</v>
      </c>
      <c r="K160" s="11" t="str">
        <f aca="false">IF($B$3=0,"",INDEX($E160:$I160,MATCH($F$3,$B$4:$F$4,0)))</f>
        <v/>
      </c>
      <c r="L160" s="11" t="str">
        <f aca="false">IF($B$3=0,"",AVERAGE($E160:$I160))</f>
        <v/>
      </c>
      <c r="M160" s="11" t="str">
        <f aca="false">IF($B$3&lt;3,"",IFERROR(FORECAST($H$3,$E160:$I160,$B$4:$F$4),""))</f>
        <v/>
      </c>
      <c r="N160" s="11" t="str">
        <f aca="false">IF($B$3&lt;2,"",IFERROR(IF(INDEX($E160:$I160,MATCH($D$3,$B$4:$F$4,0))*K160&gt;0,K160*(K160/INDEX($E160:$I160,MATCH($D$3,$B$4:$F$4,0)))^(($H$3-$F$3)/($F$3-$D$3)),K160),K160))</f>
        <v/>
      </c>
      <c r="O160" s="20"/>
      <c r="P160" s="6" t="str">
        <f aca="false">IF(O160&lt;&gt;"",O160,Inputs!$C$90)</f>
        <v>Linear Trend</v>
      </c>
      <c r="Q160" s="37" t="str">
        <f aca="false">IF($B$3=0,"",IF(Inputs!$C$91&gt;0,ROUND(IF(ISNUMBER(IF(P160="Last Actual",K160,IF(P160="Average",L160,IF(P160="Linear Trend",M160,N160)))),IF(P160="Last Actual",K160,IF(P160="Average",L160,IF(P160="Linear Trend",M160,N160))),K160)/Inputs!$C$91,0)*Inputs!$C$91,IF(ISNUMBER(IF(P160="Last Actual",K160,IF(P160="Average",L160,IF(P160="Linear Trend",M160,N160)))),IF(P160="Last Actual",K160,IF(P160="Average",L160,IF(P160="Linear Trend",M160,N160))),K160)))</f>
        <v/>
      </c>
      <c r="R160" s="31" t="n">
        <f aca="false">'Forecast Detail'!H121</f>
        <v>0</v>
      </c>
      <c r="S160" s="8" t="str">
        <f aca="false">IF(Q160="","",IF(J160=0,"",Q160/J160-1))</f>
        <v/>
      </c>
      <c r="T160" s="38" t="str">
        <f aca="false">IF(S160="","",IF(ABS(S160)&gt;Inputs!$C$92,"REVIEW",""))</f>
        <v/>
      </c>
    </row>
    <row r="161" customFormat="false" ht="15" hidden="false" customHeight="false" outlineLevel="0" collapsed="false">
      <c r="A161" s="36" t="str">
        <f aca="false">'Forecast Detail'!D122</f>
        <v>500244 FACTS Returned Payment Fee</v>
      </c>
      <c r="B161" s="36" t="str">
        <f aca="false">'Forecast Detail'!A122</f>
        <v>Expense</v>
      </c>
      <c r="C161" s="36" t="str">
        <f aca="false">'Forecast Detail'!C122</f>
        <v>500244</v>
      </c>
      <c r="D161" s="36" t="str">
        <f aca="false">'Forecast Detail'!B122</f>
        <v>3 Operations</v>
      </c>
      <c r="E161" s="11" t="str">
        <f aca="false">IF(ISNUMBER(B$4),SUMIFS('Actuals Import'!$B$1:$B$600,'Actuals Import'!$H$1:$H$600,$C161,'Actuals Import'!$G$1:$G$600,1),"")</f>
        <v/>
      </c>
      <c r="F161" s="11" t="str">
        <f aca="false">IF(ISNUMBER(C$4),SUMIFS('Actuals Import'!$K$1:$K$600,'Actuals Import'!$Q$1:$Q$600,$C161,'Actuals Import'!$P$1:$P$600,1),"")</f>
        <v/>
      </c>
      <c r="G161" s="11" t="str">
        <f aca="false">IF(ISNUMBER(D$4),SUMIFS('Actuals Import'!$T$1:$T$600,'Actuals Import'!$Z$1:$Z$600,$C161,'Actuals Import'!$Y$1:$Y$600,1),"")</f>
        <v/>
      </c>
      <c r="H161" s="11" t="str">
        <f aca="false">IF(ISNUMBER(E$4),SUMIFS('Actuals Import'!$AC$1:$AC$600,'Actuals Import'!$AI$1:$AI$600,$C161,'Actuals Import'!$AH$1:$AH$600,1),"")</f>
        <v/>
      </c>
      <c r="I161" s="11" t="str">
        <f aca="false">IF(ISNUMBER(F$4),SUMIFS('Actuals Import'!$AL$1:$AL$600,'Actuals Import'!$AR$1:$AR$600,$C161,'Actuals Import'!$AQ$1:$AQ$600,1),"")</f>
        <v/>
      </c>
      <c r="J161" s="31" t="n">
        <f aca="false">'Forecast Detail'!G122</f>
        <v>0</v>
      </c>
      <c r="K161" s="11" t="str">
        <f aca="false">IF($B$3=0,"",INDEX($E161:$I161,MATCH($F$3,$B$4:$F$4,0)))</f>
        <v/>
      </c>
      <c r="L161" s="11" t="str">
        <f aca="false">IF($B$3=0,"",AVERAGE($E161:$I161))</f>
        <v/>
      </c>
      <c r="M161" s="11" t="str">
        <f aca="false">IF($B$3&lt;3,"",IFERROR(FORECAST($H$3,$E161:$I161,$B$4:$F$4),""))</f>
        <v/>
      </c>
      <c r="N161" s="11" t="str">
        <f aca="false">IF($B$3&lt;2,"",IFERROR(IF(INDEX($E161:$I161,MATCH($D$3,$B$4:$F$4,0))*K161&gt;0,K161*(K161/INDEX($E161:$I161,MATCH($D$3,$B$4:$F$4,0)))^(($H$3-$F$3)/($F$3-$D$3)),K161),K161))</f>
        <v/>
      </c>
      <c r="O161" s="20"/>
      <c r="P161" s="6" t="str">
        <f aca="false">IF(O161&lt;&gt;"",O161,Inputs!$C$90)</f>
        <v>Linear Trend</v>
      </c>
      <c r="Q161" s="37" t="str">
        <f aca="false">IF($B$3=0,"",IF(Inputs!$C$91&gt;0,ROUND(IF(ISNUMBER(IF(P161="Last Actual",K161,IF(P161="Average",L161,IF(P161="Linear Trend",M161,N161)))),IF(P161="Last Actual",K161,IF(P161="Average",L161,IF(P161="Linear Trend",M161,N161))),K161)/Inputs!$C$91,0)*Inputs!$C$91,IF(ISNUMBER(IF(P161="Last Actual",K161,IF(P161="Average",L161,IF(P161="Linear Trend",M161,N161)))),IF(P161="Last Actual",K161,IF(P161="Average",L161,IF(P161="Linear Trend",M161,N161))),K161)))</f>
        <v/>
      </c>
      <c r="R161" s="31" t="n">
        <f aca="false">'Forecast Detail'!H122</f>
        <v>0</v>
      </c>
      <c r="S161" s="8" t="str">
        <f aca="false">IF(Q161="","",IF(J161=0,"",Q161/J161-1))</f>
        <v/>
      </c>
      <c r="T161" s="38" t="str">
        <f aca="false">IF(S161="","",IF(ABS(S161)&gt;Inputs!$C$92,"REVIEW",""))</f>
        <v/>
      </c>
    </row>
    <row r="162" customFormat="false" ht="15" hidden="false" customHeight="false" outlineLevel="0" collapsed="false">
      <c r="A162" s="36" t="str">
        <f aca="false">'Forecast Detail'!D123</f>
        <v>500245 FACTS Online Enrollment Fee</v>
      </c>
      <c r="B162" s="36" t="str">
        <f aca="false">'Forecast Detail'!A123</f>
        <v>Expense</v>
      </c>
      <c r="C162" s="36" t="str">
        <f aca="false">'Forecast Detail'!C123</f>
        <v>500245</v>
      </c>
      <c r="D162" s="36" t="str">
        <f aca="false">'Forecast Detail'!B123</f>
        <v>3 Operations</v>
      </c>
      <c r="E162" s="11" t="str">
        <f aca="false">IF(ISNUMBER(B$4),SUMIFS('Actuals Import'!$B$1:$B$600,'Actuals Import'!$H$1:$H$600,$C162,'Actuals Import'!$G$1:$G$600,1),"")</f>
        <v/>
      </c>
      <c r="F162" s="11" t="str">
        <f aca="false">IF(ISNUMBER(C$4),SUMIFS('Actuals Import'!$K$1:$K$600,'Actuals Import'!$Q$1:$Q$600,$C162,'Actuals Import'!$P$1:$P$600,1),"")</f>
        <v/>
      </c>
      <c r="G162" s="11" t="str">
        <f aca="false">IF(ISNUMBER(D$4),SUMIFS('Actuals Import'!$T$1:$T$600,'Actuals Import'!$Z$1:$Z$600,$C162,'Actuals Import'!$Y$1:$Y$600,1),"")</f>
        <v/>
      </c>
      <c r="H162" s="11" t="str">
        <f aca="false">IF(ISNUMBER(E$4),SUMIFS('Actuals Import'!$AC$1:$AC$600,'Actuals Import'!$AI$1:$AI$600,$C162,'Actuals Import'!$AH$1:$AH$600,1),"")</f>
        <v/>
      </c>
      <c r="I162" s="11" t="str">
        <f aca="false">IF(ISNUMBER(F$4),SUMIFS('Actuals Import'!$AL$1:$AL$600,'Actuals Import'!$AR$1:$AR$600,$C162,'Actuals Import'!$AQ$1:$AQ$600,1),"")</f>
        <v/>
      </c>
      <c r="J162" s="31" t="n">
        <f aca="false">'Forecast Detail'!G123</f>
        <v>0</v>
      </c>
      <c r="K162" s="11" t="str">
        <f aca="false">IF($B$3=0,"",INDEX($E162:$I162,MATCH($F$3,$B$4:$F$4,0)))</f>
        <v/>
      </c>
      <c r="L162" s="11" t="str">
        <f aca="false">IF($B$3=0,"",AVERAGE($E162:$I162))</f>
        <v/>
      </c>
      <c r="M162" s="11" t="str">
        <f aca="false">IF($B$3&lt;3,"",IFERROR(FORECAST($H$3,$E162:$I162,$B$4:$F$4),""))</f>
        <v/>
      </c>
      <c r="N162" s="11" t="str">
        <f aca="false">IF($B$3&lt;2,"",IFERROR(IF(INDEX($E162:$I162,MATCH($D$3,$B$4:$F$4,0))*K162&gt;0,K162*(K162/INDEX($E162:$I162,MATCH($D$3,$B$4:$F$4,0)))^(($H$3-$F$3)/($F$3-$D$3)),K162),K162))</f>
        <v/>
      </c>
      <c r="O162" s="20"/>
      <c r="P162" s="6" t="str">
        <f aca="false">IF(O162&lt;&gt;"",O162,Inputs!$C$90)</f>
        <v>Linear Trend</v>
      </c>
      <c r="Q162" s="37" t="str">
        <f aca="false">IF($B$3=0,"",IF(Inputs!$C$91&gt;0,ROUND(IF(ISNUMBER(IF(P162="Last Actual",K162,IF(P162="Average",L162,IF(P162="Linear Trend",M162,N162)))),IF(P162="Last Actual",K162,IF(P162="Average",L162,IF(P162="Linear Trend",M162,N162))),K162)/Inputs!$C$91,0)*Inputs!$C$91,IF(ISNUMBER(IF(P162="Last Actual",K162,IF(P162="Average",L162,IF(P162="Linear Trend",M162,N162)))),IF(P162="Last Actual",K162,IF(P162="Average",L162,IF(P162="Linear Trend",M162,N162))),K162)))</f>
        <v/>
      </c>
      <c r="R162" s="31" t="n">
        <f aca="false">'Forecast Detail'!H123</f>
        <v>0</v>
      </c>
      <c r="S162" s="8" t="str">
        <f aca="false">IF(Q162="","",IF(J162=0,"",Q162/J162-1))</f>
        <v/>
      </c>
      <c r="T162" s="38" t="str">
        <f aca="false">IF(S162="","",IF(ABS(S162)&gt;Inputs!$C$92,"REVIEW",""))</f>
        <v/>
      </c>
    </row>
    <row r="163" customFormat="false" ht="15" hidden="false" customHeight="false" outlineLevel="0" collapsed="false">
      <c r="A163" s="36" t="str">
        <f aca="false">'Forecast Detail'!D124</f>
        <v>500246 FACTS Application Fee</v>
      </c>
      <c r="B163" s="36" t="str">
        <f aca="false">'Forecast Detail'!A124</f>
        <v>Expense</v>
      </c>
      <c r="C163" s="36" t="str">
        <f aca="false">'Forecast Detail'!C124</f>
        <v>500246</v>
      </c>
      <c r="D163" s="36" t="str">
        <f aca="false">'Forecast Detail'!B124</f>
        <v>3 Operations</v>
      </c>
      <c r="E163" s="11" t="str">
        <f aca="false">IF(ISNUMBER(B$4),SUMIFS('Actuals Import'!$B$1:$B$600,'Actuals Import'!$H$1:$H$600,$C163,'Actuals Import'!$G$1:$G$600,1),"")</f>
        <v/>
      </c>
      <c r="F163" s="11" t="str">
        <f aca="false">IF(ISNUMBER(C$4),SUMIFS('Actuals Import'!$K$1:$K$600,'Actuals Import'!$Q$1:$Q$600,$C163,'Actuals Import'!$P$1:$P$600,1),"")</f>
        <v/>
      </c>
      <c r="G163" s="11" t="str">
        <f aca="false">IF(ISNUMBER(D$4),SUMIFS('Actuals Import'!$T$1:$T$600,'Actuals Import'!$Z$1:$Z$600,$C163,'Actuals Import'!$Y$1:$Y$600,1),"")</f>
        <v/>
      </c>
      <c r="H163" s="11" t="str">
        <f aca="false">IF(ISNUMBER(E$4),SUMIFS('Actuals Import'!$AC$1:$AC$600,'Actuals Import'!$AI$1:$AI$600,$C163,'Actuals Import'!$AH$1:$AH$600,1),"")</f>
        <v/>
      </c>
      <c r="I163" s="11" t="str">
        <f aca="false">IF(ISNUMBER(F$4),SUMIFS('Actuals Import'!$AL$1:$AL$600,'Actuals Import'!$AR$1:$AR$600,$C163,'Actuals Import'!$AQ$1:$AQ$600,1),"")</f>
        <v/>
      </c>
      <c r="J163" s="31" t="n">
        <f aca="false">'Forecast Detail'!G124</f>
        <v>0</v>
      </c>
      <c r="K163" s="11" t="str">
        <f aca="false">IF($B$3=0,"",INDEX($E163:$I163,MATCH($F$3,$B$4:$F$4,0)))</f>
        <v/>
      </c>
      <c r="L163" s="11" t="str">
        <f aca="false">IF($B$3=0,"",AVERAGE($E163:$I163))</f>
        <v/>
      </c>
      <c r="M163" s="11" t="str">
        <f aca="false">IF($B$3&lt;3,"",IFERROR(FORECAST($H$3,$E163:$I163,$B$4:$F$4),""))</f>
        <v/>
      </c>
      <c r="N163" s="11" t="str">
        <f aca="false">IF($B$3&lt;2,"",IFERROR(IF(INDEX($E163:$I163,MATCH($D$3,$B$4:$F$4,0))*K163&gt;0,K163*(K163/INDEX($E163:$I163,MATCH($D$3,$B$4:$F$4,0)))^(($H$3-$F$3)/($F$3-$D$3)),K163),K163))</f>
        <v/>
      </c>
      <c r="O163" s="20"/>
      <c r="P163" s="6" t="str">
        <f aca="false">IF(O163&lt;&gt;"",O163,Inputs!$C$90)</f>
        <v>Linear Trend</v>
      </c>
      <c r="Q163" s="37" t="str">
        <f aca="false">IF($B$3=0,"",IF(Inputs!$C$91&gt;0,ROUND(IF(ISNUMBER(IF(P163="Last Actual",K163,IF(P163="Average",L163,IF(P163="Linear Trend",M163,N163)))),IF(P163="Last Actual",K163,IF(P163="Average",L163,IF(P163="Linear Trend",M163,N163))),K163)/Inputs!$C$91,0)*Inputs!$C$91,IF(ISNUMBER(IF(P163="Last Actual",K163,IF(P163="Average",L163,IF(P163="Linear Trend",M163,N163)))),IF(P163="Last Actual",K163,IF(P163="Average",L163,IF(P163="Linear Trend",M163,N163))),K163)))</f>
        <v/>
      </c>
      <c r="R163" s="31" t="n">
        <f aca="false">'Forecast Detail'!H124</f>
        <v>0</v>
      </c>
      <c r="S163" s="8" t="str">
        <f aca="false">IF(Q163="","",IF(J163=0,"",Q163/J163-1))</f>
        <v/>
      </c>
      <c r="T163" s="38" t="str">
        <f aca="false">IF(S163="","",IF(ABS(S163)&gt;Inputs!$C$92,"REVIEW",""))</f>
        <v/>
      </c>
    </row>
    <row r="164" customFormat="false" ht="15" hidden="false" customHeight="false" outlineLevel="0" collapsed="false">
      <c r="A164" s="36" t="str">
        <f aca="false">'Forecast Detail'!D125</f>
        <v>500247 FACTS Services Expense</v>
      </c>
      <c r="B164" s="36" t="str">
        <f aca="false">'Forecast Detail'!A125</f>
        <v>Expense</v>
      </c>
      <c r="C164" s="36" t="str">
        <f aca="false">'Forecast Detail'!C125</f>
        <v>500247</v>
      </c>
      <c r="D164" s="36" t="str">
        <f aca="false">'Forecast Detail'!B125</f>
        <v>3 Operations</v>
      </c>
      <c r="E164" s="11" t="str">
        <f aca="false">IF(ISNUMBER(B$4),SUMIFS('Actuals Import'!$B$1:$B$600,'Actuals Import'!$H$1:$H$600,$C164,'Actuals Import'!$G$1:$G$600,1),"")</f>
        <v/>
      </c>
      <c r="F164" s="11" t="str">
        <f aca="false">IF(ISNUMBER(C$4),SUMIFS('Actuals Import'!$K$1:$K$600,'Actuals Import'!$Q$1:$Q$600,$C164,'Actuals Import'!$P$1:$P$600,1),"")</f>
        <v/>
      </c>
      <c r="G164" s="11" t="str">
        <f aca="false">IF(ISNUMBER(D$4),SUMIFS('Actuals Import'!$T$1:$T$600,'Actuals Import'!$Z$1:$Z$600,$C164,'Actuals Import'!$Y$1:$Y$600,1),"")</f>
        <v/>
      </c>
      <c r="H164" s="11" t="str">
        <f aca="false">IF(ISNUMBER(E$4),SUMIFS('Actuals Import'!$AC$1:$AC$600,'Actuals Import'!$AI$1:$AI$600,$C164,'Actuals Import'!$AH$1:$AH$600,1),"")</f>
        <v/>
      </c>
      <c r="I164" s="11" t="str">
        <f aca="false">IF(ISNUMBER(F$4),SUMIFS('Actuals Import'!$AL$1:$AL$600,'Actuals Import'!$AR$1:$AR$600,$C164,'Actuals Import'!$AQ$1:$AQ$600,1),"")</f>
        <v/>
      </c>
      <c r="J164" s="31" t="n">
        <f aca="false">'Forecast Detail'!G125</f>
        <v>0</v>
      </c>
      <c r="K164" s="11" t="str">
        <f aca="false">IF($B$3=0,"",INDEX($E164:$I164,MATCH($F$3,$B$4:$F$4,0)))</f>
        <v/>
      </c>
      <c r="L164" s="11" t="str">
        <f aca="false">IF($B$3=0,"",AVERAGE($E164:$I164))</f>
        <v/>
      </c>
      <c r="M164" s="11" t="str">
        <f aca="false">IF($B$3&lt;3,"",IFERROR(FORECAST($H$3,$E164:$I164,$B$4:$F$4),""))</f>
        <v/>
      </c>
      <c r="N164" s="11" t="str">
        <f aca="false">IF($B$3&lt;2,"",IFERROR(IF(INDEX($E164:$I164,MATCH($D$3,$B$4:$F$4,0))*K164&gt;0,K164*(K164/INDEX($E164:$I164,MATCH($D$3,$B$4:$F$4,0)))^(($H$3-$F$3)/($F$3-$D$3)),K164),K164))</f>
        <v/>
      </c>
      <c r="O164" s="20"/>
      <c r="P164" s="6" t="str">
        <f aca="false">IF(O164&lt;&gt;"",O164,Inputs!$C$90)</f>
        <v>Linear Trend</v>
      </c>
      <c r="Q164" s="37" t="str">
        <f aca="false">IF($B$3=0,"",IF(Inputs!$C$91&gt;0,ROUND(IF(ISNUMBER(IF(P164="Last Actual",K164,IF(P164="Average",L164,IF(P164="Linear Trend",M164,N164)))),IF(P164="Last Actual",K164,IF(P164="Average",L164,IF(P164="Linear Trend",M164,N164))),K164)/Inputs!$C$91,0)*Inputs!$C$91,IF(ISNUMBER(IF(P164="Last Actual",K164,IF(P164="Average",L164,IF(P164="Linear Trend",M164,N164)))),IF(P164="Last Actual",K164,IF(P164="Average",L164,IF(P164="Linear Trend",M164,N164))),K164)))</f>
        <v/>
      </c>
      <c r="R164" s="31" t="n">
        <f aca="false">'Forecast Detail'!H125</f>
        <v>0</v>
      </c>
      <c r="S164" s="8" t="str">
        <f aca="false">IF(Q164="","",IF(J164=0,"",Q164/J164-1))</f>
        <v/>
      </c>
      <c r="T164" s="38" t="str">
        <f aca="false">IF(S164="","",IF(ABS(S164)&gt;Inputs!$C$92,"REVIEW",""))</f>
        <v/>
      </c>
    </row>
    <row r="165" customFormat="false" ht="15" hidden="false" customHeight="false" outlineLevel="0" collapsed="false">
      <c r="A165" s="36" t="str">
        <f aca="false">'Forecast Detail'!D126</f>
        <v>500248 Pre-Employment Expenses</v>
      </c>
      <c r="B165" s="36" t="str">
        <f aca="false">'Forecast Detail'!A126</f>
        <v>Expense</v>
      </c>
      <c r="C165" s="36" t="str">
        <f aca="false">'Forecast Detail'!C126</f>
        <v>500248</v>
      </c>
      <c r="D165" s="36" t="str">
        <f aca="false">'Forecast Detail'!B126</f>
        <v>3 Operations</v>
      </c>
      <c r="E165" s="11" t="str">
        <f aca="false">IF(ISNUMBER(B$4),SUMIFS('Actuals Import'!$B$1:$B$600,'Actuals Import'!$H$1:$H$600,$C165,'Actuals Import'!$G$1:$G$600,1),"")</f>
        <v/>
      </c>
      <c r="F165" s="11" t="str">
        <f aca="false">IF(ISNUMBER(C$4),SUMIFS('Actuals Import'!$K$1:$K$600,'Actuals Import'!$Q$1:$Q$600,$C165,'Actuals Import'!$P$1:$P$600,1),"")</f>
        <v/>
      </c>
      <c r="G165" s="11" t="str">
        <f aca="false">IF(ISNUMBER(D$4),SUMIFS('Actuals Import'!$T$1:$T$600,'Actuals Import'!$Z$1:$Z$600,$C165,'Actuals Import'!$Y$1:$Y$600,1),"")</f>
        <v/>
      </c>
      <c r="H165" s="11" t="str">
        <f aca="false">IF(ISNUMBER(E$4),SUMIFS('Actuals Import'!$AC$1:$AC$600,'Actuals Import'!$AI$1:$AI$600,$C165,'Actuals Import'!$AH$1:$AH$600,1),"")</f>
        <v/>
      </c>
      <c r="I165" s="11" t="str">
        <f aca="false">IF(ISNUMBER(F$4),SUMIFS('Actuals Import'!$AL$1:$AL$600,'Actuals Import'!$AR$1:$AR$600,$C165,'Actuals Import'!$AQ$1:$AQ$600,1),"")</f>
        <v/>
      </c>
      <c r="J165" s="31" t="n">
        <f aca="false">'Forecast Detail'!G126</f>
        <v>0</v>
      </c>
      <c r="K165" s="11" t="str">
        <f aca="false">IF($B$3=0,"",INDEX($E165:$I165,MATCH($F$3,$B$4:$F$4,0)))</f>
        <v/>
      </c>
      <c r="L165" s="11" t="str">
        <f aca="false">IF($B$3=0,"",AVERAGE($E165:$I165))</f>
        <v/>
      </c>
      <c r="M165" s="11" t="str">
        <f aca="false">IF($B$3&lt;3,"",IFERROR(FORECAST($H$3,$E165:$I165,$B$4:$F$4),""))</f>
        <v/>
      </c>
      <c r="N165" s="11" t="str">
        <f aca="false">IF($B$3&lt;2,"",IFERROR(IF(INDEX($E165:$I165,MATCH($D$3,$B$4:$F$4,0))*K165&gt;0,K165*(K165/INDEX($E165:$I165,MATCH($D$3,$B$4:$F$4,0)))^(($H$3-$F$3)/($F$3-$D$3)),K165),K165))</f>
        <v/>
      </c>
      <c r="O165" s="20"/>
      <c r="P165" s="6" t="str">
        <f aca="false">IF(O165&lt;&gt;"",O165,Inputs!$C$90)</f>
        <v>Linear Trend</v>
      </c>
      <c r="Q165" s="37" t="str">
        <f aca="false">IF($B$3=0,"",IF(Inputs!$C$91&gt;0,ROUND(IF(ISNUMBER(IF(P165="Last Actual",K165,IF(P165="Average",L165,IF(P165="Linear Trend",M165,N165)))),IF(P165="Last Actual",K165,IF(P165="Average",L165,IF(P165="Linear Trend",M165,N165))),K165)/Inputs!$C$91,0)*Inputs!$C$91,IF(ISNUMBER(IF(P165="Last Actual",K165,IF(P165="Average",L165,IF(P165="Linear Trend",M165,N165)))),IF(P165="Last Actual",K165,IF(P165="Average",L165,IF(P165="Linear Trend",M165,N165))),K165)))</f>
        <v/>
      </c>
      <c r="R165" s="31" t="n">
        <f aca="false">'Forecast Detail'!H126</f>
        <v>0</v>
      </c>
      <c r="S165" s="8" t="str">
        <f aca="false">IF(Q165="","",IF(J165=0,"",Q165/J165-1))</f>
        <v/>
      </c>
      <c r="T165" s="38" t="str">
        <f aca="false">IF(S165="","",IF(ABS(S165)&gt;Inputs!$C$92,"REVIEW",""))</f>
        <v/>
      </c>
    </row>
    <row r="166" customFormat="false" ht="15" hidden="false" customHeight="false" outlineLevel="0" collapsed="false">
      <c r="A166" s="36" t="str">
        <f aca="false">'Forecast Detail'!D127</f>
        <v>500249 Business Office Expenses</v>
      </c>
      <c r="B166" s="36" t="str">
        <f aca="false">'Forecast Detail'!A127</f>
        <v>Expense</v>
      </c>
      <c r="C166" s="36" t="str">
        <f aca="false">'Forecast Detail'!C127</f>
        <v>500249</v>
      </c>
      <c r="D166" s="36" t="str">
        <f aca="false">'Forecast Detail'!B127</f>
        <v>3 Operations</v>
      </c>
      <c r="E166" s="11" t="str">
        <f aca="false">IF(ISNUMBER(B$4),SUMIFS('Actuals Import'!$B$1:$B$600,'Actuals Import'!$H$1:$H$600,$C166,'Actuals Import'!$G$1:$G$600,1),"")</f>
        <v/>
      </c>
      <c r="F166" s="11" t="str">
        <f aca="false">IF(ISNUMBER(C$4),SUMIFS('Actuals Import'!$K$1:$K$600,'Actuals Import'!$Q$1:$Q$600,$C166,'Actuals Import'!$P$1:$P$600,1),"")</f>
        <v/>
      </c>
      <c r="G166" s="11" t="str">
        <f aca="false">IF(ISNUMBER(D$4),SUMIFS('Actuals Import'!$T$1:$T$600,'Actuals Import'!$Z$1:$Z$600,$C166,'Actuals Import'!$Y$1:$Y$600,1),"")</f>
        <v/>
      </c>
      <c r="H166" s="11" t="str">
        <f aca="false">IF(ISNUMBER(E$4),SUMIFS('Actuals Import'!$AC$1:$AC$600,'Actuals Import'!$AI$1:$AI$600,$C166,'Actuals Import'!$AH$1:$AH$600,1),"")</f>
        <v/>
      </c>
      <c r="I166" s="11" t="str">
        <f aca="false">IF(ISNUMBER(F$4),SUMIFS('Actuals Import'!$AL$1:$AL$600,'Actuals Import'!$AR$1:$AR$600,$C166,'Actuals Import'!$AQ$1:$AQ$600,1),"")</f>
        <v/>
      </c>
      <c r="J166" s="31" t="n">
        <f aca="false">'Forecast Detail'!G127</f>
        <v>0</v>
      </c>
      <c r="K166" s="11" t="str">
        <f aca="false">IF($B$3=0,"",INDEX($E166:$I166,MATCH($F$3,$B$4:$F$4,0)))</f>
        <v/>
      </c>
      <c r="L166" s="11" t="str">
        <f aca="false">IF($B$3=0,"",AVERAGE($E166:$I166))</f>
        <v/>
      </c>
      <c r="M166" s="11" t="str">
        <f aca="false">IF($B$3&lt;3,"",IFERROR(FORECAST($H$3,$E166:$I166,$B$4:$F$4),""))</f>
        <v/>
      </c>
      <c r="N166" s="11" t="str">
        <f aca="false">IF($B$3&lt;2,"",IFERROR(IF(INDEX($E166:$I166,MATCH($D$3,$B$4:$F$4,0))*K166&gt;0,K166*(K166/INDEX($E166:$I166,MATCH($D$3,$B$4:$F$4,0)))^(($H$3-$F$3)/($F$3-$D$3)),K166),K166))</f>
        <v/>
      </c>
      <c r="O166" s="20"/>
      <c r="P166" s="6" t="str">
        <f aca="false">IF(O166&lt;&gt;"",O166,Inputs!$C$90)</f>
        <v>Linear Trend</v>
      </c>
      <c r="Q166" s="37" t="str">
        <f aca="false">IF($B$3=0,"",IF(Inputs!$C$91&gt;0,ROUND(IF(ISNUMBER(IF(P166="Last Actual",K166,IF(P166="Average",L166,IF(P166="Linear Trend",M166,N166)))),IF(P166="Last Actual",K166,IF(P166="Average",L166,IF(P166="Linear Trend",M166,N166))),K166)/Inputs!$C$91,0)*Inputs!$C$91,IF(ISNUMBER(IF(P166="Last Actual",K166,IF(P166="Average",L166,IF(P166="Linear Trend",M166,N166)))),IF(P166="Last Actual",K166,IF(P166="Average",L166,IF(P166="Linear Trend",M166,N166))),K166)))</f>
        <v/>
      </c>
      <c r="R166" s="31" t="n">
        <f aca="false">'Forecast Detail'!H127</f>
        <v>0</v>
      </c>
      <c r="S166" s="8" t="str">
        <f aca="false">IF(Q166="","",IF(J166=0,"",Q166/J166-1))</f>
        <v/>
      </c>
      <c r="T166" s="38" t="str">
        <f aca="false">IF(S166="","",IF(ABS(S166)&gt;Inputs!$C$92,"REVIEW",""))</f>
        <v/>
      </c>
    </row>
    <row r="167" customFormat="false" ht="15" hidden="false" customHeight="false" outlineLevel="0" collapsed="false">
      <c r="A167" s="36" t="str">
        <f aca="false">'Forecast Detail'!D128</f>
        <v>500251 Payroll Processing Fees</v>
      </c>
      <c r="B167" s="36" t="str">
        <f aca="false">'Forecast Detail'!A128</f>
        <v>Expense</v>
      </c>
      <c r="C167" s="36" t="str">
        <f aca="false">'Forecast Detail'!C128</f>
        <v>500251</v>
      </c>
      <c r="D167" s="36" t="str">
        <f aca="false">'Forecast Detail'!B128</f>
        <v>3 Operations</v>
      </c>
      <c r="E167" s="11" t="str">
        <f aca="false">IF(ISNUMBER(B$4),SUMIFS('Actuals Import'!$B$1:$B$600,'Actuals Import'!$H$1:$H$600,$C167,'Actuals Import'!$G$1:$G$600,1),"")</f>
        <v/>
      </c>
      <c r="F167" s="11" t="str">
        <f aca="false">IF(ISNUMBER(C$4),SUMIFS('Actuals Import'!$K$1:$K$600,'Actuals Import'!$Q$1:$Q$600,$C167,'Actuals Import'!$P$1:$P$600,1),"")</f>
        <v/>
      </c>
      <c r="G167" s="11" t="str">
        <f aca="false">IF(ISNUMBER(D$4),SUMIFS('Actuals Import'!$T$1:$T$600,'Actuals Import'!$Z$1:$Z$600,$C167,'Actuals Import'!$Y$1:$Y$600,1),"")</f>
        <v/>
      </c>
      <c r="H167" s="11" t="str">
        <f aca="false">IF(ISNUMBER(E$4),SUMIFS('Actuals Import'!$AC$1:$AC$600,'Actuals Import'!$AI$1:$AI$600,$C167,'Actuals Import'!$AH$1:$AH$600,1),"")</f>
        <v/>
      </c>
      <c r="I167" s="11" t="str">
        <f aca="false">IF(ISNUMBER(F$4),SUMIFS('Actuals Import'!$AL$1:$AL$600,'Actuals Import'!$AR$1:$AR$600,$C167,'Actuals Import'!$AQ$1:$AQ$600,1),"")</f>
        <v/>
      </c>
      <c r="J167" s="31" t="n">
        <f aca="false">'Forecast Detail'!G128</f>
        <v>0</v>
      </c>
      <c r="K167" s="11" t="str">
        <f aca="false">IF($B$3=0,"",INDEX($E167:$I167,MATCH($F$3,$B$4:$F$4,0)))</f>
        <v/>
      </c>
      <c r="L167" s="11" t="str">
        <f aca="false">IF($B$3=0,"",AVERAGE($E167:$I167))</f>
        <v/>
      </c>
      <c r="M167" s="11" t="str">
        <f aca="false">IF($B$3&lt;3,"",IFERROR(FORECAST($H$3,$E167:$I167,$B$4:$F$4),""))</f>
        <v/>
      </c>
      <c r="N167" s="11" t="str">
        <f aca="false">IF($B$3&lt;2,"",IFERROR(IF(INDEX($E167:$I167,MATCH($D$3,$B$4:$F$4,0))*K167&gt;0,K167*(K167/INDEX($E167:$I167,MATCH($D$3,$B$4:$F$4,0)))^(($H$3-$F$3)/($F$3-$D$3)),K167),K167))</f>
        <v/>
      </c>
      <c r="O167" s="20"/>
      <c r="P167" s="6" t="str">
        <f aca="false">IF(O167&lt;&gt;"",O167,Inputs!$C$90)</f>
        <v>Linear Trend</v>
      </c>
      <c r="Q167" s="37" t="str">
        <f aca="false">IF($B$3=0,"",IF(Inputs!$C$91&gt;0,ROUND(IF(ISNUMBER(IF(P167="Last Actual",K167,IF(P167="Average",L167,IF(P167="Linear Trend",M167,N167)))),IF(P167="Last Actual",K167,IF(P167="Average",L167,IF(P167="Linear Trend",M167,N167))),K167)/Inputs!$C$91,0)*Inputs!$C$91,IF(ISNUMBER(IF(P167="Last Actual",K167,IF(P167="Average",L167,IF(P167="Linear Trend",M167,N167)))),IF(P167="Last Actual",K167,IF(P167="Average",L167,IF(P167="Linear Trend",M167,N167))),K167)))</f>
        <v/>
      </c>
      <c r="R167" s="31" t="n">
        <f aca="false">'Forecast Detail'!H128</f>
        <v>0</v>
      </c>
      <c r="S167" s="8" t="str">
        <f aca="false">IF(Q167="","",IF(J167=0,"",Q167/J167-1))</f>
        <v/>
      </c>
      <c r="T167" s="38" t="str">
        <f aca="false">IF(S167="","",IF(ABS(S167)&gt;Inputs!$C$92,"REVIEW",""))</f>
        <v/>
      </c>
    </row>
    <row r="168" customFormat="false" ht="15" hidden="false" customHeight="false" outlineLevel="0" collapsed="false">
      <c r="A168" s="36" t="str">
        <f aca="false">'Forecast Detail'!D129</f>
        <v>500252 Banking Fees</v>
      </c>
      <c r="B168" s="36" t="str">
        <f aca="false">'Forecast Detail'!A129</f>
        <v>Expense</v>
      </c>
      <c r="C168" s="36" t="str">
        <f aca="false">'Forecast Detail'!C129</f>
        <v>500252</v>
      </c>
      <c r="D168" s="36" t="str">
        <f aca="false">'Forecast Detail'!B129</f>
        <v>3 Operations</v>
      </c>
      <c r="E168" s="11" t="str">
        <f aca="false">IF(ISNUMBER(B$4),SUMIFS('Actuals Import'!$B$1:$B$600,'Actuals Import'!$H$1:$H$600,$C168,'Actuals Import'!$G$1:$G$600,1),"")</f>
        <v/>
      </c>
      <c r="F168" s="11" t="str">
        <f aca="false">IF(ISNUMBER(C$4),SUMIFS('Actuals Import'!$K$1:$K$600,'Actuals Import'!$Q$1:$Q$600,$C168,'Actuals Import'!$P$1:$P$600,1),"")</f>
        <v/>
      </c>
      <c r="G168" s="11" t="str">
        <f aca="false">IF(ISNUMBER(D$4),SUMIFS('Actuals Import'!$T$1:$T$600,'Actuals Import'!$Z$1:$Z$600,$C168,'Actuals Import'!$Y$1:$Y$600,1),"")</f>
        <v/>
      </c>
      <c r="H168" s="11" t="str">
        <f aca="false">IF(ISNUMBER(E$4),SUMIFS('Actuals Import'!$AC$1:$AC$600,'Actuals Import'!$AI$1:$AI$600,$C168,'Actuals Import'!$AH$1:$AH$600,1),"")</f>
        <v/>
      </c>
      <c r="I168" s="11" t="str">
        <f aca="false">IF(ISNUMBER(F$4),SUMIFS('Actuals Import'!$AL$1:$AL$600,'Actuals Import'!$AR$1:$AR$600,$C168,'Actuals Import'!$AQ$1:$AQ$600,1),"")</f>
        <v/>
      </c>
      <c r="J168" s="31" t="n">
        <f aca="false">'Forecast Detail'!G129</f>
        <v>3500</v>
      </c>
      <c r="K168" s="11" t="str">
        <f aca="false">IF($B$3=0,"",INDEX($E168:$I168,MATCH($F$3,$B$4:$F$4,0)))</f>
        <v/>
      </c>
      <c r="L168" s="11" t="str">
        <f aca="false">IF($B$3=0,"",AVERAGE($E168:$I168))</f>
        <v/>
      </c>
      <c r="M168" s="11" t="str">
        <f aca="false">IF($B$3&lt;3,"",IFERROR(FORECAST($H$3,$E168:$I168,$B$4:$F$4),""))</f>
        <v/>
      </c>
      <c r="N168" s="11" t="str">
        <f aca="false">IF($B$3&lt;2,"",IFERROR(IF(INDEX($E168:$I168,MATCH($D$3,$B$4:$F$4,0))*K168&gt;0,K168*(K168/INDEX($E168:$I168,MATCH($D$3,$B$4:$F$4,0)))^(($H$3-$F$3)/($F$3-$D$3)),K168),K168))</f>
        <v/>
      </c>
      <c r="O168" s="20"/>
      <c r="P168" s="6" t="str">
        <f aca="false">IF(O168&lt;&gt;"",O168,Inputs!$C$90)</f>
        <v>Linear Trend</v>
      </c>
      <c r="Q168" s="37" t="str">
        <f aca="false">IF($B$3=0,"",IF(Inputs!$C$91&gt;0,ROUND(IF(ISNUMBER(IF(P168="Last Actual",K168,IF(P168="Average",L168,IF(P168="Linear Trend",M168,N168)))),IF(P168="Last Actual",K168,IF(P168="Average",L168,IF(P168="Linear Trend",M168,N168))),K168)/Inputs!$C$91,0)*Inputs!$C$91,IF(ISNUMBER(IF(P168="Last Actual",K168,IF(P168="Average",L168,IF(P168="Linear Trend",M168,N168)))),IF(P168="Last Actual",K168,IF(P168="Average",L168,IF(P168="Linear Trend",M168,N168))),K168)))</f>
        <v/>
      </c>
      <c r="R168" s="31" t="n">
        <f aca="false">'Forecast Detail'!H129</f>
        <v>3605</v>
      </c>
      <c r="S168" s="8" t="str">
        <f aca="false">IF(Q168="","",IF(J168=0,"",Q168/J168-1))</f>
        <v/>
      </c>
      <c r="T168" s="38" t="str">
        <f aca="false">IF(S168="","",IF(ABS(S168)&gt;Inputs!$C$92,"REVIEW",""))</f>
        <v/>
      </c>
    </row>
    <row r="169" customFormat="false" ht="15" hidden="false" customHeight="false" outlineLevel="0" collapsed="false">
      <c r="A169" s="36" t="str">
        <f aca="false">'Forecast Detail'!D130</f>
        <v>Food Service</v>
      </c>
      <c r="B169" s="36" t="str">
        <f aca="false">'Forecast Detail'!A130</f>
        <v>Expense</v>
      </c>
      <c r="C169" s="36" t="str">
        <f aca="false">'Forecast Detail'!C130</f>
        <v>Food Service</v>
      </c>
      <c r="D169" s="36" t="str">
        <f aca="false">'Forecast Detail'!B130</f>
        <v>3 Operations</v>
      </c>
      <c r="E169" s="11" t="str">
        <f aca="false">IF(ISNUMBER(B$4),SUMIFS('Actuals Import'!$B$1:$B$600,'Actuals Import'!$H$1:$H$600,$C169,'Actuals Import'!$G$1:$G$600,1),"")</f>
        <v/>
      </c>
      <c r="F169" s="11" t="str">
        <f aca="false">IF(ISNUMBER(C$4),SUMIFS('Actuals Import'!$K$1:$K$600,'Actuals Import'!$Q$1:$Q$600,$C169,'Actuals Import'!$P$1:$P$600,1),"")</f>
        <v/>
      </c>
      <c r="G169" s="11" t="str">
        <f aca="false">IF(ISNUMBER(D$4),SUMIFS('Actuals Import'!$T$1:$T$600,'Actuals Import'!$Z$1:$Z$600,$C169,'Actuals Import'!$Y$1:$Y$600,1),"")</f>
        <v/>
      </c>
      <c r="H169" s="11" t="str">
        <f aca="false">IF(ISNUMBER(E$4),SUMIFS('Actuals Import'!$AC$1:$AC$600,'Actuals Import'!$AI$1:$AI$600,$C169,'Actuals Import'!$AH$1:$AH$600,1),"")</f>
        <v/>
      </c>
      <c r="I169" s="11" t="str">
        <f aca="false">IF(ISNUMBER(F$4),SUMIFS('Actuals Import'!$AL$1:$AL$600,'Actuals Import'!$AR$1:$AR$600,$C169,'Actuals Import'!$AQ$1:$AQ$600,1),"")</f>
        <v/>
      </c>
      <c r="J169" s="31" t="n">
        <f aca="false">'Forecast Detail'!G130</f>
        <v>730000</v>
      </c>
      <c r="K169" s="11" t="str">
        <f aca="false">IF($B$3=0,"",INDEX($E169:$I169,MATCH($F$3,$B$4:$F$4,0)))</f>
        <v/>
      </c>
      <c r="L169" s="11" t="str">
        <f aca="false">IF($B$3=0,"",AVERAGE($E169:$I169))</f>
        <v/>
      </c>
      <c r="M169" s="11" t="str">
        <f aca="false">IF($B$3&lt;3,"",IFERROR(FORECAST($H$3,$E169:$I169,$B$4:$F$4),""))</f>
        <v/>
      </c>
      <c r="N169" s="11" t="str">
        <f aca="false">IF($B$3&lt;2,"",IFERROR(IF(INDEX($E169:$I169,MATCH($D$3,$B$4:$F$4,0))*K169&gt;0,K169*(K169/INDEX($E169:$I169,MATCH($D$3,$B$4:$F$4,0)))^(($H$3-$F$3)/($F$3-$D$3)),K169),K169))</f>
        <v/>
      </c>
      <c r="O169" s="20"/>
      <c r="P169" s="6" t="str">
        <f aca="false">IF(O169&lt;&gt;"",O169,Inputs!$C$90)</f>
        <v>Linear Trend</v>
      </c>
      <c r="Q169" s="37" t="str">
        <f aca="false">IF($B$3=0,"",IF(Inputs!$C$91&gt;0,ROUND(IF(ISNUMBER(IF(P169="Last Actual",K169,IF(P169="Average",L169,IF(P169="Linear Trend",M169,N169)))),IF(P169="Last Actual",K169,IF(P169="Average",L169,IF(P169="Linear Trend",M169,N169))),K169)/Inputs!$C$91,0)*Inputs!$C$91,IF(ISNUMBER(IF(P169="Last Actual",K169,IF(P169="Average",L169,IF(P169="Linear Trend",M169,N169)))),IF(P169="Last Actual",K169,IF(P169="Average",L169,IF(P169="Linear Trend",M169,N169))),K169)))</f>
        <v/>
      </c>
      <c r="R169" s="31" t="n">
        <f aca="false">'Forecast Detail'!H130</f>
        <v>763527.319587629</v>
      </c>
      <c r="S169" s="8" t="str">
        <f aca="false">IF(Q169="","",IF(J169=0,"",Q169/J169-1))</f>
        <v/>
      </c>
      <c r="T169" s="38" t="str">
        <f aca="false">IF(S169="","",IF(ABS(S169)&gt;Inputs!$C$92,"REVIEW",""))</f>
        <v/>
      </c>
    </row>
    <row r="170" customFormat="false" ht="15" hidden="false" customHeight="false" outlineLevel="0" collapsed="false">
      <c r="A170" s="36" t="str">
        <f aca="false">'Forecast Detail'!D131</f>
        <v>500026 Insurance Expense</v>
      </c>
      <c r="B170" s="36" t="str">
        <f aca="false">'Forecast Detail'!A131</f>
        <v>Expense</v>
      </c>
      <c r="C170" s="36" t="str">
        <f aca="false">'Forecast Detail'!C131</f>
        <v>500026</v>
      </c>
      <c r="D170" s="36" t="str">
        <f aca="false">'Forecast Detail'!B131</f>
        <v>3 Operations</v>
      </c>
      <c r="E170" s="11" t="str">
        <f aca="false">IF(ISNUMBER(B$4),SUMIFS('Actuals Import'!$B$1:$B$600,'Actuals Import'!$H$1:$H$600,$C170,'Actuals Import'!$G$1:$G$600,1),"")</f>
        <v/>
      </c>
      <c r="F170" s="11" t="str">
        <f aca="false">IF(ISNUMBER(C$4),SUMIFS('Actuals Import'!$K$1:$K$600,'Actuals Import'!$Q$1:$Q$600,$C170,'Actuals Import'!$P$1:$P$600,1),"")</f>
        <v/>
      </c>
      <c r="G170" s="11" t="str">
        <f aca="false">IF(ISNUMBER(D$4),SUMIFS('Actuals Import'!$T$1:$T$600,'Actuals Import'!$Z$1:$Z$600,$C170,'Actuals Import'!$Y$1:$Y$600,1),"")</f>
        <v/>
      </c>
      <c r="H170" s="11" t="str">
        <f aca="false">IF(ISNUMBER(E$4),SUMIFS('Actuals Import'!$AC$1:$AC$600,'Actuals Import'!$AI$1:$AI$600,$C170,'Actuals Import'!$AH$1:$AH$600,1),"")</f>
        <v/>
      </c>
      <c r="I170" s="11" t="str">
        <f aca="false">IF(ISNUMBER(F$4),SUMIFS('Actuals Import'!$AL$1:$AL$600,'Actuals Import'!$AR$1:$AR$600,$C170,'Actuals Import'!$AQ$1:$AQ$600,1),"")</f>
        <v/>
      </c>
      <c r="J170" s="31" t="n">
        <f aca="false">'Forecast Detail'!G131</f>
        <v>132000</v>
      </c>
      <c r="K170" s="11" t="str">
        <f aca="false">IF($B$3=0,"",INDEX($E170:$I170,MATCH($F$3,$B$4:$F$4,0)))</f>
        <v/>
      </c>
      <c r="L170" s="11" t="str">
        <f aca="false">IF($B$3=0,"",AVERAGE($E170:$I170))</f>
        <v/>
      </c>
      <c r="M170" s="11" t="str">
        <f aca="false">IF($B$3&lt;3,"",IFERROR(FORECAST($H$3,$E170:$I170,$B$4:$F$4),""))</f>
        <v/>
      </c>
      <c r="N170" s="11" t="str">
        <f aca="false">IF($B$3&lt;2,"",IFERROR(IF(INDEX($E170:$I170,MATCH($D$3,$B$4:$F$4,0))*K170&gt;0,K170*(K170/INDEX($E170:$I170,MATCH($D$3,$B$4:$F$4,0)))^(($H$3-$F$3)/($F$3-$D$3)),K170),K170))</f>
        <v/>
      </c>
      <c r="O170" s="20"/>
      <c r="P170" s="6" t="str">
        <f aca="false">IF(O170&lt;&gt;"",O170,Inputs!$C$90)</f>
        <v>Linear Trend</v>
      </c>
      <c r="Q170" s="37" t="str">
        <f aca="false">IF($B$3=0,"",IF(Inputs!$C$91&gt;0,ROUND(IF(ISNUMBER(IF(P170="Last Actual",K170,IF(P170="Average",L170,IF(P170="Linear Trend",M170,N170)))),IF(P170="Last Actual",K170,IF(P170="Average",L170,IF(P170="Linear Trend",M170,N170))),K170)/Inputs!$C$91,0)*Inputs!$C$91,IF(ISNUMBER(IF(P170="Last Actual",K170,IF(P170="Average",L170,IF(P170="Linear Trend",M170,N170)))),IF(P170="Last Actual",K170,IF(P170="Average",L170,IF(P170="Linear Trend",M170,N170))),K170)))</f>
        <v/>
      </c>
      <c r="R170" s="31" t="n">
        <f aca="false">'Forecast Detail'!H131</f>
        <v>135960</v>
      </c>
      <c r="S170" s="8" t="str">
        <f aca="false">IF(Q170="","",IF(J170=0,"",Q170/J170-1))</f>
        <v/>
      </c>
      <c r="T170" s="38" t="str">
        <f aca="false">IF(S170="","",IF(ABS(S170)&gt;Inputs!$C$92,"REVIEW",""))</f>
        <v/>
      </c>
    </row>
    <row r="171" customFormat="false" ht="15" hidden="false" customHeight="false" outlineLevel="0" collapsed="false">
      <c r="A171" s="36" t="str">
        <f aca="false">'Forecast Detail'!D132</f>
        <v>500250 Copier Leases</v>
      </c>
      <c r="B171" s="36" t="str">
        <f aca="false">'Forecast Detail'!A132</f>
        <v>Expense</v>
      </c>
      <c r="C171" s="36" t="str">
        <f aca="false">'Forecast Detail'!C132</f>
        <v>500250</v>
      </c>
      <c r="D171" s="36" t="str">
        <f aca="false">'Forecast Detail'!B132</f>
        <v>3 Operations</v>
      </c>
      <c r="E171" s="11" t="str">
        <f aca="false">IF(ISNUMBER(B$4),SUMIFS('Actuals Import'!$B$1:$B$600,'Actuals Import'!$H$1:$H$600,$C171,'Actuals Import'!$G$1:$G$600,1),"")</f>
        <v/>
      </c>
      <c r="F171" s="11" t="str">
        <f aca="false">IF(ISNUMBER(C$4),SUMIFS('Actuals Import'!$K$1:$K$600,'Actuals Import'!$Q$1:$Q$600,$C171,'Actuals Import'!$P$1:$P$600,1),"")</f>
        <v/>
      </c>
      <c r="G171" s="11" t="str">
        <f aca="false">IF(ISNUMBER(D$4),SUMIFS('Actuals Import'!$T$1:$T$600,'Actuals Import'!$Z$1:$Z$600,$C171,'Actuals Import'!$Y$1:$Y$600,1),"")</f>
        <v/>
      </c>
      <c r="H171" s="11" t="str">
        <f aca="false">IF(ISNUMBER(E$4),SUMIFS('Actuals Import'!$AC$1:$AC$600,'Actuals Import'!$AI$1:$AI$600,$C171,'Actuals Import'!$AH$1:$AH$600,1),"")</f>
        <v/>
      </c>
      <c r="I171" s="11" t="str">
        <f aca="false">IF(ISNUMBER(F$4),SUMIFS('Actuals Import'!$AL$1:$AL$600,'Actuals Import'!$AR$1:$AR$600,$C171,'Actuals Import'!$AQ$1:$AQ$600,1),"")</f>
        <v/>
      </c>
      <c r="J171" s="31" t="n">
        <f aca="false">'Forecast Detail'!G132</f>
        <v>40000</v>
      </c>
      <c r="K171" s="11" t="str">
        <f aca="false">IF($B$3=0,"",INDEX($E171:$I171,MATCH($F$3,$B$4:$F$4,0)))</f>
        <v/>
      </c>
      <c r="L171" s="11" t="str">
        <f aca="false">IF($B$3=0,"",AVERAGE($E171:$I171))</f>
        <v/>
      </c>
      <c r="M171" s="11" t="str">
        <f aca="false">IF($B$3&lt;3,"",IFERROR(FORECAST($H$3,$E171:$I171,$B$4:$F$4),""))</f>
        <v/>
      </c>
      <c r="N171" s="11" t="str">
        <f aca="false">IF($B$3&lt;2,"",IFERROR(IF(INDEX($E171:$I171,MATCH($D$3,$B$4:$F$4,0))*K171&gt;0,K171*(K171/INDEX($E171:$I171,MATCH($D$3,$B$4:$F$4,0)))^(($H$3-$F$3)/($F$3-$D$3)),K171),K171))</f>
        <v/>
      </c>
      <c r="O171" s="20"/>
      <c r="P171" s="6" t="str">
        <f aca="false">IF(O171&lt;&gt;"",O171,Inputs!$C$90)</f>
        <v>Linear Trend</v>
      </c>
      <c r="Q171" s="37" t="str">
        <f aca="false">IF($B$3=0,"",IF(Inputs!$C$91&gt;0,ROUND(IF(ISNUMBER(IF(P171="Last Actual",K171,IF(P171="Average",L171,IF(P171="Linear Trend",M171,N171)))),IF(P171="Last Actual",K171,IF(P171="Average",L171,IF(P171="Linear Trend",M171,N171))),K171)/Inputs!$C$91,0)*Inputs!$C$91,IF(ISNUMBER(IF(P171="Last Actual",K171,IF(P171="Average",L171,IF(P171="Linear Trend",M171,N171)))),IF(P171="Last Actual",K171,IF(P171="Average",L171,IF(P171="Linear Trend",M171,N171))),K171)))</f>
        <v/>
      </c>
      <c r="R171" s="31" t="n">
        <f aca="false">'Forecast Detail'!H132</f>
        <v>41200</v>
      </c>
      <c r="S171" s="8" t="str">
        <f aca="false">IF(Q171="","",IF(J171=0,"",Q171/J171-1))</f>
        <v/>
      </c>
      <c r="T171" s="38" t="str">
        <f aca="false">IF(S171="","",IF(ABS(S171)&gt;Inputs!$C$92,"REVIEW",""))</f>
        <v/>
      </c>
    </row>
    <row r="172" customFormat="false" ht="15" hidden="false" customHeight="false" outlineLevel="0" collapsed="false">
      <c r="A172" s="36" t="str">
        <f aca="false">'Forecast Detail'!D133</f>
        <v>500357 Outsourced Tech Support</v>
      </c>
      <c r="B172" s="36" t="str">
        <f aca="false">'Forecast Detail'!A133</f>
        <v>Expense</v>
      </c>
      <c r="C172" s="36" t="str">
        <f aca="false">'Forecast Detail'!C133</f>
        <v>500357</v>
      </c>
      <c r="D172" s="36" t="str">
        <f aca="false">'Forecast Detail'!B133</f>
        <v>3 Operations</v>
      </c>
      <c r="E172" s="11" t="str">
        <f aca="false">IF(ISNUMBER(B$4),SUMIFS('Actuals Import'!$B$1:$B$600,'Actuals Import'!$H$1:$H$600,$C172,'Actuals Import'!$G$1:$G$600,1),"")</f>
        <v/>
      </c>
      <c r="F172" s="11" t="str">
        <f aca="false">IF(ISNUMBER(C$4),SUMIFS('Actuals Import'!$K$1:$K$600,'Actuals Import'!$Q$1:$Q$600,$C172,'Actuals Import'!$P$1:$P$600,1),"")</f>
        <v/>
      </c>
      <c r="G172" s="11" t="str">
        <f aca="false">IF(ISNUMBER(D$4),SUMIFS('Actuals Import'!$T$1:$T$600,'Actuals Import'!$Z$1:$Z$600,$C172,'Actuals Import'!$Y$1:$Y$600,1),"")</f>
        <v/>
      </c>
      <c r="H172" s="11" t="str">
        <f aca="false">IF(ISNUMBER(E$4),SUMIFS('Actuals Import'!$AC$1:$AC$600,'Actuals Import'!$AI$1:$AI$600,$C172,'Actuals Import'!$AH$1:$AH$600,1),"")</f>
        <v/>
      </c>
      <c r="I172" s="11" t="str">
        <f aca="false">IF(ISNUMBER(F$4),SUMIFS('Actuals Import'!$AL$1:$AL$600,'Actuals Import'!$AR$1:$AR$600,$C172,'Actuals Import'!$AQ$1:$AQ$600,1),"")</f>
        <v/>
      </c>
      <c r="J172" s="31" t="n">
        <f aca="false">'Forecast Detail'!G133</f>
        <v>60500</v>
      </c>
      <c r="K172" s="11" t="str">
        <f aca="false">IF($B$3=0,"",INDEX($E172:$I172,MATCH($F$3,$B$4:$F$4,0)))</f>
        <v/>
      </c>
      <c r="L172" s="11" t="str">
        <f aca="false">IF($B$3=0,"",AVERAGE($E172:$I172))</f>
        <v/>
      </c>
      <c r="M172" s="11" t="str">
        <f aca="false">IF($B$3&lt;3,"",IFERROR(FORECAST($H$3,$E172:$I172,$B$4:$F$4),""))</f>
        <v/>
      </c>
      <c r="N172" s="11" t="str">
        <f aca="false">IF($B$3&lt;2,"",IFERROR(IF(INDEX($E172:$I172,MATCH($D$3,$B$4:$F$4,0))*K172&gt;0,K172*(K172/INDEX($E172:$I172,MATCH($D$3,$B$4:$F$4,0)))^(($H$3-$F$3)/($F$3-$D$3)),K172),K172))</f>
        <v/>
      </c>
      <c r="O172" s="20"/>
      <c r="P172" s="6" t="str">
        <f aca="false">IF(O172&lt;&gt;"",O172,Inputs!$C$90)</f>
        <v>Linear Trend</v>
      </c>
      <c r="Q172" s="37" t="str">
        <f aca="false">IF($B$3=0,"",IF(Inputs!$C$91&gt;0,ROUND(IF(ISNUMBER(IF(P172="Last Actual",K172,IF(P172="Average",L172,IF(P172="Linear Trend",M172,N172)))),IF(P172="Last Actual",K172,IF(P172="Average",L172,IF(P172="Linear Trend",M172,N172))),K172)/Inputs!$C$91,0)*Inputs!$C$91,IF(ISNUMBER(IF(P172="Last Actual",K172,IF(P172="Average",L172,IF(P172="Linear Trend",M172,N172)))),IF(P172="Last Actual",K172,IF(P172="Average",L172,IF(P172="Linear Trend",M172,N172))),K172)))</f>
        <v/>
      </c>
      <c r="R172" s="31" t="n">
        <f aca="false">'Forecast Detail'!H133</f>
        <v>62315</v>
      </c>
      <c r="S172" s="8" t="str">
        <f aca="false">IF(Q172="","",IF(J172=0,"",Q172/J172-1))</f>
        <v/>
      </c>
      <c r="T172" s="38" t="str">
        <f aca="false">IF(S172="","",IF(ABS(S172)&gt;Inputs!$C$92,"REVIEW",""))</f>
        <v/>
      </c>
    </row>
    <row r="173" customFormat="false" ht="15" hidden="false" customHeight="false" outlineLevel="0" collapsed="false">
      <c r="A173" s="36" t="str">
        <f aca="false">'Forecast Detail'!D134</f>
        <v>500221 Repairs Athletic Facilities</v>
      </c>
      <c r="B173" s="36" t="str">
        <f aca="false">'Forecast Detail'!A134</f>
        <v>Expense</v>
      </c>
      <c r="C173" s="36" t="str">
        <f aca="false">'Forecast Detail'!C134</f>
        <v>500221</v>
      </c>
      <c r="D173" s="36" t="str">
        <f aca="false">'Forecast Detail'!B134</f>
        <v>3 Operations</v>
      </c>
      <c r="E173" s="11" t="str">
        <f aca="false">IF(ISNUMBER(B$4),SUMIFS('Actuals Import'!$B$1:$B$600,'Actuals Import'!$H$1:$H$600,$C173,'Actuals Import'!$G$1:$G$600,1),"")</f>
        <v/>
      </c>
      <c r="F173" s="11" t="str">
        <f aca="false">IF(ISNUMBER(C$4),SUMIFS('Actuals Import'!$K$1:$K$600,'Actuals Import'!$Q$1:$Q$600,$C173,'Actuals Import'!$P$1:$P$600,1),"")</f>
        <v/>
      </c>
      <c r="G173" s="11" t="str">
        <f aca="false">IF(ISNUMBER(D$4),SUMIFS('Actuals Import'!$T$1:$T$600,'Actuals Import'!$Z$1:$Z$600,$C173,'Actuals Import'!$Y$1:$Y$600,1),"")</f>
        <v/>
      </c>
      <c r="H173" s="11" t="str">
        <f aca="false">IF(ISNUMBER(E$4),SUMIFS('Actuals Import'!$AC$1:$AC$600,'Actuals Import'!$AI$1:$AI$600,$C173,'Actuals Import'!$AH$1:$AH$600,1),"")</f>
        <v/>
      </c>
      <c r="I173" s="11" t="str">
        <f aca="false">IF(ISNUMBER(F$4),SUMIFS('Actuals Import'!$AL$1:$AL$600,'Actuals Import'!$AR$1:$AR$600,$C173,'Actuals Import'!$AQ$1:$AQ$600,1),"")</f>
        <v/>
      </c>
      <c r="J173" s="31" t="n">
        <f aca="false">'Forecast Detail'!G134</f>
        <v>0</v>
      </c>
      <c r="K173" s="11" t="str">
        <f aca="false">IF($B$3=0,"",INDEX($E173:$I173,MATCH($F$3,$B$4:$F$4,0)))</f>
        <v/>
      </c>
      <c r="L173" s="11" t="str">
        <f aca="false">IF($B$3=0,"",AVERAGE($E173:$I173))</f>
        <v/>
      </c>
      <c r="M173" s="11" t="str">
        <f aca="false">IF($B$3&lt;3,"",IFERROR(FORECAST($H$3,$E173:$I173,$B$4:$F$4),""))</f>
        <v/>
      </c>
      <c r="N173" s="11" t="str">
        <f aca="false">IF($B$3&lt;2,"",IFERROR(IF(INDEX($E173:$I173,MATCH($D$3,$B$4:$F$4,0))*K173&gt;0,K173*(K173/INDEX($E173:$I173,MATCH($D$3,$B$4:$F$4,0)))^(($H$3-$F$3)/($F$3-$D$3)),K173),K173))</f>
        <v/>
      </c>
      <c r="O173" s="20"/>
      <c r="P173" s="6" t="str">
        <f aca="false">IF(O173&lt;&gt;"",O173,Inputs!$C$90)</f>
        <v>Linear Trend</v>
      </c>
      <c r="Q173" s="37" t="str">
        <f aca="false">IF($B$3=0,"",IF(Inputs!$C$91&gt;0,ROUND(IF(ISNUMBER(IF(P173="Last Actual",K173,IF(P173="Average",L173,IF(P173="Linear Trend",M173,N173)))),IF(P173="Last Actual",K173,IF(P173="Average",L173,IF(P173="Linear Trend",M173,N173))),K173)/Inputs!$C$91,0)*Inputs!$C$91,IF(ISNUMBER(IF(P173="Last Actual",K173,IF(P173="Average",L173,IF(P173="Linear Trend",M173,N173)))),IF(P173="Last Actual",K173,IF(P173="Average",L173,IF(P173="Linear Trend",M173,N173))),K173)))</f>
        <v/>
      </c>
      <c r="R173" s="31" t="n">
        <f aca="false">'Forecast Detail'!H134</f>
        <v>0</v>
      </c>
      <c r="S173" s="8" t="str">
        <f aca="false">IF(Q173="","",IF(J173=0,"",Q173/J173-1))</f>
        <v/>
      </c>
      <c r="T173" s="38" t="str">
        <f aca="false">IF(S173="","",IF(ABS(S173)&gt;Inputs!$C$92,"REVIEW",""))</f>
        <v/>
      </c>
    </row>
    <row r="174" customFormat="false" ht="15" hidden="false" customHeight="false" outlineLevel="0" collapsed="false">
      <c r="A174" s="36" t="str">
        <f aca="false">'Forecast Detail'!D135</f>
        <v>500222 Janitorial Services</v>
      </c>
      <c r="B174" s="36" t="str">
        <f aca="false">'Forecast Detail'!A135</f>
        <v>Expense</v>
      </c>
      <c r="C174" s="36" t="str">
        <f aca="false">'Forecast Detail'!C135</f>
        <v>500222</v>
      </c>
      <c r="D174" s="36" t="str">
        <f aca="false">'Forecast Detail'!B135</f>
        <v>3 Operations</v>
      </c>
      <c r="E174" s="11" t="str">
        <f aca="false">IF(ISNUMBER(B$4),SUMIFS('Actuals Import'!$B$1:$B$600,'Actuals Import'!$H$1:$H$600,$C174,'Actuals Import'!$G$1:$G$600,1),"")</f>
        <v/>
      </c>
      <c r="F174" s="11" t="str">
        <f aca="false">IF(ISNUMBER(C$4),SUMIFS('Actuals Import'!$K$1:$K$600,'Actuals Import'!$Q$1:$Q$600,$C174,'Actuals Import'!$P$1:$P$600,1),"")</f>
        <v/>
      </c>
      <c r="G174" s="11" t="str">
        <f aca="false">IF(ISNUMBER(D$4),SUMIFS('Actuals Import'!$T$1:$T$600,'Actuals Import'!$Z$1:$Z$600,$C174,'Actuals Import'!$Y$1:$Y$600,1),"")</f>
        <v/>
      </c>
      <c r="H174" s="11" t="str">
        <f aca="false">IF(ISNUMBER(E$4),SUMIFS('Actuals Import'!$AC$1:$AC$600,'Actuals Import'!$AI$1:$AI$600,$C174,'Actuals Import'!$AH$1:$AH$600,1),"")</f>
        <v/>
      </c>
      <c r="I174" s="11" t="str">
        <f aca="false">IF(ISNUMBER(F$4),SUMIFS('Actuals Import'!$AL$1:$AL$600,'Actuals Import'!$AR$1:$AR$600,$C174,'Actuals Import'!$AQ$1:$AQ$600,1),"")</f>
        <v/>
      </c>
      <c r="J174" s="31" t="n">
        <f aca="false">'Forecast Detail'!G135</f>
        <v>135000</v>
      </c>
      <c r="K174" s="11" t="str">
        <f aca="false">IF($B$3=0,"",INDEX($E174:$I174,MATCH($F$3,$B$4:$F$4,0)))</f>
        <v/>
      </c>
      <c r="L174" s="11" t="str">
        <f aca="false">IF($B$3=0,"",AVERAGE($E174:$I174))</f>
        <v/>
      </c>
      <c r="M174" s="11" t="str">
        <f aca="false">IF($B$3&lt;3,"",IFERROR(FORECAST($H$3,$E174:$I174,$B$4:$F$4),""))</f>
        <v/>
      </c>
      <c r="N174" s="11" t="str">
        <f aca="false">IF($B$3&lt;2,"",IFERROR(IF(INDEX($E174:$I174,MATCH($D$3,$B$4:$F$4,0))*K174&gt;0,K174*(K174/INDEX($E174:$I174,MATCH($D$3,$B$4:$F$4,0)))^(($H$3-$F$3)/($F$3-$D$3)),K174),K174))</f>
        <v/>
      </c>
      <c r="O174" s="20"/>
      <c r="P174" s="6" t="str">
        <f aca="false">IF(O174&lt;&gt;"",O174,Inputs!$C$90)</f>
        <v>Linear Trend</v>
      </c>
      <c r="Q174" s="37" t="str">
        <f aca="false">IF($B$3=0,"",IF(Inputs!$C$91&gt;0,ROUND(IF(ISNUMBER(IF(P174="Last Actual",K174,IF(P174="Average",L174,IF(P174="Linear Trend",M174,N174)))),IF(P174="Last Actual",K174,IF(P174="Average",L174,IF(P174="Linear Trend",M174,N174))),K174)/Inputs!$C$91,0)*Inputs!$C$91,IF(ISNUMBER(IF(P174="Last Actual",K174,IF(P174="Average",L174,IF(P174="Linear Trend",M174,N174)))),IF(P174="Last Actual",K174,IF(P174="Average",L174,IF(P174="Linear Trend",M174,N174))),K174)))</f>
        <v/>
      </c>
      <c r="R174" s="31" t="n">
        <f aca="false">'Forecast Detail'!H135</f>
        <v>139050</v>
      </c>
      <c r="S174" s="8" t="str">
        <f aca="false">IF(Q174="","",IF(J174=0,"",Q174/J174-1))</f>
        <v/>
      </c>
      <c r="T174" s="38" t="str">
        <f aca="false">IF(S174="","",IF(ABS(S174)&gt;Inputs!$C$92,"REVIEW",""))</f>
        <v/>
      </c>
    </row>
    <row r="175" customFormat="false" ht="15" hidden="false" customHeight="false" outlineLevel="0" collapsed="false">
      <c r="A175" s="36" t="str">
        <f aca="false">'Forecast Detail'!D136</f>
        <v>500223 Maintenance Contracts Facilities</v>
      </c>
      <c r="B175" s="36" t="str">
        <f aca="false">'Forecast Detail'!A136</f>
        <v>Expense</v>
      </c>
      <c r="C175" s="36" t="str">
        <f aca="false">'Forecast Detail'!C136</f>
        <v>500223</v>
      </c>
      <c r="D175" s="36" t="str">
        <f aca="false">'Forecast Detail'!B136</f>
        <v>3 Operations</v>
      </c>
      <c r="E175" s="11" t="str">
        <f aca="false">IF(ISNUMBER(B$4),SUMIFS('Actuals Import'!$B$1:$B$600,'Actuals Import'!$H$1:$H$600,$C175,'Actuals Import'!$G$1:$G$600,1),"")</f>
        <v/>
      </c>
      <c r="F175" s="11" t="str">
        <f aca="false">IF(ISNUMBER(C$4),SUMIFS('Actuals Import'!$K$1:$K$600,'Actuals Import'!$Q$1:$Q$600,$C175,'Actuals Import'!$P$1:$P$600,1),"")</f>
        <v/>
      </c>
      <c r="G175" s="11" t="str">
        <f aca="false">IF(ISNUMBER(D$4),SUMIFS('Actuals Import'!$T$1:$T$600,'Actuals Import'!$Z$1:$Z$600,$C175,'Actuals Import'!$Y$1:$Y$600,1),"")</f>
        <v/>
      </c>
      <c r="H175" s="11" t="str">
        <f aca="false">IF(ISNUMBER(E$4),SUMIFS('Actuals Import'!$AC$1:$AC$600,'Actuals Import'!$AI$1:$AI$600,$C175,'Actuals Import'!$AH$1:$AH$600,1),"")</f>
        <v/>
      </c>
      <c r="I175" s="11" t="str">
        <f aca="false">IF(ISNUMBER(F$4),SUMIFS('Actuals Import'!$AL$1:$AL$600,'Actuals Import'!$AR$1:$AR$600,$C175,'Actuals Import'!$AQ$1:$AQ$600,1),"")</f>
        <v/>
      </c>
      <c r="J175" s="31" t="n">
        <f aca="false">'Forecast Detail'!G136</f>
        <v>0</v>
      </c>
      <c r="K175" s="11" t="str">
        <f aca="false">IF($B$3=0,"",INDEX($E175:$I175,MATCH($F$3,$B$4:$F$4,0)))</f>
        <v/>
      </c>
      <c r="L175" s="11" t="str">
        <f aca="false">IF($B$3=0,"",AVERAGE($E175:$I175))</f>
        <v/>
      </c>
      <c r="M175" s="11" t="str">
        <f aca="false">IF($B$3&lt;3,"",IFERROR(FORECAST($H$3,$E175:$I175,$B$4:$F$4),""))</f>
        <v/>
      </c>
      <c r="N175" s="11" t="str">
        <f aca="false">IF($B$3&lt;2,"",IFERROR(IF(INDEX($E175:$I175,MATCH($D$3,$B$4:$F$4,0))*K175&gt;0,K175*(K175/INDEX($E175:$I175,MATCH($D$3,$B$4:$F$4,0)))^(($H$3-$F$3)/($F$3-$D$3)),K175),K175))</f>
        <v/>
      </c>
      <c r="O175" s="20"/>
      <c r="P175" s="6" t="str">
        <f aca="false">IF(O175&lt;&gt;"",O175,Inputs!$C$90)</f>
        <v>Linear Trend</v>
      </c>
      <c r="Q175" s="37" t="str">
        <f aca="false">IF($B$3=0,"",IF(Inputs!$C$91&gt;0,ROUND(IF(ISNUMBER(IF(P175="Last Actual",K175,IF(P175="Average",L175,IF(P175="Linear Trend",M175,N175)))),IF(P175="Last Actual",K175,IF(P175="Average",L175,IF(P175="Linear Trend",M175,N175))),K175)/Inputs!$C$91,0)*Inputs!$C$91,IF(ISNUMBER(IF(P175="Last Actual",K175,IF(P175="Average",L175,IF(P175="Linear Trend",M175,N175)))),IF(P175="Last Actual",K175,IF(P175="Average",L175,IF(P175="Linear Trend",M175,N175))),K175)))</f>
        <v/>
      </c>
      <c r="R175" s="31" t="n">
        <f aca="false">'Forecast Detail'!H136</f>
        <v>0</v>
      </c>
      <c r="S175" s="8" t="str">
        <f aca="false">IF(Q175="","",IF(J175=0,"",Q175/J175-1))</f>
        <v/>
      </c>
      <c r="T175" s="38" t="str">
        <f aca="false">IF(S175="","",IF(ABS(S175)&gt;Inputs!$C$92,"REVIEW",""))</f>
        <v/>
      </c>
    </row>
    <row r="176" customFormat="false" ht="15" hidden="false" customHeight="false" outlineLevel="0" collapsed="false">
      <c r="A176" s="36" t="str">
        <f aca="false">'Forecast Detail'!D137</f>
        <v>500224 Equipment General</v>
      </c>
      <c r="B176" s="36" t="str">
        <f aca="false">'Forecast Detail'!A137</f>
        <v>Expense</v>
      </c>
      <c r="C176" s="36" t="str">
        <f aca="false">'Forecast Detail'!C137</f>
        <v>500224</v>
      </c>
      <c r="D176" s="36" t="str">
        <f aca="false">'Forecast Detail'!B137</f>
        <v>3 Operations</v>
      </c>
      <c r="E176" s="11" t="str">
        <f aca="false">IF(ISNUMBER(B$4),SUMIFS('Actuals Import'!$B$1:$B$600,'Actuals Import'!$H$1:$H$600,$C176,'Actuals Import'!$G$1:$G$600,1),"")</f>
        <v/>
      </c>
      <c r="F176" s="11" t="str">
        <f aca="false">IF(ISNUMBER(C$4),SUMIFS('Actuals Import'!$K$1:$K$600,'Actuals Import'!$Q$1:$Q$600,$C176,'Actuals Import'!$P$1:$P$600,1),"")</f>
        <v/>
      </c>
      <c r="G176" s="11" t="str">
        <f aca="false">IF(ISNUMBER(D$4),SUMIFS('Actuals Import'!$T$1:$T$600,'Actuals Import'!$Z$1:$Z$600,$C176,'Actuals Import'!$Y$1:$Y$600,1),"")</f>
        <v/>
      </c>
      <c r="H176" s="11" t="str">
        <f aca="false">IF(ISNUMBER(E$4),SUMIFS('Actuals Import'!$AC$1:$AC$600,'Actuals Import'!$AI$1:$AI$600,$C176,'Actuals Import'!$AH$1:$AH$600,1),"")</f>
        <v/>
      </c>
      <c r="I176" s="11" t="str">
        <f aca="false">IF(ISNUMBER(F$4),SUMIFS('Actuals Import'!$AL$1:$AL$600,'Actuals Import'!$AR$1:$AR$600,$C176,'Actuals Import'!$AQ$1:$AQ$600,1),"")</f>
        <v/>
      </c>
      <c r="J176" s="31" t="n">
        <f aca="false">'Forecast Detail'!G137</f>
        <v>50000</v>
      </c>
      <c r="K176" s="11" t="str">
        <f aca="false">IF($B$3=0,"",INDEX($E176:$I176,MATCH($F$3,$B$4:$F$4,0)))</f>
        <v/>
      </c>
      <c r="L176" s="11" t="str">
        <f aca="false">IF($B$3=0,"",AVERAGE($E176:$I176))</f>
        <v/>
      </c>
      <c r="M176" s="11" t="str">
        <f aca="false">IF($B$3&lt;3,"",IFERROR(FORECAST($H$3,$E176:$I176,$B$4:$F$4),""))</f>
        <v/>
      </c>
      <c r="N176" s="11" t="str">
        <f aca="false">IF($B$3&lt;2,"",IFERROR(IF(INDEX($E176:$I176,MATCH($D$3,$B$4:$F$4,0))*K176&gt;0,K176*(K176/INDEX($E176:$I176,MATCH($D$3,$B$4:$F$4,0)))^(($H$3-$F$3)/($F$3-$D$3)),K176),K176))</f>
        <v/>
      </c>
      <c r="O176" s="20"/>
      <c r="P176" s="6" t="str">
        <f aca="false">IF(O176&lt;&gt;"",O176,Inputs!$C$90)</f>
        <v>Linear Trend</v>
      </c>
      <c r="Q176" s="37" t="str">
        <f aca="false">IF($B$3=0,"",IF(Inputs!$C$91&gt;0,ROUND(IF(ISNUMBER(IF(P176="Last Actual",K176,IF(P176="Average",L176,IF(P176="Linear Trend",M176,N176)))),IF(P176="Last Actual",K176,IF(P176="Average",L176,IF(P176="Linear Trend",M176,N176))),K176)/Inputs!$C$91,0)*Inputs!$C$91,IF(ISNUMBER(IF(P176="Last Actual",K176,IF(P176="Average",L176,IF(P176="Linear Trend",M176,N176)))),IF(P176="Last Actual",K176,IF(P176="Average",L176,IF(P176="Linear Trend",M176,N176))),K176)))</f>
        <v/>
      </c>
      <c r="R176" s="31" t="n">
        <f aca="false">'Forecast Detail'!H137</f>
        <v>51500</v>
      </c>
      <c r="S176" s="8" t="str">
        <f aca="false">IF(Q176="","",IF(J176=0,"",Q176/J176-1))</f>
        <v/>
      </c>
      <c r="T176" s="38" t="str">
        <f aca="false">IF(S176="","",IF(ABS(S176)&gt;Inputs!$C$92,"REVIEW",""))</f>
        <v/>
      </c>
    </row>
    <row r="177" customFormat="false" ht="15" hidden="false" customHeight="false" outlineLevel="0" collapsed="false">
      <c r="A177" s="36" t="str">
        <f aca="false">'Forecast Detail'!D138</f>
        <v>500226 Grounds Contracts</v>
      </c>
      <c r="B177" s="36" t="str">
        <f aca="false">'Forecast Detail'!A138</f>
        <v>Expense</v>
      </c>
      <c r="C177" s="36" t="str">
        <f aca="false">'Forecast Detail'!C138</f>
        <v>500226</v>
      </c>
      <c r="D177" s="36" t="str">
        <f aca="false">'Forecast Detail'!B138</f>
        <v>3 Operations</v>
      </c>
      <c r="E177" s="11" t="str">
        <f aca="false">IF(ISNUMBER(B$4),SUMIFS('Actuals Import'!$B$1:$B$600,'Actuals Import'!$H$1:$H$600,$C177,'Actuals Import'!$G$1:$G$600,1),"")</f>
        <v/>
      </c>
      <c r="F177" s="11" t="str">
        <f aca="false">IF(ISNUMBER(C$4),SUMIFS('Actuals Import'!$K$1:$K$600,'Actuals Import'!$Q$1:$Q$600,$C177,'Actuals Import'!$P$1:$P$600,1),"")</f>
        <v/>
      </c>
      <c r="G177" s="11" t="str">
        <f aca="false">IF(ISNUMBER(D$4),SUMIFS('Actuals Import'!$T$1:$T$600,'Actuals Import'!$Z$1:$Z$600,$C177,'Actuals Import'!$Y$1:$Y$600,1),"")</f>
        <v/>
      </c>
      <c r="H177" s="11" t="str">
        <f aca="false">IF(ISNUMBER(E$4),SUMIFS('Actuals Import'!$AC$1:$AC$600,'Actuals Import'!$AI$1:$AI$600,$C177,'Actuals Import'!$AH$1:$AH$600,1),"")</f>
        <v/>
      </c>
      <c r="I177" s="11" t="str">
        <f aca="false">IF(ISNUMBER(F$4),SUMIFS('Actuals Import'!$AL$1:$AL$600,'Actuals Import'!$AR$1:$AR$600,$C177,'Actuals Import'!$AQ$1:$AQ$600,1),"")</f>
        <v/>
      </c>
      <c r="J177" s="31" t="n">
        <f aca="false">'Forecast Detail'!G138</f>
        <v>0</v>
      </c>
      <c r="K177" s="11" t="str">
        <f aca="false">IF($B$3=0,"",INDEX($E177:$I177,MATCH($F$3,$B$4:$F$4,0)))</f>
        <v/>
      </c>
      <c r="L177" s="11" t="str">
        <f aca="false">IF($B$3=0,"",AVERAGE($E177:$I177))</f>
        <v/>
      </c>
      <c r="M177" s="11" t="str">
        <f aca="false">IF($B$3&lt;3,"",IFERROR(FORECAST($H$3,$E177:$I177,$B$4:$F$4),""))</f>
        <v/>
      </c>
      <c r="N177" s="11" t="str">
        <f aca="false">IF($B$3&lt;2,"",IFERROR(IF(INDEX($E177:$I177,MATCH($D$3,$B$4:$F$4,0))*K177&gt;0,K177*(K177/INDEX($E177:$I177,MATCH($D$3,$B$4:$F$4,0)))^(($H$3-$F$3)/($F$3-$D$3)),K177),K177))</f>
        <v/>
      </c>
      <c r="O177" s="20"/>
      <c r="P177" s="6" t="str">
        <f aca="false">IF(O177&lt;&gt;"",O177,Inputs!$C$90)</f>
        <v>Linear Trend</v>
      </c>
      <c r="Q177" s="37" t="str">
        <f aca="false">IF($B$3=0,"",IF(Inputs!$C$91&gt;0,ROUND(IF(ISNUMBER(IF(P177="Last Actual",K177,IF(P177="Average",L177,IF(P177="Linear Trend",M177,N177)))),IF(P177="Last Actual",K177,IF(P177="Average",L177,IF(P177="Linear Trend",M177,N177))),K177)/Inputs!$C$91,0)*Inputs!$C$91,IF(ISNUMBER(IF(P177="Last Actual",K177,IF(P177="Average",L177,IF(P177="Linear Trend",M177,N177)))),IF(P177="Last Actual",K177,IF(P177="Average",L177,IF(P177="Linear Trend",M177,N177))),K177)))</f>
        <v/>
      </c>
      <c r="R177" s="31" t="n">
        <f aca="false">'Forecast Detail'!H138</f>
        <v>0</v>
      </c>
      <c r="S177" s="8" t="str">
        <f aca="false">IF(Q177="","",IF(J177=0,"",Q177/J177-1))</f>
        <v/>
      </c>
      <c r="T177" s="38" t="str">
        <f aca="false">IF(S177="","",IF(ABS(S177)&gt;Inputs!$C$92,"REVIEW",""))</f>
        <v/>
      </c>
    </row>
    <row r="178" customFormat="false" ht="15" hidden="false" customHeight="false" outlineLevel="0" collapsed="false">
      <c r="A178" s="36" t="str">
        <f aca="false">'Forecast Detail'!D139</f>
        <v>500227 Grounds Equipment</v>
      </c>
      <c r="B178" s="36" t="str">
        <f aca="false">'Forecast Detail'!A139</f>
        <v>Expense</v>
      </c>
      <c r="C178" s="36" t="str">
        <f aca="false">'Forecast Detail'!C139</f>
        <v>500227</v>
      </c>
      <c r="D178" s="36" t="str">
        <f aca="false">'Forecast Detail'!B139</f>
        <v>3 Operations</v>
      </c>
      <c r="E178" s="11" t="str">
        <f aca="false">IF(ISNUMBER(B$4),SUMIFS('Actuals Import'!$B$1:$B$600,'Actuals Import'!$H$1:$H$600,$C178,'Actuals Import'!$G$1:$G$600,1),"")</f>
        <v/>
      </c>
      <c r="F178" s="11" t="str">
        <f aca="false">IF(ISNUMBER(C$4),SUMIFS('Actuals Import'!$K$1:$K$600,'Actuals Import'!$Q$1:$Q$600,$C178,'Actuals Import'!$P$1:$P$600,1),"")</f>
        <v/>
      </c>
      <c r="G178" s="11" t="str">
        <f aca="false">IF(ISNUMBER(D$4),SUMIFS('Actuals Import'!$T$1:$T$600,'Actuals Import'!$Z$1:$Z$600,$C178,'Actuals Import'!$Y$1:$Y$600,1),"")</f>
        <v/>
      </c>
      <c r="H178" s="11" t="str">
        <f aca="false">IF(ISNUMBER(E$4),SUMIFS('Actuals Import'!$AC$1:$AC$600,'Actuals Import'!$AI$1:$AI$600,$C178,'Actuals Import'!$AH$1:$AH$600,1),"")</f>
        <v/>
      </c>
      <c r="I178" s="11" t="str">
        <f aca="false">IF(ISNUMBER(F$4),SUMIFS('Actuals Import'!$AL$1:$AL$600,'Actuals Import'!$AR$1:$AR$600,$C178,'Actuals Import'!$AQ$1:$AQ$600,1),"")</f>
        <v/>
      </c>
      <c r="J178" s="31" t="n">
        <f aca="false">'Forecast Detail'!G139</f>
        <v>0</v>
      </c>
      <c r="K178" s="11" t="str">
        <f aca="false">IF($B$3=0,"",INDEX($E178:$I178,MATCH($F$3,$B$4:$F$4,0)))</f>
        <v/>
      </c>
      <c r="L178" s="11" t="str">
        <f aca="false">IF($B$3=0,"",AVERAGE($E178:$I178))</f>
        <v/>
      </c>
      <c r="M178" s="11" t="str">
        <f aca="false">IF($B$3&lt;3,"",IFERROR(FORECAST($H$3,$E178:$I178,$B$4:$F$4),""))</f>
        <v/>
      </c>
      <c r="N178" s="11" t="str">
        <f aca="false">IF($B$3&lt;2,"",IFERROR(IF(INDEX($E178:$I178,MATCH($D$3,$B$4:$F$4,0))*K178&gt;0,K178*(K178/INDEX($E178:$I178,MATCH($D$3,$B$4:$F$4,0)))^(($H$3-$F$3)/($F$3-$D$3)),K178),K178))</f>
        <v/>
      </c>
      <c r="O178" s="20"/>
      <c r="P178" s="6" t="str">
        <f aca="false">IF(O178&lt;&gt;"",O178,Inputs!$C$90)</f>
        <v>Linear Trend</v>
      </c>
      <c r="Q178" s="37" t="str">
        <f aca="false">IF($B$3=0,"",IF(Inputs!$C$91&gt;0,ROUND(IF(ISNUMBER(IF(P178="Last Actual",K178,IF(P178="Average",L178,IF(P178="Linear Trend",M178,N178)))),IF(P178="Last Actual",K178,IF(P178="Average",L178,IF(P178="Linear Trend",M178,N178))),K178)/Inputs!$C$91,0)*Inputs!$C$91,IF(ISNUMBER(IF(P178="Last Actual",K178,IF(P178="Average",L178,IF(P178="Linear Trend",M178,N178)))),IF(P178="Last Actual",K178,IF(P178="Average",L178,IF(P178="Linear Trend",M178,N178))),K178)))</f>
        <v/>
      </c>
      <c r="R178" s="31" t="n">
        <f aca="false">'Forecast Detail'!H139</f>
        <v>0</v>
      </c>
      <c r="S178" s="8" t="str">
        <f aca="false">IF(Q178="","",IF(J178=0,"",Q178/J178-1))</f>
        <v/>
      </c>
      <c r="T178" s="38" t="str">
        <f aca="false">IF(S178="","",IF(ABS(S178)&gt;Inputs!$C$92,"REVIEW",""))</f>
        <v/>
      </c>
    </row>
    <row r="179" customFormat="false" ht="15" hidden="false" customHeight="false" outlineLevel="0" collapsed="false">
      <c r="A179" s="36" t="str">
        <f aca="false">'Forecast Detail'!D140</f>
        <v>500228 Grounds Costs and Expenses</v>
      </c>
      <c r="B179" s="36" t="str">
        <f aca="false">'Forecast Detail'!A140</f>
        <v>Expense</v>
      </c>
      <c r="C179" s="36" t="str">
        <f aca="false">'Forecast Detail'!C140</f>
        <v>500228</v>
      </c>
      <c r="D179" s="36" t="str">
        <f aca="false">'Forecast Detail'!B140</f>
        <v>3 Operations</v>
      </c>
      <c r="E179" s="11" t="str">
        <f aca="false">IF(ISNUMBER(B$4),SUMIFS('Actuals Import'!$B$1:$B$600,'Actuals Import'!$H$1:$H$600,$C179,'Actuals Import'!$G$1:$G$600,1),"")</f>
        <v/>
      </c>
      <c r="F179" s="11" t="str">
        <f aca="false">IF(ISNUMBER(C$4),SUMIFS('Actuals Import'!$K$1:$K$600,'Actuals Import'!$Q$1:$Q$600,$C179,'Actuals Import'!$P$1:$P$600,1),"")</f>
        <v/>
      </c>
      <c r="G179" s="11" t="str">
        <f aca="false">IF(ISNUMBER(D$4),SUMIFS('Actuals Import'!$T$1:$T$600,'Actuals Import'!$Z$1:$Z$600,$C179,'Actuals Import'!$Y$1:$Y$600,1),"")</f>
        <v/>
      </c>
      <c r="H179" s="11" t="str">
        <f aca="false">IF(ISNUMBER(E$4),SUMIFS('Actuals Import'!$AC$1:$AC$600,'Actuals Import'!$AI$1:$AI$600,$C179,'Actuals Import'!$AH$1:$AH$600,1),"")</f>
        <v/>
      </c>
      <c r="I179" s="11" t="str">
        <f aca="false">IF(ISNUMBER(F$4),SUMIFS('Actuals Import'!$AL$1:$AL$600,'Actuals Import'!$AR$1:$AR$600,$C179,'Actuals Import'!$AQ$1:$AQ$600,1),"")</f>
        <v/>
      </c>
      <c r="J179" s="31" t="n">
        <f aca="false">'Forecast Detail'!G140</f>
        <v>0</v>
      </c>
      <c r="K179" s="11" t="str">
        <f aca="false">IF($B$3=0,"",INDEX($E179:$I179,MATCH($F$3,$B$4:$F$4,0)))</f>
        <v/>
      </c>
      <c r="L179" s="11" t="str">
        <f aca="false">IF($B$3=0,"",AVERAGE($E179:$I179))</f>
        <v/>
      </c>
      <c r="M179" s="11" t="str">
        <f aca="false">IF($B$3&lt;3,"",IFERROR(FORECAST($H$3,$E179:$I179,$B$4:$F$4),""))</f>
        <v/>
      </c>
      <c r="N179" s="11" t="str">
        <f aca="false">IF($B$3&lt;2,"",IFERROR(IF(INDEX($E179:$I179,MATCH($D$3,$B$4:$F$4,0))*K179&gt;0,K179*(K179/INDEX($E179:$I179,MATCH($D$3,$B$4:$F$4,0)))^(($H$3-$F$3)/($F$3-$D$3)),K179),K179))</f>
        <v/>
      </c>
      <c r="O179" s="20"/>
      <c r="P179" s="6" t="str">
        <f aca="false">IF(O179&lt;&gt;"",O179,Inputs!$C$90)</f>
        <v>Linear Trend</v>
      </c>
      <c r="Q179" s="37" t="str">
        <f aca="false">IF($B$3=0,"",IF(Inputs!$C$91&gt;0,ROUND(IF(ISNUMBER(IF(P179="Last Actual",K179,IF(P179="Average",L179,IF(P179="Linear Trend",M179,N179)))),IF(P179="Last Actual",K179,IF(P179="Average",L179,IF(P179="Linear Trend",M179,N179))),K179)/Inputs!$C$91,0)*Inputs!$C$91,IF(ISNUMBER(IF(P179="Last Actual",K179,IF(P179="Average",L179,IF(P179="Linear Trend",M179,N179)))),IF(P179="Last Actual",K179,IF(P179="Average",L179,IF(P179="Linear Trend",M179,N179))),K179)))</f>
        <v/>
      </c>
      <c r="R179" s="31" t="n">
        <f aca="false">'Forecast Detail'!H140</f>
        <v>0</v>
      </c>
      <c r="S179" s="8" t="str">
        <f aca="false">IF(Q179="","",IF(J179=0,"",Q179/J179-1))</f>
        <v/>
      </c>
      <c r="T179" s="38" t="str">
        <f aca="false">IF(S179="","",IF(ABS(S179)&gt;Inputs!$C$92,"REVIEW",""))</f>
        <v/>
      </c>
    </row>
    <row r="180" customFormat="false" ht="15" hidden="false" customHeight="false" outlineLevel="0" collapsed="false">
      <c r="A180" s="36" t="str">
        <f aca="false">'Forecast Detail'!D141</f>
        <v>500230 Repairs and Maintenance School Property</v>
      </c>
      <c r="B180" s="36" t="str">
        <f aca="false">'Forecast Detail'!A141</f>
        <v>Expense</v>
      </c>
      <c r="C180" s="36" t="str">
        <f aca="false">'Forecast Detail'!C141</f>
        <v>500230</v>
      </c>
      <c r="D180" s="36" t="str">
        <f aca="false">'Forecast Detail'!B141</f>
        <v>3 Operations</v>
      </c>
      <c r="E180" s="11" t="str">
        <f aca="false">IF(ISNUMBER(B$4),SUMIFS('Actuals Import'!$B$1:$B$600,'Actuals Import'!$H$1:$H$600,$C180,'Actuals Import'!$G$1:$G$600,1),"")</f>
        <v/>
      </c>
      <c r="F180" s="11" t="str">
        <f aca="false">IF(ISNUMBER(C$4),SUMIFS('Actuals Import'!$K$1:$K$600,'Actuals Import'!$Q$1:$Q$600,$C180,'Actuals Import'!$P$1:$P$600,1),"")</f>
        <v/>
      </c>
      <c r="G180" s="11" t="str">
        <f aca="false">IF(ISNUMBER(D$4),SUMIFS('Actuals Import'!$T$1:$T$600,'Actuals Import'!$Z$1:$Z$600,$C180,'Actuals Import'!$Y$1:$Y$600,1),"")</f>
        <v/>
      </c>
      <c r="H180" s="11" t="str">
        <f aca="false">IF(ISNUMBER(E$4),SUMIFS('Actuals Import'!$AC$1:$AC$600,'Actuals Import'!$AI$1:$AI$600,$C180,'Actuals Import'!$AH$1:$AH$600,1),"")</f>
        <v/>
      </c>
      <c r="I180" s="11" t="str">
        <f aca="false">IF(ISNUMBER(F$4),SUMIFS('Actuals Import'!$AL$1:$AL$600,'Actuals Import'!$AR$1:$AR$600,$C180,'Actuals Import'!$AQ$1:$AQ$600,1),"")</f>
        <v/>
      </c>
      <c r="J180" s="31" t="n">
        <f aca="false">'Forecast Detail'!G141</f>
        <v>0</v>
      </c>
      <c r="K180" s="11" t="str">
        <f aca="false">IF($B$3=0,"",INDEX($E180:$I180,MATCH($F$3,$B$4:$F$4,0)))</f>
        <v/>
      </c>
      <c r="L180" s="11" t="str">
        <f aca="false">IF($B$3=0,"",AVERAGE($E180:$I180))</f>
        <v/>
      </c>
      <c r="M180" s="11" t="str">
        <f aca="false">IF($B$3&lt;3,"",IFERROR(FORECAST($H$3,$E180:$I180,$B$4:$F$4),""))</f>
        <v/>
      </c>
      <c r="N180" s="11" t="str">
        <f aca="false">IF($B$3&lt;2,"",IFERROR(IF(INDEX($E180:$I180,MATCH($D$3,$B$4:$F$4,0))*K180&gt;0,K180*(K180/INDEX($E180:$I180,MATCH($D$3,$B$4:$F$4,0)))^(($H$3-$F$3)/($F$3-$D$3)),K180),K180))</f>
        <v/>
      </c>
      <c r="O180" s="20"/>
      <c r="P180" s="6" t="str">
        <f aca="false">IF(O180&lt;&gt;"",O180,Inputs!$C$90)</f>
        <v>Linear Trend</v>
      </c>
      <c r="Q180" s="37" t="str">
        <f aca="false">IF($B$3=0,"",IF(Inputs!$C$91&gt;0,ROUND(IF(ISNUMBER(IF(P180="Last Actual",K180,IF(P180="Average",L180,IF(P180="Linear Trend",M180,N180)))),IF(P180="Last Actual",K180,IF(P180="Average",L180,IF(P180="Linear Trend",M180,N180))),K180)/Inputs!$C$91,0)*Inputs!$C$91,IF(ISNUMBER(IF(P180="Last Actual",K180,IF(P180="Average",L180,IF(P180="Linear Trend",M180,N180)))),IF(P180="Last Actual",K180,IF(P180="Average",L180,IF(P180="Linear Trend",M180,N180))),K180)))</f>
        <v/>
      </c>
      <c r="R180" s="31" t="n">
        <f aca="false">'Forecast Detail'!H141</f>
        <v>0</v>
      </c>
      <c r="S180" s="8" t="str">
        <f aca="false">IF(Q180="","",IF(J180=0,"",Q180/J180-1))</f>
        <v/>
      </c>
      <c r="T180" s="38" t="str">
        <f aca="false">IF(S180="","",IF(ABS(S180)&gt;Inputs!$C$92,"REVIEW",""))</f>
        <v/>
      </c>
    </row>
    <row r="181" customFormat="false" ht="15" hidden="false" customHeight="false" outlineLevel="0" collapsed="false">
      <c r="A181" s="36" t="str">
        <f aca="false">'Forecast Detail'!D142</f>
        <v>500234 Janitorial Supplies</v>
      </c>
      <c r="B181" s="36" t="str">
        <f aca="false">'Forecast Detail'!A142</f>
        <v>Expense</v>
      </c>
      <c r="C181" s="36" t="str">
        <f aca="false">'Forecast Detail'!C142</f>
        <v>500234</v>
      </c>
      <c r="D181" s="36" t="str">
        <f aca="false">'Forecast Detail'!B142</f>
        <v>3 Operations</v>
      </c>
      <c r="E181" s="11" t="str">
        <f aca="false">IF(ISNUMBER(B$4),SUMIFS('Actuals Import'!$B$1:$B$600,'Actuals Import'!$H$1:$H$600,$C181,'Actuals Import'!$G$1:$G$600,1),"")</f>
        <v/>
      </c>
      <c r="F181" s="11" t="str">
        <f aca="false">IF(ISNUMBER(C$4),SUMIFS('Actuals Import'!$K$1:$K$600,'Actuals Import'!$Q$1:$Q$600,$C181,'Actuals Import'!$P$1:$P$600,1),"")</f>
        <v/>
      </c>
      <c r="G181" s="11" t="str">
        <f aca="false">IF(ISNUMBER(D$4),SUMIFS('Actuals Import'!$T$1:$T$600,'Actuals Import'!$Z$1:$Z$600,$C181,'Actuals Import'!$Y$1:$Y$600,1),"")</f>
        <v/>
      </c>
      <c r="H181" s="11" t="str">
        <f aca="false">IF(ISNUMBER(E$4),SUMIFS('Actuals Import'!$AC$1:$AC$600,'Actuals Import'!$AI$1:$AI$600,$C181,'Actuals Import'!$AH$1:$AH$600,1),"")</f>
        <v/>
      </c>
      <c r="I181" s="11" t="str">
        <f aca="false">IF(ISNUMBER(F$4),SUMIFS('Actuals Import'!$AL$1:$AL$600,'Actuals Import'!$AR$1:$AR$600,$C181,'Actuals Import'!$AQ$1:$AQ$600,1),"")</f>
        <v/>
      </c>
      <c r="J181" s="31" t="n">
        <f aca="false">'Forecast Detail'!G142</f>
        <v>0</v>
      </c>
      <c r="K181" s="11" t="str">
        <f aca="false">IF($B$3=0,"",INDEX($E181:$I181,MATCH($F$3,$B$4:$F$4,0)))</f>
        <v/>
      </c>
      <c r="L181" s="11" t="str">
        <f aca="false">IF($B$3=0,"",AVERAGE($E181:$I181))</f>
        <v/>
      </c>
      <c r="M181" s="11" t="str">
        <f aca="false">IF($B$3&lt;3,"",IFERROR(FORECAST($H$3,$E181:$I181,$B$4:$F$4),""))</f>
        <v/>
      </c>
      <c r="N181" s="11" t="str">
        <f aca="false">IF($B$3&lt;2,"",IFERROR(IF(INDEX($E181:$I181,MATCH($D$3,$B$4:$F$4,0))*K181&gt;0,K181*(K181/INDEX($E181:$I181,MATCH($D$3,$B$4:$F$4,0)))^(($H$3-$F$3)/($F$3-$D$3)),K181),K181))</f>
        <v/>
      </c>
      <c r="O181" s="20"/>
      <c r="P181" s="6" t="str">
        <f aca="false">IF(O181&lt;&gt;"",O181,Inputs!$C$90)</f>
        <v>Linear Trend</v>
      </c>
      <c r="Q181" s="37" t="str">
        <f aca="false">IF($B$3=0,"",IF(Inputs!$C$91&gt;0,ROUND(IF(ISNUMBER(IF(P181="Last Actual",K181,IF(P181="Average",L181,IF(P181="Linear Trend",M181,N181)))),IF(P181="Last Actual",K181,IF(P181="Average",L181,IF(P181="Linear Trend",M181,N181))),K181)/Inputs!$C$91,0)*Inputs!$C$91,IF(ISNUMBER(IF(P181="Last Actual",K181,IF(P181="Average",L181,IF(P181="Linear Trend",M181,N181)))),IF(P181="Last Actual",K181,IF(P181="Average",L181,IF(P181="Linear Trend",M181,N181))),K181)))</f>
        <v/>
      </c>
      <c r="R181" s="31" t="n">
        <f aca="false">'Forecast Detail'!H142</f>
        <v>0</v>
      </c>
      <c r="S181" s="8" t="str">
        <f aca="false">IF(Q181="","",IF(J181=0,"",Q181/J181-1))</f>
        <v/>
      </c>
      <c r="T181" s="38" t="str">
        <f aca="false">IF(S181="","",IF(ABS(S181)&gt;Inputs!$C$92,"REVIEW",""))</f>
        <v/>
      </c>
    </row>
    <row r="182" customFormat="false" ht="15" hidden="false" customHeight="false" outlineLevel="0" collapsed="false">
      <c r="A182" s="36" t="str">
        <f aca="false">'Forecast Detail'!D143</f>
        <v>500236 Repairs Willet Hall</v>
      </c>
      <c r="B182" s="36" t="str">
        <f aca="false">'Forecast Detail'!A143</f>
        <v>Expense</v>
      </c>
      <c r="C182" s="36" t="str">
        <f aca="false">'Forecast Detail'!C143</f>
        <v>500236</v>
      </c>
      <c r="D182" s="36" t="str">
        <f aca="false">'Forecast Detail'!B143</f>
        <v>3 Operations</v>
      </c>
      <c r="E182" s="11" t="str">
        <f aca="false">IF(ISNUMBER(B$4),SUMIFS('Actuals Import'!$B$1:$B$600,'Actuals Import'!$H$1:$H$600,$C182,'Actuals Import'!$G$1:$G$600,1),"")</f>
        <v/>
      </c>
      <c r="F182" s="11" t="str">
        <f aca="false">IF(ISNUMBER(C$4),SUMIFS('Actuals Import'!$K$1:$K$600,'Actuals Import'!$Q$1:$Q$600,$C182,'Actuals Import'!$P$1:$P$600,1),"")</f>
        <v/>
      </c>
      <c r="G182" s="11" t="str">
        <f aca="false">IF(ISNUMBER(D$4),SUMIFS('Actuals Import'!$T$1:$T$600,'Actuals Import'!$Z$1:$Z$600,$C182,'Actuals Import'!$Y$1:$Y$600,1),"")</f>
        <v/>
      </c>
      <c r="H182" s="11" t="str">
        <f aca="false">IF(ISNUMBER(E$4),SUMIFS('Actuals Import'!$AC$1:$AC$600,'Actuals Import'!$AI$1:$AI$600,$C182,'Actuals Import'!$AH$1:$AH$600,1),"")</f>
        <v/>
      </c>
      <c r="I182" s="11" t="str">
        <f aca="false">IF(ISNUMBER(F$4),SUMIFS('Actuals Import'!$AL$1:$AL$600,'Actuals Import'!$AR$1:$AR$600,$C182,'Actuals Import'!$AQ$1:$AQ$600,1),"")</f>
        <v/>
      </c>
      <c r="J182" s="31" t="n">
        <f aca="false">'Forecast Detail'!G143</f>
        <v>0</v>
      </c>
      <c r="K182" s="11" t="str">
        <f aca="false">IF($B$3=0,"",INDEX($E182:$I182,MATCH($F$3,$B$4:$F$4,0)))</f>
        <v/>
      </c>
      <c r="L182" s="11" t="str">
        <f aca="false">IF($B$3=0,"",AVERAGE($E182:$I182))</f>
        <v/>
      </c>
      <c r="M182" s="11" t="str">
        <f aca="false">IF($B$3&lt;3,"",IFERROR(FORECAST($H$3,$E182:$I182,$B$4:$F$4),""))</f>
        <v/>
      </c>
      <c r="N182" s="11" t="str">
        <f aca="false">IF($B$3&lt;2,"",IFERROR(IF(INDEX($E182:$I182,MATCH($D$3,$B$4:$F$4,0))*K182&gt;0,K182*(K182/INDEX($E182:$I182,MATCH($D$3,$B$4:$F$4,0)))^(($H$3-$F$3)/($F$3-$D$3)),K182),K182))</f>
        <v/>
      </c>
      <c r="O182" s="20"/>
      <c r="P182" s="6" t="str">
        <f aca="false">IF(O182&lt;&gt;"",O182,Inputs!$C$90)</f>
        <v>Linear Trend</v>
      </c>
      <c r="Q182" s="37" t="str">
        <f aca="false">IF($B$3=0,"",IF(Inputs!$C$91&gt;0,ROUND(IF(ISNUMBER(IF(P182="Last Actual",K182,IF(P182="Average",L182,IF(P182="Linear Trend",M182,N182)))),IF(P182="Last Actual",K182,IF(P182="Average",L182,IF(P182="Linear Trend",M182,N182))),K182)/Inputs!$C$91,0)*Inputs!$C$91,IF(ISNUMBER(IF(P182="Last Actual",K182,IF(P182="Average",L182,IF(P182="Linear Trend",M182,N182)))),IF(P182="Last Actual",K182,IF(P182="Average",L182,IF(P182="Linear Trend",M182,N182))),K182)))</f>
        <v/>
      </c>
      <c r="R182" s="31" t="n">
        <f aca="false">'Forecast Detail'!H143</f>
        <v>0</v>
      </c>
      <c r="S182" s="8" t="str">
        <f aca="false">IF(Q182="","",IF(J182=0,"",Q182/J182-1))</f>
        <v/>
      </c>
      <c r="T182" s="38" t="str">
        <f aca="false">IF(S182="","",IF(ABS(S182)&gt;Inputs!$C$92,"REVIEW",""))</f>
        <v/>
      </c>
    </row>
    <row r="183" customFormat="false" ht="15" hidden="false" customHeight="false" outlineLevel="0" collapsed="false">
      <c r="A183" s="36" t="str">
        <f aca="false">'Forecast Detail'!D144</f>
        <v>Maintenance-Budget Only</v>
      </c>
      <c r="B183" s="36" t="str">
        <f aca="false">'Forecast Detail'!A144</f>
        <v>Expense</v>
      </c>
      <c r="C183" s="36" t="str">
        <f aca="false">'Forecast Detail'!C144</f>
        <v>Maintenance-Budget Only</v>
      </c>
      <c r="D183" s="36" t="str">
        <f aca="false">'Forecast Detail'!B144</f>
        <v>3 Operations</v>
      </c>
      <c r="E183" s="11" t="str">
        <f aca="false">IF(ISNUMBER(B$4),SUMIFS('Actuals Import'!$B$1:$B$600,'Actuals Import'!$H$1:$H$600,$C183,'Actuals Import'!$G$1:$G$600,1),"")</f>
        <v/>
      </c>
      <c r="F183" s="11" t="str">
        <f aca="false">IF(ISNUMBER(C$4),SUMIFS('Actuals Import'!$K$1:$K$600,'Actuals Import'!$Q$1:$Q$600,$C183,'Actuals Import'!$P$1:$P$600,1),"")</f>
        <v/>
      </c>
      <c r="G183" s="11" t="str">
        <f aca="false">IF(ISNUMBER(D$4),SUMIFS('Actuals Import'!$T$1:$T$600,'Actuals Import'!$Z$1:$Z$600,$C183,'Actuals Import'!$Y$1:$Y$600,1),"")</f>
        <v/>
      </c>
      <c r="H183" s="11" t="str">
        <f aca="false">IF(ISNUMBER(E$4),SUMIFS('Actuals Import'!$AC$1:$AC$600,'Actuals Import'!$AI$1:$AI$600,$C183,'Actuals Import'!$AH$1:$AH$600,1),"")</f>
        <v/>
      </c>
      <c r="I183" s="11" t="str">
        <f aca="false">IF(ISNUMBER(F$4),SUMIFS('Actuals Import'!$AL$1:$AL$600,'Actuals Import'!$AR$1:$AR$600,$C183,'Actuals Import'!$AQ$1:$AQ$600,1),"")</f>
        <v/>
      </c>
      <c r="J183" s="31" t="n">
        <f aca="false">'Forecast Detail'!G144</f>
        <v>643750</v>
      </c>
      <c r="K183" s="11" t="str">
        <f aca="false">IF($B$3=0,"",INDEX($E183:$I183,MATCH($F$3,$B$4:$F$4,0)))</f>
        <v/>
      </c>
      <c r="L183" s="11" t="str">
        <f aca="false">IF($B$3=0,"",AVERAGE($E183:$I183))</f>
        <v/>
      </c>
      <c r="M183" s="11" t="str">
        <f aca="false">IF($B$3&lt;3,"",IFERROR(FORECAST($H$3,$E183:$I183,$B$4:$F$4),""))</f>
        <v/>
      </c>
      <c r="N183" s="11" t="str">
        <f aca="false">IF($B$3&lt;2,"",IFERROR(IF(INDEX($E183:$I183,MATCH($D$3,$B$4:$F$4,0))*K183&gt;0,K183*(K183/INDEX($E183:$I183,MATCH($D$3,$B$4:$F$4,0)))^(($H$3-$F$3)/($F$3-$D$3)),K183),K183))</f>
        <v/>
      </c>
      <c r="O183" s="20"/>
      <c r="P183" s="6" t="str">
        <f aca="false">IF(O183&lt;&gt;"",O183,Inputs!$C$90)</f>
        <v>Linear Trend</v>
      </c>
      <c r="Q183" s="37" t="str">
        <f aca="false">IF($B$3=0,"",IF(Inputs!$C$91&gt;0,ROUND(IF(ISNUMBER(IF(P183="Last Actual",K183,IF(P183="Average",L183,IF(P183="Linear Trend",M183,N183)))),IF(P183="Last Actual",K183,IF(P183="Average",L183,IF(P183="Linear Trend",M183,N183))),K183)/Inputs!$C$91,0)*Inputs!$C$91,IF(ISNUMBER(IF(P183="Last Actual",K183,IF(P183="Average",L183,IF(P183="Linear Trend",M183,N183)))),IF(P183="Last Actual",K183,IF(P183="Average",L183,IF(P183="Linear Trend",M183,N183))),K183)))</f>
        <v/>
      </c>
      <c r="R183" s="31" t="n">
        <f aca="false">'Forecast Detail'!H144</f>
        <v>663062.5</v>
      </c>
      <c r="S183" s="8" t="str">
        <f aca="false">IF(Q183="","",IF(J183=0,"",Q183/J183-1))</f>
        <v/>
      </c>
      <c r="T183" s="38" t="str">
        <f aca="false">IF(S183="","",IF(ABS(S183)&gt;Inputs!$C$92,"REVIEW",""))</f>
        <v/>
      </c>
    </row>
    <row r="184" customFormat="false" ht="15" hidden="false" customHeight="false" outlineLevel="0" collapsed="false">
      <c r="A184" s="36" t="str">
        <f aca="false">'Forecast Detail'!D145</f>
        <v>500237 Utilities - Power</v>
      </c>
      <c r="B184" s="36" t="str">
        <f aca="false">'Forecast Detail'!A145</f>
        <v>Expense</v>
      </c>
      <c r="C184" s="36" t="str">
        <f aca="false">'Forecast Detail'!C145</f>
        <v>500237</v>
      </c>
      <c r="D184" s="36" t="str">
        <f aca="false">'Forecast Detail'!B145</f>
        <v>3 Operations</v>
      </c>
      <c r="E184" s="11" t="str">
        <f aca="false">IF(ISNUMBER(B$4),SUMIFS('Actuals Import'!$B$1:$B$600,'Actuals Import'!$H$1:$H$600,$C184,'Actuals Import'!$G$1:$G$600,1),"")</f>
        <v/>
      </c>
      <c r="F184" s="11" t="str">
        <f aca="false">IF(ISNUMBER(C$4),SUMIFS('Actuals Import'!$K$1:$K$600,'Actuals Import'!$Q$1:$Q$600,$C184,'Actuals Import'!$P$1:$P$600,1),"")</f>
        <v/>
      </c>
      <c r="G184" s="11" t="str">
        <f aca="false">IF(ISNUMBER(D$4),SUMIFS('Actuals Import'!$T$1:$T$600,'Actuals Import'!$Z$1:$Z$600,$C184,'Actuals Import'!$Y$1:$Y$600,1),"")</f>
        <v/>
      </c>
      <c r="H184" s="11" t="str">
        <f aca="false">IF(ISNUMBER(E$4),SUMIFS('Actuals Import'!$AC$1:$AC$600,'Actuals Import'!$AI$1:$AI$600,$C184,'Actuals Import'!$AH$1:$AH$600,1),"")</f>
        <v/>
      </c>
      <c r="I184" s="11" t="str">
        <f aca="false">IF(ISNUMBER(F$4),SUMIFS('Actuals Import'!$AL$1:$AL$600,'Actuals Import'!$AR$1:$AR$600,$C184,'Actuals Import'!$AQ$1:$AQ$600,1),"")</f>
        <v/>
      </c>
      <c r="J184" s="31" t="n">
        <f aca="false">'Forecast Detail'!G145</f>
        <v>0</v>
      </c>
      <c r="K184" s="11" t="str">
        <f aca="false">IF($B$3=0,"",INDEX($E184:$I184,MATCH($F$3,$B$4:$F$4,0)))</f>
        <v/>
      </c>
      <c r="L184" s="11" t="str">
        <f aca="false">IF($B$3=0,"",AVERAGE($E184:$I184))</f>
        <v/>
      </c>
      <c r="M184" s="11" t="str">
        <f aca="false">IF($B$3&lt;3,"",IFERROR(FORECAST($H$3,$E184:$I184,$B$4:$F$4),""))</f>
        <v/>
      </c>
      <c r="N184" s="11" t="str">
        <f aca="false">IF($B$3&lt;2,"",IFERROR(IF(INDEX($E184:$I184,MATCH($D$3,$B$4:$F$4,0))*K184&gt;0,K184*(K184/INDEX($E184:$I184,MATCH($D$3,$B$4:$F$4,0)))^(($H$3-$F$3)/($F$3-$D$3)),K184),K184))</f>
        <v/>
      </c>
      <c r="O184" s="20"/>
      <c r="P184" s="6" t="str">
        <f aca="false">IF(O184&lt;&gt;"",O184,Inputs!$C$90)</f>
        <v>Linear Trend</v>
      </c>
      <c r="Q184" s="37" t="str">
        <f aca="false">IF($B$3=0,"",IF(Inputs!$C$91&gt;0,ROUND(IF(ISNUMBER(IF(P184="Last Actual",K184,IF(P184="Average",L184,IF(P184="Linear Trend",M184,N184)))),IF(P184="Last Actual",K184,IF(P184="Average",L184,IF(P184="Linear Trend",M184,N184))),K184)/Inputs!$C$91,0)*Inputs!$C$91,IF(ISNUMBER(IF(P184="Last Actual",K184,IF(P184="Average",L184,IF(P184="Linear Trend",M184,N184)))),IF(P184="Last Actual",K184,IF(P184="Average",L184,IF(P184="Linear Trend",M184,N184))),K184)))</f>
        <v/>
      </c>
      <c r="R184" s="31" t="n">
        <f aca="false">'Forecast Detail'!H145</f>
        <v>0</v>
      </c>
      <c r="S184" s="8" t="str">
        <f aca="false">IF(Q184="","",IF(J184=0,"",Q184/J184-1))</f>
        <v/>
      </c>
      <c r="T184" s="38" t="str">
        <f aca="false">IF(S184="","",IF(ABS(S184)&gt;Inputs!$C$92,"REVIEW",""))</f>
        <v/>
      </c>
    </row>
    <row r="185" customFormat="false" ht="15" hidden="false" customHeight="false" outlineLevel="0" collapsed="false">
      <c r="A185" s="36" t="str">
        <f aca="false">'Forecast Detail'!D146</f>
        <v>500238 Utilities Water</v>
      </c>
      <c r="B185" s="36" t="str">
        <f aca="false">'Forecast Detail'!A146</f>
        <v>Expense</v>
      </c>
      <c r="C185" s="36" t="str">
        <f aca="false">'Forecast Detail'!C146</f>
        <v>500238</v>
      </c>
      <c r="D185" s="36" t="str">
        <f aca="false">'Forecast Detail'!B146</f>
        <v>3 Operations</v>
      </c>
      <c r="E185" s="11" t="str">
        <f aca="false">IF(ISNUMBER(B$4),SUMIFS('Actuals Import'!$B$1:$B$600,'Actuals Import'!$H$1:$H$600,$C185,'Actuals Import'!$G$1:$G$600,1),"")</f>
        <v/>
      </c>
      <c r="F185" s="11" t="str">
        <f aca="false">IF(ISNUMBER(C$4),SUMIFS('Actuals Import'!$K$1:$K$600,'Actuals Import'!$Q$1:$Q$600,$C185,'Actuals Import'!$P$1:$P$600,1),"")</f>
        <v/>
      </c>
      <c r="G185" s="11" t="str">
        <f aca="false">IF(ISNUMBER(D$4),SUMIFS('Actuals Import'!$T$1:$T$600,'Actuals Import'!$Z$1:$Z$600,$C185,'Actuals Import'!$Y$1:$Y$600,1),"")</f>
        <v/>
      </c>
      <c r="H185" s="11" t="str">
        <f aca="false">IF(ISNUMBER(E$4),SUMIFS('Actuals Import'!$AC$1:$AC$600,'Actuals Import'!$AI$1:$AI$600,$C185,'Actuals Import'!$AH$1:$AH$600,1),"")</f>
        <v/>
      </c>
      <c r="I185" s="11" t="str">
        <f aca="false">IF(ISNUMBER(F$4),SUMIFS('Actuals Import'!$AL$1:$AL$600,'Actuals Import'!$AR$1:$AR$600,$C185,'Actuals Import'!$AQ$1:$AQ$600,1),"")</f>
        <v/>
      </c>
      <c r="J185" s="31" t="n">
        <f aca="false">'Forecast Detail'!G146</f>
        <v>0</v>
      </c>
      <c r="K185" s="11" t="str">
        <f aca="false">IF($B$3=0,"",INDEX($E185:$I185,MATCH($F$3,$B$4:$F$4,0)))</f>
        <v/>
      </c>
      <c r="L185" s="11" t="str">
        <f aca="false">IF($B$3=0,"",AVERAGE($E185:$I185))</f>
        <v/>
      </c>
      <c r="M185" s="11" t="str">
        <f aca="false">IF($B$3&lt;3,"",IFERROR(FORECAST($H$3,$E185:$I185,$B$4:$F$4),""))</f>
        <v/>
      </c>
      <c r="N185" s="11" t="str">
        <f aca="false">IF($B$3&lt;2,"",IFERROR(IF(INDEX($E185:$I185,MATCH($D$3,$B$4:$F$4,0))*K185&gt;0,K185*(K185/INDEX($E185:$I185,MATCH($D$3,$B$4:$F$4,0)))^(($H$3-$F$3)/($F$3-$D$3)),K185),K185))</f>
        <v/>
      </c>
      <c r="O185" s="20"/>
      <c r="P185" s="6" t="str">
        <f aca="false">IF(O185&lt;&gt;"",O185,Inputs!$C$90)</f>
        <v>Linear Trend</v>
      </c>
      <c r="Q185" s="37" t="str">
        <f aca="false">IF($B$3=0,"",IF(Inputs!$C$91&gt;0,ROUND(IF(ISNUMBER(IF(P185="Last Actual",K185,IF(P185="Average",L185,IF(P185="Linear Trend",M185,N185)))),IF(P185="Last Actual",K185,IF(P185="Average",L185,IF(P185="Linear Trend",M185,N185))),K185)/Inputs!$C$91,0)*Inputs!$C$91,IF(ISNUMBER(IF(P185="Last Actual",K185,IF(P185="Average",L185,IF(P185="Linear Trend",M185,N185)))),IF(P185="Last Actual",K185,IF(P185="Average",L185,IF(P185="Linear Trend",M185,N185))),K185)))</f>
        <v/>
      </c>
      <c r="R185" s="31" t="n">
        <f aca="false">'Forecast Detail'!H146</f>
        <v>0</v>
      </c>
      <c r="S185" s="8" t="str">
        <f aca="false">IF(Q185="","",IF(J185=0,"",Q185/J185-1))</f>
        <v/>
      </c>
      <c r="T185" s="38" t="str">
        <f aca="false">IF(S185="","",IF(ABS(S185)&gt;Inputs!$C$92,"REVIEW",""))</f>
        <v/>
      </c>
    </row>
    <row r="186" customFormat="false" ht="15" hidden="false" customHeight="false" outlineLevel="0" collapsed="false">
      <c r="A186" s="36" t="str">
        <f aca="false">'Forecast Detail'!D147</f>
        <v>500239 Utilities Telephone &amp; Cell</v>
      </c>
      <c r="B186" s="36" t="str">
        <f aca="false">'Forecast Detail'!A147</f>
        <v>Expense</v>
      </c>
      <c r="C186" s="36" t="str">
        <f aca="false">'Forecast Detail'!C147</f>
        <v>500239</v>
      </c>
      <c r="D186" s="36" t="str">
        <f aca="false">'Forecast Detail'!B147</f>
        <v>3 Operations</v>
      </c>
      <c r="E186" s="11" t="str">
        <f aca="false">IF(ISNUMBER(B$4),SUMIFS('Actuals Import'!$B$1:$B$600,'Actuals Import'!$H$1:$H$600,$C186,'Actuals Import'!$G$1:$G$600,1),"")</f>
        <v/>
      </c>
      <c r="F186" s="11" t="str">
        <f aca="false">IF(ISNUMBER(C$4),SUMIFS('Actuals Import'!$K$1:$K$600,'Actuals Import'!$Q$1:$Q$600,$C186,'Actuals Import'!$P$1:$P$600,1),"")</f>
        <v/>
      </c>
      <c r="G186" s="11" t="str">
        <f aca="false">IF(ISNUMBER(D$4),SUMIFS('Actuals Import'!$T$1:$T$600,'Actuals Import'!$Z$1:$Z$600,$C186,'Actuals Import'!$Y$1:$Y$600,1),"")</f>
        <v/>
      </c>
      <c r="H186" s="11" t="str">
        <f aca="false">IF(ISNUMBER(E$4),SUMIFS('Actuals Import'!$AC$1:$AC$600,'Actuals Import'!$AI$1:$AI$600,$C186,'Actuals Import'!$AH$1:$AH$600,1),"")</f>
        <v/>
      </c>
      <c r="I186" s="11" t="str">
        <f aca="false">IF(ISNUMBER(F$4),SUMIFS('Actuals Import'!$AL$1:$AL$600,'Actuals Import'!$AR$1:$AR$600,$C186,'Actuals Import'!$AQ$1:$AQ$600,1),"")</f>
        <v/>
      </c>
      <c r="J186" s="31" t="n">
        <f aca="false">'Forecast Detail'!G147</f>
        <v>0</v>
      </c>
      <c r="K186" s="11" t="str">
        <f aca="false">IF($B$3=0,"",INDEX($E186:$I186,MATCH($F$3,$B$4:$F$4,0)))</f>
        <v/>
      </c>
      <c r="L186" s="11" t="str">
        <f aca="false">IF($B$3=0,"",AVERAGE($E186:$I186))</f>
        <v/>
      </c>
      <c r="M186" s="11" t="str">
        <f aca="false">IF($B$3&lt;3,"",IFERROR(FORECAST($H$3,$E186:$I186,$B$4:$F$4),""))</f>
        <v/>
      </c>
      <c r="N186" s="11" t="str">
        <f aca="false">IF($B$3&lt;2,"",IFERROR(IF(INDEX($E186:$I186,MATCH($D$3,$B$4:$F$4,0))*K186&gt;0,K186*(K186/INDEX($E186:$I186,MATCH($D$3,$B$4:$F$4,0)))^(($H$3-$F$3)/($F$3-$D$3)),K186),K186))</f>
        <v/>
      </c>
      <c r="O186" s="20"/>
      <c r="P186" s="6" t="str">
        <f aca="false">IF(O186&lt;&gt;"",O186,Inputs!$C$90)</f>
        <v>Linear Trend</v>
      </c>
      <c r="Q186" s="37" t="str">
        <f aca="false">IF($B$3=0,"",IF(Inputs!$C$91&gt;0,ROUND(IF(ISNUMBER(IF(P186="Last Actual",K186,IF(P186="Average",L186,IF(P186="Linear Trend",M186,N186)))),IF(P186="Last Actual",K186,IF(P186="Average",L186,IF(P186="Linear Trend",M186,N186))),K186)/Inputs!$C$91,0)*Inputs!$C$91,IF(ISNUMBER(IF(P186="Last Actual",K186,IF(P186="Average",L186,IF(P186="Linear Trend",M186,N186)))),IF(P186="Last Actual",K186,IF(P186="Average",L186,IF(P186="Linear Trend",M186,N186))),K186)))</f>
        <v/>
      </c>
      <c r="R186" s="31" t="n">
        <f aca="false">'Forecast Detail'!H147</f>
        <v>0</v>
      </c>
      <c r="S186" s="8" t="str">
        <f aca="false">IF(Q186="","",IF(J186=0,"",Q186/J186-1))</f>
        <v/>
      </c>
      <c r="T186" s="38" t="str">
        <f aca="false">IF(S186="","",IF(ABS(S186)&gt;Inputs!$C$92,"REVIEW",""))</f>
        <v/>
      </c>
    </row>
    <row r="187" customFormat="false" ht="15" hidden="false" customHeight="false" outlineLevel="0" collapsed="false">
      <c r="A187" s="36" t="str">
        <f aca="false">'Forecast Detail'!D148</f>
        <v>500240 Utilities Gas</v>
      </c>
      <c r="B187" s="36" t="str">
        <f aca="false">'Forecast Detail'!A148</f>
        <v>Expense</v>
      </c>
      <c r="C187" s="36" t="str">
        <f aca="false">'Forecast Detail'!C148</f>
        <v>500240</v>
      </c>
      <c r="D187" s="36" t="str">
        <f aca="false">'Forecast Detail'!B148</f>
        <v>3 Operations</v>
      </c>
      <c r="E187" s="11" t="str">
        <f aca="false">IF(ISNUMBER(B$4),SUMIFS('Actuals Import'!$B$1:$B$600,'Actuals Import'!$H$1:$H$600,$C187,'Actuals Import'!$G$1:$G$600,1),"")</f>
        <v/>
      </c>
      <c r="F187" s="11" t="str">
        <f aca="false">IF(ISNUMBER(C$4),SUMIFS('Actuals Import'!$K$1:$K$600,'Actuals Import'!$Q$1:$Q$600,$C187,'Actuals Import'!$P$1:$P$600,1),"")</f>
        <v/>
      </c>
      <c r="G187" s="11" t="str">
        <f aca="false">IF(ISNUMBER(D$4),SUMIFS('Actuals Import'!$T$1:$T$600,'Actuals Import'!$Z$1:$Z$600,$C187,'Actuals Import'!$Y$1:$Y$600,1),"")</f>
        <v/>
      </c>
      <c r="H187" s="11" t="str">
        <f aca="false">IF(ISNUMBER(E$4),SUMIFS('Actuals Import'!$AC$1:$AC$600,'Actuals Import'!$AI$1:$AI$600,$C187,'Actuals Import'!$AH$1:$AH$600,1),"")</f>
        <v/>
      </c>
      <c r="I187" s="11" t="str">
        <f aca="false">IF(ISNUMBER(F$4),SUMIFS('Actuals Import'!$AL$1:$AL$600,'Actuals Import'!$AR$1:$AR$600,$C187,'Actuals Import'!$AQ$1:$AQ$600,1),"")</f>
        <v/>
      </c>
      <c r="J187" s="31" t="n">
        <f aca="false">'Forecast Detail'!G148</f>
        <v>0</v>
      </c>
      <c r="K187" s="11" t="str">
        <f aca="false">IF($B$3=0,"",INDEX($E187:$I187,MATCH($F$3,$B$4:$F$4,0)))</f>
        <v/>
      </c>
      <c r="L187" s="11" t="str">
        <f aca="false">IF($B$3=0,"",AVERAGE($E187:$I187))</f>
        <v/>
      </c>
      <c r="M187" s="11" t="str">
        <f aca="false">IF($B$3&lt;3,"",IFERROR(FORECAST($H$3,$E187:$I187,$B$4:$F$4),""))</f>
        <v/>
      </c>
      <c r="N187" s="11" t="str">
        <f aca="false">IF($B$3&lt;2,"",IFERROR(IF(INDEX($E187:$I187,MATCH($D$3,$B$4:$F$4,0))*K187&gt;0,K187*(K187/INDEX($E187:$I187,MATCH($D$3,$B$4:$F$4,0)))^(($H$3-$F$3)/($F$3-$D$3)),K187),K187))</f>
        <v/>
      </c>
      <c r="O187" s="20"/>
      <c r="P187" s="6" t="str">
        <f aca="false">IF(O187&lt;&gt;"",O187,Inputs!$C$90)</f>
        <v>Linear Trend</v>
      </c>
      <c r="Q187" s="37" t="str">
        <f aca="false">IF($B$3=0,"",IF(Inputs!$C$91&gt;0,ROUND(IF(ISNUMBER(IF(P187="Last Actual",K187,IF(P187="Average",L187,IF(P187="Linear Trend",M187,N187)))),IF(P187="Last Actual",K187,IF(P187="Average",L187,IF(P187="Linear Trend",M187,N187))),K187)/Inputs!$C$91,0)*Inputs!$C$91,IF(ISNUMBER(IF(P187="Last Actual",K187,IF(P187="Average",L187,IF(P187="Linear Trend",M187,N187)))),IF(P187="Last Actual",K187,IF(P187="Average",L187,IF(P187="Linear Trend",M187,N187))),K187)))</f>
        <v/>
      </c>
      <c r="R187" s="31" t="n">
        <f aca="false">'Forecast Detail'!H148</f>
        <v>0</v>
      </c>
      <c r="S187" s="8" t="str">
        <f aca="false">IF(Q187="","",IF(J187=0,"",Q187/J187-1))</f>
        <v/>
      </c>
      <c r="T187" s="38" t="str">
        <f aca="false">IF(S187="","",IF(ABS(S187)&gt;Inputs!$C$92,"REVIEW",""))</f>
        <v/>
      </c>
    </row>
    <row r="188" customFormat="false" ht="15" hidden="false" customHeight="false" outlineLevel="0" collapsed="false">
      <c r="A188" s="36" t="str">
        <f aca="false">'Forecast Detail'!D149</f>
        <v>500017 Admissions</v>
      </c>
      <c r="B188" s="36" t="str">
        <f aca="false">'Forecast Detail'!A149</f>
        <v>Expense</v>
      </c>
      <c r="C188" s="36" t="str">
        <f aca="false">'Forecast Detail'!C149</f>
        <v>500017</v>
      </c>
      <c r="D188" s="36" t="str">
        <f aca="false">'Forecast Detail'!B149</f>
        <v>4 Administrative</v>
      </c>
      <c r="E188" s="11" t="str">
        <f aca="false">IF(ISNUMBER(B$4),SUMIFS('Actuals Import'!$B$1:$B$600,'Actuals Import'!$H$1:$H$600,$C188,'Actuals Import'!$G$1:$G$600,1),"")</f>
        <v/>
      </c>
      <c r="F188" s="11" t="str">
        <f aca="false">IF(ISNUMBER(C$4),SUMIFS('Actuals Import'!$K$1:$K$600,'Actuals Import'!$Q$1:$Q$600,$C188,'Actuals Import'!$P$1:$P$600,1),"")</f>
        <v/>
      </c>
      <c r="G188" s="11" t="str">
        <f aca="false">IF(ISNUMBER(D$4),SUMIFS('Actuals Import'!$T$1:$T$600,'Actuals Import'!$Z$1:$Z$600,$C188,'Actuals Import'!$Y$1:$Y$600,1),"")</f>
        <v/>
      </c>
      <c r="H188" s="11" t="str">
        <f aca="false">IF(ISNUMBER(E$4),SUMIFS('Actuals Import'!$AC$1:$AC$600,'Actuals Import'!$AI$1:$AI$600,$C188,'Actuals Import'!$AH$1:$AH$600,1),"")</f>
        <v/>
      </c>
      <c r="I188" s="11" t="str">
        <f aca="false">IF(ISNUMBER(F$4),SUMIFS('Actuals Import'!$AL$1:$AL$600,'Actuals Import'!$AR$1:$AR$600,$C188,'Actuals Import'!$AQ$1:$AQ$600,1),"")</f>
        <v/>
      </c>
      <c r="J188" s="31" t="n">
        <f aca="false">'Forecast Detail'!G149</f>
        <v>30000</v>
      </c>
      <c r="K188" s="11" t="str">
        <f aca="false">IF($B$3=0,"",INDEX($E188:$I188,MATCH($F$3,$B$4:$F$4,0)))</f>
        <v/>
      </c>
      <c r="L188" s="11" t="str">
        <f aca="false">IF($B$3=0,"",AVERAGE($E188:$I188))</f>
        <v/>
      </c>
      <c r="M188" s="11" t="str">
        <f aca="false">IF($B$3&lt;3,"",IFERROR(FORECAST($H$3,$E188:$I188,$B$4:$F$4),""))</f>
        <v/>
      </c>
      <c r="N188" s="11" t="str">
        <f aca="false">IF($B$3&lt;2,"",IFERROR(IF(INDEX($E188:$I188,MATCH($D$3,$B$4:$F$4,0))*K188&gt;0,K188*(K188/INDEX($E188:$I188,MATCH($D$3,$B$4:$F$4,0)))^(($H$3-$F$3)/($F$3-$D$3)),K188),K188))</f>
        <v/>
      </c>
      <c r="O188" s="20"/>
      <c r="P188" s="6" t="str">
        <f aca="false">IF(O188&lt;&gt;"",O188,Inputs!$C$90)</f>
        <v>Linear Trend</v>
      </c>
      <c r="Q188" s="37" t="str">
        <f aca="false">IF($B$3=0,"",IF(Inputs!$C$91&gt;0,ROUND(IF(ISNUMBER(IF(P188="Last Actual",K188,IF(P188="Average",L188,IF(P188="Linear Trend",M188,N188)))),IF(P188="Last Actual",K188,IF(P188="Average",L188,IF(P188="Linear Trend",M188,N188))),K188)/Inputs!$C$91,0)*Inputs!$C$91,IF(ISNUMBER(IF(P188="Last Actual",K188,IF(P188="Average",L188,IF(P188="Linear Trend",M188,N188)))),IF(P188="Last Actual",K188,IF(P188="Average",L188,IF(P188="Linear Trend",M188,N188))),K188)))</f>
        <v/>
      </c>
      <c r="R188" s="31" t="n">
        <f aca="false">'Forecast Detail'!H149</f>
        <v>30900</v>
      </c>
      <c r="S188" s="8" t="str">
        <f aca="false">IF(Q188="","",IF(J188=0,"",Q188/J188-1))</f>
        <v/>
      </c>
      <c r="T188" s="38" t="str">
        <f aca="false">IF(S188="","",IF(ABS(S188)&gt;Inputs!$C$92,"REVIEW",""))</f>
        <v/>
      </c>
    </row>
    <row r="189" customFormat="false" ht="15" hidden="false" customHeight="false" outlineLevel="0" collapsed="false">
      <c r="A189" s="36" t="str">
        <f aca="false">'Forecast Detail'!D150</f>
        <v>500018 College Counseling</v>
      </c>
      <c r="B189" s="36" t="str">
        <f aca="false">'Forecast Detail'!A150</f>
        <v>Expense</v>
      </c>
      <c r="C189" s="36" t="str">
        <f aca="false">'Forecast Detail'!C150</f>
        <v>500018</v>
      </c>
      <c r="D189" s="36" t="str">
        <f aca="false">'Forecast Detail'!B150</f>
        <v>4 Administrative</v>
      </c>
      <c r="E189" s="11" t="str">
        <f aca="false">IF(ISNUMBER(B$4),SUMIFS('Actuals Import'!$B$1:$B$600,'Actuals Import'!$H$1:$H$600,$C189,'Actuals Import'!$G$1:$G$600,1),"")</f>
        <v/>
      </c>
      <c r="F189" s="11" t="str">
        <f aca="false">IF(ISNUMBER(C$4),SUMIFS('Actuals Import'!$K$1:$K$600,'Actuals Import'!$Q$1:$Q$600,$C189,'Actuals Import'!$P$1:$P$600,1),"")</f>
        <v/>
      </c>
      <c r="G189" s="11" t="str">
        <f aca="false">IF(ISNUMBER(D$4),SUMIFS('Actuals Import'!$T$1:$T$600,'Actuals Import'!$Z$1:$Z$600,$C189,'Actuals Import'!$Y$1:$Y$600,1),"")</f>
        <v/>
      </c>
      <c r="H189" s="11" t="str">
        <f aca="false">IF(ISNUMBER(E$4),SUMIFS('Actuals Import'!$AC$1:$AC$600,'Actuals Import'!$AI$1:$AI$600,$C189,'Actuals Import'!$AH$1:$AH$600,1),"")</f>
        <v/>
      </c>
      <c r="I189" s="11" t="str">
        <f aca="false">IF(ISNUMBER(F$4),SUMIFS('Actuals Import'!$AL$1:$AL$600,'Actuals Import'!$AR$1:$AR$600,$C189,'Actuals Import'!$AQ$1:$AQ$600,1),"")</f>
        <v/>
      </c>
      <c r="J189" s="31" t="n">
        <f aca="false">'Forecast Detail'!G150</f>
        <v>7700</v>
      </c>
      <c r="K189" s="11" t="str">
        <f aca="false">IF($B$3=0,"",INDEX($E189:$I189,MATCH($F$3,$B$4:$F$4,0)))</f>
        <v/>
      </c>
      <c r="L189" s="11" t="str">
        <f aca="false">IF($B$3=0,"",AVERAGE($E189:$I189))</f>
        <v/>
      </c>
      <c r="M189" s="11" t="str">
        <f aca="false">IF($B$3&lt;3,"",IFERROR(FORECAST($H$3,$E189:$I189,$B$4:$F$4),""))</f>
        <v/>
      </c>
      <c r="N189" s="11" t="str">
        <f aca="false">IF($B$3&lt;2,"",IFERROR(IF(INDEX($E189:$I189,MATCH($D$3,$B$4:$F$4,0))*K189&gt;0,K189*(K189/INDEX($E189:$I189,MATCH($D$3,$B$4:$F$4,0)))^(($H$3-$F$3)/($F$3-$D$3)),K189),K189))</f>
        <v/>
      </c>
      <c r="O189" s="20"/>
      <c r="P189" s="6" t="str">
        <f aca="false">IF(O189&lt;&gt;"",O189,Inputs!$C$90)</f>
        <v>Linear Trend</v>
      </c>
      <c r="Q189" s="37" t="str">
        <f aca="false">IF($B$3=0,"",IF(Inputs!$C$91&gt;0,ROUND(IF(ISNUMBER(IF(P189="Last Actual",K189,IF(P189="Average",L189,IF(P189="Linear Trend",M189,N189)))),IF(P189="Last Actual",K189,IF(P189="Average",L189,IF(P189="Linear Trend",M189,N189))),K189)/Inputs!$C$91,0)*Inputs!$C$91,IF(ISNUMBER(IF(P189="Last Actual",K189,IF(P189="Average",L189,IF(P189="Linear Trend",M189,N189)))),IF(P189="Last Actual",K189,IF(P189="Average",L189,IF(P189="Linear Trend",M189,N189))),K189)))</f>
        <v/>
      </c>
      <c r="R189" s="31" t="n">
        <f aca="false">'Forecast Detail'!H150</f>
        <v>7931</v>
      </c>
      <c r="S189" s="8" t="str">
        <f aca="false">IF(Q189="","",IF(J189=0,"",Q189/J189-1))</f>
        <v/>
      </c>
      <c r="T189" s="38" t="str">
        <f aca="false">IF(S189="","",IF(ABS(S189)&gt;Inputs!$C$92,"REVIEW",""))</f>
        <v/>
      </c>
    </row>
    <row r="190" customFormat="false" ht="15" hidden="false" customHeight="false" outlineLevel="0" collapsed="false">
      <c r="A190" s="36" t="str">
        <f aca="false">'Forecast Detail'!D151</f>
        <v>500019 Guidance Office</v>
      </c>
      <c r="B190" s="36" t="str">
        <f aca="false">'Forecast Detail'!A151</f>
        <v>Expense</v>
      </c>
      <c r="C190" s="36" t="str">
        <f aca="false">'Forecast Detail'!C151</f>
        <v>500019</v>
      </c>
      <c r="D190" s="36" t="str">
        <f aca="false">'Forecast Detail'!B151</f>
        <v>4 Administrative</v>
      </c>
      <c r="E190" s="11" t="str">
        <f aca="false">IF(ISNUMBER(B$4),SUMIFS('Actuals Import'!$B$1:$B$600,'Actuals Import'!$H$1:$H$600,$C190,'Actuals Import'!$G$1:$G$600,1),"")</f>
        <v/>
      </c>
      <c r="F190" s="11" t="str">
        <f aca="false">IF(ISNUMBER(C$4),SUMIFS('Actuals Import'!$K$1:$K$600,'Actuals Import'!$Q$1:$Q$600,$C190,'Actuals Import'!$P$1:$P$600,1),"")</f>
        <v/>
      </c>
      <c r="G190" s="11" t="str">
        <f aca="false">IF(ISNUMBER(D$4),SUMIFS('Actuals Import'!$T$1:$T$600,'Actuals Import'!$Z$1:$Z$600,$C190,'Actuals Import'!$Y$1:$Y$600,1),"")</f>
        <v/>
      </c>
      <c r="H190" s="11" t="str">
        <f aca="false">IF(ISNUMBER(E$4),SUMIFS('Actuals Import'!$AC$1:$AC$600,'Actuals Import'!$AI$1:$AI$600,$C190,'Actuals Import'!$AH$1:$AH$600,1),"")</f>
        <v/>
      </c>
      <c r="I190" s="11" t="str">
        <f aca="false">IF(ISNUMBER(F$4),SUMIFS('Actuals Import'!$AL$1:$AL$600,'Actuals Import'!$AR$1:$AR$600,$C190,'Actuals Import'!$AQ$1:$AQ$600,1),"")</f>
        <v/>
      </c>
      <c r="J190" s="31" t="n">
        <f aca="false">'Forecast Detail'!G151</f>
        <v>20000</v>
      </c>
      <c r="K190" s="11" t="str">
        <f aca="false">IF($B$3=0,"",INDEX($E190:$I190,MATCH($F$3,$B$4:$F$4,0)))</f>
        <v/>
      </c>
      <c r="L190" s="11" t="str">
        <f aca="false">IF($B$3=0,"",AVERAGE($E190:$I190))</f>
        <v/>
      </c>
      <c r="M190" s="11" t="str">
        <f aca="false">IF($B$3&lt;3,"",IFERROR(FORECAST($H$3,$E190:$I190,$B$4:$F$4),""))</f>
        <v/>
      </c>
      <c r="N190" s="11" t="str">
        <f aca="false">IF($B$3&lt;2,"",IFERROR(IF(INDEX($E190:$I190,MATCH($D$3,$B$4:$F$4,0))*K190&gt;0,K190*(K190/INDEX($E190:$I190,MATCH($D$3,$B$4:$F$4,0)))^(($H$3-$F$3)/($F$3-$D$3)),K190),K190))</f>
        <v/>
      </c>
      <c r="O190" s="20"/>
      <c r="P190" s="6" t="str">
        <f aca="false">IF(O190&lt;&gt;"",O190,Inputs!$C$90)</f>
        <v>Linear Trend</v>
      </c>
      <c r="Q190" s="37" t="str">
        <f aca="false">IF($B$3=0,"",IF(Inputs!$C$91&gt;0,ROUND(IF(ISNUMBER(IF(P190="Last Actual",K190,IF(P190="Average",L190,IF(P190="Linear Trend",M190,N190)))),IF(P190="Last Actual",K190,IF(P190="Average",L190,IF(P190="Linear Trend",M190,N190))),K190)/Inputs!$C$91,0)*Inputs!$C$91,IF(ISNUMBER(IF(P190="Last Actual",K190,IF(P190="Average",L190,IF(P190="Linear Trend",M190,N190)))),IF(P190="Last Actual",K190,IF(P190="Average",L190,IF(P190="Linear Trend",M190,N190))),K190)))</f>
        <v/>
      </c>
      <c r="R190" s="31" t="n">
        <f aca="false">'Forecast Detail'!H151</f>
        <v>20600</v>
      </c>
      <c r="S190" s="8" t="str">
        <f aca="false">IF(Q190="","",IF(J190=0,"",Q190/J190-1))</f>
        <v/>
      </c>
      <c r="T190" s="38" t="str">
        <f aca="false">IF(S190="","",IF(ABS(S190)&gt;Inputs!$C$92,"REVIEW",""))</f>
        <v/>
      </c>
    </row>
    <row r="191" customFormat="false" ht="15" hidden="false" customHeight="false" outlineLevel="0" collapsed="false">
      <c r="A191" s="36" t="str">
        <f aca="false">'Forecast Detail'!D152</f>
        <v>500020 Head of School Expenses</v>
      </c>
      <c r="B191" s="36" t="str">
        <f aca="false">'Forecast Detail'!A152</f>
        <v>Expense</v>
      </c>
      <c r="C191" s="36" t="str">
        <f aca="false">'Forecast Detail'!C152</f>
        <v>500020</v>
      </c>
      <c r="D191" s="36" t="str">
        <f aca="false">'Forecast Detail'!B152</f>
        <v>4 Administrative</v>
      </c>
      <c r="E191" s="11" t="str">
        <f aca="false">IF(ISNUMBER(B$4),SUMIFS('Actuals Import'!$B$1:$B$600,'Actuals Import'!$H$1:$H$600,$C191,'Actuals Import'!$G$1:$G$600,1),"")</f>
        <v/>
      </c>
      <c r="F191" s="11" t="str">
        <f aca="false">IF(ISNUMBER(C$4),SUMIFS('Actuals Import'!$K$1:$K$600,'Actuals Import'!$Q$1:$Q$600,$C191,'Actuals Import'!$P$1:$P$600,1),"")</f>
        <v/>
      </c>
      <c r="G191" s="11" t="str">
        <f aca="false">IF(ISNUMBER(D$4),SUMIFS('Actuals Import'!$T$1:$T$600,'Actuals Import'!$Z$1:$Z$600,$C191,'Actuals Import'!$Y$1:$Y$600,1),"")</f>
        <v/>
      </c>
      <c r="H191" s="11" t="str">
        <f aca="false">IF(ISNUMBER(E$4),SUMIFS('Actuals Import'!$AC$1:$AC$600,'Actuals Import'!$AI$1:$AI$600,$C191,'Actuals Import'!$AH$1:$AH$600,1),"")</f>
        <v/>
      </c>
      <c r="I191" s="11" t="str">
        <f aca="false">IF(ISNUMBER(F$4),SUMIFS('Actuals Import'!$AL$1:$AL$600,'Actuals Import'!$AR$1:$AR$600,$C191,'Actuals Import'!$AQ$1:$AQ$600,1),"")</f>
        <v/>
      </c>
      <c r="J191" s="31" t="n">
        <f aca="false">'Forecast Detail'!G152</f>
        <v>6000</v>
      </c>
      <c r="K191" s="11" t="str">
        <f aca="false">IF($B$3=0,"",INDEX($E191:$I191,MATCH($F$3,$B$4:$F$4,0)))</f>
        <v/>
      </c>
      <c r="L191" s="11" t="str">
        <f aca="false">IF($B$3=0,"",AVERAGE($E191:$I191))</f>
        <v/>
      </c>
      <c r="M191" s="11" t="str">
        <f aca="false">IF($B$3&lt;3,"",IFERROR(FORECAST($H$3,$E191:$I191,$B$4:$F$4),""))</f>
        <v/>
      </c>
      <c r="N191" s="11" t="str">
        <f aca="false">IF($B$3&lt;2,"",IFERROR(IF(INDEX($E191:$I191,MATCH($D$3,$B$4:$F$4,0))*K191&gt;0,K191*(K191/INDEX($E191:$I191,MATCH($D$3,$B$4:$F$4,0)))^(($H$3-$F$3)/($F$3-$D$3)),K191),K191))</f>
        <v/>
      </c>
      <c r="O191" s="20"/>
      <c r="P191" s="6" t="str">
        <f aca="false">IF(O191&lt;&gt;"",O191,Inputs!$C$90)</f>
        <v>Linear Trend</v>
      </c>
      <c r="Q191" s="37" t="str">
        <f aca="false">IF($B$3=0,"",IF(Inputs!$C$91&gt;0,ROUND(IF(ISNUMBER(IF(P191="Last Actual",K191,IF(P191="Average",L191,IF(P191="Linear Trend",M191,N191)))),IF(P191="Last Actual",K191,IF(P191="Average",L191,IF(P191="Linear Trend",M191,N191))),K191)/Inputs!$C$91,0)*Inputs!$C$91,IF(ISNUMBER(IF(P191="Last Actual",K191,IF(P191="Average",L191,IF(P191="Linear Trend",M191,N191)))),IF(P191="Last Actual",K191,IF(P191="Average",L191,IF(P191="Linear Trend",M191,N191))),K191)))</f>
        <v/>
      </c>
      <c r="R191" s="31" t="n">
        <f aca="false">'Forecast Detail'!H152</f>
        <v>6180</v>
      </c>
      <c r="S191" s="8" t="str">
        <f aca="false">IF(Q191="","",IF(J191=0,"",Q191/J191-1))</f>
        <v/>
      </c>
      <c r="T191" s="38" t="str">
        <f aca="false">IF(S191="","",IF(ABS(S191)&gt;Inputs!$C$92,"REVIEW",""))</f>
        <v/>
      </c>
    </row>
    <row r="192" customFormat="false" ht="15" hidden="false" customHeight="false" outlineLevel="0" collapsed="false">
      <c r="A192" s="36" t="str">
        <f aca="false">'Forecast Detail'!D153</f>
        <v>500022 Board Expense</v>
      </c>
      <c r="B192" s="36" t="str">
        <f aca="false">'Forecast Detail'!A153</f>
        <v>Expense</v>
      </c>
      <c r="C192" s="36" t="str">
        <f aca="false">'Forecast Detail'!C153</f>
        <v>500022</v>
      </c>
      <c r="D192" s="36" t="str">
        <f aca="false">'Forecast Detail'!B153</f>
        <v>4 Administrative</v>
      </c>
      <c r="E192" s="11" t="str">
        <f aca="false">IF(ISNUMBER(B$4),SUMIFS('Actuals Import'!$B$1:$B$600,'Actuals Import'!$H$1:$H$600,$C192,'Actuals Import'!$G$1:$G$600,1),"")</f>
        <v/>
      </c>
      <c r="F192" s="11" t="str">
        <f aca="false">IF(ISNUMBER(C$4),SUMIFS('Actuals Import'!$K$1:$K$600,'Actuals Import'!$Q$1:$Q$600,$C192,'Actuals Import'!$P$1:$P$600,1),"")</f>
        <v/>
      </c>
      <c r="G192" s="11" t="str">
        <f aca="false">IF(ISNUMBER(D$4),SUMIFS('Actuals Import'!$T$1:$T$600,'Actuals Import'!$Z$1:$Z$600,$C192,'Actuals Import'!$Y$1:$Y$600,1),"")</f>
        <v/>
      </c>
      <c r="H192" s="11" t="str">
        <f aca="false">IF(ISNUMBER(E$4),SUMIFS('Actuals Import'!$AC$1:$AC$600,'Actuals Import'!$AI$1:$AI$600,$C192,'Actuals Import'!$AH$1:$AH$600,1),"")</f>
        <v/>
      </c>
      <c r="I192" s="11" t="str">
        <f aca="false">IF(ISNUMBER(F$4),SUMIFS('Actuals Import'!$AL$1:$AL$600,'Actuals Import'!$AR$1:$AR$600,$C192,'Actuals Import'!$AQ$1:$AQ$600,1),"")</f>
        <v/>
      </c>
      <c r="J192" s="31" t="n">
        <f aca="false">'Forecast Detail'!G153</f>
        <v>4000</v>
      </c>
      <c r="K192" s="11" t="str">
        <f aca="false">IF($B$3=0,"",INDEX($E192:$I192,MATCH($F$3,$B$4:$F$4,0)))</f>
        <v/>
      </c>
      <c r="L192" s="11" t="str">
        <f aca="false">IF($B$3=0,"",AVERAGE($E192:$I192))</f>
        <v/>
      </c>
      <c r="M192" s="11" t="str">
        <f aca="false">IF($B$3&lt;3,"",IFERROR(FORECAST($H$3,$E192:$I192,$B$4:$F$4),""))</f>
        <v/>
      </c>
      <c r="N192" s="11" t="str">
        <f aca="false">IF($B$3&lt;2,"",IFERROR(IF(INDEX($E192:$I192,MATCH($D$3,$B$4:$F$4,0))*K192&gt;0,K192*(K192/INDEX($E192:$I192,MATCH($D$3,$B$4:$F$4,0)))^(($H$3-$F$3)/($F$3-$D$3)),K192),K192))</f>
        <v/>
      </c>
      <c r="O192" s="20"/>
      <c r="P192" s="6" t="str">
        <f aca="false">IF(O192&lt;&gt;"",O192,Inputs!$C$90)</f>
        <v>Linear Trend</v>
      </c>
      <c r="Q192" s="37" t="str">
        <f aca="false">IF($B$3=0,"",IF(Inputs!$C$91&gt;0,ROUND(IF(ISNUMBER(IF(P192="Last Actual",K192,IF(P192="Average",L192,IF(P192="Linear Trend",M192,N192)))),IF(P192="Last Actual",K192,IF(P192="Average",L192,IF(P192="Linear Trend",M192,N192))),K192)/Inputs!$C$91,0)*Inputs!$C$91,IF(ISNUMBER(IF(P192="Last Actual",K192,IF(P192="Average",L192,IF(P192="Linear Trend",M192,N192)))),IF(P192="Last Actual",K192,IF(P192="Average",L192,IF(P192="Linear Trend",M192,N192))),K192)))</f>
        <v/>
      </c>
      <c r="R192" s="31" t="n">
        <f aca="false">'Forecast Detail'!H153</f>
        <v>4120</v>
      </c>
      <c r="S192" s="8" t="str">
        <f aca="false">IF(Q192="","",IF(J192=0,"",Q192/J192-1))</f>
        <v/>
      </c>
      <c r="T192" s="38" t="str">
        <f aca="false">IF(S192="","",IF(ABS(S192)&gt;Inputs!$C$92,"REVIEW",""))</f>
        <v/>
      </c>
    </row>
    <row r="193" customFormat="false" ht="15" hidden="false" customHeight="false" outlineLevel="0" collapsed="false">
      <c r="A193" s="36" t="str">
        <f aca="false">'Forecast Detail'!D154</f>
        <v>500024 Faculty Appreciation</v>
      </c>
      <c r="B193" s="36" t="str">
        <f aca="false">'Forecast Detail'!A154</f>
        <v>Expense</v>
      </c>
      <c r="C193" s="36" t="str">
        <f aca="false">'Forecast Detail'!C154</f>
        <v>500024</v>
      </c>
      <c r="D193" s="36" t="str">
        <f aca="false">'Forecast Detail'!B154</f>
        <v>4 Administrative</v>
      </c>
      <c r="E193" s="11" t="str">
        <f aca="false">IF(ISNUMBER(B$4),SUMIFS('Actuals Import'!$B$1:$B$600,'Actuals Import'!$H$1:$H$600,$C193,'Actuals Import'!$G$1:$G$600,1),"")</f>
        <v/>
      </c>
      <c r="F193" s="11" t="str">
        <f aca="false">IF(ISNUMBER(C$4),SUMIFS('Actuals Import'!$K$1:$K$600,'Actuals Import'!$Q$1:$Q$600,$C193,'Actuals Import'!$P$1:$P$600,1),"")</f>
        <v/>
      </c>
      <c r="G193" s="11" t="str">
        <f aca="false">IF(ISNUMBER(D$4),SUMIFS('Actuals Import'!$T$1:$T$600,'Actuals Import'!$Z$1:$Z$600,$C193,'Actuals Import'!$Y$1:$Y$600,1),"")</f>
        <v/>
      </c>
      <c r="H193" s="11" t="str">
        <f aca="false">IF(ISNUMBER(E$4),SUMIFS('Actuals Import'!$AC$1:$AC$600,'Actuals Import'!$AI$1:$AI$600,$C193,'Actuals Import'!$AH$1:$AH$600,1),"")</f>
        <v/>
      </c>
      <c r="I193" s="11" t="str">
        <f aca="false">IF(ISNUMBER(F$4),SUMIFS('Actuals Import'!$AL$1:$AL$600,'Actuals Import'!$AR$1:$AR$600,$C193,'Actuals Import'!$AQ$1:$AQ$600,1),"")</f>
        <v/>
      </c>
      <c r="J193" s="31" t="n">
        <f aca="false">'Forecast Detail'!G154</f>
        <v>3000</v>
      </c>
      <c r="K193" s="11" t="str">
        <f aca="false">IF($B$3=0,"",INDEX($E193:$I193,MATCH($F$3,$B$4:$F$4,0)))</f>
        <v/>
      </c>
      <c r="L193" s="11" t="str">
        <f aca="false">IF($B$3=0,"",AVERAGE($E193:$I193))</f>
        <v/>
      </c>
      <c r="M193" s="11" t="str">
        <f aca="false">IF($B$3&lt;3,"",IFERROR(FORECAST($H$3,$E193:$I193,$B$4:$F$4),""))</f>
        <v/>
      </c>
      <c r="N193" s="11" t="str">
        <f aca="false">IF($B$3&lt;2,"",IFERROR(IF(INDEX($E193:$I193,MATCH($D$3,$B$4:$F$4,0))*K193&gt;0,K193*(K193/INDEX($E193:$I193,MATCH($D$3,$B$4:$F$4,0)))^(($H$3-$F$3)/($F$3-$D$3)),K193),K193))</f>
        <v/>
      </c>
      <c r="O193" s="20"/>
      <c r="P193" s="6" t="str">
        <f aca="false">IF(O193&lt;&gt;"",O193,Inputs!$C$90)</f>
        <v>Linear Trend</v>
      </c>
      <c r="Q193" s="37" t="str">
        <f aca="false">IF($B$3=0,"",IF(Inputs!$C$91&gt;0,ROUND(IF(ISNUMBER(IF(P193="Last Actual",K193,IF(P193="Average",L193,IF(P193="Linear Trend",M193,N193)))),IF(P193="Last Actual",K193,IF(P193="Average",L193,IF(P193="Linear Trend",M193,N193))),K193)/Inputs!$C$91,0)*Inputs!$C$91,IF(ISNUMBER(IF(P193="Last Actual",K193,IF(P193="Average",L193,IF(P193="Linear Trend",M193,N193)))),IF(P193="Last Actual",K193,IF(P193="Average",L193,IF(P193="Linear Trend",M193,N193))),K193)))</f>
        <v/>
      </c>
      <c r="R193" s="31" t="n">
        <f aca="false">'Forecast Detail'!H154</f>
        <v>3090</v>
      </c>
      <c r="S193" s="8" t="str">
        <f aca="false">IF(Q193="","",IF(J193=0,"",Q193/J193-1))</f>
        <v/>
      </c>
      <c r="T193" s="38" t="str">
        <f aca="false">IF(S193="","",IF(ABS(S193)&gt;Inputs!$C$92,"REVIEW",""))</f>
        <v/>
      </c>
    </row>
    <row r="194" customFormat="false" ht="15" hidden="false" customHeight="false" outlineLevel="0" collapsed="false">
      <c r="A194" s="36" t="str">
        <f aca="false">'Forecast Detail'!D155</f>
        <v>500056 Athletic Contingency Playoff Expenses</v>
      </c>
      <c r="B194" s="36" t="str">
        <f aca="false">'Forecast Detail'!A155</f>
        <v>Expense</v>
      </c>
      <c r="C194" s="36" t="str">
        <f aca="false">'Forecast Detail'!C155</f>
        <v>500056</v>
      </c>
      <c r="D194" s="36" t="str">
        <f aca="false">'Forecast Detail'!B155</f>
        <v>4 Administrative</v>
      </c>
      <c r="E194" s="11" t="str">
        <f aca="false">IF(ISNUMBER(B$4),SUMIFS('Actuals Import'!$B$1:$B$600,'Actuals Import'!$H$1:$H$600,$C194,'Actuals Import'!$G$1:$G$600,1),"")</f>
        <v/>
      </c>
      <c r="F194" s="11" t="str">
        <f aca="false">IF(ISNUMBER(C$4),SUMIFS('Actuals Import'!$K$1:$K$600,'Actuals Import'!$Q$1:$Q$600,$C194,'Actuals Import'!$P$1:$P$600,1),"")</f>
        <v/>
      </c>
      <c r="G194" s="11" t="str">
        <f aca="false">IF(ISNUMBER(D$4),SUMIFS('Actuals Import'!$T$1:$T$600,'Actuals Import'!$Z$1:$Z$600,$C194,'Actuals Import'!$Y$1:$Y$600,1),"")</f>
        <v/>
      </c>
      <c r="H194" s="11" t="str">
        <f aca="false">IF(ISNUMBER(E$4),SUMIFS('Actuals Import'!$AC$1:$AC$600,'Actuals Import'!$AI$1:$AI$600,$C194,'Actuals Import'!$AH$1:$AH$600,1),"")</f>
        <v/>
      </c>
      <c r="I194" s="11" t="str">
        <f aca="false">IF(ISNUMBER(F$4),SUMIFS('Actuals Import'!$AL$1:$AL$600,'Actuals Import'!$AR$1:$AR$600,$C194,'Actuals Import'!$AQ$1:$AQ$600,1),"")</f>
        <v/>
      </c>
      <c r="J194" s="31" t="n">
        <f aca="false">'Forecast Detail'!G155</f>
        <v>25000</v>
      </c>
      <c r="K194" s="11" t="str">
        <f aca="false">IF($B$3=0,"",INDEX($E194:$I194,MATCH($F$3,$B$4:$F$4,0)))</f>
        <v/>
      </c>
      <c r="L194" s="11" t="str">
        <f aca="false">IF($B$3=0,"",AVERAGE($E194:$I194))</f>
        <v/>
      </c>
      <c r="M194" s="11" t="str">
        <f aca="false">IF($B$3&lt;3,"",IFERROR(FORECAST($H$3,$E194:$I194,$B$4:$F$4),""))</f>
        <v/>
      </c>
      <c r="N194" s="11" t="str">
        <f aca="false">IF($B$3&lt;2,"",IFERROR(IF(INDEX($E194:$I194,MATCH($D$3,$B$4:$F$4,0))*K194&gt;0,K194*(K194/INDEX($E194:$I194,MATCH($D$3,$B$4:$F$4,0)))^(($H$3-$F$3)/($F$3-$D$3)),K194),K194))</f>
        <v/>
      </c>
      <c r="O194" s="20"/>
      <c r="P194" s="6" t="str">
        <f aca="false">IF(O194&lt;&gt;"",O194,Inputs!$C$90)</f>
        <v>Linear Trend</v>
      </c>
      <c r="Q194" s="37" t="str">
        <f aca="false">IF($B$3=0,"",IF(Inputs!$C$91&gt;0,ROUND(IF(ISNUMBER(IF(P194="Last Actual",K194,IF(P194="Average",L194,IF(P194="Linear Trend",M194,N194)))),IF(P194="Last Actual",K194,IF(P194="Average",L194,IF(P194="Linear Trend",M194,N194))),K194)/Inputs!$C$91,0)*Inputs!$C$91,IF(ISNUMBER(IF(P194="Last Actual",K194,IF(P194="Average",L194,IF(P194="Linear Trend",M194,N194)))),IF(P194="Last Actual",K194,IF(P194="Average",L194,IF(P194="Linear Trend",M194,N194))),K194)))</f>
        <v/>
      </c>
      <c r="R194" s="31" t="n">
        <f aca="false">'Forecast Detail'!H155</f>
        <v>25750</v>
      </c>
      <c r="S194" s="8" t="str">
        <f aca="false">IF(Q194="","",IF(J194=0,"",Q194/J194-1))</f>
        <v/>
      </c>
      <c r="T194" s="38" t="str">
        <f aca="false">IF(S194="","",IF(ABS(S194)&gt;Inputs!$C$92,"REVIEW",""))</f>
        <v/>
      </c>
    </row>
    <row r="195" customFormat="false" ht="15" hidden="false" customHeight="false" outlineLevel="0" collapsed="false">
      <c r="A195" s="36" t="str">
        <f aca="false">'Forecast Detail'!D156</f>
        <v>500127 Cirrus Lease</v>
      </c>
      <c r="B195" s="36" t="str">
        <f aca="false">'Forecast Detail'!A156</f>
        <v>Expense</v>
      </c>
      <c r="C195" s="36" t="str">
        <f aca="false">'Forecast Detail'!C156</f>
        <v>500127</v>
      </c>
      <c r="D195" s="36" t="str">
        <f aca="false">'Forecast Detail'!B156</f>
        <v>4 Administrative</v>
      </c>
      <c r="E195" s="11" t="str">
        <f aca="false">IF(ISNUMBER(B$4),SUMIFS('Actuals Import'!$B$1:$B$600,'Actuals Import'!$H$1:$H$600,$C195,'Actuals Import'!$G$1:$G$600,1),"")</f>
        <v/>
      </c>
      <c r="F195" s="11" t="str">
        <f aca="false">IF(ISNUMBER(C$4),SUMIFS('Actuals Import'!$K$1:$K$600,'Actuals Import'!$Q$1:$Q$600,$C195,'Actuals Import'!$P$1:$P$600,1),"")</f>
        <v/>
      </c>
      <c r="G195" s="11" t="str">
        <f aca="false">IF(ISNUMBER(D$4),SUMIFS('Actuals Import'!$T$1:$T$600,'Actuals Import'!$Z$1:$Z$600,$C195,'Actuals Import'!$Y$1:$Y$600,1),"")</f>
        <v/>
      </c>
      <c r="H195" s="11" t="str">
        <f aca="false">IF(ISNUMBER(E$4),SUMIFS('Actuals Import'!$AC$1:$AC$600,'Actuals Import'!$AI$1:$AI$600,$C195,'Actuals Import'!$AH$1:$AH$600,1),"")</f>
        <v/>
      </c>
      <c r="I195" s="11" t="str">
        <f aca="false">IF(ISNUMBER(F$4),SUMIFS('Actuals Import'!$AL$1:$AL$600,'Actuals Import'!$AR$1:$AR$600,$C195,'Actuals Import'!$AQ$1:$AQ$600,1),"")</f>
        <v/>
      </c>
      <c r="J195" s="31" t="n">
        <f aca="false">'Forecast Detail'!G156</f>
        <v>6000</v>
      </c>
      <c r="K195" s="11" t="str">
        <f aca="false">IF($B$3=0,"",INDEX($E195:$I195,MATCH($F$3,$B$4:$F$4,0)))</f>
        <v/>
      </c>
      <c r="L195" s="11" t="str">
        <f aca="false">IF($B$3=0,"",AVERAGE($E195:$I195))</f>
        <v/>
      </c>
      <c r="M195" s="11" t="str">
        <f aca="false">IF($B$3&lt;3,"",IFERROR(FORECAST($H$3,$E195:$I195,$B$4:$F$4),""))</f>
        <v/>
      </c>
      <c r="N195" s="11" t="str">
        <f aca="false">IF($B$3&lt;2,"",IFERROR(IF(INDEX($E195:$I195,MATCH($D$3,$B$4:$F$4,0))*K195&gt;0,K195*(K195/INDEX($E195:$I195,MATCH($D$3,$B$4:$F$4,0)))^(($H$3-$F$3)/($F$3-$D$3)),K195),K195))</f>
        <v/>
      </c>
      <c r="O195" s="20"/>
      <c r="P195" s="6" t="str">
        <f aca="false">IF(O195&lt;&gt;"",O195,Inputs!$C$90)</f>
        <v>Linear Trend</v>
      </c>
      <c r="Q195" s="37" t="str">
        <f aca="false">IF($B$3=0,"",IF(Inputs!$C$91&gt;0,ROUND(IF(ISNUMBER(IF(P195="Last Actual",K195,IF(P195="Average",L195,IF(P195="Linear Trend",M195,N195)))),IF(P195="Last Actual",K195,IF(P195="Average",L195,IF(P195="Linear Trend",M195,N195))),K195)/Inputs!$C$91,0)*Inputs!$C$91,IF(ISNUMBER(IF(P195="Last Actual",K195,IF(P195="Average",L195,IF(P195="Linear Trend",M195,N195)))),IF(P195="Last Actual",K195,IF(P195="Average",L195,IF(P195="Linear Trend",M195,N195))),K195)))</f>
        <v/>
      </c>
      <c r="R195" s="31" t="n">
        <f aca="false">'Forecast Detail'!H156</f>
        <v>6180</v>
      </c>
      <c r="S195" s="8" t="str">
        <f aca="false">IF(Q195="","",IF(J195=0,"",Q195/J195-1))</f>
        <v/>
      </c>
      <c r="T195" s="38" t="str">
        <f aca="false">IF(S195="","",IF(ABS(S195)&gt;Inputs!$C$92,"REVIEW",""))</f>
        <v/>
      </c>
    </row>
    <row r="196" customFormat="false" ht="15" hidden="false" customHeight="false" outlineLevel="0" collapsed="false">
      <c r="A196" s="36" t="str">
        <f aca="false">'Forecast Detail'!D157</f>
        <v>500256 Audit Fees - Financials</v>
      </c>
      <c r="B196" s="36" t="str">
        <f aca="false">'Forecast Detail'!A157</f>
        <v>Expense</v>
      </c>
      <c r="C196" s="36" t="str">
        <f aca="false">'Forecast Detail'!C157</f>
        <v>500256</v>
      </c>
      <c r="D196" s="36" t="str">
        <f aca="false">'Forecast Detail'!B157</f>
        <v>4 Administrative</v>
      </c>
      <c r="E196" s="11" t="str">
        <f aca="false">IF(ISNUMBER(B$4),SUMIFS('Actuals Import'!$B$1:$B$600,'Actuals Import'!$H$1:$H$600,$C196,'Actuals Import'!$G$1:$G$600,1),"")</f>
        <v/>
      </c>
      <c r="F196" s="11" t="str">
        <f aca="false">IF(ISNUMBER(C$4),SUMIFS('Actuals Import'!$K$1:$K$600,'Actuals Import'!$Q$1:$Q$600,$C196,'Actuals Import'!$P$1:$P$600,1),"")</f>
        <v/>
      </c>
      <c r="G196" s="11" t="str">
        <f aca="false">IF(ISNUMBER(D$4),SUMIFS('Actuals Import'!$T$1:$T$600,'Actuals Import'!$Z$1:$Z$600,$C196,'Actuals Import'!$Y$1:$Y$600,1),"")</f>
        <v/>
      </c>
      <c r="H196" s="11" t="str">
        <f aca="false">IF(ISNUMBER(E$4),SUMIFS('Actuals Import'!$AC$1:$AC$600,'Actuals Import'!$AI$1:$AI$600,$C196,'Actuals Import'!$AH$1:$AH$600,1),"")</f>
        <v/>
      </c>
      <c r="I196" s="11" t="str">
        <f aca="false">IF(ISNUMBER(F$4),SUMIFS('Actuals Import'!$AL$1:$AL$600,'Actuals Import'!$AR$1:$AR$600,$C196,'Actuals Import'!$AQ$1:$AQ$600,1),"")</f>
        <v/>
      </c>
      <c r="J196" s="31" t="n">
        <f aca="false">'Forecast Detail'!G157</f>
        <v>50000</v>
      </c>
      <c r="K196" s="11" t="str">
        <f aca="false">IF($B$3=0,"",INDEX($E196:$I196,MATCH($F$3,$B$4:$F$4,0)))</f>
        <v/>
      </c>
      <c r="L196" s="11" t="str">
        <f aca="false">IF($B$3=0,"",AVERAGE($E196:$I196))</f>
        <v/>
      </c>
      <c r="M196" s="11" t="str">
        <f aca="false">IF($B$3&lt;3,"",IFERROR(FORECAST($H$3,$E196:$I196,$B$4:$F$4),""))</f>
        <v/>
      </c>
      <c r="N196" s="11" t="str">
        <f aca="false">IF($B$3&lt;2,"",IFERROR(IF(INDEX($E196:$I196,MATCH($D$3,$B$4:$F$4,0))*K196&gt;0,K196*(K196/INDEX($E196:$I196,MATCH($D$3,$B$4:$F$4,0)))^(($H$3-$F$3)/($F$3-$D$3)),K196),K196))</f>
        <v/>
      </c>
      <c r="O196" s="20"/>
      <c r="P196" s="6" t="str">
        <f aca="false">IF(O196&lt;&gt;"",O196,Inputs!$C$90)</f>
        <v>Linear Trend</v>
      </c>
      <c r="Q196" s="37" t="str">
        <f aca="false">IF($B$3=0,"",IF(Inputs!$C$91&gt;0,ROUND(IF(ISNUMBER(IF(P196="Last Actual",K196,IF(P196="Average",L196,IF(P196="Linear Trend",M196,N196)))),IF(P196="Last Actual",K196,IF(P196="Average",L196,IF(P196="Linear Trend",M196,N196))),K196)/Inputs!$C$91,0)*Inputs!$C$91,IF(ISNUMBER(IF(P196="Last Actual",K196,IF(P196="Average",L196,IF(P196="Linear Trend",M196,N196)))),IF(P196="Last Actual",K196,IF(P196="Average",L196,IF(P196="Linear Trend",M196,N196))),K196)))</f>
        <v/>
      </c>
      <c r="R196" s="31" t="n">
        <f aca="false">'Forecast Detail'!H157</f>
        <v>51500</v>
      </c>
      <c r="S196" s="8" t="str">
        <f aca="false">IF(Q196="","",IF(J196=0,"",Q196/J196-1))</f>
        <v/>
      </c>
      <c r="T196" s="38" t="str">
        <f aca="false">IF(S196="","",IF(ABS(S196)&gt;Inputs!$C$92,"REVIEW",""))</f>
        <v/>
      </c>
    </row>
    <row r="197" customFormat="false" ht="15" hidden="false" customHeight="false" outlineLevel="0" collapsed="false">
      <c r="A197" s="36" t="str">
        <f aca="false">'Forecast Detail'!D158</f>
        <v>500257 SAIS/SACS Audit Fees</v>
      </c>
      <c r="B197" s="36" t="str">
        <f aca="false">'Forecast Detail'!A158</f>
        <v>Expense</v>
      </c>
      <c r="C197" s="36" t="str">
        <f aca="false">'Forecast Detail'!C158</f>
        <v>500257</v>
      </c>
      <c r="D197" s="36" t="str">
        <f aca="false">'Forecast Detail'!B158</f>
        <v>4 Administrative</v>
      </c>
      <c r="E197" s="11" t="str">
        <f aca="false">IF(ISNUMBER(B$4),SUMIFS('Actuals Import'!$B$1:$B$600,'Actuals Import'!$H$1:$H$600,$C197,'Actuals Import'!$G$1:$G$600,1),"")</f>
        <v/>
      </c>
      <c r="F197" s="11" t="str">
        <f aca="false">IF(ISNUMBER(C$4),SUMIFS('Actuals Import'!$K$1:$K$600,'Actuals Import'!$Q$1:$Q$600,$C197,'Actuals Import'!$P$1:$P$600,1),"")</f>
        <v/>
      </c>
      <c r="G197" s="11" t="str">
        <f aca="false">IF(ISNUMBER(D$4),SUMIFS('Actuals Import'!$T$1:$T$600,'Actuals Import'!$Z$1:$Z$600,$C197,'Actuals Import'!$Y$1:$Y$600,1),"")</f>
        <v/>
      </c>
      <c r="H197" s="11" t="str">
        <f aca="false">IF(ISNUMBER(E$4),SUMIFS('Actuals Import'!$AC$1:$AC$600,'Actuals Import'!$AI$1:$AI$600,$C197,'Actuals Import'!$AH$1:$AH$600,1),"")</f>
        <v/>
      </c>
      <c r="I197" s="11" t="str">
        <f aca="false">IF(ISNUMBER(F$4),SUMIFS('Actuals Import'!$AL$1:$AL$600,'Actuals Import'!$AR$1:$AR$600,$C197,'Actuals Import'!$AQ$1:$AQ$600,1),"")</f>
        <v/>
      </c>
      <c r="J197" s="31" t="n">
        <f aca="false">'Forecast Detail'!G158</f>
        <v>5000</v>
      </c>
      <c r="K197" s="11" t="str">
        <f aca="false">IF($B$3=0,"",INDEX($E197:$I197,MATCH($F$3,$B$4:$F$4,0)))</f>
        <v/>
      </c>
      <c r="L197" s="11" t="str">
        <f aca="false">IF($B$3=0,"",AVERAGE($E197:$I197))</f>
        <v/>
      </c>
      <c r="M197" s="11" t="str">
        <f aca="false">IF($B$3&lt;3,"",IFERROR(FORECAST($H$3,$E197:$I197,$B$4:$F$4),""))</f>
        <v/>
      </c>
      <c r="N197" s="11" t="str">
        <f aca="false">IF($B$3&lt;2,"",IFERROR(IF(INDEX($E197:$I197,MATCH($D$3,$B$4:$F$4,0))*K197&gt;0,K197*(K197/INDEX($E197:$I197,MATCH($D$3,$B$4:$F$4,0)))^(($H$3-$F$3)/($F$3-$D$3)),K197),K197))</f>
        <v/>
      </c>
      <c r="O197" s="20"/>
      <c r="P197" s="6" t="str">
        <f aca="false">IF(O197&lt;&gt;"",O197,Inputs!$C$90)</f>
        <v>Linear Trend</v>
      </c>
      <c r="Q197" s="37" t="str">
        <f aca="false">IF($B$3=0,"",IF(Inputs!$C$91&gt;0,ROUND(IF(ISNUMBER(IF(P197="Last Actual",K197,IF(P197="Average",L197,IF(P197="Linear Trend",M197,N197)))),IF(P197="Last Actual",K197,IF(P197="Average",L197,IF(P197="Linear Trend",M197,N197))),K197)/Inputs!$C$91,0)*Inputs!$C$91,IF(ISNUMBER(IF(P197="Last Actual",K197,IF(P197="Average",L197,IF(P197="Linear Trend",M197,N197)))),IF(P197="Last Actual",K197,IF(P197="Average",L197,IF(P197="Linear Trend",M197,N197))),K197)))</f>
        <v/>
      </c>
      <c r="R197" s="31" t="n">
        <f aca="false">'Forecast Detail'!H158</f>
        <v>5150</v>
      </c>
      <c r="S197" s="8" t="str">
        <f aca="false">IF(Q197="","",IF(J197=0,"",Q197/J197-1))</f>
        <v/>
      </c>
      <c r="T197" s="38" t="str">
        <f aca="false">IF(S197="","",IF(ABS(S197)&gt;Inputs!$C$92,"REVIEW",""))</f>
        <v/>
      </c>
    </row>
    <row r="198" customFormat="false" ht="15" hidden="false" customHeight="false" outlineLevel="0" collapsed="false">
      <c r="A198" s="36" t="str">
        <f aca="false">'Forecast Detail'!D159</f>
        <v>500260 Bad Debt Expense</v>
      </c>
      <c r="B198" s="36" t="str">
        <f aca="false">'Forecast Detail'!A159</f>
        <v>Expense</v>
      </c>
      <c r="C198" s="36" t="str">
        <f aca="false">'Forecast Detail'!C159</f>
        <v>500260</v>
      </c>
      <c r="D198" s="36" t="str">
        <f aca="false">'Forecast Detail'!B159</f>
        <v>4 Administrative</v>
      </c>
      <c r="E198" s="11" t="str">
        <f aca="false">IF(ISNUMBER(B$4),SUMIFS('Actuals Import'!$B$1:$B$600,'Actuals Import'!$H$1:$H$600,$C198,'Actuals Import'!$G$1:$G$600,1),"")</f>
        <v/>
      </c>
      <c r="F198" s="11" t="str">
        <f aca="false">IF(ISNUMBER(C$4),SUMIFS('Actuals Import'!$K$1:$K$600,'Actuals Import'!$Q$1:$Q$600,$C198,'Actuals Import'!$P$1:$P$600,1),"")</f>
        <v/>
      </c>
      <c r="G198" s="11" t="str">
        <f aca="false">IF(ISNUMBER(D$4),SUMIFS('Actuals Import'!$T$1:$T$600,'Actuals Import'!$Z$1:$Z$600,$C198,'Actuals Import'!$Y$1:$Y$600,1),"")</f>
        <v/>
      </c>
      <c r="H198" s="11" t="str">
        <f aca="false">IF(ISNUMBER(E$4),SUMIFS('Actuals Import'!$AC$1:$AC$600,'Actuals Import'!$AI$1:$AI$600,$C198,'Actuals Import'!$AH$1:$AH$600,1),"")</f>
        <v/>
      </c>
      <c r="I198" s="11" t="str">
        <f aca="false">IF(ISNUMBER(F$4),SUMIFS('Actuals Import'!$AL$1:$AL$600,'Actuals Import'!$AR$1:$AR$600,$C198,'Actuals Import'!$AQ$1:$AQ$600,1),"")</f>
        <v/>
      </c>
      <c r="J198" s="31" t="n">
        <f aca="false">'Forecast Detail'!G159</f>
        <v>15000</v>
      </c>
      <c r="K198" s="11" t="str">
        <f aca="false">IF($B$3=0,"",INDEX($E198:$I198,MATCH($F$3,$B$4:$F$4,0)))</f>
        <v/>
      </c>
      <c r="L198" s="11" t="str">
        <f aca="false">IF($B$3=0,"",AVERAGE($E198:$I198))</f>
        <v/>
      </c>
      <c r="M198" s="11" t="str">
        <f aca="false">IF($B$3&lt;3,"",IFERROR(FORECAST($H$3,$E198:$I198,$B$4:$F$4),""))</f>
        <v/>
      </c>
      <c r="N198" s="11" t="str">
        <f aca="false">IF($B$3&lt;2,"",IFERROR(IF(INDEX($E198:$I198,MATCH($D$3,$B$4:$F$4,0))*K198&gt;0,K198*(K198/INDEX($E198:$I198,MATCH($D$3,$B$4:$F$4,0)))^(($H$3-$F$3)/($F$3-$D$3)),K198),K198))</f>
        <v/>
      </c>
      <c r="O198" s="20"/>
      <c r="P198" s="6" t="str">
        <f aca="false">IF(O198&lt;&gt;"",O198,Inputs!$C$90)</f>
        <v>Linear Trend</v>
      </c>
      <c r="Q198" s="37" t="str">
        <f aca="false">IF($B$3=0,"",IF(Inputs!$C$91&gt;0,ROUND(IF(ISNUMBER(IF(P198="Last Actual",K198,IF(P198="Average",L198,IF(P198="Linear Trend",M198,N198)))),IF(P198="Last Actual",K198,IF(P198="Average",L198,IF(P198="Linear Trend",M198,N198))),K198)/Inputs!$C$91,0)*Inputs!$C$91,IF(ISNUMBER(IF(P198="Last Actual",K198,IF(P198="Average",L198,IF(P198="Linear Trend",M198,N198)))),IF(P198="Last Actual",K198,IF(P198="Average",L198,IF(P198="Linear Trend",M198,N198))),K198)))</f>
        <v/>
      </c>
      <c r="R198" s="31" t="n">
        <f aca="false">'Forecast Detail'!H159</f>
        <v>15450</v>
      </c>
      <c r="S198" s="8" t="str">
        <f aca="false">IF(Q198="","",IF(J198=0,"",Q198/J198-1))</f>
        <v/>
      </c>
      <c r="T198" s="38" t="str">
        <f aca="false">IF(S198="","",IF(ABS(S198)&gt;Inputs!$C$92,"REVIEW",""))</f>
        <v/>
      </c>
    </row>
    <row r="199" customFormat="false" ht="15" hidden="false" customHeight="false" outlineLevel="0" collapsed="false">
      <c r="A199" s="36" t="str">
        <f aca="false">'Forecast Detail'!D160</f>
        <v>500265 Strategic Plan Expenses</v>
      </c>
      <c r="B199" s="36" t="str">
        <f aca="false">'Forecast Detail'!A160</f>
        <v>Expense</v>
      </c>
      <c r="C199" s="36" t="str">
        <f aca="false">'Forecast Detail'!C160</f>
        <v>500265</v>
      </c>
      <c r="D199" s="36" t="str">
        <f aca="false">'Forecast Detail'!B160</f>
        <v>4 Administrative</v>
      </c>
      <c r="E199" s="11" t="str">
        <f aca="false">IF(ISNUMBER(B$4),SUMIFS('Actuals Import'!$B$1:$B$600,'Actuals Import'!$H$1:$H$600,$C199,'Actuals Import'!$G$1:$G$600,1),"")</f>
        <v/>
      </c>
      <c r="F199" s="11" t="str">
        <f aca="false">IF(ISNUMBER(C$4),SUMIFS('Actuals Import'!$K$1:$K$600,'Actuals Import'!$Q$1:$Q$600,$C199,'Actuals Import'!$P$1:$P$600,1),"")</f>
        <v/>
      </c>
      <c r="G199" s="11" t="str">
        <f aca="false">IF(ISNUMBER(D$4),SUMIFS('Actuals Import'!$T$1:$T$600,'Actuals Import'!$Z$1:$Z$600,$C199,'Actuals Import'!$Y$1:$Y$600,1),"")</f>
        <v/>
      </c>
      <c r="H199" s="11" t="str">
        <f aca="false">IF(ISNUMBER(E$4),SUMIFS('Actuals Import'!$AC$1:$AC$600,'Actuals Import'!$AI$1:$AI$600,$C199,'Actuals Import'!$AH$1:$AH$600,1),"")</f>
        <v/>
      </c>
      <c r="I199" s="11" t="str">
        <f aca="false">IF(ISNUMBER(F$4),SUMIFS('Actuals Import'!$AL$1:$AL$600,'Actuals Import'!$AR$1:$AR$600,$C199,'Actuals Import'!$AQ$1:$AQ$600,1),"")</f>
        <v/>
      </c>
      <c r="J199" s="31" t="n">
        <f aca="false">'Forecast Detail'!G160</f>
        <v>15000</v>
      </c>
      <c r="K199" s="11" t="str">
        <f aca="false">IF($B$3=0,"",INDEX($E199:$I199,MATCH($F$3,$B$4:$F$4,0)))</f>
        <v/>
      </c>
      <c r="L199" s="11" t="str">
        <f aca="false">IF($B$3=0,"",AVERAGE($E199:$I199))</f>
        <v/>
      </c>
      <c r="M199" s="11" t="str">
        <f aca="false">IF($B$3&lt;3,"",IFERROR(FORECAST($H$3,$E199:$I199,$B$4:$F$4),""))</f>
        <v/>
      </c>
      <c r="N199" s="11" t="str">
        <f aca="false">IF($B$3&lt;2,"",IFERROR(IF(INDEX($E199:$I199,MATCH($D$3,$B$4:$F$4,0))*K199&gt;0,K199*(K199/INDEX($E199:$I199,MATCH($D$3,$B$4:$F$4,0)))^(($H$3-$F$3)/($F$3-$D$3)),K199),K199))</f>
        <v/>
      </c>
      <c r="O199" s="20"/>
      <c r="P199" s="6" t="str">
        <f aca="false">IF(O199&lt;&gt;"",O199,Inputs!$C$90)</f>
        <v>Linear Trend</v>
      </c>
      <c r="Q199" s="37" t="str">
        <f aca="false">IF($B$3=0,"",IF(Inputs!$C$91&gt;0,ROUND(IF(ISNUMBER(IF(P199="Last Actual",K199,IF(P199="Average",L199,IF(P199="Linear Trend",M199,N199)))),IF(P199="Last Actual",K199,IF(P199="Average",L199,IF(P199="Linear Trend",M199,N199))),K199)/Inputs!$C$91,0)*Inputs!$C$91,IF(ISNUMBER(IF(P199="Last Actual",K199,IF(P199="Average",L199,IF(P199="Linear Trend",M199,N199)))),IF(P199="Last Actual",K199,IF(P199="Average",L199,IF(P199="Linear Trend",M199,N199))),K199)))</f>
        <v/>
      </c>
      <c r="R199" s="31" t="n">
        <f aca="false">'Forecast Detail'!H160</f>
        <v>15450</v>
      </c>
      <c r="S199" s="8" t="str">
        <f aca="false">IF(Q199="","",IF(J199=0,"",Q199/J199-1))</f>
        <v/>
      </c>
      <c r="T199" s="38" t="str">
        <f aca="false">IF(S199="","",IF(ABS(S199)&gt;Inputs!$C$92,"REVIEW",""))</f>
        <v/>
      </c>
    </row>
    <row r="200" customFormat="false" ht="15" hidden="false" customHeight="false" outlineLevel="0" collapsed="false">
      <c r="A200" s="36" t="str">
        <f aca="false">'Forecast Detail'!D161</f>
        <v>500266 Dues and Subscriptions</v>
      </c>
      <c r="B200" s="36" t="str">
        <f aca="false">'Forecast Detail'!A161</f>
        <v>Expense</v>
      </c>
      <c r="C200" s="36" t="str">
        <f aca="false">'Forecast Detail'!C161</f>
        <v>500266</v>
      </c>
      <c r="D200" s="36" t="str">
        <f aca="false">'Forecast Detail'!B161</f>
        <v>4 Administrative</v>
      </c>
      <c r="E200" s="11" t="str">
        <f aca="false">IF(ISNUMBER(B$4),SUMIFS('Actuals Import'!$B$1:$B$600,'Actuals Import'!$H$1:$H$600,$C200,'Actuals Import'!$G$1:$G$600,1),"")</f>
        <v/>
      </c>
      <c r="F200" s="11" t="str">
        <f aca="false">IF(ISNUMBER(C$4),SUMIFS('Actuals Import'!$K$1:$K$600,'Actuals Import'!$Q$1:$Q$600,$C200,'Actuals Import'!$P$1:$P$600,1),"")</f>
        <v/>
      </c>
      <c r="G200" s="11" t="str">
        <f aca="false">IF(ISNUMBER(D$4),SUMIFS('Actuals Import'!$T$1:$T$600,'Actuals Import'!$Z$1:$Z$600,$C200,'Actuals Import'!$Y$1:$Y$600,1),"")</f>
        <v/>
      </c>
      <c r="H200" s="11" t="str">
        <f aca="false">IF(ISNUMBER(E$4),SUMIFS('Actuals Import'!$AC$1:$AC$600,'Actuals Import'!$AI$1:$AI$600,$C200,'Actuals Import'!$AH$1:$AH$600,1),"")</f>
        <v/>
      </c>
      <c r="I200" s="11" t="str">
        <f aca="false">IF(ISNUMBER(F$4),SUMIFS('Actuals Import'!$AL$1:$AL$600,'Actuals Import'!$AR$1:$AR$600,$C200,'Actuals Import'!$AQ$1:$AQ$600,1),"")</f>
        <v/>
      </c>
      <c r="J200" s="31" t="n">
        <f aca="false">'Forecast Detail'!G161</f>
        <v>8500</v>
      </c>
      <c r="K200" s="11" t="str">
        <f aca="false">IF($B$3=0,"",INDEX($E200:$I200,MATCH($F$3,$B$4:$F$4,0)))</f>
        <v/>
      </c>
      <c r="L200" s="11" t="str">
        <f aca="false">IF($B$3=0,"",AVERAGE($E200:$I200))</f>
        <v/>
      </c>
      <c r="M200" s="11" t="str">
        <f aca="false">IF($B$3&lt;3,"",IFERROR(FORECAST($H$3,$E200:$I200,$B$4:$F$4),""))</f>
        <v/>
      </c>
      <c r="N200" s="11" t="str">
        <f aca="false">IF($B$3&lt;2,"",IFERROR(IF(INDEX($E200:$I200,MATCH($D$3,$B$4:$F$4,0))*K200&gt;0,K200*(K200/INDEX($E200:$I200,MATCH($D$3,$B$4:$F$4,0)))^(($H$3-$F$3)/($F$3-$D$3)),K200),K200))</f>
        <v/>
      </c>
      <c r="O200" s="20"/>
      <c r="P200" s="6" t="str">
        <f aca="false">IF(O200&lt;&gt;"",O200,Inputs!$C$90)</f>
        <v>Linear Trend</v>
      </c>
      <c r="Q200" s="37" t="str">
        <f aca="false">IF($B$3=0,"",IF(Inputs!$C$91&gt;0,ROUND(IF(ISNUMBER(IF(P200="Last Actual",K200,IF(P200="Average",L200,IF(P200="Linear Trend",M200,N200)))),IF(P200="Last Actual",K200,IF(P200="Average",L200,IF(P200="Linear Trend",M200,N200))),K200)/Inputs!$C$91,0)*Inputs!$C$91,IF(ISNUMBER(IF(P200="Last Actual",K200,IF(P200="Average",L200,IF(P200="Linear Trend",M200,N200)))),IF(P200="Last Actual",K200,IF(P200="Average",L200,IF(P200="Linear Trend",M200,N200))),K200)))</f>
        <v/>
      </c>
      <c r="R200" s="31" t="n">
        <f aca="false">'Forecast Detail'!H161</f>
        <v>8755</v>
      </c>
      <c r="S200" s="8" t="str">
        <f aca="false">IF(Q200="","",IF(J200=0,"",Q200/J200-1))</f>
        <v/>
      </c>
      <c r="T200" s="38" t="str">
        <f aca="false">IF(S200="","",IF(ABS(S200)&gt;Inputs!$C$92,"REVIEW",""))</f>
        <v/>
      </c>
    </row>
    <row r="201" customFormat="false" ht="15" hidden="false" customHeight="false" outlineLevel="0" collapsed="false">
      <c r="A201" s="36" t="str">
        <f aca="false">'Forecast Detail'!D162</f>
        <v>500393 Premium Paid for Tuition Insurance</v>
      </c>
      <c r="B201" s="36" t="str">
        <f aca="false">'Forecast Detail'!A162</f>
        <v>Expense</v>
      </c>
      <c r="C201" s="36" t="str">
        <f aca="false">'Forecast Detail'!C162</f>
        <v>500393</v>
      </c>
      <c r="D201" s="36" t="str">
        <f aca="false">'Forecast Detail'!B162</f>
        <v>4 Administrative</v>
      </c>
      <c r="E201" s="11" t="str">
        <f aca="false">IF(ISNUMBER(B$4),SUMIFS('Actuals Import'!$B$1:$B$600,'Actuals Import'!$H$1:$H$600,$C201,'Actuals Import'!$G$1:$G$600,1),"")</f>
        <v/>
      </c>
      <c r="F201" s="11" t="str">
        <f aca="false">IF(ISNUMBER(C$4),SUMIFS('Actuals Import'!$K$1:$K$600,'Actuals Import'!$Q$1:$Q$600,$C201,'Actuals Import'!$P$1:$P$600,1),"")</f>
        <v/>
      </c>
      <c r="G201" s="11" t="str">
        <f aca="false">IF(ISNUMBER(D$4),SUMIFS('Actuals Import'!$T$1:$T$600,'Actuals Import'!$Z$1:$Z$600,$C201,'Actuals Import'!$Y$1:$Y$600,1),"")</f>
        <v/>
      </c>
      <c r="H201" s="11" t="str">
        <f aca="false">IF(ISNUMBER(E$4),SUMIFS('Actuals Import'!$AC$1:$AC$600,'Actuals Import'!$AI$1:$AI$600,$C201,'Actuals Import'!$AH$1:$AH$600,1),"")</f>
        <v/>
      </c>
      <c r="I201" s="11" t="str">
        <f aca="false">IF(ISNUMBER(F$4),SUMIFS('Actuals Import'!$AL$1:$AL$600,'Actuals Import'!$AR$1:$AR$600,$C201,'Actuals Import'!$AQ$1:$AQ$600,1),"")</f>
        <v/>
      </c>
      <c r="J201" s="31" t="n">
        <f aca="false">'Forecast Detail'!G162</f>
        <v>69500</v>
      </c>
      <c r="K201" s="11" t="str">
        <f aca="false">IF($B$3=0,"",INDEX($E201:$I201,MATCH($F$3,$B$4:$F$4,0)))</f>
        <v/>
      </c>
      <c r="L201" s="11" t="str">
        <f aca="false">IF($B$3=0,"",AVERAGE($E201:$I201))</f>
        <v/>
      </c>
      <c r="M201" s="11" t="str">
        <f aca="false">IF($B$3&lt;3,"",IFERROR(FORECAST($H$3,$E201:$I201,$B$4:$F$4),""))</f>
        <v/>
      </c>
      <c r="N201" s="11" t="str">
        <f aca="false">IF($B$3&lt;2,"",IFERROR(IF(INDEX($E201:$I201,MATCH($D$3,$B$4:$F$4,0))*K201&gt;0,K201*(K201/INDEX($E201:$I201,MATCH($D$3,$B$4:$F$4,0)))^(($H$3-$F$3)/($F$3-$D$3)),K201),K201))</f>
        <v/>
      </c>
      <c r="O201" s="20"/>
      <c r="P201" s="6" t="str">
        <f aca="false">IF(O201&lt;&gt;"",O201,Inputs!$C$90)</f>
        <v>Linear Trend</v>
      </c>
      <c r="Q201" s="37" t="str">
        <f aca="false">IF($B$3=0,"",IF(Inputs!$C$91&gt;0,ROUND(IF(ISNUMBER(IF(P201="Last Actual",K201,IF(P201="Average",L201,IF(P201="Linear Trend",M201,N201)))),IF(P201="Last Actual",K201,IF(P201="Average",L201,IF(P201="Linear Trend",M201,N201))),K201)/Inputs!$C$91,0)*Inputs!$C$91,IF(ISNUMBER(IF(P201="Last Actual",K201,IF(P201="Average",L201,IF(P201="Linear Trend",M201,N201)))),IF(P201="Last Actual",K201,IF(P201="Average",L201,IF(P201="Linear Trend",M201,N201))),K201)))</f>
        <v/>
      </c>
      <c r="R201" s="31" t="n">
        <f aca="false">'Forecast Detail'!H162</f>
        <v>70574.7422680412</v>
      </c>
      <c r="S201" s="8" t="str">
        <f aca="false">IF(Q201="","",IF(J201=0,"",Q201/J201-1))</f>
        <v/>
      </c>
      <c r="T201" s="38" t="str">
        <f aca="false">IF(S201="","",IF(ABS(S201)&gt;Inputs!$C$92,"REVIEW",""))</f>
        <v/>
      </c>
    </row>
    <row r="202" customFormat="false" ht="15" hidden="false" customHeight="false" outlineLevel="0" collapsed="false">
      <c r="A202" s="36" t="str">
        <f aca="false">'Forecast Detail'!D163</f>
        <v>Advancement Activities</v>
      </c>
      <c r="B202" s="36" t="str">
        <f aca="false">'Forecast Detail'!A163</f>
        <v>Expense</v>
      </c>
      <c r="C202" s="36" t="str">
        <f aca="false">'Forecast Detail'!C163</f>
        <v>Advancement Activities</v>
      </c>
      <c r="D202" s="36" t="str">
        <f aca="false">'Forecast Detail'!B163</f>
        <v>4 Administrative</v>
      </c>
      <c r="E202" s="11" t="str">
        <f aca="false">IF(ISNUMBER(B$4),SUMIFS('Actuals Import'!$B$1:$B$600,'Actuals Import'!$H$1:$H$600,$C202,'Actuals Import'!$G$1:$G$600,1),"")</f>
        <v/>
      </c>
      <c r="F202" s="11" t="str">
        <f aca="false">IF(ISNUMBER(C$4),SUMIFS('Actuals Import'!$K$1:$K$600,'Actuals Import'!$Q$1:$Q$600,$C202,'Actuals Import'!$P$1:$P$600,1),"")</f>
        <v/>
      </c>
      <c r="G202" s="11" t="str">
        <f aca="false">IF(ISNUMBER(D$4),SUMIFS('Actuals Import'!$T$1:$T$600,'Actuals Import'!$Z$1:$Z$600,$C202,'Actuals Import'!$Y$1:$Y$600,1),"")</f>
        <v/>
      </c>
      <c r="H202" s="11" t="str">
        <f aca="false">IF(ISNUMBER(E$4),SUMIFS('Actuals Import'!$AC$1:$AC$600,'Actuals Import'!$AI$1:$AI$600,$C202,'Actuals Import'!$AH$1:$AH$600,1),"")</f>
        <v/>
      </c>
      <c r="I202" s="11" t="str">
        <f aca="false">IF(ISNUMBER(F$4),SUMIFS('Actuals Import'!$AL$1:$AL$600,'Actuals Import'!$AR$1:$AR$600,$C202,'Actuals Import'!$AQ$1:$AQ$600,1),"")</f>
        <v/>
      </c>
      <c r="J202" s="31" t="n">
        <f aca="false">'Forecast Detail'!G163</f>
        <v>0</v>
      </c>
      <c r="K202" s="11" t="str">
        <f aca="false">IF($B$3=0,"",INDEX($E202:$I202,MATCH($F$3,$B$4:$F$4,0)))</f>
        <v/>
      </c>
      <c r="L202" s="11" t="str">
        <f aca="false">IF($B$3=0,"",AVERAGE($E202:$I202))</f>
        <v/>
      </c>
      <c r="M202" s="11" t="str">
        <f aca="false">IF($B$3&lt;3,"",IFERROR(FORECAST($H$3,$E202:$I202,$B$4:$F$4),""))</f>
        <v/>
      </c>
      <c r="N202" s="11" t="str">
        <f aca="false">IF($B$3&lt;2,"",IFERROR(IF(INDEX($E202:$I202,MATCH($D$3,$B$4:$F$4,0))*K202&gt;0,K202*(K202/INDEX($E202:$I202,MATCH($D$3,$B$4:$F$4,0)))^(($H$3-$F$3)/($F$3-$D$3)),K202),K202))</f>
        <v/>
      </c>
      <c r="O202" s="20"/>
      <c r="P202" s="6" t="str">
        <f aca="false">IF(O202&lt;&gt;"",O202,Inputs!$C$90)</f>
        <v>Linear Trend</v>
      </c>
      <c r="Q202" s="37" t="str">
        <f aca="false">IF($B$3=0,"",IF(Inputs!$C$91&gt;0,ROUND(IF(ISNUMBER(IF(P202="Last Actual",K202,IF(P202="Average",L202,IF(P202="Linear Trend",M202,N202)))),IF(P202="Last Actual",K202,IF(P202="Average",L202,IF(P202="Linear Trend",M202,N202))),K202)/Inputs!$C$91,0)*Inputs!$C$91,IF(ISNUMBER(IF(P202="Last Actual",K202,IF(P202="Average",L202,IF(P202="Linear Trend",M202,N202)))),IF(P202="Last Actual",K202,IF(P202="Average",L202,IF(P202="Linear Trend",M202,N202))),K202)))</f>
        <v/>
      </c>
      <c r="R202" s="31" t="n">
        <f aca="false">'Forecast Detail'!H163</f>
        <v>0</v>
      </c>
      <c r="S202" s="8" t="str">
        <f aca="false">IF(Q202="","",IF(J202=0,"",Q202/J202-1))</f>
        <v/>
      </c>
      <c r="T202" s="38" t="str">
        <f aca="false">IF(S202="","",IF(ABS(S202)&gt;Inputs!$C$92,"REVIEW",""))</f>
        <v/>
      </c>
    </row>
    <row r="203" customFormat="false" ht="15" hidden="false" customHeight="false" outlineLevel="0" collapsed="false">
      <c r="A203" s="36" t="str">
        <f aca="false">'Forecast Detail'!D164</f>
        <v>Advertising and Marketing</v>
      </c>
      <c r="B203" s="36" t="str">
        <f aca="false">'Forecast Detail'!A164</f>
        <v>Expense</v>
      </c>
      <c r="C203" s="36" t="str">
        <f aca="false">'Forecast Detail'!C164</f>
        <v>Advertising and Marketing</v>
      </c>
      <c r="D203" s="36" t="str">
        <f aca="false">'Forecast Detail'!B164</f>
        <v>4 Administrative</v>
      </c>
      <c r="E203" s="11" t="str">
        <f aca="false">IF(ISNUMBER(B$4),SUMIFS('Actuals Import'!$B$1:$B$600,'Actuals Import'!$H$1:$H$600,$C203,'Actuals Import'!$G$1:$G$600,1),"")</f>
        <v/>
      </c>
      <c r="F203" s="11" t="str">
        <f aca="false">IF(ISNUMBER(C$4),SUMIFS('Actuals Import'!$K$1:$K$600,'Actuals Import'!$Q$1:$Q$600,$C203,'Actuals Import'!$P$1:$P$600,1),"")</f>
        <v/>
      </c>
      <c r="G203" s="11" t="str">
        <f aca="false">IF(ISNUMBER(D$4),SUMIFS('Actuals Import'!$T$1:$T$600,'Actuals Import'!$Z$1:$Z$600,$C203,'Actuals Import'!$Y$1:$Y$600,1),"")</f>
        <v/>
      </c>
      <c r="H203" s="11" t="str">
        <f aca="false">IF(ISNUMBER(E$4),SUMIFS('Actuals Import'!$AC$1:$AC$600,'Actuals Import'!$AI$1:$AI$600,$C203,'Actuals Import'!$AH$1:$AH$600,1),"")</f>
        <v/>
      </c>
      <c r="I203" s="11" t="str">
        <f aca="false">IF(ISNUMBER(F$4),SUMIFS('Actuals Import'!$AL$1:$AL$600,'Actuals Import'!$AR$1:$AR$600,$C203,'Actuals Import'!$AQ$1:$AQ$600,1),"")</f>
        <v/>
      </c>
      <c r="J203" s="31" t="n">
        <f aca="false">'Forecast Detail'!G164</f>
        <v>80000</v>
      </c>
      <c r="K203" s="11" t="str">
        <f aca="false">IF($B$3=0,"",INDEX($E203:$I203,MATCH($F$3,$B$4:$F$4,0)))</f>
        <v/>
      </c>
      <c r="L203" s="11" t="str">
        <f aca="false">IF($B$3=0,"",AVERAGE($E203:$I203))</f>
        <v/>
      </c>
      <c r="M203" s="11" t="str">
        <f aca="false">IF($B$3&lt;3,"",IFERROR(FORECAST($H$3,$E203:$I203,$B$4:$F$4),""))</f>
        <v/>
      </c>
      <c r="N203" s="11" t="str">
        <f aca="false">IF($B$3&lt;2,"",IFERROR(IF(INDEX($E203:$I203,MATCH($D$3,$B$4:$F$4,0))*K203&gt;0,K203*(K203/INDEX($E203:$I203,MATCH($D$3,$B$4:$F$4,0)))^(($H$3-$F$3)/($F$3-$D$3)),K203),K203))</f>
        <v/>
      </c>
      <c r="O203" s="20"/>
      <c r="P203" s="6" t="str">
        <f aca="false">IF(O203&lt;&gt;"",O203,Inputs!$C$90)</f>
        <v>Linear Trend</v>
      </c>
      <c r="Q203" s="37" t="str">
        <f aca="false">IF($B$3=0,"",IF(Inputs!$C$91&gt;0,ROUND(IF(ISNUMBER(IF(P203="Last Actual",K203,IF(P203="Average",L203,IF(P203="Linear Trend",M203,N203)))),IF(P203="Last Actual",K203,IF(P203="Average",L203,IF(P203="Linear Trend",M203,N203))),K203)/Inputs!$C$91,0)*Inputs!$C$91,IF(ISNUMBER(IF(P203="Last Actual",K203,IF(P203="Average",L203,IF(P203="Linear Trend",M203,N203)))),IF(P203="Last Actual",K203,IF(P203="Average",L203,IF(P203="Linear Trend",M203,N203))),K203)))</f>
        <v/>
      </c>
      <c r="R203" s="31" t="n">
        <f aca="false">'Forecast Detail'!H164</f>
        <v>82400</v>
      </c>
      <c r="S203" s="8" t="str">
        <f aca="false">IF(Q203="","",IF(J203=0,"",Q203/J203-1))</f>
        <v/>
      </c>
      <c r="T203" s="38" t="str">
        <f aca="false">IF(S203="","",IF(ABS(S203)&gt;Inputs!$C$92,"REVIEW",""))</f>
        <v/>
      </c>
    </row>
    <row r="204" customFormat="false" ht="15" hidden="false" customHeight="false" outlineLevel="0" collapsed="false">
      <c r="A204" s="36" t="str">
        <f aca="false">'Forecast Detail'!D165</f>
        <v>500123 Mortgage Principal</v>
      </c>
      <c r="B204" s="36" t="str">
        <f aca="false">'Forecast Detail'!A165</f>
        <v>Expense</v>
      </c>
      <c r="C204" s="36" t="str">
        <f aca="false">'Forecast Detail'!C165</f>
        <v>500123</v>
      </c>
      <c r="D204" s="36" t="str">
        <f aca="false">'Forecast Detail'!B165</f>
        <v>4 Administrative</v>
      </c>
      <c r="E204" s="11" t="str">
        <f aca="false">IF(ISNUMBER(B$4),SUMIFS('Actuals Import'!$B$1:$B$600,'Actuals Import'!$H$1:$H$600,$C204,'Actuals Import'!$G$1:$G$600,1),"")</f>
        <v/>
      </c>
      <c r="F204" s="11" t="str">
        <f aca="false">IF(ISNUMBER(C$4),SUMIFS('Actuals Import'!$K$1:$K$600,'Actuals Import'!$Q$1:$Q$600,$C204,'Actuals Import'!$P$1:$P$600,1),"")</f>
        <v/>
      </c>
      <c r="G204" s="11" t="str">
        <f aca="false">IF(ISNUMBER(D$4),SUMIFS('Actuals Import'!$T$1:$T$600,'Actuals Import'!$Z$1:$Z$600,$C204,'Actuals Import'!$Y$1:$Y$600,1),"")</f>
        <v/>
      </c>
      <c r="H204" s="11" t="str">
        <f aca="false">IF(ISNUMBER(E$4),SUMIFS('Actuals Import'!$AC$1:$AC$600,'Actuals Import'!$AI$1:$AI$600,$C204,'Actuals Import'!$AH$1:$AH$600,1),"")</f>
        <v/>
      </c>
      <c r="I204" s="11" t="str">
        <f aca="false">IF(ISNUMBER(F$4),SUMIFS('Actuals Import'!$AL$1:$AL$600,'Actuals Import'!$AR$1:$AR$600,$C204,'Actuals Import'!$AQ$1:$AQ$600,1),"")</f>
        <v/>
      </c>
      <c r="J204" s="31" t="n">
        <f aca="false">'Forecast Detail'!G165</f>
        <v>160236</v>
      </c>
      <c r="K204" s="11" t="str">
        <f aca="false">IF($B$3=0,"",INDEX($E204:$I204,MATCH($F$3,$B$4:$F$4,0)))</f>
        <v/>
      </c>
      <c r="L204" s="11" t="str">
        <f aca="false">IF($B$3=0,"",AVERAGE($E204:$I204))</f>
        <v/>
      </c>
      <c r="M204" s="11" t="str">
        <f aca="false">IF($B$3&lt;3,"",IFERROR(FORECAST($H$3,$E204:$I204,$B$4:$F$4),""))</f>
        <v/>
      </c>
      <c r="N204" s="11" t="str">
        <f aca="false">IF($B$3&lt;2,"",IFERROR(IF(INDEX($E204:$I204,MATCH($D$3,$B$4:$F$4,0))*K204&gt;0,K204*(K204/INDEX($E204:$I204,MATCH($D$3,$B$4:$F$4,0)))^(($H$3-$F$3)/($F$3-$D$3)),K204),K204))</f>
        <v/>
      </c>
      <c r="O204" s="20"/>
      <c r="P204" s="6" t="str">
        <f aca="false">IF(O204&lt;&gt;"",O204,Inputs!$C$90)</f>
        <v>Linear Trend</v>
      </c>
      <c r="Q204" s="37" t="str">
        <f aca="false">IF($B$3=0,"",IF(Inputs!$C$91&gt;0,ROUND(IF(ISNUMBER(IF(P204="Last Actual",K204,IF(P204="Average",L204,IF(P204="Linear Trend",M204,N204)))),IF(P204="Last Actual",K204,IF(P204="Average",L204,IF(P204="Linear Trend",M204,N204))),K204)/Inputs!$C$91,0)*Inputs!$C$91,IF(ISNUMBER(IF(P204="Last Actual",K204,IF(P204="Average",L204,IF(P204="Linear Trend",M204,N204)))),IF(P204="Last Actual",K204,IF(P204="Average",L204,IF(P204="Linear Trend",M204,N204))),K204)))</f>
        <v/>
      </c>
      <c r="R204" s="31" t="n">
        <f aca="false">'Forecast Detail'!H165</f>
        <v>160236</v>
      </c>
      <c r="S204" s="8" t="str">
        <f aca="false">IF(Q204="","",IF(J204=0,"",Q204/J204-1))</f>
        <v/>
      </c>
      <c r="T204" s="38" t="str">
        <f aca="false">IF(S204="","",IF(ABS(S204)&gt;Inputs!$C$92,"REVIEW",""))</f>
        <v/>
      </c>
    </row>
    <row r="205" customFormat="false" ht="15" hidden="false" customHeight="false" outlineLevel="0" collapsed="false">
      <c r="A205" s="36" t="str">
        <f aca="false">'Forecast Detail'!D166</f>
        <v>500125 Mortgage Interest Expense</v>
      </c>
      <c r="B205" s="36" t="str">
        <f aca="false">'Forecast Detail'!A166</f>
        <v>Expense</v>
      </c>
      <c r="C205" s="36" t="str">
        <f aca="false">'Forecast Detail'!C166</f>
        <v>500125</v>
      </c>
      <c r="D205" s="36" t="str">
        <f aca="false">'Forecast Detail'!B166</f>
        <v>4 Administrative</v>
      </c>
      <c r="E205" s="11" t="str">
        <f aca="false">IF(ISNUMBER(B$4),SUMIFS('Actuals Import'!$B$1:$B$600,'Actuals Import'!$H$1:$H$600,$C205,'Actuals Import'!$G$1:$G$600,1),"")</f>
        <v/>
      </c>
      <c r="F205" s="11" t="str">
        <f aca="false">IF(ISNUMBER(C$4),SUMIFS('Actuals Import'!$K$1:$K$600,'Actuals Import'!$Q$1:$Q$600,$C205,'Actuals Import'!$P$1:$P$600,1),"")</f>
        <v/>
      </c>
      <c r="G205" s="11" t="str">
        <f aca="false">IF(ISNUMBER(D$4),SUMIFS('Actuals Import'!$T$1:$T$600,'Actuals Import'!$Z$1:$Z$600,$C205,'Actuals Import'!$Y$1:$Y$600,1),"")</f>
        <v/>
      </c>
      <c r="H205" s="11" t="str">
        <f aca="false">IF(ISNUMBER(E$4),SUMIFS('Actuals Import'!$AC$1:$AC$600,'Actuals Import'!$AI$1:$AI$600,$C205,'Actuals Import'!$AH$1:$AH$600,1),"")</f>
        <v/>
      </c>
      <c r="I205" s="11" t="str">
        <f aca="false">IF(ISNUMBER(F$4),SUMIFS('Actuals Import'!$AL$1:$AL$600,'Actuals Import'!$AR$1:$AR$600,$C205,'Actuals Import'!$AQ$1:$AQ$600,1),"")</f>
        <v/>
      </c>
      <c r="J205" s="31" t="n">
        <f aca="false">'Forecast Detail'!G166</f>
        <v>25432</v>
      </c>
      <c r="K205" s="11" t="str">
        <f aca="false">IF($B$3=0,"",INDEX($E205:$I205,MATCH($F$3,$B$4:$F$4,0)))</f>
        <v/>
      </c>
      <c r="L205" s="11" t="str">
        <f aca="false">IF($B$3=0,"",AVERAGE($E205:$I205))</f>
        <v/>
      </c>
      <c r="M205" s="11" t="str">
        <f aca="false">IF($B$3&lt;3,"",IFERROR(FORECAST($H$3,$E205:$I205,$B$4:$F$4),""))</f>
        <v/>
      </c>
      <c r="N205" s="11" t="str">
        <f aca="false">IF($B$3&lt;2,"",IFERROR(IF(INDEX($E205:$I205,MATCH($D$3,$B$4:$F$4,0))*K205&gt;0,K205*(K205/INDEX($E205:$I205,MATCH($D$3,$B$4:$F$4,0)))^(($H$3-$F$3)/($F$3-$D$3)),K205),K205))</f>
        <v/>
      </c>
      <c r="O205" s="20"/>
      <c r="P205" s="6" t="str">
        <f aca="false">IF(O205&lt;&gt;"",O205,Inputs!$C$90)</f>
        <v>Linear Trend</v>
      </c>
      <c r="Q205" s="37" t="str">
        <f aca="false">IF($B$3=0,"",IF(Inputs!$C$91&gt;0,ROUND(IF(ISNUMBER(IF(P205="Last Actual",K205,IF(P205="Average",L205,IF(P205="Linear Trend",M205,N205)))),IF(P205="Last Actual",K205,IF(P205="Average",L205,IF(P205="Linear Trend",M205,N205))),K205)/Inputs!$C$91,0)*Inputs!$C$91,IF(ISNUMBER(IF(P205="Last Actual",K205,IF(P205="Average",L205,IF(P205="Linear Trend",M205,N205)))),IF(P205="Last Actual",K205,IF(P205="Average",L205,IF(P205="Linear Trend",M205,N205))),K205)))</f>
        <v/>
      </c>
      <c r="R205" s="31" t="n">
        <f aca="false">'Forecast Detail'!H166</f>
        <v>25432</v>
      </c>
      <c r="S205" s="8" t="str">
        <f aca="false">IF(Q205="","",IF(J205=0,"",Q205/J205-1))</f>
        <v/>
      </c>
      <c r="T205" s="38" t="str">
        <f aca="false">IF(S205="","",IF(ABS(S205)&gt;Inputs!$C$92,"REVIEW",""))</f>
        <v/>
      </c>
    </row>
    <row r="206" customFormat="false" ht="15" hidden="false" customHeight="false" outlineLevel="0" collapsed="false">
      <c r="A206" s="36" t="str">
        <f aca="false">'Forecast Detail'!D167</f>
        <v>Technology Expenses</v>
      </c>
      <c r="B206" s="36" t="str">
        <f aca="false">'Forecast Detail'!A167</f>
        <v>Expense</v>
      </c>
      <c r="C206" s="36" t="str">
        <f aca="false">'Forecast Detail'!C167</f>
        <v>Technology Expenses</v>
      </c>
      <c r="D206" s="36" t="str">
        <f aca="false">'Forecast Detail'!B167</f>
        <v>4 Administrative</v>
      </c>
      <c r="E206" s="11" t="str">
        <f aca="false">IF(ISNUMBER(B$4),SUMIFS('Actuals Import'!$B$1:$B$600,'Actuals Import'!$H$1:$H$600,$C206,'Actuals Import'!$G$1:$G$600,1),"")</f>
        <v/>
      </c>
      <c r="F206" s="11" t="str">
        <f aca="false">IF(ISNUMBER(C$4),SUMIFS('Actuals Import'!$K$1:$K$600,'Actuals Import'!$Q$1:$Q$600,$C206,'Actuals Import'!$P$1:$P$600,1),"")</f>
        <v/>
      </c>
      <c r="G206" s="11" t="str">
        <f aca="false">IF(ISNUMBER(D$4),SUMIFS('Actuals Import'!$T$1:$T$600,'Actuals Import'!$Z$1:$Z$600,$C206,'Actuals Import'!$Y$1:$Y$600,1),"")</f>
        <v/>
      </c>
      <c r="H206" s="11" t="str">
        <f aca="false">IF(ISNUMBER(E$4),SUMIFS('Actuals Import'!$AC$1:$AC$600,'Actuals Import'!$AI$1:$AI$600,$C206,'Actuals Import'!$AH$1:$AH$600,1),"")</f>
        <v/>
      </c>
      <c r="I206" s="11" t="str">
        <f aca="false">IF(ISNUMBER(F$4),SUMIFS('Actuals Import'!$AL$1:$AL$600,'Actuals Import'!$AR$1:$AR$600,$C206,'Actuals Import'!$AQ$1:$AQ$600,1),"")</f>
        <v/>
      </c>
      <c r="J206" s="31" t="n">
        <f aca="false">'Forecast Detail'!G167</f>
        <v>0</v>
      </c>
      <c r="K206" s="11" t="str">
        <f aca="false">IF($B$3=0,"",INDEX($E206:$I206,MATCH($F$3,$B$4:$F$4,0)))</f>
        <v/>
      </c>
      <c r="L206" s="11" t="str">
        <f aca="false">IF($B$3=0,"",AVERAGE($E206:$I206))</f>
        <v/>
      </c>
      <c r="M206" s="11" t="str">
        <f aca="false">IF($B$3&lt;3,"",IFERROR(FORECAST($H$3,$E206:$I206,$B$4:$F$4),""))</f>
        <v/>
      </c>
      <c r="N206" s="11" t="str">
        <f aca="false">IF($B$3&lt;2,"",IFERROR(IF(INDEX($E206:$I206,MATCH($D$3,$B$4:$F$4,0))*K206&gt;0,K206*(K206/INDEX($E206:$I206,MATCH($D$3,$B$4:$F$4,0)))^(($H$3-$F$3)/($F$3-$D$3)),K206),K206))</f>
        <v/>
      </c>
      <c r="O206" s="20"/>
      <c r="P206" s="6" t="str">
        <f aca="false">IF(O206&lt;&gt;"",O206,Inputs!$C$90)</f>
        <v>Linear Trend</v>
      </c>
      <c r="Q206" s="37" t="str">
        <f aca="false">IF($B$3=0,"",IF(Inputs!$C$91&gt;0,ROUND(IF(ISNUMBER(IF(P206="Last Actual",K206,IF(P206="Average",L206,IF(P206="Linear Trend",M206,N206)))),IF(P206="Last Actual",K206,IF(P206="Average",L206,IF(P206="Linear Trend",M206,N206))),K206)/Inputs!$C$91,0)*Inputs!$C$91,IF(ISNUMBER(IF(P206="Last Actual",K206,IF(P206="Average",L206,IF(P206="Linear Trend",M206,N206)))),IF(P206="Last Actual",K206,IF(P206="Average",L206,IF(P206="Linear Trend",M206,N206))),K206)))</f>
        <v/>
      </c>
      <c r="R206" s="31" t="n">
        <f aca="false">'Forecast Detail'!H167</f>
        <v>0</v>
      </c>
      <c r="S206" s="8" t="str">
        <f aca="false">IF(Q206="","",IF(J206=0,"",Q206/J206-1))</f>
        <v/>
      </c>
      <c r="T206" s="38" t="str">
        <f aca="false">IF(S206="","",IF(ABS(S206)&gt;Inputs!$C$92,"REVIEW",""))</f>
        <v/>
      </c>
    </row>
    <row r="207" customFormat="false" ht="15" hidden="false" customHeight="false" outlineLevel="0" collapsed="false">
      <c r="A207" s="36" t="str">
        <f aca="false">'Forecast Detail'!D168</f>
        <v>500202 Computer Classroom Expenses</v>
      </c>
      <c r="B207" s="36" t="str">
        <f aca="false">'Forecast Detail'!A168</f>
        <v>Expense</v>
      </c>
      <c r="C207" s="36" t="str">
        <f aca="false">'Forecast Detail'!C168</f>
        <v>500202</v>
      </c>
      <c r="D207" s="36" t="str">
        <f aca="false">'Forecast Detail'!B168</f>
        <v>4 Administrative</v>
      </c>
      <c r="E207" s="11" t="str">
        <f aca="false">IF(ISNUMBER(B$4),SUMIFS('Actuals Import'!$B$1:$B$600,'Actuals Import'!$H$1:$H$600,$C207,'Actuals Import'!$G$1:$G$600,1),"")</f>
        <v/>
      </c>
      <c r="F207" s="11" t="str">
        <f aca="false">IF(ISNUMBER(C$4),SUMIFS('Actuals Import'!$K$1:$K$600,'Actuals Import'!$Q$1:$Q$600,$C207,'Actuals Import'!$P$1:$P$600,1),"")</f>
        <v/>
      </c>
      <c r="G207" s="11" t="str">
        <f aca="false">IF(ISNUMBER(D$4),SUMIFS('Actuals Import'!$T$1:$T$600,'Actuals Import'!$Z$1:$Z$600,$C207,'Actuals Import'!$Y$1:$Y$600,1),"")</f>
        <v/>
      </c>
      <c r="H207" s="11" t="str">
        <f aca="false">IF(ISNUMBER(E$4),SUMIFS('Actuals Import'!$AC$1:$AC$600,'Actuals Import'!$AI$1:$AI$600,$C207,'Actuals Import'!$AH$1:$AH$600,1),"")</f>
        <v/>
      </c>
      <c r="I207" s="11" t="str">
        <f aca="false">IF(ISNUMBER(F$4),SUMIFS('Actuals Import'!$AL$1:$AL$600,'Actuals Import'!$AR$1:$AR$600,$C207,'Actuals Import'!$AQ$1:$AQ$600,1),"")</f>
        <v/>
      </c>
      <c r="J207" s="31" t="n">
        <f aca="false">'Forecast Detail'!G168</f>
        <v>10000</v>
      </c>
      <c r="K207" s="11" t="str">
        <f aca="false">IF($B$3=0,"",INDEX($E207:$I207,MATCH($F$3,$B$4:$F$4,0)))</f>
        <v/>
      </c>
      <c r="L207" s="11" t="str">
        <f aca="false">IF($B$3=0,"",AVERAGE($E207:$I207))</f>
        <v/>
      </c>
      <c r="M207" s="11" t="str">
        <f aca="false">IF($B$3&lt;3,"",IFERROR(FORECAST($H$3,$E207:$I207,$B$4:$F$4),""))</f>
        <v/>
      </c>
      <c r="N207" s="11" t="str">
        <f aca="false">IF($B$3&lt;2,"",IFERROR(IF(INDEX($E207:$I207,MATCH($D$3,$B$4:$F$4,0))*K207&gt;0,K207*(K207/INDEX($E207:$I207,MATCH($D$3,$B$4:$F$4,0)))^(($H$3-$F$3)/($F$3-$D$3)),K207),K207))</f>
        <v/>
      </c>
      <c r="O207" s="20"/>
      <c r="P207" s="6" t="str">
        <f aca="false">IF(O207&lt;&gt;"",O207,Inputs!$C$90)</f>
        <v>Linear Trend</v>
      </c>
      <c r="Q207" s="37" t="str">
        <f aca="false">IF($B$3=0,"",IF(Inputs!$C$91&gt;0,ROUND(IF(ISNUMBER(IF(P207="Last Actual",K207,IF(P207="Average",L207,IF(P207="Linear Trend",M207,N207)))),IF(P207="Last Actual",K207,IF(P207="Average",L207,IF(P207="Linear Trend",M207,N207))),K207)/Inputs!$C$91,0)*Inputs!$C$91,IF(ISNUMBER(IF(P207="Last Actual",K207,IF(P207="Average",L207,IF(P207="Linear Trend",M207,N207)))),IF(P207="Last Actual",K207,IF(P207="Average",L207,IF(P207="Linear Trend",M207,N207))),K207)))</f>
        <v/>
      </c>
      <c r="R207" s="31" t="n">
        <f aca="false">'Forecast Detail'!H168</f>
        <v>10300</v>
      </c>
      <c r="S207" s="8" t="str">
        <f aca="false">IF(Q207="","",IF(J207=0,"",Q207/J207-1))</f>
        <v/>
      </c>
      <c r="T207" s="38" t="str">
        <f aca="false">IF(S207="","",IF(ABS(S207)&gt;Inputs!$C$92,"REVIEW",""))</f>
        <v/>
      </c>
    </row>
    <row r="208" customFormat="false" ht="15" hidden="false" customHeight="false" outlineLevel="0" collapsed="false">
      <c r="A208" s="36" t="str">
        <f aca="false">'Forecast Detail'!D169</f>
        <v>500354 Technology Supplies 1 to 1</v>
      </c>
      <c r="B208" s="36" t="str">
        <f aca="false">'Forecast Detail'!A169</f>
        <v>Expense</v>
      </c>
      <c r="C208" s="36" t="str">
        <f aca="false">'Forecast Detail'!C169</f>
        <v>500354</v>
      </c>
      <c r="D208" s="36" t="str">
        <f aca="false">'Forecast Detail'!B169</f>
        <v>4 Administrative</v>
      </c>
      <c r="E208" s="11" t="str">
        <f aca="false">IF(ISNUMBER(B$4),SUMIFS('Actuals Import'!$B$1:$B$600,'Actuals Import'!$H$1:$H$600,$C208,'Actuals Import'!$G$1:$G$600,1),"")</f>
        <v/>
      </c>
      <c r="F208" s="11" t="str">
        <f aca="false">IF(ISNUMBER(C$4),SUMIFS('Actuals Import'!$K$1:$K$600,'Actuals Import'!$Q$1:$Q$600,$C208,'Actuals Import'!$P$1:$P$600,1),"")</f>
        <v/>
      </c>
      <c r="G208" s="11" t="str">
        <f aca="false">IF(ISNUMBER(D$4),SUMIFS('Actuals Import'!$T$1:$T$600,'Actuals Import'!$Z$1:$Z$600,$C208,'Actuals Import'!$Y$1:$Y$600,1),"")</f>
        <v/>
      </c>
      <c r="H208" s="11" t="str">
        <f aca="false">IF(ISNUMBER(E$4),SUMIFS('Actuals Import'!$AC$1:$AC$600,'Actuals Import'!$AI$1:$AI$600,$C208,'Actuals Import'!$AH$1:$AH$600,1),"")</f>
        <v/>
      </c>
      <c r="I208" s="11" t="str">
        <f aca="false">IF(ISNUMBER(F$4),SUMIFS('Actuals Import'!$AL$1:$AL$600,'Actuals Import'!$AR$1:$AR$600,$C208,'Actuals Import'!$AQ$1:$AQ$600,1),"")</f>
        <v/>
      </c>
      <c r="J208" s="31" t="n">
        <f aca="false">'Forecast Detail'!G169</f>
        <v>0</v>
      </c>
      <c r="K208" s="11" t="str">
        <f aca="false">IF($B$3=0,"",INDEX($E208:$I208,MATCH($F$3,$B$4:$F$4,0)))</f>
        <v/>
      </c>
      <c r="L208" s="11" t="str">
        <f aca="false">IF($B$3=0,"",AVERAGE($E208:$I208))</f>
        <v/>
      </c>
      <c r="M208" s="11" t="str">
        <f aca="false">IF($B$3&lt;3,"",IFERROR(FORECAST($H$3,$E208:$I208,$B$4:$F$4),""))</f>
        <v/>
      </c>
      <c r="N208" s="11" t="str">
        <f aca="false">IF($B$3&lt;2,"",IFERROR(IF(INDEX($E208:$I208,MATCH($D$3,$B$4:$F$4,0))*K208&gt;0,K208*(K208/INDEX($E208:$I208,MATCH($D$3,$B$4:$F$4,0)))^(($H$3-$F$3)/($F$3-$D$3)),K208),K208))</f>
        <v/>
      </c>
      <c r="O208" s="20"/>
      <c r="P208" s="6" t="str">
        <f aca="false">IF(O208&lt;&gt;"",O208,Inputs!$C$90)</f>
        <v>Linear Trend</v>
      </c>
      <c r="Q208" s="37" t="str">
        <f aca="false">IF($B$3=0,"",IF(Inputs!$C$91&gt;0,ROUND(IF(ISNUMBER(IF(P208="Last Actual",K208,IF(P208="Average",L208,IF(P208="Linear Trend",M208,N208)))),IF(P208="Last Actual",K208,IF(P208="Average",L208,IF(P208="Linear Trend",M208,N208))),K208)/Inputs!$C$91,0)*Inputs!$C$91,IF(ISNUMBER(IF(P208="Last Actual",K208,IF(P208="Average",L208,IF(P208="Linear Trend",M208,N208)))),IF(P208="Last Actual",K208,IF(P208="Average",L208,IF(P208="Linear Trend",M208,N208))),K208)))</f>
        <v/>
      </c>
      <c r="R208" s="31" t="n">
        <f aca="false">'Forecast Detail'!H169</f>
        <v>0</v>
      </c>
      <c r="S208" s="8" t="str">
        <f aca="false">IF(Q208="","",IF(J208=0,"",Q208/J208-1))</f>
        <v/>
      </c>
      <c r="T208" s="38" t="str">
        <f aca="false">IF(S208="","",IF(ABS(S208)&gt;Inputs!$C$92,"REVIEW",""))</f>
        <v/>
      </c>
    </row>
    <row r="209" customFormat="false" ht="15" hidden="false" customHeight="false" outlineLevel="0" collapsed="false">
      <c r="A209" s="36" t="str">
        <f aca="false">'Forecast Detail'!D170</f>
        <v>500355 Administrative Software</v>
      </c>
      <c r="B209" s="36" t="str">
        <f aca="false">'Forecast Detail'!A170</f>
        <v>Expense</v>
      </c>
      <c r="C209" s="36" t="str">
        <f aca="false">'Forecast Detail'!C170</f>
        <v>500355</v>
      </c>
      <c r="D209" s="36" t="str">
        <f aca="false">'Forecast Detail'!B170</f>
        <v>4 Administrative</v>
      </c>
      <c r="E209" s="11" t="str">
        <f aca="false">IF(ISNUMBER(B$4),SUMIFS('Actuals Import'!$B$1:$B$600,'Actuals Import'!$H$1:$H$600,$C209,'Actuals Import'!$G$1:$G$600,1),"")</f>
        <v/>
      </c>
      <c r="F209" s="11" t="str">
        <f aca="false">IF(ISNUMBER(C$4),SUMIFS('Actuals Import'!$K$1:$K$600,'Actuals Import'!$Q$1:$Q$600,$C209,'Actuals Import'!$P$1:$P$600,1),"")</f>
        <v/>
      </c>
      <c r="G209" s="11" t="str">
        <f aca="false">IF(ISNUMBER(D$4),SUMIFS('Actuals Import'!$T$1:$T$600,'Actuals Import'!$Z$1:$Z$600,$C209,'Actuals Import'!$Y$1:$Y$600,1),"")</f>
        <v/>
      </c>
      <c r="H209" s="11" t="str">
        <f aca="false">IF(ISNUMBER(E$4),SUMIFS('Actuals Import'!$AC$1:$AC$600,'Actuals Import'!$AI$1:$AI$600,$C209,'Actuals Import'!$AH$1:$AH$600,1),"")</f>
        <v/>
      </c>
      <c r="I209" s="11" t="str">
        <f aca="false">IF(ISNUMBER(F$4),SUMIFS('Actuals Import'!$AL$1:$AL$600,'Actuals Import'!$AR$1:$AR$600,$C209,'Actuals Import'!$AQ$1:$AQ$600,1),"")</f>
        <v/>
      </c>
      <c r="J209" s="31" t="n">
        <f aca="false">'Forecast Detail'!G170</f>
        <v>38000</v>
      </c>
      <c r="K209" s="11" t="str">
        <f aca="false">IF($B$3=0,"",INDEX($E209:$I209,MATCH($F$3,$B$4:$F$4,0)))</f>
        <v/>
      </c>
      <c r="L209" s="11" t="str">
        <f aca="false">IF($B$3=0,"",AVERAGE($E209:$I209))</f>
        <v/>
      </c>
      <c r="M209" s="11" t="str">
        <f aca="false">IF($B$3&lt;3,"",IFERROR(FORECAST($H$3,$E209:$I209,$B$4:$F$4),""))</f>
        <v/>
      </c>
      <c r="N209" s="11" t="str">
        <f aca="false">IF($B$3&lt;2,"",IFERROR(IF(INDEX($E209:$I209,MATCH($D$3,$B$4:$F$4,0))*K209&gt;0,K209*(K209/INDEX($E209:$I209,MATCH($D$3,$B$4:$F$4,0)))^(($H$3-$F$3)/($F$3-$D$3)),K209),K209))</f>
        <v/>
      </c>
      <c r="O209" s="20"/>
      <c r="P209" s="6" t="str">
        <f aca="false">IF(O209&lt;&gt;"",O209,Inputs!$C$90)</f>
        <v>Linear Trend</v>
      </c>
      <c r="Q209" s="37" t="str">
        <f aca="false">IF($B$3=0,"",IF(Inputs!$C$91&gt;0,ROUND(IF(ISNUMBER(IF(P209="Last Actual",K209,IF(P209="Average",L209,IF(P209="Linear Trend",M209,N209)))),IF(P209="Last Actual",K209,IF(P209="Average",L209,IF(P209="Linear Trend",M209,N209))),K209)/Inputs!$C$91,0)*Inputs!$C$91,IF(ISNUMBER(IF(P209="Last Actual",K209,IF(P209="Average",L209,IF(P209="Linear Trend",M209,N209)))),IF(P209="Last Actual",K209,IF(P209="Average",L209,IF(P209="Linear Trend",M209,N209))),K209)))</f>
        <v/>
      </c>
      <c r="R209" s="31" t="n">
        <f aca="false">'Forecast Detail'!H170</f>
        <v>39140</v>
      </c>
      <c r="S209" s="8" t="str">
        <f aca="false">IF(Q209="","",IF(J209=0,"",Q209/J209-1))</f>
        <v/>
      </c>
      <c r="T209" s="38" t="str">
        <f aca="false">IF(S209="","",IF(ABS(S209)&gt;Inputs!$C$92,"REVIEW",""))</f>
        <v/>
      </c>
    </row>
    <row r="210" customFormat="false" ht="15" hidden="false" customHeight="false" outlineLevel="0" collapsed="false">
      <c r="A210" s="36" t="str">
        <f aca="false">'Forecast Detail'!D171</f>
        <v>500356 Software Costs Upper School</v>
      </c>
      <c r="B210" s="36" t="str">
        <f aca="false">'Forecast Detail'!A171</f>
        <v>Expense</v>
      </c>
      <c r="C210" s="36" t="str">
        <f aca="false">'Forecast Detail'!C171</f>
        <v>500356</v>
      </c>
      <c r="D210" s="36" t="str">
        <f aca="false">'Forecast Detail'!B171</f>
        <v>4 Administrative</v>
      </c>
      <c r="E210" s="11" t="str">
        <f aca="false">IF(ISNUMBER(B$4),SUMIFS('Actuals Import'!$B$1:$B$600,'Actuals Import'!$H$1:$H$600,$C210,'Actuals Import'!$G$1:$G$600,1),"")</f>
        <v/>
      </c>
      <c r="F210" s="11" t="str">
        <f aca="false">IF(ISNUMBER(C$4),SUMIFS('Actuals Import'!$K$1:$K$600,'Actuals Import'!$Q$1:$Q$600,$C210,'Actuals Import'!$P$1:$P$600,1),"")</f>
        <v/>
      </c>
      <c r="G210" s="11" t="str">
        <f aca="false">IF(ISNUMBER(D$4),SUMIFS('Actuals Import'!$T$1:$T$600,'Actuals Import'!$Z$1:$Z$600,$C210,'Actuals Import'!$Y$1:$Y$600,1),"")</f>
        <v/>
      </c>
      <c r="H210" s="11" t="str">
        <f aca="false">IF(ISNUMBER(E$4),SUMIFS('Actuals Import'!$AC$1:$AC$600,'Actuals Import'!$AI$1:$AI$600,$C210,'Actuals Import'!$AH$1:$AH$600,1),"")</f>
        <v/>
      </c>
      <c r="I210" s="11" t="str">
        <f aca="false">IF(ISNUMBER(F$4),SUMIFS('Actuals Import'!$AL$1:$AL$600,'Actuals Import'!$AR$1:$AR$600,$C210,'Actuals Import'!$AQ$1:$AQ$600,1),"")</f>
        <v/>
      </c>
      <c r="J210" s="31" t="n">
        <f aca="false">'Forecast Detail'!G171</f>
        <v>0</v>
      </c>
      <c r="K210" s="11" t="str">
        <f aca="false">IF($B$3=0,"",INDEX($E210:$I210,MATCH($F$3,$B$4:$F$4,0)))</f>
        <v/>
      </c>
      <c r="L210" s="11" t="str">
        <f aca="false">IF($B$3=0,"",AVERAGE($E210:$I210))</f>
        <v/>
      </c>
      <c r="M210" s="11" t="str">
        <f aca="false">IF($B$3&lt;3,"",IFERROR(FORECAST($H$3,$E210:$I210,$B$4:$F$4),""))</f>
        <v/>
      </c>
      <c r="N210" s="11" t="str">
        <f aca="false">IF($B$3&lt;2,"",IFERROR(IF(INDEX($E210:$I210,MATCH($D$3,$B$4:$F$4,0))*K210&gt;0,K210*(K210/INDEX($E210:$I210,MATCH($D$3,$B$4:$F$4,0)))^(($H$3-$F$3)/($F$3-$D$3)),K210),K210))</f>
        <v/>
      </c>
      <c r="O210" s="20"/>
      <c r="P210" s="6" t="str">
        <f aca="false">IF(O210&lt;&gt;"",O210,Inputs!$C$90)</f>
        <v>Linear Trend</v>
      </c>
      <c r="Q210" s="37" t="str">
        <f aca="false">IF($B$3=0,"",IF(Inputs!$C$91&gt;0,ROUND(IF(ISNUMBER(IF(P210="Last Actual",K210,IF(P210="Average",L210,IF(P210="Linear Trend",M210,N210)))),IF(P210="Last Actual",K210,IF(P210="Average",L210,IF(P210="Linear Trend",M210,N210))),K210)/Inputs!$C$91,0)*Inputs!$C$91,IF(ISNUMBER(IF(P210="Last Actual",K210,IF(P210="Average",L210,IF(P210="Linear Trend",M210,N210)))),IF(P210="Last Actual",K210,IF(P210="Average",L210,IF(P210="Linear Trend",M210,N210))),K210)))</f>
        <v/>
      </c>
      <c r="R210" s="31" t="n">
        <f aca="false">'Forecast Detail'!H171</f>
        <v>0</v>
      </c>
      <c r="S210" s="8" t="str">
        <f aca="false">IF(Q210="","",IF(J210=0,"",Q210/J210-1))</f>
        <v/>
      </c>
      <c r="T210" s="38" t="str">
        <f aca="false">IF(S210="","",IF(ABS(S210)&gt;Inputs!$C$92,"REVIEW",""))</f>
        <v/>
      </c>
    </row>
    <row r="211" customFormat="false" ht="15" hidden="false" customHeight="false" outlineLevel="0" collapsed="false">
      <c r="A211" s="36" t="str">
        <f aca="false">'Forecast Detail'!D172</f>
        <v>500358 Technology Equipment</v>
      </c>
      <c r="B211" s="36" t="str">
        <f aca="false">'Forecast Detail'!A172</f>
        <v>Expense</v>
      </c>
      <c r="C211" s="36" t="str">
        <f aca="false">'Forecast Detail'!C172</f>
        <v>500358</v>
      </c>
      <c r="D211" s="36" t="str">
        <f aca="false">'Forecast Detail'!B172</f>
        <v>4 Administrative</v>
      </c>
      <c r="E211" s="11" t="str">
        <f aca="false">IF(ISNUMBER(B$4),SUMIFS('Actuals Import'!$B$1:$B$600,'Actuals Import'!$H$1:$H$600,$C211,'Actuals Import'!$G$1:$G$600,1),"")</f>
        <v/>
      </c>
      <c r="F211" s="11" t="str">
        <f aca="false">IF(ISNUMBER(C$4),SUMIFS('Actuals Import'!$K$1:$K$600,'Actuals Import'!$Q$1:$Q$600,$C211,'Actuals Import'!$P$1:$P$600,1),"")</f>
        <v/>
      </c>
      <c r="G211" s="11" t="str">
        <f aca="false">IF(ISNUMBER(D$4),SUMIFS('Actuals Import'!$T$1:$T$600,'Actuals Import'!$Z$1:$Z$600,$C211,'Actuals Import'!$Y$1:$Y$600,1),"")</f>
        <v/>
      </c>
      <c r="H211" s="11" t="str">
        <f aca="false">IF(ISNUMBER(E$4),SUMIFS('Actuals Import'!$AC$1:$AC$600,'Actuals Import'!$AI$1:$AI$600,$C211,'Actuals Import'!$AH$1:$AH$600,1),"")</f>
        <v/>
      </c>
      <c r="I211" s="11" t="str">
        <f aca="false">IF(ISNUMBER(F$4),SUMIFS('Actuals Import'!$AL$1:$AL$600,'Actuals Import'!$AR$1:$AR$600,$C211,'Actuals Import'!$AQ$1:$AQ$600,1),"")</f>
        <v/>
      </c>
      <c r="J211" s="31" t="n">
        <f aca="false">'Forecast Detail'!G172</f>
        <v>145000</v>
      </c>
      <c r="K211" s="11" t="str">
        <f aca="false">IF($B$3=0,"",INDEX($E211:$I211,MATCH($F$3,$B$4:$F$4,0)))</f>
        <v/>
      </c>
      <c r="L211" s="11" t="str">
        <f aca="false">IF($B$3=0,"",AVERAGE($E211:$I211))</f>
        <v/>
      </c>
      <c r="M211" s="11" t="str">
        <f aca="false">IF($B$3&lt;3,"",IFERROR(FORECAST($H$3,$E211:$I211,$B$4:$F$4),""))</f>
        <v/>
      </c>
      <c r="N211" s="11" t="str">
        <f aca="false">IF($B$3&lt;2,"",IFERROR(IF(INDEX($E211:$I211,MATCH($D$3,$B$4:$F$4,0))*K211&gt;0,K211*(K211/INDEX($E211:$I211,MATCH($D$3,$B$4:$F$4,0)))^(($H$3-$F$3)/($F$3-$D$3)),K211),K211))</f>
        <v/>
      </c>
      <c r="O211" s="20"/>
      <c r="P211" s="6" t="str">
        <f aca="false">IF(O211&lt;&gt;"",O211,Inputs!$C$90)</f>
        <v>Linear Trend</v>
      </c>
      <c r="Q211" s="37" t="str">
        <f aca="false">IF($B$3=0,"",IF(Inputs!$C$91&gt;0,ROUND(IF(ISNUMBER(IF(P211="Last Actual",K211,IF(P211="Average",L211,IF(P211="Linear Trend",M211,N211)))),IF(P211="Last Actual",K211,IF(P211="Average",L211,IF(P211="Linear Trend",M211,N211))),K211)/Inputs!$C$91,0)*Inputs!$C$91,IF(ISNUMBER(IF(P211="Last Actual",K211,IF(P211="Average",L211,IF(P211="Linear Trend",M211,N211)))),IF(P211="Last Actual",K211,IF(P211="Average",L211,IF(P211="Linear Trend",M211,N211))),K211)))</f>
        <v/>
      </c>
      <c r="R211" s="31" t="n">
        <f aca="false">'Forecast Detail'!H172</f>
        <v>149350</v>
      </c>
      <c r="S211" s="8" t="str">
        <f aca="false">IF(Q211="","",IF(J211=0,"",Q211/J211-1))</f>
        <v/>
      </c>
      <c r="T211" s="38" t="str">
        <f aca="false">IF(S211="","",IF(ABS(S211)&gt;Inputs!$C$92,"REVIEW",""))</f>
        <v/>
      </c>
    </row>
    <row r="212" customFormat="false" ht="15" hidden="false" customHeight="false" outlineLevel="0" collapsed="false">
      <c r="A212" s="36" t="str">
        <f aca="false">'Forecast Detail'!D173</f>
        <v>500359 Technology Equipment Reserve</v>
      </c>
      <c r="B212" s="36" t="str">
        <f aca="false">'Forecast Detail'!A173</f>
        <v>Expense</v>
      </c>
      <c r="C212" s="36" t="str">
        <f aca="false">'Forecast Detail'!C173</f>
        <v>500359</v>
      </c>
      <c r="D212" s="36" t="str">
        <f aca="false">'Forecast Detail'!B173</f>
        <v>4 Administrative</v>
      </c>
      <c r="E212" s="11" t="str">
        <f aca="false">IF(ISNUMBER(B$4),SUMIFS('Actuals Import'!$B$1:$B$600,'Actuals Import'!$H$1:$H$600,$C212,'Actuals Import'!$G$1:$G$600,1),"")</f>
        <v/>
      </c>
      <c r="F212" s="11" t="str">
        <f aca="false">IF(ISNUMBER(C$4),SUMIFS('Actuals Import'!$K$1:$K$600,'Actuals Import'!$Q$1:$Q$600,$C212,'Actuals Import'!$P$1:$P$600,1),"")</f>
        <v/>
      </c>
      <c r="G212" s="11" t="str">
        <f aca="false">IF(ISNUMBER(D$4),SUMIFS('Actuals Import'!$T$1:$T$600,'Actuals Import'!$Z$1:$Z$600,$C212,'Actuals Import'!$Y$1:$Y$600,1),"")</f>
        <v/>
      </c>
      <c r="H212" s="11" t="str">
        <f aca="false">IF(ISNUMBER(E$4),SUMIFS('Actuals Import'!$AC$1:$AC$600,'Actuals Import'!$AI$1:$AI$600,$C212,'Actuals Import'!$AH$1:$AH$600,1),"")</f>
        <v/>
      </c>
      <c r="I212" s="11" t="str">
        <f aca="false">IF(ISNUMBER(F$4),SUMIFS('Actuals Import'!$AL$1:$AL$600,'Actuals Import'!$AR$1:$AR$600,$C212,'Actuals Import'!$AQ$1:$AQ$600,1),"")</f>
        <v/>
      </c>
      <c r="J212" s="31" t="n">
        <f aca="false">'Forecast Detail'!G173</f>
        <v>55000</v>
      </c>
      <c r="K212" s="11" t="str">
        <f aca="false">IF($B$3=0,"",INDEX($E212:$I212,MATCH($F$3,$B$4:$F$4,0)))</f>
        <v/>
      </c>
      <c r="L212" s="11" t="str">
        <f aca="false">IF($B$3=0,"",AVERAGE($E212:$I212))</f>
        <v/>
      </c>
      <c r="M212" s="11" t="str">
        <f aca="false">IF($B$3&lt;3,"",IFERROR(FORECAST($H$3,$E212:$I212,$B$4:$F$4),""))</f>
        <v/>
      </c>
      <c r="N212" s="11" t="str">
        <f aca="false">IF($B$3&lt;2,"",IFERROR(IF(INDEX($E212:$I212,MATCH($D$3,$B$4:$F$4,0))*K212&gt;0,K212*(K212/INDEX($E212:$I212,MATCH($D$3,$B$4:$F$4,0)))^(($H$3-$F$3)/($F$3-$D$3)),K212),K212))</f>
        <v/>
      </c>
      <c r="O212" s="20"/>
      <c r="P212" s="6" t="str">
        <f aca="false">IF(O212&lt;&gt;"",O212,Inputs!$C$90)</f>
        <v>Linear Trend</v>
      </c>
      <c r="Q212" s="37" t="str">
        <f aca="false">IF($B$3=0,"",IF(Inputs!$C$91&gt;0,ROUND(IF(ISNUMBER(IF(P212="Last Actual",K212,IF(P212="Average",L212,IF(P212="Linear Trend",M212,N212)))),IF(P212="Last Actual",K212,IF(P212="Average",L212,IF(P212="Linear Trend",M212,N212))),K212)/Inputs!$C$91,0)*Inputs!$C$91,IF(ISNUMBER(IF(P212="Last Actual",K212,IF(P212="Average",L212,IF(P212="Linear Trend",M212,N212)))),IF(P212="Last Actual",K212,IF(P212="Average",L212,IF(P212="Linear Trend",M212,N212))),K212)))</f>
        <v/>
      </c>
      <c r="R212" s="31" t="n">
        <f aca="false">'Forecast Detail'!H173</f>
        <v>56650</v>
      </c>
      <c r="S212" s="8" t="str">
        <f aca="false">IF(Q212="","",IF(J212=0,"",Q212/J212-1))</f>
        <v/>
      </c>
      <c r="T212" s="38" t="str">
        <f aca="false">IF(S212="","",IF(ABS(S212)&gt;Inputs!$C$92,"REVIEW",""))</f>
        <v/>
      </c>
    </row>
    <row r="213" customFormat="false" ht="15" hidden="false" customHeight="false" outlineLevel="0" collapsed="false">
      <c r="A213" s="36" t="str">
        <f aca="false">'Forecast Detail'!D174</f>
        <v>500360 Lease for Network Switches</v>
      </c>
      <c r="B213" s="36" t="str">
        <f aca="false">'Forecast Detail'!A174</f>
        <v>Expense</v>
      </c>
      <c r="C213" s="36" t="str">
        <f aca="false">'Forecast Detail'!C174</f>
        <v>500360</v>
      </c>
      <c r="D213" s="36" t="str">
        <f aca="false">'Forecast Detail'!B174</f>
        <v>4 Administrative</v>
      </c>
      <c r="E213" s="11" t="str">
        <f aca="false">IF(ISNUMBER(B$4),SUMIFS('Actuals Import'!$B$1:$B$600,'Actuals Import'!$H$1:$H$600,$C213,'Actuals Import'!$G$1:$G$600,1),"")</f>
        <v/>
      </c>
      <c r="F213" s="11" t="str">
        <f aca="false">IF(ISNUMBER(C$4),SUMIFS('Actuals Import'!$K$1:$K$600,'Actuals Import'!$Q$1:$Q$600,$C213,'Actuals Import'!$P$1:$P$600,1),"")</f>
        <v/>
      </c>
      <c r="G213" s="11" t="str">
        <f aca="false">IF(ISNUMBER(D$4),SUMIFS('Actuals Import'!$T$1:$T$600,'Actuals Import'!$Z$1:$Z$600,$C213,'Actuals Import'!$Y$1:$Y$600,1),"")</f>
        <v/>
      </c>
      <c r="H213" s="11" t="str">
        <f aca="false">IF(ISNUMBER(E$4),SUMIFS('Actuals Import'!$AC$1:$AC$600,'Actuals Import'!$AI$1:$AI$600,$C213,'Actuals Import'!$AH$1:$AH$600,1),"")</f>
        <v/>
      </c>
      <c r="I213" s="11" t="str">
        <f aca="false">IF(ISNUMBER(F$4),SUMIFS('Actuals Import'!$AL$1:$AL$600,'Actuals Import'!$AR$1:$AR$600,$C213,'Actuals Import'!$AQ$1:$AQ$600,1),"")</f>
        <v/>
      </c>
      <c r="J213" s="31" t="n">
        <f aca="false">'Forecast Detail'!G174</f>
        <v>0</v>
      </c>
      <c r="K213" s="11" t="str">
        <f aca="false">IF($B$3=0,"",INDEX($E213:$I213,MATCH($F$3,$B$4:$F$4,0)))</f>
        <v/>
      </c>
      <c r="L213" s="11" t="str">
        <f aca="false">IF($B$3=0,"",AVERAGE($E213:$I213))</f>
        <v/>
      </c>
      <c r="M213" s="11" t="str">
        <f aca="false">IF($B$3&lt;3,"",IFERROR(FORECAST($H$3,$E213:$I213,$B$4:$F$4),""))</f>
        <v/>
      </c>
      <c r="N213" s="11" t="str">
        <f aca="false">IF($B$3&lt;2,"",IFERROR(IF(INDEX($E213:$I213,MATCH($D$3,$B$4:$F$4,0))*K213&gt;0,K213*(K213/INDEX($E213:$I213,MATCH($D$3,$B$4:$F$4,0)))^(($H$3-$F$3)/($F$3-$D$3)),K213),K213))</f>
        <v/>
      </c>
      <c r="O213" s="20"/>
      <c r="P213" s="6" t="str">
        <f aca="false">IF(O213&lt;&gt;"",O213,Inputs!$C$90)</f>
        <v>Linear Trend</v>
      </c>
      <c r="Q213" s="37" t="str">
        <f aca="false">IF($B$3=0,"",IF(Inputs!$C$91&gt;0,ROUND(IF(ISNUMBER(IF(P213="Last Actual",K213,IF(P213="Average",L213,IF(P213="Linear Trend",M213,N213)))),IF(P213="Last Actual",K213,IF(P213="Average",L213,IF(P213="Linear Trend",M213,N213))),K213)/Inputs!$C$91,0)*Inputs!$C$91,IF(ISNUMBER(IF(P213="Last Actual",K213,IF(P213="Average",L213,IF(P213="Linear Trend",M213,N213)))),IF(P213="Last Actual",K213,IF(P213="Average",L213,IF(P213="Linear Trend",M213,N213))),K213)))</f>
        <v/>
      </c>
      <c r="R213" s="31" t="n">
        <f aca="false">'Forecast Detail'!H174</f>
        <v>0</v>
      </c>
      <c r="S213" s="8" t="str">
        <f aca="false">IF(Q213="","",IF(J213=0,"",Q213/J213-1))</f>
        <v/>
      </c>
      <c r="T213" s="38" t="str">
        <f aca="false">IF(S213="","",IF(ABS(S213)&gt;Inputs!$C$92,"REVIEW",""))</f>
        <v/>
      </c>
    </row>
    <row r="214" customFormat="false" ht="15" hidden="false" customHeight="false" outlineLevel="0" collapsed="false">
      <c r="A214" s="36" t="str">
        <f aca="false">'Forecast Detail'!D175</f>
        <v>500361 Software Lower School</v>
      </c>
      <c r="B214" s="36" t="str">
        <f aca="false">'Forecast Detail'!A175</f>
        <v>Expense</v>
      </c>
      <c r="C214" s="36" t="str">
        <f aca="false">'Forecast Detail'!C175</f>
        <v>500361</v>
      </c>
      <c r="D214" s="36" t="str">
        <f aca="false">'Forecast Detail'!B175</f>
        <v>4 Administrative</v>
      </c>
      <c r="E214" s="11" t="str">
        <f aca="false">IF(ISNUMBER(B$4),SUMIFS('Actuals Import'!$B$1:$B$600,'Actuals Import'!$H$1:$H$600,$C214,'Actuals Import'!$G$1:$G$600,1),"")</f>
        <v/>
      </c>
      <c r="F214" s="11" t="str">
        <f aca="false">IF(ISNUMBER(C$4),SUMIFS('Actuals Import'!$K$1:$K$600,'Actuals Import'!$Q$1:$Q$600,$C214,'Actuals Import'!$P$1:$P$600,1),"")</f>
        <v/>
      </c>
      <c r="G214" s="11" t="str">
        <f aca="false">IF(ISNUMBER(D$4),SUMIFS('Actuals Import'!$T$1:$T$600,'Actuals Import'!$Z$1:$Z$600,$C214,'Actuals Import'!$Y$1:$Y$600,1),"")</f>
        <v/>
      </c>
      <c r="H214" s="11" t="str">
        <f aca="false">IF(ISNUMBER(E$4),SUMIFS('Actuals Import'!$AC$1:$AC$600,'Actuals Import'!$AI$1:$AI$600,$C214,'Actuals Import'!$AH$1:$AH$600,1),"")</f>
        <v/>
      </c>
      <c r="I214" s="11" t="str">
        <f aca="false">IF(ISNUMBER(F$4),SUMIFS('Actuals Import'!$AL$1:$AL$600,'Actuals Import'!$AR$1:$AR$600,$C214,'Actuals Import'!$AQ$1:$AQ$600,1),"")</f>
        <v/>
      </c>
      <c r="J214" s="31" t="n">
        <f aca="false">'Forecast Detail'!G175</f>
        <v>0</v>
      </c>
      <c r="K214" s="11" t="str">
        <f aca="false">IF($B$3=0,"",INDEX($E214:$I214,MATCH($F$3,$B$4:$F$4,0)))</f>
        <v/>
      </c>
      <c r="L214" s="11" t="str">
        <f aca="false">IF($B$3=0,"",AVERAGE($E214:$I214))</f>
        <v/>
      </c>
      <c r="M214" s="11" t="str">
        <f aca="false">IF($B$3&lt;3,"",IFERROR(FORECAST($H$3,$E214:$I214,$B$4:$F$4),""))</f>
        <v/>
      </c>
      <c r="N214" s="11" t="str">
        <f aca="false">IF($B$3&lt;2,"",IFERROR(IF(INDEX($E214:$I214,MATCH($D$3,$B$4:$F$4,0))*K214&gt;0,K214*(K214/INDEX($E214:$I214,MATCH($D$3,$B$4:$F$4,0)))^(($H$3-$F$3)/($F$3-$D$3)),K214),K214))</f>
        <v/>
      </c>
      <c r="O214" s="20"/>
      <c r="P214" s="6" t="str">
        <f aca="false">IF(O214&lt;&gt;"",O214,Inputs!$C$90)</f>
        <v>Linear Trend</v>
      </c>
      <c r="Q214" s="37" t="str">
        <f aca="false">IF($B$3=0,"",IF(Inputs!$C$91&gt;0,ROUND(IF(ISNUMBER(IF(P214="Last Actual",K214,IF(P214="Average",L214,IF(P214="Linear Trend",M214,N214)))),IF(P214="Last Actual",K214,IF(P214="Average",L214,IF(P214="Linear Trend",M214,N214))),K214)/Inputs!$C$91,0)*Inputs!$C$91,IF(ISNUMBER(IF(P214="Last Actual",K214,IF(P214="Average",L214,IF(P214="Linear Trend",M214,N214)))),IF(P214="Last Actual",K214,IF(P214="Average",L214,IF(P214="Linear Trend",M214,N214))),K214)))</f>
        <v/>
      </c>
      <c r="R214" s="31" t="n">
        <f aca="false">'Forecast Detail'!H175</f>
        <v>0</v>
      </c>
      <c r="S214" s="8" t="str">
        <f aca="false">IF(Q214="","",IF(J214=0,"",Q214/J214-1))</f>
        <v/>
      </c>
      <c r="T214" s="38" t="str">
        <f aca="false">IF(S214="","",IF(ABS(S214)&gt;Inputs!$C$92,"REVIEW",""))</f>
        <v/>
      </c>
    </row>
    <row r="215" customFormat="false" ht="15" hidden="false" customHeight="false" outlineLevel="0" collapsed="false">
      <c r="A215" s="36" t="str">
        <f aca="false">'Forecast Detail'!D176</f>
        <v>500362 Technology Software Administrative</v>
      </c>
      <c r="B215" s="36" t="str">
        <f aca="false">'Forecast Detail'!A176</f>
        <v>Expense</v>
      </c>
      <c r="C215" s="36" t="str">
        <f aca="false">'Forecast Detail'!C176</f>
        <v>500362</v>
      </c>
      <c r="D215" s="36" t="str">
        <f aca="false">'Forecast Detail'!B176</f>
        <v>4 Administrative</v>
      </c>
      <c r="E215" s="11" t="str">
        <f aca="false">IF(ISNUMBER(B$4),SUMIFS('Actuals Import'!$B$1:$B$600,'Actuals Import'!$H$1:$H$600,$C215,'Actuals Import'!$G$1:$G$600,1),"")</f>
        <v/>
      </c>
      <c r="F215" s="11" t="str">
        <f aca="false">IF(ISNUMBER(C$4),SUMIFS('Actuals Import'!$K$1:$K$600,'Actuals Import'!$Q$1:$Q$600,$C215,'Actuals Import'!$P$1:$P$600,1),"")</f>
        <v/>
      </c>
      <c r="G215" s="11" t="str">
        <f aca="false">IF(ISNUMBER(D$4),SUMIFS('Actuals Import'!$T$1:$T$600,'Actuals Import'!$Z$1:$Z$600,$C215,'Actuals Import'!$Y$1:$Y$600,1),"")</f>
        <v/>
      </c>
      <c r="H215" s="11" t="str">
        <f aca="false">IF(ISNUMBER(E$4),SUMIFS('Actuals Import'!$AC$1:$AC$600,'Actuals Import'!$AI$1:$AI$600,$C215,'Actuals Import'!$AH$1:$AH$600,1),"")</f>
        <v/>
      </c>
      <c r="I215" s="11" t="str">
        <f aca="false">IF(ISNUMBER(F$4),SUMIFS('Actuals Import'!$AL$1:$AL$600,'Actuals Import'!$AR$1:$AR$600,$C215,'Actuals Import'!$AQ$1:$AQ$600,1),"")</f>
        <v/>
      </c>
      <c r="J215" s="31" t="n">
        <f aca="false">'Forecast Detail'!G176</f>
        <v>0</v>
      </c>
      <c r="K215" s="11" t="str">
        <f aca="false">IF($B$3=0,"",INDEX($E215:$I215,MATCH($F$3,$B$4:$F$4,0)))</f>
        <v/>
      </c>
      <c r="L215" s="11" t="str">
        <f aca="false">IF($B$3=0,"",AVERAGE($E215:$I215))</f>
        <v/>
      </c>
      <c r="M215" s="11" t="str">
        <f aca="false">IF($B$3&lt;3,"",IFERROR(FORECAST($H$3,$E215:$I215,$B$4:$F$4),""))</f>
        <v/>
      </c>
      <c r="N215" s="11" t="str">
        <f aca="false">IF($B$3&lt;2,"",IFERROR(IF(INDEX($E215:$I215,MATCH($D$3,$B$4:$F$4,0))*K215&gt;0,K215*(K215/INDEX($E215:$I215,MATCH($D$3,$B$4:$F$4,0)))^(($H$3-$F$3)/($F$3-$D$3)),K215),K215))</f>
        <v/>
      </c>
      <c r="O215" s="20"/>
      <c r="P215" s="6" t="str">
        <f aca="false">IF(O215&lt;&gt;"",O215,Inputs!$C$90)</f>
        <v>Linear Trend</v>
      </c>
      <c r="Q215" s="37" t="str">
        <f aca="false">IF($B$3=0,"",IF(Inputs!$C$91&gt;0,ROUND(IF(ISNUMBER(IF(P215="Last Actual",K215,IF(P215="Average",L215,IF(P215="Linear Trend",M215,N215)))),IF(P215="Last Actual",K215,IF(P215="Average",L215,IF(P215="Linear Trend",M215,N215))),K215)/Inputs!$C$91,0)*Inputs!$C$91,IF(ISNUMBER(IF(P215="Last Actual",K215,IF(P215="Average",L215,IF(P215="Linear Trend",M215,N215)))),IF(P215="Last Actual",K215,IF(P215="Average",L215,IF(P215="Linear Trend",M215,N215))),K215)))</f>
        <v/>
      </c>
      <c r="R215" s="31" t="n">
        <f aca="false">'Forecast Detail'!H176</f>
        <v>0</v>
      </c>
      <c r="S215" s="8" t="str">
        <f aca="false">IF(Q215="","",IF(J215=0,"",Q215/J215-1))</f>
        <v/>
      </c>
      <c r="T215" s="38" t="str">
        <f aca="false">IF(S215="","",IF(ABS(S215)&gt;Inputs!$C$92,"REVIEW",""))</f>
        <v/>
      </c>
    </row>
    <row r="216" customFormat="false" ht="15" hidden="false" customHeight="false" outlineLevel="0" collapsed="false">
      <c r="A216" s="36" t="str">
        <f aca="false">'Forecast Detail'!D177</f>
        <v>500363 Technology General Office Supplies</v>
      </c>
      <c r="B216" s="36" t="str">
        <f aca="false">'Forecast Detail'!A177</f>
        <v>Expense</v>
      </c>
      <c r="C216" s="36" t="str">
        <f aca="false">'Forecast Detail'!C177</f>
        <v>500363</v>
      </c>
      <c r="D216" s="36" t="str">
        <f aca="false">'Forecast Detail'!B177</f>
        <v>4 Administrative</v>
      </c>
      <c r="E216" s="11" t="str">
        <f aca="false">IF(ISNUMBER(B$4),SUMIFS('Actuals Import'!$B$1:$B$600,'Actuals Import'!$H$1:$H$600,$C216,'Actuals Import'!$G$1:$G$600,1),"")</f>
        <v/>
      </c>
      <c r="F216" s="11" t="str">
        <f aca="false">IF(ISNUMBER(C$4),SUMIFS('Actuals Import'!$K$1:$K$600,'Actuals Import'!$Q$1:$Q$600,$C216,'Actuals Import'!$P$1:$P$600,1),"")</f>
        <v/>
      </c>
      <c r="G216" s="11" t="str">
        <f aca="false">IF(ISNUMBER(D$4),SUMIFS('Actuals Import'!$T$1:$T$600,'Actuals Import'!$Z$1:$Z$600,$C216,'Actuals Import'!$Y$1:$Y$600,1),"")</f>
        <v/>
      </c>
      <c r="H216" s="11" t="str">
        <f aca="false">IF(ISNUMBER(E$4),SUMIFS('Actuals Import'!$AC$1:$AC$600,'Actuals Import'!$AI$1:$AI$600,$C216,'Actuals Import'!$AH$1:$AH$600,1),"")</f>
        <v/>
      </c>
      <c r="I216" s="11" t="str">
        <f aca="false">IF(ISNUMBER(F$4),SUMIFS('Actuals Import'!$AL$1:$AL$600,'Actuals Import'!$AR$1:$AR$600,$C216,'Actuals Import'!$AQ$1:$AQ$600,1),"")</f>
        <v/>
      </c>
      <c r="J216" s="31" t="n">
        <f aca="false">'Forecast Detail'!G177</f>
        <v>0</v>
      </c>
      <c r="K216" s="11" t="str">
        <f aca="false">IF($B$3=0,"",INDEX($E216:$I216,MATCH($F$3,$B$4:$F$4,0)))</f>
        <v/>
      </c>
      <c r="L216" s="11" t="str">
        <f aca="false">IF($B$3=0,"",AVERAGE($E216:$I216))</f>
        <v/>
      </c>
      <c r="M216" s="11" t="str">
        <f aca="false">IF($B$3&lt;3,"",IFERROR(FORECAST($H$3,$E216:$I216,$B$4:$F$4),""))</f>
        <v/>
      </c>
      <c r="N216" s="11" t="str">
        <f aca="false">IF($B$3&lt;2,"",IFERROR(IF(INDEX($E216:$I216,MATCH($D$3,$B$4:$F$4,0))*K216&gt;0,K216*(K216/INDEX($E216:$I216,MATCH($D$3,$B$4:$F$4,0)))^(($H$3-$F$3)/($F$3-$D$3)),K216),K216))</f>
        <v/>
      </c>
      <c r="O216" s="20"/>
      <c r="P216" s="6" t="str">
        <f aca="false">IF(O216&lt;&gt;"",O216,Inputs!$C$90)</f>
        <v>Linear Trend</v>
      </c>
      <c r="Q216" s="37" t="str">
        <f aca="false">IF($B$3=0,"",IF(Inputs!$C$91&gt;0,ROUND(IF(ISNUMBER(IF(P216="Last Actual",K216,IF(P216="Average",L216,IF(P216="Linear Trend",M216,N216)))),IF(P216="Last Actual",K216,IF(P216="Average",L216,IF(P216="Linear Trend",M216,N216))),K216)/Inputs!$C$91,0)*Inputs!$C$91,IF(ISNUMBER(IF(P216="Last Actual",K216,IF(P216="Average",L216,IF(P216="Linear Trend",M216,N216)))),IF(P216="Last Actual",K216,IF(P216="Average",L216,IF(P216="Linear Trend",M216,N216))),K216)))</f>
        <v/>
      </c>
      <c r="R216" s="31" t="n">
        <f aca="false">'Forecast Detail'!H177</f>
        <v>0</v>
      </c>
      <c r="S216" s="8" t="str">
        <f aca="false">IF(Q216="","",IF(J216=0,"",Q216/J216-1))</f>
        <v/>
      </c>
      <c r="T216" s="38" t="str">
        <f aca="false">IF(S216="","",IF(ABS(S216)&gt;Inputs!$C$92,"REVIEW",""))</f>
        <v/>
      </c>
    </row>
    <row r="217" customFormat="false" ht="15" hidden="false" customHeight="false" outlineLevel="0" collapsed="false">
      <c r="A217" s="36" t="str">
        <f aca="false">'Forecast Detail'!D178</f>
        <v>500364 Repairs Technology</v>
      </c>
      <c r="B217" s="36" t="str">
        <f aca="false">'Forecast Detail'!A178</f>
        <v>Expense</v>
      </c>
      <c r="C217" s="36" t="str">
        <f aca="false">'Forecast Detail'!C178</f>
        <v>500364</v>
      </c>
      <c r="D217" s="36" t="str">
        <f aca="false">'Forecast Detail'!B178</f>
        <v>4 Administrative</v>
      </c>
      <c r="E217" s="11" t="str">
        <f aca="false">IF(ISNUMBER(B$4),SUMIFS('Actuals Import'!$B$1:$B$600,'Actuals Import'!$H$1:$H$600,$C217,'Actuals Import'!$G$1:$G$600,1),"")</f>
        <v/>
      </c>
      <c r="F217" s="11" t="str">
        <f aca="false">IF(ISNUMBER(C$4),SUMIFS('Actuals Import'!$K$1:$K$600,'Actuals Import'!$Q$1:$Q$600,$C217,'Actuals Import'!$P$1:$P$600,1),"")</f>
        <v/>
      </c>
      <c r="G217" s="11" t="str">
        <f aca="false">IF(ISNUMBER(D$4),SUMIFS('Actuals Import'!$T$1:$T$600,'Actuals Import'!$Z$1:$Z$600,$C217,'Actuals Import'!$Y$1:$Y$600,1),"")</f>
        <v/>
      </c>
      <c r="H217" s="11" t="str">
        <f aca="false">IF(ISNUMBER(E$4),SUMIFS('Actuals Import'!$AC$1:$AC$600,'Actuals Import'!$AI$1:$AI$600,$C217,'Actuals Import'!$AH$1:$AH$600,1),"")</f>
        <v/>
      </c>
      <c r="I217" s="11" t="str">
        <f aca="false">IF(ISNUMBER(F$4),SUMIFS('Actuals Import'!$AL$1:$AL$600,'Actuals Import'!$AR$1:$AR$600,$C217,'Actuals Import'!$AQ$1:$AQ$600,1),"")</f>
        <v/>
      </c>
      <c r="J217" s="31" t="n">
        <f aca="false">'Forecast Detail'!G178</f>
        <v>0</v>
      </c>
      <c r="K217" s="11" t="str">
        <f aca="false">IF($B$3=0,"",INDEX($E217:$I217,MATCH($F$3,$B$4:$F$4,0)))</f>
        <v/>
      </c>
      <c r="L217" s="11" t="str">
        <f aca="false">IF($B$3=0,"",AVERAGE($E217:$I217))</f>
        <v/>
      </c>
      <c r="M217" s="11" t="str">
        <f aca="false">IF($B$3&lt;3,"",IFERROR(FORECAST($H$3,$E217:$I217,$B$4:$F$4),""))</f>
        <v/>
      </c>
      <c r="N217" s="11" t="str">
        <f aca="false">IF($B$3&lt;2,"",IFERROR(IF(INDEX($E217:$I217,MATCH($D$3,$B$4:$F$4,0))*K217&gt;0,K217*(K217/INDEX($E217:$I217,MATCH($D$3,$B$4:$F$4,0)))^(($H$3-$F$3)/($F$3-$D$3)),K217),K217))</f>
        <v/>
      </c>
      <c r="O217" s="20"/>
      <c r="P217" s="6" t="str">
        <f aca="false">IF(O217&lt;&gt;"",O217,Inputs!$C$90)</f>
        <v>Linear Trend</v>
      </c>
      <c r="Q217" s="37" t="str">
        <f aca="false">IF($B$3=0,"",IF(Inputs!$C$91&gt;0,ROUND(IF(ISNUMBER(IF(P217="Last Actual",K217,IF(P217="Average",L217,IF(P217="Linear Trend",M217,N217)))),IF(P217="Last Actual",K217,IF(P217="Average",L217,IF(P217="Linear Trend",M217,N217))),K217)/Inputs!$C$91,0)*Inputs!$C$91,IF(ISNUMBER(IF(P217="Last Actual",K217,IF(P217="Average",L217,IF(P217="Linear Trend",M217,N217)))),IF(P217="Last Actual",K217,IF(P217="Average",L217,IF(P217="Linear Trend",M217,N217))),K217)))</f>
        <v/>
      </c>
      <c r="R217" s="31" t="n">
        <f aca="false">'Forecast Detail'!H178</f>
        <v>0</v>
      </c>
      <c r="S217" s="8" t="str">
        <f aca="false">IF(Q217="","",IF(J217=0,"",Q217/J217-1))</f>
        <v/>
      </c>
      <c r="T217" s="38" t="str">
        <f aca="false">IF(S217="","",IF(ABS(S217)&gt;Inputs!$C$92,"REVIEW",""))</f>
        <v/>
      </c>
    </row>
    <row r="218" customFormat="false" ht="15" hidden="false" customHeight="false" outlineLevel="0" collapsed="false">
      <c r="A218" s="36" t="str">
        <f aca="false">'Forecast Detail'!D179</f>
        <v>500365 Communication Costs</v>
      </c>
      <c r="B218" s="36" t="str">
        <f aca="false">'Forecast Detail'!A179</f>
        <v>Expense</v>
      </c>
      <c r="C218" s="36" t="str">
        <f aca="false">'Forecast Detail'!C179</f>
        <v>500365</v>
      </c>
      <c r="D218" s="36" t="str">
        <f aca="false">'Forecast Detail'!B179</f>
        <v>4 Administrative</v>
      </c>
      <c r="E218" s="11" t="str">
        <f aca="false">IF(ISNUMBER(B$4),SUMIFS('Actuals Import'!$B$1:$B$600,'Actuals Import'!$H$1:$H$600,$C218,'Actuals Import'!$G$1:$G$600,1),"")</f>
        <v/>
      </c>
      <c r="F218" s="11" t="str">
        <f aca="false">IF(ISNUMBER(C$4),SUMIFS('Actuals Import'!$K$1:$K$600,'Actuals Import'!$Q$1:$Q$600,$C218,'Actuals Import'!$P$1:$P$600,1),"")</f>
        <v/>
      </c>
      <c r="G218" s="11" t="str">
        <f aca="false">IF(ISNUMBER(D$4),SUMIFS('Actuals Import'!$T$1:$T$600,'Actuals Import'!$Z$1:$Z$600,$C218,'Actuals Import'!$Y$1:$Y$600,1),"")</f>
        <v/>
      </c>
      <c r="H218" s="11" t="str">
        <f aca="false">IF(ISNUMBER(E$4),SUMIFS('Actuals Import'!$AC$1:$AC$600,'Actuals Import'!$AI$1:$AI$600,$C218,'Actuals Import'!$AH$1:$AH$600,1),"")</f>
        <v/>
      </c>
      <c r="I218" s="11" t="str">
        <f aca="false">IF(ISNUMBER(F$4),SUMIFS('Actuals Import'!$AL$1:$AL$600,'Actuals Import'!$AR$1:$AR$600,$C218,'Actuals Import'!$AQ$1:$AQ$600,1),"")</f>
        <v/>
      </c>
      <c r="J218" s="31" t="n">
        <f aca="false">'Forecast Detail'!G179</f>
        <v>0</v>
      </c>
      <c r="K218" s="11" t="str">
        <f aca="false">IF($B$3=0,"",INDEX($E218:$I218,MATCH($F$3,$B$4:$F$4,0)))</f>
        <v/>
      </c>
      <c r="L218" s="11" t="str">
        <f aca="false">IF($B$3=0,"",AVERAGE($E218:$I218))</f>
        <v/>
      </c>
      <c r="M218" s="11" t="str">
        <f aca="false">IF($B$3&lt;3,"",IFERROR(FORECAST($H$3,$E218:$I218,$B$4:$F$4),""))</f>
        <v/>
      </c>
      <c r="N218" s="11" t="str">
        <f aca="false">IF($B$3&lt;2,"",IFERROR(IF(INDEX($E218:$I218,MATCH($D$3,$B$4:$F$4,0))*K218&gt;0,K218*(K218/INDEX($E218:$I218,MATCH($D$3,$B$4:$F$4,0)))^(($H$3-$F$3)/($F$3-$D$3)),K218),K218))</f>
        <v/>
      </c>
      <c r="O218" s="20"/>
      <c r="P218" s="6" t="str">
        <f aca="false">IF(O218&lt;&gt;"",O218,Inputs!$C$90)</f>
        <v>Linear Trend</v>
      </c>
      <c r="Q218" s="37" t="str">
        <f aca="false">IF($B$3=0,"",IF(Inputs!$C$91&gt;0,ROUND(IF(ISNUMBER(IF(P218="Last Actual",K218,IF(P218="Average",L218,IF(P218="Linear Trend",M218,N218)))),IF(P218="Last Actual",K218,IF(P218="Average",L218,IF(P218="Linear Trend",M218,N218))),K218)/Inputs!$C$91,0)*Inputs!$C$91,IF(ISNUMBER(IF(P218="Last Actual",K218,IF(P218="Average",L218,IF(P218="Linear Trend",M218,N218)))),IF(P218="Last Actual",K218,IF(P218="Average",L218,IF(P218="Linear Trend",M218,N218))),K218)))</f>
        <v/>
      </c>
      <c r="R218" s="31" t="n">
        <f aca="false">'Forecast Detail'!H179</f>
        <v>0</v>
      </c>
      <c r="S218" s="8" t="str">
        <f aca="false">IF(Q218="","",IF(J218=0,"",Q218/J218-1))</f>
        <v/>
      </c>
      <c r="T218" s="38" t="str">
        <f aca="false">IF(S218="","",IF(ABS(S218)&gt;Inputs!$C$92,"REVIEW",""))</f>
        <v/>
      </c>
    </row>
    <row r="219" customFormat="false" ht="15" hidden="false" customHeight="false" outlineLevel="0" collapsed="false">
      <c r="A219" s="36" t="str">
        <f aca="false">'Forecast Detail'!D180</f>
        <v>500367 Technology Installation Expense</v>
      </c>
      <c r="B219" s="36" t="str">
        <f aca="false">'Forecast Detail'!A180</f>
        <v>Expense</v>
      </c>
      <c r="C219" s="36" t="str">
        <f aca="false">'Forecast Detail'!C180</f>
        <v>500367</v>
      </c>
      <c r="D219" s="36" t="str">
        <f aca="false">'Forecast Detail'!B180</f>
        <v>4 Administrative</v>
      </c>
      <c r="E219" s="11" t="str">
        <f aca="false">IF(ISNUMBER(B$4),SUMIFS('Actuals Import'!$B$1:$B$600,'Actuals Import'!$H$1:$H$600,$C219,'Actuals Import'!$G$1:$G$600,1),"")</f>
        <v/>
      </c>
      <c r="F219" s="11" t="str">
        <f aca="false">IF(ISNUMBER(C$4),SUMIFS('Actuals Import'!$K$1:$K$600,'Actuals Import'!$Q$1:$Q$600,$C219,'Actuals Import'!$P$1:$P$600,1),"")</f>
        <v/>
      </c>
      <c r="G219" s="11" t="str">
        <f aca="false">IF(ISNUMBER(D$4),SUMIFS('Actuals Import'!$T$1:$T$600,'Actuals Import'!$Z$1:$Z$600,$C219,'Actuals Import'!$Y$1:$Y$600,1),"")</f>
        <v/>
      </c>
      <c r="H219" s="11" t="str">
        <f aca="false">IF(ISNUMBER(E$4),SUMIFS('Actuals Import'!$AC$1:$AC$600,'Actuals Import'!$AI$1:$AI$600,$C219,'Actuals Import'!$AH$1:$AH$600,1),"")</f>
        <v/>
      </c>
      <c r="I219" s="11" t="str">
        <f aca="false">IF(ISNUMBER(F$4),SUMIFS('Actuals Import'!$AL$1:$AL$600,'Actuals Import'!$AR$1:$AR$600,$C219,'Actuals Import'!$AQ$1:$AQ$600,1),"")</f>
        <v/>
      </c>
      <c r="J219" s="31" t="n">
        <f aca="false">'Forecast Detail'!G180</f>
        <v>0</v>
      </c>
      <c r="K219" s="11" t="str">
        <f aca="false">IF($B$3=0,"",INDEX($E219:$I219,MATCH($F$3,$B$4:$F$4,0)))</f>
        <v/>
      </c>
      <c r="L219" s="11" t="str">
        <f aca="false">IF($B$3=0,"",AVERAGE($E219:$I219))</f>
        <v/>
      </c>
      <c r="M219" s="11" t="str">
        <f aca="false">IF($B$3&lt;3,"",IFERROR(FORECAST($H$3,$E219:$I219,$B$4:$F$4),""))</f>
        <v/>
      </c>
      <c r="N219" s="11" t="str">
        <f aca="false">IF($B$3&lt;2,"",IFERROR(IF(INDEX($E219:$I219,MATCH($D$3,$B$4:$F$4,0))*K219&gt;0,K219*(K219/INDEX($E219:$I219,MATCH($D$3,$B$4:$F$4,0)))^(($H$3-$F$3)/($F$3-$D$3)),K219),K219))</f>
        <v/>
      </c>
      <c r="O219" s="20"/>
      <c r="P219" s="6" t="str">
        <f aca="false">IF(O219&lt;&gt;"",O219,Inputs!$C$90)</f>
        <v>Linear Trend</v>
      </c>
      <c r="Q219" s="37" t="str">
        <f aca="false">IF($B$3=0,"",IF(Inputs!$C$91&gt;0,ROUND(IF(ISNUMBER(IF(P219="Last Actual",K219,IF(P219="Average",L219,IF(P219="Linear Trend",M219,N219)))),IF(P219="Last Actual",K219,IF(P219="Average",L219,IF(P219="Linear Trend",M219,N219))),K219)/Inputs!$C$91,0)*Inputs!$C$91,IF(ISNUMBER(IF(P219="Last Actual",K219,IF(P219="Average",L219,IF(P219="Linear Trend",M219,N219)))),IF(P219="Last Actual",K219,IF(P219="Average",L219,IF(P219="Linear Trend",M219,N219))),K219)))</f>
        <v/>
      </c>
      <c r="R219" s="31" t="n">
        <f aca="false">'Forecast Detail'!H180</f>
        <v>0</v>
      </c>
      <c r="S219" s="8" t="str">
        <f aca="false">IF(Q219="","",IF(J219=0,"",Q219/J219-1))</f>
        <v/>
      </c>
      <c r="T219" s="38" t="str">
        <f aca="false">IF(S219="","",IF(ABS(S219)&gt;Inputs!$C$92,"REVIEW",""))</f>
        <v/>
      </c>
    </row>
    <row r="220" customFormat="false" ht="15" hidden="false" customHeight="false" outlineLevel="0" collapsed="false">
      <c r="A220" s="36" t="str">
        <f aca="false">'Forecast Detail'!D181</f>
        <v>500377 Apple Lease #10</v>
      </c>
      <c r="B220" s="36" t="str">
        <f aca="false">'Forecast Detail'!A181</f>
        <v>Expense</v>
      </c>
      <c r="C220" s="36" t="str">
        <f aca="false">'Forecast Detail'!C181</f>
        <v>500377</v>
      </c>
      <c r="D220" s="36" t="str">
        <f aca="false">'Forecast Detail'!B181</f>
        <v>4 Administrative</v>
      </c>
      <c r="E220" s="11" t="str">
        <f aca="false">IF(ISNUMBER(B$4),SUMIFS('Actuals Import'!$B$1:$B$600,'Actuals Import'!$H$1:$H$600,$C220,'Actuals Import'!$G$1:$G$600,1),"")</f>
        <v/>
      </c>
      <c r="F220" s="11" t="str">
        <f aca="false">IF(ISNUMBER(C$4),SUMIFS('Actuals Import'!$K$1:$K$600,'Actuals Import'!$Q$1:$Q$600,$C220,'Actuals Import'!$P$1:$P$600,1),"")</f>
        <v/>
      </c>
      <c r="G220" s="11" t="str">
        <f aca="false">IF(ISNUMBER(D$4),SUMIFS('Actuals Import'!$T$1:$T$600,'Actuals Import'!$Z$1:$Z$600,$C220,'Actuals Import'!$Y$1:$Y$600,1),"")</f>
        <v/>
      </c>
      <c r="H220" s="11" t="str">
        <f aca="false">IF(ISNUMBER(E$4),SUMIFS('Actuals Import'!$AC$1:$AC$600,'Actuals Import'!$AI$1:$AI$600,$C220,'Actuals Import'!$AH$1:$AH$600,1),"")</f>
        <v/>
      </c>
      <c r="I220" s="11" t="str">
        <f aca="false">IF(ISNUMBER(F$4),SUMIFS('Actuals Import'!$AL$1:$AL$600,'Actuals Import'!$AR$1:$AR$600,$C220,'Actuals Import'!$AQ$1:$AQ$600,1),"")</f>
        <v/>
      </c>
      <c r="J220" s="31" t="n">
        <f aca="false">'Forecast Detail'!G181</f>
        <v>0</v>
      </c>
      <c r="K220" s="11" t="str">
        <f aca="false">IF($B$3=0,"",INDEX($E220:$I220,MATCH($F$3,$B$4:$F$4,0)))</f>
        <v/>
      </c>
      <c r="L220" s="11" t="str">
        <f aca="false">IF($B$3=0,"",AVERAGE($E220:$I220))</f>
        <v/>
      </c>
      <c r="M220" s="11" t="str">
        <f aca="false">IF($B$3&lt;3,"",IFERROR(FORECAST($H$3,$E220:$I220,$B$4:$F$4),""))</f>
        <v/>
      </c>
      <c r="N220" s="11" t="str">
        <f aca="false">IF($B$3&lt;2,"",IFERROR(IF(INDEX($E220:$I220,MATCH($D$3,$B$4:$F$4,0))*K220&gt;0,K220*(K220/INDEX($E220:$I220,MATCH($D$3,$B$4:$F$4,0)))^(($H$3-$F$3)/($F$3-$D$3)),K220),K220))</f>
        <v/>
      </c>
      <c r="O220" s="20"/>
      <c r="P220" s="6" t="str">
        <f aca="false">IF(O220&lt;&gt;"",O220,Inputs!$C$90)</f>
        <v>Linear Trend</v>
      </c>
      <c r="Q220" s="37" t="str">
        <f aca="false">IF($B$3=0,"",IF(Inputs!$C$91&gt;0,ROUND(IF(ISNUMBER(IF(P220="Last Actual",K220,IF(P220="Average",L220,IF(P220="Linear Trend",M220,N220)))),IF(P220="Last Actual",K220,IF(P220="Average",L220,IF(P220="Linear Trend",M220,N220))),K220)/Inputs!$C$91,0)*Inputs!$C$91,IF(ISNUMBER(IF(P220="Last Actual",K220,IF(P220="Average",L220,IF(P220="Linear Trend",M220,N220)))),IF(P220="Last Actual",K220,IF(P220="Average",L220,IF(P220="Linear Trend",M220,N220))),K220)))</f>
        <v/>
      </c>
      <c r="R220" s="31" t="n">
        <f aca="false">'Forecast Detail'!H181</f>
        <v>0</v>
      </c>
      <c r="S220" s="8" t="str">
        <f aca="false">IF(Q220="","",IF(J220=0,"",Q220/J220-1))</f>
        <v/>
      </c>
      <c r="T220" s="38" t="str">
        <f aca="false">IF(S220="","",IF(ABS(S220)&gt;Inputs!$C$92,"REVIEW",""))</f>
        <v/>
      </c>
    </row>
    <row r="221" customFormat="false" ht="15" hidden="false" customHeight="false" outlineLevel="0" collapsed="false">
      <c r="A221" s="36" t="str">
        <f aca="false">'Forecast Detail'!D182</f>
        <v>500378 Apple Lease #9</v>
      </c>
      <c r="B221" s="36" t="str">
        <f aca="false">'Forecast Detail'!A182</f>
        <v>Expense</v>
      </c>
      <c r="C221" s="36" t="str">
        <f aca="false">'Forecast Detail'!C182</f>
        <v>500378</v>
      </c>
      <c r="D221" s="36" t="str">
        <f aca="false">'Forecast Detail'!B182</f>
        <v>4 Administrative</v>
      </c>
      <c r="E221" s="11" t="str">
        <f aca="false">IF(ISNUMBER(B$4),SUMIFS('Actuals Import'!$B$1:$B$600,'Actuals Import'!$H$1:$H$600,$C221,'Actuals Import'!$G$1:$G$600,1),"")</f>
        <v/>
      </c>
      <c r="F221" s="11" t="str">
        <f aca="false">IF(ISNUMBER(C$4),SUMIFS('Actuals Import'!$K$1:$K$600,'Actuals Import'!$Q$1:$Q$600,$C221,'Actuals Import'!$P$1:$P$600,1),"")</f>
        <v/>
      </c>
      <c r="G221" s="11" t="str">
        <f aca="false">IF(ISNUMBER(D$4),SUMIFS('Actuals Import'!$T$1:$T$600,'Actuals Import'!$Z$1:$Z$600,$C221,'Actuals Import'!$Y$1:$Y$600,1),"")</f>
        <v/>
      </c>
      <c r="H221" s="11" t="str">
        <f aca="false">IF(ISNUMBER(E$4),SUMIFS('Actuals Import'!$AC$1:$AC$600,'Actuals Import'!$AI$1:$AI$600,$C221,'Actuals Import'!$AH$1:$AH$600,1),"")</f>
        <v/>
      </c>
      <c r="I221" s="11" t="str">
        <f aca="false">IF(ISNUMBER(F$4),SUMIFS('Actuals Import'!$AL$1:$AL$600,'Actuals Import'!$AR$1:$AR$600,$C221,'Actuals Import'!$AQ$1:$AQ$600,1),"")</f>
        <v/>
      </c>
      <c r="J221" s="31" t="n">
        <f aca="false">'Forecast Detail'!G182</f>
        <v>0</v>
      </c>
      <c r="K221" s="11" t="str">
        <f aca="false">IF($B$3=0,"",INDEX($E221:$I221,MATCH($F$3,$B$4:$F$4,0)))</f>
        <v/>
      </c>
      <c r="L221" s="11" t="str">
        <f aca="false">IF($B$3=0,"",AVERAGE($E221:$I221))</f>
        <v/>
      </c>
      <c r="M221" s="11" t="str">
        <f aca="false">IF($B$3&lt;3,"",IFERROR(FORECAST($H$3,$E221:$I221,$B$4:$F$4),""))</f>
        <v/>
      </c>
      <c r="N221" s="11" t="str">
        <f aca="false">IF($B$3&lt;2,"",IFERROR(IF(INDEX($E221:$I221,MATCH($D$3,$B$4:$F$4,0))*K221&gt;0,K221*(K221/INDEX($E221:$I221,MATCH($D$3,$B$4:$F$4,0)))^(($H$3-$F$3)/($F$3-$D$3)),K221),K221))</f>
        <v/>
      </c>
      <c r="O221" s="20"/>
      <c r="P221" s="6" t="str">
        <f aca="false">IF(O221&lt;&gt;"",O221,Inputs!$C$90)</f>
        <v>Linear Trend</v>
      </c>
      <c r="Q221" s="37" t="str">
        <f aca="false">IF($B$3=0,"",IF(Inputs!$C$91&gt;0,ROUND(IF(ISNUMBER(IF(P221="Last Actual",K221,IF(P221="Average",L221,IF(P221="Linear Trend",M221,N221)))),IF(P221="Last Actual",K221,IF(P221="Average",L221,IF(P221="Linear Trend",M221,N221))),K221)/Inputs!$C$91,0)*Inputs!$C$91,IF(ISNUMBER(IF(P221="Last Actual",K221,IF(P221="Average",L221,IF(P221="Linear Trend",M221,N221)))),IF(P221="Last Actual",K221,IF(P221="Average",L221,IF(P221="Linear Trend",M221,N221))),K221)))</f>
        <v/>
      </c>
      <c r="R221" s="31" t="n">
        <f aca="false">'Forecast Detail'!H182</f>
        <v>0</v>
      </c>
      <c r="S221" s="8" t="str">
        <f aca="false">IF(Q221="","",IF(J221=0,"",Q221/J221-1))</f>
        <v/>
      </c>
      <c r="T221" s="38" t="str">
        <f aca="false">IF(S221="","",IF(ABS(S221)&gt;Inputs!$C$92,"REVIEW",""))</f>
        <v/>
      </c>
    </row>
    <row r="222" customFormat="false" ht="15" hidden="false" customHeight="false" outlineLevel="0" collapsed="false">
      <c r="A222" s="36" t="str">
        <f aca="false">'Forecast Detail'!D183</f>
        <v>500403 Billings for Deductible for Students 1 to 1</v>
      </c>
      <c r="B222" s="36" t="str">
        <f aca="false">'Forecast Detail'!A183</f>
        <v>Expense</v>
      </c>
      <c r="C222" s="36" t="str">
        <f aca="false">'Forecast Detail'!C183</f>
        <v>500403</v>
      </c>
      <c r="D222" s="36" t="str">
        <f aca="false">'Forecast Detail'!B183</f>
        <v>4 Administrative</v>
      </c>
      <c r="E222" s="11" t="str">
        <f aca="false">IF(ISNUMBER(B$4),SUMIFS('Actuals Import'!$B$1:$B$600,'Actuals Import'!$H$1:$H$600,$C222,'Actuals Import'!$G$1:$G$600,1),"")</f>
        <v/>
      </c>
      <c r="F222" s="11" t="str">
        <f aca="false">IF(ISNUMBER(C$4),SUMIFS('Actuals Import'!$K$1:$K$600,'Actuals Import'!$Q$1:$Q$600,$C222,'Actuals Import'!$P$1:$P$600,1),"")</f>
        <v/>
      </c>
      <c r="G222" s="11" t="str">
        <f aca="false">IF(ISNUMBER(D$4),SUMIFS('Actuals Import'!$T$1:$T$600,'Actuals Import'!$Z$1:$Z$600,$C222,'Actuals Import'!$Y$1:$Y$600,1),"")</f>
        <v/>
      </c>
      <c r="H222" s="11" t="str">
        <f aca="false">IF(ISNUMBER(E$4),SUMIFS('Actuals Import'!$AC$1:$AC$600,'Actuals Import'!$AI$1:$AI$600,$C222,'Actuals Import'!$AH$1:$AH$600,1),"")</f>
        <v/>
      </c>
      <c r="I222" s="11" t="str">
        <f aca="false">IF(ISNUMBER(F$4),SUMIFS('Actuals Import'!$AL$1:$AL$600,'Actuals Import'!$AR$1:$AR$600,$C222,'Actuals Import'!$AQ$1:$AQ$600,1),"")</f>
        <v/>
      </c>
      <c r="J222" s="31" t="n">
        <f aca="false">'Forecast Detail'!G183</f>
        <v>0</v>
      </c>
      <c r="K222" s="11" t="str">
        <f aca="false">IF($B$3=0,"",INDEX($E222:$I222,MATCH($F$3,$B$4:$F$4,0)))</f>
        <v/>
      </c>
      <c r="L222" s="11" t="str">
        <f aca="false">IF($B$3=0,"",AVERAGE($E222:$I222))</f>
        <v/>
      </c>
      <c r="M222" s="11" t="str">
        <f aca="false">IF($B$3&lt;3,"",IFERROR(FORECAST($H$3,$E222:$I222,$B$4:$F$4),""))</f>
        <v/>
      </c>
      <c r="N222" s="11" t="str">
        <f aca="false">IF($B$3&lt;2,"",IFERROR(IF(INDEX($E222:$I222,MATCH($D$3,$B$4:$F$4,0))*K222&gt;0,K222*(K222/INDEX($E222:$I222,MATCH($D$3,$B$4:$F$4,0)))^(($H$3-$F$3)/($F$3-$D$3)),K222),K222))</f>
        <v/>
      </c>
      <c r="O222" s="20"/>
      <c r="P222" s="6" t="str">
        <f aca="false">IF(O222&lt;&gt;"",O222,Inputs!$C$90)</f>
        <v>Linear Trend</v>
      </c>
      <c r="Q222" s="37" t="str">
        <f aca="false">IF($B$3=0,"",IF(Inputs!$C$91&gt;0,ROUND(IF(ISNUMBER(IF(P222="Last Actual",K222,IF(P222="Average",L222,IF(P222="Linear Trend",M222,N222)))),IF(P222="Last Actual",K222,IF(P222="Average",L222,IF(P222="Linear Trend",M222,N222))),K222)/Inputs!$C$91,0)*Inputs!$C$91,IF(ISNUMBER(IF(P222="Last Actual",K222,IF(P222="Average",L222,IF(P222="Linear Trend",M222,N222)))),IF(P222="Last Actual",K222,IF(P222="Average",L222,IF(P222="Linear Trend",M222,N222))),K222)))</f>
        <v/>
      </c>
      <c r="R222" s="31" t="n">
        <f aca="false">'Forecast Detail'!H183</f>
        <v>0</v>
      </c>
      <c r="S222" s="8" t="str">
        <f aca="false">IF(Q222="","",IF(J222=0,"",Q222/J222-1))</f>
        <v/>
      </c>
      <c r="T222" s="38" t="str">
        <f aca="false">IF(S222="","",IF(ABS(S222)&gt;Inputs!$C$92,"REVIEW",""))</f>
        <v/>
      </c>
    </row>
    <row r="223" customFormat="false" ht="15" hidden="false" customHeight="false" outlineLevel="0" collapsed="false">
      <c r="A223" s="36" t="str">
        <f aca="false">'Forecast Detail'!D184</f>
        <v>500404 Technology Insurance Premiums</v>
      </c>
      <c r="B223" s="36" t="str">
        <f aca="false">'Forecast Detail'!A184</f>
        <v>Expense</v>
      </c>
      <c r="C223" s="36" t="str">
        <f aca="false">'Forecast Detail'!C184</f>
        <v>500404</v>
      </c>
      <c r="D223" s="36" t="str">
        <f aca="false">'Forecast Detail'!B184</f>
        <v>4 Administrative</v>
      </c>
      <c r="E223" s="11" t="str">
        <f aca="false">IF(ISNUMBER(B$4),SUMIFS('Actuals Import'!$B$1:$B$600,'Actuals Import'!$H$1:$H$600,$C223,'Actuals Import'!$G$1:$G$600,1),"")</f>
        <v/>
      </c>
      <c r="F223" s="11" t="str">
        <f aca="false">IF(ISNUMBER(C$4),SUMIFS('Actuals Import'!$K$1:$K$600,'Actuals Import'!$Q$1:$Q$600,$C223,'Actuals Import'!$P$1:$P$600,1),"")</f>
        <v/>
      </c>
      <c r="G223" s="11" t="str">
        <f aca="false">IF(ISNUMBER(D$4),SUMIFS('Actuals Import'!$T$1:$T$600,'Actuals Import'!$Z$1:$Z$600,$C223,'Actuals Import'!$Y$1:$Y$600,1),"")</f>
        <v/>
      </c>
      <c r="H223" s="11" t="str">
        <f aca="false">IF(ISNUMBER(E$4),SUMIFS('Actuals Import'!$AC$1:$AC$600,'Actuals Import'!$AI$1:$AI$600,$C223,'Actuals Import'!$AH$1:$AH$600,1),"")</f>
        <v/>
      </c>
      <c r="I223" s="11" t="str">
        <f aca="false">IF(ISNUMBER(F$4),SUMIFS('Actuals Import'!$AL$1:$AL$600,'Actuals Import'!$AR$1:$AR$600,$C223,'Actuals Import'!$AQ$1:$AQ$600,1),"")</f>
        <v/>
      </c>
      <c r="J223" s="31" t="n">
        <f aca="false">'Forecast Detail'!G184</f>
        <v>0</v>
      </c>
      <c r="K223" s="11" t="str">
        <f aca="false">IF($B$3=0,"",INDEX($E223:$I223,MATCH($F$3,$B$4:$F$4,0)))</f>
        <v/>
      </c>
      <c r="L223" s="11" t="str">
        <f aca="false">IF($B$3=0,"",AVERAGE($E223:$I223))</f>
        <v/>
      </c>
      <c r="M223" s="11" t="str">
        <f aca="false">IF($B$3&lt;3,"",IFERROR(FORECAST($H$3,$E223:$I223,$B$4:$F$4),""))</f>
        <v/>
      </c>
      <c r="N223" s="11" t="str">
        <f aca="false">IF($B$3&lt;2,"",IFERROR(IF(INDEX($E223:$I223,MATCH($D$3,$B$4:$F$4,0))*K223&gt;0,K223*(K223/INDEX($E223:$I223,MATCH($D$3,$B$4:$F$4,0)))^(($H$3-$F$3)/($F$3-$D$3)),K223),K223))</f>
        <v/>
      </c>
      <c r="O223" s="20"/>
      <c r="P223" s="6" t="str">
        <f aca="false">IF(O223&lt;&gt;"",O223,Inputs!$C$90)</f>
        <v>Linear Trend</v>
      </c>
      <c r="Q223" s="37" t="str">
        <f aca="false">IF($B$3=0,"",IF(Inputs!$C$91&gt;0,ROUND(IF(ISNUMBER(IF(P223="Last Actual",K223,IF(P223="Average",L223,IF(P223="Linear Trend",M223,N223)))),IF(P223="Last Actual",K223,IF(P223="Average",L223,IF(P223="Linear Trend",M223,N223))),K223)/Inputs!$C$91,0)*Inputs!$C$91,IF(ISNUMBER(IF(P223="Last Actual",K223,IF(P223="Average",L223,IF(P223="Linear Trend",M223,N223)))),IF(P223="Last Actual",K223,IF(P223="Average",L223,IF(P223="Linear Trend",M223,N223))),K223)))</f>
        <v/>
      </c>
      <c r="R223" s="31" t="n">
        <f aca="false">'Forecast Detail'!H184</f>
        <v>0</v>
      </c>
      <c r="S223" s="8" t="str">
        <f aca="false">IF(Q223="","",IF(J223=0,"",Q223/J223-1))</f>
        <v/>
      </c>
      <c r="T223" s="38" t="str">
        <f aca="false">IF(S223="","",IF(ABS(S223)&gt;Inputs!$C$92,"REVIEW",""))</f>
        <v/>
      </c>
    </row>
    <row r="224" customFormat="false" ht="15" hidden="false" customHeight="false" outlineLevel="0" collapsed="false">
      <c r="A224" s="36" t="str">
        <f aca="false">'Forecast Detail'!D185</f>
        <v>5 Athletic Expenses</v>
      </c>
      <c r="B224" s="36" t="str">
        <f aca="false">'Forecast Detail'!A185</f>
        <v>Expense</v>
      </c>
      <c r="C224" s="36" t="str">
        <f aca="false">'Forecast Detail'!C185</f>
        <v>5 Athletic Expenses</v>
      </c>
      <c r="D224" s="36" t="str">
        <f aca="false">'Forecast Detail'!B185</f>
        <v>5 Athletic Expenses</v>
      </c>
      <c r="E224" s="11" t="str">
        <f aca="false">IF(ISNUMBER(B$4),SUMIFS('Actuals Import'!$B$1:$B$600,'Actuals Import'!$H$1:$H$600,$C224,'Actuals Import'!$G$1:$G$600,1),"")</f>
        <v/>
      </c>
      <c r="F224" s="11" t="str">
        <f aca="false">IF(ISNUMBER(C$4),SUMIFS('Actuals Import'!$K$1:$K$600,'Actuals Import'!$Q$1:$Q$600,$C224,'Actuals Import'!$P$1:$P$600,1),"")</f>
        <v/>
      </c>
      <c r="G224" s="11" t="str">
        <f aca="false">IF(ISNUMBER(D$4),SUMIFS('Actuals Import'!$T$1:$T$600,'Actuals Import'!$Z$1:$Z$600,$C224,'Actuals Import'!$Y$1:$Y$600,1),"")</f>
        <v/>
      </c>
      <c r="H224" s="11" t="str">
        <f aca="false">IF(ISNUMBER(E$4),SUMIFS('Actuals Import'!$AC$1:$AC$600,'Actuals Import'!$AI$1:$AI$600,$C224,'Actuals Import'!$AH$1:$AH$600,1),"")</f>
        <v/>
      </c>
      <c r="I224" s="11" t="str">
        <f aca="false">IF(ISNUMBER(F$4),SUMIFS('Actuals Import'!$AL$1:$AL$600,'Actuals Import'!$AR$1:$AR$600,$C224,'Actuals Import'!$AQ$1:$AQ$600,1),"")</f>
        <v/>
      </c>
      <c r="J224" s="31" t="n">
        <f aca="false">'Forecast Detail'!G185</f>
        <v>171263</v>
      </c>
      <c r="K224" s="11" t="str">
        <f aca="false">IF($B$3=0,"",INDEX($E224:$I224,MATCH($F$3,$B$4:$F$4,0)))</f>
        <v/>
      </c>
      <c r="L224" s="11" t="str">
        <f aca="false">IF($B$3=0,"",AVERAGE($E224:$I224))</f>
        <v/>
      </c>
      <c r="M224" s="11" t="str">
        <f aca="false">IF($B$3&lt;3,"",IFERROR(FORECAST($H$3,$E224:$I224,$B$4:$F$4),""))</f>
        <v/>
      </c>
      <c r="N224" s="11" t="str">
        <f aca="false">IF($B$3&lt;2,"",IFERROR(IF(INDEX($E224:$I224,MATCH($D$3,$B$4:$F$4,0))*K224&gt;0,K224*(K224/INDEX($E224:$I224,MATCH($D$3,$B$4:$F$4,0)))^(($H$3-$F$3)/($F$3-$D$3)),K224),K224))</f>
        <v/>
      </c>
      <c r="O224" s="20"/>
      <c r="P224" s="6" t="str">
        <f aca="false">IF(O224&lt;&gt;"",O224,Inputs!$C$90)</f>
        <v>Linear Trend</v>
      </c>
      <c r="Q224" s="37" t="str">
        <f aca="false">IF($B$3=0,"",IF(Inputs!$C$91&gt;0,ROUND(IF(ISNUMBER(IF(P224="Last Actual",K224,IF(P224="Average",L224,IF(P224="Linear Trend",M224,N224)))),IF(P224="Last Actual",K224,IF(P224="Average",L224,IF(P224="Linear Trend",M224,N224))),K224)/Inputs!$C$91,0)*Inputs!$C$91,IF(ISNUMBER(IF(P224="Last Actual",K224,IF(P224="Average",L224,IF(P224="Linear Trend",M224,N224)))),IF(P224="Last Actual",K224,IF(P224="Average",L224,IF(P224="Linear Trend",M224,N224))),K224)))</f>
        <v/>
      </c>
      <c r="R224" s="31" t="n">
        <f aca="false">'Forecast Detail'!H185</f>
        <v>176400.89</v>
      </c>
      <c r="S224" s="8" t="str">
        <f aca="false">IF(Q224="","",IF(J224=0,"",Q224/J224-1))</f>
        <v/>
      </c>
      <c r="T224" s="38" t="str">
        <f aca="false">IF(S224="","",IF(ABS(S224)&gt;Inputs!$C$92,"REVIEW",""))</f>
        <v/>
      </c>
    </row>
    <row r="225" customFormat="false" ht="15" hidden="false" customHeight="false" outlineLevel="0" collapsed="false">
      <c r="A225" s="36" t="str">
        <f aca="false">'Forecast Detail'!D186</f>
        <v>500057 Summer Camp Exp DO NOT USE</v>
      </c>
      <c r="B225" s="36" t="str">
        <f aca="false">'Forecast Detail'!A186</f>
        <v>Expense</v>
      </c>
      <c r="C225" s="36" t="str">
        <f aca="false">'Forecast Detail'!C186</f>
        <v>500057</v>
      </c>
      <c r="D225" s="36" t="str">
        <f aca="false">'Forecast Detail'!B186</f>
        <v>5 Athletic Expenses</v>
      </c>
      <c r="E225" s="11" t="str">
        <f aca="false">IF(ISNUMBER(B$4),SUMIFS('Actuals Import'!$B$1:$B$600,'Actuals Import'!$H$1:$H$600,$C225,'Actuals Import'!$G$1:$G$600,1),"")</f>
        <v/>
      </c>
      <c r="F225" s="11" t="str">
        <f aca="false">IF(ISNUMBER(C$4),SUMIFS('Actuals Import'!$K$1:$K$600,'Actuals Import'!$Q$1:$Q$600,$C225,'Actuals Import'!$P$1:$P$600,1),"")</f>
        <v/>
      </c>
      <c r="G225" s="11" t="str">
        <f aca="false">IF(ISNUMBER(D$4),SUMIFS('Actuals Import'!$T$1:$T$600,'Actuals Import'!$Z$1:$Z$600,$C225,'Actuals Import'!$Y$1:$Y$600,1),"")</f>
        <v/>
      </c>
      <c r="H225" s="11" t="str">
        <f aca="false">IF(ISNUMBER(E$4),SUMIFS('Actuals Import'!$AC$1:$AC$600,'Actuals Import'!$AI$1:$AI$600,$C225,'Actuals Import'!$AH$1:$AH$600,1),"")</f>
        <v/>
      </c>
      <c r="I225" s="11" t="str">
        <f aca="false">IF(ISNUMBER(F$4),SUMIFS('Actuals Import'!$AL$1:$AL$600,'Actuals Import'!$AR$1:$AR$600,$C225,'Actuals Import'!$AQ$1:$AQ$600,1),"")</f>
        <v/>
      </c>
      <c r="J225" s="31" t="n">
        <f aca="false">'Forecast Detail'!G186</f>
        <v>0</v>
      </c>
      <c r="K225" s="11" t="str">
        <f aca="false">IF($B$3=0,"",INDEX($E225:$I225,MATCH($F$3,$B$4:$F$4,0)))</f>
        <v/>
      </c>
      <c r="L225" s="11" t="str">
        <f aca="false">IF($B$3=0,"",AVERAGE($E225:$I225))</f>
        <v/>
      </c>
      <c r="M225" s="11" t="str">
        <f aca="false">IF($B$3&lt;3,"",IFERROR(FORECAST($H$3,$E225:$I225,$B$4:$F$4),""))</f>
        <v/>
      </c>
      <c r="N225" s="11" t="str">
        <f aca="false">IF($B$3&lt;2,"",IFERROR(IF(INDEX($E225:$I225,MATCH($D$3,$B$4:$F$4,0))*K225&gt;0,K225*(K225/INDEX($E225:$I225,MATCH($D$3,$B$4:$F$4,0)))^(($H$3-$F$3)/($F$3-$D$3)),K225),K225))</f>
        <v/>
      </c>
      <c r="O225" s="20"/>
      <c r="P225" s="6" t="str">
        <f aca="false">IF(O225&lt;&gt;"",O225,Inputs!$C$90)</f>
        <v>Linear Trend</v>
      </c>
      <c r="Q225" s="37" t="str">
        <f aca="false">IF($B$3=0,"",IF(Inputs!$C$91&gt;0,ROUND(IF(ISNUMBER(IF(P225="Last Actual",K225,IF(P225="Average",L225,IF(P225="Linear Trend",M225,N225)))),IF(P225="Last Actual",K225,IF(P225="Average",L225,IF(P225="Linear Trend",M225,N225))),K225)/Inputs!$C$91,0)*Inputs!$C$91,IF(ISNUMBER(IF(P225="Last Actual",K225,IF(P225="Average",L225,IF(P225="Linear Trend",M225,N225)))),IF(P225="Last Actual",K225,IF(P225="Average",L225,IF(P225="Linear Trend",M225,N225))),K225)))</f>
        <v/>
      </c>
      <c r="R225" s="31" t="n">
        <f aca="false">'Forecast Detail'!H186</f>
        <v>0</v>
      </c>
      <c r="S225" s="8" t="str">
        <f aca="false">IF(Q225="","",IF(J225=0,"",Q225/J225-1))</f>
        <v/>
      </c>
      <c r="T225" s="38" t="str">
        <f aca="false">IF(S225="","",IF(ABS(S225)&gt;Inputs!$C$92,"REVIEW",""))</f>
        <v/>
      </c>
    </row>
    <row r="226" customFormat="false" ht="15" hidden="false" customHeight="false" outlineLevel="0" collapsed="false">
      <c r="A226" s="36" t="str">
        <f aca="false">'Forecast Detail'!D187</f>
        <v>Development Income</v>
      </c>
      <c r="B226" s="36" t="str">
        <f aca="false">'Forecast Detail'!A187</f>
        <v>Revenue</v>
      </c>
      <c r="C226" s="36" t="str">
        <f aca="false">'Forecast Detail'!C187</f>
        <v>Development Income</v>
      </c>
      <c r="D226" s="36" t="str">
        <f aca="false">'Forecast Detail'!B187</f>
        <v>Other Revenue</v>
      </c>
      <c r="E226" s="11" t="str">
        <f aca="false">IF(ISNUMBER(B$4),SUMIFS('Actuals Import'!$B$1:$B$600,'Actuals Import'!$H$1:$H$600,$C226,'Actuals Import'!$G$1:$G$600,1),"")</f>
        <v/>
      </c>
      <c r="F226" s="11" t="str">
        <f aca="false">IF(ISNUMBER(C$4),SUMIFS('Actuals Import'!$K$1:$K$600,'Actuals Import'!$Q$1:$Q$600,$C226,'Actuals Import'!$P$1:$P$600,1),"")</f>
        <v/>
      </c>
      <c r="G226" s="11" t="str">
        <f aca="false">IF(ISNUMBER(D$4),SUMIFS('Actuals Import'!$T$1:$T$600,'Actuals Import'!$Z$1:$Z$600,$C226,'Actuals Import'!$Y$1:$Y$600,1),"")</f>
        <v/>
      </c>
      <c r="H226" s="11" t="str">
        <f aca="false">IF(ISNUMBER(E$4),SUMIFS('Actuals Import'!$AC$1:$AC$600,'Actuals Import'!$AI$1:$AI$600,$C226,'Actuals Import'!$AH$1:$AH$600,1),"")</f>
        <v/>
      </c>
      <c r="I226" s="11" t="str">
        <f aca="false">IF(ISNUMBER(F$4),SUMIFS('Actuals Import'!$AL$1:$AL$600,'Actuals Import'!$AR$1:$AR$600,$C226,'Actuals Import'!$AQ$1:$AQ$600,1),"")</f>
        <v/>
      </c>
      <c r="J226" s="31" t="n">
        <f aca="false">'Forecast Detail'!G187</f>
        <v>0</v>
      </c>
      <c r="K226" s="11" t="str">
        <f aca="false">IF($B$3=0,"",INDEX($E226:$I226,MATCH($F$3,$B$4:$F$4,0)))</f>
        <v/>
      </c>
      <c r="L226" s="11" t="str">
        <f aca="false">IF($B$3=0,"",AVERAGE($E226:$I226))</f>
        <v/>
      </c>
      <c r="M226" s="11" t="str">
        <f aca="false">IF($B$3&lt;3,"",IFERROR(FORECAST($H$3,$E226:$I226,$B$4:$F$4),""))</f>
        <v/>
      </c>
      <c r="N226" s="11" t="str">
        <f aca="false">IF($B$3&lt;2,"",IFERROR(IF(INDEX($E226:$I226,MATCH($D$3,$B$4:$F$4,0))*K226&gt;0,K226*(K226/INDEX($E226:$I226,MATCH($D$3,$B$4:$F$4,0)))^(($H$3-$F$3)/($F$3-$D$3)),K226),K226))</f>
        <v/>
      </c>
      <c r="O226" s="20"/>
      <c r="P226" s="6" t="str">
        <f aca="false">IF(O226&lt;&gt;"",O226,Inputs!$C$90)</f>
        <v>Linear Trend</v>
      </c>
      <c r="Q226" s="37" t="str">
        <f aca="false">IF($B$3=0,"",IF(Inputs!$C$91&gt;0,ROUND(IF(ISNUMBER(IF(P226="Last Actual",K226,IF(P226="Average",L226,IF(P226="Linear Trend",M226,N226)))),IF(P226="Last Actual",K226,IF(P226="Average",L226,IF(P226="Linear Trend",M226,N226))),K226)/Inputs!$C$91,0)*Inputs!$C$91,IF(ISNUMBER(IF(P226="Last Actual",K226,IF(P226="Average",L226,IF(P226="Linear Trend",M226,N226)))),IF(P226="Last Actual",K226,IF(P226="Average",L226,IF(P226="Linear Trend",M226,N226))),K226)))</f>
        <v/>
      </c>
      <c r="R226" s="31" t="n">
        <f aca="false">'Forecast Detail'!H187</f>
        <v>0</v>
      </c>
      <c r="S226" s="8" t="str">
        <f aca="false">IF(Q226="","",IF(J226=0,"",Q226/J226-1))</f>
        <v/>
      </c>
      <c r="T226" s="38" t="str">
        <f aca="false">IF(S226="","",IF(ABS(S226)&gt;Inputs!$C$92,"REVIEW",""))</f>
        <v/>
      </c>
    </row>
    <row r="227" customFormat="false" ht="15" hidden="false" customHeight="false" outlineLevel="0" collapsed="false">
      <c r="A227" s="36" t="str">
        <f aca="false">'Forecast Detail'!D188</f>
        <v>Development Expenses</v>
      </c>
      <c r="B227" s="36" t="str">
        <f aca="false">'Forecast Detail'!A188</f>
        <v>Expense</v>
      </c>
      <c r="C227" s="36" t="str">
        <f aca="false">'Forecast Detail'!C188</f>
        <v>Development Expenses</v>
      </c>
      <c r="D227" s="36" t="str">
        <f aca="false">'Forecast Detail'!B188</f>
        <v>Other Expense</v>
      </c>
      <c r="E227" s="11" t="str">
        <f aca="false">IF(ISNUMBER(B$4),SUMIFS('Actuals Import'!$B$1:$B$600,'Actuals Import'!$H$1:$H$600,$C227,'Actuals Import'!$G$1:$G$600,1),"")</f>
        <v/>
      </c>
      <c r="F227" s="11" t="str">
        <f aca="false">IF(ISNUMBER(C$4),SUMIFS('Actuals Import'!$K$1:$K$600,'Actuals Import'!$Q$1:$Q$600,$C227,'Actuals Import'!$P$1:$P$600,1),"")</f>
        <v/>
      </c>
      <c r="G227" s="11" t="str">
        <f aca="false">IF(ISNUMBER(D$4),SUMIFS('Actuals Import'!$T$1:$T$600,'Actuals Import'!$Z$1:$Z$600,$C227,'Actuals Import'!$Y$1:$Y$600,1),"")</f>
        <v/>
      </c>
      <c r="H227" s="11" t="str">
        <f aca="false">IF(ISNUMBER(E$4),SUMIFS('Actuals Import'!$AC$1:$AC$600,'Actuals Import'!$AI$1:$AI$600,$C227,'Actuals Import'!$AH$1:$AH$600,1),"")</f>
        <v/>
      </c>
      <c r="I227" s="11" t="str">
        <f aca="false">IF(ISNUMBER(F$4),SUMIFS('Actuals Import'!$AL$1:$AL$600,'Actuals Import'!$AR$1:$AR$600,$C227,'Actuals Import'!$AQ$1:$AQ$600,1),"")</f>
        <v/>
      </c>
      <c r="J227" s="31" t="n">
        <f aca="false">'Forecast Detail'!G188</f>
        <v>0</v>
      </c>
      <c r="K227" s="11" t="str">
        <f aca="false">IF($B$3=0,"",INDEX($E227:$I227,MATCH($F$3,$B$4:$F$4,0)))</f>
        <v/>
      </c>
      <c r="L227" s="11" t="str">
        <f aca="false">IF($B$3=0,"",AVERAGE($E227:$I227))</f>
        <v/>
      </c>
      <c r="M227" s="11" t="str">
        <f aca="false">IF($B$3&lt;3,"",IFERROR(FORECAST($H$3,$E227:$I227,$B$4:$F$4),""))</f>
        <v/>
      </c>
      <c r="N227" s="11" t="str">
        <f aca="false">IF($B$3&lt;2,"",IFERROR(IF(INDEX($E227:$I227,MATCH($D$3,$B$4:$F$4,0))*K227&gt;0,K227*(K227/INDEX($E227:$I227,MATCH($D$3,$B$4:$F$4,0)))^(($H$3-$F$3)/($F$3-$D$3)),K227),K227))</f>
        <v/>
      </c>
      <c r="O227" s="20"/>
      <c r="P227" s="6" t="str">
        <f aca="false">IF(O227&lt;&gt;"",O227,Inputs!$C$90)</f>
        <v>Linear Trend</v>
      </c>
      <c r="Q227" s="37" t="str">
        <f aca="false">IF($B$3=0,"",IF(Inputs!$C$91&gt;0,ROUND(IF(ISNUMBER(IF(P227="Last Actual",K227,IF(P227="Average",L227,IF(P227="Linear Trend",M227,N227)))),IF(P227="Last Actual",K227,IF(P227="Average",L227,IF(P227="Linear Trend",M227,N227))),K227)/Inputs!$C$91,0)*Inputs!$C$91,IF(ISNUMBER(IF(P227="Last Actual",K227,IF(P227="Average",L227,IF(P227="Linear Trend",M227,N227)))),IF(P227="Last Actual",K227,IF(P227="Average",L227,IF(P227="Linear Trend",M227,N227))),K227)))</f>
        <v/>
      </c>
      <c r="R227" s="31" t="n">
        <f aca="false">'Forecast Detail'!H188</f>
        <v>0</v>
      </c>
      <c r="S227" s="8" t="str">
        <f aca="false">IF(Q227="","",IF(J227=0,"",Q227/J227-1))</f>
        <v/>
      </c>
      <c r="T227" s="38" t="str">
        <f aca="false">IF(S227="","",IF(ABS(S227)&gt;Inputs!$C$92,"REVIEW",""))</f>
        <v/>
      </c>
    </row>
  </sheetData>
  <autoFilter ref="A46:T227"/>
  <conditionalFormatting sqref="B42:K43">
    <cfRule type="expression" priority="2" aboveAverage="0" equalAverage="0" bottom="0" percent="0" rank="0" text="" dxfId="11">
      <formula>ISNA(B42)</formula>
    </cfRule>
  </conditionalFormatting>
  <dataValidations count="1">
    <dataValidation allowBlank="true" errorStyle="stop" operator="between" showDropDown="false" showErrorMessage="false" showInputMessage="false" sqref="O47:O227" type="list">
      <formula1>"Last Actual,Average,Linear Trend,Growth"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1" min="2" style="0" width="11.5"/>
  </cols>
  <sheetData>
    <row r="1" customFormat="false" ht="17.35" hidden="false" customHeight="false" outlineLevel="0" collapsed="false">
      <c r="A1" s="1" t="s">
        <v>569</v>
      </c>
    </row>
    <row r="2" customFormat="false" ht="15" hidden="false" customHeight="false" outlineLevel="0" collapsed="false">
      <c r="A2" s="4" t="s">
        <v>570</v>
      </c>
      <c r="B2" s="39" t="n">
        <f aca="false">EOMONTH(Inputs!$C$6,0)</f>
        <v>46234</v>
      </c>
      <c r="C2" s="39" t="n">
        <f aca="false">EOMONTH(B2,1)</f>
        <v>46265</v>
      </c>
      <c r="D2" s="39" t="n">
        <f aca="false">EOMONTH(C2,1)</f>
        <v>46295</v>
      </c>
      <c r="E2" s="39" t="n">
        <f aca="false">EOMONTH(D2,1)</f>
        <v>46326</v>
      </c>
      <c r="F2" s="39" t="n">
        <f aca="false">EOMONTH(E2,1)</f>
        <v>46356</v>
      </c>
      <c r="G2" s="39" t="n">
        <f aca="false">EOMONTH(F2,1)</f>
        <v>46387</v>
      </c>
      <c r="H2" s="39" t="n">
        <f aca="false">EOMONTH(G2,1)</f>
        <v>46418</v>
      </c>
      <c r="I2" s="39" t="n">
        <f aca="false">EOMONTH(H2,1)</f>
        <v>46446</v>
      </c>
      <c r="J2" s="39" t="n">
        <f aca="false">EOMONTH(I2,1)</f>
        <v>46477</v>
      </c>
      <c r="K2" s="39" t="n">
        <f aca="false">EOMONTH(J2,1)</f>
        <v>46507</v>
      </c>
      <c r="L2" s="39" t="n">
        <f aca="false">EOMONTH(K2,1)</f>
        <v>46538</v>
      </c>
      <c r="M2" s="39" t="n">
        <f aca="false">EOMONTH(L2,1)</f>
        <v>46568</v>
      </c>
      <c r="N2" s="39" t="n">
        <f aca="false">EOMONTH(M2,1)</f>
        <v>46599</v>
      </c>
      <c r="O2" s="39" t="n">
        <f aca="false">EOMONTH(N2,1)</f>
        <v>46630</v>
      </c>
      <c r="P2" s="39" t="n">
        <f aca="false">EOMONTH(O2,1)</f>
        <v>46660</v>
      </c>
      <c r="Q2" s="39" t="n">
        <f aca="false">EOMONTH(P2,1)</f>
        <v>46691</v>
      </c>
      <c r="R2" s="39" t="n">
        <f aca="false">EOMONTH(Q2,1)</f>
        <v>46721</v>
      </c>
      <c r="S2" s="39" t="n">
        <f aca="false">EOMONTH(R2,1)</f>
        <v>46752</v>
      </c>
      <c r="T2" s="39" t="n">
        <f aca="false">EOMONTH(S2,1)</f>
        <v>46783</v>
      </c>
      <c r="U2" s="39" t="n">
        <f aca="false">EOMONTH(T2,1)</f>
        <v>46812</v>
      </c>
      <c r="V2" s="39" t="n">
        <f aca="false">EOMONTH(U2,1)</f>
        <v>46843</v>
      </c>
      <c r="W2" s="39" t="n">
        <f aca="false">EOMONTH(V2,1)</f>
        <v>46873</v>
      </c>
      <c r="X2" s="39" t="n">
        <f aca="false">EOMONTH(W2,1)</f>
        <v>46904</v>
      </c>
      <c r="Y2" s="39" t="n">
        <f aca="false">EOMONTH(X2,1)</f>
        <v>46934</v>
      </c>
      <c r="Z2" s="39" t="n">
        <f aca="false">EOMONTH(Y2,1)</f>
        <v>46965</v>
      </c>
      <c r="AA2" s="39" t="n">
        <f aca="false">EOMONTH(Z2,1)</f>
        <v>46996</v>
      </c>
      <c r="AB2" s="39" t="n">
        <f aca="false">EOMONTH(AA2,1)</f>
        <v>47026</v>
      </c>
      <c r="AC2" s="39" t="n">
        <f aca="false">EOMONTH(AB2,1)</f>
        <v>47057</v>
      </c>
      <c r="AD2" s="39" t="n">
        <f aca="false">EOMONTH(AC2,1)</f>
        <v>47087</v>
      </c>
      <c r="AE2" s="39" t="n">
        <f aca="false">EOMONTH(AD2,1)</f>
        <v>47118</v>
      </c>
      <c r="AF2" s="39" t="n">
        <f aca="false">EOMONTH(AE2,1)</f>
        <v>47149</v>
      </c>
      <c r="AG2" s="39" t="n">
        <f aca="false">EOMONTH(AF2,1)</f>
        <v>47177</v>
      </c>
      <c r="AH2" s="39" t="n">
        <f aca="false">EOMONTH(AG2,1)</f>
        <v>47208</v>
      </c>
      <c r="AI2" s="39" t="n">
        <f aca="false">EOMONTH(AH2,1)</f>
        <v>47238</v>
      </c>
      <c r="AJ2" s="39" t="n">
        <f aca="false">EOMONTH(AI2,1)</f>
        <v>47269</v>
      </c>
      <c r="AK2" s="39" t="n">
        <f aca="false">EOMONTH(AJ2,1)</f>
        <v>47299</v>
      </c>
      <c r="AL2" s="39" t="n">
        <f aca="false">EOMONTH(AK2,1)</f>
        <v>47330</v>
      </c>
      <c r="AM2" s="39" t="n">
        <f aca="false">EOMONTH(AL2,1)</f>
        <v>47361</v>
      </c>
      <c r="AN2" s="39" t="n">
        <f aca="false">EOMONTH(AM2,1)</f>
        <v>47391</v>
      </c>
      <c r="AO2" s="39" t="n">
        <f aca="false">EOMONTH(AN2,1)</f>
        <v>47422</v>
      </c>
      <c r="AP2" s="39" t="n">
        <f aca="false">EOMONTH(AO2,1)</f>
        <v>47452</v>
      </c>
      <c r="AQ2" s="39" t="n">
        <f aca="false">EOMONTH(AP2,1)</f>
        <v>47483</v>
      </c>
      <c r="AR2" s="39" t="n">
        <f aca="false">EOMONTH(AQ2,1)</f>
        <v>47514</v>
      </c>
      <c r="AS2" s="39" t="n">
        <f aca="false">EOMONTH(AR2,1)</f>
        <v>47542</v>
      </c>
      <c r="AT2" s="39" t="n">
        <f aca="false">EOMONTH(AS2,1)</f>
        <v>47573</v>
      </c>
      <c r="AU2" s="39" t="n">
        <f aca="false">EOMONTH(AT2,1)</f>
        <v>47603</v>
      </c>
      <c r="AV2" s="39" t="n">
        <f aca="false">EOMONTH(AU2,1)</f>
        <v>47634</v>
      </c>
      <c r="AW2" s="39" t="n">
        <f aca="false">EOMONTH(AV2,1)</f>
        <v>47664</v>
      </c>
      <c r="AX2" s="39" t="n">
        <f aca="false">EOMONTH(AW2,1)</f>
        <v>47695</v>
      </c>
      <c r="AY2" s="39" t="n">
        <f aca="false">EOMONTH(AX2,1)</f>
        <v>47726</v>
      </c>
      <c r="AZ2" s="39" t="n">
        <f aca="false">EOMONTH(AY2,1)</f>
        <v>47756</v>
      </c>
      <c r="BA2" s="39" t="n">
        <f aca="false">EOMONTH(AZ2,1)</f>
        <v>47787</v>
      </c>
      <c r="BB2" s="39" t="n">
        <f aca="false">EOMONTH(BA2,1)</f>
        <v>47817</v>
      </c>
      <c r="BC2" s="39" t="n">
        <f aca="false">EOMONTH(BB2,1)</f>
        <v>47848</v>
      </c>
      <c r="BD2" s="39" t="n">
        <f aca="false">EOMONTH(BC2,1)</f>
        <v>47879</v>
      </c>
      <c r="BE2" s="39" t="n">
        <f aca="false">EOMONTH(BD2,1)</f>
        <v>47907</v>
      </c>
      <c r="BF2" s="39" t="n">
        <f aca="false">EOMONTH(BE2,1)</f>
        <v>47938</v>
      </c>
      <c r="BG2" s="39" t="n">
        <f aca="false">EOMONTH(BF2,1)</f>
        <v>47968</v>
      </c>
      <c r="BH2" s="39" t="n">
        <f aca="false">EOMONTH(BG2,1)</f>
        <v>47999</v>
      </c>
      <c r="BI2" s="39" t="n">
        <f aca="false">EOMONTH(BH2,1)</f>
        <v>48029</v>
      </c>
    </row>
    <row r="3" customFormat="false" ht="15" hidden="false" customHeight="false" outlineLevel="0" collapsed="false">
      <c r="A3" s="6" t="s">
        <v>571</v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6" t="n">
        <v>1</v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2</v>
      </c>
      <c r="O3" s="6" t="n">
        <v>2</v>
      </c>
      <c r="P3" s="6" t="n">
        <v>2</v>
      </c>
      <c r="Q3" s="6" t="n">
        <v>2</v>
      </c>
      <c r="R3" s="6" t="n">
        <v>2</v>
      </c>
      <c r="S3" s="6" t="n">
        <v>2</v>
      </c>
      <c r="T3" s="6" t="n">
        <v>2</v>
      </c>
      <c r="U3" s="6" t="n">
        <v>2</v>
      </c>
      <c r="V3" s="6" t="n">
        <v>2</v>
      </c>
      <c r="W3" s="6" t="n">
        <v>2</v>
      </c>
      <c r="X3" s="6" t="n">
        <v>2</v>
      </c>
      <c r="Y3" s="6" t="n">
        <v>2</v>
      </c>
      <c r="Z3" s="6" t="n">
        <v>3</v>
      </c>
      <c r="AA3" s="6" t="n">
        <v>3</v>
      </c>
      <c r="AB3" s="6" t="n">
        <v>3</v>
      </c>
      <c r="AC3" s="6" t="n">
        <v>3</v>
      </c>
      <c r="AD3" s="6" t="n">
        <v>3</v>
      </c>
      <c r="AE3" s="6" t="n">
        <v>3</v>
      </c>
      <c r="AF3" s="6" t="n">
        <v>3</v>
      </c>
      <c r="AG3" s="6" t="n">
        <v>3</v>
      </c>
      <c r="AH3" s="6" t="n">
        <v>3</v>
      </c>
      <c r="AI3" s="6" t="n">
        <v>3</v>
      </c>
      <c r="AJ3" s="6" t="n">
        <v>3</v>
      </c>
      <c r="AK3" s="6" t="n">
        <v>3</v>
      </c>
      <c r="AL3" s="6" t="n">
        <v>4</v>
      </c>
      <c r="AM3" s="6" t="n">
        <v>4</v>
      </c>
      <c r="AN3" s="6" t="n">
        <v>4</v>
      </c>
      <c r="AO3" s="6" t="n">
        <v>4</v>
      </c>
      <c r="AP3" s="6" t="n">
        <v>4</v>
      </c>
      <c r="AQ3" s="6" t="n">
        <v>4</v>
      </c>
      <c r="AR3" s="6" t="n">
        <v>4</v>
      </c>
      <c r="AS3" s="6" t="n">
        <v>4</v>
      </c>
      <c r="AT3" s="6" t="n">
        <v>4</v>
      </c>
      <c r="AU3" s="6" t="n">
        <v>4</v>
      </c>
      <c r="AV3" s="6" t="n">
        <v>4</v>
      </c>
      <c r="AW3" s="6" t="n">
        <v>4</v>
      </c>
      <c r="AX3" s="6" t="n">
        <v>5</v>
      </c>
      <c r="AY3" s="6" t="n">
        <v>5</v>
      </c>
      <c r="AZ3" s="6" t="n">
        <v>5</v>
      </c>
      <c r="BA3" s="6" t="n">
        <v>5</v>
      </c>
      <c r="BB3" s="6" t="n">
        <v>5</v>
      </c>
      <c r="BC3" s="6" t="n">
        <v>5</v>
      </c>
      <c r="BD3" s="6" t="n">
        <v>5</v>
      </c>
      <c r="BE3" s="6" t="n">
        <v>5</v>
      </c>
      <c r="BF3" s="6" t="n">
        <v>5</v>
      </c>
      <c r="BG3" s="6" t="n">
        <v>5</v>
      </c>
      <c r="BH3" s="6" t="n">
        <v>5</v>
      </c>
      <c r="BI3" s="6" t="n">
        <v>5</v>
      </c>
    </row>
    <row r="4" customFormat="false" ht="15" hidden="false" customHeight="false" outlineLevel="0" collapsed="false">
      <c r="A4" s="6" t="s">
        <v>572</v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  <c r="N4" s="6" t="n">
        <v>1</v>
      </c>
      <c r="O4" s="6" t="n">
        <v>2</v>
      </c>
      <c r="P4" s="6" t="n">
        <v>3</v>
      </c>
      <c r="Q4" s="6" t="n">
        <v>4</v>
      </c>
      <c r="R4" s="6" t="n">
        <v>5</v>
      </c>
      <c r="S4" s="6" t="n">
        <v>6</v>
      </c>
      <c r="T4" s="6" t="n">
        <v>7</v>
      </c>
      <c r="U4" s="6" t="n">
        <v>8</v>
      </c>
      <c r="V4" s="6" t="n">
        <v>9</v>
      </c>
      <c r="W4" s="6" t="n">
        <v>10</v>
      </c>
      <c r="X4" s="6" t="n">
        <v>11</v>
      </c>
      <c r="Y4" s="6" t="n">
        <v>12</v>
      </c>
      <c r="Z4" s="6" t="n">
        <v>1</v>
      </c>
      <c r="AA4" s="6" t="n">
        <v>2</v>
      </c>
      <c r="AB4" s="6" t="n">
        <v>3</v>
      </c>
      <c r="AC4" s="6" t="n">
        <v>4</v>
      </c>
      <c r="AD4" s="6" t="n">
        <v>5</v>
      </c>
      <c r="AE4" s="6" t="n">
        <v>6</v>
      </c>
      <c r="AF4" s="6" t="n">
        <v>7</v>
      </c>
      <c r="AG4" s="6" t="n">
        <v>8</v>
      </c>
      <c r="AH4" s="6" t="n">
        <v>9</v>
      </c>
      <c r="AI4" s="6" t="n">
        <v>10</v>
      </c>
      <c r="AJ4" s="6" t="n">
        <v>11</v>
      </c>
      <c r="AK4" s="6" t="n">
        <v>12</v>
      </c>
      <c r="AL4" s="6" t="n">
        <v>1</v>
      </c>
      <c r="AM4" s="6" t="n">
        <v>2</v>
      </c>
      <c r="AN4" s="6" t="n">
        <v>3</v>
      </c>
      <c r="AO4" s="6" t="n">
        <v>4</v>
      </c>
      <c r="AP4" s="6" t="n">
        <v>5</v>
      </c>
      <c r="AQ4" s="6" t="n">
        <v>6</v>
      </c>
      <c r="AR4" s="6" t="n">
        <v>7</v>
      </c>
      <c r="AS4" s="6" t="n">
        <v>8</v>
      </c>
      <c r="AT4" s="6" t="n">
        <v>9</v>
      </c>
      <c r="AU4" s="6" t="n">
        <v>10</v>
      </c>
      <c r="AV4" s="6" t="n">
        <v>11</v>
      </c>
      <c r="AW4" s="6" t="n">
        <v>12</v>
      </c>
      <c r="AX4" s="6" t="n">
        <v>1</v>
      </c>
      <c r="AY4" s="6" t="n">
        <v>2</v>
      </c>
      <c r="AZ4" s="6" t="n">
        <v>3</v>
      </c>
      <c r="BA4" s="6" t="n">
        <v>4</v>
      </c>
      <c r="BB4" s="6" t="n">
        <v>5</v>
      </c>
      <c r="BC4" s="6" t="n">
        <v>6</v>
      </c>
      <c r="BD4" s="6" t="n">
        <v>7</v>
      </c>
      <c r="BE4" s="6" t="n">
        <v>8</v>
      </c>
      <c r="BF4" s="6" t="n">
        <v>9</v>
      </c>
      <c r="BG4" s="6" t="n">
        <v>10</v>
      </c>
      <c r="BH4" s="6" t="n">
        <v>11</v>
      </c>
      <c r="BI4" s="6" t="n">
        <v>12</v>
      </c>
    </row>
    <row r="5" customFormat="false" ht="15" hidden="false" customHeight="false" outlineLevel="0" collapsed="false">
      <c r="A5" s="12" t="s">
        <v>45</v>
      </c>
      <c r="B5" s="40" t="str">
        <f aca="false">"FY"&amp;TEXT(INDEX(Inputs!$C$5:$G$5,B$3),"yy")</f>
        <v>FY27</v>
      </c>
      <c r="C5" s="40" t="str">
        <f aca="false">"FY"&amp;TEXT(INDEX(Inputs!$C$5:$G$5,C$3),"yy")</f>
        <v>FY27</v>
      </c>
      <c r="D5" s="40" t="str">
        <f aca="false">"FY"&amp;TEXT(INDEX(Inputs!$C$5:$G$5,D$3),"yy")</f>
        <v>FY27</v>
      </c>
      <c r="E5" s="40" t="str">
        <f aca="false">"FY"&amp;TEXT(INDEX(Inputs!$C$5:$G$5,E$3),"yy")</f>
        <v>FY27</v>
      </c>
      <c r="F5" s="40" t="str">
        <f aca="false">"FY"&amp;TEXT(INDEX(Inputs!$C$5:$G$5,F$3),"yy")</f>
        <v>FY27</v>
      </c>
      <c r="G5" s="40" t="str">
        <f aca="false">"FY"&amp;TEXT(INDEX(Inputs!$C$5:$G$5,G$3),"yy")</f>
        <v>FY27</v>
      </c>
      <c r="H5" s="40" t="str">
        <f aca="false">"FY"&amp;TEXT(INDEX(Inputs!$C$5:$G$5,H$3),"yy")</f>
        <v>FY27</v>
      </c>
      <c r="I5" s="40" t="str">
        <f aca="false">"FY"&amp;TEXT(INDEX(Inputs!$C$5:$G$5,I$3),"yy")</f>
        <v>FY27</v>
      </c>
      <c r="J5" s="40" t="str">
        <f aca="false">"FY"&amp;TEXT(INDEX(Inputs!$C$5:$G$5,J$3),"yy")</f>
        <v>FY27</v>
      </c>
      <c r="K5" s="40" t="str">
        <f aca="false">"FY"&amp;TEXT(INDEX(Inputs!$C$5:$G$5,K$3),"yy")</f>
        <v>FY27</v>
      </c>
      <c r="L5" s="40" t="str">
        <f aca="false">"FY"&amp;TEXT(INDEX(Inputs!$C$5:$G$5,L$3),"yy")</f>
        <v>FY27</v>
      </c>
      <c r="M5" s="40" t="str">
        <f aca="false">"FY"&amp;TEXT(INDEX(Inputs!$C$5:$G$5,M$3),"yy")</f>
        <v>FY27</v>
      </c>
      <c r="N5" s="40" t="str">
        <f aca="false">"FY"&amp;TEXT(INDEX(Inputs!$C$5:$G$5,N$3),"yy")</f>
        <v>FY28</v>
      </c>
      <c r="O5" s="40" t="str">
        <f aca="false">"FY"&amp;TEXT(INDEX(Inputs!$C$5:$G$5,O$3),"yy")</f>
        <v>FY28</v>
      </c>
      <c r="P5" s="40" t="str">
        <f aca="false">"FY"&amp;TEXT(INDEX(Inputs!$C$5:$G$5,P$3),"yy")</f>
        <v>FY28</v>
      </c>
      <c r="Q5" s="40" t="str">
        <f aca="false">"FY"&amp;TEXT(INDEX(Inputs!$C$5:$G$5,Q$3),"yy")</f>
        <v>FY28</v>
      </c>
      <c r="R5" s="40" t="str">
        <f aca="false">"FY"&amp;TEXT(INDEX(Inputs!$C$5:$G$5,R$3),"yy")</f>
        <v>FY28</v>
      </c>
      <c r="S5" s="40" t="str">
        <f aca="false">"FY"&amp;TEXT(INDEX(Inputs!$C$5:$G$5,S$3),"yy")</f>
        <v>FY28</v>
      </c>
      <c r="T5" s="40" t="str">
        <f aca="false">"FY"&amp;TEXT(INDEX(Inputs!$C$5:$G$5,T$3),"yy")</f>
        <v>FY28</v>
      </c>
      <c r="U5" s="40" t="str">
        <f aca="false">"FY"&amp;TEXT(INDEX(Inputs!$C$5:$G$5,U$3),"yy")</f>
        <v>FY28</v>
      </c>
      <c r="V5" s="40" t="str">
        <f aca="false">"FY"&amp;TEXT(INDEX(Inputs!$C$5:$G$5,V$3),"yy")</f>
        <v>FY28</v>
      </c>
      <c r="W5" s="40" t="str">
        <f aca="false">"FY"&amp;TEXT(INDEX(Inputs!$C$5:$G$5,W$3),"yy")</f>
        <v>FY28</v>
      </c>
      <c r="X5" s="40" t="str">
        <f aca="false">"FY"&amp;TEXT(INDEX(Inputs!$C$5:$G$5,X$3),"yy")</f>
        <v>FY28</v>
      </c>
      <c r="Y5" s="40" t="str">
        <f aca="false">"FY"&amp;TEXT(INDEX(Inputs!$C$5:$G$5,Y$3),"yy")</f>
        <v>FY28</v>
      </c>
      <c r="Z5" s="40" t="str">
        <f aca="false">"FY"&amp;TEXT(INDEX(Inputs!$C$5:$G$5,Z$3),"yy")</f>
        <v>FY29</v>
      </c>
      <c r="AA5" s="40" t="str">
        <f aca="false">"FY"&amp;TEXT(INDEX(Inputs!$C$5:$G$5,AA$3),"yy")</f>
        <v>FY29</v>
      </c>
      <c r="AB5" s="40" t="str">
        <f aca="false">"FY"&amp;TEXT(INDEX(Inputs!$C$5:$G$5,AB$3),"yy")</f>
        <v>FY29</v>
      </c>
      <c r="AC5" s="40" t="str">
        <f aca="false">"FY"&amp;TEXT(INDEX(Inputs!$C$5:$G$5,AC$3),"yy")</f>
        <v>FY29</v>
      </c>
      <c r="AD5" s="40" t="str">
        <f aca="false">"FY"&amp;TEXT(INDEX(Inputs!$C$5:$G$5,AD$3),"yy")</f>
        <v>FY29</v>
      </c>
      <c r="AE5" s="40" t="str">
        <f aca="false">"FY"&amp;TEXT(INDEX(Inputs!$C$5:$G$5,AE$3),"yy")</f>
        <v>FY29</v>
      </c>
      <c r="AF5" s="40" t="str">
        <f aca="false">"FY"&amp;TEXT(INDEX(Inputs!$C$5:$G$5,AF$3),"yy")</f>
        <v>FY29</v>
      </c>
      <c r="AG5" s="40" t="str">
        <f aca="false">"FY"&amp;TEXT(INDEX(Inputs!$C$5:$G$5,AG$3),"yy")</f>
        <v>FY29</v>
      </c>
      <c r="AH5" s="40" t="str">
        <f aca="false">"FY"&amp;TEXT(INDEX(Inputs!$C$5:$G$5,AH$3),"yy")</f>
        <v>FY29</v>
      </c>
      <c r="AI5" s="40" t="str">
        <f aca="false">"FY"&amp;TEXT(INDEX(Inputs!$C$5:$G$5,AI$3),"yy")</f>
        <v>FY29</v>
      </c>
      <c r="AJ5" s="40" t="str">
        <f aca="false">"FY"&amp;TEXT(INDEX(Inputs!$C$5:$G$5,AJ$3),"yy")</f>
        <v>FY29</v>
      </c>
      <c r="AK5" s="40" t="str">
        <f aca="false">"FY"&amp;TEXT(INDEX(Inputs!$C$5:$G$5,AK$3),"yy")</f>
        <v>FY29</v>
      </c>
      <c r="AL5" s="40" t="str">
        <f aca="false">"FY"&amp;TEXT(INDEX(Inputs!$C$5:$G$5,AL$3),"yy")</f>
        <v>FY30</v>
      </c>
      <c r="AM5" s="40" t="str">
        <f aca="false">"FY"&amp;TEXT(INDEX(Inputs!$C$5:$G$5,AM$3),"yy")</f>
        <v>FY30</v>
      </c>
      <c r="AN5" s="40" t="str">
        <f aca="false">"FY"&amp;TEXT(INDEX(Inputs!$C$5:$G$5,AN$3),"yy")</f>
        <v>FY30</v>
      </c>
      <c r="AO5" s="40" t="str">
        <f aca="false">"FY"&amp;TEXT(INDEX(Inputs!$C$5:$G$5,AO$3),"yy")</f>
        <v>FY30</v>
      </c>
      <c r="AP5" s="40" t="str">
        <f aca="false">"FY"&amp;TEXT(INDEX(Inputs!$C$5:$G$5,AP$3),"yy")</f>
        <v>FY30</v>
      </c>
      <c r="AQ5" s="40" t="str">
        <f aca="false">"FY"&amp;TEXT(INDEX(Inputs!$C$5:$G$5,AQ$3),"yy")</f>
        <v>FY30</v>
      </c>
      <c r="AR5" s="40" t="str">
        <f aca="false">"FY"&amp;TEXT(INDEX(Inputs!$C$5:$G$5,AR$3),"yy")</f>
        <v>FY30</v>
      </c>
      <c r="AS5" s="40" t="str">
        <f aca="false">"FY"&amp;TEXT(INDEX(Inputs!$C$5:$G$5,AS$3),"yy")</f>
        <v>FY30</v>
      </c>
      <c r="AT5" s="40" t="str">
        <f aca="false">"FY"&amp;TEXT(INDEX(Inputs!$C$5:$G$5,AT$3),"yy")</f>
        <v>FY30</v>
      </c>
      <c r="AU5" s="40" t="str">
        <f aca="false">"FY"&amp;TEXT(INDEX(Inputs!$C$5:$G$5,AU$3),"yy")</f>
        <v>FY30</v>
      </c>
      <c r="AV5" s="40" t="str">
        <f aca="false">"FY"&amp;TEXT(INDEX(Inputs!$C$5:$G$5,AV$3),"yy")</f>
        <v>FY30</v>
      </c>
      <c r="AW5" s="40" t="str">
        <f aca="false">"FY"&amp;TEXT(INDEX(Inputs!$C$5:$G$5,AW$3),"yy")</f>
        <v>FY30</v>
      </c>
      <c r="AX5" s="40" t="str">
        <f aca="false">"FY"&amp;TEXT(INDEX(Inputs!$C$5:$G$5,AX$3),"yy")</f>
        <v>FY31</v>
      </c>
      <c r="AY5" s="40" t="str">
        <f aca="false">"FY"&amp;TEXT(INDEX(Inputs!$C$5:$G$5,AY$3),"yy")</f>
        <v>FY31</v>
      </c>
      <c r="AZ5" s="40" t="str">
        <f aca="false">"FY"&amp;TEXT(INDEX(Inputs!$C$5:$G$5,AZ$3),"yy")</f>
        <v>FY31</v>
      </c>
      <c r="BA5" s="40" t="str">
        <f aca="false">"FY"&amp;TEXT(INDEX(Inputs!$C$5:$G$5,BA$3),"yy")</f>
        <v>FY31</v>
      </c>
      <c r="BB5" s="40" t="str">
        <f aca="false">"FY"&amp;TEXT(INDEX(Inputs!$C$5:$G$5,BB$3),"yy")</f>
        <v>FY31</v>
      </c>
      <c r="BC5" s="40" t="str">
        <f aca="false">"FY"&amp;TEXT(INDEX(Inputs!$C$5:$G$5,BC$3),"yy")</f>
        <v>FY31</v>
      </c>
      <c r="BD5" s="40" t="str">
        <f aca="false">"FY"&amp;TEXT(INDEX(Inputs!$C$5:$G$5,BD$3),"yy")</f>
        <v>FY31</v>
      </c>
      <c r="BE5" s="40" t="str">
        <f aca="false">"FY"&amp;TEXT(INDEX(Inputs!$C$5:$G$5,BE$3),"yy")</f>
        <v>FY31</v>
      </c>
      <c r="BF5" s="40" t="str">
        <f aca="false">"FY"&amp;TEXT(INDEX(Inputs!$C$5:$G$5,BF$3),"yy")</f>
        <v>FY31</v>
      </c>
      <c r="BG5" s="40" t="str">
        <f aca="false">"FY"&amp;TEXT(INDEX(Inputs!$C$5:$G$5,BG$3),"yy")</f>
        <v>FY31</v>
      </c>
      <c r="BH5" s="40" t="str">
        <f aca="false">"FY"&amp;TEXT(INDEX(Inputs!$C$5:$G$5,BH$3),"yy")</f>
        <v>FY31</v>
      </c>
      <c r="BI5" s="40" t="str">
        <f aca="false">"FY"&amp;TEXT(INDEX(Inputs!$C$5:$G$5,BI$3),"yy")</f>
        <v>FY31</v>
      </c>
    </row>
    <row r="7" customFormat="false" ht="15" hidden="false" customHeight="false" outlineLevel="0" collapsed="false">
      <c r="A7" s="9" t="s">
        <v>573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</row>
    <row r="8" customFormat="false" ht="15" hidden="false" customHeight="false" outlineLevel="0" collapsed="false">
      <c r="A8" s="6" t="s">
        <v>574</v>
      </c>
      <c r="B8" s="11" t="n">
        <f aca="false">INDEX('CF Summary'!$B$22:$G$22,B$3)*INDEX(Inputs!$B$76:$O$76,B$4+2)+IF(B$4=11,INDEX('CF Summary'!$B$22:$G$22,B$3+1)*INDEX(Inputs!$B$76:$O$76,1),0)+IF(B$4=12,INDEX('CF Summary'!$B$22:$G$22,B$3+1)*INDEX(Inputs!$B$76:$O$76,2),0)</f>
        <v>479452.328985507</v>
      </c>
      <c r="C8" s="11" t="n">
        <f aca="false">INDEX('CF Summary'!$B$22:$G$22,C$3)*INDEX(Inputs!$B$76:$O$76,C$4+2)+IF(C$4=11,INDEX('CF Summary'!$B$22:$G$22,C$3+1)*INDEX(Inputs!$B$76:$O$76,1),0)+IF(C$4=12,INDEX('CF Summary'!$B$22:$G$22,C$3+1)*INDEX(Inputs!$B$76:$O$76,2),0)</f>
        <v>838107.577681159</v>
      </c>
      <c r="D8" s="11" t="n">
        <f aca="false">INDEX('CF Summary'!$B$22:$G$22,D$3)*INDEX(Inputs!$B$76:$O$76,D$4+2)+IF(D$4=11,INDEX('CF Summary'!$B$22:$G$22,D$3+1)*INDEX(Inputs!$B$76:$O$76,1),0)+IF(D$4=12,INDEX('CF Summary'!$B$22:$G$22,D$3+1)*INDEX(Inputs!$B$76:$O$76,2),0)</f>
        <v>479452.328985507</v>
      </c>
      <c r="E8" s="11" t="n">
        <f aca="false">INDEX('CF Summary'!$B$22:$G$22,E$3)*INDEX(Inputs!$B$76:$O$76,E$4+2)+IF(E$4=11,INDEX('CF Summary'!$B$22:$G$22,E$3+1)*INDEX(Inputs!$B$76:$O$76,1),0)+IF(E$4=12,INDEX('CF Summary'!$B$22:$G$22,E$3+1)*INDEX(Inputs!$B$76:$O$76,2),0)</f>
        <v>479452.328985507</v>
      </c>
      <c r="F8" s="11" t="n">
        <f aca="false">INDEX('CF Summary'!$B$22:$G$22,F$3)*INDEX(Inputs!$B$76:$O$76,F$4+2)+IF(F$4=11,INDEX('CF Summary'!$B$22:$G$22,F$3+1)*INDEX(Inputs!$B$76:$O$76,1),0)+IF(F$4=12,INDEX('CF Summary'!$B$22:$G$22,F$3+1)*INDEX(Inputs!$B$76:$O$76,2),0)</f>
        <v>838107.577681159</v>
      </c>
      <c r="G8" s="11" t="n">
        <f aca="false">INDEX('CF Summary'!$B$22:$G$22,G$3)*INDEX(Inputs!$B$76:$O$76,G$4+2)+IF(G$4=11,INDEX('CF Summary'!$B$22:$G$22,G$3+1)*INDEX(Inputs!$B$76:$O$76,1),0)+IF(G$4=12,INDEX('CF Summary'!$B$22:$G$22,G$3+1)*INDEX(Inputs!$B$76:$O$76,2),0)</f>
        <v>479452.328985507</v>
      </c>
      <c r="H8" s="11" t="n">
        <f aca="false">INDEX('CF Summary'!$B$22:$G$22,H$3)*INDEX(Inputs!$B$76:$O$76,H$4+2)+IF(H$4=11,INDEX('CF Summary'!$B$22:$G$22,H$3+1)*INDEX(Inputs!$B$76:$O$76,1),0)+IF(H$4=12,INDEX('CF Summary'!$B$22:$G$22,H$3+1)*INDEX(Inputs!$B$76:$O$76,2),0)</f>
        <v>479452.328985507</v>
      </c>
      <c r="I8" s="11" t="n">
        <f aca="false">INDEX('CF Summary'!$B$22:$G$22,I$3)*INDEX(Inputs!$B$76:$O$76,I$4+2)+IF(I$4=11,INDEX('CF Summary'!$B$22:$G$22,I$3+1)*INDEX(Inputs!$B$76:$O$76,1),0)+IF(I$4=12,INDEX('CF Summary'!$B$22:$G$22,I$3+1)*INDEX(Inputs!$B$76:$O$76,2),0)</f>
        <v>838107.577681159</v>
      </c>
      <c r="J8" s="11" t="n">
        <f aca="false">INDEX('CF Summary'!$B$22:$G$22,J$3)*INDEX(Inputs!$B$76:$O$76,J$4+2)+IF(J$4=11,INDEX('CF Summary'!$B$22:$G$22,J$3+1)*INDEX(Inputs!$B$76:$O$76,1),0)+IF(J$4=12,INDEX('CF Summary'!$B$22:$G$22,J$3+1)*INDEX(Inputs!$B$76:$O$76,2),0)</f>
        <v>479452.328985507</v>
      </c>
      <c r="K8" s="11" t="n">
        <f aca="false">INDEX('CF Summary'!$B$22:$G$22,K$3)*INDEX(Inputs!$B$76:$O$76,K$4+2)+IF(K$4=11,INDEX('CF Summary'!$B$22:$G$22,K$3+1)*INDEX(Inputs!$B$76:$O$76,1),0)+IF(K$4=12,INDEX('CF Summary'!$B$22:$G$22,K$3+1)*INDEX(Inputs!$B$76:$O$76,2),0)</f>
        <v>479452.328985507</v>
      </c>
      <c r="L8" s="11" t="n">
        <f aca="false">INDEX('CF Summary'!$B$22:$G$22,L$3)*INDEX(Inputs!$B$76:$O$76,L$4+2)+IF(L$4=11,INDEX('CF Summary'!$B$22:$G$22,L$3+1)*INDEX(Inputs!$B$76:$O$76,1),0)+IF(L$4=12,INDEX('CF Summary'!$B$22:$G$22,L$3+1)*INDEX(Inputs!$B$76:$O$76,2),0)</f>
        <v>890809.002559277</v>
      </c>
      <c r="M8" s="11" t="n">
        <f aca="false">INDEX('CF Summary'!$B$22:$G$22,M$3)*INDEX(Inputs!$B$76:$O$76,M$4+2)+IF(M$4=11,INDEX('CF Summary'!$B$22:$G$22,M$3+1)*INDEX(Inputs!$B$76:$O$76,1),0)+IF(M$4=12,INDEX('CF Summary'!$B$22:$G$22,M$3+1)*INDEX(Inputs!$B$76:$O$76,2),0)</f>
        <v>2002665.70709092</v>
      </c>
      <c r="N8" s="11" t="n">
        <f aca="false">INDEX('CF Summary'!$B$22:$G$22,N$3)*INDEX(Inputs!$B$76:$O$76,N$4+2)+IF(N$4=11,INDEX('CF Summary'!$B$22:$G$22,N$3+1)*INDEX(Inputs!$B$76:$O$76,1),0)+IF(N$4=12,INDEX('CF Summary'!$B$22:$G$22,N$3+1)*INDEX(Inputs!$B$76:$O$76,2),0)</f>
        <v>509600.989577001</v>
      </c>
      <c r="O8" s="11" t="n">
        <f aca="false">INDEX('CF Summary'!$B$22:$G$22,O$3)*INDEX(Inputs!$B$76:$O$76,O$4+2)+IF(O$4=11,INDEX('CF Summary'!$B$22:$G$22,O$3+1)*INDEX(Inputs!$B$76:$O$76,1),0)+IF(O$4=12,INDEX('CF Summary'!$B$22:$G$22,O$3+1)*INDEX(Inputs!$B$76:$O$76,2),0)</f>
        <v>890809.002559277</v>
      </c>
      <c r="P8" s="11" t="n">
        <f aca="false">INDEX('CF Summary'!$B$22:$G$22,P$3)*INDEX(Inputs!$B$76:$O$76,P$4+2)+IF(P$4=11,INDEX('CF Summary'!$B$22:$G$22,P$3+1)*INDEX(Inputs!$B$76:$O$76,1),0)+IF(P$4=12,INDEX('CF Summary'!$B$22:$G$22,P$3+1)*INDEX(Inputs!$B$76:$O$76,2),0)</f>
        <v>509600.989577001</v>
      </c>
      <c r="Q8" s="11" t="n">
        <f aca="false">INDEX('CF Summary'!$B$22:$G$22,Q$3)*INDEX(Inputs!$B$76:$O$76,Q$4+2)+IF(Q$4=11,INDEX('CF Summary'!$B$22:$G$22,Q$3+1)*INDEX(Inputs!$B$76:$O$76,1),0)+IF(Q$4=12,INDEX('CF Summary'!$B$22:$G$22,Q$3+1)*INDEX(Inputs!$B$76:$O$76,2),0)</f>
        <v>509600.989577001</v>
      </c>
      <c r="R8" s="11" t="n">
        <f aca="false">INDEX('CF Summary'!$B$22:$G$22,R$3)*INDEX(Inputs!$B$76:$O$76,R$4+2)+IF(R$4=11,INDEX('CF Summary'!$B$22:$G$22,R$3+1)*INDEX(Inputs!$B$76:$O$76,1),0)+IF(R$4=12,INDEX('CF Summary'!$B$22:$G$22,R$3+1)*INDEX(Inputs!$B$76:$O$76,2),0)</f>
        <v>890809.002559277</v>
      </c>
      <c r="S8" s="11" t="n">
        <f aca="false">INDEX('CF Summary'!$B$22:$G$22,S$3)*INDEX(Inputs!$B$76:$O$76,S$4+2)+IF(S$4=11,INDEX('CF Summary'!$B$22:$G$22,S$3+1)*INDEX(Inputs!$B$76:$O$76,1),0)+IF(S$4=12,INDEX('CF Summary'!$B$22:$G$22,S$3+1)*INDEX(Inputs!$B$76:$O$76,2),0)</f>
        <v>509600.989577001</v>
      </c>
      <c r="T8" s="11" t="n">
        <f aca="false">INDEX('CF Summary'!$B$22:$G$22,T$3)*INDEX(Inputs!$B$76:$O$76,T$4+2)+IF(T$4=11,INDEX('CF Summary'!$B$22:$G$22,T$3+1)*INDEX(Inputs!$B$76:$O$76,1),0)+IF(T$4=12,INDEX('CF Summary'!$B$22:$G$22,T$3+1)*INDEX(Inputs!$B$76:$O$76,2),0)</f>
        <v>509600.989577001</v>
      </c>
      <c r="U8" s="11" t="n">
        <f aca="false">INDEX('CF Summary'!$B$22:$G$22,U$3)*INDEX(Inputs!$B$76:$O$76,U$4+2)+IF(U$4=11,INDEX('CF Summary'!$B$22:$G$22,U$3+1)*INDEX(Inputs!$B$76:$O$76,1),0)+IF(U$4=12,INDEX('CF Summary'!$B$22:$G$22,U$3+1)*INDEX(Inputs!$B$76:$O$76,2),0)</f>
        <v>890809.002559277</v>
      </c>
      <c r="V8" s="11" t="n">
        <f aca="false">INDEX('CF Summary'!$B$22:$G$22,V$3)*INDEX(Inputs!$B$76:$O$76,V$4+2)+IF(V$4=11,INDEX('CF Summary'!$B$22:$G$22,V$3+1)*INDEX(Inputs!$B$76:$O$76,1),0)+IF(V$4=12,INDEX('CF Summary'!$B$22:$G$22,V$3+1)*INDEX(Inputs!$B$76:$O$76,2),0)</f>
        <v>509600.989577001</v>
      </c>
      <c r="W8" s="11" t="n">
        <f aca="false">INDEX('CF Summary'!$B$22:$G$22,W$3)*INDEX(Inputs!$B$76:$O$76,W$4+2)+IF(W$4=11,INDEX('CF Summary'!$B$22:$G$22,W$3+1)*INDEX(Inputs!$B$76:$O$76,1),0)+IF(W$4=12,INDEX('CF Summary'!$B$22:$G$22,W$3+1)*INDEX(Inputs!$B$76:$O$76,2),0)</f>
        <v>509600.989577001</v>
      </c>
      <c r="X8" s="11" t="n">
        <f aca="false">INDEX('CF Summary'!$B$22:$G$22,X$3)*INDEX(Inputs!$B$76:$O$76,X$4+2)+IF(X$4=11,INDEX('CF Summary'!$B$22:$G$22,X$3+1)*INDEX(Inputs!$B$76:$O$76,1),0)+IF(X$4=12,INDEX('CF Summary'!$B$22:$G$22,X$3+1)*INDEX(Inputs!$B$76:$O$76,2),0)</f>
        <v>922943.722275074</v>
      </c>
      <c r="Y8" s="11" t="n">
        <f aca="false">INDEX('CF Summary'!$B$22:$G$22,Y$3)*INDEX(Inputs!$B$76:$O$76,Y$4+2)+IF(Y$4=11,INDEX('CF Summary'!$B$22:$G$22,Y$3+1)*INDEX(Inputs!$B$76:$O$76,1),0)+IF(Y$4=12,INDEX('CF Summary'!$B$22:$G$22,Y$3+1)*INDEX(Inputs!$B$76:$O$76,2),0)</f>
        <v>2074909.14086506</v>
      </c>
      <c r="Z8" s="11" t="n">
        <f aca="false">INDEX('CF Summary'!$B$22:$G$22,Z$3)*INDEX(Inputs!$B$76:$O$76,Z$4+2)+IF(Z$4=11,INDEX('CF Summary'!$B$22:$G$22,Z$3+1)*INDEX(Inputs!$B$76:$O$76,1),0)+IF(Z$4=12,INDEX('CF Summary'!$B$22:$G$22,Z$3+1)*INDEX(Inputs!$B$76:$O$76,2),0)</f>
        <v>527984.150187078</v>
      </c>
      <c r="AA8" s="11" t="n">
        <f aca="false">INDEX('CF Summary'!$B$22:$G$22,AA$3)*INDEX(Inputs!$B$76:$O$76,AA$4+2)+IF(AA$4=11,INDEX('CF Summary'!$B$22:$G$22,AA$3+1)*INDEX(Inputs!$B$76:$O$76,1),0)+IF(AA$4=12,INDEX('CF Summary'!$B$22:$G$22,AA$3+1)*INDEX(Inputs!$B$76:$O$76,2),0)</f>
        <v>922943.722275074</v>
      </c>
      <c r="AB8" s="11" t="n">
        <f aca="false">INDEX('CF Summary'!$B$22:$G$22,AB$3)*INDEX(Inputs!$B$76:$O$76,AB$4+2)+IF(AB$4=11,INDEX('CF Summary'!$B$22:$G$22,AB$3+1)*INDEX(Inputs!$B$76:$O$76,1),0)+IF(AB$4=12,INDEX('CF Summary'!$B$22:$G$22,AB$3+1)*INDEX(Inputs!$B$76:$O$76,2),0)</f>
        <v>527984.150187078</v>
      </c>
      <c r="AC8" s="11" t="n">
        <f aca="false">INDEX('CF Summary'!$B$22:$G$22,AC$3)*INDEX(Inputs!$B$76:$O$76,AC$4+2)+IF(AC$4=11,INDEX('CF Summary'!$B$22:$G$22,AC$3+1)*INDEX(Inputs!$B$76:$O$76,1),0)+IF(AC$4=12,INDEX('CF Summary'!$B$22:$G$22,AC$3+1)*INDEX(Inputs!$B$76:$O$76,2),0)</f>
        <v>527984.150187078</v>
      </c>
      <c r="AD8" s="11" t="n">
        <f aca="false">INDEX('CF Summary'!$B$22:$G$22,AD$3)*INDEX(Inputs!$B$76:$O$76,AD$4+2)+IF(AD$4=11,INDEX('CF Summary'!$B$22:$G$22,AD$3+1)*INDEX(Inputs!$B$76:$O$76,1),0)+IF(AD$4=12,INDEX('CF Summary'!$B$22:$G$22,AD$3+1)*INDEX(Inputs!$B$76:$O$76,2),0)</f>
        <v>922943.722275074</v>
      </c>
      <c r="AE8" s="11" t="n">
        <f aca="false">INDEX('CF Summary'!$B$22:$G$22,AE$3)*INDEX(Inputs!$B$76:$O$76,AE$4+2)+IF(AE$4=11,INDEX('CF Summary'!$B$22:$G$22,AE$3+1)*INDEX(Inputs!$B$76:$O$76,1),0)+IF(AE$4=12,INDEX('CF Summary'!$B$22:$G$22,AE$3+1)*INDEX(Inputs!$B$76:$O$76,2),0)</f>
        <v>527984.150187078</v>
      </c>
      <c r="AF8" s="11" t="n">
        <f aca="false">INDEX('CF Summary'!$B$22:$G$22,AF$3)*INDEX(Inputs!$B$76:$O$76,AF$4+2)+IF(AF$4=11,INDEX('CF Summary'!$B$22:$G$22,AF$3+1)*INDEX(Inputs!$B$76:$O$76,1),0)+IF(AF$4=12,INDEX('CF Summary'!$B$22:$G$22,AF$3+1)*INDEX(Inputs!$B$76:$O$76,2),0)</f>
        <v>527984.150187078</v>
      </c>
      <c r="AG8" s="11" t="n">
        <f aca="false">INDEX('CF Summary'!$B$22:$G$22,AG$3)*INDEX(Inputs!$B$76:$O$76,AG$4+2)+IF(AG$4=11,INDEX('CF Summary'!$B$22:$G$22,AG$3+1)*INDEX(Inputs!$B$76:$O$76,1),0)+IF(AG$4=12,INDEX('CF Summary'!$B$22:$G$22,AG$3+1)*INDEX(Inputs!$B$76:$O$76,2),0)</f>
        <v>922943.722275074</v>
      </c>
      <c r="AH8" s="11" t="n">
        <f aca="false">INDEX('CF Summary'!$B$22:$G$22,AH$3)*INDEX(Inputs!$B$76:$O$76,AH$4+2)+IF(AH$4=11,INDEX('CF Summary'!$B$22:$G$22,AH$3+1)*INDEX(Inputs!$B$76:$O$76,1),0)+IF(AH$4=12,INDEX('CF Summary'!$B$22:$G$22,AH$3+1)*INDEX(Inputs!$B$76:$O$76,2),0)</f>
        <v>527984.150187078</v>
      </c>
      <c r="AI8" s="11" t="n">
        <f aca="false">INDEX('CF Summary'!$B$22:$G$22,AI$3)*INDEX(Inputs!$B$76:$O$76,AI$4+2)+IF(AI$4=11,INDEX('CF Summary'!$B$22:$G$22,AI$3+1)*INDEX(Inputs!$B$76:$O$76,1),0)+IF(AI$4=12,INDEX('CF Summary'!$B$22:$G$22,AI$3+1)*INDEX(Inputs!$B$76:$O$76,2),0)</f>
        <v>527984.150187078</v>
      </c>
      <c r="AJ8" s="11" t="n">
        <f aca="false">INDEX('CF Summary'!$B$22:$G$22,AJ$3)*INDEX(Inputs!$B$76:$O$76,AJ$4+2)+IF(AJ$4=11,INDEX('CF Summary'!$B$22:$G$22,AJ$3+1)*INDEX(Inputs!$B$76:$O$76,1),0)+IF(AJ$4=12,INDEX('CF Summary'!$B$22:$G$22,AJ$3+1)*INDEX(Inputs!$B$76:$O$76,2),0)</f>
        <v>953503.547954782</v>
      </c>
      <c r="AK8" s="11" t="n">
        <f aca="false">INDEX('CF Summary'!$B$22:$G$22,AK$3)*INDEX(Inputs!$B$76:$O$76,AK$4+2)+IF(AK$4=11,INDEX('CF Summary'!$B$22:$G$22,AK$3+1)*INDEX(Inputs!$B$76:$O$76,1),0)+IF(AK$4=12,INDEX('CF Summary'!$B$22:$G$22,AK$3+1)*INDEX(Inputs!$B$76:$O$76,2),0)</f>
        <v>2143611.98819552</v>
      </c>
      <c r="AL8" s="11" t="n">
        <f aca="false">INDEX('CF Summary'!$B$22:$G$22,AL$3)*INDEX(Inputs!$B$76:$O$76,AL$4+2)+IF(AL$4=11,INDEX('CF Summary'!$B$22:$G$22,AL$3+1)*INDEX(Inputs!$B$76:$O$76,1),0)+IF(AL$4=12,INDEX('CF Summary'!$B$22:$G$22,AL$3+1)*INDEX(Inputs!$B$76:$O$76,2),0)</f>
        <v>545466.368443672</v>
      </c>
      <c r="AM8" s="11" t="n">
        <f aca="false">INDEX('CF Summary'!$B$22:$G$22,AM$3)*INDEX(Inputs!$B$76:$O$76,AM$4+2)+IF(AM$4=11,INDEX('CF Summary'!$B$22:$G$22,AM$3+1)*INDEX(Inputs!$B$76:$O$76,1),0)+IF(AM$4=12,INDEX('CF Summary'!$B$22:$G$22,AM$3+1)*INDEX(Inputs!$B$76:$O$76,2),0)</f>
        <v>953503.547954782</v>
      </c>
      <c r="AN8" s="11" t="n">
        <f aca="false">INDEX('CF Summary'!$B$22:$G$22,AN$3)*INDEX(Inputs!$B$76:$O$76,AN$4+2)+IF(AN$4=11,INDEX('CF Summary'!$B$22:$G$22,AN$3+1)*INDEX(Inputs!$B$76:$O$76,1),0)+IF(AN$4=12,INDEX('CF Summary'!$B$22:$G$22,AN$3+1)*INDEX(Inputs!$B$76:$O$76,2),0)</f>
        <v>545466.368443672</v>
      </c>
      <c r="AO8" s="11" t="n">
        <f aca="false">INDEX('CF Summary'!$B$22:$G$22,AO$3)*INDEX(Inputs!$B$76:$O$76,AO$4+2)+IF(AO$4=11,INDEX('CF Summary'!$B$22:$G$22,AO$3+1)*INDEX(Inputs!$B$76:$O$76,1),0)+IF(AO$4=12,INDEX('CF Summary'!$B$22:$G$22,AO$3+1)*INDEX(Inputs!$B$76:$O$76,2),0)</f>
        <v>545466.368443672</v>
      </c>
      <c r="AP8" s="11" t="n">
        <f aca="false">INDEX('CF Summary'!$B$22:$G$22,AP$3)*INDEX(Inputs!$B$76:$O$76,AP$4+2)+IF(AP$4=11,INDEX('CF Summary'!$B$22:$G$22,AP$3+1)*INDEX(Inputs!$B$76:$O$76,1),0)+IF(AP$4=12,INDEX('CF Summary'!$B$22:$G$22,AP$3+1)*INDEX(Inputs!$B$76:$O$76,2),0)</f>
        <v>953503.547954782</v>
      </c>
      <c r="AQ8" s="11" t="n">
        <f aca="false">INDEX('CF Summary'!$B$22:$G$22,AQ$3)*INDEX(Inputs!$B$76:$O$76,AQ$4+2)+IF(AQ$4=11,INDEX('CF Summary'!$B$22:$G$22,AQ$3+1)*INDEX(Inputs!$B$76:$O$76,1),0)+IF(AQ$4=12,INDEX('CF Summary'!$B$22:$G$22,AQ$3+1)*INDEX(Inputs!$B$76:$O$76,2),0)</f>
        <v>545466.368443672</v>
      </c>
      <c r="AR8" s="11" t="n">
        <f aca="false">INDEX('CF Summary'!$B$22:$G$22,AR$3)*INDEX(Inputs!$B$76:$O$76,AR$4+2)+IF(AR$4=11,INDEX('CF Summary'!$B$22:$G$22,AR$3+1)*INDEX(Inputs!$B$76:$O$76,1),0)+IF(AR$4=12,INDEX('CF Summary'!$B$22:$G$22,AR$3+1)*INDEX(Inputs!$B$76:$O$76,2),0)</f>
        <v>545466.368443672</v>
      </c>
      <c r="AS8" s="11" t="n">
        <f aca="false">INDEX('CF Summary'!$B$22:$G$22,AS$3)*INDEX(Inputs!$B$76:$O$76,AS$4+2)+IF(AS$4=11,INDEX('CF Summary'!$B$22:$G$22,AS$3+1)*INDEX(Inputs!$B$76:$O$76,1),0)+IF(AS$4=12,INDEX('CF Summary'!$B$22:$G$22,AS$3+1)*INDEX(Inputs!$B$76:$O$76,2),0)</f>
        <v>953503.547954782</v>
      </c>
      <c r="AT8" s="11" t="n">
        <f aca="false">INDEX('CF Summary'!$B$22:$G$22,AT$3)*INDEX(Inputs!$B$76:$O$76,AT$4+2)+IF(AT$4=11,INDEX('CF Summary'!$B$22:$G$22,AT$3+1)*INDEX(Inputs!$B$76:$O$76,1),0)+IF(AT$4=12,INDEX('CF Summary'!$B$22:$G$22,AT$3+1)*INDEX(Inputs!$B$76:$O$76,2),0)</f>
        <v>545466.368443672</v>
      </c>
      <c r="AU8" s="11" t="n">
        <f aca="false">INDEX('CF Summary'!$B$22:$G$22,AU$3)*INDEX(Inputs!$B$76:$O$76,AU$4+2)+IF(AU$4=11,INDEX('CF Summary'!$B$22:$G$22,AU$3+1)*INDEX(Inputs!$B$76:$O$76,1),0)+IF(AU$4=12,INDEX('CF Summary'!$B$22:$G$22,AU$3+1)*INDEX(Inputs!$B$76:$O$76,2),0)</f>
        <v>545466.368443672</v>
      </c>
      <c r="AV8" s="11" t="n">
        <f aca="false">INDEX('CF Summary'!$B$22:$G$22,AV$3)*INDEX(Inputs!$B$76:$O$76,AV$4+2)+IF(AV$4=11,INDEX('CF Summary'!$B$22:$G$22,AV$3+1)*INDEX(Inputs!$B$76:$O$76,1),0)+IF(AV$4=12,INDEX('CF Summary'!$B$22:$G$22,AV$3+1)*INDEX(Inputs!$B$76:$O$76,2),0)</f>
        <v>983406.492952292</v>
      </c>
      <c r="AW8" s="11" t="n">
        <f aca="false">INDEX('CF Summary'!$B$22:$G$22,AW$3)*INDEX(Inputs!$B$76:$O$76,AW$4+2)+IF(AW$4=11,INDEX('CF Summary'!$B$22:$G$22,AW$3+1)*INDEX(Inputs!$B$76:$O$76,1),0)+IF(AW$4=12,INDEX('CF Summary'!$B$22:$G$22,AW$3+1)*INDEX(Inputs!$B$76:$O$76,2),0)</f>
        <v>2210838.07405174</v>
      </c>
      <c r="AX8" s="11" t="n">
        <f aca="false">INDEX('CF Summary'!$B$22:$G$22,AX$3)*INDEX(Inputs!$B$76:$O$76,AX$4+2)+IF(AX$4=11,INDEX('CF Summary'!$B$22:$G$22,AX$3+1)*INDEX(Inputs!$B$76:$O$76,1),0)+IF(AX$4=12,INDEX('CF Summary'!$B$22:$G$22,AX$3+1)*INDEX(Inputs!$B$76:$O$76,2),0)</f>
        <v>562572.808003912</v>
      </c>
      <c r="AY8" s="11" t="n">
        <f aca="false">INDEX('CF Summary'!$B$22:$G$22,AY$3)*INDEX(Inputs!$B$76:$O$76,AY$4+2)+IF(AY$4=11,INDEX('CF Summary'!$B$22:$G$22,AY$3+1)*INDEX(Inputs!$B$76:$O$76,1),0)+IF(AY$4=12,INDEX('CF Summary'!$B$22:$G$22,AY$3+1)*INDEX(Inputs!$B$76:$O$76,2),0)</f>
        <v>983406.492952292</v>
      </c>
      <c r="AZ8" s="11" t="n">
        <f aca="false">INDEX('CF Summary'!$B$22:$G$22,AZ$3)*INDEX(Inputs!$B$76:$O$76,AZ$4+2)+IF(AZ$4=11,INDEX('CF Summary'!$B$22:$G$22,AZ$3+1)*INDEX(Inputs!$B$76:$O$76,1),0)+IF(AZ$4=12,INDEX('CF Summary'!$B$22:$G$22,AZ$3+1)*INDEX(Inputs!$B$76:$O$76,2),0)</f>
        <v>562572.808003912</v>
      </c>
      <c r="BA8" s="11" t="n">
        <f aca="false">INDEX('CF Summary'!$B$22:$G$22,BA$3)*INDEX(Inputs!$B$76:$O$76,BA$4+2)+IF(BA$4=11,INDEX('CF Summary'!$B$22:$G$22,BA$3+1)*INDEX(Inputs!$B$76:$O$76,1),0)+IF(BA$4=12,INDEX('CF Summary'!$B$22:$G$22,BA$3+1)*INDEX(Inputs!$B$76:$O$76,2),0)</f>
        <v>562572.808003912</v>
      </c>
      <c r="BB8" s="11" t="n">
        <f aca="false">INDEX('CF Summary'!$B$22:$G$22,BB$3)*INDEX(Inputs!$B$76:$O$76,BB$4+2)+IF(BB$4=11,INDEX('CF Summary'!$B$22:$G$22,BB$3+1)*INDEX(Inputs!$B$76:$O$76,1),0)+IF(BB$4=12,INDEX('CF Summary'!$B$22:$G$22,BB$3+1)*INDEX(Inputs!$B$76:$O$76,2),0)</f>
        <v>983406.492952292</v>
      </c>
      <c r="BC8" s="11" t="n">
        <f aca="false">INDEX('CF Summary'!$B$22:$G$22,BC$3)*INDEX(Inputs!$B$76:$O$76,BC$4+2)+IF(BC$4=11,INDEX('CF Summary'!$B$22:$G$22,BC$3+1)*INDEX(Inputs!$B$76:$O$76,1),0)+IF(BC$4=12,INDEX('CF Summary'!$B$22:$G$22,BC$3+1)*INDEX(Inputs!$B$76:$O$76,2),0)</f>
        <v>562572.808003912</v>
      </c>
      <c r="BD8" s="11" t="n">
        <f aca="false">INDEX('CF Summary'!$B$22:$G$22,BD$3)*INDEX(Inputs!$B$76:$O$76,BD$4+2)+IF(BD$4=11,INDEX('CF Summary'!$B$22:$G$22,BD$3+1)*INDEX(Inputs!$B$76:$O$76,1),0)+IF(BD$4=12,INDEX('CF Summary'!$B$22:$G$22,BD$3+1)*INDEX(Inputs!$B$76:$O$76,2),0)</f>
        <v>562572.808003912</v>
      </c>
      <c r="BE8" s="11" t="n">
        <f aca="false">INDEX('CF Summary'!$B$22:$G$22,BE$3)*INDEX(Inputs!$B$76:$O$76,BE$4+2)+IF(BE$4=11,INDEX('CF Summary'!$B$22:$G$22,BE$3+1)*INDEX(Inputs!$B$76:$O$76,1),0)+IF(BE$4=12,INDEX('CF Summary'!$B$22:$G$22,BE$3+1)*INDEX(Inputs!$B$76:$O$76,2),0)</f>
        <v>983406.492952292</v>
      </c>
      <c r="BF8" s="11" t="n">
        <f aca="false">INDEX('CF Summary'!$B$22:$G$22,BF$3)*INDEX(Inputs!$B$76:$O$76,BF$4+2)+IF(BF$4=11,INDEX('CF Summary'!$B$22:$G$22,BF$3+1)*INDEX(Inputs!$B$76:$O$76,1),0)+IF(BF$4=12,INDEX('CF Summary'!$B$22:$G$22,BF$3+1)*INDEX(Inputs!$B$76:$O$76,2),0)</f>
        <v>562572.808003912</v>
      </c>
      <c r="BG8" s="11" t="n">
        <f aca="false">INDEX('CF Summary'!$B$22:$G$22,BG$3)*INDEX(Inputs!$B$76:$O$76,BG$4+2)+IF(BG$4=11,INDEX('CF Summary'!$B$22:$G$22,BG$3+1)*INDEX(Inputs!$B$76:$O$76,1),0)+IF(BG$4=12,INDEX('CF Summary'!$B$22:$G$22,BG$3+1)*INDEX(Inputs!$B$76:$O$76,2),0)</f>
        <v>562572.808003912</v>
      </c>
      <c r="BH8" s="11" t="n">
        <f aca="false">INDEX('CF Summary'!$B$22:$G$22,BH$3)*INDEX(Inputs!$B$76:$O$76,BH$4+2)+IF(BH$4=11,INDEX('CF Summary'!$B$22:$G$22,BH$3+1)*INDEX(Inputs!$B$76:$O$76,1),0)+IF(BH$4=12,INDEX('CF Summary'!$B$22:$G$22,BH$3+1)*INDEX(Inputs!$B$76:$O$76,2),0)</f>
        <v>1022742.75267038</v>
      </c>
      <c r="BI8" s="11" t="n">
        <f aca="false">INDEX('CF Summary'!$B$22:$G$22,BI$3)*INDEX(Inputs!$B$76:$O$76,BI$4+2)+IF(BI$4=11,INDEX('CF Summary'!$B$22:$G$22,BI$3+1)*INDEX(Inputs!$B$76:$O$76,1),0)+IF(BI$4=12,INDEX('CF Summary'!$B$22:$G$22,BI$3+1)*INDEX(Inputs!$B$76:$O$76,2),0)</f>
        <v>2299271.59701381</v>
      </c>
    </row>
    <row r="9" customFormat="false" ht="15" hidden="false" customHeight="false" outlineLevel="0" collapsed="false">
      <c r="A9" s="6" t="s">
        <v>575</v>
      </c>
      <c r="B9" s="11" t="n">
        <f aca="false">INDEX('CF Summary'!$B$23:$G$23,B$3)*INDEX(Inputs!$B$77:$O$77,B$4+2)+IF(B$4=11,INDEX('CF Summary'!$B$23:$G$23,B$3+1)*INDEX(Inputs!$B$77:$O$77,1),0)+IF(B$4=12,INDEX('CF Summary'!$B$23:$G$23,B$3+1)*INDEX(Inputs!$B$77:$O$77,2),0)</f>
        <v>12441.6666666667</v>
      </c>
      <c r="C9" s="11" t="n">
        <f aca="false">INDEX('CF Summary'!$B$23:$G$23,C$3)*INDEX(Inputs!$B$77:$O$77,C$4+2)+IF(C$4=11,INDEX('CF Summary'!$B$23:$G$23,C$3+1)*INDEX(Inputs!$B$77:$O$77,1),0)+IF(C$4=12,INDEX('CF Summary'!$B$23:$G$23,C$3+1)*INDEX(Inputs!$B$77:$O$77,2),0)</f>
        <v>12441.6666666667</v>
      </c>
      <c r="D9" s="11" t="n">
        <f aca="false">INDEX('CF Summary'!$B$23:$G$23,D$3)*INDEX(Inputs!$B$77:$O$77,D$4+2)+IF(D$4=11,INDEX('CF Summary'!$B$23:$G$23,D$3+1)*INDEX(Inputs!$B$77:$O$77,1),0)+IF(D$4=12,INDEX('CF Summary'!$B$23:$G$23,D$3+1)*INDEX(Inputs!$B$77:$O$77,2),0)</f>
        <v>12441.6666666667</v>
      </c>
      <c r="E9" s="11" t="n">
        <f aca="false">INDEX('CF Summary'!$B$23:$G$23,E$3)*INDEX(Inputs!$B$77:$O$77,E$4+2)+IF(E$4=11,INDEX('CF Summary'!$B$23:$G$23,E$3+1)*INDEX(Inputs!$B$77:$O$77,1),0)+IF(E$4=12,INDEX('CF Summary'!$B$23:$G$23,E$3+1)*INDEX(Inputs!$B$77:$O$77,2),0)</f>
        <v>12441.6666666667</v>
      </c>
      <c r="F9" s="11" t="n">
        <f aca="false">INDEX('CF Summary'!$B$23:$G$23,F$3)*INDEX(Inputs!$B$77:$O$77,F$4+2)+IF(F$4=11,INDEX('CF Summary'!$B$23:$G$23,F$3+1)*INDEX(Inputs!$B$77:$O$77,1),0)+IF(F$4=12,INDEX('CF Summary'!$B$23:$G$23,F$3+1)*INDEX(Inputs!$B$77:$O$77,2),0)</f>
        <v>12441.6666666667</v>
      </c>
      <c r="G9" s="11" t="n">
        <f aca="false">INDEX('CF Summary'!$B$23:$G$23,G$3)*INDEX(Inputs!$B$77:$O$77,G$4+2)+IF(G$4=11,INDEX('CF Summary'!$B$23:$G$23,G$3+1)*INDEX(Inputs!$B$77:$O$77,1),0)+IF(G$4=12,INDEX('CF Summary'!$B$23:$G$23,G$3+1)*INDEX(Inputs!$B$77:$O$77,2),0)</f>
        <v>12441.6666666667</v>
      </c>
      <c r="H9" s="11" t="n">
        <f aca="false">INDEX('CF Summary'!$B$23:$G$23,H$3)*INDEX(Inputs!$B$77:$O$77,H$4+2)+IF(H$4=11,INDEX('CF Summary'!$B$23:$G$23,H$3+1)*INDEX(Inputs!$B$77:$O$77,1),0)+IF(H$4=12,INDEX('CF Summary'!$B$23:$G$23,H$3+1)*INDEX(Inputs!$B$77:$O$77,2),0)</f>
        <v>12441.6666666667</v>
      </c>
      <c r="I9" s="11" t="n">
        <f aca="false">INDEX('CF Summary'!$B$23:$G$23,I$3)*INDEX(Inputs!$B$77:$O$77,I$4+2)+IF(I$4=11,INDEX('CF Summary'!$B$23:$G$23,I$3+1)*INDEX(Inputs!$B$77:$O$77,1),0)+IF(I$4=12,INDEX('CF Summary'!$B$23:$G$23,I$3+1)*INDEX(Inputs!$B$77:$O$77,2),0)</f>
        <v>12441.6666666667</v>
      </c>
      <c r="J9" s="11" t="n">
        <f aca="false">INDEX('CF Summary'!$B$23:$G$23,J$3)*INDEX(Inputs!$B$77:$O$77,J$4+2)+IF(J$4=11,INDEX('CF Summary'!$B$23:$G$23,J$3+1)*INDEX(Inputs!$B$77:$O$77,1),0)+IF(J$4=12,INDEX('CF Summary'!$B$23:$G$23,J$3+1)*INDEX(Inputs!$B$77:$O$77,2),0)</f>
        <v>12441.6666666667</v>
      </c>
      <c r="K9" s="11" t="n">
        <f aca="false">INDEX('CF Summary'!$B$23:$G$23,K$3)*INDEX(Inputs!$B$77:$O$77,K$4+2)+IF(K$4=11,INDEX('CF Summary'!$B$23:$G$23,K$3+1)*INDEX(Inputs!$B$77:$O$77,1),0)+IF(K$4=12,INDEX('CF Summary'!$B$23:$G$23,K$3+1)*INDEX(Inputs!$B$77:$O$77,2),0)</f>
        <v>12441.6666666667</v>
      </c>
      <c r="L9" s="11" t="n">
        <f aca="false">INDEX('CF Summary'!$B$23:$G$23,L$3)*INDEX(Inputs!$B$77:$O$77,L$4+2)+IF(L$4=11,INDEX('CF Summary'!$B$23:$G$23,L$3+1)*INDEX(Inputs!$B$77:$O$77,1),0)+IF(L$4=12,INDEX('CF Summary'!$B$23:$G$23,L$3+1)*INDEX(Inputs!$B$77:$O$77,2),0)</f>
        <v>12441.6666666667</v>
      </c>
      <c r="M9" s="11" t="n">
        <f aca="false">INDEX('CF Summary'!$B$23:$G$23,M$3)*INDEX(Inputs!$B$77:$O$77,M$4+2)+IF(M$4=11,INDEX('CF Summary'!$B$23:$G$23,M$3+1)*INDEX(Inputs!$B$77:$O$77,1),0)+IF(M$4=12,INDEX('CF Summary'!$B$23:$G$23,M$3+1)*INDEX(Inputs!$B$77:$O$77,2),0)</f>
        <v>12441.6666666667</v>
      </c>
      <c r="N9" s="11" t="n">
        <f aca="false">INDEX('CF Summary'!$B$23:$G$23,N$3)*INDEX(Inputs!$B$77:$O$77,N$4+2)+IF(N$4=11,INDEX('CF Summary'!$B$23:$G$23,N$3+1)*INDEX(Inputs!$B$77:$O$77,1),0)+IF(N$4=12,INDEX('CF Summary'!$B$23:$G$23,N$3+1)*INDEX(Inputs!$B$77:$O$77,2),0)</f>
        <v>11833.752585</v>
      </c>
      <c r="O9" s="11" t="n">
        <f aca="false">INDEX('CF Summary'!$B$23:$G$23,O$3)*INDEX(Inputs!$B$77:$O$77,O$4+2)+IF(O$4=11,INDEX('CF Summary'!$B$23:$G$23,O$3+1)*INDEX(Inputs!$B$77:$O$77,1),0)+IF(O$4=12,INDEX('CF Summary'!$B$23:$G$23,O$3+1)*INDEX(Inputs!$B$77:$O$77,2),0)</f>
        <v>11833.752585</v>
      </c>
      <c r="P9" s="11" t="n">
        <f aca="false">INDEX('CF Summary'!$B$23:$G$23,P$3)*INDEX(Inputs!$B$77:$O$77,P$4+2)+IF(P$4=11,INDEX('CF Summary'!$B$23:$G$23,P$3+1)*INDEX(Inputs!$B$77:$O$77,1),0)+IF(P$4=12,INDEX('CF Summary'!$B$23:$G$23,P$3+1)*INDEX(Inputs!$B$77:$O$77,2),0)</f>
        <v>11833.752585</v>
      </c>
      <c r="Q9" s="11" t="n">
        <f aca="false">INDEX('CF Summary'!$B$23:$G$23,Q$3)*INDEX(Inputs!$B$77:$O$77,Q$4+2)+IF(Q$4=11,INDEX('CF Summary'!$B$23:$G$23,Q$3+1)*INDEX(Inputs!$B$77:$O$77,1),0)+IF(Q$4=12,INDEX('CF Summary'!$B$23:$G$23,Q$3+1)*INDEX(Inputs!$B$77:$O$77,2),0)</f>
        <v>11833.752585</v>
      </c>
      <c r="R9" s="11" t="n">
        <f aca="false">INDEX('CF Summary'!$B$23:$G$23,R$3)*INDEX(Inputs!$B$77:$O$77,R$4+2)+IF(R$4=11,INDEX('CF Summary'!$B$23:$G$23,R$3+1)*INDEX(Inputs!$B$77:$O$77,1),0)+IF(R$4=12,INDEX('CF Summary'!$B$23:$G$23,R$3+1)*INDEX(Inputs!$B$77:$O$77,2),0)</f>
        <v>11833.752585</v>
      </c>
      <c r="S9" s="11" t="n">
        <f aca="false">INDEX('CF Summary'!$B$23:$G$23,S$3)*INDEX(Inputs!$B$77:$O$77,S$4+2)+IF(S$4=11,INDEX('CF Summary'!$B$23:$G$23,S$3+1)*INDEX(Inputs!$B$77:$O$77,1),0)+IF(S$4=12,INDEX('CF Summary'!$B$23:$G$23,S$3+1)*INDEX(Inputs!$B$77:$O$77,2),0)</f>
        <v>11833.752585</v>
      </c>
      <c r="T9" s="11" t="n">
        <f aca="false">INDEX('CF Summary'!$B$23:$G$23,T$3)*INDEX(Inputs!$B$77:$O$77,T$4+2)+IF(T$4=11,INDEX('CF Summary'!$B$23:$G$23,T$3+1)*INDEX(Inputs!$B$77:$O$77,1),0)+IF(T$4=12,INDEX('CF Summary'!$B$23:$G$23,T$3+1)*INDEX(Inputs!$B$77:$O$77,2),0)</f>
        <v>11833.752585</v>
      </c>
      <c r="U9" s="11" t="n">
        <f aca="false">INDEX('CF Summary'!$B$23:$G$23,U$3)*INDEX(Inputs!$B$77:$O$77,U$4+2)+IF(U$4=11,INDEX('CF Summary'!$B$23:$G$23,U$3+1)*INDEX(Inputs!$B$77:$O$77,1),0)+IF(U$4=12,INDEX('CF Summary'!$B$23:$G$23,U$3+1)*INDEX(Inputs!$B$77:$O$77,2),0)</f>
        <v>11833.752585</v>
      </c>
      <c r="V9" s="11" t="n">
        <f aca="false">INDEX('CF Summary'!$B$23:$G$23,V$3)*INDEX(Inputs!$B$77:$O$77,V$4+2)+IF(V$4=11,INDEX('CF Summary'!$B$23:$G$23,V$3+1)*INDEX(Inputs!$B$77:$O$77,1),0)+IF(V$4=12,INDEX('CF Summary'!$B$23:$G$23,V$3+1)*INDEX(Inputs!$B$77:$O$77,2),0)</f>
        <v>11833.752585</v>
      </c>
      <c r="W9" s="11" t="n">
        <f aca="false">INDEX('CF Summary'!$B$23:$G$23,W$3)*INDEX(Inputs!$B$77:$O$77,W$4+2)+IF(W$4=11,INDEX('CF Summary'!$B$23:$G$23,W$3+1)*INDEX(Inputs!$B$77:$O$77,1),0)+IF(W$4=12,INDEX('CF Summary'!$B$23:$G$23,W$3+1)*INDEX(Inputs!$B$77:$O$77,2),0)</f>
        <v>11833.752585</v>
      </c>
      <c r="X9" s="11" t="n">
        <f aca="false">INDEX('CF Summary'!$B$23:$G$23,X$3)*INDEX(Inputs!$B$77:$O$77,X$4+2)+IF(X$4=11,INDEX('CF Summary'!$B$23:$G$23,X$3+1)*INDEX(Inputs!$B$77:$O$77,1),0)+IF(X$4=12,INDEX('CF Summary'!$B$23:$G$23,X$3+1)*INDEX(Inputs!$B$77:$O$77,2),0)</f>
        <v>11833.752585</v>
      </c>
      <c r="Y9" s="11" t="n">
        <f aca="false">INDEX('CF Summary'!$B$23:$G$23,Y$3)*INDEX(Inputs!$B$77:$O$77,Y$4+2)+IF(Y$4=11,INDEX('CF Summary'!$B$23:$G$23,Y$3+1)*INDEX(Inputs!$B$77:$O$77,1),0)+IF(Y$4=12,INDEX('CF Summary'!$B$23:$G$23,Y$3+1)*INDEX(Inputs!$B$77:$O$77,2),0)</f>
        <v>11833.752585</v>
      </c>
      <c r="Z9" s="11" t="n">
        <f aca="false">INDEX('CF Summary'!$B$23:$G$23,Z$3)*INDEX(Inputs!$B$77:$O$77,Z$4+2)+IF(Z$4=11,INDEX('CF Summary'!$B$23:$G$23,Z$3+1)*INDEX(Inputs!$B$77:$O$77,1),0)+IF(Z$4=12,INDEX('CF Summary'!$B$23:$G$23,Z$3+1)*INDEX(Inputs!$B$77:$O$77,2),0)</f>
        <v>11833.752585</v>
      </c>
      <c r="AA9" s="11" t="n">
        <f aca="false">INDEX('CF Summary'!$B$23:$G$23,AA$3)*INDEX(Inputs!$B$77:$O$77,AA$4+2)+IF(AA$4=11,INDEX('CF Summary'!$B$23:$G$23,AA$3+1)*INDEX(Inputs!$B$77:$O$77,1),0)+IF(AA$4=12,INDEX('CF Summary'!$B$23:$G$23,AA$3+1)*INDEX(Inputs!$B$77:$O$77,2),0)</f>
        <v>11833.752585</v>
      </c>
      <c r="AB9" s="11" t="n">
        <f aca="false">INDEX('CF Summary'!$B$23:$G$23,AB$3)*INDEX(Inputs!$B$77:$O$77,AB$4+2)+IF(AB$4=11,INDEX('CF Summary'!$B$23:$G$23,AB$3+1)*INDEX(Inputs!$B$77:$O$77,1),0)+IF(AB$4=12,INDEX('CF Summary'!$B$23:$G$23,AB$3+1)*INDEX(Inputs!$B$77:$O$77,2),0)</f>
        <v>11833.752585</v>
      </c>
      <c r="AC9" s="11" t="n">
        <f aca="false">INDEX('CF Summary'!$B$23:$G$23,AC$3)*INDEX(Inputs!$B$77:$O$77,AC$4+2)+IF(AC$4=11,INDEX('CF Summary'!$B$23:$G$23,AC$3+1)*INDEX(Inputs!$B$77:$O$77,1),0)+IF(AC$4=12,INDEX('CF Summary'!$B$23:$G$23,AC$3+1)*INDEX(Inputs!$B$77:$O$77,2),0)</f>
        <v>11833.752585</v>
      </c>
      <c r="AD9" s="11" t="n">
        <f aca="false">INDEX('CF Summary'!$B$23:$G$23,AD$3)*INDEX(Inputs!$B$77:$O$77,AD$4+2)+IF(AD$4=11,INDEX('CF Summary'!$B$23:$G$23,AD$3+1)*INDEX(Inputs!$B$77:$O$77,1),0)+IF(AD$4=12,INDEX('CF Summary'!$B$23:$G$23,AD$3+1)*INDEX(Inputs!$B$77:$O$77,2),0)</f>
        <v>11833.752585</v>
      </c>
      <c r="AE9" s="11" t="n">
        <f aca="false">INDEX('CF Summary'!$B$23:$G$23,AE$3)*INDEX(Inputs!$B$77:$O$77,AE$4+2)+IF(AE$4=11,INDEX('CF Summary'!$B$23:$G$23,AE$3+1)*INDEX(Inputs!$B$77:$O$77,1),0)+IF(AE$4=12,INDEX('CF Summary'!$B$23:$G$23,AE$3+1)*INDEX(Inputs!$B$77:$O$77,2),0)</f>
        <v>11833.752585</v>
      </c>
      <c r="AF9" s="11" t="n">
        <f aca="false">INDEX('CF Summary'!$B$23:$G$23,AF$3)*INDEX(Inputs!$B$77:$O$77,AF$4+2)+IF(AF$4=11,INDEX('CF Summary'!$B$23:$G$23,AF$3+1)*INDEX(Inputs!$B$77:$O$77,1),0)+IF(AF$4=12,INDEX('CF Summary'!$B$23:$G$23,AF$3+1)*INDEX(Inputs!$B$77:$O$77,2),0)</f>
        <v>11833.752585</v>
      </c>
      <c r="AG9" s="11" t="n">
        <f aca="false">INDEX('CF Summary'!$B$23:$G$23,AG$3)*INDEX(Inputs!$B$77:$O$77,AG$4+2)+IF(AG$4=11,INDEX('CF Summary'!$B$23:$G$23,AG$3+1)*INDEX(Inputs!$B$77:$O$77,1),0)+IF(AG$4=12,INDEX('CF Summary'!$B$23:$G$23,AG$3+1)*INDEX(Inputs!$B$77:$O$77,2),0)</f>
        <v>11833.752585</v>
      </c>
      <c r="AH9" s="11" t="n">
        <f aca="false">INDEX('CF Summary'!$B$23:$G$23,AH$3)*INDEX(Inputs!$B$77:$O$77,AH$4+2)+IF(AH$4=11,INDEX('CF Summary'!$B$23:$G$23,AH$3+1)*INDEX(Inputs!$B$77:$O$77,1),0)+IF(AH$4=12,INDEX('CF Summary'!$B$23:$G$23,AH$3+1)*INDEX(Inputs!$B$77:$O$77,2),0)</f>
        <v>11833.752585</v>
      </c>
      <c r="AI9" s="11" t="n">
        <f aca="false">INDEX('CF Summary'!$B$23:$G$23,AI$3)*INDEX(Inputs!$B$77:$O$77,AI$4+2)+IF(AI$4=11,INDEX('CF Summary'!$B$23:$G$23,AI$3+1)*INDEX(Inputs!$B$77:$O$77,1),0)+IF(AI$4=12,INDEX('CF Summary'!$B$23:$G$23,AI$3+1)*INDEX(Inputs!$B$77:$O$77,2),0)</f>
        <v>11833.752585</v>
      </c>
      <c r="AJ9" s="11" t="n">
        <f aca="false">INDEX('CF Summary'!$B$23:$G$23,AJ$3)*INDEX(Inputs!$B$77:$O$77,AJ$4+2)+IF(AJ$4=11,INDEX('CF Summary'!$B$23:$G$23,AJ$3+1)*INDEX(Inputs!$B$77:$O$77,1),0)+IF(AJ$4=12,INDEX('CF Summary'!$B$23:$G$23,AJ$3+1)*INDEX(Inputs!$B$77:$O$77,2),0)</f>
        <v>11833.752585</v>
      </c>
      <c r="AK9" s="11" t="n">
        <f aca="false">INDEX('CF Summary'!$B$23:$G$23,AK$3)*INDEX(Inputs!$B$77:$O$77,AK$4+2)+IF(AK$4=11,INDEX('CF Summary'!$B$23:$G$23,AK$3+1)*INDEX(Inputs!$B$77:$O$77,1),0)+IF(AK$4=12,INDEX('CF Summary'!$B$23:$G$23,AK$3+1)*INDEX(Inputs!$B$77:$O$77,2),0)</f>
        <v>11833.752585</v>
      </c>
      <c r="AL9" s="11" t="n">
        <f aca="false">INDEX('CF Summary'!$B$23:$G$23,AL$3)*INDEX(Inputs!$B$77:$O$77,AL$4+2)+IF(AL$4=11,INDEX('CF Summary'!$B$23:$G$23,AL$3+1)*INDEX(Inputs!$B$77:$O$77,1),0)+IF(AL$4=12,INDEX('CF Summary'!$B$23:$G$23,AL$3+1)*INDEX(Inputs!$B$77:$O$77,2),0)</f>
        <v>11833.752585</v>
      </c>
      <c r="AM9" s="11" t="n">
        <f aca="false">INDEX('CF Summary'!$B$23:$G$23,AM$3)*INDEX(Inputs!$B$77:$O$77,AM$4+2)+IF(AM$4=11,INDEX('CF Summary'!$B$23:$G$23,AM$3+1)*INDEX(Inputs!$B$77:$O$77,1),0)+IF(AM$4=12,INDEX('CF Summary'!$B$23:$G$23,AM$3+1)*INDEX(Inputs!$B$77:$O$77,2),0)</f>
        <v>11833.752585</v>
      </c>
      <c r="AN9" s="11" t="n">
        <f aca="false">INDEX('CF Summary'!$B$23:$G$23,AN$3)*INDEX(Inputs!$B$77:$O$77,AN$4+2)+IF(AN$4=11,INDEX('CF Summary'!$B$23:$G$23,AN$3+1)*INDEX(Inputs!$B$77:$O$77,1),0)+IF(AN$4=12,INDEX('CF Summary'!$B$23:$G$23,AN$3+1)*INDEX(Inputs!$B$77:$O$77,2),0)</f>
        <v>11833.752585</v>
      </c>
      <c r="AO9" s="11" t="n">
        <f aca="false">INDEX('CF Summary'!$B$23:$G$23,AO$3)*INDEX(Inputs!$B$77:$O$77,AO$4+2)+IF(AO$4=11,INDEX('CF Summary'!$B$23:$G$23,AO$3+1)*INDEX(Inputs!$B$77:$O$77,1),0)+IF(AO$4=12,INDEX('CF Summary'!$B$23:$G$23,AO$3+1)*INDEX(Inputs!$B$77:$O$77,2),0)</f>
        <v>11833.752585</v>
      </c>
      <c r="AP9" s="11" t="n">
        <f aca="false">INDEX('CF Summary'!$B$23:$G$23,AP$3)*INDEX(Inputs!$B$77:$O$77,AP$4+2)+IF(AP$4=11,INDEX('CF Summary'!$B$23:$G$23,AP$3+1)*INDEX(Inputs!$B$77:$O$77,1),0)+IF(AP$4=12,INDEX('CF Summary'!$B$23:$G$23,AP$3+1)*INDEX(Inputs!$B$77:$O$77,2),0)</f>
        <v>11833.752585</v>
      </c>
      <c r="AQ9" s="11" t="n">
        <f aca="false">INDEX('CF Summary'!$B$23:$G$23,AQ$3)*INDEX(Inputs!$B$77:$O$77,AQ$4+2)+IF(AQ$4=11,INDEX('CF Summary'!$B$23:$G$23,AQ$3+1)*INDEX(Inputs!$B$77:$O$77,1),0)+IF(AQ$4=12,INDEX('CF Summary'!$B$23:$G$23,AQ$3+1)*INDEX(Inputs!$B$77:$O$77,2),0)</f>
        <v>11833.752585</v>
      </c>
      <c r="AR9" s="11" t="n">
        <f aca="false">INDEX('CF Summary'!$B$23:$G$23,AR$3)*INDEX(Inputs!$B$77:$O$77,AR$4+2)+IF(AR$4=11,INDEX('CF Summary'!$B$23:$G$23,AR$3+1)*INDEX(Inputs!$B$77:$O$77,1),0)+IF(AR$4=12,INDEX('CF Summary'!$B$23:$G$23,AR$3+1)*INDEX(Inputs!$B$77:$O$77,2),0)</f>
        <v>11833.752585</v>
      </c>
      <c r="AS9" s="11" t="n">
        <f aca="false">INDEX('CF Summary'!$B$23:$G$23,AS$3)*INDEX(Inputs!$B$77:$O$77,AS$4+2)+IF(AS$4=11,INDEX('CF Summary'!$B$23:$G$23,AS$3+1)*INDEX(Inputs!$B$77:$O$77,1),0)+IF(AS$4=12,INDEX('CF Summary'!$B$23:$G$23,AS$3+1)*INDEX(Inputs!$B$77:$O$77,2),0)</f>
        <v>11833.752585</v>
      </c>
      <c r="AT9" s="11" t="n">
        <f aca="false">INDEX('CF Summary'!$B$23:$G$23,AT$3)*INDEX(Inputs!$B$77:$O$77,AT$4+2)+IF(AT$4=11,INDEX('CF Summary'!$B$23:$G$23,AT$3+1)*INDEX(Inputs!$B$77:$O$77,1),0)+IF(AT$4=12,INDEX('CF Summary'!$B$23:$G$23,AT$3+1)*INDEX(Inputs!$B$77:$O$77,2),0)</f>
        <v>11833.752585</v>
      </c>
      <c r="AU9" s="11" t="n">
        <f aca="false">INDEX('CF Summary'!$B$23:$G$23,AU$3)*INDEX(Inputs!$B$77:$O$77,AU$4+2)+IF(AU$4=11,INDEX('CF Summary'!$B$23:$G$23,AU$3+1)*INDEX(Inputs!$B$77:$O$77,1),0)+IF(AU$4=12,INDEX('CF Summary'!$B$23:$G$23,AU$3+1)*INDEX(Inputs!$B$77:$O$77,2),0)</f>
        <v>11833.752585</v>
      </c>
      <c r="AV9" s="11" t="n">
        <f aca="false">INDEX('CF Summary'!$B$23:$G$23,AV$3)*INDEX(Inputs!$B$77:$O$77,AV$4+2)+IF(AV$4=11,INDEX('CF Summary'!$B$23:$G$23,AV$3+1)*INDEX(Inputs!$B$77:$O$77,1),0)+IF(AV$4=12,INDEX('CF Summary'!$B$23:$G$23,AV$3+1)*INDEX(Inputs!$B$77:$O$77,2),0)</f>
        <v>11833.752585</v>
      </c>
      <c r="AW9" s="11" t="n">
        <f aca="false">INDEX('CF Summary'!$B$23:$G$23,AW$3)*INDEX(Inputs!$B$77:$O$77,AW$4+2)+IF(AW$4=11,INDEX('CF Summary'!$B$23:$G$23,AW$3+1)*INDEX(Inputs!$B$77:$O$77,1),0)+IF(AW$4=12,INDEX('CF Summary'!$B$23:$G$23,AW$3+1)*INDEX(Inputs!$B$77:$O$77,2),0)</f>
        <v>11833.752585</v>
      </c>
      <c r="AX9" s="11" t="n">
        <f aca="false">INDEX('CF Summary'!$B$23:$G$23,AX$3)*INDEX(Inputs!$B$77:$O$77,AX$4+2)+IF(AX$4=11,INDEX('CF Summary'!$B$23:$G$23,AX$3+1)*INDEX(Inputs!$B$77:$O$77,1),0)+IF(AX$4=12,INDEX('CF Summary'!$B$23:$G$23,AX$3+1)*INDEX(Inputs!$B$77:$O$77,2),0)</f>
        <v>11833.752585</v>
      </c>
      <c r="AY9" s="11" t="n">
        <f aca="false">INDEX('CF Summary'!$B$23:$G$23,AY$3)*INDEX(Inputs!$B$77:$O$77,AY$4+2)+IF(AY$4=11,INDEX('CF Summary'!$B$23:$G$23,AY$3+1)*INDEX(Inputs!$B$77:$O$77,1),0)+IF(AY$4=12,INDEX('CF Summary'!$B$23:$G$23,AY$3+1)*INDEX(Inputs!$B$77:$O$77,2),0)</f>
        <v>11833.752585</v>
      </c>
      <c r="AZ9" s="11" t="n">
        <f aca="false">INDEX('CF Summary'!$B$23:$G$23,AZ$3)*INDEX(Inputs!$B$77:$O$77,AZ$4+2)+IF(AZ$4=11,INDEX('CF Summary'!$B$23:$G$23,AZ$3+1)*INDEX(Inputs!$B$77:$O$77,1),0)+IF(AZ$4=12,INDEX('CF Summary'!$B$23:$G$23,AZ$3+1)*INDEX(Inputs!$B$77:$O$77,2),0)</f>
        <v>11833.752585</v>
      </c>
      <c r="BA9" s="11" t="n">
        <f aca="false">INDEX('CF Summary'!$B$23:$G$23,BA$3)*INDEX(Inputs!$B$77:$O$77,BA$4+2)+IF(BA$4=11,INDEX('CF Summary'!$B$23:$G$23,BA$3+1)*INDEX(Inputs!$B$77:$O$77,1),0)+IF(BA$4=12,INDEX('CF Summary'!$B$23:$G$23,BA$3+1)*INDEX(Inputs!$B$77:$O$77,2),0)</f>
        <v>11833.752585</v>
      </c>
      <c r="BB9" s="11" t="n">
        <f aca="false">INDEX('CF Summary'!$B$23:$G$23,BB$3)*INDEX(Inputs!$B$77:$O$77,BB$4+2)+IF(BB$4=11,INDEX('CF Summary'!$B$23:$G$23,BB$3+1)*INDEX(Inputs!$B$77:$O$77,1),0)+IF(BB$4=12,INDEX('CF Summary'!$B$23:$G$23,BB$3+1)*INDEX(Inputs!$B$77:$O$77,2),0)</f>
        <v>11833.752585</v>
      </c>
      <c r="BC9" s="11" t="n">
        <f aca="false">INDEX('CF Summary'!$B$23:$G$23,BC$3)*INDEX(Inputs!$B$77:$O$77,BC$4+2)+IF(BC$4=11,INDEX('CF Summary'!$B$23:$G$23,BC$3+1)*INDEX(Inputs!$B$77:$O$77,1),0)+IF(BC$4=12,INDEX('CF Summary'!$B$23:$G$23,BC$3+1)*INDEX(Inputs!$B$77:$O$77,2),0)</f>
        <v>11833.752585</v>
      </c>
      <c r="BD9" s="11" t="n">
        <f aca="false">INDEX('CF Summary'!$B$23:$G$23,BD$3)*INDEX(Inputs!$B$77:$O$77,BD$4+2)+IF(BD$4=11,INDEX('CF Summary'!$B$23:$G$23,BD$3+1)*INDEX(Inputs!$B$77:$O$77,1),0)+IF(BD$4=12,INDEX('CF Summary'!$B$23:$G$23,BD$3+1)*INDEX(Inputs!$B$77:$O$77,2),0)</f>
        <v>11833.752585</v>
      </c>
      <c r="BE9" s="11" t="n">
        <f aca="false">INDEX('CF Summary'!$B$23:$G$23,BE$3)*INDEX(Inputs!$B$77:$O$77,BE$4+2)+IF(BE$4=11,INDEX('CF Summary'!$B$23:$G$23,BE$3+1)*INDEX(Inputs!$B$77:$O$77,1),0)+IF(BE$4=12,INDEX('CF Summary'!$B$23:$G$23,BE$3+1)*INDEX(Inputs!$B$77:$O$77,2),0)</f>
        <v>11833.752585</v>
      </c>
      <c r="BF9" s="11" t="n">
        <f aca="false">INDEX('CF Summary'!$B$23:$G$23,BF$3)*INDEX(Inputs!$B$77:$O$77,BF$4+2)+IF(BF$4=11,INDEX('CF Summary'!$B$23:$G$23,BF$3+1)*INDEX(Inputs!$B$77:$O$77,1),0)+IF(BF$4=12,INDEX('CF Summary'!$B$23:$G$23,BF$3+1)*INDEX(Inputs!$B$77:$O$77,2),0)</f>
        <v>11833.752585</v>
      </c>
      <c r="BG9" s="11" t="n">
        <f aca="false">INDEX('CF Summary'!$B$23:$G$23,BG$3)*INDEX(Inputs!$B$77:$O$77,BG$4+2)+IF(BG$4=11,INDEX('CF Summary'!$B$23:$G$23,BG$3+1)*INDEX(Inputs!$B$77:$O$77,1),0)+IF(BG$4=12,INDEX('CF Summary'!$B$23:$G$23,BG$3+1)*INDEX(Inputs!$B$77:$O$77,2),0)</f>
        <v>11833.752585</v>
      </c>
      <c r="BH9" s="11" t="n">
        <f aca="false">INDEX('CF Summary'!$B$23:$G$23,BH$3)*INDEX(Inputs!$B$77:$O$77,BH$4+2)+IF(BH$4=11,INDEX('CF Summary'!$B$23:$G$23,BH$3+1)*INDEX(Inputs!$B$77:$O$77,1),0)+IF(BH$4=12,INDEX('CF Summary'!$B$23:$G$23,BH$3+1)*INDEX(Inputs!$B$77:$O$77,2),0)</f>
        <v>11833.752585</v>
      </c>
      <c r="BI9" s="11" t="n">
        <f aca="false">INDEX('CF Summary'!$B$23:$G$23,BI$3)*INDEX(Inputs!$B$77:$O$77,BI$4+2)+IF(BI$4=11,INDEX('CF Summary'!$B$23:$G$23,BI$3+1)*INDEX(Inputs!$B$77:$O$77,1),0)+IF(BI$4=12,INDEX('CF Summary'!$B$23:$G$23,BI$3+1)*INDEX(Inputs!$B$77:$O$77,2),0)</f>
        <v>11833.752585</v>
      </c>
    </row>
    <row r="10" customFormat="false" ht="15" hidden="false" customHeight="false" outlineLevel="0" collapsed="false">
      <c r="A10" s="6" t="s">
        <v>576</v>
      </c>
      <c r="B10" s="11" t="n">
        <f aca="false">INDEX('CF Summary'!$B$24:$G$24,B$3)*INDEX(Inputs!$B$78:$O$78,B$4+2)+IF(B$4=11,INDEX('CF Summary'!$B$24:$G$24,B$3+1)*INDEX(Inputs!$B$78:$O$78,1),0)+IF(B$4=12,INDEX('CF Summary'!$B$24:$G$24,B$3+1)*INDEX(Inputs!$B$78:$O$78,2),0)</f>
        <v>562300</v>
      </c>
      <c r="C10" s="11" t="n">
        <f aca="false">INDEX('CF Summary'!$B$24:$G$24,C$3)*INDEX(Inputs!$B$78:$O$78,C$4+2)+IF(C$4=11,INDEX('CF Summary'!$B$24:$G$24,C$3+1)*INDEX(Inputs!$B$78:$O$78,1),0)+IF(C$4=12,INDEX('CF Summary'!$B$24:$G$24,C$3+1)*INDEX(Inputs!$B$78:$O$78,2),0)</f>
        <v>0</v>
      </c>
      <c r="D10" s="11" t="n">
        <f aca="false">INDEX('CF Summary'!$B$24:$G$24,D$3)*INDEX(Inputs!$B$78:$O$78,D$4+2)+IF(D$4=11,INDEX('CF Summary'!$B$24:$G$24,D$3+1)*INDEX(Inputs!$B$78:$O$78,1),0)+IF(D$4=12,INDEX('CF Summary'!$B$24:$G$24,D$3+1)*INDEX(Inputs!$B$78:$O$78,2),0)</f>
        <v>0</v>
      </c>
      <c r="E10" s="11" t="n">
        <f aca="false">INDEX('CF Summary'!$B$24:$G$24,E$3)*INDEX(Inputs!$B$78:$O$78,E$4+2)+IF(E$4=11,INDEX('CF Summary'!$B$24:$G$24,E$3+1)*INDEX(Inputs!$B$78:$O$78,1),0)+IF(E$4=12,INDEX('CF Summary'!$B$24:$G$24,E$3+1)*INDEX(Inputs!$B$78:$O$78,2),0)</f>
        <v>0</v>
      </c>
      <c r="F10" s="11" t="n">
        <f aca="false">INDEX('CF Summary'!$B$24:$G$24,F$3)*INDEX(Inputs!$B$78:$O$78,F$4+2)+IF(F$4=11,INDEX('CF Summary'!$B$24:$G$24,F$3+1)*INDEX(Inputs!$B$78:$O$78,1),0)+IF(F$4=12,INDEX('CF Summary'!$B$24:$G$24,F$3+1)*INDEX(Inputs!$B$78:$O$78,2),0)</f>
        <v>0</v>
      </c>
      <c r="G10" s="11" t="n">
        <f aca="false">INDEX('CF Summary'!$B$24:$G$24,G$3)*INDEX(Inputs!$B$78:$O$78,G$4+2)+IF(G$4=11,INDEX('CF Summary'!$B$24:$G$24,G$3+1)*INDEX(Inputs!$B$78:$O$78,1),0)+IF(G$4=12,INDEX('CF Summary'!$B$24:$G$24,G$3+1)*INDEX(Inputs!$B$78:$O$78,2),0)</f>
        <v>0</v>
      </c>
      <c r="H10" s="11" t="n">
        <f aca="false">INDEX('CF Summary'!$B$24:$G$24,H$3)*INDEX(Inputs!$B$78:$O$78,H$4+2)+IF(H$4=11,INDEX('CF Summary'!$B$24:$G$24,H$3+1)*INDEX(Inputs!$B$78:$O$78,1),0)+IF(H$4=12,INDEX('CF Summary'!$B$24:$G$24,H$3+1)*INDEX(Inputs!$B$78:$O$78,2),0)</f>
        <v>0</v>
      </c>
      <c r="I10" s="11" t="n">
        <f aca="false">INDEX('CF Summary'!$B$24:$G$24,I$3)*INDEX(Inputs!$B$78:$O$78,I$4+2)+IF(I$4=11,INDEX('CF Summary'!$B$24:$G$24,I$3+1)*INDEX(Inputs!$B$78:$O$78,1),0)+IF(I$4=12,INDEX('CF Summary'!$B$24:$G$24,I$3+1)*INDEX(Inputs!$B$78:$O$78,2),0)</f>
        <v>0</v>
      </c>
      <c r="J10" s="11" t="n">
        <f aca="false">INDEX('CF Summary'!$B$24:$G$24,J$3)*INDEX(Inputs!$B$78:$O$78,J$4+2)+IF(J$4=11,INDEX('CF Summary'!$B$24:$G$24,J$3+1)*INDEX(Inputs!$B$78:$O$78,1),0)+IF(J$4=12,INDEX('CF Summary'!$B$24:$G$24,J$3+1)*INDEX(Inputs!$B$78:$O$78,2),0)</f>
        <v>0</v>
      </c>
      <c r="K10" s="11" t="n">
        <f aca="false">INDEX('CF Summary'!$B$24:$G$24,K$3)*INDEX(Inputs!$B$78:$O$78,K$4+2)+IF(K$4=11,INDEX('CF Summary'!$B$24:$G$24,K$3+1)*INDEX(Inputs!$B$78:$O$78,1),0)+IF(K$4=12,INDEX('CF Summary'!$B$24:$G$24,K$3+1)*INDEX(Inputs!$B$78:$O$78,2),0)</f>
        <v>0</v>
      </c>
      <c r="L10" s="11" t="n">
        <f aca="false">INDEX('CF Summary'!$B$24:$G$24,L$3)*INDEX(Inputs!$B$78:$O$78,L$4+2)+IF(L$4=11,INDEX('CF Summary'!$B$24:$G$24,L$3+1)*INDEX(Inputs!$B$78:$O$78,1),0)+IF(L$4=12,INDEX('CF Summary'!$B$24:$G$24,L$3+1)*INDEX(Inputs!$B$78:$O$78,2),0)</f>
        <v>0</v>
      </c>
      <c r="M10" s="11" t="n">
        <f aca="false">INDEX('CF Summary'!$B$24:$G$24,M$3)*INDEX(Inputs!$B$78:$O$78,M$4+2)+IF(M$4=11,INDEX('CF Summary'!$B$24:$G$24,M$3+1)*INDEX(Inputs!$B$78:$O$78,1),0)+IF(M$4=12,INDEX('CF Summary'!$B$24:$G$24,M$3+1)*INDEX(Inputs!$B$78:$O$78,2),0)</f>
        <v>0</v>
      </c>
      <c r="N10" s="11" t="n">
        <f aca="false">INDEX('CF Summary'!$B$24:$G$24,N$3)*INDEX(Inputs!$B$78:$O$78,N$4+2)+IF(N$4=11,INDEX('CF Summary'!$B$24:$G$24,N$3+1)*INDEX(Inputs!$B$78:$O$78,1),0)+IF(N$4=12,INDEX('CF Summary'!$B$24:$G$24,N$3+1)*INDEX(Inputs!$B$78:$O$78,2),0)</f>
        <v>479809.793814433</v>
      </c>
      <c r="O10" s="11" t="n">
        <f aca="false">INDEX('CF Summary'!$B$24:$G$24,O$3)*INDEX(Inputs!$B$78:$O$78,O$4+2)+IF(O$4=11,INDEX('CF Summary'!$B$24:$G$24,O$3+1)*INDEX(Inputs!$B$78:$O$78,1),0)+IF(O$4=12,INDEX('CF Summary'!$B$24:$G$24,O$3+1)*INDEX(Inputs!$B$78:$O$78,2),0)</f>
        <v>0</v>
      </c>
      <c r="P10" s="11" t="n">
        <f aca="false">INDEX('CF Summary'!$B$24:$G$24,P$3)*INDEX(Inputs!$B$78:$O$78,P$4+2)+IF(P$4=11,INDEX('CF Summary'!$B$24:$G$24,P$3+1)*INDEX(Inputs!$B$78:$O$78,1),0)+IF(P$4=12,INDEX('CF Summary'!$B$24:$G$24,P$3+1)*INDEX(Inputs!$B$78:$O$78,2),0)</f>
        <v>0</v>
      </c>
      <c r="Q10" s="11" t="n">
        <f aca="false">INDEX('CF Summary'!$B$24:$G$24,Q$3)*INDEX(Inputs!$B$78:$O$78,Q$4+2)+IF(Q$4=11,INDEX('CF Summary'!$B$24:$G$24,Q$3+1)*INDEX(Inputs!$B$78:$O$78,1),0)+IF(Q$4=12,INDEX('CF Summary'!$B$24:$G$24,Q$3+1)*INDEX(Inputs!$B$78:$O$78,2),0)</f>
        <v>0</v>
      </c>
      <c r="R10" s="11" t="n">
        <f aca="false">INDEX('CF Summary'!$B$24:$G$24,R$3)*INDEX(Inputs!$B$78:$O$78,R$4+2)+IF(R$4=11,INDEX('CF Summary'!$B$24:$G$24,R$3+1)*INDEX(Inputs!$B$78:$O$78,1),0)+IF(R$4=12,INDEX('CF Summary'!$B$24:$G$24,R$3+1)*INDEX(Inputs!$B$78:$O$78,2),0)</f>
        <v>0</v>
      </c>
      <c r="S10" s="11" t="n">
        <f aca="false">INDEX('CF Summary'!$B$24:$G$24,S$3)*INDEX(Inputs!$B$78:$O$78,S$4+2)+IF(S$4=11,INDEX('CF Summary'!$B$24:$G$24,S$3+1)*INDEX(Inputs!$B$78:$O$78,1),0)+IF(S$4=12,INDEX('CF Summary'!$B$24:$G$24,S$3+1)*INDEX(Inputs!$B$78:$O$78,2),0)</f>
        <v>0</v>
      </c>
      <c r="T10" s="11" t="n">
        <f aca="false">INDEX('CF Summary'!$B$24:$G$24,T$3)*INDEX(Inputs!$B$78:$O$78,T$4+2)+IF(T$4=11,INDEX('CF Summary'!$B$24:$G$24,T$3+1)*INDEX(Inputs!$B$78:$O$78,1),0)+IF(T$4=12,INDEX('CF Summary'!$B$24:$G$24,T$3+1)*INDEX(Inputs!$B$78:$O$78,2),0)</f>
        <v>0</v>
      </c>
      <c r="U10" s="11" t="n">
        <f aca="false">INDEX('CF Summary'!$B$24:$G$24,U$3)*INDEX(Inputs!$B$78:$O$78,U$4+2)+IF(U$4=11,INDEX('CF Summary'!$B$24:$G$24,U$3+1)*INDEX(Inputs!$B$78:$O$78,1),0)+IF(U$4=12,INDEX('CF Summary'!$B$24:$G$24,U$3+1)*INDEX(Inputs!$B$78:$O$78,2),0)</f>
        <v>0</v>
      </c>
      <c r="V10" s="11" t="n">
        <f aca="false">INDEX('CF Summary'!$B$24:$G$24,V$3)*INDEX(Inputs!$B$78:$O$78,V$4+2)+IF(V$4=11,INDEX('CF Summary'!$B$24:$G$24,V$3+1)*INDEX(Inputs!$B$78:$O$78,1),0)+IF(V$4=12,INDEX('CF Summary'!$B$24:$G$24,V$3+1)*INDEX(Inputs!$B$78:$O$78,2),0)</f>
        <v>0</v>
      </c>
      <c r="W10" s="11" t="n">
        <f aca="false">INDEX('CF Summary'!$B$24:$G$24,W$3)*INDEX(Inputs!$B$78:$O$78,W$4+2)+IF(W$4=11,INDEX('CF Summary'!$B$24:$G$24,W$3+1)*INDEX(Inputs!$B$78:$O$78,1),0)+IF(W$4=12,INDEX('CF Summary'!$B$24:$G$24,W$3+1)*INDEX(Inputs!$B$78:$O$78,2),0)</f>
        <v>0</v>
      </c>
      <c r="X10" s="11" t="n">
        <f aca="false">INDEX('CF Summary'!$B$24:$G$24,X$3)*INDEX(Inputs!$B$78:$O$78,X$4+2)+IF(X$4=11,INDEX('CF Summary'!$B$24:$G$24,X$3+1)*INDEX(Inputs!$B$78:$O$78,1),0)+IF(X$4=12,INDEX('CF Summary'!$B$24:$G$24,X$3+1)*INDEX(Inputs!$B$78:$O$78,2),0)</f>
        <v>0</v>
      </c>
      <c r="Y10" s="11" t="n">
        <f aca="false">INDEX('CF Summary'!$B$24:$G$24,Y$3)*INDEX(Inputs!$B$78:$O$78,Y$4+2)+IF(Y$4=11,INDEX('CF Summary'!$B$24:$G$24,Y$3+1)*INDEX(Inputs!$B$78:$O$78,1),0)+IF(Y$4=12,INDEX('CF Summary'!$B$24:$G$24,Y$3+1)*INDEX(Inputs!$B$78:$O$78,2),0)</f>
        <v>0</v>
      </c>
      <c r="Z10" s="11" t="n">
        <f aca="false">INDEX('CF Summary'!$B$24:$G$24,Z$3)*INDEX(Inputs!$B$78:$O$78,Z$4+2)+IF(Z$4=11,INDEX('CF Summary'!$B$24:$G$24,Z$3+1)*INDEX(Inputs!$B$78:$O$78,1),0)+IF(Z$4=12,INDEX('CF Summary'!$B$24:$G$24,Z$3+1)*INDEX(Inputs!$B$78:$O$78,2),0)</f>
        <v>428973.195876289</v>
      </c>
      <c r="AA10" s="11" t="n">
        <f aca="false">INDEX('CF Summary'!$B$24:$G$24,AA$3)*INDEX(Inputs!$B$78:$O$78,AA$4+2)+IF(AA$4=11,INDEX('CF Summary'!$B$24:$G$24,AA$3+1)*INDEX(Inputs!$B$78:$O$78,1),0)+IF(AA$4=12,INDEX('CF Summary'!$B$24:$G$24,AA$3+1)*INDEX(Inputs!$B$78:$O$78,2),0)</f>
        <v>0</v>
      </c>
      <c r="AB10" s="11" t="n">
        <f aca="false">INDEX('CF Summary'!$B$24:$G$24,AB$3)*INDEX(Inputs!$B$78:$O$78,AB$4+2)+IF(AB$4=11,INDEX('CF Summary'!$B$24:$G$24,AB$3+1)*INDEX(Inputs!$B$78:$O$78,1),0)+IF(AB$4=12,INDEX('CF Summary'!$B$24:$G$24,AB$3+1)*INDEX(Inputs!$B$78:$O$78,2),0)</f>
        <v>0</v>
      </c>
      <c r="AC10" s="11" t="n">
        <f aca="false">INDEX('CF Summary'!$B$24:$G$24,AC$3)*INDEX(Inputs!$B$78:$O$78,AC$4+2)+IF(AC$4=11,INDEX('CF Summary'!$B$24:$G$24,AC$3+1)*INDEX(Inputs!$B$78:$O$78,1),0)+IF(AC$4=12,INDEX('CF Summary'!$B$24:$G$24,AC$3+1)*INDEX(Inputs!$B$78:$O$78,2),0)</f>
        <v>0</v>
      </c>
      <c r="AD10" s="11" t="n">
        <f aca="false">INDEX('CF Summary'!$B$24:$G$24,AD$3)*INDEX(Inputs!$B$78:$O$78,AD$4+2)+IF(AD$4=11,INDEX('CF Summary'!$B$24:$G$24,AD$3+1)*INDEX(Inputs!$B$78:$O$78,1),0)+IF(AD$4=12,INDEX('CF Summary'!$B$24:$G$24,AD$3+1)*INDEX(Inputs!$B$78:$O$78,2),0)</f>
        <v>0</v>
      </c>
      <c r="AE10" s="11" t="n">
        <f aca="false">INDEX('CF Summary'!$B$24:$G$24,AE$3)*INDEX(Inputs!$B$78:$O$78,AE$4+2)+IF(AE$4=11,INDEX('CF Summary'!$B$24:$G$24,AE$3+1)*INDEX(Inputs!$B$78:$O$78,1),0)+IF(AE$4=12,INDEX('CF Summary'!$B$24:$G$24,AE$3+1)*INDEX(Inputs!$B$78:$O$78,2),0)</f>
        <v>0</v>
      </c>
      <c r="AF10" s="11" t="n">
        <f aca="false">INDEX('CF Summary'!$B$24:$G$24,AF$3)*INDEX(Inputs!$B$78:$O$78,AF$4+2)+IF(AF$4=11,INDEX('CF Summary'!$B$24:$G$24,AF$3+1)*INDEX(Inputs!$B$78:$O$78,1),0)+IF(AF$4=12,INDEX('CF Summary'!$B$24:$G$24,AF$3+1)*INDEX(Inputs!$B$78:$O$78,2),0)</f>
        <v>0</v>
      </c>
      <c r="AG10" s="11" t="n">
        <f aca="false">INDEX('CF Summary'!$B$24:$G$24,AG$3)*INDEX(Inputs!$B$78:$O$78,AG$4+2)+IF(AG$4=11,INDEX('CF Summary'!$B$24:$G$24,AG$3+1)*INDEX(Inputs!$B$78:$O$78,1),0)+IF(AG$4=12,INDEX('CF Summary'!$B$24:$G$24,AG$3+1)*INDEX(Inputs!$B$78:$O$78,2),0)</f>
        <v>0</v>
      </c>
      <c r="AH10" s="11" t="n">
        <f aca="false">INDEX('CF Summary'!$B$24:$G$24,AH$3)*INDEX(Inputs!$B$78:$O$78,AH$4+2)+IF(AH$4=11,INDEX('CF Summary'!$B$24:$G$24,AH$3+1)*INDEX(Inputs!$B$78:$O$78,1),0)+IF(AH$4=12,INDEX('CF Summary'!$B$24:$G$24,AH$3+1)*INDEX(Inputs!$B$78:$O$78,2),0)</f>
        <v>0</v>
      </c>
      <c r="AI10" s="11" t="n">
        <f aca="false">INDEX('CF Summary'!$B$24:$G$24,AI$3)*INDEX(Inputs!$B$78:$O$78,AI$4+2)+IF(AI$4=11,INDEX('CF Summary'!$B$24:$G$24,AI$3+1)*INDEX(Inputs!$B$78:$O$78,1),0)+IF(AI$4=12,INDEX('CF Summary'!$B$24:$G$24,AI$3+1)*INDEX(Inputs!$B$78:$O$78,2),0)</f>
        <v>0</v>
      </c>
      <c r="AJ10" s="11" t="n">
        <f aca="false">INDEX('CF Summary'!$B$24:$G$24,AJ$3)*INDEX(Inputs!$B$78:$O$78,AJ$4+2)+IF(AJ$4=11,INDEX('CF Summary'!$B$24:$G$24,AJ$3+1)*INDEX(Inputs!$B$78:$O$78,1),0)+IF(AJ$4=12,INDEX('CF Summary'!$B$24:$G$24,AJ$3+1)*INDEX(Inputs!$B$78:$O$78,2),0)</f>
        <v>0</v>
      </c>
      <c r="AK10" s="11" t="n">
        <f aca="false">INDEX('CF Summary'!$B$24:$G$24,AK$3)*INDEX(Inputs!$B$78:$O$78,AK$4+2)+IF(AK$4=11,INDEX('CF Summary'!$B$24:$G$24,AK$3+1)*INDEX(Inputs!$B$78:$O$78,1),0)+IF(AK$4=12,INDEX('CF Summary'!$B$24:$G$24,AK$3+1)*INDEX(Inputs!$B$78:$O$78,2),0)</f>
        <v>0</v>
      </c>
      <c r="AL10" s="11" t="n">
        <f aca="false">INDEX('CF Summary'!$B$24:$G$24,AL$3)*INDEX(Inputs!$B$78:$O$78,AL$4+2)+IF(AL$4=11,INDEX('CF Summary'!$B$24:$G$24,AL$3+1)*INDEX(Inputs!$B$78:$O$78,1),0)+IF(AL$4=12,INDEX('CF Summary'!$B$24:$G$24,AL$3+1)*INDEX(Inputs!$B$78:$O$78,2),0)</f>
        <v>427578.865979381</v>
      </c>
      <c r="AM10" s="11" t="n">
        <f aca="false">INDEX('CF Summary'!$B$24:$G$24,AM$3)*INDEX(Inputs!$B$78:$O$78,AM$4+2)+IF(AM$4=11,INDEX('CF Summary'!$B$24:$G$24,AM$3+1)*INDEX(Inputs!$B$78:$O$78,1),0)+IF(AM$4=12,INDEX('CF Summary'!$B$24:$G$24,AM$3+1)*INDEX(Inputs!$B$78:$O$78,2),0)</f>
        <v>0</v>
      </c>
      <c r="AN10" s="11" t="n">
        <f aca="false">INDEX('CF Summary'!$B$24:$G$24,AN$3)*INDEX(Inputs!$B$78:$O$78,AN$4+2)+IF(AN$4=11,INDEX('CF Summary'!$B$24:$G$24,AN$3+1)*INDEX(Inputs!$B$78:$O$78,1),0)+IF(AN$4=12,INDEX('CF Summary'!$B$24:$G$24,AN$3+1)*INDEX(Inputs!$B$78:$O$78,2),0)</f>
        <v>0</v>
      </c>
      <c r="AO10" s="11" t="n">
        <f aca="false">INDEX('CF Summary'!$B$24:$G$24,AO$3)*INDEX(Inputs!$B$78:$O$78,AO$4+2)+IF(AO$4=11,INDEX('CF Summary'!$B$24:$G$24,AO$3+1)*INDEX(Inputs!$B$78:$O$78,1),0)+IF(AO$4=12,INDEX('CF Summary'!$B$24:$G$24,AO$3+1)*INDEX(Inputs!$B$78:$O$78,2),0)</f>
        <v>0</v>
      </c>
      <c r="AP10" s="11" t="n">
        <f aca="false">INDEX('CF Summary'!$B$24:$G$24,AP$3)*INDEX(Inputs!$B$78:$O$78,AP$4+2)+IF(AP$4=11,INDEX('CF Summary'!$B$24:$G$24,AP$3+1)*INDEX(Inputs!$B$78:$O$78,1),0)+IF(AP$4=12,INDEX('CF Summary'!$B$24:$G$24,AP$3+1)*INDEX(Inputs!$B$78:$O$78,2),0)</f>
        <v>0</v>
      </c>
      <c r="AQ10" s="11" t="n">
        <f aca="false">INDEX('CF Summary'!$B$24:$G$24,AQ$3)*INDEX(Inputs!$B$78:$O$78,AQ$4+2)+IF(AQ$4=11,INDEX('CF Summary'!$B$24:$G$24,AQ$3+1)*INDEX(Inputs!$B$78:$O$78,1),0)+IF(AQ$4=12,INDEX('CF Summary'!$B$24:$G$24,AQ$3+1)*INDEX(Inputs!$B$78:$O$78,2),0)</f>
        <v>0</v>
      </c>
      <c r="AR10" s="11" t="n">
        <f aca="false">INDEX('CF Summary'!$B$24:$G$24,AR$3)*INDEX(Inputs!$B$78:$O$78,AR$4+2)+IF(AR$4=11,INDEX('CF Summary'!$B$24:$G$24,AR$3+1)*INDEX(Inputs!$B$78:$O$78,1),0)+IF(AR$4=12,INDEX('CF Summary'!$B$24:$G$24,AR$3+1)*INDEX(Inputs!$B$78:$O$78,2),0)</f>
        <v>0</v>
      </c>
      <c r="AS10" s="11" t="n">
        <f aca="false">INDEX('CF Summary'!$B$24:$G$24,AS$3)*INDEX(Inputs!$B$78:$O$78,AS$4+2)+IF(AS$4=11,INDEX('CF Summary'!$B$24:$G$24,AS$3+1)*INDEX(Inputs!$B$78:$O$78,1),0)+IF(AS$4=12,INDEX('CF Summary'!$B$24:$G$24,AS$3+1)*INDEX(Inputs!$B$78:$O$78,2),0)</f>
        <v>0</v>
      </c>
      <c r="AT10" s="11" t="n">
        <f aca="false">INDEX('CF Summary'!$B$24:$G$24,AT$3)*INDEX(Inputs!$B$78:$O$78,AT$4+2)+IF(AT$4=11,INDEX('CF Summary'!$B$24:$G$24,AT$3+1)*INDEX(Inputs!$B$78:$O$78,1),0)+IF(AT$4=12,INDEX('CF Summary'!$B$24:$G$24,AT$3+1)*INDEX(Inputs!$B$78:$O$78,2),0)</f>
        <v>0</v>
      </c>
      <c r="AU10" s="11" t="n">
        <f aca="false">INDEX('CF Summary'!$B$24:$G$24,AU$3)*INDEX(Inputs!$B$78:$O$78,AU$4+2)+IF(AU$4=11,INDEX('CF Summary'!$B$24:$G$24,AU$3+1)*INDEX(Inputs!$B$78:$O$78,1),0)+IF(AU$4=12,INDEX('CF Summary'!$B$24:$G$24,AU$3+1)*INDEX(Inputs!$B$78:$O$78,2),0)</f>
        <v>0</v>
      </c>
      <c r="AV10" s="11" t="n">
        <f aca="false">INDEX('CF Summary'!$B$24:$G$24,AV$3)*INDEX(Inputs!$B$78:$O$78,AV$4+2)+IF(AV$4=11,INDEX('CF Summary'!$B$24:$G$24,AV$3+1)*INDEX(Inputs!$B$78:$O$78,1),0)+IF(AV$4=12,INDEX('CF Summary'!$B$24:$G$24,AV$3+1)*INDEX(Inputs!$B$78:$O$78,2),0)</f>
        <v>0</v>
      </c>
      <c r="AW10" s="11" t="n">
        <f aca="false">INDEX('CF Summary'!$B$24:$G$24,AW$3)*INDEX(Inputs!$B$78:$O$78,AW$4+2)+IF(AW$4=11,INDEX('CF Summary'!$B$24:$G$24,AW$3+1)*INDEX(Inputs!$B$78:$O$78,1),0)+IF(AW$4=12,INDEX('CF Summary'!$B$24:$G$24,AW$3+1)*INDEX(Inputs!$B$78:$O$78,2),0)</f>
        <v>0</v>
      </c>
      <c r="AX10" s="11" t="n">
        <f aca="false">INDEX('CF Summary'!$B$24:$G$24,AX$3)*INDEX(Inputs!$B$78:$O$78,AX$4+2)+IF(AX$4=11,INDEX('CF Summary'!$B$24:$G$24,AX$3+1)*INDEX(Inputs!$B$78:$O$78,1),0)+IF(AX$4=12,INDEX('CF Summary'!$B$24:$G$24,AX$3+1)*INDEX(Inputs!$B$78:$O$78,2),0)</f>
        <v>426463.402061856</v>
      </c>
      <c r="AY10" s="11" t="n">
        <f aca="false">INDEX('CF Summary'!$B$24:$G$24,AY$3)*INDEX(Inputs!$B$78:$O$78,AY$4+2)+IF(AY$4=11,INDEX('CF Summary'!$B$24:$G$24,AY$3+1)*INDEX(Inputs!$B$78:$O$78,1),0)+IF(AY$4=12,INDEX('CF Summary'!$B$24:$G$24,AY$3+1)*INDEX(Inputs!$B$78:$O$78,2),0)</f>
        <v>0</v>
      </c>
      <c r="AZ10" s="11" t="n">
        <f aca="false">INDEX('CF Summary'!$B$24:$G$24,AZ$3)*INDEX(Inputs!$B$78:$O$78,AZ$4+2)+IF(AZ$4=11,INDEX('CF Summary'!$B$24:$G$24,AZ$3+1)*INDEX(Inputs!$B$78:$O$78,1),0)+IF(AZ$4=12,INDEX('CF Summary'!$B$24:$G$24,AZ$3+1)*INDEX(Inputs!$B$78:$O$78,2),0)</f>
        <v>0</v>
      </c>
      <c r="BA10" s="11" t="n">
        <f aca="false">INDEX('CF Summary'!$B$24:$G$24,BA$3)*INDEX(Inputs!$B$78:$O$78,BA$4+2)+IF(BA$4=11,INDEX('CF Summary'!$B$24:$G$24,BA$3+1)*INDEX(Inputs!$B$78:$O$78,1),0)+IF(BA$4=12,INDEX('CF Summary'!$B$24:$G$24,BA$3+1)*INDEX(Inputs!$B$78:$O$78,2),0)</f>
        <v>0</v>
      </c>
      <c r="BB10" s="11" t="n">
        <f aca="false">INDEX('CF Summary'!$B$24:$G$24,BB$3)*INDEX(Inputs!$B$78:$O$78,BB$4+2)+IF(BB$4=11,INDEX('CF Summary'!$B$24:$G$24,BB$3+1)*INDEX(Inputs!$B$78:$O$78,1),0)+IF(BB$4=12,INDEX('CF Summary'!$B$24:$G$24,BB$3+1)*INDEX(Inputs!$B$78:$O$78,2),0)</f>
        <v>0</v>
      </c>
      <c r="BC10" s="11" t="n">
        <f aca="false">INDEX('CF Summary'!$B$24:$G$24,BC$3)*INDEX(Inputs!$B$78:$O$78,BC$4+2)+IF(BC$4=11,INDEX('CF Summary'!$B$24:$G$24,BC$3+1)*INDEX(Inputs!$B$78:$O$78,1),0)+IF(BC$4=12,INDEX('CF Summary'!$B$24:$G$24,BC$3+1)*INDEX(Inputs!$B$78:$O$78,2),0)</f>
        <v>0</v>
      </c>
      <c r="BD10" s="11" t="n">
        <f aca="false">INDEX('CF Summary'!$B$24:$G$24,BD$3)*INDEX(Inputs!$B$78:$O$78,BD$4+2)+IF(BD$4=11,INDEX('CF Summary'!$B$24:$G$24,BD$3+1)*INDEX(Inputs!$B$78:$O$78,1),0)+IF(BD$4=12,INDEX('CF Summary'!$B$24:$G$24,BD$3+1)*INDEX(Inputs!$B$78:$O$78,2),0)</f>
        <v>0</v>
      </c>
      <c r="BE10" s="11" t="n">
        <f aca="false">INDEX('CF Summary'!$B$24:$G$24,BE$3)*INDEX(Inputs!$B$78:$O$78,BE$4+2)+IF(BE$4=11,INDEX('CF Summary'!$B$24:$G$24,BE$3+1)*INDEX(Inputs!$B$78:$O$78,1),0)+IF(BE$4=12,INDEX('CF Summary'!$B$24:$G$24,BE$3+1)*INDEX(Inputs!$B$78:$O$78,2),0)</f>
        <v>0</v>
      </c>
      <c r="BF10" s="11" t="n">
        <f aca="false">INDEX('CF Summary'!$B$24:$G$24,BF$3)*INDEX(Inputs!$B$78:$O$78,BF$4+2)+IF(BF$4=11,INDEX('CF Summary'!$B$24:$G$24,BF$3+1)*INDEX(Inputs!$B$78:$O$78,1),0)+IF(BF$4=12,INDEX('CF Summary'!$B$24:$G$24,BF$3+1)*INDEX(Inputs!$B$78:$O$78,2),0)</f>
        <v>0</v>
      </c>
      <c r="BG10" s="11" t="n">
        <f aca="false">INDEX('CF Summary'!$B$24:$G$24,BG$3)*INDEX(Inputs!$B$78:$O$78,BG$4+2)+IF(BG$4=11,INDEX('CF Summary'!$B$24:$G$24,BG$3+1)*INDEX(Inputs!$B$78:$O$78,1),0)+IF(BG$4=12,INDEX('CF Summary'!$B$24:$G$24,BG$3+1)*INDEX(Inputs!$B$78:$O$78,2),0)</f>
        <v>0</v>
      </c>
      <c r="BH10" s="11" t="n">
        <f aca="false">INDEX('CF Summary'!$B$24:$G$24,BH$3)*INDEX(Inputs!$B$78:$O$78,BH$4+2)+IF(BH$4=11,INDEX('CF Summary'!$B$24:$G$24,BH$3+1)*INDEX(Inputs!$B$78:$O$78,1),0)+IF(BH$4=12,INDEX('CF Summary'!$B$24:$G$24,BH$3+1)*INDEX(Inputs!$B$78:$O$78,2),0)</f>
        <v>0</v>
      </c>
      <c r="BI10" s="11" t="n">
        <f aca="false">INDEX('CF Summary'!$B$24:$G$24,BI$3)*INDEX(Inputs!$B$78:$O$78,BI$4+2)+IF(BI$4=11,INDEX('CF Summary'!$B$24:$G$24,BI$3+1)*INDEX(Inputs!$B$78:$O$78,1),0)+IF(BI$4=12,INDEX('CF Summary'!$B$24:$G$24,BI$3+1)*INDEX(Inputs!$B$78:$O$78,2),0)</f>
        <v>0</v>
      </c>
    </row>
    <row r="11" customFormat="false" ht="15" hidden="false" customHeight="false" outlineLevel="0" collapsed="false">
      <c r="A11" s="6" t="s">
        <v>577</v>
      </c>
      <c r="B11" s="11" t="n">
        <f aca="false">INDEX('CF Summary'!$B$25:$G$25,B$3)*INDEX(Inputs!$B$79:$O$79,B$4+2)+IF(B$4=11,INDEX('CF Summary'!$B$25:$G$25,B$3+1)*INDEX(Inputs!$B$79:$O$79,1),0)+IF(B$4=12,INDEX('CF Summary'!$B$25:$G$25,B$3+1)*INDEX(Inputs!$B$79:$O$79,2),0)</f>
        <v>0</v>
      </c>
      <c r="C11" s="11" t="n">
        <f aca="false">INDEX('CF Summary'!$B$25:$G$25,C$3)*INDEX(Inputs!$B$79:$O$79,C$4+2)+IF(C$4=11,INDEX('CF Summary'!$B$25:$G$25,C$3+1)*INDEX(Inputs!$B$79:$O$79,1),0)+IF(C$4=12,INDEX('CF Summary'!$B$25:$G$25,C$3+1)*INDEX(Inputs!$B$79:$O$79,2),0)</f>
        <v>0</v>
      </c>
      <c r="D11" s="11" t="n">
        <f aca="false">INDEX('CF Summary'!$B$25:$G$25,D$3)*INDEX(Inputs!$B$79:$O$79,D$4+2)+IF(D$4=11,INDEX('CF Summary'!$B$25:$G$25,D$3+1)*INDEX(Inputs!$B$79:$O$79,1),0)+IF(D$4=12,INDEX('CF Summary'!$B$25:$G$25,D$3+1)*INDEX(Inputs!$B$79:$O$79,2),0)</f>
        <v>0</v>
      </c>
      <c r="E11" s="11" t="n">
        <f aca="false">INDEX('CF Summary'!$B$25:$G$25,E$3)*INDEX(Inputs!$B$79:$O$79,E$4+2)+IF(E$4=11,INDEX('CF Summary'!$B$25:$G$25,E$3+1)*INDEX(Inputs!$B$79:$O$79,1),0)+IF(E$4=12,INDEX('CF Summary'!$B$25:$G$25,E$3+1)*INDEX(Inputs!$B$79:$O$79,2),0)</f>
        <v>0</v>
      </c>
      <c r="F11" s="11" t="n">
        <f aca="false">INDEX('CF Summary'!$B$25:$G$25,F$3)*INDEX(Inputs!$B$79:$O$79,F$4+2)+IF(F$4=11,INDEX('CF Summary'!$B$25:$G$25,F$3+1)*INDEX(Inputs!$B$79:$O$79,1),0)+IF(F$4=12,INDEX('CF Summary'!$B$25:$G$25,F$3+1)*INDEX(Inputs!$B$79:$O$79,2),0)</f>
        <v>0</v>
      </c>
      <c r="G11" s="11" t="n">
        <f aca="false">INDEX('CF Summary'!$B$25:$G$25,G$3)*INDEX(Inputs!$B$79:$O$79,G$4+2)+IF(G$4=11,INDEX('CF Summary'!$B$25:$G$25,G$3+1)*INDEX(Inputs!$B$79:$O$79,1),0)+IF(G$4=12,INDEX('CF Summary'!$B$25:$G$25,G$3+1)*INDEX(Inputs!$B$79:$O$79,2),0)</f>
        <v>0</v>
      </c>
      <c r="H11" s="11" t="n">
        <f aca="false">INDEX('CF Summary'!$B$25:$G$25,H$3)*INDEX(Inputs!$B$79:$O$79,H$4+2)+IF(H$4=11,INDEX('CF Summary'!$B$25:$G$25,H$3+1)*INDEX(Inputs!$B$79:$O$79,1),0)+IF(H$4=12,INDEX('CF Summary'!$B$25:$G$25,H$3+1)*INDEX(Inputs!$B$79:$O$79,2),0)</f>
        <v>0</v>
      </c>
      <c r="I11" s="11" t="n">
        <f aca="false">INDEX('CF Summary'!$B$25:$G$25,I$3)*INDEX(Inputs!$B$79:$O$79,I$4+2)+IF(I$4=11,INDEX('CF Summary'!$B$25:$G$25,I$3+1)*INDEX(Inputs!$B$79:$O$79,1),0)+IF(I$4=12,INDEX('CF Summary'!$B$25:$G$25,I$3+1)*INDEX(Inputs!$B$79:$O$79,2),0)</f>
        <v>0</v>
      </c>
      <c r="J11" s="11" t="n">
        <f aca="false">INDEX('CF Summary'!$B$25:$G$25,J$3)*INDEX(Inputs!$B$79:$O$79,J$4+2)+IF(J$4=11,INDEX('CF Summary'!$B$25:$G$25,J$3+1)*INDEX(Inputs!$B$79:$O$79,1),0)+IF(J$4=12,INDEX('CF Summary'!$B$25:$G$25,J$3+1)*INDEX(Inputs!$B$79:$O$79,2),0)</f>
        <v>0</v>
      </c>
      <c r="K11" s="11" t="n">
        <f aca="false">INDEX('CF Summary'!$B$25:$G$25,K$3)*INDEX(Inputs!$B$79:$O$79,K$4+2)+IF(K$4=11,INDEX('CF Summary'!$B$25:$G$25,K$3+1)*INDEX(Inputs!$B$79:$O$79,1),0)+IF(K$4=12,INDEX('CF Summary'!$B$25:$G$25,K$3+1)*INDEX(Inputs!$B$79:$O$79,2),0)</f>
        <v>0</v>
      </c>
      <c r="L11" s="11" t="n">
        <f aca="false">INDEX('CF Summary'!$B$25:$G$25,L$3)*INDEX(Inputs!$B$79:$O$79,L$4+2)+IF(L$4=11,INDEX('CF Summary'!$B$25:$G$25,L$3+1)*INDEX(Inputs!$B$79:$O$79,1),0)+IF(L$4=12,INDEX('CF Summary'!$B$25:$G$25,L$3+1)*INDEX(Inputs!$B$79:$O$79,2),0)</f>
        <v>0</v>
      </c>
      <c r="M11" s="11" t="n">
        <f aca="false">INDEX('CF Summary'!$B$25:$G$25,M$3)*INDEX(Inputs!$B$79:$O$79,M$4+2)+IF(M$4=11,INDEX('CF Summary'!$B$25:$G$25,M$3+1)*INDEX(Inputs!$B$79:$O$79,1),0)+IF(M$4=12,INDEX('CF Summary'!$B$25:$G$25,M$3+1)*INDEX(Inputs!$B$79:$O$79,2),0)</f>
        <v>0</v>
      </c>
      <c r="N11" s="11" t="n">
        <f aca="false">INDEX('CF Summary'!$B$25:$G$25,N$3)*INDEX(Inputs!$B$79:$O$79,N$4+2)+IF(N$4=11,INDEX('CF Summary'!$B$25:$G$25,N$3+1)*INDEX(Inputs!$B$79:$O$79,1),0)+IF(N$4=12,INDEX('CF Summary'!$B$25:$G$25,N$3+1)*INDEX(Inputs!$B$79:$O$79,2),0)</f>
        <v>0</v>
      </c>
      <c r="O11" s="11" t="n">
        <f aca="false">INDEX('CF Summary'!$B$25:$G$25,O$3)*INDEX(Inputs!$B$79:$O$79,O$4+2)+IF(O$4=11,INDEX('CF Summary'!$B$25:$G$25,O$3+1)*INDEX(Inputs!$B$79:$O$79,1),0)+IF(O$4=12,INDEX('CF Summary'!$B$25:$G$25,O$3+1)*INDEX(Inputs!$B$79:$O$79,2),0)</f>
        <v>0</v>
      </c>
      <c r="P11" s="11" t="n">
        <f aca="false">INDEX('CF Summary'!$B$25:$G$25,P$3)*INDEX(Inputs!$B$79:$O$79,P$4+2)+IF(P$4=11,INDEX('CF Summary'!$B$25:$G$25,P$3+1)*INDEX(Inputs!$B$79:$O$79,1),0)+IF(P$4=12,INDEX('CF Summary'!$B$25:$G$25,P$3+1)*INDEX(Inputs!$B$79:$O$79,2),0)</f>
        <v>0</v>
      </c>
      <c r="Q11" s="11" t="n">
        <f aca="false">INDEX('CF Summary'!$B$25:$G$25,Q$3)*INDEX(Inputs!$B$79:$O$79,Q$4+2)+IF(Q$4=11,INDEX('CF Summary'!$B$25:$G$25,Q$3+1)*INDEX(Inputs!$B$79:$O$79,1),0)+IF(Q$4=12,INDEX('CF Summary'!$B$25:$G$25,Q$3+1)*INDEX(Inputs!$B$79:$O$79,2),0)</f>
        <v>0</v>
      </c>
      <c r="R11" s="11" t="n">
        <f aca="false">INDEX('CF Summary'!$B$25:$G$25,R$3)*INDEX(Inputs!$B$79:$O$79,R$4+2)+IF(R$4=11,INDEX('CF Summary'!$B$25:$G$25,R$3+1)*INDEX(Inputs!$B$79:$O$79,1),0)+IF(R$4=12,INDEX('CF Summary'!$B$25:$G$25,R$3+1)*INDEX(Inputs!$B$79:$O$79,2),0)</f>
        <v>0</v>
      </c>
      <c r="S11" s="11" t="n">
        <f aca="false">INDEX('CF Summary'!$B$25:$G$25,S$3)*INDEX(Inputs!$B$79:$O$79,S$4+2)+IF(S$4=11,INDEX('CF Summary'!$B$25:$G$25,S$3+1)*INDEX(Inputs!$B$79:$O$79,1),0)+IF(S$4=12,INDEX('CF Summary'!$B$25:$G$25,S$3+1)*INDEX(Inputs!$B$79:$O$79,2),0)</f>
        <v>0</v>
      </c>
      <c r="T11" s="11" t="n">
        <f aca="false">INDEX('CF Summary'!$B$25:$G$25,T$3)*INDEX(Inputs!$B$79:$O$79,T$4+2)+IF(T$4=11,INDEX('CF Summary'!$B$25:$G$25,T$3+1)*INDEX(Inputs!$B$79:$O$79,1),0)+IF(T$4=12,INDEX('CF Summary'!$B$25:$G$25,T$3+1)*INDEX(Inputs!$B$79:$O$79,2),0)</f>
        <v>0</v>
      </c>
      <c r="U11" s="11" t="n">
        <f aca="false">INDEX('CF Summary'!$B$25:$G$25,U$3)*INDEX(Inputs!$B$79:$O$79,U$4+2)+IF(U$4=11,INDEX('CF Summary'!$B$25:$G$25,U$3+1)*INDEX(Inputs!$B$79:$O$79,1),0)+IF(U$4=12,INDEX('CF Summary'!$B$25:$G$25,U$3+1)*INDEX(Inputs!$B$79:$O$79,2),0)</f>
        <v>0</v>
      </c>
      <c r="V11" s="11" t="n">
        <f aca="false">INDEX('CF Summary'!$B$25:$G$25,V$3)*INDEX(Inputs!$B$79:$O$79,V$4+2)+IF(V$4=11,INDEX('CF Summary'!$B$25:$G$25,V$3+1)*INDEX(Inputs!$B$79:$O$79,1),0)+IF(V$4=12,INDEX('CF Summary'!$B$25:$G$25,V$3+1)*INDEX(Inputs!$B$79:$O$79,2),0)</f>
        <v>0</v>
      </c>
      <c r="W11" s="11" t="n">
        <f aca="false">INDEX('CF Summary'!$B$25:$G$25,W$3)*INDEX(Inputs!$B$79:$O$79,W$4+2)+IF(W$4=11,INDEX('CF Summary'!$B$25:$G$25,W$3+1)*INDEX(Inputs!$B$79:$O$79,1),0)+IF(W$4=12,INDEX('CF Summary'!$B$25:$G$25,W$3+1)*INDEX(Inputs!$B$79:$O$79,2),0)</f>
        <v>0</v>
      </c>
      <c r="X11" s="11" t="n">
        <f aca="false">INDEX('CF Summary'!$B$25:$G$25,X$3)*INDEX(Inputs!$B$79:$O$79,X$4+2)+IF(X$4=11,INDEX('CF Summary'!$B$25:$G$25,X$3+1)*INDEX(Inputs!$B$79:$O$79,1),0)+IF(X$4=12,INDEX('CF Summary'!$B$25:$G$25,X$3+1)*INDEX(Inputs!$B$79:$O$79,2),0)</f>
        <v>0</v>
      </c>
      <c r="Y11" s="11" t="n">
        <f aca="false">INDEX('CF Summary'!$B$25:$G$25,Y$3)*INDEX(Inputs!$B$79:$O$79,Y$4+2)+IF(Y$4=11,INDEX('CF Summary'!$B$25:$G$25,Y$3+1)*INDEX(Inputs!$B$79:$O$79,1),0)+IF(Y$4=12,INDEX('CF Summary'!$B$25:$G$25,Y$3+1)*INDEX(Inputs!$B$79:$O$79,2),0)</f>
        <v>0</v>
      </c>
      <c r="Z11" s="11" t="n">
        <f aca="false">INDEX('CF Summary'!$B$25:$G$25,Z$3)*INDEX(Inputs!$B$79:$O$79,Z$4+2)+IF(Z$4=11,INDEX('CF Summary'!$B$25:$G$25,Z$3+1)*INDEX(Inputs!$B$79:$O$79,1),0)+IF(Z$4=12,INDEX('CF Summary'!$B$25:$G$25,Z$3+1)*INDEX(Inputs!$B$79:$O$79,2),0)</f>
        <v>0</v>
      </c>
      <c r="AA11" s="11" t="n">
        <f aca="false">INDEX('CF Summary'!$B$25:$G$25,AA$3)*INDEX(Inputs!$B$79:$O$79,AA$4+2)+IF(AA$4=11,INDEX('CF Summary'!$B$25:$G$25,AA$3+1)*INDEX(Inputs!$B$79:$O$79,1),0)+IF(AA$4=12,INDEX('CF Summary'!$B$25:$G$25,AA$3+1)*INDEX(Inputs!$B$79:$O$79,2),0)</f>
        <v>0</v>
      </c>
      <c r="AB11" s="11" t="n">
        <f aca="false">INDEX('CF Summary'!$B$25:$G$25,AB$3)*INDEX(Inputs!$B$79:$O$79,AB$4+2)+IF(AB$4=11,INDEX('CF Summary'!$B$25:$G$25,AB$3+1)*INDEX(Inputs!$B$79:$O$79,1),0)+IF(AB$4=12,INDEX('CF Summary'!$B$25:$G$25,AB$3+1)*INDEX(Inputs!$B$79:$O$79,2),0)</f>
        <v>0</v>
      </c>
      <c r="AC11" s="11" t="n">
        <f aca="false">INDEX('CF Summary'!$B$25:$G$25,AC$3)*INDEX(Inputs!$B$79:$O$79,AC$4+2)+IF(AC$4=11,INDEX('CF Summary'!$B$25:$G$25,AC$3+1)*INDEX(Inputs!$B$79:$O$79,1),0)+IF(AC$4=12,INDEX('CF Summary'!$B$25:$G$25,AC$3+1)*INDEX(Inputs!$B$79:$O$79,2),0)</f>
        <v>0</v>
      </c>
      <c r="AD11" s="11" t="n">
        <f aca="false">INDEX('CF Summary'!$B$25:$G$25,AD$3)*INDEX(Inputs!$B$79:$O$79,AD$4+2)+IF(AD$4=11,INDEX('CF Summary'!$B$25:$G$25,AD$3+1)*INDEX(Inputs!$B$79:$O$79,1),0)+IF(AD$4=12,INDEX('CF Summary'!$B$25:$G$25,AD$3+1)*INDEX(Inputs!$B$79:$O$79,2),0)</f>
        <v>0</v>
      </c>
      <c r="AE11" s="11" t="n">
        <f aca="false">INDEX('CF Summary'!$B$25:$G$25,AE$3)*INDEX(Inputs!$B$79:$O$79,AE$4+2)+IF(AE$4=11,INDEX('CF Summary'!$B$25:$G$25,AE$3+1)*INDEX(Inputs!$B$79:$O$79,1),0)+IF(AE$4=12,INDEX('CF Summary'!$B$25:$G$25,AE$3+1)*INDEX(Inputs!$B$79:$O$79,2),0)</f>
        <v>0</v>
      </c>
      <c r="AF11" s="11" t="n">
        <f aca="false">INDEX('CF Summary'!$B$25:$G$25,AF$3)*INDEX(Inputs!$B$79:$O$79,AF$4+2)+IF(AF$4=11,INDEX('CF Summary'!$B$25:$G$25,AF$3+1)*INDEX(Inputs!$B$79:$O$79,1),0)+IF(AF$4=12,INDEX('CF Summary'!$B$25:$G$25,AF$3+1)*INDEX(Inputs!$B$79:$O$79,2),0)</f>
        <v>0</v>
      </c>
      <c r="AG11" s="11" t="n">
        <f aca="false">INDEX('CF Summary'!$B$25:$G$25,AG$3)*INDEX(Inputs!$B$79:$O$79,AG$4+2)+IF(AG$4=11,INDEX('CF Summary'!$B$25:$G$25,AG$3+1)*INDEX(Inputs!$B$79:$O$79,1),0)+IF(AG$4=12,INDEX('CF Summary'!$B$25:$G$25,AG$3+1)*INDEX(Inputs!$B$79:$O$79,2),0)</f>
        <v>0</v>
      </c>
      <c r="AH11" s="11" t="n">
        <f aca="false">INDEX('CF Summary'!$B$25:$G$25,AH$3)*INDEX(Inputs!$B$79:$O$79,AH$4+2)+IF(AH$4=11,INDEX('CF Summary'!$B$25:$G$25,AH$3+1)*INDEX(Inputs!$B$79:$O$79,1),0)+IF(AH$4=12,INDEX('CF Summary'!$B$25:$G$25,AH$3+1)*INDEX(Inputs!$B$79:$O$79,2),0)</f>
        <v>0</v>
      </c>
      <c r="AI11" s="11" t="n">
        <f aca="false">INDEX('CF Summary'!$B$25:$G$25,AI$3)*INDEX(Inputs!$B$79:$O$79,AI$4+2)+IF(AI$4=11,INDEX('CF Summary'!$B$25:$G$25,AI$3+1)*INDEX(Inputs!$B$79:$O$79,1),0)+IF(AI$4=12,INDEX('CF Summary'!$B$25:$G$25,AI$3+1)*INDEX(Inputs!$B$79:$O$79,2),0)</f>
        <v>0</v>
      </c>
      <c r="AJ11" s="11" t="n">
        <f aca="false">INDEX('CF Summary'!$B$25:$G$25,AJ$3)*INDEX(Inputs!$B$79:$O$79,AJ$4+2)+IF(AJ$4=11,INDEX('CF Summary'!$B$25:$G$25,AJ$3+1)*INDEX(Inputs!$B$79:$O$79,1),0)+IF(AJ$4=12,INDEX('CF Summary'!$B$25:$G$25,AJ$3+1)*INDEX(Inputs!$B$79:$O$79,2),0)</f>
        <v>0</v>
      </c>
      <c r="AK11" s="11" t="n">
        <f aca="false">INDEX('CF Summary'!$B$25:$G$25,AK$3)*INDEX(Inputs!$B$79:$O$79,AK$4+2)+IF(AK$4=11,INDEX('CF Summary'!$B$25:$G$25,AK$3+1)*INDEX(Inputs!$B$79:$O$79,1),0)+IF(AK$4=12,INDEX('CF Summary'!$B$25:$G$25,AK$3+1)*INDEX(Inputs!$B$79:$O$79,2),0)</f>
        <v>0</v>
      </c>
      <c r="AL11" s="11" t="n">
        <f aca="false">INDEX('CF Summary'!$B$25:$G$25,AL$3)*INDEX(Inputs!$B$79:$O$79,AL$4+2)+IF(AL$4=11,INDEX('CF Summary'!$B$25:$G$25,AL$3+1)*INDEX(Inputs!$B$79:$O$79,1),0)+IF(AL$4=12,INDEX('CF Summary'!$B$25:$G$25,AL$3+1)*INDEX(Inputs!$B$79:$O$79,2),0)</f>
        <v>0</v>
      </c>
      <c r="AM11" s="11" t="n">
        <f aca="false">INDEX('CF Summary'!$B$25:$G$25,AM$3)*INDEX(Inputs!$B$79:$O$79,AM$4+2)+IF(AM$4=11,INDEX('CF Summary'!$B$25:$G$25,AM$3+1)*INDEX(Inputs!$B$79:$O$79,1),0)+IF(AM$4=12,INDEX('CF Summary'!$B$25:$G$25,AM$3+1)*INDEX(Inputs!$B$79:$O$79,2),0)</f>
        <v>0</v>
      </c>
      <c r="AN11" s="11" t="n">
        <f aca="false">INDEX('CF Summary'!$B$25:$G$25,AN$3)*INDEX(Inputs!$B$79:$O$79,AN$4+2)+IF(AN$4=11,INDEX('CF Summary'!$B$25:$G$25,AN$3+1)*INDEX(Inputs!$B$79:$O$79,1),0)+IF(AN$4=12,INDEX('CF Summary'!$B$25:$G$25,AN$3+1)*INDEX(Inputs!$B$79:$O$79,2),0)</f>
        <v>0</v>
      </c>
      <c r="AO11" s="11" t="n">
        <f aca="false">INDEX('CF Summary'!$B$25:$G$25,AO$3)*INDEX(Inputs!$B$79:$O$79,AO$4+2)+IF(AO$4=11,INDEX('CF Summary'!$B$25:$G$25,AO$3+1)*INDEX(Inputs!$B$79:$O$79,1),0)+IF(AO$4=12,INDEX('CF Summary'!$B$25:$G$25,AO$3+1)*INDEX(Inputs!$B$79:$O$79,2),0)</f>
        <v>0</v>
      </c>
      <c r="AP11" s="11" t="n">
        <f aca="false">INDEX('CF Summary'!$B$25:$G$25,AP$3)*INDEX(Inputs!$B$79:$O$79,AP$4+2)+IF(AP$4=11,INDEX('CF Summary'!$B$25:$G$25,AP$3+1)*INDEX(Inputs!$B$79:$O$79,1),0)+IF(AP$4=12,INDEX('CF Summary'!$B$25:$G$25,AP$3+1)*INDEX(Inputs!$B$79:$O$79,2),0)</f>
        <v>0</v>
      </c>
      <c r="AQ11" s="11" t="n">
        <f aca="false">INDEX('CF Summary'!$B$25:$G$25,AQ$3)*INDEX(Inputs!$B$79:$O$79,AQ$4+2)+IF(AQ$4=11,INDEX('CF Summary'!$B$25:$G$25,AQ$3+1)*INDEX(Inputs!$B$79:$O$79,1),0)+IF(AQ$4=12,INDEX('CF Summary'!$B$25:$G$25,AQ$3+1)*INDEX(Inputs!$B$79:$O$79,2),0)</f>
        <v>0</v>
      </c>
      <c r="AR11" s="11" t="n">
        <f aca="false">INDEX('CF Summary'!$B$25:$G$25,AR$3)*INDEX(Inputs!$B$79:$O$79,AR$4+2)+IF(AR$4=11,INDEX('CF Summary'!$B$25:$G$25,AR$3+1)*INDEX(Inputs!$B$79:$O$79,1),0)+IF(AR$4=12,INDEX('CF Summary'!$B$25:$G$25,AR$3+1)*INDEX(Inputs!$B$79:$O$79,2),0)</f>
        <v>0</v>
      </c>
      <c r="AS11" s="11" t="n">
        <f aca="false">INDEX('CF Summary'!$B$25:$G$25,AS$3)*INDEX(Inputs!$B$79:$O$79,AS$4+2)+IF(AS$4=11,INDEX('CF Summary'!$B$25:$G$25,AS$3+1)*INDEX(Inputs!$B$79:$O$79,1),0)+IF(AS$4=12,INDEX('CF Summary'!$B$25:$G$25,AS$3+1)*INDEX(Inputs!$B$79:$O$79,2),0)</f>
        <v>0</v>
      </c>
      <c r="AT11" s="11" t="n">
        <f aca="false">INDEX('CF Summary'!$B$25:$G$25,AT$3)*INDEX(Inputs!$B$79:$O$79,AT$4+2)+IF(AT$4=11,INDEX('CF Summary'!$B$25:$G$25,AT$3+1)*INDEX(Inputs!$B$79:$O$79,1),0)+IF(AT$4=12,INDEX('CF Summary'!$B$25:$G$25,AT$3+1)*INDEX(Inputs!$B$79:$O$79,2),0)</f>
        <v>0</v>
      </c>
      <c r="AU11" s="11" t="n">
        <f aca="false">INDEX('CF Summary'!$B$25:$G$25,AU$3)*INDEX(Inputs!$B$79:$O$79,AU$4+2)+IF(AU$4=11,INDEX('CF Summary'!$B$25:$G$25,AU$3+1)*INDEX(Inputs!$B$79:$O$79,1),0)+IF(AU$4=12,INDEX('CF Summary'!$B$25:$G$25,AU$3+1)*INDEX(Inputs!$B$79:$O$79,2),0)</f>
        <v>0</v>
      </c>
      <c r="AV11" s="11" t="n">
        <f aca="false">INDEX('CF Summary'!$B$25:$G$25,AV$3)*INDEX(Inputs!$B$79:$O$79,AV$4+2)+IF(AV$4=11,INDEX('CF Summary'!$B$25:$G$25,AV$3+1)*INDEX(Inputs!$B$79:$O$79,1),0)+IF(AV$4=12,INDEX('CF Summary'!$B$25:$G$25,AV$3+1)*INDEX(Inputs!$B$79:$O$79,2),0)</f>
        <v>0</v>
      </c>
      <c r="AW11" s="11" t="n">
        <f aca="false">INDEX('CF Summary'!$B$25:$G$25,AW$3)*INDEX(Inputs!$B$79:$O$79,AW$4+2)+IF(AW$4=11,INDEX('CF Summary'!$B$25:$G$25,AW$3+1)*INDEX(Inputs!$B$79:$O$79,1),0)+IF(AW$4=12,INDEX('CF Summary'!$B$25:$G$25,AW$3+1)*INDEX(Inputs!$B$79:$O$79,2),0)</f>
        <v>0</v>
      </c>
      <c r="AX11" s="11" t="n">
        <f aca="false">INDEX('CF Summary'!$B$25:$G$25,AX$3)*INDEX(Inputs!$B$79:$O$79,AX$4+2)+IF(AX$4=11,INDEX('CF Summary'!$B$25:$G$25,AX$3+1)*INDEX(Inputs!$B$79:$O$79,1),0)+IF(AX$4=12,INDEX('CF Summary'!$B$25:$G$25,AX$3+1)*INDEX(Inputs!$B$79:$O$79,2),0)</f>
        <v>0</v>
      </c>
      <c r="AY11" s="11" t="n">
        <f aca="false">INDEX('CF Summary'!$B$25:$G$25,AY$3)*INDEX(Inputs!$B$79:$O$79,AY$4+2)+IF(AY$4=11,INDEX('CF Summary'!$B$25:$G$25,AY$3+1)*INDEX(Inputs!$B$79:$O$79,1),0)+IF(AY$4=12,INDEX('CF Summary'!$B$25:$G$25,AY$3+1)*INDEX(Inputs!$B$79:$O$79,2),0)</f>
        <v>0</v>
      </c>
      <c r="AZ11" s="11" t="n">
        <f aca="false">INDEX('CF Summary'!$B$25:$G$25,AZ$3)*INDEX(Inputs!$B$79:$O$79,AZ$4+2)+IF(AZ$4=11,INDEX('CF Summary'!$B$25:$G$25,AZ$3+1)*INDEX(Inputs!$B$79:$O$79,1),0)+IF(AZ$4=12,INDEX('CF Summary'!$B$25:$G$25,AZ$3+1)*INDEX(Inputs!$B$79:$O$79,2),0)</f>
        <v>0</v>
      </c>
      <c r="BA11" s="11" t="n">
        <f aca="false">INDEX('CF Summary'!$B$25:$G$25,BA$3)*INDEX(Inputs!$B$79:$O$79,BA$4+2)+IF(BA$4=11,INDEX('CF Summary'!$B$25:$G$25,BA$3+1)*INDEX(Inputs!$B$79:$O$79,1),0)+IF(BA$4=12,INDEX('CF Summary'!$B$25:$G$25,BA$3+1)*INDEX(Inputs!$B$79:$O$79,2),0)</f>
        <v>0</v>
      </c>
      <c r="BB11" s="11" t="n">
        <f aca="false">INDEX('CF Summary'!$B$25:$G$25,BB$3)*INDEX(Inputs!$B$79:$O$79,BB$4+2)+IF(BB$4=11,INDEX('CF Summary'!$B$25:$G$25,BB$3+1)*INDEX(Inputs!$B$79:$O$79,1),0)+IF(BB$4=12,INDEX('CF Summary'!$B$25:$G$25,BB$3+1)*INDEX(Inputs!$B$79:$O$79,2),0)</f>
        <v>0</v>
      </c>
      <c r="BC11" s="11" t="n">
        <f aca="false">INDEX('CF Summary'!$B$25:$G$25,BC$3)*INDEX(Inputs!$B$79:$O$79,BC$4+2)+IF(BC$4=11,INDEX('CF Summary'!$B$25:$G$25,BC$3+1)*INDEX(Inputs!$B$79:$O$79,1),0)+IF(BC$4=12,INDEX('CF Summary'!$B$25:$G$25,BC$3+1)*INDEX(Inputs!$B$79:$O$79,2),0)</f>
        <v>0</v>
      </c>
      <c r="BD11" s="11" t="n">
        <f aca="false">INDEX('CF Summary'!$B$25:$G$25,BD$3)*INDEX(Inputs!$B$79:$O$79,BD$4+2)+IF(BD$4=11,INDEX('CF Summary'!$B$25:$G$25,BD$3+1)*INDEX(Inputs!$B$79:$O$79,1),0)+IF(BD$4=12,INDEX('CF Summary'!$B$25:$G$25,BD$3+1)*INDEX(Inputs!$B$79:$O$79,2),0)</f>
        <v>0</v>
      </c>
      <c r="BE11" s="11" t="n">
        <f aca="false">INDEX('CF Summary'!$B$25:$G$25,BE$3)*INDEX(Inputs!$B$79:$O$79,BE$4+2)+IF(BE$4=11,INDEX('CF Summary'!$B$25:$G$25,BE$3+1)*INDEX(Inputs!$B$79:$O$79,1),0)+IF(BE$4=12,INDEX('CF Summary'!$B$25:$G$25,BE$3+1)*INDEX(Inputs!$B$79:$O$79,2),0)</f>
        <v>0</v>
      </c>
      <c r="BF11" s="11" t="n">
        <f aca="false">INDEX('CF Summary'!$B$25:$G$25,BF$3)*INDEX(Inputs!$B$79:$O$79,BF$4+2)+IF(BF$4=11,INDEX('CF Summary'!$B$25:$G$25,BF$3+1)*INDEX(Inputs!$B$79:$O$79,1),0)+IF(BF$4=12,INDEX('CF Summary'!$B$25:$G$25,BF$3+1)*INDEX(Inputs!$B$79:$O$79,2),0)</f>
        <v>0</v>
      </c>
      <c r="BG11" s="11" t="n">
        <f aca="false">INDEX('CF Summary'!$B$25:$G$25,BG$3)*INDEX(Inputs!$B$79:$O$79,BG$4+2)+IF(BG$4=11,INDEX('CF Summary'!$B$25:$G$25,BG$3+1)*INDEX(Inputs!$B$79:$O$79,1),0)+IF(BG$4=12,INDEX('CF Summary'!$B$25:$G$25,BG$3+1)*INDEX(Inputs!$B$79:$O$79,2),0)</f>
        <v>0</v>
      </c>
      <c r="BH11" s="11" t="n">
        <f aca="false">INDEX('CF Summary'!$B$25:$G$25,BH$3)*INDEX(Inputs!$B$79:$O$79,BH$4+2)+IF(BH$4=11,INDEX('CF Summary'!$B$25:$G$25,BH$3+1)*INDEX(Inputs!$B$79:$O$79,1),0)+IF(BH$4=12,INDEX('CF Summary'!$B$25:$G$25,BH$3+1)*INDEX(Inputs!$B$79:$O$79,2),0)</f>
        <v>0</v>
      </c>
      <c r="BI11" s="11" t="n">
        <f aca="false">INDEX('CF Summary'!$B$25:$G$25,BI$3)*INDEX(Inputs!$B$79:$O$79,BI$4+2)+IF(BI$4=11,INDEX('CF Summary'!$B$25:$G$25,BI$3+1)*INDEX(Inputs!$B$79:$O$79,1),0)+IF(BI$4=12,INDEX('CF Summary'!$B$25:$G$25,BI$3+1)*INDEX(Inputs!$B$79:$O$79,2),0)</f>
        <v>0</v>
      </c>
    </row>
    <row r="12" customFormat="false" ht="15" hidden="false" customHeight="false" outlineLevel="0" collapsed="false">
      <c r="A12" s="6" t="s">
        <v>578</v>
      </c>
      <c r="B12" s="11" t="n">
        <f aca="false">INDEX('CF Summary'!$B$26:$G$26,B$3)*INDEX(Inputs!$B$80:$O$80,B$4+2)+IF(B$4=11,INDEX('CF Summary'!$B$26:$G$26,B$3+1)*INDEX(Inputs!$B$80:$O$80,1),0)+IF(B$4=12,INDEX('CF Summary'!$B$26:$G$26,B$3+1)*INDEX(Inputs!$B$80:$O$80,2),0)</f>
        <v>0</v>
      </c>
      <c r="C12" s="11" t="n">
        <f aca="false">INDEX('CF Summary'!$B$26:$G$26,C$3)*INDEX(Inputs!$B$80:$O$80,C$4+2)+IF(C$4=11,INDEX('CF Summary'!$B$26:$G$26,C$3+1)*INDEX(Inputs!$B$80:$O$80,1),0)+IF(C$4=12,INDEX('CF Summary'!$B$26:$G$26,C$3+1)*INDEX(Inputs!$B$80:$O$80,2),0)</f>
        <v>0</v>
      </c>
      <c r="D12" s="11" t="n">
        <f aca="false">INDEX('CF Summary'!$B$26:$G$26,D$3)*INDEX(Inputs!$B$80:$O$80,D$4+2)+IF(D$4=11,INDEX('CF Summary'!$B$26:$G$26,D$3+1)*INDEX(Inputs!$B$80:$O$80,1),0)+IF(D$4=12,INDEX('CF Summary'!$B$26:$G$26,D$3+1)*INDEX(Inputs!$B$80:$O$80,2),0)</f>
        <v>0</v>
      </c>
      <c r="E12" s="11" t="n">
        <f aca="false">INDEX('CF Summary'!$B$26:$G$26,E$3)*INDEX(Inputs!$B$80:$O$80,E$4+2)+IF(E$4=11,INDEX('CF Summary'!$B$26:$G$26,E$3+1)*INDEX(Inputs!$B$80:$O$80,1),0)+IF(E$4=12,INDEX('CF Summary'!$B$26:$G$26,E$3+1)*INDEX(Inputs!$B$80:$O$80,2),0)</f>
        <v>0</v>
      </c>
      <c r="F12" s="11" t="n">
        <f aca="false">INDEX('CF Summary'!$B$26:$G$26,F$3)*INDEX(Inputs!$B$80:$O$80,F$4+2)+IF(F$4=11,INDEX('CF Summary'!$B$26:$G$26,F$3+1)*INDEX(Inputs!$B$80:$O$80,1),0)+IF(F$4=12,INDEX('CF Summary'!$B$26:$G$26,F$3+1)*INDEX(Inputs!$B$80:$O$80,2),0)</f>
        <v>0</v>
      </c>
      <c r="G12" s="11" t="n">
        <f aca="false">INDEX('CF Summary'!$B$26:$G$26,G$3)*INDEX(Inputs!$B$80:$O$80,G$4+2)+IF(G$4=11,INDEX('CF Summary'!$B$26:$G$26,G$3+1)*INDEX(Inputs!$B$80:$O$80,1),0)+IF(G$4=12,INDEX('CF Summary'!$B$26:$G$26,G$3+1)*INDEX(Inputs!$B$80:$O$80,2),0)</f>
        <v>0</v>
      </c>
      <c r="H12" s="11" t="n">
        <f aca="false">INDEX('CF Summary'!$B$26:$G$26,H$3)*INDEX(Inputs!$B$80:$O$80,H$4+2)+IF(H$4=11,INDEX('CF Summary'!$B$26:$G$26,H$3+1)*INDEX(Inputs!$B$80:$O$80,1),0)+IF(H$4=12,INDEX('CF Summary'!$B$26:$G$26,H$3+1)*INDEX(Inputs!$B$80:$O$80,2),0)</f>
        <v>0</v>
      </c>
      <c r="I12" s="11" t="n">
        <f aca="false">INDEX('CF Summary'!$B$26:$G$26,I$3)*INDEX(Inputs!$B$80:$O$80,I$4+2)+IF(I$4=11,INDEX('CF Summary'!$B$26:$G$26,I$3+1)*INDEX(Inputs!$B$80:$O$80,1),0)+IF(I$4=12,INDEX('CF Summary'!$B$26:$G$26,I$3+1)*INDEX(Inputs!$B$80:$O$80,2),0)</f>
        <v>0</v>
      </c>
      <c r="J12" s="11" t="n">
        <f aca="false">INDEX('CF Summary'!$B$26:$G$26,J$3)*INDEX(Inputs!$B$80:$O$80,J$4+2)+IF(J$4=11,INDEX('CF Summary'!$B$26:$G$26,J$3+1)*INDEX(Inputs!$B$80:$O$80,1),0)+IF(J$4=12,INDEX('CF Summary'!$B$26:$G$26,J$3+1)*INDEX(Inputs!$B$80:$O$80,2),0)</f>
        <v>0</v>
      </c>
      <c r="K12" s="11" t="n">
        <f aca="false">INDEX('CF Summary'!$B$26:$G$26,K$3)*INDEX(Inputs!$B$80:$O$80,K$4+2)+IF(K$4=11,INDEX('CF Summary'!$B$26:$G$26,K$3+1)*INDEX(Inputs!$B$80:$O$80,1),0)+IF(K$4=12,INDEX('CF Summary'!$B$26:$G$26,K$3+1)*INDEX(Inputs!$B$80:$O$80,2),0)</f>
        <v>0</v>
      </c>
      <c r="L12" s="11" t="n">
        <f aca="false">INDEX('CF Summary'!$B$26:$G$26,L$3)*INDEX(Inputs!$B$80:$O$80,L$4+2)+IF(L$4=11,INDEX('CF Summary'!$B$26:$G$26,L$3+1)*INDEX(Inputs!$B$80:$O$80,1),0)+IF(L$4=12,INDEX('CF Summary'!$B$26:$G$26,L$3+1)*INDEX(Inputs!$B$80:$O$80,2),0)</f>
        <v>0</v>
      </c>
      <c r="M12" s="11" t="n">
        <f aca="false">INDEX('CF Summary'!$B$26:$G$26,M$3)*INDEX(Inputs!$B$80:$O$80,M$4+2)+IF(M$4=11,INDEX('CF Summary'!$B$26:$G$26,M$3+1)*INDEX(Inputs!$B$80:$O$80,1),0)+IF(M$4=12,INDEX('CF Summary'!$B$26:$G$26,M$3+1)*INDEX(Inputs!$B$80:$O$80,2),0)</f>
        <v>0</v>
      </c>
      <c r="N12" s="11" t="n">
        <f aca="false">INDEX('CF Summary'!$B$26:$G$26,N$3)*INDEX(Inputs!$B$80:$O$80,N$4+2)+IF(N$4=11,INDEX('CF Summary'!$B$26:$G$26,N$3+1)*INDEX(Inputs!$B$80:$O$80,1),0)+IF(N$4=12,INDEX('CF Summary'!$B$26:$G$26,N$3+1)*INDEX(Inputs!$B$80:$O$80,2),0)</f>
        <v>0</v>
      </c>
      <c r="O12" s="11" t="n">
        <f aca="false">INDEX('CF Summary'!$B$26:$G$26,O$3)*INDEX(Inputs!$B$80:$O$80,O$4+2)+IF(O$4=11,INDEX('CF Summary'!$B$26:$G$26,O$3+1)*INDEX(Inputs!$B$80:$O$80,1),0)+IF(O$4=12,INDEX('CF Summary'!$B$26:$G$26,O$3+1)*INDEX(Inputs!$B$80:$O$80,2),0)</f>
        <v>0</v>
      </c>
      <c r="P12" s="11" t="n">
        <f aca="false">INDEX('CF Summary'!$B$26:$G$26,P$3)*INDEX(Inputs!$B$80:$O$80,P$4+2)+IF(P$4=11,INDEX('CF Summary'!$B$26:$G$26,P$3+1)*INDEX(Inputs!$B$80:$O$80,1),0)+IF(P$4=12,INDEX('CF Summary'!$B$26:$G$26,P$3+1)*INDEX(Inputs!$B$80:$O$80,2),0)</f>
        <v>0</v>
      </c>
      <c r="Q12" s="11" t="n">
        <f aca="false">INDEX('CF Summary'!$B$26:$G$26,Q$3)*INDEX(Inputs!$B$80:$O$80,Q$4+2)+IF(Q$4=11,INDEX('CF Summary'!$B$26:$G$26,Q$3+1)*INDEX(Inputs!$B$80:$O$80,1),0)+IF(Q$4=12,INDEX('CF Summary'!$B$26:$G$26,Q$3+1)*INDEX(Inputs!$B$80:$O$80,2),0)</f>
        <v>0</v>
      </c>
      <c r="R12" s="11" t="n">
        <f aca="false">INDEX('CF Summary'!$B$26:$G$26,R$3)*INDEX(Inputs!$B$80:$O$80,R$4+2)+IF(R$4=11,INDEX('CF Summary'!$B$26:$G$26,R$3+1)*INDEX(Inputs!$B$80:$O$80,1),0)+IF(R$4=12,INDEX('CF Summary'!$B$26:$G$26,R$3+1)*INDEX(Inputs!$B$80:$O$80,2),0)</f>
        <v>0</v>
      </c>
      <c r="S12" s="11" t="n">
        <f aca="false">INDEX('CF Summary'!$B$26:$G$26,S$3)*INDEX(Inputs!$B$80:$O$80,S$4+2)+IF(S$4=11,INDEX('CF Summary'!$B$26:$G$26,S$3+1)*INDEX(Inputs!$B$80:$O$80,1),0)+IF(S$4=12,INDEX('CF Summary'!$B$26:$G$26,S$3+1)*INDEX(Inputs!$B$80:$O$80,2),0)</f>
        <v>0</v>
      </c>
      <c r="T12" s="11" t="n">
        <f aca="false">INDEX('CF Summary'!$B$26:$G$26,T$3)*INDEX(Inputs!$B$80:$O$80,T$4+2)+IF(T$4=11,INDEX('CF Summary'!$B$26:$G$26,T$3+1)*INDEX(Inputs!$B$80:$O$80,1),0)+IF(T$4=12,INDEX('CF Summary'!$B$26:$G$26,T$3+1)*INDEX(Inputs!$B$80:$O$80,2),0)</f>
        <v>0</v>
      </c>
      <c r="U12" s="11" t="n">
        <f aca="false">INDEX('CF Summary'!$B$26:$G$26,U$3)*INDEX(Inputs!$B$80:$O$80,U$4+2)+IF(U$4=11,INDEX('CF Summary'!$B$26:$G$26,U$3+1)*INDEX(Inputs!$B$80:$O$80,1),0)+IF(U$4=12,INDEX('CF Summary'!$B$26:$G$26,U$3+1)*INDEX(Inputs!$B$80:$O$80,2),0)</f>
        <v>0</v>
      </c>
      <c r="V12" s="11" t="n">
        <f aca="false">INDEX('CF Summary'!$B$26:$G$26,V$3)*INDEX(Inputs!$B$80:$O$80,V$4+2)+IF(V$4=11,INDEX('CF Summary'!$B$26:$G$26,V$3+1)*INDEX(Inputs!$B$80:$O$80,1),0)+IF(V$4=12,INDEX('CF Summary'!$B$26:$G$26,V$3+1)*INDEX(Inputs!$B$80:$O$80,2),0)</f>
        <v>0</v>
      </c>
      <c r="W12" s="11" t="n">
        <f aca="false">INDEX('CF Summary'!$B$26:$G$26,W$3)*INDEX(Inputs!$B$80:$O$80,W$4+2)+IF(W$4=11,INDEX('CF Summary'!$B$26:$G$26,W$3+1)*INDEX(Inputs!$B$80:$O$80,1),0)+IF(W$4=12,INDEX('CF Summary'!$B$26:$G$26,W$3+1)*INDEX(Inputs!$B$80:$O$80,2),0)</f>
        <v>0</v>
      </c>
      <c r="X12" s="11" t="n">
        <f aca="false">INDEX('CF Summary'!$B$26:$G$26,X$3)*INDEX(Inputs!$B$80:$O$80,X$4+2)+IF(X$4=11,INDEX('CF Summary'!$B$26:$G$26,X$3+1)*INDEX(Inputs!$B$80:$O$80,1),0)+IF(X$4=12,INDEX('CF Summary'!$B$26:$G$26,X$3+1)*INDEX(Inputs!$B$80:$O$80,2),0)</f>
        <v>0</v>
      </c>
      <c r="Y12" s="11" t="n">
        <f aca="false">INDEX('CF Summary'!$B$26:$G$26,Y$3)*INDEX(Inputs!$B$80:$O$80,Y$4+2)+IF(Y$4=11,INDEX('CF Summary'!$B$26:$G$26,Y$3+1)*INDEX(Inputs!$B$80:$O$80,1),0)+IF(Y$4=12,INDEX('CF Summary'!$B$26:$G$26,Y$3+1)*INDEX(Inputs!$B$80:$O$80,2),0)</f>
        <v>0</v>
      </c>
      <c r="Z12" s="11" t="n">
        <f aca="false">INDEX('CF Summary'!$B$26:$G$26,Z$3)*INDEX(Inputs!$B$80:$O$80,Z$4+2)+IF(Z$4=11,INDEX('CF Summary'!$B$26:$G$26,Z$3+1)*INDEX(Inputs!$B$80:$O$80,1),0)+IF(Z$4=12,INDEX('CF Summary'!$B$26:$G$26,Z$3+1)*INDEX(Inputs!$B$80:$O$80,2),0)</f>
        <v>0</v>
      </c>
      <c r="AA12" s="11" t="n">
        <f aca="false">INDEX('CF Summary'!$B$26:$G$26,AA$3)*INDEX(Inputs!$B$80:$O$80,AA$4+2)+IF(AA$4=11,INDEX('CF Summary'!$B$26:$G$26,AA$3+1)*INDEX(Inputs!$B$80:$O$80,1),0)+IF(AA$4=12,INDEX('CF Summary'!$B$26:$G$26,AA$3+1)*INDEX(Inputs!$B$80:$O$80,2),0)</f>
        <v>0</v>
      </c>
      <c r="AB12" s="11" t="n">
        <f aca="false">INDEX('CF Summary'!$B$26:$G$26,AB$3)*INDEX(Inputs!$B$80:$O$80,AB$4+2)+IF(AB$4=11,INDEX('CF Summary'!$B$26:$G$26,AB$3+1)*INDEX(Inputs!$B$80:$O$80,1),0)+IF(AB$4=12,INDEX('CF Summary'!$B$26:$G$26,AB$3+1)*INDEX(Inputs!$B$80:$O$80,2),0)</f>
        <v>0</v>
      </c>
      <c r="AC12" s="11" t="n">
        <f aca="false">INDEX('CF Summary'!$B$26:$G$26,AC$3)*INDEX(Inputs!$B$80:$O$80,AC$4+2)+IF(AC$4=11,INDEX('CF Summary'!$B$26:$G$26,AC$3+1)*INDEX(Inputs!$B$80:$O$80,1),0)+IF(AC$4=12,INDEX('CF Summary'!$B$26:$G$26,AC$3+1)*INDEX(Inputs!$B$80:$O$80,2),0)</f>
        <v>0</v>
      </c>
      <c r="AD12" s="11" t="n">
        <f aca="false">INDEX('CF Summary'!$B$26:$G$26,AD$3)*INDEX(Inputs!$B$80:$O$80,AD$4+2)+IF(AD$4=11,INDEX('CF Summary'!$B$26:$G$26,AD$3+1)*INDEX(Inputs!$B$80:$O$80,1),0)+IF(AD$4=12,INDEX('CF Summary'!$B$26:$G$26,AD$3+1)*INDEX(Inputs!$B$80:$O$80,2),0)</f>
        <v>0</v>
      </c>
      <c r="AE12" s="11" t="n">
        <f aca="false">INDEX('CF Summary'!$B$26:$G$26,AE$3)*INDEX(Inputs!$B$80:$O$80,AE$4+2)+IF(AE$4=11,INDEX('CF Summary'!$B$26:$G$26,AE$3+1)*INDEX(Inputs!$B$80:$O$80,1),0)+IF(AE$4=12,INDEX('CF Summary'!$B$26:$G$26,AE$3+1)*INDEX(Inputs!$B$80:$O$80,2),0)</f>
        <v>0</v>
      </c>
      <c r="AF12" s="11" t="n">
        <f aca="false">INDEX('CF Summary'!$B$26:$G$26,AF$3)*INDEX(Inputs!$B$80:$O$80,AF$4+2)+IF(AF$4=11,INDEX('CF Summary'!$B$26:$G$26,AF$3+1)*INDEX(Inputs!$B$80:$O$80,1),0)+IF(AF$4=12,INDEX('CF Summary'!$B$26:$G$26,AF$3+1)*INDEX(Inputs!$B$80:$O$80,2),0)</f>
        <v>0</v>
      </c>
      <c r="AG12" s="11" t="n">
        <f aca="false">INDEX('CF Summary'!$B$26:$G$26,AG$3)*INDEX(Inputs!$B$80:$O$80,AG$4+2)+IF(AG$4=11,INDEX('CF Summary'!$B$26:$G$26,AG$3+1)*INDEX(Inputs!$B$80:$O$80,1),0)+IF(AG$4=12,INDEX('CF Summary'!$B$26:$G$26,AG$3+1)*INDEX(Inputs!$B$80:$O$80,2),0)</f>
        <v>0</v>
      </c>
      <c r="AH12" s="11" t="n">
        <f aca="false">INDEX('CF Summary'!$B$26:$G$26,AH$3)*INDEX(Inputs!$B$80:$O$80,AH$4+2)+IF(AH$4=11,INDEX('CF Summary'!$B$26:$G$26,AH$3+1)*INDEX(Inputs!$B$80:$O$80,1),0)+IF(AH$4=12,INDEX('CF Summary'!$B$26:$G$26,AH$3+1)*INDEX(Inputs!$B$80:$O$80,2),0)</f>
        <v>0</v>
      </c>
      <c r="AI12" s="11" t="n">
        <f aca="false">INDEX('CF Summary'!$B$26:$G$26,AI$3)*INDEX(Inputs!$B$80:$O$80,AI$4+2)+IF(AI$4=11,INDEX('CF Summary'!$B$26:$G$26,AI$3+1)*INDEX(Inputs!$B$80:$O$80,1),0)+IF(AI$4=12,INDEX('CF Summary'!$B$26:$G$26,AI$3+1)*INDEX(Inputs!$B$80:$O$80,2),0)</f>
        <v>0</v>
      </c>
      <c r="AJ12" s="11" t="n">
        <f aca="false">INDEX('CF Summary'!$B$26:$G$26,AJ$3)*INDEX(Inputs!$B$80:$O$80,AJ$4+2)+IF(AJ$4=11,INDEX('CF Summary'!$B$26:$G$26,AJ$3+1)*INDEX(Inputs!$B$80:$O$80,1),0)+IF(AJ$4=12,INDEX('CF Summary'!$B$26:$G$26,AJ$3+1)*INDEX(Inputs!$B$80:$O$80,2),0)</f>
        <v>0</v>
      </c>
      <c r="AK12" s="11" t="n">
        <f aca="false">INDEX('CF Summary'!$B$26:$G$26,AK$3)*INDEX(Inputs!$B$80:$O$80,AK$4+2)+IF(AK$4=11,INDEX('CF Summary'!$B$26:$G$26,AK$3+1)*INDEX(Inputs!$B$80:$O$80,1),0)+IF(AK$4=12,INDEX('CF Summary'!$B$26:$G$26,AK$3+1)*INDEX(Inputs!$B$80:$O$80,2),0)</f>
        <v>0</v>
      </c>
      <c r="AL12" s="11" t="n">
        <f aca="false">INDEX('CF Summary'!$B$26:$G$26,AL$3)*INDEX(Inputs!$B$80:$O$80,AL$4+2)+IF(AL$4=11,INDEX('CF Summary'!$B$26:$G$26,AL$3+1)*INDEX(Inputs!$B$80:$O$80,1),0)+IF(AL$4=12,INDEX('CF Summary'!$B$26:$G$26,AL$3+1)*INDEX(Inputs!$B$80:$O$80,2),0)</f>
        <v>0</v>
      </c>
      <c r="AM12" s="11" t="n">
        <f aca="false">INDEX('CF Summary'!$B$26:$G$26,AM$3)*INDEX(Inputs!$B$80:$O$80,AM$4+2)+IF(AM$4=11,INDEX('CF Summary'!$B$26:$G$26,AM$3+1)*INDEX(Inputs!$B$80:$O$80,1),0)+IF(AM$4=12,INDEX('CF Summary'!$B$26:$G$26,AM$3+1)*INDEX(Inputs!$B$80:$O$80,2),0)</f>
        <v>0</v>
      </c>
      <c r="AN12" s="11" t="n">
        <f aca="false">INDEX('CF Summary'!$B$26:$G$26,AN$3)*INDEX(Inputs!$B$80:$O$80,AN$4+2)+IF(AN$4=11,INDEX('CF Summary'!$B$26:$G$26,AN$3+1)*INDEX(Inputs!$B$80:$O$80,1),0)+IF(AN$4=12,INDEX('CF Summary'!$B$26:$G$26,AN$3+1)*INDEX(Inputs!$B$80:$O$80,2),0)</f>
        <v>0</v>
      </c>
      <c r="AO12" s="11" t="n">
        <f aca="false">INDEX('CF Summary'!$B$26:$G$26,AO$3)*INDEX(Inputs!$B$80:$O$80,AO$4+2)+IF(AO$4=11,INDEX('CF Summary'!$B$26:$G$26,AO$3+1)*INDEX(Inputs!$B$80:$O$80,1),0)+IF(AO$4=12,INDEX('CF Summary'!$B$26:$G$26,AO$3+1)*INDEX(Inputs!$B$80:$O$80,2),0)</f>
        <v>0</v>
      </c>
      <c r="AP12" s="11" t="n">
        <f aca="false">INDEX('CF Summary'!$B$26:$G$26,AP$3)*INDEX(Inputs!$B$80:$O$80,AP$4+2)+IF(AP$4=11,INDEX('CF Summary'!$B$26:$G$26,AP$3+1)*INDEX(Inputs!$B$80:$O$80,1),0)+IF(AP$4=12,INDEX('CF Summary'!$B$26:$G$26,AP$3+1)*INDEX(Inputs!$B$80:$O$80,2),0)</f>
        <v>0</v>
      </c>
      <c r="AQ12" s="11" t="n">
        <f aca="false">INDEX('CF Summary'!$B$26:$G$26,AQ$3)*INDEX(Inputs!$B$80:$O$80,AQ$4+2)+IF(AQ$4=11,INDEX('CF Summary'!$B$26:$G$26,AQ$3+1)*INDEX(Inputs!$B$80:$O$80,1),0)+IF(AQ$4=12,INDEX('CF Summary'!$B$26:$G$26,AQ$3+1)*INDEX(Inputs!$B$80:$O$80,2),0)</f>
        <v>0</v>
      </c>
      <c r="AR12" s="11" t="n">
        <f aca="false">INDEX('CF Summary'!$B$26:$G$26,AR$3)*INDEX(Inputs!$B$80:$O$80,AR$4+2)+IF(AR$4=11,INDEX('CF Summary'!$B$26:$G$26,AR$3+1)*INDEX(Inputs!$B$80:$O$80,1),0)+IF(AR$4=12,INDEX('CF Summary'!$B$26:$G$26,AR$3+1)*INDEX(Inputs!$B$80:$O$80,2),0)</f>
        <v>0</v>
      </c>
      <c r="AS12" s="11" t="n">
        <f aca="false">INDEX('CF Summary'!$B$26:$G$26,AS$3)*INDEX(Inputs!$B$80:$O$80,AS$4+2)+IF(AS$4=11,INDEX('CF Summary'!$B$26:$G$26,AS$3+1)*INDEX(Inputs!$B$80:$O$80,1),0)+IF(AS$4=12,INDEX('CF Summary'!$B$26:$G$26,AS$3+1)*INDEX(Inputs!$B$80:$O$80,2),0)</f>
        <v>0</v>
      </c>
      <c r="AT12" s="11" t="n">
        <f aca="false">INDEX('CF Summary'!$B$26:$G$26,AT$3)*INDEX(Inputs!$B$80:$O$80,AT$4+2)+IF(AT$4=11,INDEX('CF Summary'!$B$26:$G$26,AT$3+1)*INDEX(Inputs!$B$80:$O$80,1),0)+IF(AT$4=12,INDEX('CF Summary'!$B$26:$G$26,AT$3+1)*INDEX(Inputs!$B$80:$O$80,2),0)</f>
        <v>0</v>
      </c>
      <c r="AU12" s="11" t="n">
        <f aca="false">INDEX('CF Summary'!$B$26:$G$26,AU$3)*INDEX(Inputs!$B$80:$O$80,AU$4+2)+IF(AU$4=11,INDEX('CF Summary'!$B$26:$G$26,AU$3+1)*INDEX(Inputs!$B$80:$O$80,1),0)+IF(AU$4=12,INDEX('CF Summary'!$B$26:$G$26,AU$3+1)*INDEX(Inputs!$B$80:$O$80,2),0)</f>
        <v>0</v>
      </c>
      <c r="AV12" s="11" t="n">
        <f aca="false">INDEX('CF Summary'!$B$26:$G$26,AV$3)*INDEX(Inputs!$B$80:$O$80,AV$4+2)+IF(AV$4=11,INDEX('CF Summary'!$B$26:$G$26,AV$3+1)*INDEX(Inputs!$B$80:$O$80,1),0)+IF(AV$4=12,INDEX('CF Summary'!$B$26:$G$26,AV$3+1)*INDEX(Inputs!$B$80:$O$80,2),0)</f>
        <v>0</v>
      </c>
      <c r="AW12" s="11" t="n">
        <f aca="false">INDEX('CF Summary'!$B$26:$G$26,AW$3)*INDEX(Inputs!$B$80:$O$80,AW$4+2)+IF(AW$4=11,INDEX('CF Summary'!$B$26:$G$26,AW$3+1)*INDEX(Inputs!$B$80:$O$80,1),0)+IF(AW$4=12,INDEX('CF Summary'!$B$26:$G$26,AW$3+1)*INDEX(Inputs!$B$80:$O$80,2),0)</f>
        <v>0</v>
      </c>
      <c r="AX12" s="11" t="n">
        <f aca="false">INDEX('CF Summary'!$B$26:$G$26,AX$3)*INDEX(Inputs!$B$80:$O$80,AX$4+2)+IF(AX$4=11,INDEX('CF Summary'!$B$26:$G$26,AX$3+1)*INDEX(Inputs!$B$80:$O$80,1),0)+IF(AX$4=12,INDEX('CF Summary'!$B$26:$G$26,AX$3+1)*INDEX(Inputs!$B$80:$O$80,2),0)</f>
        <v>0</v>
      </c>
      <c r="AY12" s="11" t="n">
        <f aca="false">INDEX('CF Summary'!$B$26:$G$26,AY$3)*INDEX(Inputs!$B$80:$O$80,AY$4+2)+IF(AY$4=11,INDEX('CF Summary'!$B$26:$G$26,AY$3+1)*INDEX(Inputs!$B$80:$O$80,1),0)+IF(AY$4=12,INDEX('CF Summary'!$B$26:$G$26,AY$3+1)*INDEX(Inputs!$B$80:$O$80,2),0)</f>
        <v>0</v>
      </c>
      <c r="AZ12" s="11" t="n">
        <f aca="false">INDEX('CF Summary'!$B$26:$G$26,AZ$3)*INDEX(Inputs!$B$80:$O$80,AZ$4+2)+IF(AZ$4=11,INDEX('CF Summary'!$B$26:$G$26,AZ$3+1)*INDEX(Inputs!$B$80:$O$80,1),0)+IF(AZ$4=12,INDEX('CF Summary'!$B$26:$G$26,AZ$3+1)*INDEX(Inputs!$B$80:$O$80,2),0)</f>
        <v>0</v>
      </c>
      <c r="BA12" s="11" t="n">
        <f aca="false">INDEX('CF Summary'!$B$26:$G$26,BA$3)*INDEX(Inputs!$B$80:$O$80,BA$4+2)+IF(BA$4=11,INDEX('CF Summary'!$B$26:$G$26,BA$3+1)*INDEX(Inputs!$B$80:$O$80,1),0)+IF(BA$4=12,INDEX('CF Summary'!$B$26:$G$26,BA$3+1)*INDEX(Inputs!$B$80:$O$80,2),0)</f>
        <v>0</v>
      </c>
      <c r="BB12" s="11" t="n">
        <f aca="false">INDEX('CF Summary'!$B$26:$G$26,BB$3)*INDEX(Inputs!$B$80:$O$80,BB$4+2)+IF(BB$4=11,INDEX('CF Summary'!$B$26:$G$26,BB$3+1)*INDEX(Inputs!$B$80:$O$80,1),0)+IF(BB$4=12,INDEX('CF Summary'!$B$26:$G$26,BB$3+1)*INDEX(Inputs!$B$80:$O$80,2),0)</f>
        <v>0</v>
      </c>
      <c r="BC12" s="11" t="n">
        <f aca="false">INDEX('CF Summary'!$B$26:$G$26,BC$3)*INDEX(Inputs!$B$80:$O$80,BC$4+2)+IF(BC$4=11,INDEX('CF Summary'!$B$26:$G$26,BC$3+1)*INDEX(Inputs!$B$80:$O$80,1),0)+IF(BC$4=12,INDEX('CF Summary'!$B$26:$G$26,BC$3+1)*INDEX(Inputs!$B$80:$O$80,2),0)</f>
        <v>0</v>
      </c>
      <c r="BD12" s="11" t="n">
        <f aca="false">INDEX('CF Summary'!$B$26:$G$26,BD$3)*INDEX(Inputs!$B$80:$O$80,BD$4+2)+IF(BD$4=11,INDEX('CF Summary'!$B$26:$G$26,BD$3+1)*INDEX(Inputs!$B$80:$O$80,1),0)+IF(BD$4=12,INDEX('CF Summary'!$B$26:$G$26,BD$3+1)*INDEX(Inputs!$B$80:$O$80,2),0)</f>
        <v>0</v>
      </c>
      <c r="BE12" s="11" t="n">
        <f aca="false">INDEX('CF Summary'!$B$26:$G$26,BE$3)*INDEX(Inputs!$B$80:$O$80,BE$4+2)+IF(BE$4=11,INDEX('CF Summary'!$B$26:$G$26,BE$3+1)*INDEX(Inputs!$B$80:$O$80,1),0)+IF(BE$4=12,INDEX('CF Summary'!$B$26:$G$26,BE$3+1)*INDEX(Inputs!$B$80:$O$80,2),0)</f>
        <v>0</v>
      </c>
      <c r="BF12" s="11" t="n">
        <f aca="false">INDEX('CF Summary'!$B$26:$G$26,BF$3)*INDEX(Inputs!$B$80:$O$80,BF$4+2)+IF(BF$4=11,INDEX('CF Summary'!$B$26:$G$26,BF$3+1)*INDEX(Inputs!$B$80:$O$80,1),0)+IF(BF$4=12,INDEX('CF Summary'!$B$26:$G$26,BF$3+1)*INDEX(Inputs!$B$80:$O$80,2),0)</f>
        <v>0</v>
      </c>
      <c r="BG12" s="11" t="n">
        <f aca="false">INDEX('CF Summary'!$B$26:$G$26,BG$3)*INDEX(Inputs!$B$80:$O$80,BG$4+2)+IF(BG$4=11,INDEX('CF Summary'!$B$26:$G$26,BG$3+1)*INDEX(Inputs!$B$80:$O$80,1),0)+IF(BG$4=12,INDEX('CF Summary'!$B$26:$G$26,BG$3+1)*INDEX(Inputs!$B$80:$O$80,2),0)</f>
        <v>0</v>
      </c>
      <c r="BH12" s="11" t="n">
        <f aca="false">INDEX('CF Summary'!$B$26:$G$26,BH$3)*INDEX(Inputs!$B$80:$O$80,BH$4+2)+IF(BH$4=11,INDEX('CF Summary'!$B$26:$G$26,BH$3+1)*INDEX(Inputs!$B$80:$O$80,1),0)+IF(BH$4=12,INDEX('CF Summary'!$B$26:$G$26,BH$3+1)*INDEX(Inputs!$B$80:$O$80,2),0)</f>
        <v>0</v>
      </c>
      <c r="BI12" s="11" t="n">
        <f aca="false">INDEX('CF Summary'!$B$26:$G$26,BI$3)*INDEX(Inputs!$B$80:$O$80,BI$4+2)+IF(BI$4=11,INDEX('CF Summary'!$B$26:$G$26,BI$3+1)*INDEX(Inputs!$B$80:$O$80,1),0)+IF(BI$4=12,INDEX('CF Summary'!$B$26:$G$26,BI$3+1)*INDEX(Inputs!$B$80:$O$80,2),0)</f>
        <v>0</v>
      </c>
    </row>
    <row r="13" customFormat="false" ht="15" hidden="false" customHeight="false" outlineLevel="0" collapsed="false">
      <c r="A13" s="12" t="s">
        <v>579</v>
      </c>
      <c r="B13" s="13" t="n">
        <f aca="false">SUM(B8:B12)</f>
        <v>1054193.99565217</v>
      </c>
      <c r="C13" s="13" t="n">
        <f aca="false">SUM(C8:C12)</f>
        <v>850549.244347826</v>
      </c>
      <c r="D13" s="13" t="n">
        <f aca="false">SUM(D8:D12)</f>
        <v>491893.995652174</v>
      </c>
      <c r="E13" s="13" t="n">
        <f aca="false">SUM(E8:E12)</f>
        <v>491893.995652174</v>
      </c>
      <c r="F13" s="13" t="n">
        <f aca="false">SUM(F8:F12)</f>
        <v>850549.244347826</v>
      </c>
      <c r="G13" s="13" t="n">
        <f aca="false">SUM(G8:G12)</f>
        <v>491893.995652174</v>
      </c>
      <c r="H13" s="13" t="n">
        <f aca="false">SUM(H8:H12)</f>
        <v>491893.995652174</v>
      </c>
      <c r="I13" s="13" t="n">
        <f aca="false">SUM(I8:I12)</f>
        <v>850549.244347826</v>
      </c>
      <c r="J13" s="13" t="n">
        <f aca="false">SUM(J8:J12)</f>
        <v>491893.995652174</v>
      </c>
      <c r="K13" s="13" t="n">
        <f aca="false">SUM(K8:K12)</f>
        <v>491893.995652174</v>
      </c>
      <c r="L13" s="13" t="n">
        <f aca="false">SUM(L8:L12)</f>
        <v>903250.669225943</v>
      </c>
      <c r="M13" s="13" t="n">
        <f aca="false">SUM(M8:M12)</f>
        <v>2015107.37375758</v>
      </c>
      <c r="N13" s="13" t="n">
        <f aca="false">SUM(N8:N12)</f>
        <v>1001244.53597643</v>
      </c>
      <c r="O13" s="13" t="n">
        <f aca="false">SUM(O8:O12)</f>
        <v>902642.755144277</v>
      </c>
      <c r="P13" s="13" t="n">
        <f aca="false">SUM(P8:P12)</f>
        <v>521434.742162001</v>
      </c>
      <c r="Q13" s="13" t="n">
        <f aca="false">SUM(Q8:Q12)</f>
        <v>521434.742162001</v>
      </c>
      <c r="R13" s="13" t="n">
        <f aca="false">SUM(R8:R12)</f>
        <v>902642.755144277</v>
      </c>
      <c r="S13" s="13" t="n">
        <f aca="false">SUM(S8:S12)</f>
        <v>521434.742162001</v>
      </c>
      <c r="T13" s="13" t="n">
        <f aca="false">SUM(T8:T12)</f>
        <v>521434.742162001</v>
      </c>
      <c r="U13" s="13" t="n">
        <f aca="false">SUM(U8:U12)</f>
        <v>902642.755144277</v>
      </c>
      <c r="V13" s="13" t="n">
        <f aca="false">SUM(V8:V12)</f>
        <v>521434.742162001</v>
      </c>
      <c r="W13" s="13" t="n">
        <f aca="false">SUM(W8:W12)</f>
        <v>521434.742162001</v>
      </c>
      <c r="X13" s="13" t="n">
        <f aca="false">SUM(X8:X12)</f>
        <v>934777.474860074</v>
      </c>
      <c r="Y13" s="13" t="n">
        <f aca="false">SUM(Y8:Y12)</f>
        <v>2086742.89345006</v>
      </c>
      <c r="Z13" s="13" t="n">
        <f aca="false">SUM(Z8:Z12)</f>
        <v>968791.098648367</v>
      </c>
      <c r="AA13" s="13" t="n">
        <f aca="false">SUM(AA8:AA12)</f>
        <v>934777.474860074</v>
      </c>
      <c r="AB13" s="13" t="n">
        <f aca="false">SUM(AB8:AB12)</f>
        <v>539817.902772078</v>
      </c>
      <c r="AC13" s="13" t="n">
        <f aca="false">SUM(AC8:AC12)</f>
        <v>539817.902772078</v>
      </c>
      <c r="AD13" s="13" t="n">
        <f aca="false">SUM(AD8:AD12)</f>
        <v>934777.474860074</v>
      </c>
      <c r="AE13" s="13" t="n">
        <f aca="false">SUM(AE8:AE12)</f>
        <v>539817.902772078</v>
      </c>
      <c r="AF13" s="13" t="n">
        <f aca="false">SUM(AF8:AF12)</f>
        <v>539817.902772078</v>
      </c>
      <c r="AG13" s="13" t="n">
        <f aca="false">SUM(AG8:AG12)</f>
        <v>934777.474860074</v>
      </c>
      <c r="AH13" s="13" t="n">
        <f aca="false">SUM(AH8:AH12)</f>
        <v>539817.902772078</v>
      </c>
      <c r="AI13" s="13" t="n">
        <f aca="false">SUM(AI8:AI12)</f>
        <v>539817.902772078</v>
      </c>
      <c r="AJ13" s="13" t="n">
        <f aca="false">SUM(AJ8:AJ12)</f>
        <v>965337.300539782</v>
      </c>
      <c r="AK13" s="13" t="n">
        <f aca="false">SUM(AK8:AK12)</f>
        <v>2155445.74078052</v>
      </c>
      <c r="AL13" s="13" t="n">
        <f aca="false">SUM(AL8:AL12)</f>
        <v>984878.987008053</v>
      </c>
      <c r="AM13" s="13" t="n">
        <f aca="false">SUM(AM8:AM12)</f>
        <v>965337.300539782</v>
      </c>
      <c r="AN13" s="13" t="n">
        <f aca="false">SUM(AN8:AN12)</f>
        <v>557300.121028672</v>
      </c>
      <c r="AO13" s="13" t="n">
        <f aca="false">SUM(AO8:AO12)</f>
        <v>557300.121028672</v>
      </c>
      <c r="AP13" s="13" t="n">
        <f aca="false">SUM(AP8:AP12)</f>
        <v>965337.300539782</v>
      </c>
      <c r="AQ13" s="13" t="n">
        <f aca="false">SUM(AQ8:AQ12)</f>
        <v>557300.121028672</v>
      </c>
      <c r="AR13" s="13" t="n">
        <f aca="false">SUM(AR8:AR12)</f>
        <v>557300.121028672</v>
      </c>
      <c r="AS13" s="13" t="n">
        <f aca="false">SUM(AS8:AS12)</f>
        <v>965337.300539782</v>
      </c>
      <c r="AT13" s="13" t="n">
        <f aca="false">SUM(AT8:AT12)</f>
        <v>557300.121028672</v>
      </c>
      <c r="AU13" s="13" t="n">
        <f aca="false">SUM(AU8:AU12)</f>
        <v>557300.121028672</v>
      </c>
      <c r="AV13" s="13" t="n">
        <f aca="false">SUM(AV8:AV12)</f>
        <v>995240.245537292</v>
      </c>
      <c r="AW13" s="13" t="n">
        <f aca="false">SUM(AW8:AW12)</f>
        <v>2222671.82663674</v>
      </c>
      <c r="AX13" s="13" t="n">
        <f aca="false">SUM(AX8:AX12)</f>
        <v>1000869.96265077</v>
      </c>
      <c r="AY13" s="13" t="n">
        <f aca="false">SUM(AY8:AY12)</f>
        <v>995240.245537292</v>
      </c>
      <c r="AZ13" s="13" t="n">
        <f aca="false">SUM(AZ8:AZ12)</f>
        <v>574406.560588912</v>
      </c>
      <c r="BA13" s="13" t="n">
        <f aca="false">SUM(BA8:BA12)</f>
        <v>574406.560588912</v>
      </c>
      <c r="BB13" s="13" t="n">
        <f aca="false">SUM(BB8:BB12)</f>
        <v>995240.245537292</v>
      </c>
      <c r="BC13" s="13" t="n">
        <f aca="false">SUM(BC8:BC12)</f>
        <v>574406.560588912</v>
      </c>
      <c r="BD13" s="13" t="n">
        <f aca="false">SUM(BD8:BD12)</f>
        <v>574406.560588912</v>
      </c>
      <c r="BE13" s="13" t="n">
        <f aca="false">SUM(BE8:BE12)</f>
        <v>995240.245537292</v>
      </c>
      <c r="BF13" s="13" t="n">
        <f aca="false">SUM(BF8:BF12)</f>
        <v>574406.560588912</v>
      </c>
      <c r="BG13" s="13" t="n">
        <f aca="false">SUM(BG8:BG12)</f>
        <v>574406.560588912</v>
      </c>
      <c r="BH13" s="13" t="n">
        <f aca="false">SUM(BH8:BH12)</f>
        <v>1034576.50525538</v>
      </c>
      <c r="BI13" s="13" t="n">
        <f aca="false">SUM(BI8:BI12)</f>
        <v>2311105.34959881</v>
      </c>
    </row>
    <row r="15" customFormat="false" ht="15" hidden="false" customHeight="false" outlineLevel="0" collapsed="false">
      <c r="A15" s="9" t="s">
        <v>580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</row>
    <row r="16" customFormat="false" ht="15" hidden="false" customHeight="false" outlineLevel="0" collapsed="false">
      <c r="A16" s="6" t="s">
        <v>574</v>
      </c>
      <c r="B16" s="11" t="n">
        <f aca="false">-(INDEX('CF Summary'!$B$29:$G$29,B$3)*INDEX(Inputs!$B$76:$O$76,B$4+2)+IF(B$4=11,INDEX('CF Summary'!$B$29:$G$29,B$3+1)*INDEX(Inputs!$B$76:$O$76,1),0)+IF(B$4=12,INDEX('CF Summary'!$B$29:$G$29,B$3+1)*INDEX(Inputs!$B$76:$O$76,2),0))</f>
        <v>-0</v>
      </c>
      <c r="C16" s="11" t="n">
        <f aca="false">-(INDEX('CF Summary'!$B$29:$G$29,C$3)*INDEX(Inputs!$B$76:$O$76,C$4+2)+IF(C$4=11,INDEX('CF Summary'!$B$29:$G$29,C$3+1)*INDEX(Inputs!$B$76:$O$76,1),0)+IF(C$4=12,INDEX('CF Summary'!$B$29:$G$29,C$3+1)*INDEX(Inputs!$B$76:$O$76,2),0))</f>
        <v>-0</v>
      </c>
      <c r="D16" s="11" t="n">
        <f aca="false">-(INDEX('CF Summary'!$B$29:$G$29,D$3)*INDEX(Inputs!$B$76:$O$76,D$4+2)+IF(D$4=11,INDEX('CF Summary'!$B$29:$G$29,D$3+1)*INDEX(Inputs!$B$76:$O$76,1),0)+IF(D$4=12,INDEX('CF Summary'!$B$29:$G$29,D$3+1)*INDEX(Inputs!$B$76:$O$76,2),0))</f>
        <v>-0</v>
      </c>
      <c r="E16" s="11" t="n">
        <f aca="false">-(INDEX('CF Summary'!$B$29:$G$29,E$3)*INDEX(Inputs!$B$76:$O$76,E$4+2)+IF(E$4=11,INDEX('CF Summary'!$B$29:$G$29,E$3+1)*INDEX(Inputs!$B$76:$O$76,1),0)+IF(E$4=12,INDEX('CF Summary'!$B$29:$G$29,E$3+1)*INDEX(Inputs!$B$76:$O$76,2),0))</f>
        <v>-0</v>
      </c>
      <c r="F16" s="11" t="n">
        <f aca="false">-(INDEX('CF Summary'!$B$29:$G$29,F$3)*INDEX(Inputs!$B$76:$O$76,F$4+2)+IF(F$4=11,INDEX('CF Summary'!$B$29:$G$29,F$3+1)*INDEX(Inputs!$B$76:$O$76,1),0)+IF(F$4=12,INDEX('CF Summary'!$B$29:$G$29,F$3+1)*INDEX(Inputs!$B$76:$O$76,2),0))</f>
        <v>-0</v>
      </c>
      <c r="G16" s="11" t="n">
        <f aca="false">-(INDEX('CF Summary'!$B$29:$G$29,G$3)*INDEX(Inputs!$B$76:$O$76,G$4+2)+IF(G$4=11,INDEX('CF Summary'!$B$29:$G$29,G$3+1)*INDEX(Inputs!$B$76:$O$76,1),0)+IF(G$4=12,INDEX('CF Summary'!$B$29:$G$29,G$3+1)*INDEX(Inputs!$B$76:$O$76,2),0))</f>
        <v>-0</v>
      </c>
      <c r="H16" s="11" t="n">
        <f aca="false">-(INDEX('CF Summary'!$B$29:$G$29,H$3)*INDEX(Inputs!$B$76:$O$76,H$4+2)+IF(H$4=11,INDEX('CF Summary'!$B$29:$G$29,H$3+1)*INDEX(Inputs!$B$76:$O$76,1),0)+IF(H$4=12,INDEX('CF Summary'!$B$29:$G$29,H$3+1)*INDEX(Inputs!$B$76:$O$76,2),0))</f>
        <v>-0</v>
      </c>
      <c r="I16" s="11" t="n">
        <f aca="false">-(INDEX('CF Summary'!$B$29:$G$29,I$3)*INDEX(Inputs!$B$76:$O$76,I$4+2)+IF(I$4=11,INDEX('CF Summary'!$B$29:$G$29,I$3+1)*INDEX(Inputs!$B$76:$O$76,1),0)+IF(I$4=12,INDEX('CF Summary'!$B$29:$G$29,I$3+1)*INDEX(Inputs!$B$76:$O$76,2),0))</f>
        <v>-0</v>
      </c>
      <c r="J16" s="11" t="n">
        <f aca="false">-(INDEX('CF Summary'!$B$29:$G$29,J$3)*INDEX(Inputs!$B$76:$O$76,J$4+2)+IF(J$4=11,INDEX('CF Summary'!$B$29:$G$29,J$3+1)*INDEX(Inputs!$B$76:$O$76,1),0)+IF(J$4=12,INDEX('CF Summary'!$B$29:$G$29,J$3+1)*INDEX(Inputs!$B$76:$O$76,2),0))</f>
        <v>-0</v>
      </c>
      <c r="K16" s="11" t="n">
        <f aca="false">-(INDEX('CF Summary'!$B$29:$G$29,K$3)*INDEX(Inputs!$B$76:$O$76,K$4+2)+IF(K$4=11,INDEX('CF Summary'!$B$29:$G$29,K$3+1)*INDEX(Inputs!$B$76:$O$76,1),0)+IF(K$4=12,INDEX('CF Summary'!$B$29:$G$29,K$3+1)*INDEX(Inputs!$B$76:$O$76,2),0))</f>
        <v>-0</v>
      </c>
      <c r="L16" s="11" t="n">
        <f aca="false">-(INDEX('CF Summary'!$B$29:$G$29,L$3)*INDEX(Inputs!$B$76:$O$76,L$4+2)+IF(L$4=11,INDEX('CF Summary'!$B$29:$G$29,L$3+1)*INDEX(Inputs!$B$76:$O$76,1),0)+IF(L$4=12,INDEX('CF Summary'!$B$29:$G$29,L$3+1)*INDEX(Inputs!$B$76:$O$76,2),0))</f>
        <v>-0</v>
      </c>
      <c r="M16" s="11" t="n">
        <f aca="false">-(INDEX('CF Summary'!$B$29:$G$29,M$3)*INDEX(Inputs!$B$76:$O$76,M$4+2)+IF(M$4=11,INDEX('CF Summary'!$B$29:$G$29,M$3+1)*INDEX(Inputs!$B$76:$O$76,1),0)+IF(M$4=12,INDEX('CF Summary'!$B$29:$G$29,M$3+1)*INDEX(Inputs!$B$76:$O$76,2),0))</f>
        <v>-0</v>
      </c>
      <c r="N16" s="11" t="n">
        <f aca="false">-(INDEX('CF Summary'!$B$29:$G$29,N$3)*INDEX(Inputs!$B$76:$O$76,N$4+2)+IF(N$4=11,INDEX('CF Summary'!$B$29:$G$29,N$3+1)*INDEX(Inputs!$B$76:$O$76,1),0)+IF(N$4=12,INDEX('CF Summary'!$B$29:$G$29,N$3+1)*INDEX(Inputs!$B$76:$O$76,2),0))</f>
        <v>-0</v>
      </c>
      <c r="O16" s="11" t="n">
        <f aca="false">-(INDEX('CF Summary'!$B$29:$G$29,O$3)*INDEX(Inputs!$B$76:$O$76,O$4+2)+IF(O$4=11,INDEX('CF Summary'!$B$29:$G$29,O$3+1)*INDEX(Inputs!$B$76:$O$76,1),0)+IF(O$4=12,INDEX('CF Summary'!$B$29:$G$29,O$3+1)*INDEX(Inputs!$B$76:$O$76,2),0))</f>
        <v>-0</v>
      </c>
      <c r="P16" s="11" t="n">
        <f aca="false">-(INDEX('CF Summary'!$B$29:$G$29,P$3)*INDEX(Inputs!$B$76:$O$76,P$4+2)+IF(P$4=11,INDEX('CF Summary'!$B$29:$G$29,P$3+1)*INDEX(Inputs!$B$76:$O$76,1),0)+IF(P$4=12,INDEX('CF Summary'!$B$29:$G$29,P$3+1)*INDEX(Inputs!$B$76:$O$76,2),0))</f>
        <v>-0</v>
      </c>
      <c r="Q16" s="11" t="n">
        <f aca="false">-(INDEX('CF Summary'!$B$29:$G$29,Q$3)*INDEX(Inputs!$B$76:$O$76,Q$4+2)+IF(Q$4=11,INDEX('CF Summary'!$B$29:$G$29,Q$3+1)*INDEX(Inputs!$B$76:$O$76,1),0)+IF(Q$4=12,INDEX('CF Summary'!$B$29:$G$29,Q$3+1)*INDEX(Inputs!$B$76:$O$76,2),0))</f>
        <v>-0</v>
      </c>
      <c r="R16" s="11" t="n">
        <f aca="false">-(INDEX('CF Summary'!$B$29:$G$29,R$3)*INDEX(Inputs!$B$76:$O$76,R$4+2)+IF(R$4=11,INDEX('CF Summary'!$B$29:$G$29,R$3+1)*INDEX(Inputs!$B$76:$O$76,1),0)+IF(R$4=12,INDEX('CF Summary'!$B$29:$G$29,R$3+1)*INDEX(Inputs!$B$76:$O$76,2),0))</f>
        <v>-0</v>
      </c>
      <c r="S16" s="11" t="n">
        <f aca="false">-(INDEX('CF Summary'!$B$29:$G$29,S$3)*INDEX(Inputs!$B$76:$O$76,S$4+2)+IF(S$4=11,INDEX('CF Summary'!$B$29:$G$29,S$3+1)*INDEX(Inputs!$B$76:$O$76,1),0)+IF(S$4=12,INDEX('CF Summary'!$B$29:$G$29,S$3+1)*INDEX(Inputs!$B$76:$O$76,2),0))</f>
        <v>-0</v>
      </c>
      <c r="T16" s="11" t="n">
        <f aca="false">-(INDEX('CF Summary'!$B$29:$G$29,T$3)*INDEX(Inputs!$B$76:$O$76,T$4+2)+IF(T$4=11,INDEX('CF Summary'!$B$29:$G$29,T$3+1)*INDEX(Inputs!$B$76:$O$76,1),0)+IF(T$4=12,INDEX('CF Summary'!$B$29:$G$29,T$3+1)*INDEX(Inputs!$B$76:$O$76,2),0))</f>
        <v>-0</v>
      </c>
      <c r="U16" s="11" t="n">
        <f aca="false">-(INDEX('CF Summary'!$B$29:$G$29,U$3)*INDEX(Inputs!$B$76:$O$76,U$4+2)+IF(U$4=11,INDEX('CF Summary'!$B$29:$G$29,U$3+1)*INDEX(Inputs!$B$76:$O$76,1),0)+IF(U$4=12,INDEX('CF Summary'!$B$29:$G$29,U$3+1)*INDEX(Inputs!$B$76:$O$76,2),0))</f>
        <v>-0</v>
      </c>
      <c r="V16" s="11" t="n">
        <f aca="false">-(INDEX('CF Summary'!$B$29:$G$29,V$3)*INDEX(Inputs!$B$76:$O$76,V$4+2)+IF(V$4=11,INDEX('CF Summary'!$B$29:$G$29,V$3+1)*INDEX(Inputs!$B$76:$O$76,1),0)+IF(V$4=12,INDEX('CF Summary'!$B$29:$G$29,V$3+1)*INDEX(Inputs!$B$76:$O$76,2),0))</f>
        <v>-0</v>
      </c>
      <c r="W16" s="11" t="n">
        <f aca="false">-(INDEX('CF Summary'!$B$29:$G$29,W$3)*INDEX(Inputs!$B$76:$O$76,W$4+2)+IF(W$4=11,INDEX('CF Summary'!$B$29:$G$29,W$3+1)*INDEX(Inputs!$B$76:$O$76,1),0)+IF(W$4=12,INDEX('CF Summary'!$B$29:$G$29,W$3+1)*INDEX(Inputs!$B$76:$O$76,2),0))</f>
        <v>-0</v>
      </c>
      <c r="X16" s="11" t="n">
        <f aca="false">-(INDEX('CF Summary'!$B$29:$G$29,X$3)*INDEX(Inputs!$B$76:$O$76,X$4+2)+IF(X$4=11,INDEX('CF Summary'!$B$29:$G$29,X$3+1)*INDEX(Inputs!$B$76:$O$76,1),0)+IF(X$4=12,INDEX('CF Summary'!$B$29:$G$29,X$3+1)*INDEX(Inputs!$B$76:$O$76,2),0))</f>
        <v>-0</v>
      </c>
      <c r="Y16" s="11" t="n">
        <f aca="false">-(INDEX('CF Summary'!$B$29:$G$29,Y$3)*INDEX(Inputs!$B$76:$O$76,Y$4+2)+IF(Y$4=11,INDEX('CF Summary'!$B$29:$G$29,Y$3+1)*INDEX(Inputs!$B$76:$O$76,1),0)+IF(Y$4=12,INDEX('CF Summary'!$B$29:$G$29,Y$3+1)*INDEX(Inputs!$B$76:$O$76,2),0))</f>
        <v>-0</v>
      </c>
      <c r="Z16" s="11" t="n">
        <f aca="false">-(INDEX('CF Summary'!$B$29:$G$29,Z$3)*INDEX(Inputs!$B$76:$O$76,Z$4+2)+IF(Z$4=11,INDEX('CF Summary'!$B$29:$G$29,Z$3+1)*INDEX(Inputs!$B$76:$O$76,1),0)+IF(Z$4=12,INDEX('CF Summary'!$B$29:$G$29,Z$3+1)*INDEX(Inputs!$B$76:$O$76,2),0))</f>
        <v>-0</v>
      </c>
      <c r="AA16" s="11" t="n">
        <f aca="false">-(INDEX('CF Summary'!$B$29:$G$29,AA$3)*INDEX(Inputs!$B$76:$O$76,AA$4+2)+IF(AA$4=11,INDEX('CF Summary'!$B$29:$G$29,AA$3+1)*INDEX(Inputs!$B$76:$O$76,1),0)+IF(AA$4=12,INDEX('CF Summary'!$B$29:$G$29,AA$3+1)*INDEX(Inputs!$B$76:$O$76,2),0))</f>
        <v>-0</v>
      </c>
      <c r="AB16" s="11" t="n">
        <f aca="false">-(INDEX('CF Summary'!$B$29:$G$29,AB$3)*INDEX(Inputs!$B$76:$O$76,AB$4+2)+IF(AB$4=11,INDEX('CF Summary'!$B$29:$G$29,AB$3+1)*INDEX(Inputs!$B$76:$O$76,1),0)+IF(AB$4=12,INDEX('CF Summary'!$B$29:$G$29,AB$3+1)*INDEX(Inputs!$B$76:$O$76,2),0))</f>
        <v>-0</v>
      </c>
      <c r="AC16" s="11" t="n">
        <f aca="false">-(INDEX('CF Summary'!$B$29:$G$29,AC$3)*INDEX(Inputs!$B$76:$O$76,AC$4+2)+IF(AC$4=11,INDEX('CF Summary'!$B$29:$G$29,AC$3+1)*INDEX(Inputs!$B$76:$O$76,1),0)+IF(AC$4=12,INDEX('CF Summary'!$B$29:$G$29,AC$3+1)*INDEX(Inputs!$B$76:$O$76,2),0))</f>
        <v>-0</v>
      </c>
      <c r="AD16" s="11" t="n">
        <f aca="false">-(INDEX('CF Summary'!$B$29:$G$29,AD$3)*INDEX(Inputs!$B$76:$O$76,AD$4+2)+IF(AD$4=11,INDEX('CF Summary'!$B$29:$G$29,AD$3+1)*INDEX(Inputs!$B$76:$O$76,1),0)+IF(AD$4=12,INDEX('CF Summary'!$B$29:$G$29,AD$3+1)*INDEX(Inputs!$B$76:$O$76,2),0))</f>
        <v>-0</v>
      </c>
      <c r="AE16" s="11" t="n">
        <f aca="false">-(INDEX('CF Summary'!$B$29:$G$29,AE$3)*INDEX(Inputs!$B$76:$O$76,AE$4+2)+IF(AE$4=11,INDEX('CF Summary'!$B$29:$G$29,AE$3+1)*INDEX(Inputs!$B$76:$O$76,1),0)+IF(AE$4=12,INDEX('CF Summary'!$B$29:$G$29,AE$3+1)*INDEX(Inputs!$B$76:$O$76,2),0))</f>
        <v>-0</v>
      </c>
      <c r="AF16" s="11" t="n">
        <f aca="false">-(INDEX('CF Summary'!$B$29:$G$29,AF$3)*INDEX(Inputs!$B$76:$O$76,AF$4+2)+IF(AF$4=11,INDEX('CF Summary'!$B$29:$G$29,AF$3+1)*INDEX(Inputs!$B$76:$O$76,1),0)+IF(AF$4=12,INDEX('CF Summary'!$B$29:$G$29,AF$3+1)*INDEX(Inputs!$B$76:$O$76,2),0))</f>
        <v>-0</v>
      </c>
      <c r="AG16" s="11" t="n">
        <f aca="false">-(INDEX('CF Summary'!$B$29:$G$29,AG$3)*INDEX(Inputs!$B$76:$O$76,AG$4+2)+IF(AG$4=11,INDEX('CF Summary'!$B$29:$G$29,AG$3+1)*INDEX(Inputs!$B$76:$O$76,1),0)+IF(AG$4=12,INDEX('CF Summary'!$B$29:$G$29,AG$3+1)*INDEX(Inputs!$B$76:$O$76,2),0))</f>
        <v>-0</v>
      </c>
      <c r="AH16" s="11" t="n">
        <f aca="false">-(INDEX('CF Summary'!$B$29:$G$29,AH$3)*INDEX(Inputs!$B$76:$O$76,AH$4+2)+IF(AH$4=11,INDEX('CF Summary'!$B$29:$G$29,AH$3+1)*INDEX(Inputs!$B$76:$O$76,1),0)+IF(AH$4=12,INDEX('CF Summary'!$B$29:$G$29,AH$3+1)*INDEX(Inputs!$B$76:$O$76,2),0))</f>
        <v>-0</v>
      </c>
      <c r="AI16" s="11" t="n">
        <f aca="false">-(INDEX('CF Summary'!$B$29:$G$29,AI$3)*INDEX(Inputs!$B$76:$O$76,AI$4+2)+IF(AI$4=11,INDEX('CF Summary'!$B$29:$G$29,AI$3+1)*INDEX(Inputs!$B$76:$O$76,1),0)+IF(AI$4=12,INDEX('CF Summary'!$B$29:$G$29,AI$3+1)*INDEX(Inputs!$B$76:$O$76,2),0))</f>
        <v>-0</v>
      </c>
      <c r="AJ16" s="11" t="n">
        <f aca="false">-(INDEX('CF Summary'!$B$29:$G$29,AJ$3)*INDEX(Inputs!$B$76:$O$76,AJ$4+2)+IF(AJ$4=11,INDEX('CF Summary'!$B$29:$G$29,AJ$3+1)*INDEX(Inputs!$B$76:$O$76,1),0)+IF(AJ$4=12,INDEX('CF Summary'!$B$29:$G$29,AJ$3+1)*INDEX(Inputs!$B$76:$O$76,2),0))</f>
        <v>-0</v>
      </c>
      <c r="AK16" s="11" t="n">
        <f aca="false">-(INDEX('CF Summary'!$B$29:$G$29,AK$3)*INDEX(Inputs!$B$76:$O$76,AK$4+2)+IF(AK$4=11,INDEX('CF Summary'!$B$29:$G$29,AK$3+1)*INDEX(Inputs!$B$76:$O$76,1),0)+IF(AK$4=12,INDEX('CF Summary'!$B$29:$G$29,AK$3+1)*INDEX(Inputs!$B$76:$O$76,2),0))</f>
        <v>-0</v>
      </c>
      <c r="AL16" s="11" t="n">
        <f aca="false">-(INDEX('CF Summary'!$B$29:$G$29,AL$3)*INDEX(Inputs!$B$76:$O$76,AL$4+2)+IF(AL$4=11,INDEX('CF Summary'!$B$29:$G$29,AL$3+1)*INDEX(Inputs!$B$76:$O$76,1),0)+IF(AL$4=12,INDEX('CF Summary'!$B$29:$G$29,AL$3+1)*INDEX(Inputs!$B$76:$O$76,2),0))</f>
        <v>-0</v>
      </c>
      <c r="AM16" s="11" t="n">
        <f aca="false">-(INDEX('CF Summary'!$B$29:$G$29,AM$3)*INDEX(Inputs!$B$76:$O$76,AM$4+2)+IF(AM$4=11,INDEX('CF Summary'!$B$29:$G$29,AM$3+1)*INDEX(Inputs!$B$76:$O$76,1),0)+IF(AM$4=12,INDEX('CF Summary'!$B$29:$G$29,AM$3+1)*INDEX(Inputs!$B$76:$O$76,2),0))</f>
        <v>-0</v>
      </c>
      <c r="AN16" s="11" t="n">
        <f aca="false">-(INDEX('CF Summary'!$B$29:$G$29,AN$3)*INDEX(Inputs!$B$76:$O$76,AN$4+2)+IF(AN$4=11,INDEX('CF Summary'!$B$29:$G$29,AN$3+1)*INDEX(Inputs!$B$76:$O$76,1),0)+IF(AN$4=12,INDEX('CF Summary'!$B$29:$G$29,AN$3+1)*INDEX(Inputs!$B$76:$O$76,2),0))</f>
        <v>-0</v>
      </c>
      <c r="AO16" s="11" t="n">
        <f aca="false">-(INDEX('CF Summary'!$B$29:$G$29,AO$3)*INDEX(Inputs!$B$76:$O$76,AO$4+2)+IF(AO$4=11,INDEX('CF Summary'!$B$29:$G$29,AO$3+1)*INDEX(Inputs!$B$76:$O$76,1),0)+IF(AO$4=12,INDEX('CF Summary'!$B$29:$G$29,AO$3+1)*INDEX(Inputs!$B$76:$O$76,2),0))</f>
        <v>-0</v>
      </c>
      <c r="AP16" s="11" t="n">
        <f aca="false">-(INDEX('CF Summary'!$B$29:$G$29,AP$3)*INDEX(Inputs!$B$76:$O$76,AP$4+2)+IF(AP$4=11,INDEX('CF Summary'!$B$29:$G$29,AP$3+1)*INDEX(Inputs!$B$76:$O$76,1),0)+IF(AP$4=12,INDEX('CF Summary'!$B$29:$G$29,AP$3+1)*INDEX(Inputs!$B$76:$O$76,2),0))</f>
        <v>-0</v>
      </c>
      <c r="AQ16" s="11" t="n">
        <f aca="false">-(INDEX('CF Summary'!$B$29:$G$29,AQ$3)*INDEX(Inputs!$B$76:$O$76,AQ$4+2)+IF(AQ$4=11,INDEX('CF Summary'!$B$29:$G$29,AQ$3+1)*INDEX(Inputs!$B$76:$O$76,1),0)+IF(AQ$4=12,INDEX('CF Summary'!$B$29:$G$29,AQ$3+1)*INDEX(Inputs!$B$76:$O$76,2),0))</f>
        <v>-0</v>
      </c>
      <c r="AR16" s="11" t="n">
        <f aca="false">-(INDEX('CF Summary'!$B$29:$G$29,AR$3)*INDEX(Inputs!$B$76:$O$76,AR$4+2)+IF(AR$4=11,INDEX('CF Summary'!$B$29:$G$29,AR$3+1)*INDEX(Inputs!$B$76:$O$76,1),0)+IF(AR$4=12,INDEX('CF Summary'!$B$29:$G$29,AR$3+1)*INDEX(Inputs!$B$76:$O$76,2),0))</f>
        <v>-0</v>
      </c>
      <c r="AS16" s="11" t="n">
        <f aca="false">-(INDEX('CF Summary'!$B$29:$G$29,AS$3)*INDEX(Inputs!$B$76:$O$76,AS$4+2)+IF(AS$4=11,INDEX('CF Summary'!$B$29:$G$29,AS$3+1)*INDEX(Inputs!$B$76:$O$76,1),0)+IF(AS$4=12,INDEX('CF Summary'!$B$29:$G$29,AS$3+1)*INDEX(Inputs!$B$76:$O$76,2),0))</f>
        <v>-0</v>
      </c>
      <c r="AT16" s="11" t="n">
        <f aca="false">-(INDEX('CF Summary'!$B$29:$G$29,AT$3)*INDEX(Inputs!$B$76:$O$76,AT$4+2)+IF(AT$4=11,INDEX('CF Summary'!$B$29:$G$29,AT$3+1)*INDEX(Inputs!$B$76:$O$76,1),0)+IF(AT$4=12,INDEX('CF Summary'!$B$29:$G$29,AT$3+1)*INDEX(Inputs!$B$76:$O$76,2),0))</f>
        <v>-0</v>
      </c>
      <c r="AU16" s="11" t="n">
        <f aca="false">-(INDEX('CF Summary'!$B$29:$G$29,AU$3)*INDEX(Inputs!$B$76:$O$76,AU$4+2)+IF(AU$4=11,INDEX('CF Summary'!$B$29:$G$29,AU$3+1)*INDEX(Inputs!$B$76:$O$76,1),0)+IF(AU$4=12,INDEX('CF Summary'!$B$29:$G$29,AU$3+1)*INDEX(Inputs!$B$76:$O$76,2),0))</f>
        <v>-0</v>
      </c>
      <c r="AV16" s="11" t="n">
        <f aca="false">-(INDEX('CF Summary'!$B$29:$G$29,AV$3)*INDEX(Inputs!$B$76:$O$76,AV$4+2)+IF(AV$4=11,INDEX('CF Summary'!$B$29:$G$29,AV$3+1)*INDEX(Inputs!$B$76:$O$76,1),0)+IF(AV$4=12,INDEX('CF Summary'!$B$29:$G$29,AV$3+1)*INDEX(Inputs!$B$76:$O$76,2),0))</f>
        <v>-0</v>
      </c>
      <c r="AW16" s="11" t="n">
        <f aca="false">-(INDEX('CF Summary'!$B$29:$G$29,AW$3)*INDEX(Inputs!$B$76:$O$76,AW$4+2)+IF(AW$4=11,INDEX('CF Summary'!$B$29:$G$29,AW$3+1)*INDEX(Inputs!$B$76:$O$76,1),0)+IF(AW$4=12,INDEX('CF Summary'!$B$29:$G$29,AW$3+1)*INDEX(Inputs!$B$76:$O$76,2),0))</f>
        <v>-0</v>
      </c>
      <c r="AX16" s="11" t="n">
        <f aca="false">-(INDEX('CF Summary'!$B$29:$G$29,AX$3)*INDEX(Inputs!$B$76:$O$76,AX$4+2)+IF(AX$4=11,INDEX('CF Summary'!$B$29:$G$29,AX$3+1)*INDEX(Inputs!$B$76:$O$76,1),0)+IF(AX$4=12,INDEX('CF Summary'!$B$29:$G$29,AX$3+1)*INDEX(Inputs!$B$76:$O$76,2),0))</f>
        <v>-0</v>
      </c>
      <c r="AY16" s="11" t="n">
        <f aca="false">-(INDEX('CF Summary'!$B$29:$G$29,AY$3)*INDEX(Inputs!$B$76:$O$76,AY$4+2)+IF(AY$4=11,INDEX('CF Summary'!$B$29:$G$29,AY$3+1)*INDEX(Inputs!$B$76:$O$76,1),0)+IF(AY$4=12,INDEX('CF Summary'!$B$29:$G$29,AY$3+1)*INDEX(Inputs!$B$76:$O$76,2),0))</f>
        <v>-0</v>
      </c>
      <c r="AZ16" s="11" t="n">
        <f aca="false">-(INDEX('CF Summary'!$B$29:$G$29,AZ$3)*INDEX(Inputs!$B$76:$O$76,AZ$4+2)+IF(AZ$4=11,INDEX('CF Summary'!$B$29:$G$29,AZ$3+1)*INDEX(Inputs!$B$76:$O$76,1),0)+IF(AZ$4=12,INDEX('CF Summary'!$B$29:$G$29,AZ$3+1)*INDEX(Inputs!$B$76:$O$76,2),0))</f>
        <v>-0</v>
      </c>
      <c r="BA16" s="11" t="n">
        <f aca="false">-(INDEX('CF Summary'!$B$29:$G$29,BA$3)*INDEX(Inputs!$B$76:$O$76,BA$4+2)+IF(BA$4=11,INDEX('CF Summary'!$B$29:$G$29,BA$3+1)*INDEX(Inputs!$B$76:$O$76,1),0)+IF(BA$4=12,INDEX('CF Summary'!$B$29:$G$29,BA$3+1)*INDEX(Inputs!$B$76:$O$76,2),0))</f>
        <v>-0</v>
      </c>
      <c r="BB16" s="11" t="n">
        <f aca="false">-(INDEX('CF Summary'!$B$29:$G$29,BB$3)*INDEX(Inputs!$B$76:$O$76,BB$4+2)+IF(BB$4=11,INDEX('CF Summary'!$B$29:$G$29,BB$3+1)*INDEX(Inputs!$B$76:$O$76,1),0)+IF(BB$4=12,INDEX('CF Summary'!$B$29:$G$29,BB$3+1)*INDEX(Inputs!$B$76:$O$76,2),0))</f>
        <v>-0</v>
      </c>
      <c r="BC16" s="11" t="n">
        <f aca="false">-(INDEX('CF Summary'!$B$29:$G$29,BC$3)*INDEX(Inputs!$B$76:$O$76,BC$4+2)+IF(BC$4=11,INDEX('CF Summary'!$B$29:$G$29,BC$3+1)*INDEX(Inputs!$B$76:$O$76,1),0)+IF(BC$4=12,INDEX('CF Summary'!$B$29:$G$29,BC$3+1)*INDEX(Inputs!$B$76:$O$76,2),0))</f>
        <v>-0</v>
      </c>
      <c r="BD16" s="11" t="n">
        <f aca="false">-(INDEX('CF Summary'!$B$29:$G$29,BD$3)*INDEX(Inputs!$B$76:$O$76,BD$4+2)+IF(BD$4=11,INDEX('CF Summary'!$B$29:$G$29,BD$3+1)*INDEX(Inputs!$B$76:$O$76,1),0)+IF(BD$4=12,INDEX('CF Summary'!$B$29:$G$29,BD$3+1)*INDEX(Inputs!$B$76:$O$76,2),0))</f>
        <v>-0</v>
      </c>
      <c r="BE16" s="11" t="n">
        <f aca="false">-(INDEX('CF Summary'!$B$29:$G$29,BE$3)*INDEX(Inputs!$B$76:$O$76,BE$4+2)+IF(BE$4=11,INDEX('CF Summary'!$B$29:$G$29,BE$3+1)*INDEX(Inputs!$B$76:$O$76,1),0)+IF(BE$4=12,INDEX('CF Summary'!$B$29:$G$29,BE$3+1)*INDEX(Inputs!$B$76:$O$76,2),0))</f>
        <v>-0</v>
      </c>
      <c r="BF16" s="11" t="n">
        <f aca="false">-(INDEX('CF Summary'!$B$29:$G$29,BF$3)*INDEX(Inputs!$B$76:$O$76,BF$4+2)+IF(BF$4=11,INDEX('CF Summary'!$B$29:$G$29,BF$3+1)*INDEX(Inputs!$B$76:$O$76,1),0)+IF(BF$4=12,INDEX('CF Summary'!$B$29:$G$29,BF$3+1)*INDEX(Inputs!$B$76:$O$76,2),0))</f>
        <v>-0</v>
      </c>
      <c r="BG16" s="11" t="n">
        <f aca="false">-(INDEX('CF Summary'!$B$29:$G$29,BG$3)*INDEX(Inputs!$B$76:$O$76,BG$4+2)+IF(BG$4=11,INDEX('CF Summary'!$B$29:$G$29,BG$3+1)*INDEX(Inputs!$B$76:$O$76,1),0)+IF(BG$4=12,INDEX('CF Summary'!$B$29:$G$29,BG$3+1)*INDEX(Inputs!$B$76:$O$76,2),0))</f>
        <v>-0</v>
      </c>
      <c r="BH16" s="11" t="n">
        <f aca="false">-(INDEX('CF Summary'!$B$29:$G$29,BH$3)*INDEX(Inputs!$B$76:$O$76,BH$4+2)+IF(BH$4=11,INDEX('CF Summary'!$B$29:$G$29,BH$3+1)*INDEX(Inputs!$B$76:$O$76,1),0)+IF(BH$4=12,INDEX('CF Summary'!$B$29:$G$29,BH$3+1)*INDEX(Inputs!$B$76:$O$76,2),0))</f>
        <v>-0</v>
      </c>
      <c r="BI16" s="11" t="n">
        <f aca="false">-(INDEX('CF Summary'!$B$29:$G$29,BI$3)*INDEX(Inputs!$B$76:$O$76,BI$4+2)+IF(BI$4=11,INDEX('CF Summary'!$B$29:$G$29,BI$3+1)*INDEX(Inputs!$B$76:$O$76,1),0)+IF(BI$4=12,INDEX('CF Summary'!$B$29:$G$29,BI$3+1)*INDEX(Inputs!$B$76:$O$76,2),0))</f>
        <v>-0</v>
      </c>
    </row>
    <row r="17" customFormat="false" ht="15" hidden="false" customHeight="false" outlineLevel="0" collapsed="false">
      <c r="A17" s="6" t="s">
        <v>575</v>
      </c>
      <c r="B17" s="11" t="n">
        <f aca="false">-(INDEX('CF Summary'!$B$30:$G$30,B$3)*INDEX(Inputs!$B$77:$O$77,B$4+2)+IF(B$4=11,INDEX('CF Summary'!$B$30:$G$30,B$3+1)*INDEX(Inputs!$B$77:$O$77,1),0)+IF(B$4=12,INDEX('CF Summary'!$B$30:$G$30,B$3+1)*INDEX(Inputs!$B$77:$O$77,2),0))</f>
        <v>-775228.333333333</v>
      </c>
      <c r="C17" s="11" t="n">
        <f aca="false">-(INDEX('CF Summary'!$B$30:$G$30,C$3)*INDEX(Inputs!$B$77:$O$77,C$4+2)+IF(C$4=11,INDEX('CF Summary'!$B$30:$G$30,C$3+1)*INDEX(Inputs!$B$77:$O$77,1),0)+IF(C$4=12,INDEX('CF Summary'!$B$30:$G$30,C$3+1)*INDEX(Inputs!$B$77:$O$77,2),0))</f>
        <v>-775228.333333333</v>
      </c>
      <c r="D17" s="11" t="n">
        <f aca="false">-(INDEX('CF Summary'!$B$30:$G$30,D$3)*INDEX(Inputs!$B$77:$O$77,D$4+2)+IF(D$4=11,INDEX('CF Summary'!$B$30:$G$30,D$3+1)*INDEX(Inputs!$B$77:$O$77,1),0)+IF(D$4=12,INDEX('CF Summary'!$B$30:$G$30,D$3+1)*INDEX(Inputs!$B$77:$O$77,2),0))</f>
        <v>-775228.333333333</v>
      </c>
      <c r="E17" s="11" t="n">
        <f aca="false">-(INDEX('CF Summary'!$B$30:$G$30,E$3)*INDEX(Inputs!$B$77:$O$77,E$4+2)+IF(E$4=11,INDEX('CF Summary'!$B$30:$G$30,E$3+1)*INDEX(Inputs!$B$77:$O$77,1),0)+IF(E$4=12,INDEX('CF Summary'!$B$30:$G$30,E$3+1)*INDEX(Inputs!$B$77:$O$77,2),0))</f>
        <v>-775228.333333333</v>
      </c>
      <c r="F17" s="11" t="n">
        <f aca="false">-(INDEX('CF Summary'!$B$30:$G$30,F$3)*INDEX(Inputs!$B$77:$O$77,F$4+2)+IF(F$4=11,INDEX('CF Summary'!$B$30:$G$30,F$3+1)*INDEX(Inputs!$B$77:$O$77,1),0)+IF(F$4=12,INDEX('CF Summary'!$B$30:$G$30,F$3+1)*INDEX(Inputs!$B$77:$O$77,2),0))</f>
        <v>-775228.333333333</v>
      </c>
      <c r="G17" s="11" t="n">
        <f aca="false">-(INDEX('CF Summary'!$B$30:$G$30,G$3)*INDEX(Inputs!$B$77:$O$77,G$4+2)+IF(G$4=11,INDEX('CF Summary'!$B$30:$G$30,G$3+1)*INDEX(Inputs!$B$77:$O$77,1),0)+IF(G$4=12,INDEX('CF Summary'!$B$30:$G$30,G$3+1)*INDEX(Inputs!$B$77:$O$77,2),0))</f>
        <v>-775228.333333333</v>
      </c>
      <c r="H17" s="11" t="n">
        <f aca="false">-(INDEX('CF Summary'!$B$30:$G$30,H$3)*INDEX(Inputs!$B$77:$O$77,H$4+2)+IF(H$4=11,INDEX('CF Summary'!$B$30:$G$30,H$3+1)*INDEX(Inputs!$B$77:$O$77,1),0)+IF(H$4=12,INDEX('CF Summary'!$B$30:$G$30,H$3+1)*INDEX(Inputs!$B$77:$O$77,2),0))</f>
        <v>-775228.333333333</v>
      </c>
      <c r="I17" s="11" t="n">
        <f aca="false">-(INDEX('CF Summary'!$B$30:$G$30,I$3)*INDEX(Inputs!$B$77:$O$77,I$4+2)+IF(I$4=11,INDEX('CF Summary'!$B$30:$G$30,I$3+1)*INDEX(Inputs!$B$77:$O$77,1),0)+IF(I$4=12,INDEX('CF Summary'!$B$30:$G$30,I$3+1)*INDEX(Inputs!$B$77:$O$77,2),0))</f>
        <v>-775228.333333333</v>
      </c>
      <c r="J17" s="11" t="n">
        <f aca="false">-(INDEX('CF Summary'!$B$30:$G$30,J$3)*INDEX(Inputs!$B$77:$O$77,J$4+2)+IF(J$4=11,INDEX('CF Summary'!$B$30:$G$30,J$3+1)*INDEX(Inputs!$B$77:$O$77,1),0)+IF(J$4=12,INDEX('CF Summary'!$B$30:$G$30,J$3+1)*INDEX(Inputs!$B$77:$O$77,2),0))</f>
        <v>-775228.333333333</v>
      </c>
      <c r="K17" s="11" t="n">
        <f aca="false">-(INDEX('CF Summary'!$B$30:$G$30,K$3)*INDEX(Inputs!$B$77:$O$77,K$4+2)+IF(K$4=11,INDEX('CF Summary'!$B$30:$G$30,K$3+1)*INDEX(Inputs!$B$77:$O$77,1),0)+IF(K$4=12,INDEX('CF Summary'!$B$30:$G$30,K$3+1)*INDEX(Inputs!$B$77:$O$77,2),0))</f>
        <v>-775228.333333333</v>
      </c>
      <c r="L17" s="11" t="n">
        <f aca="false">-(INDEX('CF Summary'!$B$30:$G$30,L$3)*INDEX(Inputs!$B$77:$O$77,L$4+2)+IF(L$4=11,INDEX('CF Summary'!$B$30:$G$30,L$3+1)*INDEX(Inputs!$B$77:$O$77,1),0)+IF(L$4=12,INDEX('CF Summary'!$B$30:$G$30,L$3+1)*INDEX(Inputs!$B$77:$O$77,2),0))</f>
        <v>-775228.333333333</v>
      </c>
      <c r="M17" s="11" t="n">
        <f aca="false">-(INDEX('CF Summary'!$B$30:$G$30,M$3)*INDEX(Inputs!$B$77:$O$77,M$4+2)+IF(M$4=11,INDEX('CF Summary'!$B$30:$G$30,M$3+1)*INDEX(Inputs!$B$77:$O$77,1),0)+IF(M$4=12,INDEX('CF Summary'!$B$30:$G$30,M$3+1)*INDEX(Inputs!$B$77:$O$77,2),0))</f>
        <v>-775228.333333333</v>
      </c>
      <c r="N17" s="11" t="n">
        <f aca="false">-(INDEX('CF Summary'!$B$30:$G$30,N$3)*INDEX(Inputs!$B$77:$O$77,N$4+2)+IF(N$4=11,INDEX('CF Summary'!$B$30:$G$30,N$3+1)*INDEX(Inputs!$B$77:$O$77,1),0)+IF(N$4=12,INDEX('CF Summary'!$B$30:$G$30,N$3+1)*INDEX(Inputs!$B$77:$O$77,2),0))</f>
        <v>-800140.982558192</v>
      </c>
      <c r="O17" s="11" t="n">
        <f aca="false">-(INDEX('CF Summary'!$B$30:$G$30,O$3)*INDEX(Inputs!$B$77:$O$77,O$4+2)+IF(O$4=11,INDEX('CF Summary'!$B$30:$G$30,O$3+1)*INDEX(Inputs!$B$77:$O$77,1),0)+IF(O$4=12,INDEX('CF Summary'!$B$30:$G$30,O$3+1)*INDEX(Inputs!$B$77:$O$77,2),0))</f>
        <v>-800140.982558192</v>
      </c>
      <c r="P17" s="11" t="n">
        <f aca="false">-(INDEX('CF Summary'!$B$30:$G$30,P$3)*INDEX(Inputs!$B$77:$O$77,P$4+2)+IF(P$4=11,INDEX('CF Summary'!$B$30:$G$30,P$3+1)*INDEX(Inputs!$B$77:$O$77,1),0)+IF(P$4=12,INDEX('CF Summary'!$B$30:$G$30,P$3+1)*INDEX(Inputs!$B$77:$O$77,2),0))</f>
        <v>-800140.982558192</v>
      </c>
      <c r="Q17" s="11" t="n">
        <f aca="false">-(INDEX('CF Summary'!$B$30:$G$30,Q$3)*INDEX(Inputs!$B$77:$O$77,Q$4+2)+IF(Q$4=11,INDEX('CF Summary'!$B$30:$G$30,Q$3+1)*INDEX(Inputs!$B$77:$O$77,1),0)+IF(Q$4=12,INDEX('CF Summary'!$B$30:$G$30,Q$3+1)*INDEX(Inputs!$B$77:$O$77,2),0))</f>
        <v>-800140.982558192</v>
      </c>
      <c r="R17" s="11" t="n">
        <f aca="false">-(INDEX('CF Summary'!$B$30:$G$30,R$3)*INDEX(Inputs!$B$77:$O$77,R$4+2)+IF(R$4=11,INDEX('CF Summary'!$B$30:$G$30,R$3+1)*INDEX(Inputs!$B$77:$O$77,1),0)+IF(R$4=12,INDEX('CF Summary'!$B$30:$G$30,R$3+1)*INDEX(Inputs!$B$77:$O$77,2),0))</f>
        <v>-800140.982558192</v>
      </c>
      <c r="S17" s="11" t="n">
        <f aca="false">-(INDEX('CF Summary'!$B$30:$G$30,S$3)*INDEX(Inputs!$B$77:$O$77,S$4+2)+IF(S$4=11,INDEX('CF Summary'!$B$30:$G$30,S$3+1)*INDEX(Inputs!$B$77:$O$77,1),0)+IF(S$4=12,INDEX('CF Summary'!$B$30:$G$30,S$3+1)*INDEX(Inputs!$B$77:$O$77,2),0))</f>
        <v>-800140.982558192</v>
      </c>
      <c r="T17" s="11" t="n">
        <f aca="false">-(INDEX('CF Summary'!$B$30:$G$30,T$3)*INDEX(Inputs!$B$77:$O$77,T$4+2)+IF(T$4=11,INDEX('CF Summary'!$B$30:$G$30,T$3+1)*INDEX(Inputs!$B$77:$O$77,1),0)+IF(T$4=12,INDEX('CF Summary'!$B$30:$G$30,T$3+1)*INDEX(Inputs!$B$77:$O$77,2),0))</f>
        <v>-800140.982558192</v>
      </c>
      <c r="U17" s="11" t="n">
        <f aca="false">-(INDEX('CF Summary'!$B$30:$G$30,U$3)*INDEX(Inputs!$B$77:$O$77,U$4+2)+IF(U$4=11,INDEX('CF Summary'!$B$30:$G$30,U$3+1)*INDEX(Inputs!$B$77:$O$77,1),0)+IF(U$4=12,INDEX('CF Summary'!$B$30:$G$30,U$3+1)*INDEX(Inputs!$B$77:$O$77,2),0))</f>
        <v>-800140.982558192</v>
      </c>
      <c r="V17" s="11" t="n">
        <f aca="false">-(INDEX('CF Summary'!$B$30:$G$30,V$3)*INDEX(Inputs!$B$77:$O$77,V$4+2)+IF(V$4=11,INDEX('CF Summary'!$B$30:$G$30,V$3+1)*INDEX(Inputs!$B$77:$O$77,1),0)+IF(V$4=12,INDEX('CF Summary'!$B$30:$G$30,V$3+1)*INDEX(Inputs!$B$77:$O$77,2),0))</f>
        <v>-800140.982558192</v>
      </c>
      <c r="W17" s="11" t="n">
        <f aca="false">-(INDEX('CF Summary'!$B$30:$G$30,W$3)*INDEX(Inputs!$B$77:$O$77,W$4+2)+IF(W$4=11,INDEX('CF Summary'!$B$30:$G$30,W$3+1)*INDEX(Inputs!$B$77:$O$77,1),0)+IF(W$4=12,INDEX('CF Summary'!$B$30:$G$30,W$3+1)*INDEX(Inputs!$B$77:$O$77,2),0))</f>
        <v>-800140.982558192</v>
      </c>
      <c r="X17" s="11" t="n">
        <f aca="false">-(INDEX('CF Summary'!$B$30:$G$30,X$3)*INDEX(Inputs!$B$77:$O$77,X$4+2)+IF(X$4=11,INDEX('CF Summary'!$B$30:$G$30,X$3+1)*INDEX(Inputs!$B$77:$O$77,1),0)+IF(X$4=12,INDEX('CF Summary'!$B$30:$G$30,X$3+1)*INDEX(Inputs!$B$77:$O$77,2),0))</f>
        <v>-800140.982558192</v>
      </c>
      <c r="Y17" s="11" t="n">
        <f aca="false">-(INDEX('CF Summary'!$B$30:$G$30,Y$3)*INDEX(Inputs!$B$77:$O$77,Y$4+2)+IF(Y$4=11,INDEX('CF Summary'!$B$30:$G$30,Y$3+1)*INDEX(Inputs!$B$77:$O$77,1),0)+IF(Y$4=12,INDEX('CF Summary'!$B$30:$G$30,Y$3+1)*INDEX(Inputs!$B$77:$O$77,2),0))</f>
        <v>-800140.982558192</v>
      </c>
      <c r="Z17" s="11" t="n">
        <f aca="false">-(INDEX('CF Summary'!$B$30:$G$30,Z$3)*INDEX(Inputs!$B$77:$O$77,Z$4+2)+IF(Z$4=11,INDEX('CF Summary'!$B$30:$G$30,Z$3+1)*INDEX(Inputs!$B$77:$O$77,1),0)+IF(Z$4=12,INDEX('CF Summary'!$B$30:$G$30,Z$3+1)*INDEX(Inputs!$B$77:$O$77,2),0))</f>
        <v>-823465.044688322</v>
      </c>
      <c r="AA17" s="11" t="n">
        <f aca="false">-(INDEX('CF Summary'!$B$30:$G$30,AA$3)*INDEX(Inputs!$B$77:$O$77,AA$4+2)+IF(AA$4=11,INDEX('CF Summary'!$B$30:$G$30,AA$3+1)*INDEX(Inputs!$B$77:$O$77,1),0)+IF(AA$4=12,INDEX('CF Summary'!$B$30:$G$30,AA$3+1)*INDEX(Inputs!$B$77:$O$77,2),0))</f>
        <v>-823465.044688322</v>
      </c>
      <c r="AB17" s="11" t="n">
        <f aca="false">-(INDEX('CF Summary'!$B$30:$G$30,AB$3)*INDEX(Inputs!$B$77:$O$77,AB$4+2)+IF(AB$4=11,INDEX('CF Summary'!$B$30:$G$30,AB$3+1)*INDEX(Inputs!$B$77:$O$77,1),0)+IF(AB$4=12,INDEX('CF Summary'!$B$30:$G$30,AB$3+1)*INDEX(Inputs!$B$77:$O$77,2),0))</f>
        <v>-823465.044688322</v>
      </c>
      <c r="AC17" s="11" t="n">
        <f aca="false">-(INDEX('CF Summary'!$B$30:$G$30,AC$3)*INDEX(Inputs!$B$77:$O$77,AC$4+2)+IF(AC$4=11,INDEX('CF Summary'!$B$30:$G$30,AC$3+1)*INDEX(Inputs!$B$77:$O$77,1),0)+IF(AC$4=12,INDEX('CF Summary'!$B$30:$G$30,AC$3+1)*INDEX(Inputs!$B$77:$O$77,2),0))</f>
        <v>-823465.044688322</v>
      </c>
      <c r="AD17" s="11" t="n">
        <f aca="false">-(INDEX('CF Summary'!$B$30:$G$30,AD$3)*INDEX(Inputs!$B$77:$O$77,AD$4+2)+IF(AD$4=11,INDEX('CF Summary'!$B$30:$G$30,AD$3+1)*INDEX(Inputs!$B$77:$O$77,1),0)+IF(AD$4=12,INDEX('CF Summary'!$B$30:$G$30,AD$3+1)*INDEX(Inputs!$B$77:$O$77,2),0))</f>
        <v>-823465.044688322</v>
      </c>
      <c r="AE17" s="11" t="n">
        <f aca="false">-(INDEX('CF Summary'!$B$30:$G$30,AE$3)*INDEX(Inputs!$B$77:$O$77,AE$4+2)+IF(AE$4=11,INDEX('CF Summary'!$B$30:$G$30,AE$3+1)*INDEX(Inputs!$B$77:$O$77,1),0)+IF(AE$4=12,INDEX('CF Summary'!$B$30:$G$30,AE$3+1)*INDEX(Inputs!$B$77:$O$77,2),0))</f>
        <v>-823465.044688322</v>
      </c>
      <c r="AF17" s="11" t="n">
        <f aca="false">-(INDEX('CF Summary'!$B$30:$G$30,AF$3)*INDEX(Inputs!$B$77:$O$77,AF$4+2)+IF(AF$4=11,INDEX('CF Summary'!$B$30:$G$30,AF$3+1)*INDEX(Inputs!$B$77:$O$77,1),0)+IF(AF$4=12,INDEX('CF Summary'!$B$30:$G$30,AF$3+1)*INDEX(Inputs!$B$77:$O$77,2),0))</f>
        <v>-823465.044688322</v>
      </c>
      <c r="AG17" s="11" t="n">
        <f aca="false">-(INDEX('CF Summary'!$B$30:$G$30,AG$3)*INDEX(Inputs!$B$77:$O$77,AG$4+2)+IF(AG$4=11,INDEX('CF Summary'!$B$30:$G$30,AG$3+1)*INDEX(Inputs!$B$77:$O$77,1),0)+IF(AG$4=12,INDEX('CF Summary'!$B$30:$G$30,AG$3+1)*INDEX(Inputs!$B$77:$O$77,2),0))</f>
        <v>-823465.044688322</v>
      </c>
      <c r="AH17" s="11" t="n">
        <f aca="false">-(INDEX('CF Summary'!$B$30:$G$30,AH$3)*INDEX(Inputs!$B$77:$O$77,AH$4+2)+IF(AH$4=11,INDEX('CF Summary'!$B$30:$G$30,AH$3+1)*INDEX(Inputs!$B$77:$O$77,1),0)+IF(AH$4=12,INDEX('CF Summary'!$B$30:$G$30,AH$3+1)*INDEX(Inputs!$B$77:$O$77,2),0))</f>
        <v>-823465.044688322</v>
      </c>
      <c r="AI17" s="11" t="n">
        <f aca="false">-(INDEX('CF Summary'!$B$30:$G$30,AI$3)*INDEX(Inputs!$B$77:$O$77,AI$4+2)+IF(AI$4=11,INDEX('CF Summary'!$B$30:$G$30,AI$3+1)*INDEX(Inputs!$B$77:$O$77,1),0)+IF(AI$4=12,INDEX('CF Summary'!$B$30:$G$30,AI$3+1)*INDEX(Inputs!$B$77:$O$77,2),0))</f>
        <v>-823465.044688322</v>
      </c>
      <c r="AJ17" s="11" t="n">
        <f aca="false">-(INDEX('CF Summary'!$B$30:$G$30,AJ$3)*INDEX(Inputs!$B$77:$O$77,AJ$4+2)+IF(AJ$4=11,INDEX('CF Summary'!$B$30:$G$30,AJ$3+1)*INDEX(Inputs!$B$77:$O$77,1),0)+IF(AJ$4=12,INDEX('CF Summary'!$B$30:$G$30,AJ$3+1)*INDEX(Inputs!$B$77:$O$77,2),0))</f>
        <v>-823465.044688322</v>
      </c>
      <c r="AK17" s="11" t="n">
        <f aca="false">-(INDEX('CF Summary'!$B$30:$G$30,AK$3)*INDEX(Inputs!$B$77:$O$77,AK$4+2)+IF(AK$4=11,INDEX('CF Summary'!$B$30:$G$30,AK$3+1)*INDEX(Inputs!$B$77:$O$77,1),0)+IF(AK$4=12,INDEX('CF Summary'!$B$30:$G$30,AK$3+1)*INDEX(Inputs!$B$77:$O$77,2),0))</f>
        <v>-823465.044688322</v>
      </c>
      <c r="AL17" s="11" t="n">
        <f aca="false">-(INDEX('CF Summary'!$B$30:$G$30,AL$3)*INDEX(Inputs!$B$77:$O$77,AL$4+2)+IF(AL$4=11,INDEX('CF Summary'!$B$30:$G$30,AL$3+1)*INDEX(Inputs!$B$77:$O$77,1),0)+IF(AL$4=12,INDEX('CF Summary'!$B$30:$G$30,AL$3+1)*INDEX(Inputs!$B$77:$O$77,2),0))</f>
        <v>-836755.000188472</v>
      </c>
      <c r="AM17" s="11" t="n">
        <f aca="false">-(INDEX('CF Summary'!$B$30:$G$30,AM$3)*INDEX(Inputs!$B$77:$O$77,AM$4+2)+IF(AM$4=11,INDEX('CF Summary'!$B$30:$G$30,AM$3+1)*INDEX(Inputs!$B$77:$O$77,1),0)+IF(AM$4=12,INDEX('CF Summary'!$B$30:$G$30,AM$3+1)*INDEX(Inputs!$B$77:$O$77,2),0))</f>
        <v>-836755.000188472</v>
      </c>
      <c r="AN17" s="11" t="n">
        <f aca="false">-(INDEX('CF Summary'!$B$30:$G$30,AN$3)*INDEX(Inputs!$B$77:$O$77,AN$4+2)+IF(AN$4=11,INDEX('CF Summary'!$B$30:$G$30,AN$3+1)*INDEX(Inputs!$B$77:$O$77,1),0)+IF(AN$4=12,INDEX('CF Summary'!$B$30:$G$30,AN$3+1)*INDEX(Inputs!$B$77:$O$77,2),0))</f>
        <v>-836755.000188472</v>
      </c>
      <c r="AO17" s="11" t="n">
        <f aca="false">-(INDEX('CF Summary'!$B$30:$G$30,AO$3)*INDEX(Inputs!$B$77:$O$77,AO$4+2)+IF(AO$4=11,INDEX('CF Summary'!$B$30:$G$30,AO$3+1)*INDEX(Inputs!$B$77:$O$77,1),0)+IF(AO$4=12,INDEX('CF Summary'!$B$30:$G$30,AO$3+1)*INDEX(Inputs!$B$77:$O$77,2),0))</f>
        <v>-836755.000188472</v>
      </c>
      <c r="AP17" s="11" t="n">
        <f aca="false">-(INDEX('CF Summary'!$B$30:$G$30,AP$3)*INDEX(Inputs!$B$77:$O$77,AP$4+2)+IF(AP$4=11,INDEX('CF Summary'!$B$30:$G$30,AP$3+1)*INDEX(Inputs!$B$77:$O$77,1),0)+IF(AP$4=12,INDEX('CF Summary'!$B$30:$G$30,AP$3+1)*INDEX(Inputs!$B$77:$O$77,2),0))</f>
        <v>-836755.000188472</v>
      </c>
      <c r="AQ17" s="11" t="n">
        <f aca="false">-(INDEX('CF Summary'!$B$30:$G$30,AQ$3)*INDEX(Inputs!$B$77:$O$77,AQ$4+2)+IF(AQ$4=11,INDEX('CF Summary'!$B$30:$G$30,AQ$3+1)*INDEX(Inputs!$B$77:$O$77,1),0)+IF(AQ$4=12,INDEX('CF Summary'!$B$30:$G$30,AQ$3+1)*INDEX(Inputs!$B$77:$O$77,2),0))</f>
        <v>-836755.000188472</v>
      </c>
      <c r="AR17" s="11" t="n">
        <f aca="false">-(INDEX('CF Summary'!$B$30:$G$30,AR$3)*INDEX(Inputs!$B$77:$O$77,AR$4+2)+IF(AR$4=11,INDEX('CF Summary'!$B$30:$G$30,AR$3+1)*INDEX(Inputs!$B$77:$O$77,1),0)+IF(AR$4=12,INDEX('CF Summary'!$B$30:$G$30,AR$3+1)*INDEX(Inputs!$B$77:$O$77,2),0))</f>
        <v>-836755.000188472</v>
      </c>
      <c r="AS17" s="11" t="n">
        <f aca="false">-(INDEX('CF Summary'!$B$30:$G$30,AS$3)*INDEX(Inputs!$B$77:$O$77,AS$4+2)+IF(AS$4=11,INDEX('CF Summary'!$B$30:$G$30,AS$3+1)*INDEX(Inputs!$B$77:$O$77,1),0)+IF(AS$4=12,INDEX('CF Summary'!$B$30:$G$30,AS$3+1)*INDEX(Inputs!$B$77:$O$77,2),0))</f>
        <v>-836755.000188472</v>
      </c>
      <c r="AT17" s="11" t="n">
        <f aca="false">-(INDEX('CF Summary'!$B$30:$G$30,AT$3)*INDEX(Inputs!$B$77:$O$77,AT$4+2)+IF(AT$4=11,INDEX('CF Summary'!$B$30:$G$30,AT$3+1)*INDEX(Inputs!$B$77:$O$77,1),0)+IF(AT$4=12,INDEX('CF Summary'!$B$30:$G$30,AT$3+1)*INDEX(Inputs!$B$77:$O$77,2),0))</f>
        <v>-836755.000188472</v>
      </c>
      <c r="AU17" s="11" t="n">
        <f aca="false">-(INDEX('CF Summary'!$B$30:$G$30,AU$3)*INDEX(Inputs!$B$77:$O$77,AU$4+2)+IF(AU$4=11,INDEX('CF Summary'!$B$30:$G$30,AU$3+1)*INDEX(Inputs!$B$77:$O$77,1),0)+IF(AU$4=12,INDEX('CF Summary'!$B$30:$G$30,AU$3+1)*INDEX(Inputs!$B$77:$O$77,2),0))</f>
        <v>-836755.000188472</v>
      </c>
      <c r="AV17" s="11" t="n">
        <f aca="false">-(INDEX('CF Summary'!$B$30:$G$30,AV$3)*INDEX(Inputs!$B$77:$O$77,AV$4+2)+IF(AV$4=11,INDEX('CF Summary'!$B$30:$G$30,AV$3+1)*INDEX(Inputs!$B$77:$O$77,1),0)+IF(AV$4=12,INDEX('CF Summary'!$B$30:$G$30,AV$3+1)*INDEX(Inputs!$B$77:$O$77,2),0))</f>
        <v>-836755.000188472</v>
      </c>
      <c r="AW17" s="11" t="n">
        <f aca="false">-(INDEX('CF Summary'!$B$30:$G$30,AW$3)*INDEX(Inputs!$B$77:$O$77,AW$4+2)+IF(AW$4=11,INDEX('CF Summary'!$B$30:$G$30,AW$3+1)*INDEX(Inputs!$B$77:$O$77,1),0)+IF(AW$4=12,INDEX('CF Summary'!$B$30:$G$30,AW$3+1)*INDEX(Inputs!$B$77:$O$77,2),0))</f>
        <v>-836755.000188472</v>
      </c>
      <c r="AX17" s="11" t="n">
        <f aca="false">-(INDEX('CF Summary'!$B$30:$G$30,AX$3)*INDEX(Inputs!$B$77:$O$77,AX$4+2)+IF(AX$4=11,INDEX('CF Summary'!$B$30:$G$30,AX$3+1)*INDEX(Inputs!$B$77:$O$77,1),0)+IF(AX$4=12,INDEX('CF Summary'!$B$30:$G$30,AX$3+1)*INDEX(Inputs!$B$77:$O$77,2),0))</f>
        <v>-855965.101848949</v>
      </c>
      <c r="AY17" s="11" t="n">
        <f aca="false">-(INDEX('CF Summary'!$B$30:$G$30,AY$3)*INDEX(Inputs!$B$77:$O$77,AY$4+2)+IF(AY$4=11,INDEX('CF Summary'!$B$30:$G$30,AY$3+1)*INDEX(Inputs!$B$77:$O$77,1),0)+IF(AY$4=12,INDEX('CF Summary'!$B$30:$G$30,AY$3+1)*INDEX(Inputs!$B$77:$O$77,2),0))</f>
        <v>-855965.101848949</v>
      </c>
      <c r="AZ17" s="11" t="n">
        <f aca="false">-(INDEX('CF Summary'!$B$30:$G$30,AZ$3)*INDEX(Inputs!$B$77:$O$77,AZ$4+2)+IF(AZ$4=11,INDEX('CF Summary'!$B$30:$G$30,AZ$3+1)*INDEX(Inputs!$B$77:$O$77,1),0)+IF(AZ$4=12,INDEX('CF Summary'!$B$30:$G$30,AZ$3+1)*INDEX(Inputs!$B$77:$O$77,2),0))</f>
        <v>-855965.101848949</v>
      </c>
      <c r="BA17" s="11" t="n">
        <f aca="false">-(INDEX('CF Summary'!$B$30:$G$30,BA$3)*INDEX(Inputs!$B$77:$O$77,BA$4+2)+IF(BA$4=11,INDEX('CF Summary'!$B$30:$G$30,BA$3+1)*INDEX(Inputs!$B$77:$O$77,1),0)+IF(BA$4=12,INDEX('CF Summary'!$B$30:$G$30,BA$3+1)*INDEX(Inputs!$B$77:$O$77,2),0))</f>
        <v>-855965.101848949</v>
      </c>
      <c r="BB17" s="11" t="n">
        <f aca="false">-(INDEX('CF Summary'!$B$30:$G$30,BB$3)*INDEX(Inputs!$B$77:$O$77,BB$4+2)+IF(BB$4=11,INDEX('CF Summary'!$B$30:$G$30,BB$3+1)*INDEX(Inputs!$B$77:$O$77,1),0)+IF(BB$4=12,INDEX('CF Summary'!$B$30:$G$30,BB$3+1)*INDEX(Inputs!$B$77:$O$77,2),0))</f>
        <v>-855965.101848949</v>
      </c>
      <c r="BC17" s="11" t="n">
        <f aca="false">-(INDEX('CF Summary'!$B$30:$G$30,BC$3)*INDEX(Inputs!$B$77:$O$77,BC$4+2)+IF(BC$4=11,INDEX('CF Summary'!$B$30:$G$30,BC$3+1)*INDEX(Inputs!$B$77:$O$77,1),0)+IF(BC$4=12,INDEX('CF Summary'!$B$30:$G$30,BC$3+1)*INDEX(Inputs!$B$77:$O$77,2),0))</f>
        <v>-855965.101848949</v>
      </c>
      <c r="BD17" s="11" t="n">
        <f aca="false">-(INDEX('CF Summary'!$B$30:$G$30,BD$3)*INDEX(Inputs!$B$77:$O$77,BD$4+2)+IF(BD$4=11,INDEX('CF Summary'!$B$30:$G$30,BD$3+1)*INDEX(Inputs!$B$77:$O$77,1),0)+IF(BD$4=12,INDEX('CF Summary'!$B$30:$G$30,BD$3+1)*INDEX(Inputs!$B$77:$O$77,2),0))</f>
        <v>-855965.101848949</v>
      </c>
      <c r="BE17" s="11" t="n">
        <f aca="false">-(INDEX('CF Summary'!$B$30:$G$30,BE$3)*INDEX(Inputs!$B$77:$O$77,BE$4+2)+IF(BE$4=11,INDEX('CF Summary'!$B$30:$G$30,BE$3+1)*INDEX(Inputs!$B$77:$O$77,1),0)+IF(BE$4=12,INDEX('CF Summary'!$B$30:$G$30,BE$3+1)*INDEX(Inputs!$B$77:$O$77,2),0))</f>
        <v>-855965.101848949</v>
      </c>
      <c r="BF17" s="11" t="n">
        <f aca="false">-(INDEX('CF Summary'!$B$30:$G$30,BF$3)*INDEX(Inputs!$B$77:$O$77,BF$4+2)+IF(BF$4=11,INDEX('CF Summary'!$B$30:$G$30,BF$3+1)*INDEX(Inputs!$B$77:$O$77,1),0)+IF(BF$4=12,INDEX('CF Summary'!$B$30:$G$30,BF$3+1)*INDEX(Inputs!$B$77:$O$77,2),0))</f>
        <v>-855965.101848949</v>
      </c>
      <c r="BG17" s="11" t="n">
        <f aca="false">-(INDEX('CF Summary'!$B$30:$G$30,BG$3)*INDEX(Inputs!$B$77:$O$77,BG$4+2)+IF(BG$4=11,INDEX('CF Summary'!$B$30:$G$30,BG$3+1)*INDEX(Inputs!$B$77:$O$77,1),0)+IF(BG$4=12,INDEX('CF Summary'!$B$30:$G$30,BG$3+1)*INDEX(Inputs!$B$77:$O$77,2),0))</f>
        <v>-855965.101848949</v>
      </c>
      <c r="BH17" s="11" t="n">
        <f aca="false">-(INDEX('CF Summary'!$B$30:$G$30,BH$3)*INDEX(Inputs!$B$77:$O$77,BH$4+2)+IF(BH$4=11,INDEX('CF Summary'!$B$30:$G$30,BH$3+1)*INDEX(Inputs!$B$77:$O$77,1),0)+IF(BH$4=12,INDEX('CF Summary'!$B$30:$G$30,BH$3+1)*INDEX(Inputs!$B$77:$O$77,2),0))</f>
        <v>-855965.101848949</v>
      </c>
      <c r="BI17" s="11" t="n">
        <f aca="false">-(INDEX('CF Summary'!$B$30:$G$30,BI$3)*INDEX(Inputs!$B$77:$O$77,BI$4+2)+IF(BI$4=11,INDEX('CF Summary'!$B$30:$G$30,BI$3+1)*INDEX(Inputs!$B$77:$O$77,1),0)+IF(BI$4=12,INDEX('CF Summary'!$B$30:$G$30,BI$3+1)*INDEX(Inputs!$B$77:$O$77,2),0))</f>
        <v>-855965.101848949</v>
      </c>
    </row>
    <row r="18" customFormat="false" ht="15" hidden="false" customHeight="false" outlineLevel="0" collapsed="false">
      <c r="A18" s="6" t="s">
        <v>576</v>
      </c>
      <c r="B18" s="11" t="n">
        <f aca="false">-(INDEX('CF Summary'!$B$31:$G$31,B$3)*INDEX(Inputs!$B$78:$O$78,B$4+2)+IF(B$4=11,INDEX('CF Summary'!$B$31:$G$31,B$3+1)*INDEX(Inputs!$B$78:$O$78,1),0)+IF(B$4=12,INDEX('CF Summary'!$B$31:$G$31,B$3+1)*INDEX(Inputs!$B$78:$O$78,2),0))</f>
        <v>-0</v>
      </c>
      <c r="C18" s="11" t="n">
        <f aca="false">-(INDEX('CF Summary'!$B$31:$G$31,C$3)*INDEX(Inputs!$B$78:$O$78,C$4+2)+IF(C$4=11,INDEX('CF Summary'!$B$31:$G$31,C$3+1)*INDEX(Inputs!$B$78:$O$78,1),0)+IF(C$4=12,INDEX('CF Summary'!$B$31:$G$31,C$3+1)*INDEX(Inputs!$B$78:$O$78,2),0))</f>
        <v>-0</v>
      </c>
      <c r="D18" s="11" t="n">
        <f aca="false">-(INDEX('CF Summary'!$B$31:$G$31,D$3)*INDEX(Inputs!$B$78:$O$78,D$4+2)+IF(D$4=11,INDEX('CF Summary'!$B$31:$G$31,D$3+1)*INDEX(Inputs!$B$78:$O$78,1),0)+IF(D$4=12,INDEX('CF Summary'!$B$31:$G$31,D$3+1)*INDEX(Inputs!$B$78:$O$78,2),0))</f>
        <v>-0</v>
      </c>
      <c r="E18" s="11" t="n">
        <f aca="false">-(INDEX('CF Summary'!$B$31:$G$31,E$3)*INDEX(Inputs!$B$78:$O$78,E$4+2)+IF(E$4=11,INDEX('CF Summary'!$B$31:$G$31,E$3+1)*INDEX(Inputs!$B$78:$O$78,1),0)+IF(E$4=12,INDEX('CF Summary'!$B$31:$G$31,E$3+1)*INDEX(Inputs!$B$78:$O$78,2),0))</f>
        <v>-0</v>
      </c>
      <c r="F18" s="11" t="n">
        <f aca="false">-(INDEX('CF Summary'!$B$31:$G$31,F$3)*INDEX(Inputs!$B$78:$O$78,F$4+2)+IF(F$4=11,INDEX('CF Summary'!$B$31:$G$31,F$3+1)*INDEX(Inputs!$B$78:$O$78,1),0)+IF(F$4=12,INDEX('CF Summary'!$B$31:$G$31,F$3+1)*INDEX(Inputs!$B$78:$O$78,2),0))</f>
        <v>-0</v>
      </c>
      <c r="G18" s="11" t="n">
        <f aca="false">-(INDEX('CF Summary'!$B$31:$G$31,G$3)*INDEX(Inputs!$B$78:$O$78,G$4+2)+IF(G$4=11,INDEX('CF Summary'!$B$31:$G$31,G$3+1)*INDEX(Inputs!$B$78:$O$78,1),0)+IF(G$4=12,INDEX('CF Summary'!$B$31:$G$31,G$3+1)*INDEX(Inputs!$B$78:$O$78,2),0))</f>
        <v>-0</v>
      </c>
      <c r="H18" s="11" t="n">
        <f aca="false">-(INDEX('CF Summary'!$B$31:$G$31,H$3)*INDEX(Inputs!$B$78:$O$78,H$4+2)+IF(H$4=11,INDEX('CF Summary'!$B$31:$G$31,H$3+1)*INDEX(Inputs!$B$78:$O$78,1),0)+IF(H$4=12,INDEX('CF Summary'!$B$31:$G$31,H$3+1)*INDEX(Inputs!$B$78:$O$78,2),0))</f>
        <v>-0</v>
      </c>
      <c r="I18" s="11" t="n">
        <f aca="false">-(INDEX('CF Summary'!$B$31:$G$31,I$3)*INDEX(Inputs!$B$78:$O$78,I$4+2)+IF(I$4=11,INDEX('CF Summary'!$B$31:$G$31,I$3+1)*INDEX(Inputs!$B$78:$O$78,1),0)+IF(I$4=12,INDEX('CF Summary'!$B$31:$G$31,I$3+1)*INDEX(Inputs!$B$78:$O$78,2),0))</f>
        <v>-0</v>
      </c>
      <c r="J18" s="11" t="n">
        <f aca="false">-(INDEX('CF Summary'!$B$31:$G$31,J$3)*INDEX(Inputs!$B$78:$O$78,J$4+2)+IF(J$4=11,INDEX('CF Summary'!$B$31:$G$31,J$3+1)*INDEX(Inputs!$B$78:$O$78,1),0)+IF(J$4=12,INDEX('CF Summary'!$B$31:$G$31,J$3+1)*INDEX(Inputs!$B$78:$O$78,2),0))</f>
        <v>-0</v>
      </c>
      <c r="K18" s="11" t="n">
        <f aca="false">-(INDEX('CF Summary'!$B$31:$G$31,K$3)*INDEX(Inputs!$B$78:$O$78,K$4+2)+IF(K$4=11,INDEX('CF Summary'!$B$31:$G$31,K$3+1)*INDEX(Inputs!$B$78:$O$78,1),0)+IF(K$4=12,INDEX('CF Summary'!$B$31:$G$31,K$3+1)*INDEX(Inputs!$B$78:$O$78,2),0))</f>
        <v>-0</v>
      </c>
      <c r="L18" s="11" t="n">
        <f aca="false">-(INDEX('CF Summary'!$B$31:$G$31,L$3)*INDEX(Inputs!$B$78:$O$78,L$4+2)+IF(L$4=11,INDEX('CF Summary'!$B$31:$G$31,L$3+1)*INDEX(Inputs!$B$78:$O$78,1),0)+IF(L$4=12,INDEX('CF Summary'!$B$31:$G$31,L$3+1)*INDEX(Inputs!$B$78:$O$78,2),0))</f>
        <v>-0</v>
      </c>
      <c r="M18" s="11" t="n">
        <f aca="false">-(INDEX('CF Summary'!$B$31:$G$31,M$3)*INDEX(Inputs!$B$78:$O$78,M$4+2)+IF(M$4=11,INDEX('CF Summary'!$B$31:$G$31,M$3+1)*INDEX(Inputs!$B$78:$O$78,1),0)+IF(M$4=12,INDEX('CF Summary'!$B$31:$G$31,M$3+1)*INDEX(Inputs!$B$78:$O$78,2),0))</f>
        <v>-0</v>
      </c>
      <c r="N18" s="11" t="n">
        <f aca="false">-(INDEX('CF Summary'!$B$31:$G$31,N$3)*INDEX(Inputs!$B$78:$O$78,N$4+2)+IF(N$4=11,INDEX('CF Summary'!$B$31:$G$31,N$3+1)*INDEX(Inputs!$B$78:$O$78,1),0)+IF(N$4=12,INDEX('CF Summary'!$B$31:$G$31,N$3+1)*INDEX(Inputs!$B$78:$O$78,2),0))</f>
        <v>-0</v>
      </c>
      <c r="O18" s="11" t="n">
        <f aca="false">-(INDEX('CF Summary'!$B$31:$G$31,O$3)*INDEX(Inputs!$B$78:$O$78,O$4+2)+IF(O$4=11,INDEX('CF Summary'!$B$31:$G$31,O$3+1)*INDEX(Inputs!$B$78:$O$78,1),0)+IF(O$4=12,INDEX('CF Summary'!$B$31:$G$31,O$3+1)*INDEX(Inputs!$B$78:$O$78,2),0))</f>
        <v>-0</v>
      </c>
      <c r="P18" s="11" t="n">
        <f aca="false">-(INDEX('CF Summary'!$B$31:$G$31,P$3)*INDEX(Inputs!$B$78:$O$78,P$4+2)+IF(P$4=11,INDEX('CF Summary'!$B$31:$G$31,P$3+1)*INDEX(Inputs!$B$78:$O$78,1),0)+IF(P$4=12,INDEX('CF Summary'!$B$31:$G$31,P$3+1)*INDEX(Inputs!$B$78:$O$78,2),0))</f>
        <v>-0</v>
      </c>
      <c r="Q18" s="11" t="n">
        <f aca="false">-(INDEX('CF Summary'!$B$31:$G$31,Q$3)*INDEX(Inputs!$B$78:$O$78,Q$4+2)+IF(Q$4=11,INDEX('CF Summary'!$B$31:$G$31,Q$3+1)*INDEX(Inputs!$B$78:$O$78,1),0)+IF(Q$4=12,INDEX('CF Summary'!$B$31:$G$31,Q$3+1)*INDEX(Inputs!$B$78:$O$78,2),0))</f>
        <v>-0</v>
      </c>
      <c r="R18" s="11" t="n">
        <f aca="false">-(INDEX('CF Summary'!$B$31:$G$31,R$3)*INDEX(Inputs!$B$78:$O$78,R$4+2)+IF(R$4=11,INDEX('CF Summary'!$B$31:$G$31,R$3+1)*INDEX(Inputs!$B$78:$O$78,1),0)+IF(R$4=12,INDEX('CF Summary'!$B$31:$G$31,R$3+1)*INDEX(Inputs!$B$78:$O$78,2),0))</f>
        <v>-0</v>
      </c>
      <c r="S18" s="11" t="n">
        <f aca="false">-(INDEX('CF Summary'!$B$31:$G$31,S$3)*INDEX(Inputs!$B$78:$O$78,S$4+2)+IF(S$4=11,INDEX('CF Summary'!$B$31:$G$31,S$3+1)*INDEX(Inputs!$B$78:$O$78,1),0)+IF(S$4=12,INDEX('CF Summary'!$B$31:$G$31,S$3+1)*INDEX(Inputs!$B$78:$O$78,2),0))</f>
        <v>-0</v>
      </c>
      <c r="T18" s="11" t="n">
        <f aca="false">-(INDEX('CF Summary'!$B$31:$G$31,T$3)*INDEX(Inputs!$B$78:$O$78,T$4+2)+IF(T$4=11,INDEX('CF Summary'!$B$31:$G$31,T$3+1)*INDEX(Inputs!$B$78:$O$78,1),0)+IF(T$4=12,INDEX('CF Summary'!$B$31:$G$31,T$3+1)*INDEX(Inputs!$B$78:$O$78,2),0))</f>
        <v>-0</v>
      </c>
      <c r="U18" s="11" t="n">
        <f aca="false">-(INDEX('CF Summary'!$B$31:$G$31,U$3)*INDEX(Inputs!$B$78:$O$78,U$4+2)+IF(U$4=11,INDEX('CF Summary'!$B$31:$G$31,U$3+1)*INDEX(Inputs!$B$78:$O$78,1),0)+IF(U$4=12,INDEX('CF Summary'!$B$31:$G$31,U$3+1)*INDEX(Inputs!$B$78:$O$78,2),0))</f>
        <v>-0</v>
      </c>
      <c r="V18" s="11" t="n">
        <f aca="false">-(INDEX('CF Summary'!$B$31:$G$31,V$3)*INDEX(Inputs!$B$78:$O$78,V$4+2)+IF(V$4=11,INDEX('CF Summary'!$B$31:$G$31,V$3+1)*INDEX(Inputs!$B$78:$O$78,1),0)+IF(V$4=12,INDEX('CF Summary'!$B$31:$G$31,V$3+1)*INDEX(Inputs!$B$78:$O$78,2),0))</f>
        <v>-0</v>
      </c>
      <c r="W18" s="11" t="n">
        <f aca="false">-(INDEX('CF Summary'!$B$31:$G$31,W$3)*INDEX(Inputs!$B$78:$O$78,W$4+2)+IF(W$4=11,INDEX('CF Summary'!$B$31:$G$31,W$3+1)*INDEX(Inputs!$B$78:$O$78,1),0)+IF(W$4=12,INDEX('CF Summary'!$B$31:$G$31,W$3+1)*INDEX(Inputs!$B$78:$O$78,2),0))</f>
        <v>-0</v>
      </c>
      <c r="X18" s="11" t="n">
        <f aca="false">-(INDEX('CF Summary'!$B$31:$G$31,X$3)*INDEX(Inputs!$B$78:$O$78,X$4+2)+IF(X$4=11,INDEX('CF Summary'!$B$31:$G$31,X$3+1)*INDEX(Inputs!$B$78:$O$78,1),0)+IF(X$4=12,INDEX('CF Summary'!$B$31:$G$31,X$3+1)*INDEX(Inputs!$B$78:$O$78,2),0))</f>
        <v>-0</v>
      </c>
      <c r="Y18" s="11" t="n">
        <f aca="false">-(INDEX('CF Summary'!$B$31:$G$31,Y$3)*INDEX(Inputs!$B$78:$O$78,Y$4+2)+IF(Y$4=11,INDEX('CF Summary'!$B$31:$G$31,Y$3+1)*INDEX(Inputs!$B$78:$O$78,1),0)+IF(Y$4=12,INDEX('CF Summary'!$B$31:$G$31,Y$3+1)*INDEX(Inputs!$B$78:$O$78,2),0))</f>
        <v>-0</v>
      </c>
      <c r="Z18" s="11" t="n">
        <f aca="false">-(INDEX('CF Summary'!$B$31:$G$31,Z$3)*INDEX(Inputs!$B$78:$O$78,Z$4+2)+IF(Z$4=11,INDEX('CF Summary'!$B$31:$G$31,Z$3+1)*INDEX(Inputs!$B$78:$O$78,1),0)+IF(Z$4=12,INDEX('CF Summary'!$B$31:$G$31,Z$3+1)*INDEX(Inputs!$B$78:$O$78,2),0))</f>
        <v>-0</v>
      </c>
      <c r="AA18" s="11" t="n">
        <f aca="false">-(INDEX('CF Summary'!$B$31:$G$31,AA$3)*INDEX(Inputs!$B$78:$O$78,AA$4+2)+IF(AA$4=11,INDEX('CF Summary'!$B$31:$G$31,AA$3+1)*INDEX(Inputs!$B$78:$O$78,1),0)+IF(AA$4=12,INDEX('CF Summary'!$B$31:$G$31,AA$3+1)*INDEX(Inputs!$B$78:$O$78,2),0))</f>
        <v>-0</v>
      </c>
      <c r="AB18" s="11" t="n">
        <f aca="false">-(INDEX('CF Summary'!$B$31:$G$31,AB$3)*INDEX(Inputs!$B$78:$O$78,AB$4+2)+IF(AB$4=11,INDEX('CF Summary'!$B$31:$G$31,AB$3+1)*INDEX(Inputs!$B$78:$O$78,1),0)+IF(AB$4=12,INDEX('CF Summary'!$B$31:$G$31,AB$3+1)*INDEX(Inputs!$B$78:$O$78,2),0))</f>
        <v>-0</v>
      </c>
      <c r="AC18" s="11" t="n">
        <f aca="false">-(INDEX('CF Summary'!$B$31:$G$31,AC$3)*INDEX(Inputs!$B$78:$O$78,AC$4+2)+IF(AC$4=11,INDEX('CF Summary'!$B$31:$G$31,AC$3+1)*INDEX(Inputs!$B$78:$O$78,1),0)+IF(AC$4=12,INDEX('CF Summary'!$B$31:$G$31,AC$3+1)*INDEX(Inputs!$B$78:$O$78,2),0))</f>
        <v>-0</v>
      </c>
      <c r="AD18" s="11" t="n">
        <f aca="false">-(INDEX('CF Summary'!$B$31:$G$31,AD$3)*INDEX(Inputs!$B$78:$O$78,AD$4+2)+IF(AD$4=11,INDEX('CF Summary'!$B$31:$G$31,AD$3+1)*INDEX(Inputs!$B$78:$O$78,1),0)+IF(AD$4=12,INDEX('CF Summary'!$B$31:$G$31,AD$3+1)*INDEX(Inputs!$B$78:$O$78,2),0))</f>
        <v>-0</v>
      </c>
      <c r="AE18" s="11" t="n">
        <f aca="false">-(INDEX('CF Summary'!$B$31:$G$31,AE$3)*INDEX(Inputs!$B$78:$O$78,AE$4+2)+IF(AE$4=11,INDEX('CF Summary'!$B$31:$G$31,AE$3+1)*INDEX(Inputs!$B$78:$O$78,1),0)+IF(AE$4=12,INDEX('CF Summary'!$B$31:$G$31,AE$3+1)*INDEX(Inputs!$B$78:$O$78,2),0))</f>
        <v>-0</v>
      </c>
      <c r="AF18" s="11" t="n">
        <f aca="false">-(INDEX('CF Summary'!$B$31:$G$31,AF$3)*INDEX(Inputs!$B$78:$O$78,AF$4+2)+IF(AF$4=11,INDEX('CF Summary'!$B$31:$G$31,AF$3+1)*INDEX(Inputs!$B$78:$O$78,1),0)+IF(AF$4=12,INDEX('CF Summary'!$B$31:$G$31,AF$3+1)*INDEX(Inputs!$B$78:$O$78,2),0))</f>
        <v>-0</v>
      </c>
      <c r="AG18" s="11" t="n">
        <f aca="false">-(INDEX('CF Summary'!$B$31:$G$31,AG$3)*INDEX(Inputs!$B$78:$O$78,AG$4+2)+IF(AG$4=11,INDEX('CF Summary'!$B$31:$G$31,AG$3+1)*INDEX(Inputs!$B$78:$O$78,1),0)+IF(AG$4=12,INDEX('CF Summary'!$B$31:$G$31,AG$3+1)*INDEX(Inputs!$B$78:$O$78,2),0))</f>
        <v>-0</v>
      </c>
      <c r="AH18" s="11" t="n">
        <f aca="false">-(INDEX('CF Summary'!$B$31:$G$31,AH$3)*INDEX(Inputs!$B$78:$O$78,AH$4+2)+IF(AH$4=11,INDEX('CF Summary'!$B$31:$G$31,AH$3+1)*INDEX(Inputs!$B$78:$O$78,1),0)+IF(AH$4=12,INDEX('CF Summary'!$B$31:$G$31,AH$3+1)*INDEX(Inputs!$B$78:$O$78,2),0))</f>
        <v>-0</v>
      </c>
      <c r="AI18" s="11" t="n">
        <f aca="false">-(INDEX('CF Summary'!$B$31:$G$31,AI$3)*INDEX(Inputs!$B$78:$O$78,AI$4+2)+IF(AI$4=11,INDEX('CF Summary'!$B$31:$G$31,AI$3+1)*INDEX(Inputs!$B$78:$O$78,1),0)+IF(AI$4=12,INDEX('CF Summary'!$B$31:$G$31,AI$3+1)*INDEX(Inputs!$B$78:$O$78,2),0))</f>
        <v>-0</v>
      </c>
      <c r="AJ18" s="11" t="n">
        <f aca="false">-(INDEX('CF Summary'!$B$31:$G$31,AJ$3)*INDEX(Inputs!$B$78:$O$78,AJ$4+2)+IF(AJ$4=11,INDEX('CF Summary'!$B$31:$G$31,AJ$3+1)*INDEX(Inputs!$B$78:$O$78,1),0)+IF(AJ$4=12,INDEX('CF Summary'!$B$31:$G$31,AJ$3+1)*INDEX(Inputs!$B$78:$O$78,2),0))</f>
        <v>-0</v>
      </c>
      <c r="AK18" s="11" t="n">
        <f aca="false">-(INDEX('CF Summary'!$B$31:$G$31,AK$3)*INDEX(Inputs!$B$78:$O$78,AK$4+2)+IF(AK$4=11,INDEX('CF Summary'!$B$31:$G$31,AK$3+1)*INDEX(Inputs!$B$78:$O$78,1),0)+IF(AK$4=12,INDEX('CF Summary'!$B$31:$G$31,AK$3+1)*INDEX(Inputs!$B$78:$O$78,2),0))</f>
        <v>-0</v>
      </c>
      <c r="AL18" s="11" t="n">
        <f aca="false">-(INDEX('CF Summary'!$B$31:$G$31,AL$3)*INDEX(Inputs!$B$78:$O$78,AL$4+2)+IF(AL$4=11,INDEX('CF Summary'!$B$31:$G$31,AL$3+1)*INDEX(Inputs!$B$78:$O$78,1),0)+IF(AL$4=12,INDEX('CF Summary'!$B$31:$G$31,AL$3+1)*INDEX(Inputs!$B$78:$O$78,2),0))</f>
        <v>-0</v>
      </c>
      <c r="AM18" s="11" t="n">
        <f aca="false">-(INDEX('CF Summary'!$B$31:$G$31,AM$3)*INDEX(Inputs!$B$78:$O$78,AM$4+2)+IF(AM$4=11,INDEX('CF Summary'!$B$31:$G$31,AM$3+1)*INDEX(Inputs!$B$78:$O$78,1),0)+IF(AM$4=12,INDEX('CF Summary'!$B$31:$G$31,AM$3+1)*INDEX(Inputs!$B$78:$O$78,2),0))</f>
        <v>-0</v>
      </c>
      <c r="AN18" s="11" t="n">
        <f aca="false">-(INDEX('CF Summary'!$B$31:$G$31,AN$3)*INDEX(Inputs!$B$78:$O$78,AN$4+2)+IF(AN$4=11,INDEX('CF Summary'!$B$31:$G$31,AN$3+1)*INDEX(Inputs!$B$78:$O$78,1),0)+IF(AN$4=12,INDEX('CF Summary'!$B$31:$G$31,AN$3+1)*INDEX(Inputs!$B$78:$O$78,2),0))</f>
        <v>-0</v>
      </c>
      <c r="AO18" s="11" t="n">
        <f aca="false">-(INDEX('CF Summary'!$B$31:$G$31,AO$3)*INDEX(Inputs!$B$78:$O$78,AO$4+2)+IF(AO$4=11,INDEX('CF Summary'!$B$31:$G$31,AO$3+1)*INDEX(Inputs!$B$78:$O$78,1),0)+IF(AO$4=12,INDEX('CF Summary'!$B$31:$G$31,AO$3+1)*INDEX(Inputs!$B$78:$O$78,2),0))</f>
        <v>-0</v>
      </c>
      <c r="AP18" s="11" t="n">
        <f aca="false">-(INDEX('CF Summary'!$B$31:$G$31,AP$3)*INDEX(Inputs!$B$78:$O$78,AP$4+2)+IF(AP$4=11,INDEX('CF Summary'!$B$31:$G$31,AP$3+1)*INDEX(Inputs!$B$78:$O$78,1),0)+IF(AP$4=12,INDEX('CF Summary'!$B$31:$G$31,AP$3+1)*INDEX(Inputs!$B$78:$O$78,2),0))</f>
        <v>-0</v>
      </c>
      <c r="AQ18" s="11" t="n">
        <f aca="false">-(INDEX('CF Summary'!$B$31:$G$31,AQ$3)*INDEX(Inputs!$B$78:$O$78,AQ$4+2)+IF(AQ$4=11,INDEX('CF Summary'!$B$31:$G$31,AQ$3+1)*INDEX(Inputs!$B$78:$O$78,1),0)+IF(AQ$4=12,INDEX('CF Summary'!$B$31:$G$31,AQ$3+1)*INDEX(Inputs!$B$78:$O$78,2),0))</f>
        <v>-0</v>
      </c>
      <c r="AR18" s="11" t="n">
        <f aca="false">-(INDEX('CF Summary'!$B$31:$G$31,AR$3)*INDEX(Inputs!$B$78:$O$78,AR$4+2)+IF(AR$4=11,INDEX('CF Summary'!$B$31:$G$31,AR$3+1)*INDEX(Inputs!$B$78:$O$78,1),0)+IF(AR$4=12,INDEX('CF Summary'!$B$31:$G$31,AR$3+1)*INDEX(Inputs!$B$78:$O$78,2),0))</f>
        <v>-0</v>
      </c>
      <c r="AS18" s="11" t="n">
        <f aca="false">-(INDEX('CF Summary'!$B$31:$G$31,AS$3)*INDEX(Inputs!$B$78:$O$78,AS$4+2)+IF(AS$4=11,INDEX('CF Summary'!$B$31:$G$31,AS$3+1)*INDEX(Inputs!$B$78:$O$78,1),0)+IF(AS$4=12,INDEX('CF Summary'!$B$31:$G$31,AS$3+1)*INDEX(Inputs!$B$78:$O$78,2),0))</f>
        <v>-0</v>
      </c>
      <c r="AT18" s="11" t="n">
        <f aca="false">-(INDEX('CF Summary'!$B$31:$G$31,AT$3)*INDEX(Inputs!$B$78:$O$78,AT$4+2)+IF(AT$4=11,INDEX('CF Summary'!$B$31:$G$31,AT$3+1)*INDEX(Inputs!$B$78:$O$78,1),0)+IF(AT$4=12,INDEX('CF Summary'!$B$31:$G$31,AT$3+1)*INDEX(Inputs!$B$78:$O$78,2),0))</f>
        <v>-0</v>
      </c>
      <c r="AU18" s="11" t="n">
        <f aca="false">-(INDEX('CF Summary'!$B$31:$G$31,AU$3)*INDEX(Inputs!$B$78:$O$78,AU$4+2)+IF(AU$4=11,INDEX('CF Summary'!$B$31:$G$31,AU$3+1)*INDEX(Inputs!$B$78:$O$78,1),0)+IF(AU$4=12,INDEX('CF Summary'!$B$31:$G$31,AU$3+1)*INDEX(Inputs!$B$78:$O$78,2),0))</f>
        <v>-0</v>
      </c>
      <c r="AV18" s="11" t="n">
        <f aca="false">-(INDEX('CF Summary'!$B$31:$G$31,AV$3)*INDEX(Inputs!$B$78:$O$78,AV$4+2)+IF(AV$4=11,INDEX('CF Summary'!$B$31:$G$31,AV$3+1)*INDEX(Inputs!$B$78:$O$78,1),0)+IF(AV$4=12,INDEX('CF Summary'!$B$31:$G$31,AV$3+1)*INDEX(Inputs!$B$78:$O$78,2),0))</f>
        <v>-0</v>
      </c>
      <c r="AW18" s="11" t="n">
        <f aca="false">-(INDEX('CF Summary'!$B$31:$G$31,AW$3)*INDEX(Inputs!$B$78:$O$78,AW$4+2)+IF(AW$4=11,INDEX('CF Summary'!$B$31:$G$31,AW$3+1)*INDEX(Inputs!$B$78:$O$78,1),0)+IF(AW$4=12,INDEX('CF Summary'!$B$31:$G$31,AW$3+1)*INDEX(Inputs!$B$78:$O$78,2),0))</f>
        <v>-0</v>
      </c>
      <c r="AX18" s="11" t="n">
        <f aca="false">-(INDEX('CF Summary'!$B$31:$G$31,AX$3)*INDEX(Inputs!$B$78:$O$78,AX$4+2)+IF(AX$4=11,INDEX('CF Summary'!$B$31:$G$31,AX$3+1)*INDEX(Inputs!$B$78:$O$78,1),0)+IF(AX$4=12,INDEX('CF Summary'!$B$31:$G$31,AX$3+1)*INDEX(Inputs!$B$78:$O$78,2),0))</f>
        <v>-0</v>
      </c>
      <c r="AY18" s="11" t="n">
        <f aca="false">-(INDEX('CF Summary'!$B$31:$G$31,AY$3)*INDEX(Inputs!$B$78:$O$78,AY$4+2)+IF(AY$4=11,INDEX('CF Summary'!$B$31:$G$31,AY$3+1)*INDEX(Inputs!$B$78:$O$78,1),0)+IF(AY$4=12,INDEX('CF Summary'!$B$31:$G$31,AY$3+1)*INDEX(Inputs!$B$78:$O$78,2),0))</f>
        <v>-0</v>
      </c>
      <c r="AZ18" s="11" t="n">
        <f aca="false">-(INDEX('CF Summary'!$B$31:$G$31,AZ$3)*INDEX(Inputs!$B$78:$O$78,AZ$4+2)+IF(AZ$4=11,INDEX('CF Summary'!$B$31:$G$31,AZ$3+1)*INDEX(Inputs!$B$78:$O$78,1),0)+IF(AZ$4=12,INDEX('CF Summary'!$B$31:$G$31,AZ$3+1)*INDEX(Inputs!$B$78:$O$78,2),0))</f>
        <v>-0</v>
      </c>
      <c r="BA18" s="11" t="n">
        <f aca="false">-(INDEX('CF Summary'!$B$31:$G$31,BA$3)*INDEX(Inputs!$B$78:$O$78,BA$4+2)+IF(BA$4=11,INDEX('CF Summary'!$B$31:$G$31,BA$3+1)*INDEX(Inputs!$B$78:$O$78,1),0)+IF(BA$4=12,INDEX('CF Summary'!$B$31:$G$31,BA$3+1)*INDEX(Inputs!$B$78:$O$78,2),0))</f>
        <v>-0</v>
      </c>
      <c r="BB18" s="11" t="n">
        <f aca="false">-(INDEX('CF Summary'!$B$31:$G$31,BB$3)*INDEX(Inputs!$B$78:$O$78,BB$4+2)+IF(BB$4=11,INDEX('CF Summary'!$B$31:$G$31,BB$3+1)*INDEX(Inputs!$B$78:$O$78,1),0)+IF(BB$4=12,INDEX('CF Summary'!$B$31:$G$31,BB$3+1)*INDEX(Inputs!$B$78:$O$78,2),0))</f>
        <v>-0</v>
      </c>
      <c r="BC18" s="11" t="n">
        <f aca="false">-(INDEX('CF Summary'!$B$31:$G$31,BC$3)*INDEX(Inputs!$B$78:$O$78,BC$4+2)+IF(BC$4=11,INDEX('CF Summary'!$B$31:$G$31,BC$3+1)*INDEX(Inputs!$B$78:$O$78,1),0)+IF(BC$4=12,INDEX('CF Summary'!$B$31:$G$31,BC$3+1)*INDEX(Inputs!$B$78:$O$78,2),0))</f>
        <v>-0</v>
      </c>
      <c r="BD18" s="11" t="n">
        <f aca="false">-(INDEX('CF Summary'!$B$31:$G$31,BD$3)*INDEX(Inputs!$B$78:$O$78,BD$4+2)+IF(BD$4=11,INDEX('CF Summary'!$B$31:$G$31,BD$3+1)*INDEX(Inputs!$B$78:$O$78,1),0)+IF(BD$4=12,INDEX('CF Summary'!$B$31:$G$31,BD$3+1)*INDEX(Inputs!$B$78:$O$78,2),0))</f>
        <v>-0</v>
      </c>
      <c r="BE18" s="11" t="n">
        <f aca="false">-(INDEX('CF Summary'!$B$31:$G$31,BE$3)*INDEX(Inputs!$B$78:$O$78,BE$4+2)+IF(BE$4=11,INDEX('CF Summary'!$B$31:$G$31,BE$3+1)*INDEX(Inputs!$B$78:$O$78,1),0)+IF(BE$4=12,INDEX('CF Summary'!$B$31:$G$31,BE$3+1)*INDEX(Inputs!$B$78:$O$78,2),0))</f>
        <v>-0</v>
      </c>
      <c r="BF18" s="11" t="n">
        <f aca="false">-(INDEX('CF Summary'!$B$31:$G$31,BF$3)*INDEX(Inputs!$B$78:$O$78,BF$4+2)+IF(BF$4=11,INDEX('CF Summary'!$B$31:$G$31,BF$3+1)*INDEX(Inputs!$B$78:$O$78,1),0)+IF(BF$4=12,INDEX('CF Summary'!$B$31:$G$31,BF$3+1)*INDEX(Inputs!$B$78:$O$78,2),0))</f>
        <v>-0</v>
      </c>
      <c r="BG18" s="11" t="n">
        <f aca="false">-(INDEX('CF Summary'!$B$31:$G$31,BG$3)*INDEX(Inputs!$B$78:$O$78,BG$4+2)+IF(BG$4=11,INDEX('CF Summary'!$B$31:$G$31,BG$3+1)*INDEX(Inputs!$B$78:$O$78,1),0)+IF(BG$4=12,INDEX('CF Summary'!$B$31:$G$31,BG$3+1)*INDEX(Inputs!$B$78:$O$78,2),0))</f>
        <v>-0</v>
      </c>
      <c r="BH18" s="11" t="n">
        <f aca="false">-(INDEX('CF Summary'!$B$31:$G$31,BH$3)*INDEX(Inputs!$B$78:$O$78,BH$4+2)+IF(BH$4=11,INDEX('CF Summary'!$B$31:$G$31,BH$3+1)*INDEX(Inputs!$B$78:$O$78,1),0)+IF(BH$4=12,INDEX('CF Summary'!$B$31:$G$31,BH$3+1)*INDEX(Inputs!$B$78:$O$78,2),0))</f>
        <v>-0</v>
      </c>
      <c r="BI18" s="11" t="n">
        <f aca="false">-(INDEX('CF Summary'!$B$31:$G$31,BI$3)*INDEX(Inputs!$B$78:$O$78,BI$4+2)+IF(BI$4=11,INDEX('CF Summary'!$B$31:$G$31,BI$3+1)*INDEX(Inputs!$B$78:$O$78,1),0)+IF(BI$4=12,INDEX('CF Summary'!$B$31:$G$31,BI$3+1)*INDEX(Inputs!$B$78:$O$78,2),0))</f>
        <v>-0</v>
      </c>
    </row>
    <row r="19" customFormat="false" ht="15" hidden="false" customHeight="false" outlineLevel="0" collapsed="false">
      <c r="A19" s="6" t="s">
        <v>577</v>
      </c>
      <c r="B19" s="11" t="n">
        <f aca="false">-(INDEX('CF Summary'!$B$32:$G$32,B$3)*INDEX(Inputs!$B$79:$O$79,B$4+2)+IF(B$4=11,INDEX('CF Summary'!$B$32:$G$32,B$3+1)*INDEX(Inputs!$B$79:$O$79,1),0)+IF(B$4=12,INDEX('CF Summary'!$B$32:$G$32,B$3+1)*INDEX(Inputs!$B$79:$O$79,2),0))</f>
        <v>-0</v>
      </c>
      <c r="C19" s="11" t="n">
        <f aca="false">-(INDEX('CF Summary'!$B$32:$G$32,C$3)*INDEX(Inputs!$B$79:$O$79,C$4+2)+IF(C$4=11,INDEX('CF Summary'!$B$32:$G$32,C$3+1)*INDEX(Inputs!$B$79:$O$79,1),0)+IF(C$4=12,INDEX('CF Summary'!$B$32:$G$32,C$3+1)*INDEX(Inputs!$B$79:$O$79,2),0))</f>
        <v>-0</v>
      </c>
      <c r="D19" s="11" t="n">
        <f aca="false">-(INDEX('CF Summary'!$B$32:$G$32,D$3)*INDEX(Inputs!$B$79:$O$79,D$4+2)+IF(D$4=11,INDEX('CF Summary'!$B$32:$G$32,D$3+1)*INDEX(Inputs!$B$79:$O$79,1),0)+IF(D$4=12,INDEX('CF Summary'!$B$32:$G$32,D$3+1)*INDEX(Inputs!$B$79:$O$79,2),0))</f>
        <v>-0</v>
      </c>
      <c r="E19" s="11" t="n">
        <f aca="false">-(INDEX('CF Summary'!$B$32:$G$32,E$3)*INDEX(Inputs!$B$79:$O$79,E$4+2)+IF(E$4=11,INDEX('CF Summary'!$B$32:$G$32,E$3+1)*INDEX(Inputs!$B$79:$O$79,1),0)+IF(E$4=12,INDEX('CF Summary'!$B$32:$G$32,E$3+1)*INDEX(Inputs!$B$79:$O$79,2),0))</f>
        <v>-0</v>
      </c>
      <c r="F19" s="11" t="n">
        <f aca="false">-(INDEX('CF Summary'!$B$32:$G$32,F$3)*INDEX(Inputs!$B$79:$O$79,F$4+2)+IF(F$4=11,INDEX('CF Summary'!$B$32:$G$32,F$3+1)*INDEX(Inputs!$B$79:$O$79,1),0)+IF(F$4=12,INDEX('CF Summary'!$B$32:$G$32,F$3+1)*INDEX(Inputs!$B$79:$O$79,2),0))</f>
        <v>-0</v>
      </c>
      <c r="G19" s="11" t="n">
        <f aca="false">-(INDEX('CF Summary'!$B$32:$G$32,G$3)*INDEX(Inputs!$B$79:$O$79,G$4+2)+IF(G$4=11,INDEX('CF Summary'!$B$32:$G$32,G$3+1)*INDEX(Inputs!$B$79:$O$79,1),0)+IF(G$4=12,INDEX('CF Summary'!$B$32:$G$32,G$3+1)*INDEX(Inputs!$B$79:$O$79,2),0))</f>
        <v>-0</v>
      </c>
      <c r="H19" s="11" t="n">
        <f aca="false">-(INDEX('CF Summary'!$B$32:$G$32,H$3)*INDEX(Inputs!$B$79:$O$79,H$4+2)+IF(H$4=11,INDEX('CF Summary'!$B$32:$G$32,H$3+1)*INDEX(Inputs!$B$79:$O$79,1),0)+IF(H$4=12,INDEX('CF Summary'!$B$32:$G$32,H$3+1)*INDEX(Inputs!$B$79:$O$79,2),0))</f>
        <v>-0</v>
      </c>
      <c r="I19" s="11" t="n">
        <f aca="false">-(INDEX('CF Summary'!$B$32:$G$32,I$3)*INDEX(Inputs!$B$79:$O$79,I$4+2)+IF(I$4=11,INDEX('CF Summary'!$B$32:$G$32,I$3+1)*INDEX(Inputs!$B$79:$O$79,1),0)+IF(I$4=12,INDEX('CF Summary'!$B$32:$G$32,I$3+1)*INDEX(Inputs!$B$79:$O$79,2),0))</f>
        <v>-0</v>
      </c>
      <c r="J19" s="11" t="n">
        <f aca="false">-(INDEX('CF Summary'!$B$32:$G$32,J$3)*INDEX(Inputs!$B$79:$O$79,J$4+2)+IF(J$4=11,INDEX('CF Summary'!$B$32:$G$32,J$3+1)*INDEX(Inputs!$B$79:$O$79,1),0)+IF(J$4=12,INDEX('CF Summary'!$B$32:$G$32,J$3+1)*INDEX(Inputs!$B$79:$O$79,2),0))</f>
        <v>-0</v>
      </c>
      <c r="K19" s="11" t="n">
        <f aca="false">-(INDEX('CF Summary'!$B$32:$G$32,K$3)*INDEX(Inputs!$B$79:$O$79,K$4+2)+IF(K$4=11,INDEX('CF Summary'!$B$32:$G$32,K$3+1)*INDEX(Inputs!$B$79:$O$79,1),0)+IF(K$4=12,INDEX('CF Summary'!$B$32:$G$32,K$3+1)*INDEX(Inputs!$B$79:$O$79,2),0))</f>
        <v>-0</v>
      </c>
      <c r="L19" s="11" t="n">
        <f aca="false">-(INDEX('CF Summary'!$B$32:$G$32,L$3)*INDEX(Inputs!$B$79:$O$79,L$4+2)+IF(L$4=11,INDEX('CF Summary'!$B$32:$G$32,L$3+1)*INDEX(Inputs!$B$79:$O$79,1),0)+IF(L$4=12,INDEX('CF Summary'!$B$32:$G$32,L$3+1)*INDEX(Inputs!$B$79:$O$79,2),0))</f>
        <v>-0</v>
      </c>
      <c r="M19" s="11" t="n">
        <f aca="false">-(INDEX('CF Summary'!$B$32:$G$32,M$3)*INDEX(Inputs!$B$79:$O$79,M$4+2)+IF(M$4=11,INDEX('CF Summary'!$B$32:$G$32,M$3+1)*INDEX(Inputs!$B$79:$O$79,1),0)+IF(M$4=12,INDEX('CF Summary'!$B$32:$G$32,M$3+1)*INDEX(Inputs!$B$79:$O$79,2),0))</f>
        <v>-0</v>
      </c>
      <c r="N19" s="11" t="n">
        <f aca="false">-(INDEX('CF Summary'!$B$32:$G$32,N$3)*INDEX(Inputs!$B$79:$O$79,N$4+2)+IF(N$4=11,INDEX('CF Summary'!$B$32:$G$32,N$3+1)*INDEX(Inputs!$B$79:$O$79,1),0)+IF(N$4=12,INDEX('CF Summary'!$B$32:$G$32,N$3+1)*INDEX(Inputs!$B$79:$O$79,2),0))</f>
        <v>-0</v>
      </c>
      <c r="O19" s="11" t="n">
        <f aca="false">-(INDEX('CF Summary'!$B$32:$G$32,O$3)*INDEX(Inputs!$B$79:$O$79,O$4+2)+IF(O$4=11,INDEX('CF Summary'!$B$32:$G$32,O$3+1)*INDEX(Inputs!$B$79:$O$79,1),0)+IF(O$4=12,INDEX('CF Summary'!$B$32:$G$32,O$3+1)*INDEX(Inputs!$B$79:$O$79,2),0))</f>
        <v>-0</v>
      </c>
      <c r="P19" s="11" t="n">
        <f aca="false">-(INDEX('CF Summary'!$B$32:$G$32,P$3)*INDEX(Inputs!$B$79:$O$79,P$4+2)+IF(P$4=11,INDEX('CF Summary'!$B$32:$G$32,P$3+1)*INDEX(Inputs!$B$79:$O$79,1),0)+IF(P$4=12,INDEX('CF Summary'!$B$32:$G$32,P$3+1)*INDEX(Inputs!$B$79:$O$79,2),0))</f>
        <v>-0</v>
      </c>
      <c r="Q19" s="11" t="n">
        <f aca="false">-(INDEX('CF Summary'!$B$32:$G$32,Q$3)*INDEX(Inputs!$B$79:$O$79,Q$4+2)+IF(Q$4=11,INDEX('CF Summary'!$B$32:$G$32,Q$3+1)*INDEX(Inputs!$B$79:$O$79,1),0)+IF(Q$4=12,INDEX('CF Summary'!$B$32:$G$32,Q$3+1)*INDEX(Inputs!$B$79:$O$79,2),0))</f>
        <v>-0</v>
      </c>
      <c r="R19" s="11" t="n">
        <f aca="false">-(INDEX('CF Summary'!$B$32:$G$32,R$3)*INDEX(Inputs!$B$79:$O$79,R$4+2)+IF(R$4=11,INDEX('CF Summary'!$B$32:$G$32,R$3+1)*INDEX(Inputs!$B$79:$O$79,1),0)+IF(R$4=12,INDEX('CF Summary'!$B$32:$G$32,R$3+1)*INDEX(Inputs!$B$79:$O$79,2),0))</f>
        <v>-0</v>
      </c>
      <c r="S19" s="11" t="n">
        <f aca="false">-(INDEX('CF Summary'!$B$32:$G$32,S$3)*INDEX(Inputs!$B$79:$O$79,S$4+2)+IF(S$4=11,INDEX('CF Summary'!$B$32:$G$32,S$3+1)*INDEX(Inputs!$B$79:$O$79,1),0)+IF(S$4=12,INDEX('CF Summary'!$B$32:$G$32,S$3+1)*INDEX(Inputs!$B$79:$O$79,2),0))</f>
        <v>-0</v>
      </c>
      <c r="T19" s="11" t="n">
        <f aca="false">-(INDEX('CF Summary'!$B$32:$G$32,T$3)*INDEX(Inputs!$B$79:$O$79,T$4+2)+IF(T$4=11,INDEX('CF Summary'!$B$32:$G$32,T$3+1)*INDEX(Inputs!$B$79:$O$79,1),0)+IF(T$4=12,INDEX('CF Summary'!$B$32:$G$32,T$3+1)*INDEX(Inputs!$B$79:$O$79,2),0))</f>
        <v>-0</v>
      </c>
      <c r="U19" s="11" t="n">
        <f aca="false">-(INDEX('CF Summary'!$B$32:$G$32,U$3)*INDEX(Inputs!$B$79:$O$79,U$4+2)+IF(U$4=11,INDEX('CF Summary'!$B$32:$G$32,U$3+1)*INDEX(Inputs!$B$79:$O$79,1),0)+IF(U$4=12,INDEX('CF Summary'!$B$32:$G$32,U$3+1)*INDEX(Inputs!$B$79:$O$79,2),0))</f>
        <v>-0</v>
      </c>
      <c r="V19" s="11" t="n">
        <f aca="false">-(INDEX('CF Summary'!$B$32:$G$32,V$3)*INDEX(Inputs!$B$79:$O$79,V$4+2)+IF(V$4=11,INDEX('CF Summary'!$B$32:$G$32,V$3+1)*INDEX(Inputs!$B$79:$O$79,1),0)+IF(V$4=12,INDEX('CF Summary'!$B$32:$G$32,V$3+1)*INDEX(Inputs!$B$79:$O$79,2),0))</f>
        <v>-0</v>
      </c>
      <c r="W19" s="11" t="n">
        <f aca="false">-(INDEX('CF Summary'!$B$32:$G$32,W$3)*INDEX(Inputs!$B$79:$O$79,W$4+2)+IF(W$4=11,INDEX('CF Summary'!$B$32:$G$32,W$3+1)*INDEX(Inputs!$B$79:$O$79,1),0)+IF(W$4=12,INDEX('CF Summary'!$B$32:$G$32,W$3+1)*INDEX(Inputs!$B$79:$O$79,2),0))</f>
        <v>-0</v>
      </c>
      <c r="X19" s="11" t="n">
        <f aca="false">-(INDEX('CF Summary'!$B$32:$G$32,X$3)*INDEX(Inputs!$B$79:$O$79,X$4+2)+IF(X$4=11,INDEX('CF Summary'!$B$32:$G$32,X$3+1)*INDEX(Inputs!$B$79:$O$79,1),0)+IF(X$4=12,INDEX('CF Summary'!$B$32:$G$32,X$3+1)*INDEX(Inputs!$B$79:$O$79,2),0))</f>
        <v>-0</v>
      </c>
      <c r="Y19" s="11" t="n">
        <f aca="false">-(INDEX('CF Summary'!$B$32:$G$32,Y$3)*INDEX(Inputs!$B$79:$O$79,Y$4+2)+IF(Y$4=11,INDEX('CF Summary'!$B$32:$G$32,Y$3+1)*INDEX(Inputs!$B$79:$O$79,1),0)+IF(Y$4=12,INDEX('CF Summary'!$B$32:$G$32,Y$3+1)*INDEX(Inputs!$B$79:$O$79,2),0))</f>
        <v>-0</v>
      </c>
      <c r="Z19" s="11" t="n">
        <f aca="false">-(INDEX('CF Summary'!$B$32:$G$32,Z$3)*INDEX(Inputs!$B$79:$O$79,Z$4+2)+IF(Z$4=11,INDEX('CF Summary'!$B$32:$G$32,Z$3+1)*INDEX(Inputs!$B$79:$O$79,1),0)+IF(Z$4=12,INDEX('CF Summary'!$B$32:$G$32,Z$3+1)*INDEX(Inputs!$B$79:$O$79,2),0))</f>
        <v>-0</v>
      </c>
      <c r="AA19" s="11" t="n">
        <f aca="false">-(INDEX('CF Summary'!$B$32:$G$32,AA$3)*INDEX(Inputs!$B$79:$O$79,AA$4+2)+IF(AA$4=11,INDEX('CF Summary'!$B$32:$G$32,AA$3+1)*INDEX(Inputs!$B$79:$O$79,1),0)+IF(AA$4=12,INDEX('CF Summary'!$B$32:$G$32,AA$3+1)*INDEX(Inputs!$B$79:$O$79,2),0))</f>
        <v>-0</v>
      </c>
      <c r="AB19" s="11" t="n">
        <f aca="false">-(INDEX('CF Summary'!$B$32:$G$32,AB$3)*INDEX(Inputs!$B$79:$O$79,AB$4+2)+IF(AB$4=11,INDEX('CF Summary'!$B$32:$G$32,AB$3+1)*INDEX(Inputs!$B$79:$O$79,1),0)+IF(AB$4=12,INDEX('CF Summary'!$B$32:$G$32,AB$3+1)*INDEX(Inputs!$B$79:$O$79,2),0))</f>
        <v>-0</v>
      </c>
      <c r="AC19" s="11" t="n">
        <f aca="false">-(INDEX('CF Summary'!$B$32:$G$32,AC$3)*INDEX(Inputs!$B$79:$O$79,AC$4+2)+IF(AC$4=11,INDEX('CF Summary'!$B$32:$G$32,AC$3+1)*INDEX(Inputs!$B$79:$O$79,1),0)+IF(AC$4=12,INDEX('CF Summary'!$B$32:$G$32,AC$3+1)*INDEX(Inputs!$B$79:$O$79,2),0))</f>
        <v>-0</v>
      </c>
      <c r="AD19" s="11" t="n">
        <f aca="false">-(INDEX('CF Summary'!$B$32:$G$32,AD$3)*INDEX(Inputs!$B$79:$O$79,AD$4+2)+IF(AD$4=11,INDEX('CF Summary'!$B$32:$G$32,AD$3+1)*INDEX(Inputs!$B$79:$O$79,1),0)+IF(AD$4=12,INDEX('CF Summary'!$B$32:$G$32,AD$3+1)*INDEX(Inputs!$B$79:$O$79,2),0))</f>
        <v>-0</v>
      </c>
      <c r="AE19" s="11" t="n">
        <f aca="false">-(INDEX('CF Summary'!$B$32:$G$32,AE$3)*INDEX(Inputs!$B$79:$O$79,AE$4+2)+IF(AE$4=11,INDEX('CF Summary'!$B$32:$G$32,AE$3+1)*INDEX(Inputs!$B$79:$O$79,1),0)+IF(AE$4=12,INDEX('CF Summary'!$B$32:$G$32,AE$3+1)*INDEX(Inputs!$B$79:$O$79,2),0))</f>
        <v>-0</v>
      </c>
      <c r="AF19" s="11" t="n">
        <f aca="false">-(INDEX('CF Summary'!$B$32:$G$32,AF$3)*INDEX(Inputs!$B$79:$O$79,AF$4+2)+IF(AF$4=11,INDEX('CF Summary'!$B$32:$G$32,AF$3+1)*INDEX(Inputs!$B$79:$O$79,1),0)+IF(AF$4=12,INDEX('CF Summary'!$B$32:$G$32,AF$3+1)*INDEX(Inputs!$B$79:$O$79,2),0))</f>
        <v>-0</v>
      </c>
      <c r="AG19" s="11" t="n">
        <f aca="false">-(INDEX('CF Summary'!$B$32:$G$32,AG$3)*INDEX(Inputs!$B$79:$O$79,AG$4+2)+IF(AG$4=11,INDEX('CF Summary'!$B$32:$G$32,AG$3+1)*INDEX(Inputs!$B$79:$O$79,1),0)+IF(AG$4=12,INDEX('CF Summary'!$B$32:$G$32,AG$3+1)*INDEX(Inputs!$B$79:$O$79,2),0))</f>
        <v>-0</v>
      </c>
      <c r="AH19" s="11" t="n">
        <f aca="false">-(INDEX('CF Summary'!$B$32:$G$32,AH$3)*INDEX(Inputs!$B$79:$O$79,AH$4+2)+IF(AH$4=11,INDEX('CF Summary'!$B$32:$G$32,AH$3+1)*INDEX(Inputs!$B$79:$O$79,1),0)+IF(AH$4=12,INDEX('CF Summary'!$B$32:$G$32,AH$3+1)*INDEX(Inputs!$B$79:$O$79,2),0))</f>
        <v>-0</v>
      </c>
      <c r="AI19" s="11" t="n">
        <f aca="false">-(INDEX('CF Summary'!$B$32:$G$32,AI$3)*INDEX(Inputs!$B$79:$O$79,AI$4+2)+IF(AI$4=11,INDEX('CF Summary'!$B$32:$G$32,AI$3+1)*INDEX(Inputs!$B$79:$O$79,1),0)+IF(AI$4=12,INDEX('CF Summary'!$B$32:$G$32,AI$3+1)*INDEX(Inputs!$B$79:$O$79,2),0))</f>
        <v>-0</v>
      </c>
      <c r="AJ19" s="11" t="n">
        <f aca="false">-(INDEX('CF Summary'!$B$32:$G$32,AJ$3)*INDEX(Inputs!$B$79:$O$79,AJ$4+2)+IF(AJ$4=11,INDEX('CF Summary'!$B$32:$G$32,AJ$3+1)*INDEX(Inputs!$B$79:$O$79,1),0)+IF(AJ$4=12,INDEX('CF Summary'!$B$32:$G$32,AJ$3+1)*INDEX(Inputs!$B$79:$O$79,2),0))</f>
        <v>-0</v>
      </c>
      <c r="AK19" s="11" t="n">
        <f aca="false">-(INDEX('CF Summary'!$B$32:$G$32,AK$3)*INDEX(Inputs!$B$79:$O$79,AK$4+2)+IF(AK$4=11,INDEX('CF Summary'!$B$32:$G$32,AK$3+1)*INDEX(Inputs!$B$79:$O$79,1),0)+IF(AK$4=12,INDEX('CF Summary'!$B$32:$G$32,AK$3+1)*INDEX(Inputs!$B$79:$O$79,2),0))</f>
        <v>-0</v>
      </c>
      <c r="AL19" s="11" t="n">
        <f aca="false">-(INDEX('CF Summary'!$B$32:$G$32,AL$3)*INDEX(Inputs!$B$79:$O$79,AL$4+2)+IF(AL$4=11,INDEX('CF Summary'!$B$32:$G$32,AL$3+1)*INDEX(Inputs!$B$79:$O$79,1),0)+IF(AL$4=12,INDEX('CF Summary'!$B$32:$G$32,AL$3+1)*INDEX(Inputs!$B$79:$O$79,2),0))</f>
        <v>-0</v>
      </c>
      <c r="AM19" s="11" t="n">
        <f aca="false">-(INDEX('CF Summary'!$B$32:$G$32,AM$3)*INDEX(Inputs!$B$79:$O$79,AM$4+2)+IF(AM$4=11,INDEX('CF Summary'!$B$32:$G$32,AM$3+1)*INDEX(Inputs!$B$79:$O$79,1),0)+IF(AM$4=12,INDEX('CF Summary'!$B$32:$G$32,AM$3+1)*INDEX(Inputs!$B$79:$O$79,2),0))</f>
        <v>-0</v>
      </c>
      <c r="AN19" s="11" t="n">
        <f aca="false">-(INDEX('CF Summary'!$B$32:$G$32,AN$3)*INDEX(Inputs!$B$79:$O$79,AN$4+2)+IF(AN$4=11,INDEX('CF Summary'!$B$32:$G$32,AN$3+1)*INDEX(Inputs!$B$79:$O$79,1),0)+IF(AN$4=12,INDEX('CF Summary'!$B$32:$G$32,AN$3+1)*INDEX(Inputs!$B$79:$O$79,2),0))</f>
        <v>-0</v>
      </c>
      <c r="AO19" s="11" t="n">
        <f aca="false">-(INDEX('CF Summary'!$B$32:$G$32,AO$3)*INDEX(Inputs!$B$79:$O$79,AO$4+2)+IF(AO$4=11,INDEX('CF Summary'!$B$32:$G$32,AO$3+1)*INDEX(Inputs!$B$79:$O$79,1),0)+IF(AO$4=12,INDEX('CF Summary'!$B$32:$G$32,AO$3+1)*INDEX(Inputs!$B$79:$O$79,2),0))</f>
        <v>-0</v>
      </c>
      <c r="AP19" s="11" t="n">
        <f aca="false">-(INDEX('CF Summary'!$B$32:$G$32,AP$3)*INDEX(Inputs!$B$79:$O$79,AP$4+2)+IF(AP$4=11,INDEX('CF Summary'!$B$32:$G$32,AP$3+1)*INDEX(Inputs!$B$79:$O$79,1),0)+IF(AP$4=12,INDEX('CF Summary'!$B$32:$G$32,AP$3+1)*INDEX(Inputs!$B$79:$O$79,2),0))</f>
        <v>-0</v>
      </c>
      <c r="AQ19" s="11" t="n">
        <f aca="false">-(INDEX('CF Summary'!$B$32:$G$32,AQ$3)*INDEX(Inputs!$B$79:$O$79,AQ$4+2)+IF(AQ$4=11,INDEX('CF Summary'!$B$32:$G$32,AQ$3+1)*INDEX(Inputs!$B$79:$O$79,1),0)+IF(AQ$4=12,INDEX('CF Summary'!$B$32:$G$32,AQ$3+1)*INDEX(Inputs!$B$79:$O$79,2),0))</f>
        <v>-0</v>
      </c>
      <c r="AR19" s="11" t="n">
        <f aca="false">-(INDEX('CF Summary'!$B$32:$G$32,AR$3)*INDEX(Inputs!$B$79:$O$79,AR$4+2)+IF(AR$4=11,INDEX('CF Summary'!$B$32:$G$32,AR$3+1)*INDEX(Inputs!$B$79:$O$79,1),0)+IF(AR$4=12,INDEX('CF Summary'!$B$32:$G$32,AR$3+1)*INDEX(Inputs!$B$79:$O$79,2),0))</f>
        <v>-0</v>
      </c>
      <c r="AS19" s="11" t="n">
        <f aca="false">-(INDEX('CF Summary'!$B$32:$G$32,AS$3)*INDEX(Inputs!$B$79:$O$79,AS$4+2)+IF(AS$4=11,INDEX('CF Summary'!$B$32:$G$32,AS$3+1)*INDEX(Inputs!$B$79:$O$79,1),0)+IF(AS$4=12,INDEX('CF Summary'!$B$32:$G$32,AS$3+1)*INDEX(Inputs!$B$79:$O$79,2),0))</f>
        <v>-0</v>
      </c>
      <c r="AT19" s="11" t="n">
        <f aca="false">-(INDEX('CF Summary'!$B$32:$G$32,AT$3)*INDEX(Inputs!$B$79:$O$79,AT$4+2)+IF(AT$4=11,INDEX('CF Summary'!$B$32:$G$32,AT$3+1)*INDEX(Inputs!$B$79:$O$79,1),0)+IF(AT$4=12,INDEX('CF Summary'!$B$32:$G$32,AT$3+1)*INDEX(Inputs!$B$79:$O$79,2),0))</f>
        <v>-0</v>
      </c>
      <c r="AU19" s="11" t="n">
        <f aca="false">-(INDEX('CF Summary'!$B$32:$G$32,AU$3)*INDEX(Inputs!$B$79:$O$79,AU$4+2)+IF(AU$4=11,INDEX('CF Summary'!$B$32:$G$32,AU$3+1)*INDEX(Inputs!$B$79:$O$79,1),0)+IF(AU$4=12,INDEX('CF Summary'!$B$32:$G$32,AU$3+1)*INDEX(Inputs!$B$79:$O$79,2),0))</f>
        <v>-0</v>
      </c>
      <c r="AV19" s="11" t="n">
        <f aca="false">-(INDEX('CF Summary'!$B$32:$G$32,AV$3)*INDEX(Inputs!$B$79:$O$79,AV$4+2)+IF(AV$4=11,INDEX('CF Summary'!$B$32:$G$32,AV$3+1)*INDEX(Inputs!$B$79:$O$79,1),0)+IF(AV$4=12,INDEX('CF Summary'!$B$32:$G$32,AV$3+1)*INDEX(Inputs!$B$79:$O$79,2),0))</f>
        <v>-0</v>
      </c>
      <c r="AW19" s="11" t="n">
        <f aca="false">-(INDEX('CF Summary'!$B$32:$G$32,AW$3)*INDEX(Inputs!$B$79:$O$79,AW$4+2)+IF(AW$4=11,INDEX('CF Summary'!$B$32:$G$32,AW$3+1)*INDEX(Inputs!$B$79:$O$79,1),0)+IF(AW$4=12,INDEX('CF Summary'!$B$32:$G$32,AW$3+1)*INDEX(Inputs!$B$79:$O$79,2),0))</f>
        <v>-0</v>
      </c>
      <c r="AX19" s="11" t="n">
        <f aca="false">-(INDEX('CF Summary'!$B$32:$G$32,AX$3)*INDEX(Inputs!$B$79:$O$79,AX$4+2)+IF(AX$4=11,INDEX('CF Summary'!$B$32:$G$32,AX$3+1)*INDEX(Inputs!$B$79:$O$79,1),0)+IF(AX$4=12,INDEX('CF Summary'!$B$32:$G$32,AX$3+1)*INDEX(Inputs!$B$79:$O$79,2),0))</f>
        <v>-0</v>
      </c>
      <c r="AY19" s="11" t="n">
        <f aca="false">-(INDEX('CF Summary'!$B$32:$G$32,AY$3)*INDEX(Inputs!$B$79:$O$79,AY$4+2)+IF(AY$4=11,INDEX('CF Summary'!$B$32:$G$32,AY$3+1)*INDEX(Inputs!$B$79:$O$79,1),0)+IF(AY$4=12,INDEX('CF Summary'!$B$32:$G$32,AY$3+1)*INDEX(Inputs!$B$79:$O$79,2),0))</f>
        <v>-0</v>
      </c>
      <c r="AZ19" s="11" t="n">
        <f aca="false">-(INDEX('CF Summary'!$B$32:$G$32,AZ$3)*INDEX(Inputs!$B$79:$O$79,AZ$4+2)+IF(AZ$4=11,INDEX('CF Summary'!$B$32:$G$32,AZ$3+1)*INDEX(Inputs!$B$79:$O$79,1),0)+IF(AZ$4=12,INDEX('CF Summary'!$B$32:$G$32,AZ$3+1)*INDEX(Inputs!$B$79:$O$79,2),0))</f>
        <v>-0</v>
      </c>
      <c r="BA19" s="11" t="n">
        <f aca="false">-(INDEX('CF Summary'!$B$32:$G$32,BA$3)*INDEX(Inputs!$B$79:$O$79,BA$4+2)+IF(BA$4=11,INDEX('CF Summary'!$B$32:$G$32,BA$3+1)*INDEX(Inputs!$B$79:$O$79,1),0)+IF(BA$4=12,INDEX('CF Summary'!$B$32:$G$32,BA$3+1)*INDEX(Inputs!$B$79:$O$79,2),0))</f>
        <v>-0</v>
      </c>
      <c r="BB19" s="11" t="n">
        <f aca="false">-(INDEX('CF Summary'!$B$32:$G$32,BB$3)*INDEX(Inputs!$B$79:$O$79,BB$4+2)+IF(BB$4=11,INDEX('CF Summary'!$B$32:$G$32,BB$3+1)*INDEX(Inputs!$B$79:$O$79,1),0)+IF(BB$4=12,INDEX('CF Summary'!$B$32:$G$32,BB$3+1)*INDEX(Inputs!$B$79:$O$79,2),0))</f>
        <v>-0</v>
      </c>
      <c r="BC19" s="11" t="n">
        <f aca="false">-(INDEX('CF Summary'!$B$32:$G$32,BC$3)*INDEX(Inputs!$B$79:$O$79,BC$4+2)+IF(BC$4=11,INDEX('CF Summary'!$B$32:$G$32,BC$3+1)*INDEX(Inputs!$B$79:$O$79,1),0)+IF(BC$4=12,INDEX('CF Summary'!$B$32:$G$32,BC$3+1)*INDEX(Inputs!$B$79:$O$79,2),0))</f>
        <v>-0</v>
      </c>
      <c r="BD19" s="11" t="n">
        <f aca="false">-(INDEX('CF Summary'!$B$32:$G$32,BD$3)*INDEX(Inputs!$B$79:$O$79,BD$4+2)+IF(BD$4=11,INDEX('CF Summary'!$B$32:$G$32,BD$3+1)*INDEX(Inputs!$B$79:$O$79,1),0)+IF(BD$4=12,INDEX('CF Summary'!$B$32:$G$32,BD$3+1)*INDEX(Inputs!$B$79:$O$79,2),0))</f>
        <v>-0</v>
      </c>
      <c r="BE19" s="11" t="n">
        <f aca="false">-(INDEX('CF Summary'!$B$32:$G$32,BE$3)*INDEX(Inputs!$B$79:$O$79,BE$4+2)+IF(BE$4=11,INDEX('CF Summary'!$B$32:$G$32,BE$3+1)*INDEX(Inputs!$B$79:$O$79,1),0)+IF(BE$4=12,INDEX('CF Summary'!$B$32:$G$32,BE$3+1)*INDEX(Inputs!$B$79:$O$79,2),0))</f>
        <v>-0</v>
      </c>
      <c r="BF19" s="11" t="n">
        <f aca="false">-(INDEX('CF Summary'!$B$32:$G$32,BF$3)*INDEX(Inputs!$B$79:$O$79,BF$4+2)+IF(BF$4=11,INDEX('CF Summary'!$B$32:$G$32,BF$3+1)*INDEX(Inputs!$B$79:$O$79,1),0)+IF(BF$4=12,INDEX('CF Summary'!$B$32:$G$32,BF$3+1)*INDEX(Inputs!$B$79:$O$79,2),0))</f>
        <v>-0</v>
      </c>
      <c r="BG19" s="11" t="n">
        <f aca="false">-(INDEX('CF Summary'!$B$32:$G$32,BG$3)*INDEX(Inputs!$B$79:$O$79,BG$4+2)+IF(BG$4=11,INDEX('CF Summary'!$B$32:$G$32,BG$3+1)*INDEX(Inputs!$B$79:$O$79,1),0)+IF(BG$4=12,INDEX('CF Summary'!$B$32:$G$32,BG$3+1)*INDEX(Inputs!$B$79:$O$79,2),0))</f>
        <v>-0</v>
      </c>
      <c r="BH19" s="11" t="n">
        <f aca="false">-(INDEX('CF Summary'!$B$32:$G$32,BH$3)*INDEX(Inputs!$B$79:$O$79,BH$4+2)+IF(BH$4=11,INDEX('CF Summary'!$B$32:$G$32,BH$3+1)*INDEX(Inputs!$B$79:$O$79,1),0)+IF(BH$4=12,INDEX('CF Summary'!$B$32:$G$32,BH$3+1)*INDEX(Inputs!$B$79:$O$79,2),0))</f>
        <v>-0</v>
      </c>
      <c r="BI19" s="11" t="n">
        <f aca="false">-(INDEX('CF Summary'!$B$32:$G$32,BI$3)*INDEX(Inputs!$B$79:$O$79,BI$4+2)+IF(BI$4=11,INDEX('CF Summary'!$B$32:$G$32,BI$3+1)*INDEX(Inputs!$B$79:$O$79,1),0)+IF(BI$4=12,INDEX('CF Summary'!$B$32:$G$32,BI$3+1)*INDEX(Inputs!$B$79:$O$79,2),0))</f>
        <v>-0</v>
      </c>
    </row>
    <row r="20" customFormat="false" ht="15" hidden="false" customHeight="false" outlineLevel="0" collapsed="false">
      <c r="A20" s="6" t="s">
        <v>578</v>
      </c>
      <c r="B20" s="11" t="n">
        <f aca="false">-(INDEX('CF Summary'!$B$33:$G$33,B$3)*INDEX(Inputs!$B$80:$O$80,B$4+2)+IF(B$4=11,INDEX('CF Summary'!$B$33:$G$33,B$3+1)*INDEX(Inputs!$B$80:$O$80,1),0)+IF(B$4=12,INDEX('CF Summary'!$B$33:$G$33,B$3+1)*INDEX(Inputs!$B$80:$O$80,2),0))</f>
        <v>-0</v>
      </c>
      <c r="C20" s="11" t="n">
        <f aca="false">-(INDEX('CF Summary'!$B$33:$G$33,C$3)*INDEX(Inputs!$B$80:$O$80,C$4+2)+IF(C$4=11,INDEX('CF Summary'!$B$33:$G$33,C$3+1)*INDEX(Inputs!$B$80:$O$80,1),0)+IF(C$4=12,INDEX('CF Summary'!$B$33:$G$33,C$3+1)*INDEX(Inputs!$B$80:$O$80,2),0))</f>
        <v>-0</v>
      </c>
      <c r="D20" s="11" t="n">
        <f aca="false">-(INDEX('CF Summary'!$B$33:$G$33,D$3)*INDEX(Inputs!$B$80:$O$80,D$4+2)+IF(D$4=11,INDEX('CF Summary'!$B$33:$G$33,D$3+1)*INDEX(Inputs!$B$80:$O$80,1),0)+IF(D$4=12,INDEX('CF Summary'!$B$33:$G$33,D$3+1)*INDEX(Inputs!$B$80:$O$80,2),0))</f>
        <v>-0</v>
      </c>
      <c r="E20" s="11" t="n">
        <f aca="false">-(INDEX('CF Summary'!$B$33:$G$33,E$3)*INDEX(Inputs!$B$80:$O$80,E$4+2)+IF(E$4=11,INDEX('CF Summary'!$B$33:$G$33,E$3+1)*INDEX(Inputs!$B$80:$O$80,1),0)+IF(E$4=12,INDEX('CF Summary'!$B$33:$G$33,E$3+1)*INDEX(Inputs!$B$80:$O$80,2),0))</f>
        <v>-0</v>
      </c>
      <c r="F20" s="11" t="n">
        <f aca="false">-(INDEX('CF Summary'!$B$33:$G$33,F$3)*INDEX(Inputs!$B$80:$O$80,F$4+2)+IF(F$4=11,INDEX('CF Summary'!$B$33:$G$33,F$3+1)*INDEX(Inputs!$B$80:$O$80,1),0)+IF(F$4=12,INDEX('CF Summary'!$B$33:$G$33,F$3+1)*INDEX(Inputs!$B$80:$O$80,2),0))</f>
        <v>-0</v>
      </c>
      <c r="G20" s="11" t="n">
        <f aca="false">-(INDEX('CF Summary'!$B$33:$G$33,G$3)*INDEX(Inputs!$B$80:$O$80,G$4+2)+IF(G$4=11,INDEX('CF Summary'!$B$33:$G$33,G$3+1)*INDEX(Inputs!$B$80:$O$80,1),0)+IF(G$4=12,INDEX('CF Summary'!$B$33:$G$33,G$3+1)*INDEX(Inputs!$B$80:$O$80,2),0))</f>
        <v>-0</v>
      </c>
      <c r="H20" s="11" t="n">
        <f aca="false">-(INDEX('CF Summary'!$B$33:$G$33,H$3)*INDEX(Inputs!$B$80:$O$80,H$4+2)+IF(H$4=11,INDEX('CF Summary'!$B$33:$G$33,H$3+1)*INDEX(Inputs!$B$80:$O$80,1),0)+IF(H$4=12,INDEX('CF Summary'!$B$33:$G$33,H$3+1)*INDEX(Inputs!$B$80:$O$80,2),0))</f>
        <v>-0</v>
      </c>
      <c r="I20" s="11" t="n">
        <f aca="false">-(INDEX('CF Summary'!$B$33:$G$33,I$3)*INDEX(Inputs!$B$80:$O$80,I$4+2)+IF(I$4=11,INDEX('CF Summary'!$B$33:$G$33,I$3+1)*INDEX(Inputs!$B$80:$O$80,1),0)+IF(I$4=12,INDEX('CF Summary'!$B$33:$G$33,I$3+1)*INDEX(Inputs!$B$80:$O$80,2),0))</f>
        <v>-0</v>
      </c>
      <c r="J20" s="11" t="n">
        <f aca="false">-(INDEX('CF Summary'!$B$33:$G$33,J$3)*INDEX(Inputs!$B$80:$O$80,J$4+2)+IF(J$4=11,INDEX('CF Summary'!$B$33:$G$33,J$3+1)*INDEX(Inputs!$B$80:$O$80,1),0)+IF(J$4=12,INDEX('CF Summary'!$B$33:$G$33,J$3+1)*INDEX(Inputs!$B$80:$O$80,2),0))</f>
        <v>-0</v>
      </c>
      <c r="K20" s="11" t="n">
        <f aca="false">-(INDEX('CF Summary'!$B$33:$G$33,K$3)*INDEX(Inputs!$B$80:$O$80,K$4+2)+IF(K$4=11,INDEX('CF Summary'!$B$33:$G$33,K$3+1)*INDEX(Inputs!$B$80:$O$80,1),0)+IF(K$4=12,INDEX('CF Summary'!$B$33:$G$33,K$3+1)*INDEX(Inputs!$B$80:$O$80,2),0))</f>
        <v>-0</v>
      </c>
      <c r="L20" s="11" t="n">
        <f aca="false">-(INDEX('CF Summary'!$B$33:$G$33,L$3)*INDEX(Inputs!$B$80:$O$80,L$4+2)+IF(L$4=11,INDEX('CF Summary'!$B$33:$G$33,L$3+1)*INDEX(Inputs!$B$80:$O$80,1),0)+IF(L$4=12,INDEX('CF Summary'!$B$33:$G$33,L$3+1)*INDEX(Inputs!$B$80:$O$80,2),0))</f>
        <v>-0</v>
      </c>
      <c r="M20" s="11" t="n">
        <f aca="false">-(INDEX('CF Summary'!$B$33:$G$33,M$3)*INDEX(Inputs!$B$80:$O$80,M$4+2)+IF(M$4=11,INDEX('CF Summary'!$B$33:$G$33,M$3+1)*INDEX(Inputs!$B$80:$O$80,1),0)+IF(M$4=12,INDEX('CF Summary'!$B$33:$G$33,M$3+1)*INDEX(Inputs!$B$80:$O$80,2),0))</f>
        <v>-0</v>
      </c>
      <c r="N20" s="11" t="n">
        <f aca="false">-(INDEX('CF Summary'!$B$33:$G$33,N$3)*INDEX(Inputs!$B$80:$O$80,N$4+2)+IF(N$4=11,INDEX('CF Summary'!$B$33:$G$33,N$3+1)*INDEX(Inputs!$B$80:$O$80,1),0)+IF(N$4=12,INDEX('CF Summary'!$B$33:$G$33,N$3+1)*INDEX(Inputs!$B$80:$O$80,2),0))</f>
        <v>-0</v>
      </c>
      <c r="O20" s="11" t="n">
        <f aca="false">-(INDEX('CF Summary'!$B$33:$G$33,O$3)*INDEX(Inputs!$B$80:$O$80,O$4+2)+IF(O$4=11,INDEX('CF Summary'!$B$33:$G$33,O$3+1)*INDEX(Inputs!$B$80:$O$80,1),0)+IF(O$4=12,INDEX('CF Summary'!$B$33:$G$33,O$3+1)*INDEX(Inputs!$B$80:$O$80,2),0))</f>
        <v>-0</v>
      </c>
      <c r="P20" s="11" t="n">
        <f aca="false">-(INDEX('CF Summary'!$B$33:$G$33,P$3)*INDEX(Inputs!$B$80:$O$80,P$4+2)+IF(P$4=11,INDEX('CF Summary'!$B$33:$G$33,P$3+1)*INDEX(Inputs!$B$80:$O$80,1),0)+IF(P$4=12,INDEX('CF Summary'!$B$33:$G$33,P$3+1)*INDEX(Inputs!$B$80:$O$80,2),0))</f>
        <v>-0</v>
      </c>
      <c r="Q20" s="11" t="n">
        <f aca="false">-(INDEX('CF Summary'!$B$33:$G$33,Q$3)*INDEX(Inputs!$B$80:$O$80,Q$4+2)+IF(Q$4=11,INDEX('CF Summary'!$B$33:$G$33,Q$3+1)*INDEX(Inputs!$B$80:$O$80,1),0)+IF(Q$4=12,INDEX('CF Summary'!$B$33:$G$33,Q$3+1)*INDEX(Inputs!$B$80:$O$80,2),0))</f>
        <v>-0</v>
      </c>
      <c r="R20" s="11" t="n">
        <f aca="false">-(INDEX('CF Summary'!$B$33:$G$33,R$3)*INDEX(Inputs!$B$80:$O$80,R$4+2)+IF(R$4=11,INDEX('CF Summary'!$B$33:$G$33,R$3+1)*INDEX(Inputs!$B$80:$O$80,1),0)+IF(R$4=12,INDEX('CF Summary'!$B$33:$G$33,R$3+1)*INDEX(Inputs!$B$80:$O$80,2),0))</f>
        <v>-0</v>
      </c>
      <c r="S20" s="11" t="n">
        <f aca="false">-(INDEX('CF Summary'!$B$33:$G$33,S$3)*INDEX(Inputs!$B$80:$O$80,S$4+2)+IF(S$4=11,INDEX('CF Summary'!$B$33:$G$33,S$3+1)*INDEX(Inputs!$B$80:$O$80,1),0)+IF(S$4=12,INDEX('CF Summary'!$B$33:$G$33,S$3+1)*INDEX(Inputs!$B$80:$O$80,2),0))</f>
        <v>-0</v>
      </c>
      <c r="T20" s="11" t="n">
        <f aca="false">-(INDEX('CF Summary'!$B$33:$G$33,T$3)*INDEX(Inputs!$B$80:$O$80,T$4+2)+IF(T$4=11,INDEX('CF Summary'!$B$33:$G$33,T$3+1)*INDEX(Inputs!$B$80:$O$80,1),0)+IF(T$4=12,INDEX('CF Summary'!$B$33:$G$33,T$3+1)*INDEX(Inputs!$B$80:$O$80,2),0))</f>
        <v>-0</v>
      </c>
      <c r="U20" s="11" t="n">
        <f aca="false">-(INDEX('CF Summary'!$B$33:$G$33,U$3)*INDEX(Inputs!$B$80:$O$80,U$4+2)+IF(U$4=11,INDEX('CF Summary'!$B$33:$G$33,U$3+1)*INDEX(Inputs!$B$80:$O$80,1),0)+IF(U$4=12,INDEX('CF Summary'!$B$33:$G$33,U$3+1)*INDEX(Inputs!$B$80:$O$80,2),0))</f>
        <v>-0</v>
      </c>
      <c r="V20" s="11" t="n">
        <f aca="false">-(INDEX('CF Summary'!$B$33:$G$33,V$3)*INDEX(Inputs!$B$80:$O$80,V$4+2)+IF(V$4=11,INDEX('CF Summary'!$B$33:$G$33,V$3+1)*INDEX(Inputs!$B$80:$O$80,1),0)+IF(V$4=12,INDEX('CF Summary'!$B$33:$G$33,V$3+1)*INDEX(Inputs!$B$80:$O$80,2),0))</f>
        <v>-0</v>
      </c>
      <c r="W20" s="11" t="n">
        <f aca="false">-(INDEX('CF Summary'!$B$33:$G$33,W$3)*INDEX(Inputs!$B$80:$O$80,W$4+2)+IF(W$4=11,INDEX('CF Summary'!$B$33:$G$33,W$3+1)*INDEX(Inputs!$B$80:$O$80,1),0)+IF(W$4=12,INDEX('CF Summary'!$B$33:$G$33,W$3+1)*INDEX(Inputs!$B$80:$O$80,2),0))</f>
        <v>-0</v>
      </c>
      <c r="X20" s="11" t="n">
        <f aca="false">-(INDEX('CF Summary'!$B$33:$G$33,X$3)*INDEX(Inputs!$B$80:$O$80,X$4+2)+IF(X$4=11,INDEX('CF Summary'!$B$33:$G$33,X$3+1)*INDEX(Inputs!$B$80:$O$80,1),0)+IF(X$4=12,INDEX('CF Summary'!$B$33:$G$33,X$3+1)*INDEX(Inputs!$B$80:$O$80,2),0))</f>
        <v>-0</v>
      </c>
      <c r="Y20" s="11" t="n">
        <f aca="false">-(INDEX('CF Summary'!$B$33:$G$33,Y$3)*INDEX(Inputs!$B$80:$O$80,Y$4+2)+IF(Y$4=11,INDEX('CF Summary'!$B$33:$G$33,Y$3+1)*INDEX(Inputs!$B$80:$O$80,1),0)+IF(Y$4=12,INDEX('CF Summary'!$B$33:$G$33,Y$3+1)*INDEX(Inputs!$B$80:$O$80,2),0))</f>
        <v>-0</v>
      </c>
      <c r="Z20" s="11" t="n">
        <f aca="false">-(INDEX('CF Summary'!$B$33:$G$33,Z$3)*INDEX(Inputs!$B$80:$O$80,Z$4+2)+IF(Z$4=11,INDEX('CF Summary'!$B$33:$G$33,Z$3+1)*INDEX(Inputs!$B$80:$O$80,1),0)+IF(Z$4=12,INDEX('CF Summary'!$B$33:$G$33,Z$3+1)*INDEX(Inputs!$B$80:$O$80,2),0))</f>
        <v>-0</v>
      </c>
      <c r="AA20" s="11" t="n">
        <f aca="false">-(INDEX('CF Summary'!$B$33:$G$33,AA$3)*INDEX(Inputs!$B$80:$O$80,AA$4+2)+IF(AA$4=11,INDEX('CF Summary'!$B$33:$G$33,AA$3+1)*INDEX(Inputs!$B$80:$O$80,1),0)+IF(AA$4=12,INDEX('CF Summary'!$B$33:$G$33,AA$3+1)*INDEX(Inputs!$B$80:$O$80,2),0))</f>
        <v>-0</v>
      </c>
      <c r="AB20" s="11" t="n">
        <f aca="false">-(INDEX('CF Summary'!$B$33:$G$33,AB$3)*INDEX(Inputs!$B$80:$O$80,AB$4+2)+IF(AB$4=11,INDEX('CF Summary'!$B$33:$G$33,AB$3+1)*INDEX(Inputs!$B$80:$O$80,1),0)+IF(AB$4=12,INDEX('CF Summary'!$B$33:$G$33,AB$3+1)*INDEX(Inputs!$B$80:$O$80,2),0))</f>
        <v>-0</v>
      </c>
      <c r="AC20" s="11" t="n">
        <f aca="false">-(INDEX('CF Summary'!$B$33:$G$33,AC$3)*INDEX(Inputs!$B$80:$O$80,AC$4+2)+IF(AC$4=11,INDEX('CF Summary'!$B$33:$G$33,AC$3+1)*INDEX(Inputs!$B$80:$O$80,1),0)+IF(AC$4=12,INDEX('CF Summary'!$B$33:$G$33,AC$3+1)*INDEX(Inputs!$B$80:$O$80,2),0))</f>
        <v>-0</v>
      </c>
      <c r="AD20" s="11" t="n">
        <f aca="false">-(INDEX('CF Summary'!$B$33:$G$33,AD$3)*INDEX(Inputs!$B$80:$O$80,AD$4+2)+IF(AD$4=11,INDEX('CF Summary'!$B$33:$G$33,AD$3+1)*INDEX(Inputs!$B$80:$O$80,1),0)+IF(AD$4=12,INDEX('CF Summary'!$B$33:$G$33,AD$3+1)*INDEX(Inputs!$B$80:$O$80,2),0))</f>
        <v>-0</v>
      </c>
      <c r="AE20" s="11" t="n">
        <f aca="false">-(INDEX('CF Summary'!$B$33:$G$33,AE$3)*INDEX(Inputs!$B$80:$O$80,AE$4+2)+IF(AE$4=11,INDEX('CF Summary'!$B$33:$G$33,AE$3+1)*INDEX(Inputs!$B$80:$O$80,1),0)+IF(AE$4=12,INDEX('CF Summary'!$B$33:$G$33,AE$3+1)*INDEX(Inputs!$B$80:$O$80,2),0))</f>
        <v>-0</v>
      </c>
      <c r="AF20" s="11" t="n">
        <f aca="false">-(INDEX('CF Summary'!$B$33:$G$33,AF$3)*INDEX(Inputs!$B$80:$O$80,AF$4+2)+IF(AF$4=11,INDEX('CF Summary'!$B$33:$G$33,AF$3+1)*INDEX(Inputs!$B$80:$O$80,1),0)+IF(AF$4=12,INDEX('CF Summary'!$B$33:$G$33,AF$3+1)*INDEX(Inputs!$B$80:$O$80,2),0))</f>
        <v>-0</v>
      </c>
      <c r="AG20" s="11" t="n">
        <f aca="false">-(INDEX('CF Summary'!$B$33:$G$33,AG$3)*INDEX(Inputs!$B$80:$O$80,AG$4+2)+IF(AG$4=11,INDEX('CF Summary'!$B$33:$G$33,AG$3+1)*INDEX(Inputs!$B$80:$O$80,1),0)+IF(AG$4=12,INDEX('CF Summary'!$B$33:$G$33,AG$3+1)*INDEX(Inputs!$B$80:$O$80,2),0))</f>
        <v>-0</v>
      </c>
      <c r="AH20" s="11" t="n">
        <f aca="false">-(INDEX('CF Summary'!$B$33:$G$33,AH$3)*INDEX(Inputs!$B$80:$O$80,AH$4+2)+IF(AH$4=11,INDEX('CF Summary'!$B$33:$G$33,AH$3+1)*INDEX(Inputs!$B$80:$O$80,1),0)+IF(AH$4=12,INDEX('CF Summary'!$B$33:$G$33,AH$3+1)*INDEX(Inputs!$B$80:$O$80,2),0))</f>
        <v>-0</v>
      </c>
      <c r="AI20" s="11" t="n">
        <f aca="false">-(INDEX('CF Summary'!$B$33:$G$33,AI$3)*INDEX(Inputs!$B$80:$O$80,AI$4+2)+IF(AI$4=11,INDEX('CF Summary'!$B$33:$G$33,AI$3+1)*INDEX(Inputs!$B$80:$O$80,1),0)+IF(AI$4=12,INDEX('CF Summary'!$B$33:$G$33,AI$3+1)*INDEX(Inputs!$B$80:$O$80,2),0))</f>
        <v>-0</v>
      </c>
      <c r="AJ20" s="11" t="n">
        <f aca="false">-(INDEX('CF Summary'!$B$33:$G$33,AJ$3)*INDEX(Inputs!$B$80:$O$80,AJ$4+2)+IF(AJ$4=11,INDEX('CF Summary'!$B$33:$G$33,AJ$3+1)*INDEX(Inputs!$B$80:$O$80,1),0)+IF(AJ$4=12,INDEX('CF Summary'!$B$33:$G$33,AJ$3+1)*INDEX(Inputs!$B$80:$O$80,2),0))</f>
        <v>-0</v>
      </c>
      <c r="AK20" s="11" t="n">
        <f aca="false">-(INDEX('CF Summary'!$B$33:$G$33,AK$3)*INDEX(Inputs!$B$80:$O$80,AK$4+2)+IF(AK$4=11,INDEX('CF Summary'!$B$33:$G$33,AK$3+1)*INDEX(Inputs!$B$80:$O$80,1),0)+IF(AK$4=12,INDEX('CF Summary'!$B$33:$G$33,AK$3+1)*INDEX(Inputs!$B$80:$O$80,2),0))</f>
        <v>-0</v>
      </c>
      <c r="AL20" s="11" t="n">
        <f aca="false">-(INDEX('CF Summary'!$B$33:$G$33,AL$3)*INDEX(Inputs!$B$80:$O$80,AL$4+2)+IF(AL$4=11,INDEX('CF Summary'!$B$33:$G$33,AL$3+1)*INDEX(Inputs!$B$80:$O$80,1),0)+IF(AL$4=12,INDEX('CF Summary'!$B$33:$G$33,AL$3+1)*INDEX(Inputs!$B$80:$O$80,2),0))</f>
        <v>-0</v>
      </c>
      <c r="AM20" s="11" t="n">
        <f aca="false">-(INDEX('CF Summary'!$B$33:$G$33,AM$3)*INDEX(Inputs!$B$80:$O$80,AM$4+2)+IF(AM$4=11,INDEX('CF Summary'!$B$33:$G$33,AM$3+1)*INDEX(Inputs!$B$80:$O$80,1),0)+IF(AM$4=12,INDEX('CF Summary'!$B$33:$G$33,AM$3+1)*INDEX(Inputs!$B$80:$O$80,2),0))</f>
        <v>-0</v>
      </c>
      <c r="AN20" s="11" t="n">
        <f aca="false">-(INDEX('CF Summary'!$B$33:$G$33,AN$3)*INDEX(Inputs!$B$80:$O$80,AN$4+2)+IF(AN$4=11,INDEX('CF Summary'!$B$33:$G$33,AN$3+1)*INDEX(Inputs!$B$80:$O$80,1),0)+IF(AN$4=12,INDEX('CF Summary'!$B$33:$G$33,AN$3+1)*INDEX(Inputs!$B$80:$O$80,2),0))</f>
        <v>-0</v>
      </c>
      <c r="AO20" s="11" t="n">
        <f aca="false">-(INDEX('CF Summary'!$B$33:$G$33,AO$3)*INDEX(Inputs!$B$80:$O$80,AO$4+2)+IF(AO$4=11,INDEX('CF Summary'!$B$33:$G$33,AO$3+1)*INDEX(Inputs!$B$80:$O$80,1),0)+IF(AO$4=12,INDEX('CF Summary'!$B$33:$G$33,AO$3+1)*INDEX(Inputs!$B$80:$O$80,2),0))</f>
        <v>-0</v>
      </c>
      <c r="AP20" s="11" t="n">
        <f aca="false">-(INDEX('CF Summary'!$B$33:$G$33,AP$3)*INDEX(Inputs!$B$80:$O$80,AP$4+2)+IF(AP$4=11,INDEX('CF Summary'!$B$33:$G$33,AP$3+1)*INDEX(Inputs!$B$80:$O$80,1),0)+IF(AP$4=12,INDEX('CF Summary'!$B$33:$G$33,AP$3+1)*INDEX(Inputs!$B$80:$O$80,2),0))</f>
        <v>-0</v>
      </c>
      <c r="AQ20" s="11" t="n">
        <f aca="false">-(INDEX('CF Summary'!$B$33:$G$33,AQ$3)*INDEX(Inputs!$B$80:$O$80,AQ$4+2)+IF(AQ$4=11,INDEX('CF Summary'!$B$33:$G$33,AQ$3+1)*INDEX(Inputs!$B$80:$O$80,1),0)+IF(AQ$4=12,INDEX('CF Summary'!$B$33:$G$33,AQ$3+1)*INDEX(Inputs!$B$80:$O$80,2),0))</f>
        <v>-0</v>
      </c>
      <c r="AR20" s="11" t="n">
        <f aca="false">-(INDEX('CF Summary'!$B$33:$G$33,AR$3)*INDEX(Inputs!$B$80:$O$80,AR$4+2)+IF(AR$4=11,INDEX('CF Summary'!$B$33:$G$33,AR$3+1)*INDEX(Inputs!$B$80:$O$80,1),0)+IF(AR$4=12,INDEX('CF Summary'!$B$33:$G$33,AR$3+1)*INDEX(Inputs!$B$80:$O$80,2),0))</f>
        <v>-0</v>
      </c>
      <c r="AS20" s="11" t="n">
        <f aca="false">-(INDEX('CF Summary'!$B$33:$G$33,AS$3)*INDEX(Inputs!$B$80:$O$80,AS$4+2)+IF(AS$4=11,INDEX('CF Summary'!$B$33:$G$33,AS$3+1)*INDEX(Inputs!$B$80:$O$80,1),0)+IF(AS$4=12,INDEX('CF Summary'!$B$33:$G$33,AS$3+1)*INDEX(Inputs!$B$80:$O$80,2),0))</f>
        <v>-0</v>
      </c>
      <c r="AT20" s="11" t="n">
        <f aca="false">-(INDEX('CF Summary'!$B$33:$G$33,AT$3)*INDEX(Inputs!$B$80:$O$80,AT$4+2)+IF(AT$4=11,INDEX('CF Summary'!$B$33:$G$33,AT$3+1)*INDEX(Inputs!$B$80:$O$80,1),0)+IF(AT$4=12,INDEX('CF Summary'!$B$33:$G$33,AT$3+1)*INDEX(Inputs!$B$80:$O$80,2),0))</f>
        <v>-0</v>
      </c>
      <c r="AU20" s="11" t="n">
        <f aca="false">-(INDEX('CF Summary'!$B$33:$G$33,AU$3)*INDEX(Inputs!$B$80:$O$80,AU$4+2)+IF(AU$4=11,INDEX('CF Summary'!$B$33:$G$33,AU$3+1)*INDEX(Inputs!$B$80:$O$80,1),0)+IF(AU$4=12,INDEX('CF Summary'!$B$33:$G$33,AU$3+1)*INDEX(Inputs!$B$80:$O$80,2),0))</f>
        <v>-0</v>
      </c>
      <c r="AV20" s="11" t="n">
        <f aca="false">-(INDEX('CF Summary'!$B$33:$G$33,AV$3)*INDEX(Inputs!$B$80:$O$80,AV$4+2)+IF(AV$4=11,INDEX('CF Summary'!$B$33:$G$33,AV$3+1)*INDEX(Inputs!$B$80:$O$80,1),0)+IF(AV$4=12,INDEX('CF Summary'!$B$33:$G$33,AV$3+1)*INDEX(Inputs!$B$80:$O$80,2),0))</f>
        <v>-0</v>
      </c>
      <c r="AW20" s="11" t="n">
        <f aca="false">-(INDEX('CF Summary'!$B$33:$G$33,AW$3)*INDEX(Inputs!$B$80:$O$80,AW$4+2)+IF(AW$4=11,INDEX('CF Summary'!$B$33:$G$33,AW$3+1)*INDEX(Inputs!$B$80:$O$80,1),0)+IF(AW$4=12,INDEX('CF Summary'!$B$33:$G$33,AW$3+1)*INDEX(Inputs!$B$80:$O$80,2),0))</f>
        <v>-0</v>
      </c>
      <c r="AX20" s="11" t="n">
        <f aca="false">-(INDEX('CF Summary'!$B$33:$G$33,AX$3)*INDEX(Inputs!$B$80:$O$80,AX$4+2)+IF(AX$4=11,INDEX('CF Summary'!$B$33:$G$33,AX$3+1)*INDEX(Inputs!$B$80:$O$80,1),0)+IF(AX$4=12,INDEX('CF Summary'!$B$33:$G$33,AX$3+1)*INDEX(Inputs!$B$80:$O$80,2),0))</f>
        <v>-0</v>
      </c>
      <c r="AY20" s="11" t="n">
        <f aca="false">-(INDEX('CF Summary'!$B$33:$G$33,AY$3)*INDEX(Inputs!$B$80:$O$80,AY$4+2)+IF(AY$4=11,INDEX('CF Summary'!$B$33:$G$33,AY$3+1)*INDEX(Inputs!$B$80:$O$80,1),0)+IF(AY$4=12,INDEX('CF Summary'!$B$33:$G$33,AY$3+1)*INDEX(Inputs!$B$80:$O$80,2),0))</f>
        <v>-0</v>
      </c>
      <c r="AZ20" s="11" t="n">
        <f aca="false">-(INDEX('CF Summary'!$B$33:$G$33,AZ$3)*INDEX(Inputs!$B$80:$O$80,AZ$4+2)+IF(AZ$4=11,INDEX('CF Summary'!$B$33:$G$33,AZ$3+1)*INDEX(Inputs!$B$80:$O$80,1),0)+IF(AZ$4=12,INDEX('CF Summary'!$B$33:$G$33,AZ$3+1)*INDEX(Inputs!$B$80:$O$80,2),0))</f>
        <v>-0</v>
      </c>
      <c r="BA20" s="11" t="n">
        <f aca="false">-(INDEX('CF Summary'!$B$33:$G$33,BA$3)*INDEX(Inputs!$B$80:$O$80,BA$4+2)+IF(BA$4=11,INDEX('CF Summary'!$B$33:$G$33,BA$3+1)*INDEX(Inputs!$B$80:$O$80,1),0)+IF(BA$4=12,INDEX('CF Summary'!$B$33:$G$33,BA$3+1)*INDEX(Inputs!$B$80:$O$80,2),0))</f>
        <v>-0</v>
      </c>
      <c r="BB20" s="11" t="n">
        <f aca="false">-(INDEX('CF Summary'!$B$33:$G$33,BB$3)*INDEX(Inputs!$B$80:$O$80,BB$4+2)+IF(BB$4=11,INDEX('CF Summary'!$B$33:$G$33,BB$3+1)*INDEX(Inputs!$B$80:$O$80,1),0)+IF(BB$4=12,INDEX('CF Summary'!$B$33:$G$33,BB$3+1)*INDEX(Inputs!$B$80:$O$80,2),0))</f>
        <v>-0</v>
      </c>
      <c r="BC20" s="11" t="n">
        <f aca="false">-(INDEX('CF Summary'!$B$33:$G$33,BC$3)*INDEX(Inputs!$B$80:$O$80,BC$4+2)+IF(BC$4=11,INDEX('CF Summary'!$B$33:$G$33,BC$3+1)*INDEX(Inputs!$B$80:$O$80,1),0)+IF(BC$4=12,INDEX('CF Summary'!$B$33:$G$33,BC$3+1)*INDEX(Inputs!$B$80:$O$80,2),0))</f>
        <v>-0</v>
      </c>
      <c r="BD20" s="11" t="n">
        <f aca="false">-(INDEX('CF Summary'!$B$33:$G$33,BD$3)*INDEX(Inputs!$B$80:$O$80,BD$4+2)+IF(BD$4=11,INDEX('CF Summary'!$B$33:$G$33,BD$3+1)*INDEX(Inputs!$B$80:$O$80,1),0)+IF(BD$4=12,INDEX('CF Summary'!$B$33:$G$33,BD$3+1)*INDEX(Inputs!$B$80:$O$80,2),0))</f>
        <v>-0</v>
      </c>
      <c r="BE20" s="11" t="n">
        <f aca="false">-(INDEX('CF Summary'!$B$33:$G$33,BE$3)*INDEX(Inputs!$B$80:$O$80,BE$4+2)+IF(BE$4=11,INDEX('CF Summary'!$B$33:$G$33,BE$3+1)*INDEX(Inputs!$B$80:$O$80,1),0)+IF(BE$4=12,INDEX('CF Summary'!$B$33:$G$33,BE$3+1)*INDEX(Inputs!$B$80:$O$80,2),0))</f>
        <v>-0</v>
      </c>
      <c r="BF20" s="11" t="n">
        <f aca="false">-(INDEX('CF Summary'!$B$33:$G$33,BF$3)*INDEX(Inputs!$B$80:$O$80,BF$4+2)+IF(BF$4=11,INDEX('CF Summary'!$B$33:$G$33,BF$3+1)*INDEX(Inputs!$B$80:$O$80,1),0)+IF(BF$4=12,INDEX('CF Summary'!$B$33:$G$33,BF$3+1)*INDEX(Inputs!$B$80:$O$80,2),0))</f>
        <v>-0</v>
      </c>
      <c r="BG20" s="11" t="n">
        <f aca="false">-(INDEX('CF Summary'!$B$33:$G$33,BG$3)*INDEX(Inputs!$B$80:$O$80,BG$4+2)+IF(BG$4=11,INDEX('CF Summary'!$B$33:$G$33,BG$3+1)*INDEX(Inputs!$B$80:$O$80,1),0)+IF(BG$4=12,INDEX('CF Summary'!$B$33:$G$33,BG$3+1)*INDEX(Inputs!$B$80:$O$80,2),0))</f>
        <v>-0</v>
      </c>
      <c r="BH20" s="11" t="n">
        <f aca="false">-(INDEX('CF Summary'!$B$33:$G$33,BH$3)*INDEX(Inputs!$B$80:$O$80,BH$4+2)+IF(BH$4=11,INDEX('CF Summary'!$B$33:$G$33,BH$3+1)*INDEX(Inputs!$B$80:$O$80,1),0)+IF(BH$4=12,INDEX('CF Summary'!$B$33:$G$33,BH$3+1)*INDEX(Inputs!$B$80:$O$80,2),0))</f>
        <v>-0</v>
      </c>
      <c r="BI20" s="11" t="n">
        <f aca="false">-(INDEX('CF Summary'!$B$33:$G$33,BI$3)*INDEX(Inputs!$B$80:$O$80,BI$4+2)+IF(BI$4=11,INDEX('CF Summary'!$B$33:$G$33,BI$3+1)*INDEX(Inputs!$B$80:$O$80,1),0)+IF(BI$4=12,INDEX('CF Summary'!$B$33:$G$33,BI$3+1)*INDEX(Inputs!$B$80:$O$80,2),0))</f>
        <v>-0</v>
      </c>
    </row>
    <row r="21" customFormat="false" ht="15" hidden="false" customHeight="false" outlineLevel="0" collapsed="false">
      <c r="A21" s="6" t="s">
        <v>581</v>
      </c>
      <c r="B21" s="11" t="n">
        <f aca="false">-INDEX(Inputs!$E$31:$I$31,B$3)/12</f>
        <v>-0</v>
      </c>
      <c r="C21" s="11" t="n">
        <f aca="false">-INDEX(Inputs!$E$31:$I$31,C$3)/12</f>
        <v>-0</v>
      </c>
      <c r="D21" s="11" t="n">
        <f aca="false">-INDEX(Inputs!$E$31:$I$31,D$3)/12</f>
        <v>-0</v>
      </c>
      <c r="E21" s="11" t="n">
        <f aca="false">-INDEX(Inputs!$E$31:$I$31,E$3)/12</f>
        <v>-0</v>
      </c>
      <c r="F21" s="11" t="n">
        <f aca="false">-INDEX(Inputs!$E$31:$I$31,F$3)/12</f>
        <v>-0</v>
      </c>
      <c r="G21" s="11" t="n">
        <f aca="false">-INDEX(Inputs!$E$31:$I$31,G$3)/12</f>
        <v>-0</v>
      </c>
      <c r="H21" s="11" t="n">
        <f aca="false">-INDEX(Inputs!$E$31:$I$31,H$3)/12</f>
        <v>-0</v>
      </c>
      <c r="I21" s="11" t="n">
        <f aca="false">-INDEX(Inputs!$E$31:$I$31,I$3)/12</f>
        <v>-0</v>
      </c>
      <c r="J21" s="11" t="n">
        <f aca="false">-INDEX(Inputs!$E$31:$I$31,J$3)/12</f>
        <v>-0</v>
      </c>
      <c r="K21" s="11" t="n">
        <f aca="false">-INDEX(Inputs!$E$31:$I$31,K$3)/12</f>
        <v>-0</v>
      </c>
      <c r="L21" s="11" t="n">
        <f aca="false">-INDEX(Inputs!$E$31:$I$31,L$3)/12</f>
        <v>-0</v>
      </c>
      <c r="M21" s="11" t="n">
        <f aca="false">-INDEX(Inputs!$E$31:$I$31,M$3)/12</f>
        <v>-0</v>
      </c>
      <c r="N21" s="11" t="n">
        <f aca="false">-INDEX(Inputs!$E$31:$I$31,N$3)/12</f>
        <v>-4166.66666666667</v>
      </c>
      <c r="O21" s="11" t="n">
        <f aca="false">-INDEX(Inputs!$E$31:$I$31,O$3)/12</f>
        <v>-4166.66666666667</v>
      </c>
      <c r="P21" s="11" t="n">
        <f aca="false">-INDEX(Inputs!$E$31:$I$31,P$3)/12</f>
        <v>-4166.66666666667</v>
      </c>
      <c r="Q21" s="11" t="n">
        <f aca="false">-INDEX(Inputs!$E$31:$I$31,Q$3)/12</f>
        <v>-4166.66666666667</v>
      </c>
      <c r="R21" s="11" t="n">
        <f aca="false">-INDEX(Inputs!$E$31:$I$31,R$3)/12</f>
        <v>-4166.66666666667</v>
      </c>
      <c r="S21" s="11" t="n">
        <f aca="false">-INDEX(Inputs!$E$31:$I$31,S$3)/12</f>
        <v>-4166.66666666667</v>
      </c>
      <c r="T21" s="11" t="n">
        <f aca="false">-INDEX(Inputs!$E$31:$I$31,T$3)/12</f>
        <v>-4166.66666666667</v>
      </c>
      <c r="U21" s="11" t="n">
        <f aca="false">-INDEX(Inputs!$E$31:$I$31,U$3)/12</f>
        <v>-4166.66666666667</v>
      </c>
      <c r="V21" s="11" t="n">
        <f aca="false">-INDEX(Inputs!$E$31:$I$31,V$3)/12</f>
        <v>-4166.66666666667</v>
      </c>
      <c r="W21" s="11" t="n">
        <f aca="false">-INDEX(Inputs!$E$31:$I$31,W$3)/12</f>
        <v>-4166.66666666667</v>
      </c>
      <c r="X21" s="11" t="n">
        <f aca="false">-INDEX(Inputs!$E$31:$I$31,X$3)/12</f>
        <v>-4166.66666666667</v>
      </c>
      <c r="Y21" s="11" t="n">
        <f aca="false">-INDEX(Inputs!$E$31:$I$31,Y$3)/12</f>
        <v>-4166.66666666667</v>
      </c>
      <c r="Z21" s="11" t="n">
        <f aca="false">-INDEX(Inputs!$E$31:$I$31,Z$3)/12</f>
        <v>-8333.33333333333</v>
      </c>
      <c r="AA21" s="11" t="n">
        <f aca="false">-INDEX(Inputs!$E$31:$I$31,AA$3)/12</f>
        <v>-8333.33333333333</v>
      </c>
      <c r="AB21" s="11" t="n">
        <f aca="false">-INDEX(Inputs!$E$31:$I$31,AB$3)/12</f>
        <v>-8333.33333333333</v>
      </c>
      <c r="AC21" s="11" t="n">
        <f aca="false">-INDEX(Inputs!$E$31:$I$31,AC$3)/12</f>
        <v>-8333.33333333333</v>
      </c>
      <c r="AD21" s="11" t="n">
        <f aca="false">-INDEX(Inputs!$E$31:$I$31,AD$3)/12</f>
        <v>-8333.33333333333</v>
      </c>
      <c r="AE21" s="11" t="n">
        <f aca="false">-INDEX(Inputs!$E$31:$I$31,AE$3)/12</f>
        <v>-8333.33333333333</v>
      </c>
      <c r="AF21" s="11" t="n">
        <f aca="false">-INDEX(Inputs!$E$31:$I$31,AF$3)/12</f>
        <v>-8333.33333333333</v>
      </c>
      <c r="AG21" s="11" t="n">
        <f aca="false">-INDEX(Inputs!$E$31:$I$31,AG$3)/12</f>
        <v>-8333.33333333333</v>
      </c>
      <c r="AH21" s="11" t="n">
        <f aca="false">-INDEX(Inputs!$E$31:$I$31,AH$3)/12</f>
        <v>-8333.33333333333</v>
      </c>
      <c r="AI21" s="11" t="n">
        <f aca="false">-INDEX(Inputs!$E$31:$I$31,AI$3)/12</f>
        <v>-8333.33333333333</v>
      </c>
      <c r="AJ21" s="11" t="n">
        <f aca="false">-INDEX(Inputs!$E$31:$I$31,AJ$3)/12</f>
        <v>-8333.33333333333</v>
      </c>
      <c r="AK21" s="11" t="n">
        <f aca="false">-INDEX(Inputs!$E$31:$I$31,AK$3)/12</f>
        <v>-8333.33333333333</v>
      </c>
      <c r="AL21" s="11" t="n">
        <f aca="false">-INDEX(Inputs!$E$31:$I$31,AL$3)/12</f>
        <v>-12500</v>
      </c>
      <c r="AM21" s="11" t="n">
        <f aca="false">-INDEX(Inputs!$E$31:$I$31,AM$3)/12</f>
        <v>-12500</v>
      </c>
      <c r="AN21" s="11" t="n">
        <f aca="false">-INDEX(Inputs!$E$31:$I$31,AN$3)/12</f>
        <v>-12500</v>
      </c>
      <c r="AO21" s="11" t="n">
        <f aca="false">-INDEX(Inputs!$E$31:$I$31,AO$3)/12</f>
        <v>-12500</v>
      </c>
      <c r="AP21" s="11" t="n">
        <f aca="false">-INDEX(Inputs!$E$31:$I$31,AP$3)/12</f>
        <v>-12500</v>
      </c>
      <c r="AQ21" s="11" t="n">
        <f aca="false">-INDEX(Inputs!$E$31:$I$31,AQ$3)/12</f>
        <v>-12500</v>
      </c>
      <c r="AR21" s="11" t="n">
        <f aca="false">-INDEX(Inputs!$E$31:$I$31,AR$3)/12</f>
        <v>-12500</v>
      </c>
      <c r="AS21" s="11" t="n">
        <f aca="false">-INDEX(Inputs!$E$31:$I$31,AS$3)/12</f>
        <v>-12500</v>
      </c>
      <c r="AT21" s="11" t="n">
        <f aca="false">-INDEX(Inputs!$E$31:$I$31,AT$3)/12</f>
        <v>-12500</v>
      </c>
      <c r="AU21" s="11" t="n">
        <f aca="false">-INDEX(Inputs!$E$31:$I$31,AU$3)/12</f>
        <v>-12500</v>
      </c>
      <c r="AV21" s="11" t="n">
        <f aca="false">-INDEX(Inputs!$E$31:$I$31,AV$3)/12</f>
        <v>-12500</v>
      </c>
      <c r="AW21" s="11" t="n">
        <f aca="false">-INDEX(Inputs!$E$31:$I$31,AW$3)/12</f>
        <v>-12500</v>
      </c>
      <c r="AX21" s="11" t="n">
        <f aca="false">-INDEX(Inputs!$E$31:$I$31,AX$3)/12</f>
        <v>-16666.6666666667</v>
      </c>
      <c r="AY21" s="11" t="n">
        <f aca="false">-INDEX(Inputs!$E$31:$I$31,AY$3)/12</f>
        <v>-16666.6666666667</v>
      </c>
      <c r="AZ21" s="11" t="n">
        <f aca="false">-INDEX(Inputs!$E$31:$I$31,AZ$3)/12</f>
        <v>-16666.6666666667</v>
      </c>
      <c r="BA21" s="11" t="n">
        <f aca="false">-INDEX(Inputs!$E$31:$I$31,BA$3)/12</f>
        <v>-16666.6666666667</v>
      </c>
      <c r="BB21" s="11" t="n">
        <f aca="false">-INDEX(Inputs!$E$31:$I$31,BB$3)/12</f>
        <v>-16666.6666666667</v>
      </c>
      <c r="BC21" s="11" t="n">
        <f aca="false">-INDEX(Inputs!$E$31:$I$31,BC$3)/12</f>
        <v>-16666.6666666667</v>
      </c>
      <c r="BD21" s="11" t="n">
        <f aca="false">-INDEX(Inputs!$E$31:$I$31,BD$3)/12</f>
        <v>-16666.6666666667</v>
      </c>
      <c r="BE21" s="11" t="n">
        <f aca="false">-INDEX(Inputs!$E$31:$I$31,BE$3)/12</f>
        <v>-16666.6666666667</v>
      </c>
      <c r="BF21" s="11" t="n">
        <f aca="false">-INDEX(Inputs!$E$31:$I$31,BF$3)/12</f>
        <v>-16666.6666666667</v>
      </c>
      <c r="BG21" s="11" t="n">
        <f aca="false">-INDEX(Inputs!$E$31:$I$31,BG$3)/12</f>
        <v>-16666.6666666667</v>
      </c>
      <c r="BH21" s="11" t="n">
        <f aca="false">-INDEX(Inputs!$E$31:$I$31,BH$3)/12</f>
        <v>-16666.6666666667</v>
      </c>
      <c r="BI21" s="11" t="n">
        <f aca="false">-INDEX(Inputs!$E$31:$I$31,BI$3)/12</f>
        <v>-16666.6666666667</v>
      </c>
    </row>
    <row r="22" customFormat="false" ht="15" hidden="false" customHeight="false" outlineLevel="0" collapsed="false">
      <c r="A22" s="12" t="s">
        <v>582</v>
      </c>
      <c r="B22" s="13" t="n">
        <f aca="false">SUM(B16:B21)</f>
        <v>-775228.333333333</v>
      </c>
      <c r="C22" s="13" t="n">
        <f aca="false">SUM(C16:C21)</f>
        <v>-775228.333333333</v>
      </c>
      <c r="D22" s="13" t="n">
        <f aca="false">SUM(D16:D21)</f>
        <v>-775228.333333333</v>
      </c>
      <c r="E22" s="13" t="n">
        <f aca="false">SUM(E16:E21)</f>
        <v>-775228.333333333</v>
      </c>
      <c r="F22" s="13" t="n">
        <f aca="false">SUM(F16:F21)</f>
        <v>-775228.333333333</v>
      </c>
      <c r="G22" s="13" t="n">
        <f aca="false">SUM(G16:G21)</f>
        <v>-775228.333333333</v>
      </c>
      <c r="H22" s="13" t="n">
        <f aca="false">SUM(H16:H21)</f>
        <v>-775228.333333333</v>
      </c>
      <c r="I22" s="13" t="n">
        <f aca="false">SUM(I16:I21)</f>
        <v>-775228.333333333</v>
      </c>
      <c r="J22" s="13" t="n">
        <f aca="false">SUM(J16:J21)</f>
        <v>-775228.333333333</v>
      </c>
      <c r="K22" s="13" t="n">
        <f aca="false">SUM(K16:K21)</f>
        <v>-775228.333333333</v>
      </c>
      <c r="L22" s="13" t="n">
        <f aca="false">SUM(L16:L21)</f>
        <v>-775228.333333333</v>
      </c>
      <c r="M22" s="13" t="n">
        <f aca="false">SUM(M16:M21)</f>
        <v>-775228.333333333</v>
      </c>
      <c r="N22" s="13" t="n">
        <f aca="false">SUM(N16:N21)</f>
        <v>-804307.649224859</v>
      </c>
      <c r="O22" s="13" t="n">
        <f aca="false">SUM(O16:O21)</f>
        <v>-804307.649224859</v>
      </c>
      <c r="P22" s="13" t="n">
        <f aca="false">SUM(P16:P21)</f>
        <v>-804307.649224859</v>
      </c>
      <c r="Q22" s="13" t="n">
        <f aca="false">SUM(Q16:Q21)</f>
        <v>-804307.649224859</v>
      </c>
      <c r="R22" s="13" t="n">
        <f aca="false">SUM(R16:R21)</f>
        <v>-804307.649224859</v>
      </c>
      <c r="S22" s="13" t="n">
        <f aca="false">SUM(S16:S21)</f>
        <v>-804307.649224859</v>
      </c>
      <c r="T22" s="13" t="n">
        <f aca="false">SUM(T16:T21)</f>
        <v>-804307.649224859</v>
      </c>
      <c r="U22" s="13" t="n">
        <f aca="false">SUM(U16:U21)</f>
        <v>-804307.649224859</v>
      </c>
      <c r="V22" s="13" t="n">
        <f aca="false">SUM(V16:V21)</f>
        <v>-804307.649224859</v>
      </c>
      <c r="W22" s="13" t="n">
        <f aca="false">SUM(W16:W21)</f>
        <v>-804307.649224859</v>
      </c>
      <c r="X22" s="13" t="n">
        <f aca="false">SUM(X16:X21)</f>
        <v>-804307.649224859</v>
      </c>
      <c r="Y22" s="13" t="n">
        <f aca="false">SUM(Y16:Y21)</f>
        <v>-804307.649224859</v>
      </c>
      <c r="Z22" s="13" t="n">
        <f aca="false">SUM(Z16:Z21)</f>
        <v>-831798.378021655</v>
      </c>
      <c r="AA22" s="13" t="n">
        <f aca="false">SUM(AA16:AA21)</f>
        <v>-831798.378021655</v>
      </c>
      <c r="AB22" s="13" t="n">
        <f aca="false">SUM(AB16:AB21)</f>
        <v>-831798.378021655</v>
      </c>
      <c r="AC22" s="13" t="n">
        <f aca="false">SUM(AC16:AC21)</f>
        <v>-831798.378021655</v>
      </c>
      <c r="AD22" s="13" t="n">
        <f aca="false">SUM(AD16:AD21)</f>
        <v>-831798.378021655</v>
      </c>
      <c r="AE22" s="13" t="n">
        <f aca="false">SUM(AE16:AE21)</f>
        <v>-831798.378021655</v>
      </c>
      <c r="AF22" s="13" t="n">
        <f aca="false">SUM(AF16:AF21)</f>
        <v>-831798.378021655</v>
      </c>
      <c r="AG22" s="13" t="n">
        <f aca="false">SUM(AG16:AG21)</f>
        <v>-831798.378021655</v>
      </c>
      <c r="AH22" s="13" t="n">
        <f aca="false">SUM(AH16:AH21)</f>
        <v>-831798.378021655</v>
      </c>
      <c r="AI22" s="13" t="n">
        <f aca="false">SUM(AI16:AI21)</f>
        <v>-831798.378021655</v>
      </c>
      <c r="AJ22" s="13" t="n">
        <f aca="false">SUM(AJ16:AJ21)</f>
        <v>-831798.378021655</v>
      </c>
      <c r="AK22" s="13" t="n">
        <f aca="false">SUM(AK16:AK21)</f>
        <v>-831798.378021655</v>
      </c>
      <c r="AL22" s="13" t="n">
        <f aca="false">SUM(AL16:AL21)</f>
        <v>-849255.000188472</v>
      </c>
      <c r="AM22" s="13" t="n">
        <f aca="false">SUM(AM16:AM21)</f>
        <v>-849255.000188472</v>
      </c>
      <c r="AN22" s="13" t="n">
        <f aca="false">SUM(AN16:AN21)</f>
        <v>-849255.000188472</v>
      </c>
      <c r="AO22" s="13" t="n">
        <f aca="false">SUM(AO16:AO21)</f>
        <v>-849255.000188472</v>
      </c>
      <c r="AP22" s="13" t="n">
        <f aca="false">SUM(AP16:AP21)</f>
        <v>-849255.000188472</v>
      </c>
      <c r="AQ22" s="13" t="n">
        <f aca="false">SUM(AQ16:AQ21)</f>
        <v>-849255.000188472</v>
      </c>
      <c r="AR22" s="13" t="n">
        <f aca="false">SUM(AR16:AR21)</f>
        <v>-849255.000188472</v>
      </c>
      <c r="AS22" s="13" t="n">
        <f aca="false">SUM(AS16:AS21)</f>
        <v>-849255.000188472</v>
      </c>
      <c r="AT22" s="13" t="n">
        <f aca="false">SUM(AT16:AT21)</f>
        <v>-849255.000188472</v>
      </c>
      <c r="AU22" s="13" t="n">
        <f aca="false">SUM(AU16:AU21)</f>
        <v>-849255.000188472</v>
      </c>
      <c r="AV22" s="13" t="n">
        <f aca="false">SUM(AV16:AV21)</f>
        <v>-849255.000188472</v>
      </c>
      <c r="AW22" s="13" t="n">
        <f aca="false">SUM(AW16:AW21)</f>
        <v>-849255.000188472</v>
      </c>
      <c r="AX22" s="13" t="n">
        <f aca="false">SUM(AX16:AX21)</f>
        <v>-872631.768515615</v>
      </c>
      <c r="AY22" s="13" t="n">
        <f aca="false">SUM(AY16:AY21)</f>
        <v>-872631.768515615</v>
      </c>
      <c r="AZ22" s="13" t="n">
        <f aca="false">SUM(AZ16:AZ21)</f>
        <v>-872631.768515615</v>
      </c>
      <c r="BA22" s="13" t="n">
        <f aca="false">SUM(BA16:BA21)</f>
        <v>-872631.768515615</v>
      </c>
      <c r="BB22" s="13" t="n">
        <f aca="false">SUM(BB16:BB21)</f>
        <v>-872631.768515615</v>
      </c>
      <c r="BC22" s="13" t="n">
        <f aca="false">SUM(BC16:BC21)</f>
        <v>-872631.768515615</v>
      </c>
      <c r="BD22" s="13" t="n">
        <f aca="false">SUM(BD16:BD21)</f>
        <v>-872631.768515615</v>
      </c>
      <c r="BE22" s="13" t="n">
        <f aca="false">SUM(BE16:BE21)</f>
        <v>-872631.768515615</v>
      </c>
      <c r="BF22" s="13" t="n">
        <f aca="false">SUM(BF16:BF21)</f>
        <v>-872631.768515615</v>
      </c>
      <c r="BG22" s="13" t="n">
        <f aca="false">SUM(BG16:BG21)</f>
        <v>-872631.768515615</v>
      </c>
      <c r="BH22" s="13" t="n">
        <f aca="false">SUM(BH16:BH21)</f>
        <v>-872631.768515615</v>
      </c>
      <c r="BI22" s="13" t="n">
        <f aca="false">SUM(BI16:BI21)</f>
        <v>-872631.768515615</v>
      </c>
    </row>
    <row r="23" customFormat="false" ht="15" hidden="false" customHeight="false" outlineLevel="0" collapsed="false">
      <c r="A23" s="12" t="s">
        <v>583</v>
      </c>
      <c r="B23" s="23" t="n">
        <f aca="false">B13+B22</f>
        <v>278965.662318841</v>
      </c>
      <c r="C23" s="23" t="n">
        <f aca="false">C13+C22</f>
        <v>75320.9110144927</v>
      </c>
      <c r="D23" s="23" t="n">
        <f aca="false">D13+D22</f>
        <v>-283334.337681159</v>
      </c>
      <c r="E23" s="23" t="n">
        <f aca="false">E13+E22</f>
        <v>-283334.337681159</v>
      </c>
      <c r="F23" s="23" t="n">
        <f aca="false">F13+F22</f>
        <v>75320.9110144927</v>
      </c>
      <c r="G23" s="23" t="n">
        <f aca="false">G13+G22</f>
        <v>-283334.337681159</v>
      </c>
      <c r="H23" s="23" t="n">
        <f aca="false">H13+H22</f>
        <v>-283334.337681159</v>
      </c>
      <c r="I23" s="23" t="n">
        <f aca="false">I13+I22</f>
        <v>75320.9110144927</v>
      </c>
      <c r="J23" s="23" t="n">
        <f aca="false">J13+J22</f>
        <v>-283334.337681159</v>
      </c>
      <c r="K23" s="23" t="n">
        <f aca="false">K13+K22</f>
        <v>-283334.337681159</v>
      </c>
      <c r="L23" s="23" t="n">
        <f aca="false">L13+L22</f>
        <v>128022.33589261</v>
      </c>
      <c r="M23" s="23" t="n">
        <f aca="false">M13+M22</f>
        <v>1239879.04042425</v>
      </c>
      <c r="N23" s="23" t="n">
        <f aca="false">N13+N22</f>
        <v>196936.886751575</v>
      </c>
      <c r="O23" s="23" t="n">
        <f aca="false">O13+O22</f>
        <v>98335.1059194183</v>
      </c>
      <c r="P23" s="23" t="n">
        <f aca="false">P13+P22</f>
        <v>-282872.907062858</v>
      </c>
      <c r="Q23" s="23" t="n">
        <f aca="false">Q13+Q22</f>
        <v>-282872.907062858</v>
      </c>
      <c r="R23" s="23" t="n">
        <f aca="false">R13+R22</f>
        <v>98335.1059194183</v>
      </c>
      <c r="S23" s="23" t="n">
        <f aca="false">S13+S22</f>
        <v>-282872.907062858</v>
      </c>
      <c r="T23" s="23" t="n">
        <f aca="false">T13+T22</f>
        <v>-282872.907062858</v>
      </c>
      <c r="U23" s="23" t="n">
        <f aca="false">U13+U22</f>
        <v>98335.1059194183</v>
      </c>
      <c r="V23" s="23" t="n">
        <f aca="false">V13+V22</f>
        <v>-282872.907062858</v>
      </c>
      <c r="W23" s="23" t="n">
        <f aca="false">W13+W22</f>
        <v>-282872.907062858</v>
      </c>
      <c r="X23" s="23" t="n">
        <f aca="false">X13+X22</f>
        <v>130469.825635216</v>
      </c>
      <c r="Y23" s="23" t="n">
        <f aca="false">Y13+Y22</f>
        <v>1282435.2442252</v>
      </c>
      <c r="Z23" s="23" t="n">
        <f aca="false">Z13+Z22</f>
        <v>136992.720626712</v>
      </c>
      <c r="AA23" s="23" t="n">
        <f aca="false">AA13+AA22</f>
        <v>102979.096838419</v>
      </c>
      <c r="AB23" s="23" t="n">
        <f aca="false">AB13+AB22</f>
        <v>-291980.475249577</v>
      </c>
      <c r="AC23" s="23" t="n">
        <f aca="false">AC13+AC22</f>
        <v>-291980.475249577</v>
      </c>
      <c r="AD23" s="23" t="n">
        <f aca="false">AD13+AD22</f>
        <v>102979.096838419</v>
      </c>
      <c r="AE23" s="23" t="n">
        <f aca="false">AE13+AE22</f>
        <v>-291980.475249577</v>
      </c>
      <c r="AF23" s="23" t="n">
        <f aca="false">AF13+AF22</f>
        <v>-291980.475249577</v>
      </c>
      <c r="AG23" s="23" t="n">
        <f aca="false">AG13+AG22</f>
        <v>102979.096838419</v>
      </c>
      <c r="AH23" s="23" t="n">
        <f aca="false">AH13+AH22</f>
        <v>-291980.475249577</v>
      </c>
      <c r="AI23" s="23" t="n">
        <f aca="false">AI13+AI22</f>
        <v>-291980.475249577</v>
      </c>
      <c r="AJ23" s="23" t="n">
        <f aca="false">AJ13+AJ22</f>
        <v>133538.922518127</v>
      </c>
      <c r="AK23" s="23" t="n">
        <f aca="false">AK13+AK22</f>
        <v>1323647.36275887</v>
      </c>
      <c r="AL23" s="23" t="n">
        <f aca="false">AL13+AL22</f>
        <v>135623.986819582</v>
      </c>
      <c r="AM23" s="23" t="n">
        <f aca="false">AM13+AM22</f>
        <v>116082.300351311</v>
      </c>
      <c r="AN23" s="23" t="n">
        <f aca="false">AN13+AN22</f>
        <v>-291954.8791598</v>
      </c>
      <c r="AO23" s="23" t="n">
        <f aca="false">AO13+AO22</f>
        <v>-291954.8791598</v>
      </c>
      <c r="AP23" s="23" t="n">
        <f aca="false">AP13+AP22</f>
        <v>116082.300351311</v>
      </c>
      <c r="AQ23" s="23" t="n">
        <f aca="false">AQ13+AQ22</f>
        <v>-291954.8791598</v>
      </c>
      <c r="AR23" s="23" t="n">
        <f aca="false">AR13+AR22</f>
        <v>-291954.8791598</v>
      </c>
      <c r="AS23" s="23" t="n">
        <f aca="false">AS13+AS22</f>
        <v>116082.300351311</v>
      </c>
      <c r="AT23" s="23" t="n">
        <f aca="false">AT13+AT22</f>
        <v>-291954.8791598</v>
      </c>
      <c r="AU23" s="23" t="n">
        <f aca="false">AU13+AU22</f>
        <v>-291954.8791598</v>
      </c>
      <c r="AV23" s="23" t="n">
        <f aca="false">AV13+AV22</f>
        <v>145985.245348821</v>
      </c>
      <c r="AW23" s="23" t="n">
        <f aca="false">AW13+AW22</f>
        <v>1373416.82644826</v>
      </c>
      <c r="AX23" s="23" t="n">
        <f aca="false">AX13+AX22</f>
        <v>128238.194135152</v>
      </c>
      <c r="AY23" s="23" t="n">
        <f aca="false">AY13+AY22</f>
        <v>122608.477021677</v>
      </c>
      <c r="AZ23" s="23" t="n">
        <f aca="false">AZ13+AZ22</f>
        <v>-298225.207926704</v>
      </c>
      <c r="BA23" s="23" t="n">
        <f aca="false">BA13+BA22</f>
        <v>-298225.207926704</v>
      </c>
      <c r="BB23" s="23" t="n">
        <f aca="false">BB13+BB22</f>
        <v>122608.477021677</v>
      </c>
      <c r="BC23" s="23" t="n">
        <f aca="false">BC13+BC22</f>
        <v>-298225.207926704</v>
      </c>
      <c r="BD23" s="23" t="n">
        <f aca="false">BD13+BD22</f>
        <v>-298225.207926704</v>
      </c>
      <c r="BE23" s="23" t="n">
        <f aca="false">BE13+BE22</f>
        <v>122608.477021677</v>
      </c>
      <c r="BF23" s="23" t="n">
        <f aca="false">BF13+BF22</f>
        <v>-298225.207926704</v>
      </c>
      <c r="BG23" s="23" t="n">
        <f aca="false">BG13+BG22</f>
        <v>-298225.207926704</v>
      </c>
      <c r="BH23" s="23" t="n">
        <f aca="false">BH13+BH22</f>
        <v>161944.736739769</v>
      </c>
      <c r="BI23" s="23" t="n">
        <f aca="false">BI13+BI22</f>
        <v>1438473.58108319</v>
      </c>
    </row>
    <row r="25" customFormat="false" ht="15" hidden="false" customHeight="false" outlineLevel="0" collapsed="false">
      <c r="A25" s="6" t="s">
        <v>584</v>
      </c>
      <c r="B25" s="11" t="n">
        <f aca="false">-(SUMPRODUCT((Inputs!$B$20:$B$29="Capital")*(Inputs!$C$20:$C$29="Y")*(INDEX(Inputs!$E$20:$I$29,0,B$3)-INDEX(Inputs!$J$20:$N$29,0,B$3))*((Inputs!$D$20:$D$29=B$4)+(Inputs!$D$20:$D$29=0)/12))+SUMPRODUCT(INDEX(Inputs!$C$36:$G$41,0,B$3)*((Inputs!$B$36:$B$41=B$4)+(Inputs!$B$36:$B$41=0)/12)))</f>
        <v>-0</v>
      </c>
      <c r="C25" s="11" t="n">
        <f aca="false">-(SUMPRODUCT((Inputs!$B$20:$B$29="Capital")*(Inputs!$C$20:$C$29="Y")*(INDEX(Inputs!$E$20:$I$29,0,C$3)-INDEX(Inputs!$J$20:$N$29,0,C$3))*((Inputs!$D$20:$D$29=C$4)+(Inputs!$D$20:$D$29=0)/12))+SUMPRODUCT(INDEX(Inputs!$C$36:$G$41,0,C$3)*((Inputs!$B$36:$B$41=C$4)+(Inputs!$B$36:$B$41=0)/12)))</f>
        <v>-0</v>
      </c>
      <c r="D25" s="11" t="n">
        <f aca="false">-(SUMPRODUCT((Inputs!$B$20:$B$29="Capital")*(Inputs!$C$20:$C$29="Y")*(INDEX(Inputs!$E$20:$I$29,0,D$3)-INDEX(Inputs!$J$20:$N$29,0,D$3))*((Inputs!$D$20:$D$29=D$4)+(Inputs!$D$20:$D$29=0)/12))+SUMPRODUCT(INDEX(Inputs!$C$36:$G$41,0,D$3)*((Inputs!$B$36:$B$41=D$4)+(Inputs!$B$36:$B$41=0)/12)))</f>
        <v>-0</v>
      </c>
      <c r="E25" s="11" t="n">
        <f aca="false">-(SUMPRODUCT((Inputs!$B$20:$B$29="Capital")*(Inputs!$C$20:$C$29="Y")*(INDEX(Inputs!$E$20:$I$29,0,E$3)-INDEX(Inputs!$J$20:$N$29,0,E$3))*((Inputs!$D$20:$D$29=E$4)+(Inputs!$D$20:$D$29=0)/12))+SUMPRODUCT(INDEX(Inputs!$C$36:$G$41,0,E$3)*((Inputs!$B$36:$B$41=E$4)+(Inputs!$B$36:$B$41=0)/12)))</f>
        <v>-0</v>
      </c>
      <c r="F25" s="11" t="n">
        <f aca="false">-(SUMPRODUCT((Inputs!$B$20:$B$29="Capital")*(Inputs!$C$20:$C$29="Y")*(INDEX(Inputs!$E$20:$I$29,0,F$3)-INDEX(Inputs!$J$20:$N$29,0,F$3))*((Inputs!$D$20:$D$29=F$4)+(Inputs!$D$20:$D$29=0)/12))+SUMPRODUCT(INDEX(Inputs!$C$36:$G$41,0,F$3)*((Inputs!$B$36:$B$41=F$4)+(Inputs!$B$36:$B$41=0)/12)))</f>
        <v>-0</v>
      </c>
      <c r="G25" s="11" t="n">
        <f aca="false">-(SUMPRODUCT((Inputs!$B$20:$B$29="Capital")*(Inputs!$C$20:$C$29="Y")*(INDEX(Inputs!$E$20:$I$29,0,G$3)-INDEX(Inputs!$J$20:$N$29,0,G$3))*((Inputs!$D$20:$D$29=G$4)+(Inputs!$D$20:$D$29=0)/12))+SUMPRODUCT(INDEX(Inputs!$C$36:$G$41,0,G$3)*((Inputs!$B$36:$B$41=G$4)+(Inputs!$B$36:$B$41=0)/12)))</f>
        <v>-0</v>
      </c>
      <c r="H25" s="11" t="n">
        <f aca="false">-(SUMPRODUCT((Inputs!$B$20:$B$29="Capital")*(Inputs!$C$20:$C$29="Y")*(INDEX(Inputs!$E$20:$I$29,0,H$3)-INDEX(Inputs!$J$20:$N$29,0,H$3))*((Inputs!$D$20:$D$29=H$4)+(Inputs!$D$20:$D$29=0)/12))+SUMPRODUCT(INDEX(Inputs!$C$36:$G$41,0,H$3)*((Inputs!$B$36:$B$41=H$4)+(Inputs!$B$36:$B$41=0)/12)))</f>
        <v>-0</v>
      </c>
      <c r="I25" s="11" t="n">
        <f aca="false">-(SUMPRODUCT((Inputs!$B$20:$B$29="Capital")*(Inputs!$C$20:$C$29="Y")*(INDEX(Inputs!$E$20:$I$29,0,I$3)-INDEX(Inputs!$J$20:$N$29,0,I$3))*((Inputs!$D$20:$D$29=I$4)+(Inputs!$D$20:$D$29=0)/12))+SUMPRODUCT(INDEX(Inputs!$C$36:$G$41,0,I$3)*((Inputs!$B$36:$B$41=I$4)+(Inputs!$B$36:$B$41=0)/12)))</f>
        <v>-0</v>
      </c>
      <c r="J25" s="11" t="n">
        <f aca="false">-(SUMPRODUCT((Inputs!$B$20:$B$29="Capital")*(Inputs!$C$20:$C$29="Y")*(INDEX(Inputs!$E$20:$I$29,0,J$3)-INDEX(Inputs!$J$20:$N$29,0,J$3))*((Inputs!$D$20:$D$29=J$4)+(Inputs!$D$20:$D$29=0)/12))+SUMPRODUCT(INDEX(Inputs!$C$36:$G$41,0,J$3)*((Inputs!$B$36:$B$41=J$4)+(Inputs!$B$36:$B$41=0)/12)))</f>
        <v>-0</v>
      </c>
      <c r="K25" s="11" t="n">
        <f aca="false">-(SUMPRODUCT((Inputs!$B$20:$B$29="Capital")*(Inputs!$C$20:$C$29="Y")*(INDEX(Inputs!$E$20:$I$29,0,K$3)-INDEX(Inputs!$J$20:$N$29,0,K$3))*((Inputs!$D$20:$D$29=K$4)+(Inputs!$D$20:$D$29=0)/12))+SUMPRODUCT(INDEX(Inputs!$C$36:$G$41,0,K$3)*((Inputs!$B$36:$B$41=K$4)+(Inputs!$B$36:$B$41=0)/12)))</f>
        <v>-0</v>
      </c>
      <c r="L25" s="11" t="n">
        <f aca="false">-(SUMPRODUCT((Inputs!$B$20:$B$29="Capital")*(Inputs!$C$20:$C$29="Y")*(INDEX(Inputs!$E$20:$I$29,0,L$3)-INDEX(Inputs!$J$20:$N$29,0,L$3))*((Inputs!$D$20:$D$29=L$4)+(Inputs!$D$20:$D$29=0)/12))+SUMPRODUCT(INDEX(Inputs!$C$36:$G$41,0,L$3)*((Inputs!$B$36:$B$41=L$4)+(Inputs!$B$36:$B$41=0)/12)))</f>
        <v>-0</v>
      </c>
      <c r="M25" s="11" t="n">
        <f aca="false">-(SUMPRODUCT((Inputs!$B$20:$B$29="Capital")*(Inputs!$C$20:$C$29="Y")*(INDEX(Inputs!$E$20:$I$29,0,M$3)-INDEX(Inputs!$J$20:$N$29,0,M$3))*((Inputs!$D$20:$D$29=M$4)+(Inputs!$D$20:$D$29=0)/12))+SUMPRODUCT(INDEX(Inputs!$C$36:$G$41,0,M$3)*((Inputs!$B$36:$B$41=M$4)+(Inputs!$B$36:$B$41=0)/12)))</f>
        <v>-0</v>
      </c>
      <c r="N25" s="11" t="n">
        <f aca="false">-(SUMPRODUCT((Inputs!$B$20:$B$29="Capital")*(Inputs!$C$20:$C$29="Y")*(INDEX(Inputs!$E$20:$I$29,0,N$3)-INDEX(Inputs!$J$20:$N$29,0,N$3))*((Inputs!$D$20:$D$29=N$4)+(Inputs!$D$20:$D$29=0)/12))+SUMPRODUCT(INDEX(Inputs!$C$36:$G$41,0,N$3)*((Inputs!$B$36:$B$41=N$4)+(Inputs!$B$36:$B$41=0)/12)))</f>
        <v>-0</v>
      </c>
      <c r="O25" s="11" t="n">
        <f aca="false">-(SUMPRODUCT((Inputs!$B$20:$B$29="Capital")*(Inputs!$C$20:$C$29="Y")*(INDEX(Inputs!$E$20:$I$29,0,O$3)-INDEX(Inputs!$J$20:$N$29,0,O$3))*((Inputs!$D$20:$D$29=O$4)+(Inputs!$D$20:$D$29=0)/12))+SUMPRODUCT(INDEX(Inputs!$C$36:$G$41,0,O$3)*((Inputs!$B$36:$B$41=O$4)+(Inputs!$B$36:$B$41=0)/12)))</f>
        <v>-0</v>
      </c>
      <c r="P25" s="11" t="n">
        <f aca="false">-(SUMPRODUCT((Inputs!$B$20:$B$29="Capital")*(Inputs!$C$20:$C$29="Y")*(INDEX(Inputs!$E$20:$I$29,0,P$3)-INDEX(Inputs!$J$20:$N$29,0,P$3))*((Inputs!$D$20:$D$29=P$4)+(Inputs!$D$20:$D$29=0)/12))+SUMPRODUCT(INDEX(Inputs!$C$36:$G$41,0,P$3)*((Inputs!$B$36:$B$41=P$4)+(Inputs!$B$36:$B$41=0)/12)))</f>
        <v>-0</v>
      </c>
      <c r="Q25" s="11" t="n">
        <f aca="false">-(SUMPRODUCT((Inputs!$B$20:$B$29="Capital")*(Inputs!$C$20:$C$29="Y")*(INDEX(Inputs!$E$20:$I$29,0,Q$3)-INDEX(Inputs!$J$20:$N$29,0,Q$3))*((Inputs!$D$20:$D$29=Q$4)+(Inputs!$D$20:$D$29=0)/12))+SUMPRODUCT(INDEX(Inputs!$C$36:$G$41,0,Q$3)*((Inputs!$B$36:$B$41=Q$4)+(Inputs!$B$36:$B$41=0)/12)))</f>
        <v>-0</v>
      </c>
      <c r="R25" s="11" t="n">
        <f aca="false">-(SUMPRODUCT((Inputs!$B$20:$B$29="Capital")*(Inputs!$C$20:$C$29="Y")*(INDEX(Inputs!$E$20:$I$29,0,R$3)-INDEX(Inputs!$J$20:$N$29,0,R$3))*((Inputs!$D$20:$D$29=R$4)+(Inputs!$D$20:$D$29=0)/12))+SUMPRODUCT(INDEX(Inputs!$C$36:$G$41,0,R$3)*((Inputs!$B$36:$B$41=R$4)+(Inputs!$B$36:$B$41=0)/12)))</f>
        <v>-0</v>
      </c>
      <c r="S25" s="11" t="n">
        <f aca="false">-(SUMPRODUCT((Inputs!$B$20:$B$29="Capital")*(Inputs!$C$20:$C$29="Y")*(INDEX(Inputs!$E$20:$I$29,0,S$3)-INDEX(Inputs!$J$20:$N$29,0,S$3))*((Inputs!$D$20:$D$29=S$4)+(Inputs!$D$20:$D$29=0)/12))+SUMPRODUCT(INDEX(Inputs!$C$36:$G$41,0,S$3)*((Inputs!$B$36:$B$41=S$4)+(Inputs!$B$36:$B$41=0)/12)))</f>
        <v>-0</v>
      </c>
      <c r="T25" s="11" t="n">
        <f aca="false">-(SUMPRODUCT((Inputs!$B$20:$B$29="Capital")*(Inputs!$C$20:$C$29="Y")*(INDEX(Inputs!$E$20:$I$29,0,T$3)-INDEX(Inputs!$J$20:$N$29,0,T$3))*((Inputs!$D$20:$D$29=T$4)+(Inputs!$D$20:$D$29=0)/12))+SUMPRODUCT(INDEX(Inputs!$C$36:$G$41,0,T$3)*((Inputs!$B$36:$B$41=T$4)+(Inputs!$B$36:$B$41=0)/12)))</f>
        <v>-0</v>
      </c>
      <c r="U25" s="11" t="n">
        <f aca="false">-(SUMPRODUCT((Inputs!$B$20:$B$29="Capital")*(Inputs!$C$20:$C$29="Y")*(INDEX(Inputs!$E$20:$I$29,0,U$3)-INDEX(Inputs!$J$20:$N$29,0,U$3))*((Inputs!$D$20:$D$29=U$4)+(Inputs!$D$20:$D$29=0)/12))+SUMPRODUCT(INDEX(Inputs!$C$36:$G$41,0,U$3)*((Inputs!$B$36:$B$41=U$4)+(Inputs!$B$36:$B$41=0)/12)))</f>
        <v>-0</v>
      </c>
      <c r="V25" s="11" t="n">
        <f aca="false">-(SUMPRODUCT((Inputs!$B$20:$B$29="Capital")*(Inputs!$C$20:$C$29="Y")*(INDEX(Inputs!$E$20:$I$29,0,V$3)-INDEX(Inputs!$J$20:$N$29,0,V$3))*((Inputs!$D$20:$D$29=V$4)+(Inputs!$D$20:$D$29=0)/12))+SUMPRODUCT(INDEX(Inputs!$C$36:$G$41,0,V$3)*((Inputs!$B$36:$B$41=V$4)+(Inputs!$B$36:$B$41=0)/12)))</f>
        <v>-0</v>
      </c>
      <c r="W25" s="11" t="n">
        <f aca="false">-(SUMPRODUCT((Inputs!$B$20:$B$29="Capital")*(Inputs!$C$20:$C$29="Y")*(INDEX(Inputs!$E$20:$I$29,0,W$3)-INDEX(Inputs!$J$20:$N$29,0,W$3))*((Inputs!$D$20:$D$29=W$4)+(Inputs!$D$20:$D$29=0)/12))+SUMPRODUCT(INDEX(Inputs!$C$36:$G$41,0,W$3)*((Inputs!$B$36:$B$41=W$4)+(Inputs!$B$36:$B$41=0)/12)))</f>
        <v>-0</v>
      </c>
      <c r="X25" s="11" t="n">
        <f aca="false">-(SUMPRODUCT((Inputs!$B$20:$B$29="Capital")*(Inputs!$C$20:$C$29="Y")*(INDEX(Inputs!$E$20:$I$29,0,X$3)-INDEX(Inputs!$J$20:$N$29,0,X$3))*((Inputs!$D$20:$D$29=X$4)+(Inputs!$D$20:$D$29=0)/12))+SUMPRODUCT(INDEX(Inputs!$C$36:$G$41,0,X$3)*((Inputs!$B$36:$B$41=X$4)+(Inputs!$B$36:$B$41=0)/12)))</f>
        <v>-0</v>
      </c>
      <c r="Y25" s="11" t="n">
        <f aca="false">-(SUMPRODUCT((Inputs!$B$20:$B$29="Capital")*(Inputs!$C$20:$C$29="Y")*(INDEX(Inputs!$E$20:$I$29,0,Y$3)-INDEX(Inputs!$J$20:$N$29,0,Y$3))*((Inputs!$D$20:$D$29=Y$4)+(Inputs!$D$20:$D$29=0)/12))+SUMPRODUCT(INDEX(Inputs!$C$36:$G$41,0,Y$3)*((Inputs!$B$36:$B$41=Y$4)+(Inputs!$B$36:$B$41=0)/12)))</f>
        <v>-0</v>
      </c>
      <c r="Z25" s="11" t="n">
        <f aca="false">-(SUMPRODUCT((Inputs!$B$20:$B$29="Capital")*(Inputs!$C$20:$C$29="Y")*(INDEX(Inputs!$E$20:$I$29,0,Z$3)-INDEX(Inputs!$J$20:$N$29,0,Z$3))*((Inputs!$D$20:$D$29=Z$4)+(Inputs!$D$20:$D$29=0)/12))+SUMPRODUCT(INDEX(Inputs!$C$36:$G$41,0,Z$3)*((Inputs!$B$36:$B$41=Z$4)+(Inputs!$B$36:$B$41=0)/12)))</f>
        <v>-0</v>
      </c>
      <c r="AA25" s="11" t="n">
        <f aca="false">-(SUMPRODUCT((Inputs!$B$20:$B$29="Capital")*(Inputs!$C$20:$C$29="Y")*(INDEX(Inputs!$E$20:$I$29,0,AA$3)-INDEX(Inputs!$J$20:$N$29,0,AA$3))*((Inputs!$D$20:$D$29=AA$4)+(Inputs!$D$20:$D$29=0)/12))+SUMPRODUCT(INDEX(Inputs!$C$36:$G$41,0,AA$3)*((Inputs!$B$36:$B$41=AA$4)+(Inputs!$B$36:$B$41=0)/12)))</f>
        <v>-0</v>
      </c>
      <c r="AB25" s="11" t="n">
        <f aca="false">-(SUMPRODUCT((Inputs!$B$20:$B$29="Capital")*(Inputs!$C$20:$C$29="Y")*(INDEX(Inputs!$E$20:$I$29,0,AB$3)-INDEX(Inputs!$J$20:$N$29,0,AB$3))*((Inputs!$D$20:$D$29=AB$4)+(Inputs!$D$20:$D$29=0)/12))+SUMPRODUCT(INDEX(Inputs!$C$36:$G$41,0,AB$3)*((Inputs!$B$36:$B$41=AB$4)+(Inputs!$B$36:$B$41=0)/12)))</f>
        <v>-0</v>
      </c>
      <c r="AC25" s="11" t="n">
        <f aca="false">-(SUMPRODUCT((Inputs!$B$20:$B$29="Capital")*(Inputs!$C$20:$C$29="Y")*(INDEX(Inputs!$E$20:$I$29,0,AC$3)-INDEX(Inputs!$J$20:$N$29,0,AC$3))*((Inputs!$D$20:$D$29=AC$4)+(Inputs!$D$20:$D$29=0)/12))+SUMPRODUCT(INDEX(Inputs!$C$36:$G$41,0,AC$3)*((Inputs!$B$36:$B$41=AC$4)+(Inputs!$B$36:$B$41=0)/12)))</f>
        <v>-0</v>
      </c>
      <c r="AD25" s="11" t="n">
        <f aca="false">-(SUMPRODUCT((Inputs!$B$20:$B$29="Capital")*(Inputs!$C$20:$C$29="Y")*(INDEX(Inputs!$E$20:$I$29,0,AD$3)-INDEX(Inputs!$J$20:$N$29,0,AD$3))*((Inputs!$D$20:$D$29=AD$4)+(Inputs!$D$20:$D$29=0)/12))+SUMPRODUCT(INDEX(Inputs!$C$36:$G$41,0,AD$3)*((Inputs!$B$36:$B$41=AD$4)+(Inputs!$B$36:$B$41=0)/12)))</f>
        <v>-0</v>
      </c>
      <c r="AE25" s="11" t="n">
        <f aca="false">-(SUMPRODUCT((Inputs!$B$20:$B$29="Capital")*(Inputs!$C$20:$C$29="Y")*(INDEX(Inputs!$E$20:$I$29,0,AE$3)-INDEX(Inputs!$J$20:$N$29,0,AE$3))*((Inputs!$D$20:$D$29=AE$4)+(Inputs!$D$20:$D$29=0)/12))+SUMPRODUCT(INDEX(Inputs!$C$36:$G$41,0,AE$3)*((Inputs!$B$36:$B$41=AE$4)+(Inputs!$B$36:$B$41=0)/12)))</f>
        <v>-0</v>
      </c>
      <c r="AF25" s="11" t="n">
        <f aca="false">-(SUMPRODUCT((Inputs!$B$20:$B$29="Capital")*(Inputs!$C$20:$C$29="Y")*(INDEX(Inputs!$E$20:$I$29,0,AF$3)-INDEX(Inputs!$J$20:$N$29,0,AF$3))*((Inputs!$D$20:$D$29=AF$4)+(Inputs!$D$20:$D$29=0)/12))+SUMPRODUCT(INDEX(Inputs!$C$36:$G$41,0,AF$3)*((Inputs!$B$36:$B$41=AF$4)+(Inputs!$B$36:$B$41=0)/12)))</f>
        <v>-0</v>
      </c>
      <c r="AG25" s="11" t="n">
        <f aca="false">-(SUMPRODUCT((Inputs!$B$20:$B$29="Capital")*(Inputs!$C$20:$C$29="Y")*(INDEX(Inputs!$E$20:$I$29,0,AG$3)-INDEX(Inputs!$J$20:$N$29,0,AG$3))*((Inputs!$D$20:$D$29=AG$4)+(Inputs!$D$20:$D$29=0)/12))+SUMPRODUCT(INDEX(Inputs!$C$36:$G$41,0,AG$3)*((Inputs!$B$36:$B$41=AG$4)+(Inputs!$B$36:$B$41=0)/12)))</f>
        <v>-0</v>
      </c>
      <c r="AH25" s="11" t="n">
        <f aca="false">-(SUMPRODUCT((Inputs!$B$20:$B$29="Capital")*(Inputs!$C$20:$C$29="Y")*(INDEX(Inputs!$E$20:$I$29,0,AH$3)-INDEX(Inputs!$J$20:$N$29,0,AH$3))*((Inputs!$D$20:$D$29=AH$4)+(Inputs!$D$20:$D$29=0)/12))+SUMPRODUCT(INDEX(Inputs!$C$36:$G$41,0,AH$3)*((Inputs!$B$36:$B$41=AH$4)+(Inputs!$B$36:$B$41=0)/12)))</f>
        <v>-0</v>
      </c>
      <c r="AI25" s="11" t="n">
        <f aca="false">-(SUMPRODUCT((Inputs!$B$20:$B$29="Capital")*(Inputs!$C$20:$C$29="Y")*(INDEX(Inputs!$E$20:$I$29,0,AI$3)-INDEX(Inputs!$J$20:$N$29,0,AI$3))*((Inputs!$D$20:$D$29=AI$4)+(Inputs!$D$20:$D$29=0)/12))+SUMPRODUCT(INDEX(Inputs!$C$36:$G$41,0,AI$3)*((Inputs!$B$36:$B$41=AI$4)+(Inputs!$B$36:$B$41=0)/12)))</f>
        <v>-0</v>
      </c>
      <c r="AJ25" s="11" t="n">
        <f aca="false">-(SUMPRODUCT((Inputs!$B$20:$B$29="Capital")*(Inputs!$C$20:$C$29="Y")*(INDEX(Inputs!$E$20:$I$29,0,AJ$3)-INDEX(Inputs!$J$20:$N$29,0,AJ$3))*((Inputs!$D$20:$D$29=AJ$4)+(Inputs!$D$20:$D$29=0)/12))+SUMPRODUCT(INDEX(Inputs!$C$36:$G$41,0,AJ$3)*((Inputs!$B$36:$B$41=AJ$4)+(Inputs!$B$36:$B$41=0)/12)))</f>
        <v>-0</v>
      </c>
      <c r="AK25" s="11" t="n">
        <f aca="false">-(SUMPRODUCT((Inputs!$B$20:$B$29="Capital")*(Inputs!$C$20:$C$29="Y")*(INDEX(Inputs!$E$20:$I$29,0,AK$3)-INDEX(Inputs!$J$20:$N$29,0,AK$3))*((Inputs!$D$20:$D$29=AK$4)+(Inputs!$D$20:$D$29=0)/12))+SUMPRODUCT(INDEX(Inputs!$C$36:$G$41,0,AK$3)*((Inputs!$B$36:$B$41=AK$4)+(Inputs!$B$36:$B$41=0)/12)))</f>
        <v>-0</v>
      </c>
      <c r="AL25" s="11" t="n">
        <f aca="false">-(SUMPRODUCT((Inputs!$B$20:$B$29="Capital")*(Inputs!$C$20:$C$29="Y")*(INDEX(Inputs!$E$20:$I$29,0,AL$3)-INDEX(Inputs!$J$20:$N$29,0,AL$3))*((Inputs!$D$20:$D$29=AL$4)+(Inputs!$D$20:$D$29=0)/12))+SUMPRODUCT(INDEX(Inputs!$C$36:$G$41,0,AL$3)*((Inputs!$B$36:$B$41=AL$4)+(Inputs!$B$36:$B$41=0)/12)))</f>
        <v>-0</v>
      </c>
      <c r="AM25" s="11" t="n">
        <f aca="false">-(SUMPRODUCT((Inputs!$B$20:$B$29="Capital")*(Inputs!$C$20:$C$29="Y")*(INDEX(Inputs!$E$20:$I$29,0,AM$3)-INDEX(Inputs!$J$20:$N$29,0,AM$3))*((Inputs!$D$20:$D$29=AM$4)+(Inputs!$D$20:$D$29=0)/12))+SUMPRODUCT(INDEX(Inputs!$C$36:$G$41,0,AM$3)*((Inputs!$B$36:$B$41=AM$4)+(Inputs!$B$36:$B$41=0)/12)))</f>
        <v>-0</v>
      </c>
      <c r="AN25" s="11" t="n">
        <f aca="false">-(SUMPRODUCT((Inputs!$B$20:$B$29="Capital")*(Inputs!$C$20:$C$29="Y")*(INDEX(Inputs!$E$20:$I$29,0,AN$3)-INDEX(Inputs!$J$20:$N$29,0,AN$3))*((Inputs!$D$20:$D$29=AN$4)+(Inputs!$D$20:$D$29=0)/12))+SUMPRODUCT(INDEX(Inputs!$C$36:$G$41,0,AN$3)*((Inputs!$B$36:$B$41=AN$4)+(Inputs!$B$36:$B$41=0)/12)))</f>
        <v>-0</v>
      </c>
      <c r="AO25" s="11" t="n">
        <f aca="false">-(SUMPRODUCT((Inputs!$B$20:$B$29="Capital")*(Inputs!$C$20:$C$29="Y")*(INDEX(Inputs!$E$20:$I$29,0,AO$3)-INDEX(Inputs!$J$20:$N$29,0,AO$3))*((Inputs!$D$20:$D$29=AO$4)+(Inputs!$D$20:$D$29=0)/12))+SUMPRODUCT(INDEX(Inputs!$C$36:$G$41,0,AO$3)*((Inputs!$B$36:$B$41=AO$4)+(Inputs!$B$36:$B$41=0)/12)))</f>
        <v>-0</v>
      </c>
      <c r="AP25" s="11" t="n">
        <f aca="false">-(SUMPRODUCT((Inputs!$B$20:$B$29="Capital")*(Inputs!$C$20:$C$29="Y")*(INDEX(Inputs!$E$20:$I$29,0,AP$3)-INDEX(Inputs!$J$20:$N$29,0,AP$3))*((Inputs!$D$20:$D$29=AP$4)+(Inputs!$D$20:$D$29=0)/12))+SUMPRODUCT(INDEX(Inputs!$C$36:$G$41,0,AP$3)*((Inputs!$B$36:$B$41=AP$4)+(Inputs!$B$36:$B$41=0)/12)))</f>
        <v>-0</v>
      </c>
      <c r="AQ25" s="11" t="n">
        <f aca="false">-(SUMPRODUCT((Inputs!$B$20:$B$29="Capital")*(Inputs!$C$20:$C$29="Y")*(INDEX(Inputs!$E$20:$I$29,0,AQ$3)-INDEX(Inputs!$J$20:$N$29,0,AQ$3))*((Inputs!$D$20:$D$29=AQ$4)+(Inputs!$D$20:$D$29=0)/12))+SUMPRODUCT(INDEX(Inputs!$C$36:$G$41,0,AQ$3)*((Inputs!$B$36:$B$41=AQ$4)+(Inputs!$B$36:$B$41=0)/12)))</f>
        <v>-0</v>
      </c>
      <c r="AR25" s="11" t="n">
        <f aca="false">-(SUMPRODUCT((Inputs!$B$20:$B$29="Capital")*(Inputs!$C$20:$C$29="Y")*(INDEX(Inputs!$E$20:$I$29,0,AR$3)-INDEX(Inputs!$J$20:$N$29,0,AR$3))*((Inputs!$D$20:$D$29=AR$4)+(Inputs!$D$20:$D$29=0)/12))+SUMPRODUCT(INDEX(Inputs!$C$36:$G$41,0,AR$3)*((Inputs!$B$36:$B$41=AR$4)+(Inputs!$B$36:$B$41=0)/12)))</f>
        <v>-0</v>
      </c>
      <c r="AS25" s="11" t="n">
        <f aca="false">-(SUMPRODUCT((Inputs!$B$20:$B$29="Capital")*(Inputs!$C$20:$C$29="Y")*(INDEX(Inputs!$E$20:$I$29,0,AS$3)-INDEX(Inputs!$J$20:$N$29,0,AS$3))*((Inputs!$D$20:$D$29=AS$4)+(Inputs!$D$20:$D$29=0)/12))+SUMPRODUCT(INDEX(Inputs!$C$36:$G$41,0,AS$3)*((Inputs!$B$36:$B$41=AS$4)+(Inputs!$B$36:$B$41=0)/12)))</f>
        <v>-0</v>
      </c>
      <c r="AT25" s="11" t="n">
        <f aca="false">-(SUMPRODUCT((Inputs!$B$20:$B$29="Capital")*(Inputs!$C$20:$C$29="Y")*(INDEX(Inputs!$E$20:$I$29,0,AT$3)-INDEX(Inputs!$J$20:$N$29,0,AT$3))*((Inputs!$D$20:$D$29=AT$4)+(Inputs!$D$20:$D$29=0)/12))+SUMPRODUCT(INDEX(Inputs!$C$36:$G$41,0,AT$3)*((Inputs!$B$36:$B$41=AT$4)+(Inputs!$B$36:$B$41=0)/12)))</f>
        <v>-0</v>
      </c>
      <c r="AU25" s="11" t="n">
        <f aca="false">-(SUMPRODUCT((Inputs!$B$20:$B$29="Capital")*(Inputs!$C$20:$C$29="Y")*(INDEX(Inputs!$E$20:$I$29,0,AU$3)-INDEX(Inputs!$J$20:$N$29,0,AU$3))*((Inputs!$D$20:$D$29=AU$4)+(Inputs!$D$20:$D$29=0)/12))+SUMPRODUCT(INDEX(Inputs!$C$36:$G$41,0,AU$3)*((Inputs!$B$36:$B$41=AU$4)+(Inputs!$B$36:$B$41=0)/12)))</f>
        <v>-0</v>
      </c>
      <c r="AV25" s="11" t="n">
        <f aca="false">-(SUMPRODUCT((Inputs!$B$20:$B$29="Capital")*(Inputs!$C$20:$C$29="Y")*(INDEX(Inputs!$E$20:$I$29,0,AV$3)-INDEX(Inputs!$J$20:$N$29,0,AV$3))*((Inputs!$D$20:$D$29=AV$4)+(Inputs!$D$20:$D$29=0)/12))+SUMPRODUCT(INDEX(Inputs!$C$36:$G$41,0,AV$3)*((Inputs!$B$36:$B$41=AV$4)+(Inputs!$B$36:$B$41=0)/12)))</f>
        <v>-0</v>
      </c>
      <c r="AW25" s="11" t="n">
        <f aca="false">-(SUMPRODUCT((Inputs!$B$20:$B$29="Capital")*(Inputs!$C$20:$C$29="Y")*(INDEX(Inputs!$E$20:$I$29,0,AW$3)-INDEX(Inputs!$J$20:$N$29,0,AW$3))*((Inputs!$D$20:$D$29=AW$4)+(Inputs!$D$20:$D$29=0)/12))+SUMPRODUCT(INDEX(Inputs!$C$36:$G$41,0,AW$3)*((Inputs!$B$36:$B$41=AW$4)+(Inputs!$B$36:$B$41=0)/12)))</f>
        <v>-0</v>
      </c>
      <c r="AX25" s="11" t="n">
        <f aca="false">-(SUMPRODUCT((Inputs!$B$20:$B$29="Capital")*(Inputs!$C$20:$C$29="Y")*(INDEX(Inputs!$E$20:$I$29,0,AX$3)-INDEX(Inputs!$J$20:$N$29,0,AX$3))*((Inputs!$D$20:$D$29=AX$4)+(Inputs!$D$20:$D$29=0)/12))+SUMPRODUCT(INDEX(Inputs!$C$36:$G$41,0,AX$3)*((Inputs!$B$36:$B$41=AX$4)+(Inputs!$B$36:$B$41=0)/12)))</f>
        <v>-0</v>
      </c>
      <c r="AY25" s="11" t="n">
        <f aca="false">-(SUMPRODUCT((Inputs!$B$20:$B$29="Capital")*(Inputs!$C$20:$C$29="Y")*(INDEX(Inputs!$E$20:$I$29,0,AY$3)-INDEX(Inputs!$J$20:$N$29,0,AY$3))*((Inputs!$D$20:$D$29=AY$4)+(Inputs!$D$20:$D$29=0)/12))+SUMPRODUCT(INDEX(Inputs!$C$36:$G$41,0,AY$3)*((Inputs!$B$36:$B$41=AY$4)+(Inputs!$B$36:$B$41=0)/12)))</f>
        <v>-0</v>
      </c>
      <c r="AZ25" s="11" t="n">
        <f aca="false">-(SUMPRODUCT((Inputs!$B$20:$B$29="Capital")*(Inputs!$C$20:$C$29="Y")*(INDEX(Inputs!$E$20:$I$29,0,AZ$3)-INDEX(Inputs!$J$20:$N$29,0,AZ$3))*((Inputs!$D$20:$D$29=AZ$4)+(Inputs!$D$20:$D$29=0)/12))+SUMPRODUCT(INDEX(Inputs!$C$36:$G$41,0,AZ$3)*((Inputs!$B$36:$B$41=AZ$4)+(Inputs!$B$36:$B$41=0)/12)))</f>
        <v>-0</v>
      </c>
      <c r="BA25" s="11" t="n">
        <f aca="false">-(SUMPRODUCT((Inputs!$B$20:$B$29="Capital")*(Inputs!$C$20:$C$29="Y")*(INDEX(Inputs!$E$20:$I$29,0,BA$3)-INDEX(Inputs!$J$20:$N$29,0,BA$3))*((Inputs!$D$20:$D$29=BA$4)+(Inputs!$D$20:$D$29=0)/12))+SUMPRODUCT(INDEX(Inputs!$C$36:$G$41,0,BA$3)*((Inputs!$B$36:$B$41=BA$4)+(Inputs!$B$36:$B$41=0)/12)))</f>
        <v>-0</v>
      </c>
      <c r="BB25" s="11" t="n">
        <f aca="false">-(SUMPRODUCT((Inputs!$B$20:$B$29="Capital")*(Inputs!$C$20:$C$29="Y")*(INDEX(Inputs!$E$20:$I$29,0,BB$3)-INDEX(Inputs!$J$20:$N$29,0,BB$3))*((Inputs!$D$20:$D$29=BB$4)+(Inputs!$D$20:$D$29=0)/12))+SUMPRODUCT(INDEX(Inputs!$C$36:$G$41,0,BB$3)*((Inputs!$B$36:$B$41=BB$4)+(Inputs!$B$36:$B$41=0)/12)))</f>
        <v>-0</v>
      </c>
      <c r="BC25" s="11" t="n">
        <f aca="false">-(SUMPRODUCT((Inputs!$B$20:$B$29="Capital")*(Inputs!$C$20:$C$29="Y")*(INDEX(Inputs!$E$20:$I$29,0,BC$3)-INDEX(Inputs!$J$20:$N$29,0,BC$3))*((Inputs!$D$20:$D$29=BC$4)+(Inputs!$D$20:$D$29=0)/12))+SUMPRODUCT(INDEX(Inputs!$C$36:$G$41,0,BC$3)*((Inputs!$B$36:$B$41=BC$4)+(Inputs!$B$36:$B$41=0)/12)))</f>
        <v>-0</v>
      </c>
      <c r="BD25" s="11" t="n">
        <f aca="false">-(SUMPRODUCT((Inputs!$B$20:$B$29="Capital")*(Inputs!$C$20:$C$29="Y")*(INDEX(Inputs!$E$20:$I$29,0,BD$3)-INDEX(Inputs!$J$20:$N$29,0,BD$3))*((Inputs!$D$20:$D$29=BD$4)+(Inputs!$D$20:$D$29=0)/12))+SUMPRODUCT(INDEX(Inputs!$C$36:$G$41,0,BD$3)*((Inputs!$B$36:$B$41=BD$4)+(Inputs!$B$36:$B$41=0)/12)))</f>
        <v>-0</v>
      </c>
      <c r="BE25" s="11" t="n">
        <f aca="false">-(SUMPRODUCT((Inputs!$B$20:$B$29="Capital")*(Inputs!$C$20:$C$29="Y")*(INDEX(Inputs!$E$20:$I$29,0,BE$3)-INDEX(Inputs!$J$20:$N$29,0,BE$3))*((Inputs!$D$20:$D$29=BE$4)+(Inputs!$D$20:$D$29=0)/12))+SUMPRODUCT(INDEX(Inputs!$C$36:$G$41,0,BE$3)*((Inputs!$B$36:$B$41=BE$4)+(Inputs!$B$36:$B$41=0)/12)))</f>
        <v>-0</v>
      </c>
      <c r="BF25" s="11" t="n">
        <f aca="false">-(SUMPRODUCT((Inputs!$B$20:$B$29="Capital")*(Inputs!$C$20:$C$29="Y")*(INDEX(Inputs!$E$20:$I$29,0,BF$3)-INDEX(Inputs!$J$20:$N$29,0,BF$3))*((Inputs!$D$20:$D$29=BF$4)+(Inputs!$D$20:$D$29=0)/12))+SUMPRODUCT(INDEX(Inputs!$C$36:$G$41,0,BF$3)*((Inputs!$B$36:$B$41=BF$4)+(Inputs!$B$36:$B$41=0)/12)))</f>
        <v>-0</v>
      </c>
      <c r="BG25" s="11" t="n">
        <f aca="false">-(SUMPRODUCT((Inputs!$B$20:$B$29="Capital")*(Inputs!$C$20:$C$29="Y")*(INDEX(Inputs!$E$20:$I$29,0,BG$3)-INDEX(Inputs!$J$20:$N$29,0,BG$3))*((Inputs!$D$20:$D$29=BG$4)+(Inputs!$D$20:$D$29=0)/12))+SUMPRODUCT(INDEX(Inputs!$C$36:$G$41,0,BG$3)*((Inputs!$B$36:$B$41=BG$4)+(Inputs!$B$36:$B$41=0)/12)))</f>
        <v>-0</v>
      </c>
      <c r="BH25" s="11" t="n">
        <f aca="false">-(SUMPRODUCT((Inputs!$B$20:$B$29="Capital")*(Inputs!$C$20:$C$29="Y")*(INDEX(Inputs!$E$20:$I$29,0,BH$3)-INDEX(Inputs!$J$20:$N$29,0,BH$3))*((Inputs!$D$20:$D$29=BH$4)+(Inputs!$D$20:$D$29=0)/12))+SUMPRODUCT(INDEX(Inputs!$C$36:$G$41,0,BH$3)*((Inputs!$B$36:$B$41=BH$4)+(Inputs!$B$36:$B$41=0)/12)))</f>
        <v>-0</v>
      </c>
      <c r="BI25" s="11" t="n">
        <f aca="false">-(SUMPRODUCT((Inputs!$B$20:$B$29="Capital")*(Inputs!$C$20:$C$29="Y")*(INDEX(Inputs!$E$20:$I$29,0,BI$3)-INDEX(Inputs!$J$20:$N$29,0,BI$3))*((Inputs!$D$20:$D$29=BI$4)+(Inputs!$D$20:$D$29=0)/12))+SUMPRODUCT(INDEX(Inputs!$C$36:$G$41,0,BI$3)*((Inputs!$B$36:$B$41=BI$4)+(Inputs!$B$36:$B$41=0)/12)))</f>
        <v>-0</v>
      </c>
    </row>
    <row r="26" customFormat="false" ht="15" hidden="false" customHeight="false" outlineLevel="0" collapsed="false">
      <c r="A26" s="6" t="s">
        <v>585</v>
      </c>
      <c r="B26" s="11" t="n">
        <f aca="false">-(INDEX(Inputs!$C$46:$G$46,B$3)*((Inputs!$B$46=B$4)+(Inputs!$B$46=0)/12)+INDEX(Inputs!$C$47:$G$47,B$3)*((Inputs!$B$47=B$4)+(Inputs!$B$47=0)/12))</f>
        <v>-0</v>
      </c>
      <c r="C26" s="11" t="n">
        <f aca="false">-(INDEX(Inputs!$C$46:$G$46,C$3)*((Inputs!$B$46=C$4)+(Inputs!$B$46=0)/12)+INDEX(Inputs!$C$47:$G$47,C$3)*((Inputs!$B$47=C$4)+(Inputs!$B$47=0)/12))</f>
        <v>-0</v>
      </c>
      <c r="D26" s="11" t="n">
        <f aca="false">-(INDEX(Inputs!$C$46:$G$46,D$3)*((Inputs!$B$46=D$4)+(Inputs!$B$46=0)/12)+INDEX(Inputs!$C$47:$G$47,D$3)*((Inputs!$B$47=D$4)+(Inputs!$B$47=0)/12))</f>
        <v>-0</v>
      </c>
      <c r="E26" s="11" t="n">
        <f aca="false">-(INDEX(Inputs!$C$46:$G$46,E$3)*((Inputs!$B$46=E$4)+(Inputs!$B$46=0)/12)+INDEX(Inputs!$C$47:$G$47,E$3)*((Inputs!$B$47=E$4)+(Inputs!$B$47=0)/12))</f>
        <v>-0</v>
      </c>
      <c r="F26" s="11" t="n">
        <f aca="false">-(INDEX(Inputs!$C$46:$G$46,F$3)*((Inputs!$B$46=F$4)+(Inputs!$B$46=0)/12)+INDEX(Inputs!$C$47:$G$47,F$3)*((Inputs!$B$47=F$4)+(Inputs!$B$47=0)/12))</f>
        <v>-0</v>
      </c>
      <c r="G26" s="11" t="n">
        <f aca="false">-(INDEX(Inputs!$C$46:$G$46,G$3)*((Inputs!$B$46=G$4)+(Inputs!$B$46=0)/12)+INDEX(Inputs!$C$47:$G$47,G$3)*((Inputs!$B$47=G$4)+(Inputs!$B$47=0)/12))</f>
        <v>-0</v>
      </c>
      <c r="H26" s="11" t="n">
        <f aca="false">-(INDEX(Inputs!$C$46:$G$46,H$3)*((Inputs!$B$46=H$4)+(Inputs!$B$46=0)/12)+INDEX(Inputs!$C$47:$G$47,H$3)*((Inputs!$B$47=H$4)+(Inputs!$B$47=0)/12))</f>
        <v>-0</v>
      </c>
      <c r="I26" s="11" t="n">
        <f aca="false">-(INDEX(Inputs!$C$46:$G$46,I$3)*((Inputs!$B$46=I$4)+(Inputs!$B$46=0)/12)+INDEX(Inputs!$C$47:$G$47,I$3)*((Inputs!$B$47=I$4)+(Inputs!$B$47=0)/12))</f>
        <v>-0</v>
      </c>
      <c r="J26" s="11" t="n">
        <f aca="false">-(INDEX(Inputs!$C$46:$G$46,J$3)*((Inputs!$B$46=J$4)+(Inputs!$B$46=0)/12)+INDEX(Inputs!$C$47:$G$47,J$3)*((Inputs!$B$47=J$4)+(Inputs!$B$47=0)/12))</f>
        <v>-0</v>
      </c>
      <c r="K26" s="11" t="n">
        <f aca="false">-(INDEX(Inputs!$C$46:$G$46,K$3)*((Inputs!$B$46=K$4)+(Inputs!$B$46=0)/12)+INDEX(Inputs!$C$47:$G$47,K$3)*((Inputs!$B$47=K$4)+(Inputs!$B$47=0)/12))</f>
        <v>-0</v>
      </c>
      <c r="L26" s="11" t="n">
        <f aca="false">-(INDEX(Inputs!$C$46:$G$46,L$3)*((Inputs!$B$46=L$4)+(Inputs!$B$46=0)/12)+INDEX(Inputs!$C$47:$G$47,L$3)*((Inputs!$B$47=L$4)+(Inputs!$B$47=0)/12))</f>
        <v>-0</v>
      </c>
      <c r="M26" s="11" t="n">
        <f aca="false">-(INDEX(Inputs!$C$46:$G$46,M$3)*((Inputs!$B$46=M$4)+(Inputs!$B$46=0)/12)+INDEX(Inputs!$C$47:$G$47,M$3)*((Inputs!$B$47=M$4)+(Inputs!$B$47=0)/12))</f>
        <v>-0</v>
      </c>
      <c r="N26" s="11" t="n">
        <f aca="false">-(INDEX(Inputs!$C$46:$G$46,N$3)*((Inputs!$B$46=N$4)+(Inputs!$B$46=0)/12)+INDEX(Inputs!$C$47:$G$47,N$3)*((Inputs!$B$47=N$4)+(Inputs!$B$47=0)/12))</f>
        <v>-0</v>
      </c>
      <c r="O26" s="11" t="n">
        <f aca="false">-(INDEX(Inputs!$C$46:$G$46,O$3)*((Inputs!$B$46=O$4)+(Inputs!$B$46=0)/12)+INDEX(Inputs!$C$47:$G$47,O$3)*((Inputs!$B$47=O$4)+(Inputs!$B$47=0)/12))</f>
        <v>-0</v>
      </c>
      <c r="P26" s="11" t="n">
        <f aca="false">-(INDEX(Inputs!$C$46:$G$46,P$3)*((Inputs!$B$46=P$4)+(Inputs!$B$46=0)/12)+INDEX(Inputs!$C$47:$G$47,P$3)*((Inputs!$B$47=P$4)+(Inputs!$B$47=0)/12))</f>
        <v>-0</v>
      </c>
      <c r="Q26" s="11" t="n">
        <f aca="false">-(INDEX(Inputs!$C$46:$G$46,Q$3)*((Inputs!$B$46=Q$4)+(Inputs!$B$46=0)/12)+INDEX(Inputs!$C$47:$G$47,Q$3)*((Inputs!$B$47=Q$4)+(Inputs!$B$47=0)/12))</f>
        <v>-0</v>
      </c>
      <c r="R26" s="11" t="n">
        <f aca="false">-(INDEX(Inputs!$C$46:$G$46,R$3)*((Inputs!$B$46=R$4)+(Inputs!$B$46=0)/12)+INDEX(Inputs!$C$47:$G$47,R$3)*((Inputs!$B$47=R$4)+(Inputs!$B$47=0)/12))</f>
        <v>-0</v>
      </c>
      <c r="S26" s="11" t="n">
        <f aca="false">-(INDEX(Inputs!$C$46:$G$46,S$3)*((Inputs!$B$46=S$4)+(Inputs!$B$46=0)/12)+INDEX(Inputs!$C$47:$G$47,S$3)*((Inputs!$B$47=S$4)+(Inputs!$B$47=0)/12))</f>
        <v>-0</v>
      </c>
      <c r="T26" s="11" t="n">
        <f aca="false">-(INDEX(Inputs!$C$46:$G$46,T$3)*((Inputs!$B$46=T$4)+(Inputs!$B$46=0)/12)+INDEX(Inputs!$C$47:$G$47,T$3)*((Inputs!$B$47=T$4)+(Inputs!$B$47=0)/12))</f>
        <v>-0</v>
      </c>
      <c r="U26" s="11" t="n">
        <f aca="false">-(INDEX(Inputs!$C$46:$G$46,U$3)*((Inputs!$B$46=U$4)+(Inputs!$B$46=0)/12)+INDEX(Inputs!$C$47:$G$47,U$3)*((Inputs!$B$47=U$4)+(Inputs!$B$47=0)/12))</f>
        <v>-0</v>
      </c>
      <c r="V26" s="11" t="n">
        <f aca="false">-(INDEX(Inputs!$C$46:$G$46,V$3)*((Inputs!$B$46=V$4)+(Inputs!$B$46=0)/12)+INDEX(Inputs!$C$47:$G$47,V$3)*((Inputs!$B$47=V$4)+(Inputs!$B$47=0)/12))</f>
        <v>-0</v>
      </c>
      <c r="W26" s="11" t="n">
        <f aca="false">-(INDEX(Inputs!$C$46:$G$46,W$3)*((Inputs!$B$46=W$4)+(Inputs!$B$46=0)/12)+INDEX(Inputs!$C$47:$G$47,W$3)*((Inputs!$B$47=W$4)+(Inputs!$B$47=0)/12))</f>
        <v>-0</v>
      </c>
      <c r="X26" s="11" t="n">
        <f aca="false">-(INDEX(Inputs!$C$46:$G$46,X$3)*((Inputs!$B$46=X$4)+(Inputs!$B$46=0)/12)+INDEX(Inputs!$C$47:$G$47,X$3)*((Inputs!$B$47=X$4)+(Inputs!$B$47=0)/12))</f>
        <v>-0</v>
      </c>
      <c r="Y26" s="11" t="n">
        <f aca="false">-(INDEX(Inputs!$C$46:$G$46,Y$3)*((Inputs!$B$46=Y$4)+(Inputs!$B$46=0)/12)+INDEX(Inputs!$C$47:$G$47,Y$3)*((Inputs!$B$47=Y$4)+(Inputs!$B$47=0)/12))</f>
        <v>-0</v>
      </c>
      <c r="Z26" s="11" t="n">
        <f aca="false">-(INDEX(Inputs!$C$46:$G$46,Z$3)*((Inputs!$B$46=Z$4)+(Inputs!$B$46=0)/12)+INDEX(Inputs!$C$47:$G$47,Z$3)*((Inputs!$B$47=Z$4)+(Inputs!$B$47=0)/12))</f>
        <v>-0</v>
      </c>
      <c r="AA26" s="11" t="n">
        <f aca="false">-(INDEX(Inputs!$C$46:$G$46,AA$3)*((Inputs!$B$46=AA$4)+(Inputs!$B$46=0)/12)+INDEX(Inputs!$C$47:$G$47,AA$3)*((Inputs!$B$47=AA$4)+(Inputs!$B$47=0)/12))</f>
        <v>-0</v>
      </c>
      <c r="AB26" s="11" t="n">
        <f aca="false">-(INDEX(Inputs!$C$46:$G$46,AB$3)*((Inputs!$B$46=AB$4)+(Inputs!$B$46=0)/12)+INDEX(Inputs!$C$47:$G$47,AB$3)*((Inputs!$B$47=AB$4)+(Inputs!$B$47=0)/12))</f>
        <v>-0</v>
      </c>
      <c r="AC26" s="11" t="n">
        <f aca="false">-(INDEX(Inputs!$C$46:$G$46,AC$3)*((Inputs!$B$46=AC$4)+(Inputs!$B$46=0)/12)+INDEX(Inputs!$C$47:$G$47,AC$3)*((Inputs!$B$47=AC$4)+(Inputs!$B$47=0)/12))</f>
        <v>-0</v>
      </c>
      <c r="AD26" s="11" t="n">
        <f aca="false">-(INDEX(Inputs!$C$46:$G$46,AD$3)*((Inputs!$B$46=AD$4)+(Inputs!$B$46=0)/12)+INDEX(Inputs!$C$47:$G$47,AD$3)*((Inputs!$B$47=AD$4)+(Inputs!$B$47=0)/12))</f>
        <v>-0</v>
      </c>
      <c r="AE26" s="11" t="n">
        <f aca="false">-(INDEX(Inputs!$C$46:$G$46,AE$3)*((Inputs!$B$46=AE$4)+(Inputs!$B$46=0)/12)+INDEX(Inputs!$C$47:$G$47,AE$3)*((Inputs!$B$47=AE$4)+(Inputs!$B$47=0)/12))</f>
        <v>-0</v>
      </c>
      <c r="AF26" s="11" t="n">
        <f aca="false">-(INDEX(Inputs!$C$46:$G$46,AF$3)*((Inputs!$B$46=AF$4)+(Inputs!$B$46=0)/12)+INDEX(Inputs!$C$47:$G$47,AF$3)*((Inputs!$B$47=AF$4)+(Inputs!$B$47=0)/12))</f>
        <v>-0</v>
      </c>
      <c r="AG26" s="11" t="n">
        <f aca="false">-(INDEX(Inputs!$C$46:$G$46,AG$3)*((Inputs!$B$46=AG$4)+(Inputs!$B$46=0)/12)+INDEX(Inputs!$C$47:$G$47,AG$3)*((Inputs!$B$47=AG$4)+(Inputs!$B$47=0)/12))</f>
        <v>-0</v>
      </c>
      <c r="AH26" s="11" t="n">
        <f aca="false">-(INDEX(Inputs!$C$46:$G$46,AH$3)*((Inputs!$B$46=AH$4)+(Inputs!$B$46=0)/12)+INDEX(Inputs!$C$47:$G$47,AH$3)*((Inputs!$B$47=AH$4)+(Inputs!$B$47=0)/12))</f>
        <v>-0</v>
      </c>
      <c r="AI26" s="11" t="n">
        <f aca="false">-(INDEX(Inputs!$C$46:$G$46,AI$3)*((Inputs!$B$46=AI$4)+(Inputs!$B$46=0)/12)+INDEX(Inputs!$C$47:$G$47,AI$3)*((Inputs!$B$47=AI$4)+(Inputs!$B$47=0)/12))</f>
        <v>-0</v>
      </c>
      <c r="AJ26" s="11" t="n">
        <f aca="false">-(INDEX(Inputs!$C$46:$G$46,AJ$3)*((Inputs!$B$46=AJ$4)+(Inputs!$B$46=0)/12)+INDEX(Inputs!$C$47:$G$47,AJ$3)*((Inputs!$B$47=AJ$4)+(Inputs!$B$47=0)/12))</f>
        <v>-0</v>
      </c>
      <c r="AK26" s="11" t="n">
        <f aca="false">-(INDEX(Inputs!$C$46:$G$46,AK$3)*((Inputs!$B$46=AK$4)+(Inputs!$B$46=0)/12)+INDEX(Inputs!$C$47:$G$47,AK$3)*((Inputs!$B$47=AK$4)+(Inputs!$B$47=0)/12))</f>
        <v>-0</v>
      </c>
      <c r="AL26" s="11" t="n">
        <f aca="false">-(INDEX(Inputs!$C$46:$G$46,AL$3)*((Inputs!$B$46=AL$4)+(Inputs!$B$46=0)/12)+INDEX(Inputs!$C$47:$G$47,AL$3)*((Inputs!$B$47=AL$4)+(Inputs!$B$47=0)/12))</f>
        <v>-0</v>
      </c>
      <c r="AM26" s="11" t="n">
        <f aca="false">-(INDEX(Inputs!$C$46:$G$46,AM$3)*((Inputs!$B$46=AM$4)+(Inputs!$B$46=0)/12)+INDEX(Inputs!$C$47:$G$47,AM$3)*((Inputs!$B$47=AM$4)+(Inputs!$B$47=0)/12))</f>
        <v>-0</v>
      </c>
      <c r="AN26" s="11" t="n">
        <f aca="false">-(INDEX(Inputs!$C$46:$G$46,AN$3)*((Inputs!$B$46=AN$4)+(Inputs!$B$46=0)/12)+INDEX(Inputs!$C$47:$G$47,AN$3)*((Inputs!$B$47=AN$4)+(Inputs!$B$47=0)/12))</f>
        <v>-0</v>
      </c>
      <c r="AO26" s="11" t="n">
        <f aca="false">-(INDEX(Inputs!$C$46:$G$46,AO$3)*((Inputs!$B$46=AO$4)+(Inputs!$B$46=0)/12)+INDEX(Inputs!$C$47:$G$47,AO$3)*((Inputs!$B$47=AO$4)+(Inputs!$B$47=0)/12))</f>
        <v>-0</v>
      </c>
      <c r="AP26" s="11" t="n">
        <f aca="false">-(INDEX(Inputs!$C$46:$G$46,AP$3)*((Inputs!$B$46=AP$4)+(Inputs!$B$46=0)/12)+INDEX(Inputs!$C$47:$G$47,AP$3)*((Inputs!$B$47=AP$4)+(Inputs!$B$47=0)/12))</f>
        <v>-0</v>
      </c>
      <c r="AQ26" s="11" t="n">
        <f aca="false">-(INDEX(Inputs!$C$46:$G$46,AQ$3)*((Inputs!$B$46=AQ$4)+(Inputs!$B$46=0)/12)+INDEX(Inputs!$C$47:$G$47,AQ$3)*((Inputs!$B$47=AQ$4)+(Inputs!$B$47=0)/12))</f>
        <v>-0</v>
      </c>
      <c r="AR26" s="11" t="n">
        <f aca="false">-(INDEX(Inputs!$C$46:$G$46,AR$3)*((Inputs!$B$46=AR$4)+(Inputs!$B$46=0)/12)+INDEX(Inputs!$C$47:$G$47,AR$3)*((Inputs!$B$47=AR$4)+(Inputs!$B$47=0)/12))</f>
        <v>-0</v>
      </c>
      <c r="AS26" s="11" t="n">
        <f aca="false">-(INDEX(Inputs!$C$46:$G$46,AS$3)*((Inputs!$B$46=AS$4)+(Inputs!$B$46=0)/12)+INDEX(Inputs!$C$47:$G$47,AS$3)*((Inputs!$B$47=AS$4)+(Inputs!$B$47=0)/12))</f>
        <v>-0</v>
      </c>
      <c r="AT26" s="11" t="n">
        <f aca="false">-(INDEX(Inputs!$C$46:$G$46,AT$3)*((Inputs!$B$46=AT$4)+(Inputs!$B$46=0)/12)+INDEX(Inputs!$C$47:$G$47,AT$3)*((Inputs!$B$47=AT$4)+(Inputs!$B$47=0)/12))</f>
        <v>-0</v>
      </c>
      <c r="AU26" s="11" t="n">
        <f aca="false">-(INDEX(Inputs!$C$46:$G$46,AU$3)*((Inputs!$B$46=AU$4)+(Inputs!$B$46=0)/12)+INDEX(Inputs!$C$47:$G$47,AU$3)*((Inputs!$B$47=AU$4)+(Inputs!$B$47=0)/12))</f>
        <v>-0</v>
      </c>
      <c r="AV26" s="11" t="n">
        <f aca="false">-(INDEX(Inputs!$C$46:$G$46,AV$3)*((Inputs!$B$46=AV$4)+(Inputs!$B$46=0)/12)+INDEX(Inputs!$C$47:$G$47,AV$3)*((Inputs!$B$47=AV$4)+(Inputs!$B$47=0)/12))</f>
        <v>-0</v>
      </c>
      <c r="AW26" s="11" t="n">
        <f aca="false">-(INDEX(Inputs!$C$46:$G$46,AW$3)*((Inputs!$B$46=AW$4)+(Inputs!$B$46=0)/12)+INDEX(Inputs!$C$47:$G$47,AW$3)*((Inputs!$B$47=AW$4)+(Inputs!$B$47=0)/12))</f>
        <v>-0</v>
      </c>
      <c r="AX26" s="11" t="n">
        <f aca="false">-(INDEX(Inputs!$C$46:$G$46,AX$3)*((Inputs!$B$46=AX$4)+(Inputs!$B$46=0)/12)+INDEX(Inputs!$C$47:$G$47,AX$3)*((Inputs!$B$47=AX$4)+(Inputs!$B$47=0)/12))</f>
        <v>-0</v>
      </c>
      <c r="AY26" s="11" t="n">
        <f aca="false">-(INDEX(Inputs!$C$46:$G$46,AY$3)*((Inputs!$B$46=AY$4)+(Inputs!$B$46=0)/12)+INDEX(Inputs!$C$47:$G$47,AY$3)*((Inputs!$B$47=AY$4)+(Inputs!$B$47=0)/12))</f>
        <v>-0</v>
      </c>
      <c r="AZ26" s="11" t="n">
        <f aca="false">-(INDEX(Inputs!$C$46:$G$46,AZ$3)*((Inputs!$B$46=AZ$4)+(Inputs!$B$46=0)/12)+INDEX(Inputs!$C$47:$G$47,AZ$3)*((Inputs!$B$47=AZ$4)+(Inputs!$B$47=0)/12))</f>
        <v>-0</v>
      </c>
      <c r="BA26" s="11" t="n">
        <f aca="false">-(INDEX(Inputs!$C$46:$G$46,BA$3)*((Inputs!$B$46=BA$4)+(Inputs!$B$46=0)/12)+INDEX(Inputs!$C$47:$G$47,BA$3)*((Inputs!$B$47=BA$4)+(Inputs!$B$47=0)/12))</f>
        <v>-0</v>
      </c>
      <c r="BB26" s="11" t="n">
        <f aca="false">-(INDEX(Inputs!$C$46:$G$46,BB$3)*((Inputs!$B$46=BB$4)+(Inputs!$B$46=0)/12)+INDEX(Inputs!$C$47:$G$47,BB$3)*((Inputs!$B$47=BB$4)+(Inputs!$B$47=0)/12))</f>
        <v>-0</v>
      </c>
      <c r="BC26" s="11" t="n">
        <f aca="false">-(INDEX(Inputs!$C$46:$G$46,BC$3)*((Inputs!$B$46=BC$4)+(Inputs!$B$46=0)/12)+INDEX(Inputs!$C$47:$G$47,BC$3)*((Inputs!$B$47=BC$4)+(Inputs!$B$47=0)/12))</f>
        <v>-0</v>
      </c>
      <c r="BD26" s="11" t="n">
        <f aca="false">-(INDEX(Inputs!$C$46:$G$46,BD$3)*((Inputs!$B$46=BD$4)+(Inputs!$B$46=0)/12)+INDEX(Inputs!$C$47:$G$47,BD$3)*((Inputs!$B$47=BD$4)+(Inputs!$B$47=0)/12))</f>
        <v>-0</v>
      </c>
      <c r="BE26" s="11" t="n">
        <f aca="false">-(INDEX(Inputs!$C$46:$G$46,BE$3)*((Inputs!$B$46=BE$4)+(Inputs!$B$46=0)/12)+INDEX(Inputs!$C$47:$G$47,BE$3)*((Inputs!$B$47=BE$4)+(Inputs!$B$47=0)/12))</f>
        <v>-0</v>
      </c>
      <c r="BF26" s="11" t="n">
        <f aca="false">-(INDEX(Inputs!$C$46:$G$46,BF$3)*((Inputs!$B$46=BF$4)+(Inputs!$B$46=0)/12)+INDEX(Inputs!$C$47:$G$47,BF$3)*((Inputs!$B$47=BF$4)+(Inputs!$B$47=0)/12))</f>
        <v>-0</v>
      </c>
      <c r="BG26" s="11" t="n">
        <f aca="false">-(INDEX(Inputs!$C$46:$G$46,BG$3)*((Inputs!$B$46=BG$4)+(Inputs!$B$46=0)/12)+INDEX(Inputs!$C$47:$G$47,BG$3)*((Inputs!$B$47=BG$4)+(Inputs!$B$47=0)/12))</f>
        <v>-0</v>
      </c>
      <c r="BH26" s="11" t="n">
        <f aca="false">-(INDEX(Inputs!$C$46:$G$46,BH$3)*((Inputs!$B$46=BH$4)+(Inputs!$B$46=0)/12)+INDEX(Inputs!$C$47:$G$47,BH$3)*((Inputs!$B$47=BH$4)+(Inputs!$B$47=0)/12))</f>
        <v>-0</v>
      </c>
      <c r="BI26" s="11" t="n">
        <f aca="false">-(INDEX(Inputs!$C$46:$G$46,BI$3)*((Inputs!$B$46=BI$4)+(Inputs!$B$46=0)/12)+INDEX(Inputs!$C$47:$G$47,BI$3)*((Inputs!$B$47=BI$4)+(Inputs!$B$47=0)/12))</f>
        <v>-0</v>
      </c>
    </row>
    <row r="28" customFormat="false" ht="15" hidden="false" customHeight="false" outlineLevel="0" collapsed="false">
      <c r="A28" s="6" t="s">
        <v>586</v>
      </c>
      <c r="B28" s="11" t="n">
        <f aca="false">Inputs!$D$58</f>
        <v>1163777.81</v>
      </c>
      <c r="C28" s="11" t="n">
        <f aca="false">B31</f>
        <v>1442743.47231884</v>
      </c>
      <c r="D28" s="11" t="n">
        <f aca="false">C31</f>
        <v>1518064.38333333</v>
      </c>
      <c r="E28" s="11" t="n">
        <f aca="false">D31</f>
        <v>1234730.04565217</v>
      </c>
      <c r="F28" s="11" t="n">
        <f aca="false">E31</f>
        <v>951395.707971015</v>
      </c>
      <c r="G28" s="11" t="n">
        <f aca="false">F31</f>
        <v>1026716.61898551</v>
      </c>
      <c r="H28" s="11" t="n">
        <f aca="false">G31</f>
        <v>743382.281304348</v>
      </c>
      <c r="I28" s="11" t="n">
        <f aca="false">H31</f>
        <v>460047.943623189</v>
      </c>
      <c r="J28" s="11" t="n">
        <f aca="false">I31</f>
        <v>535368.854637682</v>
      </c>
      <c r="K28" s="11" t="n">
        <f aca="false">J31</f>
        <v>252034.516956522</v>
      </c>
      <c r="L28" s="11" t="n">
        <f aca="false">K31</f>
        <v>-31299.8207246371</v>
      </c>
      <c r="M28" s="11" t="n">
        <f aca="false">L31</f>
        <v>96722.515167973</v>
      </c>
      <c r="N28" s="11" t="n">
        <f aca="false">M31</f>
        <v>1336601.55559222</v>
      </c>
      <c r="O28" s="11" t="n">
        <f aca="false">N31</f>
        <v>1533538.4423438</v>
      </c>
      <c r="P28" s="11" t="n">
        <f aca="false">O31</f>
        <v>1631873.54826322</v>
      </c>
      <c r="Q28" s="11" t="n">
        <f aca="false">P31</f>
        <v>1349000.64120036</v>
      </c>
      <c r="R28" s="11" t="n">
        <f aca="false">Q31</f>
        <v>1066127.7341375</v>
      </c>
      <c r="S28" s="11" t="n">
        <f aca="false">R31</f>
        <v>1164462.84005692</v>
      </c>
      <c r="T28" s="11" t="n">
        <f aca="false">S31</f>
        <v>881589.932994061</v>
      </c>
      <c r="U28" s="11" t="n">
        <f aca="false">T31</f>
        <v>598717.025931203</v>
      </c>
      <c r="V28" s="11" t="n">
        <f aca="false">U31</f>
        <v>697052.131850621</v>
      </c>
      <c r="W28" s="11" t="n">
        <f aca="false">V31</f>
        <v>414179.224787763</v>
      </c>
      <c r="X28" s="11" t="n">
        <f aca="false">W31</f>
        <v>131306.317724906</v>
      </c>
      <c r="Y28" s="11" t="n">
        <f aca="false">X31</f>
        <v>261776.143360121</v>
      </c>
      <c r="Z28" s="11" t="n">
        <f aca="false">Y31</f>
        <v>1544211.38758533</v>
      </c>
      <c r="AA28" s="11" t="n">
        <f aca="false">Z31</f>
        <v>1681204.10821204</v>
      </c>
      <c r="AB28" s="11" t="n">
        <f aca="false">AA31</f>
        <v>1784183.20505046</v>
      </c>
      <c r="AC28" s="11" t="n">
        <f aca="false">AB31</f>
        <v>1492202.72980088</v>
      </c>
      <c r="AD28" s="11" t="n">
        <f aca="false">AC31</f>
        <v>1200222.2545513</v>
      </c>
      <c r="AE28" s="11" t="n">
        <f aca="false">AD31</f>
        <v>1303201.35138972</v>
      </c>
      <c r="AF28" s="11" t="n">
        <f aca="false">AE31</f>
        <v>1011220.87614014</v>
      </c>
      <c r="AG28" s="11" t="n">
        <f aca="false">AF31</f>
        <v>719240.400890566</v>
      </c>
      <c r="AH28" s="11" t="n">
        <f aca="false">AG31</f>
        <v>822219.497728985</v>
      </c>
      <c r="AI28" s="11" t="n">
        <f aca="false">AH31</f>
        <v>530239.022479408</v>
      </c>
      <c r="AJ28" s="11" t="n">
        <f aca="false">AI31</f>
        <v>238258.547229831</v>
      </c>
      <c r="AK28" s="11" t="n">
        <f aca="false">AJ31</f>
        <v>371797.469747958</v>
      </c>
      <c r="AL28" s="11" t="n">
        <f aca="false">AK31</f>
        <v>1695444.83250682</v>
      </c>
      <c r="AM28" s="11" t="n">
        <f aca="false">AL31</f>
        <v>1831068.81932641</v>
      </c>
      <c r="AN28" s="11" t="n">
        <f aca="false">AM31</f>
        <v>1947151.11967772</v>
      </c>
      <c r="AO28" s="11" t="n">
        <f aca="false">AN31</f>
        <v>1655196.24051792</v>
      </c>
      <c r="AP28" s="11" t="n">
        <f aca="false">AO31</f>
        <v>1363241.36135812</v>
      </c>
      <c r="AQ28" s="11" t="n">
        <f aca="false">AP31</f>
        <v>1479323.66170943</v>
      </c>
      <c r="AR28" s="11" t="n">
        <f aca="false">AQ31</f>
        <v>1187368.78254963</v>
      </c>
      <c r="AS28" s="11" t="n">
        <f aca="false">AR31</f>
        <v>895413.903389827</v>
      </c>
      <c r="AT28" s="11" t="n">
        <f aca="false">AS31</f>
        <v>1011496.20374114</v>
      </c>
      <c r="AU28" s="11" t="n">
        <f aca="false">AT31</f>
        <v>719541.324581338</v>
      </c>
      <c r="AV28" s="11" t="n">
        <f aca="false">AU31</f>
        <v>427586.445421538</v>
      </c>
      <c r="AW28" s="11" t="n">
        <f aca="false">AV31</f>
        <v>573571.690770359</v>
      </c>
      <c r="AX28" s="11" t="n">
        <f aca="false">AW31</f>
        <v>1946988.51721862</v>
      </c>
      <c r="AY28" s="11" t="n">
        <f aca="false">AX31</f>
        <v>2075226.71135378</v>
      </c>
      <c r="AZ28" s="11" t="n">
        <f aca="false">AY31</f>
        <v>2197835.18837545</v>
      </c>
      <c r="BA28" s="11" t="n">
        <f aca="false">AZ31</f>
        <v>1899609.98044875</v>
      </c>
      <c r="BB28" s="11" t="n">
        <f aca="false">BA31</f>
        <v>1601384.77252205</v>
      </c>
      <c r="BC28" s="11" t="n">
        <f aca="false">BB31</f>
        <v>1723993.24954372</v>
      </c>
      <c r="BD28" s="11" t="n">
        <f aca="false">BC31</f>
        <v>1425768.04161702</v>
      </c>
      <c r="BE28" s="11" t="n">
        <f aca="false">BD31</f>
        <v>1127542.83369032</v>
      </c>
      <c r="BF28" s="11" t="n">
        <f aca="false">BE31</f>
        <v>1250151.31071199</v>
      </c>
      <c r="BG28" s="11" t="n">
        <f aca="false">BF31</f>
        <v>951926.102785289</v>
      </c>
      <c r="BH28" s="11" t="n">
        <f aca="false">BG31</f>
        <v>653700.894858586</v>
      </c>
      <c r="BI28" s="11" t="n">
        <f aca="false">BH31</f>
        <v>815645.631598355</v>
      </c>
    </row>
    <row r="29" customFormat="false" ht="15" hidden="false" customHeight="false" outlineLevel="0" collapsed="false">
      <c r="A29" s="6" t="s">
        <v>587</v>
      </c>
      <c r="B29" s="11" t="n">
        <f aca="false">B23</f>
        <v>278965.662318841</v>
      </c>
      <c r="C29" s="11" t="n">
        <f aca="false">C23</f>
        <v>75320.9110144927</v>
      </c>
      <c r="D29" s="11" t="n">
        <f aca="false">D23</f>
        <v>-283334.337681159</v>
      </c>
      <c r="E29" s="11" t="n">
        <f aca="false">E23</f>
        <v>-283334.337681159</v>
      </c>
      <c r="F29" s="11" t="n">
        <f aca="false">F23</f>
        <v>75320.9110144927</v>
      </c>
      <c r="G29" s="11" t="n">
        <f aca="false">G23</f>
        <v>-283334.337681159</v>
      </c>
      <c r="H29" s="11" t="n">
        <f aca="false">H23</f>
        <v>-283334.337681159</v>
      </c>
      <c r="I29" s="11" t="n">
        <f aca="false">I23</f>
        <v>75320.9110144927</v>
      </c>
      <c r="J29" s="11" t="n">
        <f aca="false">J23</f>
        <v>-283334.337681159</v>
      </c>
      <c r="K29" s="11" t="n">
        <f aca="false">K23</f>
        <v>-283334.337681159</v>
      </c>
      <c r="L29" s="11" t="n">
        <f aca="false">L23</f>
        <v>128022.33589261</v>
      </c>
      <c r="M29" s="11" t="n">
        <f aca="false">M23</f>
        <v>1239879.04042425</v>
      </c>
      <c r="N29" s="11" t="n">
        <f aca="false">N23</f>
        <v>196936.886751575</v>
      </c>
      <c r="O29" s="11" t="n">
        <f aca="false">O23</f>
        <v>98335.1059194183</v>
      </c>
      <c r="P29" s="11" t="n">
        <f aca="false">P23</f>
        <v>-282872.907062858</v>
      </c>
      <c r="Q29" s="11" t="n">
        <f aca="false">Q23</f>
        <v>-282872.907062858</v>
      </c>
      <c r="R29" s="11" t="n">
        <f aca="false">R23</f>
        <v>98335.1059194183</v>
      </c>
      <c r="S29" s="11" t="n">
        <f aca="false">S23</f>
        <v>-282872.907062858</v>
      </c>
      <c r="T29" s="11" t="n">
        <f aca="false">T23</f>
        <v>-282872.907062858</v>
      </c>
      <c r="U29" s="11" t="n">
        <f aca="false">U23</f>
        <v>98335.1059194183</v>
      </c>
      <c r="V29" s="11" t="n">
        <f aca="false">V23</f>
        <v>-282872.907062858</v>
      </c>
      <c r="W29" s="11" t="n">
        <f aca="false">W23</f>
        <v>-282872.907062858</v>
      </c>
      <c r="X29" s="11" t="n">
        <f aca="false">X23</f>
        <v>130469.825635216</v>
      </c>
      <c r="Y29" s="11" t="n">
        <f aca="false">Y23</f>
        <v>1282435.2442252</v>
      </c>
      <c r="Z29" s="11" t="n">
        <f aca="false">Z23</f>
        <v>136992.720626712</v>
      </c>
      <c r="AA29" s="11" t="n">
        <f aca="false">AA23</f>
        <v>102979.096838419</v>
      </c>
      <c r="AB29" s="11" t="n">
        <f aca="false">AB23</f>
        <v>-291980.475249577</v>
      </c>
      <c r="AC29" s="11" t="n">
        <f aca="false">AC23</f>
        <v>-291980.475249577</v>
      </c>
      <c r="AD29" s="11" t="n">
        <f aca="false">AD23</f>
        <v>102979.096838419</v>
      </c>
      <c r="AE29" s="11" t="n">
        <f aca="false">AE23</f>
        <v>-291980.475249577</v>
      </c>
      <c r="AF29" s="11" t="n">
        <f aca="false">AF23</f>
        <v>-291980.475249577</v>
      </c>
      <c r="AG29" s="11" t="n">
        <f aca="false">AG23</f>
        <v>102979.096838419</v>
      </c>
      <c r="AH29" s="11" t="n">
        <f aca="false">AH23</f>
        <v>-291980.475249577</v>
      </c>
      <c r="AI29" s="11" t="n">
        <f aca="false">AI23</f>
        <v>-291980.475249577</v>
      </c>
      <c r="AJ29" s="11" t="n">
        <f aca="false">AJ23</f>
        <v>133538.922518127</v>
      </c>
      <c r="AK29" s="11" t="n">
        <f aca="false">AK23</f>
        <v>1323647.36275887</v>
      </c>
      <c r="AL29" s="11" t="n">
        <f aca="false">AL23</f>
        <v>135623.986819582</v>
      </c>
      <c r="AM29" s="11" t="n">
        <f aca="false">AM23</f>
        <v>116082.300351311</v>
      </c>
      <c r="AN29" s="11" t="n">
        <f aca="false">AN23</f>
        <v>-291954.8791598</v>
      </c>
      <c r="AO29" s="11" t="n">
        <f aca="false">AO23</f>
        <v>-291954.8791598</v>
      </c>
      <c r="AP29" s="11" t="n">
        <f aca="false">AP23</f>
        <v>116082.300351311</v>
      </c>
      <c r="AQ29" s="11" t="n">
        <f aca="false">AQ23</f>
        <v>-291954.8791598</v>
      </c>
      <c r="AR29" s="11" t="n">
        <f aca="false">AR23</f>
        <v>-291954.8791598</v>
      </c>
      <c r="AS29" s="11" t="n">
        <f aca="false">AS23</f>
        <v>116082.300351311</v>
      </c>
      <c r="AT29" s="11" t="n">
        <f aca="false">AT23</f>
        <v>-291954.8791598</v>
      </c>
      <c r="AU29" s="11" t="n">
        <f aca="false">AU23</f>
        <v>-291954.8791598</v>
      </c>
      <c r="AV29" s="11" t="n">
        <f aca="false">AV23</f>
        <v>145985.245348821</v>
      </c>
      <c r="AW29" s="11" t="n">
        <f aca="false">AW23</f>
        <v>1373416.82644826</v>
      </c>
      <c r="AX29" s="11" t="n">
        <f aca="false">AX23</f>
        <v>128238.194135152</v>
      </c>
      <c r="AY29" s="11" t="n">
        <f aca="false">AY23</f>
        <v>122608.477021677</v>
      </c>
      <c r="AZ29" s="11" t="n">
        <f aca="false">AZ23</f>
        <v>-298225.207926704</v>
      </c>
      <c r="BA29" s="11" t="n">
        <f aca="false">BA23</f>
        <v>-298225.207926704</v>
      </c>
      <c r="BB29" s="11" t="n">
        <f aca="false">BB23</f>
        <v>122608.477021677</v>
      </c>
      <c r="BC29" s="11" t="n">
        <f aca="false">BC23</f>
        <v>-298225.207926704</v>
      </c>
      <c r="BD29" s="11" t="n">
        <f aca="false">BD23</f>
        <v>-298225.207926704</v>
      </c>
      <c r="BE29" s="11" t="n">
        <f aca="false">BE23</f>
        <v>122608.477021677</v>
      </c>
      <c r="BF29" s="11" t="n">
        <f aca="false">BF23</f>
        <v>-298225.207926704</v>
      </c>
      <c r="BG29" s="11" t="n">
        <f aca="false">BG23</f>
        <v>-298225.207926704</v>
      </c>
      <c r="BH29" s="11" t="n">
        <f aca="false">BH23</f>
        <v>161944.736739769</v>
      </c>
      <c r="BI29" s="11" t="n">
        <f aca="false">BI23</f>
        <v>1438473.58108319</v>
      </c>
    </row>
    <row r="30" customFormat="false" ht="15" hidden="false" customHeight="false" outlineLevel="0" collapsed="false">
      <c r="A30" s="6" t="s">
        <v>588</v>
      </c>
      <c r="B30" s="11" t="n">
        <f aca="false">B25+B26</f>
        <v>-0</v>
      </c>
      <c r="C30" s="11" t="n">
        <f aca="false">C25+C26</f>
        <v>-0</v>
      </c>
      <c r="D30" s="11" t="n">
        <f aca="false">D25+D26</f>
        <v>-0</v>
      </c>
      <c r="E30" s="11" t="n">
        <f aca="false">E25+E26</f>
        <v>-0</v>
      </c>
      <c r="F30" s="11" t="n">
        <f aca="false">F25+F26</f>
        <v>-0</v>
      </c>
      <c r="G30" s="11" t="n">
        <f aca="false">G25+G26</f>
        <v>-0</v>
      </c>
      <c r="H30" s="11" t="n">
        <f aca="false">H25+H26</f>
        <v>-0</v>
      </c>
      <c r="I30" s="11" t="n">
        <f aca="false">I25+I26</f>
        <v>-0</v>
      </c>
      <c r="J30" s="11" t="n">
        <f aca="false">J25+J26</f>
        <v>-0</v>
      </c>
      <c r="K30" s="11" t="n">
        <f aca="false">K25+K26</f>
        <v>-0</v>
      </c>
      <c r="L30" s="11" t="n">
        <f aca="false">L25+L26</f>
        <v>-0</v>
      </c>
      <c r="M30" s="11" t="n">
        <f aca="false">M25+M26</f>
        <v>-0</v>
      </c>
      <c r="N30" s="11" t="n">
        <f aca="false">N25+N26</f>
        <v>-0</v>
      </c>
      <c r="O30" s="11" t="n">
        <f aca="false">O25+O26</f>
        <v>-0</v>
      </c>
      <c r="P30" s="11" t="n">
        <f aca="false">P25+P26</f>
        <v>-0</v>
      </c>
      <c r="Q30" s="11" t="n">
        <f aca="false">Q25+Q26</f>
        <v>-0</v>
      </c>
      <c r="R30" s="11" t="n">
        <f aca="false">R25+R26</f>
        <v>-0</v>
      </c>
      <c r="S30" s="11" t="n">
        <f aca="false">S25+S26</f>
        <v>-0</v>
      </c>
      <c r="T30" s="11" t="n">
        <f aca="false">T25+T26</f>
        <v>-0</v>
      </c>
      <c r="U30" s="11" t="n">
        <f aca="false">U25+U26</f>
        <v>-0</v>
      </c>
      <c r="V30" s="11" t="n">
        <f aca="false">V25+V26</f>
        <v>-0</v>
      </c>
      <c r="W30" s="11" t="n">
        <f aca="false">W25+W26</f>
        <v>-0</v>
      </c>
      <c r="X30" s="11" t="n">
        <f aca="false">X25+X26</f>
        <v>-0</v>
      </c>
      <c r="Y30" s="11" t="n">
        <f aca="false">Y25+Y26</f>
        <v>-0</v>
      </c>
      <c r="Z30" s="11" t="n">
        <f aca="false">Z25+Z26</f>
        <v>-0</v>
      </c>
      <c r="AA30" s="11" t="n">
        <f aca="false">AA25+AA26</f>
        <v>-0</v>
      </c>
      <c r="AB30" s="11" t="n">
        <f aca="false">AB25+AB26</f>
        <v>-0</v>
      </c>
      <c r="AC30" s="11" t="n">
        <f aca="false">AC25+AC26</f>
        <v>-0</v>
      </c>
      <c r="AD30" s="11" t="n">
        <f aca="false">AD25+AD26</f>
        <v>-0</v>
      </c>
      <c r="AE30" s="11" t="n">
        <f aca="false">AE25+AE26</f>
        <v>-0</v>
      </c>
      <c r="AF30" s="11" t="n">
        <f aca="false">AF25+AF26</f>
        <v>-0</v>
      </c>
      <c r="AG30" s="11" t="n">
        <f aca="false">AG25+AG26</f>
        <v>-0</v>
      </c>
      <c r="AH30" s="11" t="n">
        <f aca="false">AH25+AH26</f>
        <v>-0</v>
      </c>
      <c r="AI30" s="11" t="n">
        <f aca="false">AI25+AI26</f>
        <v>-0</v>
      </c>
      <c r="AJ30" s="11" t="n">
        <f aca="false">AJ25+AJ26</f>
        <v>-0</v>
      </c>
      <c r="AK30" s="11" t="n">
        <f aca="false">AK25+AK26</f>
        <v>-0</v>
      </c>
      <c r="AL30" s="11" t="n">
        <f aca="false">AL25+AL26</f>
        <v>-0</v>
      </c>
      <c r="AM30" s="11" t="n">
        <f aca="false">AM25+AM26</f>
        <v>-0</v>
      </c>
      <c r="AN30" s="11" t="n">
        <f aca="false">AN25+AN26</f>
        <v>-0</v>
      </c>
      <c r="AO30" s="11" t="n">
        <f aca="false">AO25+AO26</f>
        <v>-0</v>
      </c>
      <c r="AP30" s="11" t="n">
        <f aca="false">AP25+AP26</f>
        <v>-0</v>
      </c>
      <c r="AQ30" s="11" t="n">
        <f aca="false">AQ25+AQ26</f>
        <v>-0</v>
      </c>
      <c r="AR30" s="11" t="n">
        <f aca="false">AR25+AR26</f>
        <v>-0</v>
      </c>
      <c r="AS30" s="11" t="n">
        <f aca="false">AS25+AS26</f>
        <v>-0</v>
      </c>
      <c r="AT30" s="11" t="n">
        <f aca="false">AT25+AT26</f>
        <v>-0</v>
      </c>
      <c r="AU30" s="11" t="n">
        <f aca="false">AU25+AU26</f>
        <v>-0</v>
      </c>
      <c r="AV30" s="11" t="n">
        <f aca="false">AV25+AV26</f>
        <v>-0</v>
      </c>
      <c r="AW30" s="11" t="n">
        <f aca="false">AW25+AW26</f>
        <v>-0</v>
      </c>
      <c r="AX30" s="11" t="n">
        <f aca="false">AX25+AX26</f>
        <v>-0</v>
      </c>
      <c r="AY30" s="11" t="n">
        <f aca="false">AY25+AY26</f>
        <v>-0</v>
      </c>
      <c r="AZ30" s="11" t="n">
        <f aca="false">AZ25+AZ26</f>
        <v>-0</v>
      </c>
      <c r="BA30" s="11" t="n">
        <f aca="false">BA25+BA26</f>
        <v>-0</v>
      </c>
      <c r="BB30" s="11" t="n">
        <f aca="false">BB25+BB26</f>
        <v>-0</v>
      </c>
      <c r="BC30" s="11" t="n">
        <f aca="false">BC25+BC26</f>
        <v>-0</v>
      </c>
      <c r="BD30" s="11" t="n">
        <f aca="false">BD25+BD26</f>
        <v>-0</v>
      </c>
      <c r="BE30" s="11" t="n">
        <f aca="false">BE25+BE26</f>
        <v>-0</v>
      </c>
      <c r="BF30" s="11" t="n">
        <f aca="false">BF25+BF26</f>
        <v>-0</v>
      </c>
      <c r="BG30" s="11" t="n">
        <f aca="false">BG25+BG26</f>
        <v>-0</v>
      </c>
      <c r="BH30" s="11" t="n">
        <f aca="false">BH25+BH26</f>
        <v>-0</v>
      </c>
      <c r="BI30" s="11" t="n">
        <f aca="false">BI25+BI26</f>
        <v>-0</v>
      </c>
    </row>
    <row r="31" customFormat="false" ht="15" hidden="false" customHeight="false" outlineLevel="0" collapsed="false">
      <c r="A31" s="12" t="s">
        <v>589</v>
      </c>
      <c r="B31" s="13" t="n">
        <f aca="false">B28+B29+B30</f>
        <v>1442743.47231884</v>
      </c>
      <c r="C31" s="13" t="n">
        <f aca="false">C28+C29+C30</f>
        <v>1518064.38333333</v>
      </c>
      <c r="D31" s="13" t="n">
        <f aca="false">D28+D29+D30</f>
        <v>1234730.04565217</v>
      </c>
      <c r="E31" s="13" t="n">
        <f aca="false">E28+E29+E30</f>
        <v>951395.707971015</v>
      </c>
      <c r="F31" s="13" t="n">
        <f aca="false">F28+F29+F30</f>
        <v>1026716.61898551</v>
      </c>
      <c r="G31" s="13" t="n">
        <f aca="false">G28+G29+G30</f>
        <v>743382.281304348</v>
      </c>
      <c r="H31" s="13" t="n">
        <f aca="false">H28+H29+H30</f>
        <v>460047.943623189</v>
      </c>
      <c r="I31" s="13" t="n">
        <f aca="false">I28+I29+I30</f>
        <v>535368.854637682</v>
      </c>
      <c r="J31" s="13" t="n">
        <f aca="false">J28+J29+J30</f>
        <v>252034.516956522</v>
      </c>
      <c r="K31" s="13" t="n">
        <f aca="false">K28+K29+K30</f>
        <v>-31299.8207246371</v>
      </c>
      <c r="L31" s="13" t="n">
        <f aca="false">L28+L29+L30</f>
        <v>96722.515167973</v>
      </c>
      <c r="M31" s="13" t="n">
        <f aca="false">M28+M29+M30</f>
        <v>1336601.55559222</v>
      </c>
      <c r="N31" s="13" t="n">
        <f aca="false">N28+N29+N30</f>
        <v>1533538.4423438</v>
      </c>
      <c r="O31" s="13" t="n">
        <f aca="false">O28+O29+O30</f>
        <v>1631873.54826322</v>
      </c>
      <c r="P31" s="13" t="n">
        <f aca="false">P28+P29+P30</f>
        <v>1349000.64120036</v>
      </c>
      <c r="Q31" s="13" t="n">
        <f aca="false">Q28+Q29+Q30</f>
        <v>1066127.7341375</v>
      </c>
      <c r="R31" s="13" t="n">
        <f aca="false">R28+R29+R30</f>
        <v>1164462.84005692</v>
      </c>
      <c r="S31" s="13" t="n">
        <f aca="false">S28+S29+S30</f>
        <v>881589.932994061</v>
      </c>
      <c r="T31" s="13" t="n">
        <f aca="false">T28+T29+T30</f>
        <v>598717.025931203</v>
      </c>
      <c r="U31" s="13" t="n">
        <f aca="false">U28+U29+U30</f>
        <v>697052.131850621</v>
      </c>
      <c r="V31" s="13" t="n">
        <f aca="false">V28+V29+V30</f>
        <v>414179.224787763</v>
      </c>
      <c r="W31" s="13" t="n">
        <f aca="false">W28+W29+W30</f>
        <v>131306.317724906</v>
      </c>
      <c r="X31" s="13" t="n">
        <f aca="false">X28+X29+X30</f>
        <v>261776.143360121</v>
      </c>
      <c r="Y31" s="13" t="n">
        <f aca="false">Y28+Y29+Y30</f>
        <v>1544211.38758533</v>
      </c>
      <c r="Z31" s="13" t="n">
        <f aca="false">Z28+Z29+Z30</f>
        <v>1681204.10821204</v>
      </c>
      <c r="AA31" s="13" t="n">
        <f aca="false">AA28+AA29+AA30</f>
        <v>1784183.20505046</v>
      </c>
      <c r="AB31" s="13" t="n">
        <f aca="false">AB28+AB29+AB30</f>
        <v>1492202.72980088</v>
      </c>
      <c r="AC31" s="13" t="n">
        <f aca="false">AC28+AC29+AC30</f>
        <v>1200222.2545513</v>
      </c>
      <c r="AD31" s="13" t="n">
        <f aca="false">AD28+AD29+AD30</f>
        <v>1303201.35138972</v>
      </c>
      <c r="AE31" s="13" t="n">
        <f aca="false">AE28+AE29+AE30</f>
        <v>1011220.87614014</v>
      </c>
      <c r="AF31" s="13" t="n">
        <f aca="false">AF28+AF29+AF30</f>
        <v>719240.400890566</v>
      </c>
      <c r="AG31" s="13" t="n">
        <f aca="false">AG28+AG29+AG30</f>
        <v>822219.497728985</v>
      </c>
      <c r="AH31" s="13" t="n">
        <f aca="false">AH28+AH29+AH30</f>
        <v>530239.022479408</v>
      </c>
      <c r="AI31" s="13" t="n">
        <f aca="false">AI28+AI29+AI30</f>
        <v>238258.547229831</v>
      </c>
      <c r="AJ31" s="13" t="n">
        <f aca="false">AJ28+AJ29+AJ30</f>
        <v>371797.469747958</v>
      </c>
      <c r="AK31" s="13" t="n">
        <f aca="false">AK28+AK29+AK30</f>
        <v>1695444.83250682</v>
      </c>
      <c r="AL31" s="13" t="n">
        <f aca="false">AL28+AL29+AL30</f>
        <v>1831068.81932641</v>
      </c>
      <c r="AM31" s="13" t="n">
        <f aca="false">AM28+AM29+AM30</f>
        <v>1947151.11967772</v>
      </c>
      <c r="AN31" s="13" t="n">
        <f aca="false">AN28+AN29+AN30</f>
        <v>1655196.24051792</v>
      </c>
      <c r="AO31" s="13" t="n">
        <f aca="false">AO28+AO29+AO30</f>
        <v>1363241.36135812</v>
      </c>
      <c r="AP31" s="13" t="n">
        <f aca="false">AP28+AP29+AP30</f>
        <v>1479323.66170943</v>
      </c>
      <c r="AQ31" s="13" t="n">
        <f aca="false">AQ28+AQ29+AQ30</f>
        <v>1187368.78254963</v>
      </c>
      <c r="AR31" s="13" t="n">
        <f aca="false">AR28+AR29+AR30</f>
        <v>895413.903389827</v>
      </c>
      <c r="AS31" s="13" t="n">
        <f aca="false">AS28+AS29+AS30</f>
        <v>1011496.20374114</v>
      </c>
      <c r="AT31" s="13" t="n">
        <f aca="false">AT28+AT29+AT30</f>
        <v>719541.324581338</v>
      </c>
      <c r="AU31" s="13" t="n">
        <f aca="false">AU28+AU29+AU30</f>
        <v>427586.445421538</v>
      </c>
      <c r="AV31" s="13" t="n">
        <f aca="false">AV28+AV29+AV30</f>
        <v>573571.690770359</v>
      </c>
      <c r="AW31" s="13" t="n">
        <f aca="false">AW28+AW29+AW30</f>
        <v>1946988.51721862</v>
      </c>
      <c r="AX31" s="13" t="n">
        <f aca="false">AX28+AX29+AX30</f>
        <v>2075226.71135378</v>
      </c>
      <c r="AY31" s="13" t="n">
        <f aca="false">AY28+AY29+AY30</f>
        <v>2197835.18837545</v>
      </c>
      <c r="AZ31" s="13" t="n">
        <f aca="false">AZ28+AZ29+AZ30</f>
        <v>1899609.98044875</v>
      </c>
      <c r="BA31" s="13" t="n">
        <f aca="false">BA28+BA29+BA30</f>
        <v>1601384.77252205</v>
      </c>
      <c r="BB31" s="13" t="n">
        <f aca="false">BB28+BB29+BB30</f>
        <v>1723993.24954372</v>
      </c>
      <c r="BC31" s="13" t="n">
        <f aca="false">BC28+BC29+BC30</f>
        <v>1425768.04161702</v>
      </c>
      <c r="BD31" s="13" t="n">
        <f aca="false">BD28+BD29+BD30</f>
        <v>1127542.83369032</v>
      </c>
      <c r="BE31" s="13" t="n">
        <f aca="false">BE28+BE29+BE30</f>
        <v>1250151.31071199</v>
      </c>
      <c r="BF31" s="13" t="n">
        <f aca="false">BF28+BF29+BF30</f>
        <v>951926.102785289</v>
      </c>
      <c r="BG31" s="13" t="n">
        <f aca="false">BG28+BG29+BG30</f>
        <v>653700.894858586</v>
      </c>
      <c r="BH31" s="13" t="n">
        <f aca="false">BH28+BH29+BH30</f>
        <v>815645.631598355</v>
      </c>
      <c r="BI31" s="13" t="n">
        <f aca="false">BI28+BI29+BI30</f>
        <v>2254119.21268154</v>
      </c>
    </row>
    <row r="33" customFormat="false" ht="15" hidden="false" customHeight="false" outlineLevel="0" collapsed="false">
      <c r="A33" s="6" t="s">
        <v>590</v>
      </c>
      <c r="B33" s="11" t="n">
        <f aca="false">Inputs!$D$59</f>
        <v>1042606.17</v>
      </c>
      <c r="C33" s="11" t="n">
        <f aca="false">B35</f>
        <v>1042606.17</v>
      </c>
      <c r="D33" s="11" t="n">
        <f aca="false">C35</f>
        <v>1042606.17</v>
      </c>
      <c r="E33" s="11" t="n">
        <f aca="false">D35</f>
        <v>1042606.17</v>
      </c>
      <c r="F33" s="11" t="n">
        <f aca="false">E35</f>
        <v>1042606.17</v>
      </c>
      <c r="G33" s="11" t="n">
        <f aca="false">F35</f>
        <v>1042606.17</v>
      </c>
      <c r="H33" s="11" t="n">
        <f aca="false">G35</f>
        <v>1042606.17</v>
      </c>
      <c r="I33" s="11" t="n">
        <f aca="false">H35</f>
        <v>1042606.17</v>
      </c>
      <c r="J33" s="11" t="n">
        <f aca="false">I35</f>
        <v>1042606.17</v>
      </c>
      <c r="K33" s="11" t="n">
        <f aca="false">J35</f>
        <v>1042606.17</v>
      </c>
      <c r="L33" s="11" t="n">
        <f aca="false">K35</f>
        <v>1042606.17</v>
      </c>
      <c r="M33" s="11" t="n">
        <f aca="false">L35</f>
        <v>1042606.17</v>
      </c>
      <c r="N33" s="11" t="n">
        <f aca="false">M35</f>
        <v>1042606.17</v>
      </c>
      <c r="O33" s="11" t="n">
        <f aca="false">N35</f>
        <v>1042606.17</v>
      </c>
      <c r="P33" s="11" t="n">
        <f aca="false">O35</f>
        <v>1042606.17</v>
      </c>
      <c r="Q33" s="11" t="n">
        <f aca="false">P35</f>
        <v>1042606.17</v>
      </c>
      <c r="R33" s="11" t="n">
        <f aca="false">Q35</f>
        <v>1042606.17</v>
      </c>
      <c r="S33" s="11" t="n">
        <f aca="false">R35</f>
        <v>1042606.17</v>
      </c>
      <c r="T33" s="11" t="n">
        <f aca="false">S35</f>
        <v>1042606.17</v>
      </c>
      <c r="U33" s="11" t="n">
        <f aca="false">T35</f>
        <v>1042606.17</v>
      </c>
      <c r="V33" s="11" t="n">
        <f aca="false">U35</f>
        <v>1042606.17</v>
      </c>
      <c r="W33" s="11" t="n">
        <f aca="false">V35</f>
        <v>1042606.17</v>
      </c>
      <c r="X33" s="11" t="n">
        <f aca="false">W35</f>
        <v>1042606.17</v>
      </c>
      <c r="Y33" s="11" t="n">
        <f aca="false">X35</f>
        <v>1042606.17</v>
      </c>
      <c r="Z33" s="11" t="n">
        <f aca="false">Y35</f>
        <v>1042606.17</v>
      </c>
      <c r="AA33" s="11" t="n">
        <f aca="false">Z35</f>
        <v>1042606.17</v>
      </c>
      <c r="AB33" s="11" t="n">
        <f aca="false">AA35</f>
        <v>1042606.17</v>
      </c>
      <c r="AC33" s="11" t="n">
        <f aca="false">AB35</f>
        <v>1042606.17</v>
      </c>
      <c r="AD33" s="11" t="n">
        <f aca="false">AC35</f>
        <v>1042606.17</v>
      </c>
      <c r="AE33" s="11" t="n">
        <f aca="false">AD35</f>
        <v>1042606.17</v>
      </c>
      <c r="AF33" s="11" t="n">
        <f aca="false">AE35</f>
        <v>1042606.17</v>
      </c>
      <c r="AG33" s="11" t="n">
        <f aca="false">AF35</f>
        <v>1042606.17</v>
      </c>
      <c r="AH33" s="11" t="n">
        <f aca="false">AG35</f>
        <v>1042606.17</v>
      </c>
      <c r="AI33" s="11" t="n">
        <f aca="false">AH35</f>
        <v>1042606.17</v>
      </c>
      <c r="AJ33" s="11" t="n">
        <f aca="false">AI35</f>
        <v>1042606.17</v>
      </c>
      <c r="AK33" s="11" t="n">
        <f aca="false">AJ35</f>
        <v>1042606.17</v>
      </c>
      <c r="AL33" s="11" t="n">
        <f aca="false">AK35</f>
        <v>1042606.17</v>
      </c>
      <c r="AM33" s="11" t="n">
        <f aca="false">AL35</f>
        <v>1042606.17</v>
      </c>
      <c r="AN33" s="11" t="n">
        <f aca="false">AM35</f>
        <v>1042606.17</v>
      </c>
      <c r="AO33" s="11" t="n">
        <f aca="false">AN35</f>
        <v>1042606.17</v>
      </c>
      <c r="AP33" s="11" t="n">
        <f aca="false">AO35</f>
        <v>1042606.17</v>
      </c>
      <c r="AQ33" s="11" t="n">
        <f aca="false">AP35</f>
        <v>1042606.17</v>
      </c>
      <c r="AR33" s="11" t="n">
        <f aca="false">AQ35</f>
        <v>1042606.17</v>
      </c>
      <c r="AS33" s="11" t="n">
        <f aca="false">AR35</f>
        <v>1042606.17</v>
      </c>
      <c r="AT33" s="11" t="n">
        <f aca="false">AS35</f>
        <v>1042606.17</v>
      </c>
      <c r="AU33" s="11" t="n">
        <f aca="false">AT35</f>
        <v>1042606.17</v>
      </c>
      <c r="AV33" s="11" t="n">
        <f aca="false">AU35</f>
        <v>1042606.17</v>
      </c>
      <c r="AW33" s="11" t="n">
        <f aca="false">AV35</f>
        <v>1042606.17</v>
      </c>
      <c r="AX33" s="11" t="n">
        <f aca="false">AW35</f>
        <v>1042606.17</v>
      </c>
      <c r="AY33" s="11" t="n">
        <f aca="false">AX35</f>
        <v>1042606.17</v>
      </c>
      <c r="AZ33" s="11" t="n">
        <f aca="false">AY35</f>
        <v>1042606.17</v>
      </c>
      <c r="BA33" s="11" t="n">
        <f aca="false">AZ35</f>
        <v>1042606.17</v>
      </c>
      <c r="BB33" s="11" t="n">
        <f aca="false">BA35</f>
        <v>1042606.17</v>
      </c>
      <c r="BC33" s="11" t="n">
        <f aca="false">BB35</f>
        <v>1042606.17</v>
      </c>
      <c r="BD33" s="11" t="n">
        <f aca="false">BC35</f>
        <v>1042606.17</v>
      </c>
      <c r="BE33" s="11" t="n">
        <f aca="false">BD35</f>
        <v>1042606.17</v>
      </c>
      <c r="BF33" s="11" t="n">
        <f aca="false">BE35</f>
        <v>1042606.17</v>
      </c>
      <c r="BG33" s="11" t="n">
        <f aca="false">BF35</f>
        <v>1042606.17</v>
      </c>
      <c r="BH33" s="11" t="n">
        <f aca="false">BG35</f>
        <v>1042606.17</v>
      </c>
      <c r="BI33" s="11" t="n">
        <f aca="false">BH35</f>
        <v>1042606.17</v>
      </c>
    </row>
    <row r="34" customFormat="false" ht="15" hidden="false" customHeight="false" outlineLevel="0" collapsed="false">
      <c r="A34" s="6" t="s">
        <v>591</v>
      </c>
      <c r="B34" s="11" t="n">
        <f aca="false">-B26</f>
        <v>0</v>
      </c>
      <c r="C34" s="11" t="n">
        <f aca="false">-C26</f>
        <v>0</v>
      </c>
      <c r="D34" s="11" t="n">
        <f aca="false">-D26</f>
        <v>0</v>
      </c>
      <c r="E34" s="11" t="n">
        <f aca="false">-E26</f>
        <v>0</v>
      </c>
      <c r="F34" s="11" t="n">
        <f aca="false">-F26</f>
        <v>0</v>
      </c>
      <c r="G34" s="11" t="n">
        <f aca="false">-G26</f>
        <v>0</v>
      </c>
      <c r="H34" s="11" t="n">
        <f aca="false">-H26</f>
        <v>0</v>
      </c>
      <c r="I34" s="11" t="n">
        <f aca="false">-I26</f>
        <v>0</v>
      </c>
      <c r="J34" s="11" t="n">
        <f aca="false">-J26</f>
        <v>0</v>
      </c>
      <c r="K34" s="11" t="n">
        <f aca="false">-K26</f>
        <v>0</v>
      </c>
      <c r="L34" s="11" t="n">
        <f aca="false">-L26</f>
        <v>0</v>
      </c>
      <c r="M34" s="11" t="n">
        <f aca="false">-M26</f>
        <v>0</v>
      </c>
      <c r="N34" s="11" t="n">
        <f aca="false">-N26</f>
        <v>0</v>
      </c>
      <c r="O34" s="11" t="n">
        <f aca="false">-O26</f>
        <v>0</v>
      </c>
      <c r="P34" s="11" t="n">
        <f aca="false">-P26</f>
        <v>0</v>
      </c>
      <c r="Q34" s="11" t="n">
        <f aca="false">-Q26</f>
        <v>0</v>
      </c>
      <c r="R34" s="11" t="n">
        <f aca="false">-R26</f>
        <v>0</v>
      </c>
      <c r="S34" s="11" t="n">
        <f aca="false">-S26</f>
        <v>0</v>
      </c>
      <c r="T34" s="11" t="n">
        <f aca="false">-T26</f>
        <v>0</v>
      </c>
      <c r="U34" s="11" t="n">
        <f aca="false">-U26</f>
        <v>0</v>
      </c>
      <c r="V34" s="11" t="n">
        <f aca="false">-V26</f>
        <v>0</v>
      </c>
      <c r="W34" s="11" t="n">
        <f aca="false">-W26</f>
        <v>0</v>
      </c>
      <c r="X34" s="11" t="n">
        <f aca="false">-X26</f>
        <v>0</v>
      </c>
      <c r="Y34" s="11" t="n">
        <f aca="false">-Y26</f>
        <v>0</v>
      </c>
      <c r="Z34" s="11" t="n">
        <f aca="false">-Z26</f>
        <v>0</v>
      </c>
      <c r="AA34" s="11" t="n">
        <f aca="false">-AA26</f>
        <v>0</v>
      </c>
      <c r="AB34" s="11" t="n">
        <f aca="false">-AB26</f>
        <v>0</v>
      </c>
      <c r="AC34" s="11" t="n">
        <f aca="false">-AC26</f>
        <v>0</v>
      </c>
      <c r="AD34" s="11" t="n">
        <f aca="false">-AD26</f>
        <v>0</v>
      </c>
      <c r="AE34" s="11" t="n">
        <f aca="false">-AE26</f>
        <v>0</v>
      </c>
      <c r="AF34" s="11" t="n">
        <f aca="false">-AF26</f>
        <v>0</v>
      </c>
      <c r="AG34" s="11" t="n">
        <f aca="false">-AG26</f>
        <v>0</v>
      </c>
      <c r="AH34" s="11" t="n">
        <f aca="false">-AH26</f>
        <v>0</v>
      </c>
      <c r="AI34" s="11" t="n">
        <f aca="false">-AI26</f>
        <v>0</v>
      </c>
      <c r="AJ34" s="11" t="n">
        <f aca="false">-AJ26</f>
        <v>0</v>
      </c>
      <c r="AK34" s="11" t="n">
        <f aca="false">-AK26</f>
        <v>0</v>
      </c>
      <c r="AL34" s="11" t="n">
        <f aca="false">-AL26</f>
        <v>0</v>
      </c>
      <c r="AM34" s="11" t="n">
        <f aca="false">-AM26</f>
        <v>0</v>
      </c>
      <c r="AN34" s="11" t="n">
        <f aca="false">-AN26</f>
        <v>0</v>
      </c>
      <c r="AO34" s="11" t="n">
        <f aca="false">-AO26</f>
        <v>0</v>
      </c>
      <c r="AP34" s="11" t="n">
        <f aca="false">-AP26</f>
        <v>0</v>
      </c>
      <c r="AQ34" s="11" t="n">
        <f aca="false">-AQ26</f>
        <v>0</v>
      </c>
      <c r="AR34" s="11" t="n">
        <f aca="false">-AR26</f>
        <v>0</v>
      </c>
      <c r="AS34" s="11" t="n">
        <f aca="false">-AS26</f>
        <v>0</v>
      </c>
      <c r="AT34" s="11" t="n">
        <f aca="false">-AT26</f>
        <v>0</v>
      </c>
      <c r="AU34" s="11" t="n">
        <f aca="false">-AU26</f>
        <v>0</v>
      </c>
      <c r="AV34" s="11" t="n">
        <f aca="false">-AV26</f>
        <v>0</v>
      </c>
      <c r="AW34" s="11" t="n">
        <f aca="false">-AW26</f>
        <v>0</v>
      </c>
      <c r="AX34" s="11" t="n">
        <f aca="false">-AX26</f>
        <v>0</v>
      </c>
      <c r="AY34" s="11" t="n">
        <f aca="false">-AY26</f>
        <v>0</v>
      </c>
      <c r="AZ34" s="11" t="n">
        <f aca="false">-AZ26</f>
        <v>0</v>
      </c>
      <c r="BA34" s="11" t="n">
        <f aca="false">-BA26</f>
        <v>0</v>
      </c>
      <c r="BB34" s="11" t="n">
        <f aca="false">-BB26</f>
        <v>0</v>
      </c>
      <c r="BC34" s="11" t="n">
        <f aca="false">-BC26</f>
        <v>0</v>
      </c>
      <c r="BD34" s="11" t="n">
        <f aca="false">-BD26</f>
        <v>0</v>
      </c>
      <c r="BE34" s="11" t="n">
        <f aca="false">-BE26</f>
        <v>0</v>
      </c>
      <c r="BF34" s="11" t="n">
        <f aca="false">-BF26</f>
        <v>0</v>
      </c>
      <c r="BG34" s="11" t="n">
        <f aca="false">-BG26</f>
        <v>0</v>
      </c>
      <c r="BH34" s="11" t="n">
        <f aca="false">-BH26</f>
        <v>0</v>
      </c>
      <c r="BI34" s="11" t="n">
        <f aca="false">-BI26</f>
        <v>0</v>
      </c>
    </row>
    <row r="35" customFormat="false" ht="15" hidden="false" customHeight="false" outlineLevel="0" collapsed="false">
      <c r="A35" s="12" t="s">
        <v>592</v>
      </c>
      <c r="B35" s="13" t="n">
        <f aca="false">B33+B34</f>
        <v>1042606.17</v>
      </c>
      <c r="C35" s="13" t="n">
        <f aca="false">C33+C34</f>
        <v>1042606.17</v>
      </c>
      <c r="D35" s="13" t="n">
        <f aca="false">D33+D34</f>
        <v>1042606.17</v>
      </c>
      <c r="E35" s="13" t="n">
        <f aca="false">E33+E34</f>
        <v>1042606.17</v>
      </c>
      <c r="F35" s="13" t="n">
        <f aca="false">F33+F34</f>
        <v>1042606.17</v>
      </c>
      <c r="G35" s="13" t="n">
        <f aca="false">G33+G34</f>
        <v>1042606.17</v>
      </c>
      <c r="H35" s="13" t="n">
        <f aca="false">H33+H34</f>
        <v>1042606.17</v>
      </c>
      <c r="I35" s="13" t="n">
        <f aca="false">I33+I34</f>
        <v>1042606.17</v>
      </c>
      <c r="J35" s="13" t="n">
        <f aca="false">J33+J34</f>
        <v>1042606.17</v>
      </c>
      <c r="K35" s="13" t="n">
        <f aca="false">K33+K34</f>
        <v>1042606.17</v>
      </c>
      <c r="L35" s="13" t="n">
        <f aca="false">L33+L34</f>
        <v>1042606.17</v>
      </c>
      <c r="M35" s="13" t="n">
        <f aca="false">M33+M34</f>
        <v>1042606.17</v>
      </c>
      <c r="N35" s="13" t="n">
        <f aca="false">N33+N34</f>
        <v>1042606.17</v>
      </c>
      <c r="O35" s="13" t="n">
        <f aca="false">O33+O34</f>
        <v>1042606.17</v>
      </c>
      <c r="P35" s="13" t="n">
        <f aca="false">P33+P34</f>
        <v>1042606.17</v>
      </c>
      <c r="Q35" s="13" t="n">
        <f aca="false">Q33+Q34</f>
        <v>1042606.17</v>
      </c>
      <c r="R35" s="13" t="n">
        <f aca="false">R33+R34</f>
        <v>1042606.17</v>
      </c>
      <c r="S35" s="13" t="n">
        <f aca="false">S33+S34</f>
        <v>1042606.17</v>
      </c>
      <c r="T35" s="13" t="n">
        <f aca="false">T33+T34</f>
        <v>1042606.17</v>
      </c>
      <c r="U35" s="13" t="n">
        <f aca="false">U33+U34</f>
        <v>1042606.17</v>
      </c>
      <c r="V35" s="13" t="n">
        <f aca="false">V33+V34</f>
        <v>1042606.17</v>
      </c>
      <c r="W35" s="13" t="n">
        <f aca="false">W33+W34</f>
        <v>1042606.17</v>
      </c>
      <c r="X35" s="13" t="n">
        <f aca="false">X33+X34</f>
        <v>1042606.17</v>
      </c>
      <c r="Y35" s="13" t="n">
        <f aca="false">Y33+Y34</f>
        <v>1042606.17</v>
      </c>
      <c r="Z35" s="13" t="n">
        <f aca="false">Z33+Z34</f>
        <v>1042606.17</v>
      </c>
      <c r="AA35" s="13" t="n">
        <f aca="false">AA33+AA34</f>
        <v>1042606.17</v>
      </c>
      <c r="AB35" s="13" t="n">
        <f aca="false">AB33+AB34</f>
        <v>1042606.17</v>
      </c>
      <c r="AC35" s="13" t="n">
        <f aca="false">AC33+AC34</f>
        <v>1042606.17</v>
      </c>
      <c r="AD35" s="13" t="n">
        <f aca="false">AD33+AD34</f>
        <v>1042606.17</v>
      </c>
      <c r="AE35" s="13" t="n">
        <f aca="false">AE33+AE34</f>
        <v>1042606.17</v>
      </c>
      <c r="AF35" s="13" t="n">
        <f aca="false">AF33+AF34</f>
        <v>1042606.17</v>
      </c>
      <c r="AG35" s="13" t="n">
        <f aca="false">AG33+AG34</f>
        <v>1042606.17</v>
      </c>
      <c r="AH35" s="13" t="n">
        <f aca="false">AH33+AH34</f>
        <v>1042606.17</v>
      </c>
      <c r="AI35" s="13" t="n">
        <f aca="false">AI33+AI34</f>
        <v>1042606.17</v>
      </c>
      <c r="AJ35" s="13" t="n">
        <f aca="false">AJ33+AJ34</f>
        <v>1042606.17</v>
      </c>
      <c r="AK35" s="13" t="n">
        <f aca="false">AK33+AK34</f>
        <v>1042606.17</v>
      </c>
      <c r="AL35" s="13" t="n">
        <f aca="false">AL33+AL34</f>
        <v>1042606.17</v>
      </c>
      <c r="AM35" s="13" t="n">
        <f aca="false">AM33+AM34</f>
        <v>1042606.17</v>
      </c>
      <c r="AN35" s="13" t="n">
        <f aca="false">AN33+AN34</f>
        <v>1042606.17</v>
      </c>
      <c r="AO35" s="13" t="n">
        <f aca="false">AO33+AO34</f>
        <v>1042606.17</v>
      </c>
      <c r="AP35" s="13" t="n">
        <f aca="false">AP33+AP34</f>
        <v>1042606.17</v>
      </c>
      <c r="AQ35" s="13" t="n">
        <f aca="false">AQ33+AQ34</f>
        <v>1042606.17</v>
      </c>
      <c r="AR35" s="13" t="n">
        <f aca="false">AR33+AR34</f>
        <v>1042606.17</v>
      </c>
      <c r="AS35" s="13" t="n">
        <f aca="false">AS33+AS34</f>
        <v>1042606.17</v>
      </c>
      <c r="AT35" s="13" t="n">
        <f aca="false">AT33+AT34</f>
        <v>1042606.17</v>
      </c>
      <c r="AU35" s="13" t="n">
        <f aca="false">AU33+AU34</f>
        <v>1042606.17</v>
      </c>
      <c r="AV35" s="13" t="n">
        <f aca="false">AV33+AV34</f>
        <v>1042606.17</v>
      </c>
      <c r="AW35" s="13" t="n">
        <f aca="false">AW33+AW34</f>
        <v>1042606.17</v>
      </c>
      <c r="AX35" s="13" t="n">
        <f aca="false">AX33+AX34</f>
        <v>1042606.17</v>
      </c>
      <c r="AY35" s="13" t="n">
        <f aca="false">AY33+AY34</f>
        <v>1042606.17</v>
      </c>
      <c r="AZ35" s="13" t="n">
        <f aca="false">AZ33+AZ34</f>
        <v>1042606.17</v>
      </c>
      <c r="BA35" s="13" t="n">
        <f aca="false">BA33+BA34</f>
        <v>1042606.17</v>
      </c>
      <c r="BB35" s="13" t="n">
        <f aca="false">BB33+BB34</f>
        <v>1042606.17</v>
      </c>
      <c r="BC35" s="13" t="n">
        <f aca="false">BC33+BC34</f>
        <v>1042606.17</v>
      </c>
      <c r="BD35" s="13" t="n">
        <f aca="false">BD33+BD34</f>
        <v>1042606.17</v>
      </c>
      <c r="BE35" s="13" t="n">
        <f aca="false">BE33+BE34</f>
        <v>1042606.17</v>
      </c>
      <c r="BF35" s="13" t="n">
        <f aca="false">BF33+BF34</f>
        <v>1042606.17</v>
      </c>
      <c r="BG35" s="13" t="n">
        <f aca="false">BG33+BG34</f>
        <v>1042606.17</v>
      </c>
      <c r="BH35" s="13" t="n">
        <f aca="false">BH33+BH34</f>
        <v>1042606.17</v>
      </c>
      <c r="BI35" s="13" t="n">
        <f aca="false">BI33+BI34</f>
        <v>1042606.17</v>
      </c>
    </row>
    <row r="37" customFormat="false" ht="15" hidden="false" customHeight="false" outlineLevel="0" collapsed="false">
      <c r="A37" s="12" t="s">
        <v>593</v>
      </c>
      <c r="B37" s="14" t="n">
        <f aca="false">B31+B35</f>
        <v>2485349.64231884</v>
      </c>
      <c r="C37" s="14" t="n">
        <f aca="false">C31+C35</f>
        <v>2560670.55333333</v>
      </c>
      <c r="D37" s="14" t="n">
        <f aca="false">D31+D35</f>
        <v>2277336.21565217</v>
      </c>
      <c r="E37" s="14" t="n">
        <f aca="false">E31+E35</f>
        <v>1994001.87797101</v>
      </c>
      <c r="F37" s="14" t="n">
        <f aca="false">F31+F35</f>
        <v>2069322.78898551</v>
      </c>
      <c r="G37" s="14" t="n">
        <f aca="false">G31+G35</f>
        <v>1785988.45130435</v>
      </c>
      <c r="H37" s="14" t="n">
        <f aca="false">H31+H35</f>
        <v>1502654.11362319</v>
      </c>
      <c r="I37" s="14" t="n">
        <f aca="false">I31+I35</f>
        <v>1577975.02463768</v>
      </c>
      <c r="J37" s="14" t="n">
        <f aca="false">J31+J35</f>
        <v>1294640.68695652</v>
      </c>
      <c r="K37" s="14" t="n">
        <f aca="false">K31+K35</f>
        <v>1011306.34927536</v>
      </c>
      <c r="L37" s="14" t="n">
        <f aca="false">L31+L35</f>
        <v>1139328.68516797</v>
      </c>
      <c r="M37" s="14" t="n">
        <f aca="false">M31+M35</f>
        <v>2379207.72559222</v>
      </c>
      <c r="N37" s="14" t="n">
        <f aca="false">N31+N35</f>
        <v>2576144.6123438</v>
      </c>
      <c r="O37" s="14" t="n">
        <f aca="false">O31+O35</f>
        <v>2674479.71826322</v>
      </c>
      <c r="P37" s="14" t="n">
        <f aca="false">P31+P35</f>
        <v>2391606.81120036</v>
      </c>
      <c r="Q37" s="14" t="n">
        <f aca="false">Q31+Q35</f>
        <v>2108733.9041375</v>
      </c>
      <c r="R37" s="14" t="n">
        <f aca="false">R31+R35</f>
        <v>2207069.01005692</v>
      </c>
      <c r="S37" s="14" t="n">
        <f aca="false">S31+S35</f>
        <v>1924196.10299406</v>
      </c>
      <c r="T37" s="14" t="n">
        <f aca="false">T31+T35</f>
        <v>1641323.1959312</v>
      </c>
      <c r="U37" s="14" t="n">
        <f aca="false">U31+U35</f>
        <v>1739658.30185062</v>
      </c>
      <c r="V37" s="14" t="n">
        <f aca="false">V31+V35</f>
        <v>1456785.39478776</v>
      </c>
      <c r="W37" s="14" t="n">
        <f aca="false">W31+W35</f>
        <v>1173912.48772491</v>
      </c>
      <c r="X37" s="14" t="n">
        <f aca="false">X31+X35</f>
        <v>1304382.31336012</v>
      </c>
      <c r="Y37" s="14" t="n">
        <f aca="false">Y31+Y35</f>
        <v>2586817.55758533</v>
      </c>
      <c r="Z37" s="14" t="n">
        <f aca="false">Z31+Z35</f>
        <v>2723810.27821204</v>
      </c>
      <c r="AA37" s="14" t="n">
        <f aca="false">AA31+AA35</f>
        <v>2826789.37505046</v>
      </c>
      <c r="AB37" s="14" t="n">
        <f aca="false">AB31+AB35</f>
        <v>2534808.89980088</v>
      </c>
      <c r="AC37" s="14" t="n">
        <f aca="false">AC31+AC35</f>
        <v>2242828.4245513</v>
      </c>
      <c r="AD37" s="14" t="n">
        <f aca="false">AD31+AD35</f>
        <v>2345807.52138972</v>
      </c>
      <c r="AE37" s="14" t="n">
        <f aca="false">AE31+AE35</f>
        <v>2053827.04614014</v>
      </c>
      <c r="AF37" s="14" t="n">
        <f aca="false">AF31+AF35</f>
        <v>1761846.57089057</v>
      </c>
      <c r="AG37" s="14" t="n">
        <f aca="false">AG31+AG35</f>
        <v>1864825.66772899</v>
      </c>
      <c r="AH37" s="14" t="n">
        <f aca="false">AH31+AH35</f>
        <v>1572845.19247941</v>
      </c>
      <c r="AI37" s="14" t="n">
        <f aca="false">AI31+AI35</f>
        <v>1280864.71722983</v>
      </c>
      <c r="AJ37" s="14" t="n">
        <f aca="false">AJ31+AJ35</f>
        <v>1414403.63974796</v>
      </c>
      <c r="AK37" s="14" t="n">
        <f aca="false">AK31+AK35</f>
        <v>2738051.00250682</v>
      </c>
      <c r="AL37" s="14" t="n">
        <f aca="false">AL31+AL35</f>
        <v>2873674.98932641</v>
      </c>
      <c r="AM37" s="14" t="n">
        <f aca="false">AM31+AM35</f>
        <v>2989757.28967772</v>
      </c>
      <c r="AN37" s="14" t="n">
        <f aca="false">AN31+AN35</f>
        <v>2697802.41051792</v>
      </c>
      <c r="AO37" s="14" t="n">
        <f aca="false">AO31+AO35</f>
        <v>2405847.53135812</v>
      </c>
      <c r="AP37" s="14" t="n">
        <f aca="false">AP31+AP35</f>
        <v>2521929.83170943</v>
      </c>
      <c r="AQ37" s="14" t="n">
        <f aca="false">AQ31+AQ35</f>
        <v>2229974.95254963</v>
      </c>
      <c r="AR37" s="14" t="n">
        <f aca="false">AR31+AR35</f>
        <v>1938020.07338983</v>
      </c>
      <c r="AS37" s="14" t="n">
        <f aca="false">AS31+AS35</f>
        <v>2054102.37374114</v>
      </c>
      <c r="AT37" s="14" t="n">
        <f aca="false">AT31+AT35</f>
        <v>1762147.49458134</v>
      </c>
      <c r="AU37" s="14" t="n">
        <f aca="false">AU31+AU35</f>
        <v>1470192.61542154</v>
      </c>
      <c r="AV37" s="14" t="n">
        <f aca="false">AV31+AV35</f>
        <v>1616177.86077036</v>
      </c>
      <c r="AW37" s="14" t="n">
        <f aca="false">AW31+AW35</f>
        <v>2989594.68721862</v>
      </c>
      <c r="AX37" s="14" t="n">
        <f aca="false">AX31+AX35</f>
        <v>3117832.88135378</v>
      </c>
      <c r="AY37" s="14" t="n">
        <f aca="false">AY31+AY35</f>
        <v>3240441.35837545</v>
      </c>
      <c r="AZ37" s="14" t="n">
        <f aca="false">AZ31+AZ35</f>
        <v>2942216.15044875</v>
      </c>
      <c r="BA37" s="14" t="n">
        <f aca="false">BA31+BA35</f>
        <v>2643990.94252205</v>
      </c>
      <c r="BB37" s="14" t="n">
        <f aca="false">BB31+BB35</f>
        <v>2766599.41954372</v>
      </c>
      <c r="BC37" s="14" t="n">
        <f aca="false">BC31+BC35</f>
        <v>2468374.21161702</v>
      </c>
      <c r="BD37" s="14" t="n">
        <f aca="false">BD31+BD35</f>
        <v>2170149.00369032</v>
      </c>
      <c r="BE37" s="14" t="n">
        <f aca="false">BE31+BE35</f>
        <v>2292757.48071199</v>
      </c>
      <c r="BF37" s="14" t="n">
        <f aca="false">BF31+BF35</f>
        <v>1994532.27278529</v>
      </c>
      <c r="BG37" s="14" t="n">
        <f aca="false">BG31+BG35</f>
        <v>1696307.06485859</v>
      </c>
      <c r="BH37" s="14" t="n">
        <f aca="false">BH31+BH35</f>
        <v>1858251.80159835</v>
      </c>
      <c r="BI37" s="14" t="n">
        <f aca="false">BI31+BI35</f>
        <v>3296725.38268154</v>
      </c>
    </row>
    <row r="38" customFormat="false" ht="15" hidden="false" customHeight="false" outlineLevel="0" collapsed="false">
      <c r="A38" s="3" t="s">
        <v>594</v>
      </c>
      <c r="B38" s="41" t="str">
        <f aca="false">IF(B31&lt;0,"SHORTFALL","")</f>
        <v/>
      </c>
      <c r="C38" s="41" t="str">
        <f aca="false">IF(C31&lt;0,"SHORTFALL","")</f>
        <v/>
      </c>
      <c r="D38" s="41" t="str">
        <f aca="false">IF(D31&lt;0,"SHORTFALL","")</f>
        <v/>
      </c>
      <c r="E38" s="41" t="str">
        <f aca="false">IF(E31&lt;0,"SHORTFALL","")</f>
        <v/>
      </c>
      <c r="F38" s="41" t="str">
        <f aca="false">IF(F31&lt;0,"SHORTFALL","")</f>
        <v/>
      </c>
      <c r="G38" s="41" t="str">
        <f aca="false">IF(G31&lt;0,"SHORTFALL","")</f>
        <v/>
      </c>
      <c r="H38" s="41" t="str">
        <f aca="false">IF(H31&lt;0,"SHORTFALL","")</f>
        <v/>
      </c>
      <c r="I38" s="41" t="str">
        <f aca="false">IF(I31&lt;0,"SHORTFALL","")</f>
        <v/>
      </c>
      <c r="J38" s="41" t="str">
        <f aca="false">IF(J31&lt;0,"SHORTFALL","")</f>
        <v/>
      </c>
      <c r="K38" s="41" t="str">
        <f aca="false">IF(K31&lt;0,"SHORTFALL","")</f>
        <v>SHORTFALL</v>
      </c>
      <c r="L38" s="41" t="str">
        <f aca="false">IF(L31&lt;0,"SHORTFALL","")</f>
        <v/>
      </c>
      <c r="M38" s="41" t="str">
        <f aca="false">IF(M31&lt;0,"SHORTFALL","")</f>
        <v/>
      </c>
      <c r="N38" s="41" t="str">
        <f aca="false">IF(N31&lt;0,"SHORTFALL","")</f>
        <v/>
      </c>
      <c r="O38" s="41" t="str">
        <f aca="false">IF(O31&lt;0,"SHORTFALL","")</f>
        <v/>
      </c>
      <c r="P38" s="41" t="str">
        <f aca="false">IF(P31&lt;0,"SHORTFALL","")</f>
        <v/>
      </c>
      <c r="Q38" s="41" t="str">
        <f aca="false">IF(Q31&lt;0,"SHORTFALL","")</f>
        <v/>
      </c>
      <c r="R38" s="41" t="str">
        <f aca="false">IF(R31&lt;0,"SHORTFALL","")</f>
        <v/>
      </c>
      <c r="S38" s="41" t="str">
        <f aca="false">IF(S31&lt;0,"SHORTFALL","")</f>
        <v/>
      </c>
      <c r="T38" s="41" t="str">
        <f aca="false">IF(T31&lt;0,"SHORTFALL","")</f>
        <v/>
      </c>
      <c r="U38" s="41" t="str">
        <f aca="false">IF(U31&lt;0,"SHORTFALL","")</f>
        <v/>
      </c>
      <c r="V38" s="41" t="str">
        <f aca="false">IF(V31&lt;0,"SHORTFALL","")</f>
        <v/>
      </c>
      <c r="W38" s="41" t="str">
        <f aca="false">IF(W31&lt;0,"SHORTFALL","")</f>
        <v/>
      </c>
      <c r="X38" s="41" t="str">
        <f aca="false">IF(X31&lt;0,"SHORTFALL","")</f>
        <v/>
      </c>
      <c r="Y38" s="41" t="str">
        <f aca="false">IF(Y31&lt;0,"SHORTFALL","")</f>
        <v/>
      </c>
      <c r="Z38" s="41" t="str">
        <f aca="false">IF(Z31&lt;0,"SHORTFALL","")</f>
        <v/>
      </c>
      <c r="AA38" s="41" t="str">
        <f aca="false">IF(AA31&lt;0,"SHORTFALL","")</f>
        <v/>
      </c>
      <c r="AB38" s="41" t="str">
        <f aca="false">IF(AB31&lt;0,"SHORTFALL","")</f>
        <v/>
      </c>
      <c r="AC38" s="41" t="str">
        <f aca="false">IF(AC31&lt;0,"SHORTFALL","")</f>
        <v/>
      </c>
      <c r="AD38" s="41" t="str">
        <f aca="false">IF(AD31&lt;0,"SHORTFALL","")</f>
        <v/>
      </c>
      <c r="AE38" s="41" t="str">
        <f aca="false">IF(AE31&lt;0,"SHORTFALL","")</f>
        <v/>
      </c>
      <c r="AF38" s="41" t="str">
        <f aca="false">IF(AF31&lt;0,"SHORTFALL","")</f>
        <v/>
      </c>
      <c r="AG38" s="41" t="str">
        <f aca="false">IF(AG31&lt;0,"SHORTFALL","")</f>
        <v/>
      </c>
      <c r="AH38" s="41" t="str">
        <f aca="false">IF(AH31&lt;0,"SHORTFALL","")</f>
        <v/>
      </c>
      <c r="AI38" s="41" t="str">
        <f aca="false">IF(AI31&lt;0,"SHORTFALL","")</f>
        <v/>
      </c>
      <c r="AJ38" s="41" t="str">
        <f aca="false">IF(AJ31&lt;0,"SHORTFALL","")</f>
        <v/>
      </c>
      <c r="AK38" s="41" t="str">
        <f aca="false">IF(AK31&lt;0,"SHORTFALL","")</f>
        <v/>
      </c>
      <c r="AL38" s="41" t="str">
        <f aca="false">IF(AL31&lt;0,"SHORTFALL","")</f>
        <v/>
      </c>
      <c r="AM38" s="41" t="str">
        <f aca="false">IF(AM31&lt;0,"SHORTFALL","")</f>
        <v/>
      </c>
      <c r="AN38" s="41" t="str">
        <f aca="false">IF(AN31&lt;0,"SHORTFALL","")</f>
        <v/>
      </c>
      <c r="AO38" s="41" t="str">
        <f aca="false">IF(AO31&lt;0,"SHORTFALL","")</f>
        <v/>
      </c>
      <c r="AP38" s="41" t="str">
        <f aca="false">IF(AP31&lt;0,"SHORTFALL","")</f>
        <v/>
      </c>
      <c r="AQ38" s="41" t="str">
        <f aca="false">IF(AQ31&lt;0,"SHORTFALL","")</f>
        <v/>
      </c>
      <c r="AR38" s="41" t="str">
        <f aca="false">IF(AR31&lt;0,"SHORTFALL","")</f>
        <v/>
      </c>
      <c r="AS38" s="41" t="str">
        <f aca="false">IF(AS31&lt;0,"SHORTFALL","")</f>
        <v/>
      </c>
      <c r="AT38" s="41" t="str">
        <f aca="false">IF(AT31&lt;0,"SHORTFALL","")</f>
        <v/>
      </c>
      <c r="AU38" s="41" t="str">
        <f aca="false">IF(AU31&lt;0,"SHORTFALL","")</f>
        <v/>
      </c>
      <c r="AV38" s="41" t="str">
        <f aca="false">IF(AV31&lt;0,"SHORTFALL","")</f>
        <v/>
      </c>
      <c r="AW38" s="41" t="str">
        <f aca="false">IF(AW31&lt;0,"SHORTFALL","")</f>
        <v/>
      </c>
      <c r="AX38" s="41" t="str">
        <f aca="false">IF(AX31&lt;0,"SHORTFALL","")</f>
        <v/>
      </c>
      <c r="AY38" s="41" t="str">
        <f aca="false">IF(AY31&lt;0,"SHORTFALL","")</f>
        <v/>
      </c>
      <c r="AZ38" s="41" t="str">
        <f aca="false">IF(AZ31&lt;0,"SHORTFALL","")</f>
        <v/>
      </c>
      <c r="BA38" s="41" t="str">
        <f aca="false">IF(BA31&lt;0,"SHORTFALL","")</f>
        <v/>
      </c>
      <c r="BB38" s="41" t="str">
        <f aca="false">IF(BB31&lt;0,"SHORTFALL","")</f>
        <v/>
      </c>
      <c r="BC38" s="41" t="str">
        <f aca="false">IF(BC31&lt;0,"SHORTFALL","")</f>
        <v/>
      </c>
      <c r="BD38" s="41" t="str">
        <f aca="false">IF(BD31&lt;0,"SHORTFALL","")</f>
        <v/>
      </c>
      <c r="BE38" s="41" t="str">
        <f aca="false">IF(BE31&lt;0,"SHORTFALL","")</f>
        <v/>
      </c>
      <c r="BF38" s="41" t="str">
        <f aca="false">IF(BF31&lt;0,"SHORTFALL","")</f>
        <v/>
      </c>
      <c r="BG38" s="41" t="str">
        <f aca="false">IF(BG31&lt;0,"SHORTFALL","")</f>
        <v/>
      </c>
      <c r="BH38" s="41" t="str">
        <f aca="false">IF(BH31&lt;0,"SHORTFALL","")</f>
        <v/>
      </c>
      <c r="BI38" s="41" t="str">
        <f aca="false">IF(BI31&lt;0,"SHORTFALL","")</f>
        <v/>
      </c>
    </row>
  </sheetData>
  <conditionalFormatting sqref="B31:BI3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595</v>
      </c>
    </row>
    <row r="3" customFormat="false" ht="15" hidden="false" customHeight="false" outlineLevel="0" collapsed="false">
      <c r="A3" s="4" t="s">
        <v>45</v>
      </c>
      <c r="B3" s="5" t="str">
        <f aca="false">Inputs!C$4</f>
        <v>FY27</v>
      </c>
      <c r="C3" s="5" t="str">
        <f aca="false">Inputs!D$4</f>
        <v>FY28</v>
      </c>
      <c r="D3" s="5" t="str">
        <f aca="false">Inputs!E$4</f>
        <v>FY29</v>
      </c>
      <c r="E3" s="5" t="str">
        <f aca="false">Inputs!F$4</f>
        <v>FY30</v>
      </c>
      <c r="F3" s="5" t="str">
        <f aca="false">Inputs!G$4</f>
        <v>FY31</v>
      </c>
    </row>
    <row r="4" customFormat="false" ht="15" hidden="false" customHeight="false" outlineLevel="0" collapsed="false">
      <c r="A4" s="6" t="s">
        <v>596</v>
      </c>
      <c r="B4" s="11" t="n">
        <f aca="false">INDEX('Cash Flow'!$B$28:$BI$28,1)</f>
        <v>1163777.81</v>
      </c>
      <c r="C4" s="11" t="n">
        <f aca="false">INDEX('Cash Flow'!$B$28:$BI$28,13)</f>
        <v>1336601.55559222</v>
      </c>
      <c r="D4" s="11" t="n">
        <f aca="false">INDEX('Cash Flow'!$B$28:$BI$28,25)</f>
        <v>1544211.38758533</v>
      </c>
      <c r="E4" s="11" t="n">
        <f aca="false">INDEX('Cash Flow'!$B$28:$BI$28,37)</f>
        <v>1695444.83250682</v>
      </c>
      <c r="F4" s="11" t="n">
        <f aca="false">INDEX('Cash Flow'!$B$28:$BI$28,49)</f>
        <v>1946988.51721862</v>
      </c>
    </row>
    <row r="5" customFormat="false" ht="15" hidden="false" customHeight="false" outlineLevel="0" collapsed="false">
      <c r="A5" s="6" t="s">
        <v>597</v>
      </c>
      <c r="B5" s="11" t="n">
        <f aca="false">SUM(INDEX('Cash Flow'!$B$13:$BI$13,1):INDEX('Cash Flow'!$B$13:$BI$13,12))</f>
        <v>9475563.74559222</v>
      </c>
      <c r="C5" s="11" t="n">
        <f aca="false">SUM(INDEX('Cash Flow'!$B$13:$BI$13,13):INDEX('Cash Flow'!$B$13:$BI$13,24))</f>
        <v>9859301.62269141</v>
      </c>
      <c r="D5" s="11" t="n">
        <f aca="false">SUM(INDEX('Cash Flow'!$B$13:$BI$13,25):INDEX('Cash Flow'!$B$13:$BI$13,36))</f>
        <v>10132813.9811814</v>
      </c>
      <c r="E5" s="11" t="n">
        <f aca="false">SUM(INDEX('Cash Flow'!$B$13:$BI$13,37):INDEX('Cash Flow'!$B$13:$BI$13,48))</f>
        <v>10442603.6869735</v>
      </c>
      <c r="F5" s="11" t="n">
        <f aca="false">SUM(INDEX('Cash Flow'!$B$13:$BI$13,49):INDEX('Cash Flow'!$B$13:$BI$13,60))</f>
        <v>10778711.9176503</v>
      </c>
    </row>
    <row r="6" customFormat="false" ht="15" hidden="false" customHeight="false" outlineLevel="0" collapsed="false">
      <c r="A6" s="6" t="s">
        <v>598</v>
      </c>
      <c r="B6" s="11" t="n">
        <f aca="false">SUM(INDEX('Cash Flow'!$B$22:$BI$22,1):INDEX('Cash Flow'!$B$22:$BI$22,12))</f>
        <v>-9302740</v>
      </c>
      <c r="C6" s="11" t="n">
        <f aca="false">SUM(INDEX('Cash Flow'!$B$22:$BI$22,13):INDEX('Cash Flow'!$B$22:$BI$22,24))</f>
        <v>-9651691.7906983</v>
      </c>
      <c r="D6" s="11" t="n">
        <f aca="false">SUM(INDEX('Cash Flow'!$B$22:$BI$22,25):INDEX('Cash Flow'!$B$22:$BI$22,36))</f>
        <v>-9981580.53625986</v>
      </c>
      <c r="E6" s="11" t="n">
        <f aca="false">SUM(INDEX('Cash Flow'!$B$22:$BI$22,37):INDEX('Cash Flow'!$B$22:$BI$22,48))</f>
        <v>-10191060.0022617</v>
      </c>
      <c r="F6" s="11" t="n">
        <f aca="false">SUM(INDEX('Cash Flow'!$B$22:$BI$22,49):INDEX('Cash Flow'!$B$22:$BI$22,60))</f>
        <v>-10471581.2221874</v>
      </c>
    </row>
    <row r="7" customFormat="false" ht="15" hidden="false" customHeight="false" outlineLevel="0" collapsed="false">
      <c r="A7" s="12" t="s">
        <v>599</v>
      </c>
      <c r="B7" s="13" t="n">
        <f aca="false">B5+B6</f>
        <v>172823.74559222</v>
      </c>
      <c r="C7" s="13" t="n">
        <f aca="false">C5+C6</f>
        <v>207609.831993103</v>
      </c>
      <c r="D7" s="13" t="n">
        <f aca="false">D5+D6</f>
        <v>151233.444921499</v>
      </c>
      <c r="E7" s="13" t="n">
        <f aca="false">E5+E6</f>
        <v>251543.684711799</v>
      </c>
      <c r="F7" s="13" t="n">
        <f aca="false">F5+F6</f>
        <v>307130.695462922</v>
      </c>
    </row>
    <row r="8" customFormat="false" ht="15" hidden="false" customHeight="false" outlineLevel="0" collapsed="false">
      <c r="A8" s="6" t="s">
        <v>584</v>
      </c>
      <c r="B8" s="11" t="n">
        <f aca="false">SUM(INDEX('Cash Flow'!$B$25:$BI$25,1):INDEX('Cash Flow'!$B$25:$BI$25,12))</f>
        <v>0</v>
      </c>
      <c r="C8" s="11" t="n">
        <f aca="false">SUM(INDEX('Cash Flow'!$B$25:$BI$25,13):INDEX('Cash Flow'!$B$25:$BI$25,24))</f>
        <v>0</v>
      </c>
      <c r="D8" s="11" t="n">
        <f aca="false">SUM(INDEX('Cash Flow'!$B$25:$BI$25,25):INDEX('Cash Flow'!$B$25:$BI$25,36))</f>
        <v>0</v>
      </c>
      <c r="E8" s="11" t="n">
        <f aca="false">SUM(INDEX('Cash Flow'!$B$25:$BI$25,37):INDEX('Cash Flow'!$B$25:$BI$25,48))</f>
        <v>0</v>
      </c>
      <c r="F8" s="11" t="n">
        <f aca="false">SUM(INDEX('Cash Flow'!$B$25:$BI$25,49):INDEX('Cash Flow'!$B$25:$BI$25,60))</f>
        <v>0</v>
      </c>
    </row>
    <row r="9" customFormat="false" ht="15" hidden="false" customHeight="false" outlineLevel="0" collapsed="false">
      <c r="A9" s="6" t="s">
        <v>585</v>
      </c>
      <c r="B9" s="11" t="n">
        <f aca="false">SUM(INDEX('Cash Flow'!$B$26:$BI$26,1):INDEX('Cash Flow'!$B$26:$BI$26,12))</f>
        <v>0</v>
      </c>
      <c r="C9" s="11" t="n">
        <f aca="false">SUM(INDEX('Cash Flow'!$B$26:$BI$26,13):INDEX('Cash Flow'!$B$26:$BI$26,24))</f>
        <v>0</v>
      </c>
      <c r="D9" s="11" t="n">
        <f aca="false">SUM(INDEX('Cash Flow'!$B$26:$BI$26,25):INDEX('Cash Flow'!$B$26:$BI$26,36))</f>
        <v>0</v>
      </c>
      <c r="E9" s="11" t="n">
        <f aca="false">SUM(INDEX('Cash Flow'!$B$26:$BI$26,37):INDEX('Cash Flow'!$B$26:$BI$26,48))</f>
        <v>0</v>
      </c>
      <c r="F9" s="11" t="n">
        <f aca="false">SUM(INDEX('Cash Flow'!$B$26:$BI$26,49):INDEX('Cash Flow'!$B$26:$BI$26,60))</f>
        <v>0</v>
      </c>
    </row>
    <row r="10" customFormat="false" ht="15" hidden="false" customHeight="false" outlineLevel="0" collapsed="false">
      <c r="A10" s="12" t="s">
        <v>600</v>
      </c>
      <c r="B10" s="13" t="n">
        <f aca="false">INDEX('Cash Flow'!$B$31:$BI$31,12)</f>
        <v>1336601.55559222</v>
      </c>
      <c r="C10" s="13" t="n">
        <f aca="false">INDEX('Cash Flow'!$B$31:$BI$31,24)</f>
        <v>1544211.38758533</v>
      </c>
      <c r="D10" s="13" t="n">
        <f aca="false">INDEX('Cash Flow'!$B$31:$BI$31,36)</f>
        <v>1695444.83250682</v>
      </c>
      <c r="E10" s="13" t="n">
        <f aca="false">INDEX('Cash Flow'!$B$31:$BI$31,48)</f>
        <v>1946988.51721862</v>
      </c>
      <c r="F10" s="13" t="n">
        <f aca="false">INDEX('Cash Flow'!$B$31:$BI$31,60)</f>
        <v>2254119.21268154</v>
      </c>
    </row>
    <row r="11" customFormat="false" ht="15" hidden="false" customHeight="false" outlineLevel="0" collapsed="false">
      <c r="A11" s="6" t="s">
        <v>601</v>
      </c>
      <c r="B11" s="11" t="n">
        <f aca="false">INDEX('Cash Flow'!$B$35:$BI$35,12)</f>
        <v>1042606.17</v>
      </c>
      <c r="C11" s="11" t="n">
        <f aca="false">INDEX('Cash Flow'!$B$35:$BI$35,24)</f>
        <v>1042606.17</v>
      </c>
      <c r="D11" s="11" t="n">
        <f aca="false">INDEX('Cash Flow'!$B$35:$BI$35,36)</f>
        <v>1042606.17</v>
      </c>
      <c r="E11" s="11" t="n">
        <f aca="false">INDEX('Cash Flow'!$B$35:$BI$35,48)</f>
        <v>1042606.17</v>
      </c>
      <c r="F11" s="11" t="n">
        <f aca="false">INDEX('Cash Flow'!$B$35:$BI$35,60)</f>
        <v>1042606.17</v>
      </c>
    </row>
    <row r="12" customFormat="false" ht="15" hidden="false" customHeight="false" outlineLevel="0" collapsed="false">
      <c r="A12" s="12" t="s">
        <v>602</v>
      </c>
      <c r="B12" s="14" t="n">
        <f aca="false">B10+B11</f>
        <v>2379207.72559222</v>
      </c>
      <c r="C12" s="14" t="n">
        <f aca="false">C10+C11</f>
        <v>2586817.55758533</v>
      </c>
      <c r="D12" s="14" t="n">
        <f aca="false">D10+D11</f>
        <v>2738051.00250682</v>
      </c>
      <c r="E12" s="14" t="n">
        <f aca="false">E10+E11</f>
        <v>2989594.68721862</v>
      </c>
      <c r="F12" s="14" t="n">
        <f aca="false">F10+F11</f>
        <v>3296725.38268154</v>
      </c>
    </row>
    <row r="13" customFormat="false" ht="15" hidden="false" customHeight="false" outlineLevel="0" collapsed="false">
      <c r="A13" s="6" t="s">
        <v>32</v>
      </c>
      <c r="B13" s="11" t="n">
        <f aca="false">MIN(INDEX('Cash Flow'!$B$31:$BI$31,1):INDEX('Cash Flow'!$B$31:$BI$31,12))</f>
        <v>-31299.8207246371</v>
      </c>
      <c r="C13" s="11" t="n">
        <f aca="false">MIN(INDEX('Cash Flow'!$B$31:$BI$31,13):INDEX('Cash Flow'!$B$31:$BI$31,24))</f>
        <v>131306.317724906</v>
      </c>
      <c r="D13" s="11" t="n">
        <f aca="false">MIN(INDEX('Cash Flow'!$B$31:$BI$31,25):INDEX('Cash Flow'!$B$31:$BI$31,36))</f>
        <v>238258.547229831</v>
      </c>
      <c r="E13" s="11" t="n">
        <f aca="false">MIN(INDEX('Cash Flow'!$B$31:$BI$31,37):INDEX('Cash Flow'!$B$31:$BI$31,48))</f>
        <v>427586.445421538</v>
      </c>
      <c r="F13" s="11" t="n">
        <f aca="false">MIN(INDEX('Cash Flow'!$B$31:$BI$31,49):INDEX('Cash Flow'!$B$31:$BI$31,60))</f>
        <v>653700.894858586</v>
      </c>
    </row>
    <row r="14" customFormat="false" ht="15" hidden="false" customHeight="false" outlineLevel="0" collapsed="false">
      <c r="A14" s="6" t="s">
        <v>603</v>
      </c>
      <c r="B14" s="42" t="n">
        <f aca="false">INDEX('Cash Flow'!$B$2:$BI$2,0+MATCH(B13,INDEX('Cash Flow'!$B$31:$BI$31,1):INDEX('Cash Flow'!$B$31:$BI$31,12),0))</f>
        <v>46507</v>
      </c>
      <c r="C14" s="42" t="n">
        <f aca="false">INDEX('Cash Flow'!$B$2:$BI$2,12+MATCH(C13,INDEX('Cash Flow'!$B$31:$BI$31,13):INDEX('Cash Flow'!$B$31:$BI$31,24),0))</f>
        <v>46873</v>
      </c>
      <c r="D14" s="42" t="n">
        <f aca="false">INDEX('Cash Flow'!$B$2:$BI$2,24+MATCH(D13,INDEX('Cash Flow'!$B$31:$BI$31,25):INDEX('Cash Flow'!$B$31:$BI$31,36),0))</f>
        <v>47238</v>
      </c>
      <c r="E14" s="42" t="n">
        <f aca="false">INDEX('Cash Flow'!$B$2:$BI$2,36+MATCH(E13,INDEX('Cash Flow'!$B$31:$BI$31,37):INDEX('Cash Flow'!$B$31:$BI$31,48),0))</f>
        <v>47603</v>
      </c>
      <c r="F14" s="42" t="n">
        <f aca="false">INDEX('Cash Flow'!$B$2:$BI$2,48+MATCH(F13,INDEX('Cash Flow'!$B$31:$BI$31,49):INDEX('Cash Flow'!$B$31:$BI$31,60),0))</f>
        <v>47968</v>
      </c>
    </row>
    <row r="15" customFormat="false" ht="15" hidden="false" customHeight="false" outlineLevel="0" collapsed="false">
      <c r="A15" s="6" t="s">
        <v>604</v>
      </c>
      <c r="B15" s="15" t="n">
        <f aca="false">IF(Summary!B$24=0,0,B12/(Summary!B$24/365))</f>
        <v>93.3500043902292</v>
      </c>
      <c r="C15" s="15" t="n">
        <f aca="false">IF(Summary!C$24=0,0,C12/(Summary!C$24/365))</f>
        <v>97.8262079844483</v>
      </c>
      <c r="D15" s="15" t="n">
        <f aca="false">IF(Summary!D$24=0,0,D12/(Summary!D$24/365))</f>
        <v>100.123283310147</v>
      </c>
      <c r="E15" s="15" t="n">
        <f aca="false">IF(Summary!E$24=0,0,E12/(Summary!E$24/365))</f>
        <v>107.074441774715</v>
      </c>
      <c r="F15" s="15" t="n">
        <f aca="false">IF(Summary!F$24=0,0,F12/(Summary!F$24/365))</f>
        <v>114.911467441916</v>
      </c>
    </row>
    <row r="17" customFormat="false" ht="15" hidden="false" customHeight="false" outlineLevel="0" collapsed="false">
      <c r="A17" s="3" t="s">
        <v>605</v>
      </c>
    </row>
    <row r="19" customFormat="false" ht="15" hidden="false" customHeight="false" outlineLevel="0" collapsed="false">
      <c r="A19" s="12" t="s">
        <v>606</v>
      </c>
    </row>
    <row r="20" customFormat="false" ht="15" hidden="false" customHeight="false" outlineLevel="0" collapsed="false">
      <c r="A20" s="4" t="s">
        <v>607</v>
      </c>
      <c r="B20" s="5" t="str">
        <f aca="false">B3</f>
        <v>FY27</v>
      </c>
      <c r="C20" s="5" t="str">
        <f aca="false">C3</f>
        <v>FY28</v>
      </c>
      <c r="D20" s="5" t="str">
        <f aca="false">D3</f>
        <v>FY29</v>
      </c>
      <c r="E20" s="5" t="str">
        <f aca="false">E3</f>
        <v>FY30</v>
      </c>
      <c r="F20" s="5" t="str">
        <f aca="false">F3</f>
        <v>FY31</v>
      </c>
      <c r="G20" s="5" t="s">
        <v>608</v>
      </c>
    </row>
    <row r="21" customFormat="false" ht="15" hidden="false" customHeight="false" outlineLevel="0" collapsed="false">
      <c r="A21" s="3" t="s">
        <v>609</v>
      </c>
    </row>
    <row r="22" customFormat="false" ht="15" hidden="false" customHeight="false" outlineLevel="0" collapsed="false">
      <c r="A22" s="6" t="s">
        <v>574</v>
      </c>
      <c r="B22" s="11" t="n">
        <f aca="false">SUMIFS('Forecast Detail'!G$8:G$400,'Forecast Detail'!$A$8:$A$400,"Revenue",'Forecast Detail'!$F$8:$F$400,"Tuition Plan")</f>
        <v>8592782</v>
      </c>
      <c r="C22" s="11" t="n">
        <f aca="false">SUMIFS('Forecast Detail'!H$8:H$400,'Forecast Detail'!$A$8:$A$400,"Revenue",'Forecast Detail'!$F$8:$F$400,"Tuition Plan")</f>
        <v>9133108.64436703</v>
      </c>
      <c r="D22" s="11" t="n">
        <f aca="false">SUMIFS('Forecast Detail'!I$8:I$400,'Forecast Detail'!$A$8:$A$400,"Revenue",'Forecast Detail'!$F$8:$F$400,"Tuition Plan")</f>
        <v>9462573.08127491</v>
      </c>
      <c r="E22" s="11" t="n">
        <f aca="false">SUMIFS('Forecast Detail'!J$8:J$400,'Forecast Detail'!$A$8:$A$400,"Revenue",'Forecast Detail'!$F$8:$F$400,"Tuition Plan")</f>
        <v>9775890.75912035</v>
      </c>
      <c r="F22" s="11" t="n">
        <f aca="false">SUMIFS('Forecast Detail'!K$8:K$400,'Forecast Detail'!$A$8:$A$400,"Revenue",'Forecast Detail'!$F$8:$F$400,"Tuition Plan")</f>
        <v>10082473.7018883</v>
      </c>
      <c r="G22" s="11" t="n">
        <f aca="false">F22*(1+Inputs!$G$9)</f>
        <v>10485772.6499638</v>
      </c>
    </row>
    <row r="23" customFormat="false" ht="15" hidden="false" customHeight="false" outlineLevel="0" collapsed="false">
      <c r="A23" s="6" t="s">
        <v>575</v>
      </c>
      <c r="B23" s="11" t="n">
        <f aca="false">SUMIFS('Forecast Detail'!G$8:G$400,'Forecast Detail'!$A$8:$A$400,"Revenue",'Forecast Detail'!$F$8:$F$400,"Even")</f>
        <v>149300</v>
      </c>
      <c r="C23" s="11" t="n">
        <f aca="false">SUMIFS('Forecast Detail'!H$8:H$400,'Forecast Detail'!$A$8:$A$400,"Revenue",'Forecast Detail'!$F$8:$F$400,"Even")</f>
        <v>142005.03102</v>
      </c>
      <c r="D23" s="11" t="n">
        <f aca="false">SUMIFS('Forecast Detail'!I$8:I$400,'Forecast Detail'!$A$8:$A$400,"Revenue",'Forecast Detail'!$F$8:$F$400,"Even")</f>
        <v>142005.03102</v>
      </c>
      <c r="E23" s="11" t="n">
        <f aca="false">SUMIFS('Forecast Detail'!J$8:J$400,'Forecast Detail'!$A$8:$A$400,"Revenue",'Forecast Detail'!$F$8:$F$400,"Even")</f>
        <v>142005.03102</v>
      </c>
      <c r="F23" s="11" t="n">
        <f aca="false">SUMIFS('Forecast Detail'!K$8:K$400,'Forecast Detail'!$A$8:$A$400,"Revenue",'Forecast Detail'!$F$8:$F$400,"Even")</f>
        <v>142005.03102</v>
      </c>
      <c r="G23" s="11" t="n">
        <f aca="false">F23*(1+Inputs!$G$9)</f>
        <v>147685.2322608</v>
      </c>
    </row>
    <row r="24" customFormat="false" ht="15" hidden="false" customHeight="false" outlineLevel="0" collapsed="false">
      <c r="A24" s="6" t="s">
        <v>576</v>
      </c>
      <c r="B24" s="11" t="n">
        <f aca="false">SUMIFS('Forecast Detail'!G$8:G$400,'Forecast Detail'!$A$8:$A$400,"Revenue",'Forecast Detail'!$F$8:$F$400,"Jul Lump")</f>
        <v>562300</v>
      </c>
      <c r="C24" s="11" t="n">
        <f aca="false">SUMIFS('Forecast Detail'!H$8:H$400,'Forecast Detail'!$A$8:$A$400,"Revenue",'Forecast Detail'!$F$8:$F$400,"Jul Lump")</f>
        <v>479809.793814433</v>
      </c>
      <c r="D24" s="11" t="n">
        <f aca="false">SUMIFS('Forecast Detail'!I$8:I$400,'Forecast Detail'!$A$8:$A$400,"Revenue",'Forecast Detail'!$F$8:$F$400,"Jul Lump")</f>
        <v>428973.195876289</v>
      </c>
      <c r="E24" s="11" t="n">
        <f aca="false">SUMIFS('Forecast Detail'!J$8:J$400,'Forecast Detail'!$A$8:$A$400,"Revenue",'Forecast Detail'!$F$8:$F$400,"Jul Lump")</f>
        <v>427578.865979381</v>
      </c>
      <c r="F24" s="11" t="n">
        <f aca="false">SUMIFS('Forecast Detail'!K$8:K$400,'Forecast Detail'!$A$8:$A$400,"Revenue",'Forecast Detail'!$F$8:$F$400,"Jul Lump")</f>
        <v>426463.402061856</v>
      </c>
      <c r="G24" s="11" t="n">
        <f aca="false">F24*(1+Inputs!$G$9)</f>
        <v>443521.93814433</v>
      </c>
    </row>
    <row r="25" customFormat="false" ht="15" hidden="false" customHeight="false" outlineLevel="0" collapsed="false">
      <c r="A25" s="6" t="s">
        <v>577</v>
      </c>
      <c r="B25" s="11" t="n">
        <f aca="false">SUMIFS('Forecast Detail'!G$8:G$400,'Forecast Detail'!$A$8:$A$400,"Revenue",'Forecast Detail'!$F$8:$F$400,"Custom A")</f>
        <v>0</v>
      </c>
      <c r="C25" s="11" t="n">
        <f aca="false">SUMIFS('Forecast Detail'!H$8:H$400,'Forecast Detail'!$A$8:$A$400,"Revenue",'Forecast Detail'!$F$8:$F$400,"Custom A")</f>
        <v>0</v>
      </c>
      <c r="D25" s="11" t="n">
        <f aca="false">SUMIFS('Forecast Detail'!I$8:I$400,'Forecast Detail'!$A$8:$A$400,"Revenue",'Forecast Detail'!$F$8:$F$400,"Custom A")</f>
        <v>0</v>
      </c>
      <c r="E25" s="11" t="n">
        <f aca="false">SUMIFS('Forecast Detail'!J$8:J$400,'Forecast Detail'!$A$8:$A$400,"Revenue",'Forecast Detail'!$F$8:$F$400,"Custom A")</f>
        <v>0</v>
      </c>
      <c r="F25" s="11" t="n">
        <f aca="false">SUMIFS('Forecast Detail'!K$8:K$400,'Forecast Detail'!$A$8:$A$400,"Revenue",'Forecast Detail'!$F$8:$F$400,"Custom A")</f>
        <v>0</v>
      </c>
      <c r="G25" s="11" t="n">
        <f aca="false">F25*(1+Inputs!$G$9)</f>
        <v>0</v>
      </c>
    </row>
    <row r="26" customFormat="false" ht="15" hidden="false" customHeight="false" outlineLevel="0" collapsed="false">
      <c r="A26" s="6" t="s">
        <v>578</v>
      </c>
      <c r="B26" s="11" t="n">
        <f aca="false">SUMIFS('Forecast Detail'!G$8:G$400,'Forecast Detail'!$A$8:$A$400,"Revenue",'Forecast Detail'!$F$8:$F$400,"Custom B")</f>
        <v>0</v>
      </c>
      <c r="C26" s="11" t="n">
        <f aca="false">SUMIFS('Forecast Detail'!H$8:H$400,'Forecast Detail'!$A$8:$A$400,"Revenue",'Forecast Detail'!$F$8:$F$400,"Custom B")</f>
        <v>0</v>
      </c>
      <c r="D26" s="11" t="n">
        <f aca="false">SUMIFS('Forecast Detail'!I$8:I$400,'Forecast Detail'!$A$8:$A$400,"Revenue",'Forecast Detail'!$F$8:$F$400,"Custom B")</f>
        <v>0</v>
      </c>
      <c r="E26" s="11" t="n">
        <f aca="false">SUMIFS('Forecast Detail'!J$8:J$400,'Forecast Detail'!$A$8:$A$400,"Revenue",'Forecast Detail'!$F$8:$F$400,"Custom B")</f>
        <v>0</v>
      </c>
      <c r="F26" s="11" t="n">
        <f aca="false">SUMIFS('Forecast Detail'!K$8:K$400,'Forecast Detail'!$A$8:$A$400,"Revenue",'Forecast Detail'!$F$8:$F$400,"Custom B")</f>
        <v>0</v>
      </c>
      <c r="G26" s="11" t="n">
        <f aca="false">F26*(1+Inputs!$G$9)</f>
        <v>0</v>
      </c>
    </row>
    <row r="28" customFormat="false" ht="15" hidden="false" customHeight="false" outlineLevel="0" collapsed="false">
      <c r="A28" s="12" t="s">
        <v>610</v>
      </c>
    </row>
    <row r="29" customFormat="false" ht="15" hidden="false" customHeight="false" outlineLevel="0" collapsed="false">
      <c r="A29" s="6" t="s">
        <v>574</v>
      </c>
      <c r="B29" s="11" t="n">
        <f aca="false">SUMIFS('Forecast Detail'!G$8:G$400,'Forecast Detail'!$A$8:$A$400,"Expense",'Forecast Detail'!$F$8:$F$400,"Tuition Plan")</f>
        <v>0</v>
      </c>
      <c r="C29" s="11" t="n">
        <f aca="false">SUMIFS('Forecast Detail'!H$8:H$400,'Forecast Detail'!$A$8:$A$400,"Expense",'Forecast Detail'!$F$8:$F$400,"Tuition Plan")</f>
        <v>0</v>
      </c>
      <c r="D29" s="11" t="n">
        <f aca="false">SUMIFS('Forecast Detail'!I$8:I$400,'Forecast Detail'!$A$8:$A$400,"Expense",'Forecast Detail'!$F$8:$F$400,"Tuition Plan")</f>
        <v>0</v>
      </c>
      <c r="E29" s="11" t="n">
        <f aca="false">SUMIFS('Forecast Detail'!J$8:J$400,'Forecast Detail'!$A$8:$A$400,"Expense",'Forecast Detail'!$F$8:$F$400,"Tuition Plan")</f>
        <v>0</v>
      </c>
      <c r="F29" s="11" t="n">
        <f aca="false">SUMIFS('Forecast Detail'!K$8:K$400,'Forecast Detail'!$A$8:$A$400,"Expense",'Forecast Detail'!$F$8:$F$400,"Tuition Plan")</f>
        <v>0</v>
      </c>
      <c r="G29" s="11" t="n">
        <f aca="false">F29*(1+Inputs!$G$12)</f>
        <v>0</v>
      </c>
    </row>
    <row r="30" customFormat="false" ht="15" hidden="false" customHeight="false" outlineLevel="0" collapsed="false">
      <c r="A30" s="6" t="s">
        <v>575</v>
      </c>
      <c r="B30" s="11" t="n">
        <f aca="false">SUMIFS('Forecast Detail'!G$8:G$400,'Forecast Detail'!$A$8:$A$400,"Expense",'Forecast Detail'!$F$8:$F$400,"Even")</f>
        <v>9302740</v>
      </c>
      <c r="C30" s="11" t="n">
        <f aca="false">SUMIFS('Forecast Detail'!H$8:H$400,'Forecast Detail'!$A$8:$A$400,"Expense",'Forecast Detail'!$F$8:$F$400,"Even")</f>
        <v>9601691.7906983</v>
      </c>
      <c r="D30" s="11" t="n">
        <f aca="false">SUMIFS('Forecast Detail'!I$8:I$400,'Forecast Detail'!$A$8:$A$400,"Expense",'Forecast Detail'!$F$8:$F$400,"Even")</f>
        <v>9881580.53625986</v>
      </c>
      <c r="E30" s="11" t="n">
        <f aca="false">SUMIFS('Forecast Detail'!J$8:J$400,'Forecast Detail'!$A$8:$A$400,"Expense",'Forecast Detail'!$F$8:$F$400,"Even")</f>
        <v>10041060.0022617</v>
      </c>
      <c r="F30" s="11" t="n">
        <f aca="false">SUMIFS('Forecast Detail'!K$8:K$400,'Forecast Detail'!$A$8:$A$400,"Expense",'Forecast Detail'!$F$8:$F$400,"Even")</f>
        <v>10271581.2221874</v>
      </c>
      <c r="G30" s="11" t="n">
        <f aca="false">F30*(1+Inputs!$G$12)</f>
        <v>10579728.658853</v>
      </c>
    </row>
    <row r="31" customFormat="false" ht="15" hidden="false" customHeight="false" outlineLevel="0" collapsed="false">
      <c r="A31" s="6" t="s">
        <v>576</v>
      </c>
      <c r="B31" s="11" t="n">
        <f aca="false">SUMIFS('Forecast Detail'!G$8:G$400,'Forecast Detail'!$A$8:$A$400,"Expense",'Forecast Detail'!$F$8:$F$400,"Jul Lump")</f>
        <v>0</v>
      </c>
      <c r="C31" s="11" t="n">
        <f aca="false">SUMIFS('Forecast Detail'!H$8:H$400,'Forecast Detail'!$A$8:$A$400,"Expense",'Forecast Detail'!$F$8:$F$400,"Jul Lump")</f>
        <v>0</v>
      </c>
      <c r="D31" s="11" t="n">
        <f aca="false">SUMIFS('Forecast Detail'!I$8:I$400,'Forecast Detail'!$A$8:$A$400,"Expense",'Forecast Detail'!$F$8:$F$400,"Jul Lump")</f>
        <v>0</v>
      </c>
      <c r="E31" s="11" t="n">
        <f aca="false">SUMIFS('Forecast Detail'!J$8:J$400,'Forecast Detail'!$A$8:$A$400,"Expense",'Forecast Detail'!$F$8:$F$400,"Jul Lump")</f>
        <v>0</v>
      </c>
      <c r="F31" s="11" t="n">
        <f aca="false">SUMIFS('Forecast Detail'!K$8:K$400,'Forecast Detail'!$A$8:$A$400,"Expense",'Forecast Detail'!$F$8:$F$400,"Jul Lump")</f>
        <v>0</v>
      </c>
      <c r="G31" s="11" t="n">
        <f aca="false">F31*(1+Inputs!$G$12)</f>
        <v>0</v>
      </c>
    </row>
    <row r="32" customFormat="false" ht="15" hidden="false" customHeight="false" outlineLevel="0" collapsed="false">
      <c r="A32" s="6" t="s">
        <v>577</v>
      </c>
      <c r="B32" s="11" t="n">
        <f aca="false">SUMIFS('Forecast Detail'!G$8:G$400,'Forecast Detail'!$A$8:$A$400,"Expense",'Forecast Detail'!$F$8:$F$400,"Custom A")</f>
        <v>0</v>
      </c>
      <c r="C32" s="11" t="n">
        <f aca="false">SUMIFS('Forecast Detail'!H$8:H$400,'Forecast Detail'!$A$8:$A$400,"Expense",'Forecast Detail'!$F$8:$F$400,"Custom A")</f>
        <v>0</v>
      </c>
      <c r="D32" s="11" t="n">
        <f aca="false">SUMIFS('Forecast Detail'!I$8:I$400,'Forecast Detail'!$A$8:$A$400,"Expense",'Forecast Detail'!$F$8:$F$400,"Custom A")</f>
        <v>0</v>
      </c>
      <c r="E32" s="11" t="n">
        <f aca="false">SUMIFS('Forecast Detail'!J$8:J$400,'Forecast Detail'!$A$8:$A$400,"Expense",'Forecast Detail'!$F$8:$F$400,"Custom A")</f>
        <v>0</v>
      </c>
      <c r="F32" s="11" t="n">
        <f aca="false">SUMIFS('Forecast Detail'!K$8:K$400,'Forecast Detail'!$A$8:$A$400,"Expense",'Forecast Detail'!$F$8:$F$400,"Custom A")</f>
        <v>0</v>
      </c>
      <c r="G32" s="11" t="n">
        <f aca="false">F32*(1+Inputs!$G$12)</f>
        <v>0</v>
      </c>
    </row>
    <row r="33" customFormat="false" ht="15" hidden="false" customHeight="false" outlineLevel="0" collapsed="false">
      <c r="A33" s="6" t="s">
        <v>578</v>
      </c>
      <c r="B33" s="11" t="n">
        <f aca="false">SUMIFS('Forecast Detail'!G$8:G$400,'Forecast Detail'!$A$8:$A$400,"Expense",'Forecast Detail'!$F$8:$F$400,"Custom B")</f>
        <v>0</v>
      </c>
      <c r="C33" s="11" t="n">
        <f aca="false">SUMIFS('Forecast Detail'!H$8:H$400,'Forecast Detail'!$A$8:$A$400,"Expense",'Forecast Detail'!$F$8:$F$400,"Custom B")</f>
        <v>0</v>
      </c>
      <c r="D33" s="11" t="n">
        <f aca="false">SUMIFS('Forecast Detail'!I$8:I$400,'Forecast Detail'!$A$8:$A$400,"Expense",'Forecast Detail'!$F$8:$F$400,"Custom B")</f>
        <v>0</v>
      </c>
      <c r="E33" s="11" t="n">
        <f aca="false">SUMIFS('Forecast Detail'!J$8:J$400,'Forecast Detail'!$A$8:$A$400,"Expense",'Forecast Detail'!$F$8:$F$400,"Custom B")</f>
        <v>0</v>
      </c>
      <c r="F33" s="11" t="n">
        <f aca="false">SUMIFS('Forecast Detail'!K$8:K$400,'Forecast Detail'!$A$8:$A$400,"Expense",'Forecast Detail'!$F$8:$F$400,"Custom B")</f>
        <v>0</v>
      </c>
      <c r="G33" s="11" t="n">
        <f aca="false">F33*(1+Inputs!$G$12)</f>
        <v>0</v>
      </c>
    </row>
  </sheetData>
  <conditionalFormatting sqref="B13:F1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1" min="11" style="0" width="70"/>
  </cols>
  <sheetData>
    <row r="1" customFormat="false" ht="15" hidden="false" customHeight="false" outlineLevel="0" collapsed="false">
      <c r="A1" s="6" t="s">
        <v>611</v>
      </c>
      <c r="D1" s="36" t="str">
        <f aca="false">TRIM(A1)</f>
        <v>Budget Overview__Budget_FY27_P&amp;L___Report</v>
      </c>
      <c r="E1" s="36" t="str">
        <f aca="false">IF(D1="Revenue","Revenue",IF(D1="Cost of Goods Sold","COGS",IF(D1="Expenditures","Expense",IF(D1="Other Revenue","Other Revenue",IF(D1="Other Expenditures","Other Expense","")))))</f>
        <v/>
      </c>
      <c r="F1" s="36" t="str">
        <f aca="false">IF(OR(D1="Revenue",D1="Cost of Goods Sold",D1="Expenditures",D1="Other Revenue",D1="Other Expenditures"),E1,IF(AND(LEN(D1)&gt;2,MID(D1,2,1)=" ",ISNUMBER(VALUE(LEFT(D1,1)))),D1,""))</f>
        <v/>
      </c>
      <c r="G1" s="36" t="n">
        <f aca="false">IF(AND(D1&lt;&gt;"",ISNUMBER(B1),LEFT(D1,9)&lt;&gt;"Total for",D1&lt;&gt;"Gross Profit",D1&lt;&gt;"Net Operating Revenue",D1&lt;&gt;"Net Other Revenue",D1&lt;&gt;"Net Revenue"),1,0)</f>
        <v>0</v>
      </c>
      <c r="H1" s="36" t="str">
        <f aca="false">IF(G1=1,IF(AND(LEN(D1)&gt;7,ISNUMBER(VALUE(LEFT(D1,6))),MID(D1,7,1)=" "),LEFT(D1,6),D1),"")</f>
        <v/>
      </c>
      <c r="I1" s="36" t="str">
        <f aca="false">IF(G1=1,IF(COUNTIF('Forecast Detail'!$C$8:$C$400,H1)=0,"UNMAPPED","OK"),"")</f>
        <v/>
      </c>
      <c r="K1" s="12" t="s">
        <v>612</v>
      </c>
    </row>
    <row r="2" customFormat="false" ht="15" hidden="false" customHeight="false" outlineLevel="0" collapsed="false">
      <c r="A2" s="6" t="s">
        <v>613</v>
      </c>
      <c r="D2" s="36" t="str">
        <f aca="false">TRIM(A2)</f>
        <v>July, 2026-June, 2027</v>
      </c>
      <c r="E2" s="36" t="str">
        <f aca="false">IF(D2="Revenue","Revenue",IF(D2="Cost of Goods Sold","COGS",IF(D2="Expenditures","Expense",IF(D2="Other Revenue","Other Revenue",IF(D2="Other Expenditures","Other Expense",E1)))))</f>
        <v/>
      </c>
      <c r="F2" s="36" t="str">
        <f aca="false">IF(OR(D2="Revenue",D2="Cost of Goods Sold",D2="Expenditures",D2="Other Revenue",D2="Other Expenditures"),E2,IF(AND(LEN(D2)&gt;2,MID(D2,2,1)=" ",ISNUMBER(VALUE(LEFT(D2,1)))),D2,F1))</f>
        <v/>
      </c>
      <c r="G2" s="36" t="n">
        <f aca="false">IF(AND(D2&lt;&gt;"",ISNUMBER(B2),LEFT(D2,9)&lt;&gt;"Total for",D2&lt;&gt;"Gross Profit",D2&lt;&gt;"Net Operating Revenue",D2&lt;&gt;"Net Other Revenue",D2&lt;&gt;"Net Revenue"),1,0)</f>
        <v>0</v>
      </c>
      <c r="H2" s="36" t="str">
        <f aca="false">IF(G2=1,IF(AND(LEN(D2)&gt;7,ISNUMBER(VALUE(LEFT(D2,6))),MID(D2,7,1)=" "),LEFT(D2,6),D2),"")</f>
        <v/>
      </c>
      <c r="I2" s="36" t="str">
        <f aca="false">IF(G2=1,IF(COUNTIF('Forecast Detail'!$C$8:$C$400,H2)=0,"UNMAPPED","OK"),"")</f>
        <v/>
      </c>
      <c r="K2" s="6" t="s">
        <v>614</v>
      </c>
    </row>
    <row r="3" customFormat="false" ht="15" hidden="false" customHeight="false" outlineLevel="0" collapsed="false">
      <c r="D3" s="36" t="str">
        <f aca="false">TRIM(A3)</f>
        <v/>
      </c>
      <c r="E3" s="36" t="str">
        <f aca="false">IF(D3="Revenue","Revenue",IF(D3="Cost of Goods Sold","COGS",IF(D3="Expenditures","Expense",IF(D3="Other Revenue","Other Revenue",IF(D3="Other Expenditures","Other Expense",E2)))))</f>
        <v/>
      </c>
      <c r="F3" s="36" t="str">
        <f aca="false">IF(OR(D3="Revenue",D3="Cost of Goods Sold",D3="Expenditures",D3="Other Revenue",D3="Other Expenditures"),E3,IF(AND(LEN(D3)&gt;2,MID(D3,2,1)=" ",ISNUMBER(VALUE(LEFT(D3,1)))),D3,F2))</f>
        <v/>
      </c>
      <c r="G3" s="36" t="n">
        <f aca="false">IF(AND(D3&lt;&gt;"",ISNUMBER(B3),LEFT(D3,9)&lt;&gt;"Total for",D3&lt;&gt;"Gross Profit",D3&lt;&gt;"Net Operating Revenue",D3&lt;&gt;"Net Other Revenue",D3&lt;&gt;"Net Revenue"),1,0)</f>
        <v>0</v>
      </c>
      <c r="H3" s="36" t="str">
        <f aca="false">IF(G3=1,IF(AND(LEN(D3)&gt;7,ISNUMBER(VALUE(LEFT(D3,6))),MID(D3,7,1)=" "),LEFT(D3,6),D3),"")</f>
        <v/>
      </c>
      <c r="I3" s="36" t="str">
        <f aca="false">IF(G3=1,IF(COUNTIF('Forecast Detail'!$C$8:$C$400,H3)=0,"UNMAPPED","OK"),"")</f>
        <v/>
      </c>
      <c r="K3" s="6" t="s">
        <v>615</v>
      </c>
    </row>
    <row r="4" customFormat="false" ht="15" hidden="false" customHeight="false" outlineLevel="0" collapsed="false">
      <c r="A4" s="6"/>
      <c r="B4" s="11" t="s">
        <v>616</v>
      </c>
      <c r="C4" s="11" t="s">
        <v>125</v>
      </c>
      <c r="D4" s="36" t="str">
        <f aca="false">TRIM(A4)</f>
        <v/>
      </c>
      <c r="E4" s="36" t="str">
        <f aca="false">IF(D4="Revenue","Revenue",IF(D4="Cost of Goods Sold","COGS",IF(D4="Expenditures","Expense",IF(D4="Other Revenue","Other Revenue",IF(D4="Other Expenditures","Other Expense",E3)))))</f>
        <v/>
      </c>
      <c r="F4" s="36" t="str">
        <f aca="false">IF(OR(D4="Revenue",D4="Cost of Goods Sold",D4="Expenditures",D4="Other Revenue",D4="Other Expenditures"),E4,IF(AND(LEN(D4)&gt;2,MID(D4,2,1)=" ",ISNUMBER(VALUE(LEFT(D4,1)))),D4,F3))</f>
        <v/>
      </c>
      <c r="G4" s="36" t="n">
        <f aca="false">IF(AND(D4&lt;&gt;"",ISNUMBER(B4),LEFT(D4,9)&lt;&gt;"Total for",D4&lt;&gt;"Gross Profit",D4&lt;&gt;"Net Operating Revenue",D4&lt;&gt;"Net Other Revenue",D4&lt;&gt;"Net Revenue"),1,0)</f>
        <v>0</v>
      </c>
      <c r="H4" s="36" t="str">
        <f aca="false">IF(G4=1,IF(AND(LEN(D4)&gt;7,ISNUMBER(VALUE(LEFT(D4,6))),MID(D4,7,1)=" "),LEFT(D4,6),D4),"")</f>
        <v/>
      </c>
      <c r="I4" s="36" t="str">
        <f aca="false">IF(G4=1,IF(COUNTIF('Forecast Detail'!$C$8:$C$400,H4)=0,"UNMAPPED","OK"),"")</f>
        <v/>
      </c>
      <c r="K4" s="6" t="s">
        <v>617</v>
      </c>
    </row>
    <row r="5" customFormat="false" ht="15" hidden="false" customHeight="false" outlineLevel="0" collapsed="false">
      <c r="A5" s="6" t="s">
        <v>191</v>
      </c>
      <c r="D5" s="36" t="str">
        <f aca="false">TRIM(A5)</f>
        <v>Revenue</v>
      </c>
      <c r="E5" s="36" t="str">
        <f aca="false">IF(D5="Revenue","Revenue",IF(D5="Cost of Goods Sold","COGS",IF(D5="Expenditures","Expense",IF(D5="Other Revenue","Other Revenue",IF(D5="Other Expenditures","Other Expense",E4)))))</f>
        <v>Revenue</v>
      </c>
      <c r="F5" s="36" t="str">
        <f aca="false">IF(OR(D5="Revenue",D5="Cost of Goods Sold",D5="Expenditures",D5="Other Revenue",D5="Other Expenditures"),E5,IF(AND(LEN(D5)&gt;2,MID(D5,2,1)=" ",ISNUMBER(VALUE(LEFT(D5,1)))),D5,F4))</f>
        <v>Revenue</v>
      </c>
      <c r="G5" s="36" t="n">
        <f aca="false">IF(AND(D5&lt;&gt;"",ISNUMBER(B5),LEFT(D5,9)&lt;&gt;"Total for",D5&lt;&gt;"Gross Profit",D5&lt;&gt;"Net Operating Revenue",D5&lt;&gt;"Net Other Revenue",D5&lt;&gt;"Net Revenue"),1,0)</f>
        <v>0</v>
      </c>
      <c r="H5" s="36" t="str">
        <f aca="false">IF(G5=1,IF(AND(LEN(D5)&gt;7,ISNUMBER(VALUE(LEFT(D5,6))),MID(D5,7,1)=" "),LEFT(D5,6),D5),"")</f>
        <v/>
      </c>
      <c r="I5" s="36" t="str">
        <f aca="false">IF(G5=1,IF(COUNTIF('Forecast Detail'!$C$8:$C$400,H5)=0,"UNMAPPED","OK"),"")</f>
        <v/>
      </c>
      <c r="K5" s="6" t="s">
        <v>618</v>
      </c>
    </row>
    <row r="6" customFormat="false" ht="15" hidden="false" customHeight="false" outlineLevel="0" collapsed="false">
      <c r="A6" s="6" t="s">
        <v>8</v>
      </c>
      <c r="D6" s="36" t="str">
        <f aca="false">TRIM(A6)</f>
        <v>1 Tuition and Fees</v>
      </c>
      <c r="E6" s="36" t="str">
        <f aca="false">IF(D6="Revenue","Revenue",IF(D6="Cost of Goods Sold","COGS",IF(D6="Expenditures","Expense",IF(D6="Other Revenue","Other Revenue",IF(D6="Other Expenditures","Other Expense",E5)))))</f>
        <v>Revenue</v>
      </c>
      <c r="F6" s="36" t="str">
        <f aca="false">IF(OR(D6="Revenue",D6="Cost of Goods Sold",D6="Expenditures",D6="Other Revenue",D6="Other Expenditures"),E6,IF(AND(LEN(D6)&gt;2,MID(D6,2,1)=" ",ISNUMBER(VALUE(LEFT(D6,1)))),D6,F5))</f>
        <v>1 Tuition and Fees</v>
      </c>
      <c r="G6" s="36" t="n">
        <f aca="false">IF(AND(D6&lt;&gt;"",ISNUMBER(B6),LEFT(D6,9)&lt;&gt;"Total for",D6&lt;&gt;"Gross Profit",D6&lt;&gt;"Net Operating Revenue",D6&lt;&gt;"Net Other Revenue",D6&lt;&gt;"Net Revenue"),1,0)</f>
        <v>0</v>
      </c>
      <c r="H6" s="36" t="str">
        <f aca="false">IF(G6=1,IF(AND(LEN(D6)&gt;7,ISNUMBER(VALUE(LEFT(D6,6))),MID(D6,7,1)=" "),LEFT(D6,6),D6),"")</f>
        <v/>
      </c>
      <c r="I6" s="36" t="str">
        <f aca="false">IF(G6=1,IF(COUNTIF('Forecast Detail'!$C$8:$C$400,H6)=0,"UNMAPPED","OK"),"")</f>
        <v/>
      </c>
      <c r="K6" s="6" t="s">
        <v>619</v>
      </c>
    </row>
    <row r="7" customFormat="false" ht="15" hidden="false" customHeight="false" outlineLevel="0" collapsed="false">
      <c r="A7" s="6" t="s">
        <v>620</v>
      </c>
      <c r="D7" s="36" t="str">
        <f aca="false">TRIM(A7)</f>
        <v>Gross Tuition</v>
      </c>
      <c r="E7" s="36" t="str">
        <f aca="false">IF(D7="Revenue","Revenue",IF(D7="Cost of Goods Sold","COGS",IF(D7="Expenditures","Expense",IF(D7="Other Revenue","Other Revenue",IF(D7="Other Expenditures","Other Expense",E6)))))</f>
        <v>Revenue</v>
      </c>
      <c r="F7" s="36" t="str">
        <f aca="false">IF(OR(D7="Revenue",D7="Cost of Goods Sold",D7="Expenditures",D7="Other Revenue",D7="Other Expenditures"),E7,IF(AND(LEN(D7)&gt;2,MID(D7,2,1)=" ",ISNUMBER(VALUE(LEFT(D7,1)))),D7,F6))</f>
        <v>1 Tuition and Fees</v>
      </c>
      <c r="G7" s="36" t="n">
        <f aca="false">IF(AND(D7&lt;&gt;"",ISNUMBER(B7),LEFT(D7,9)&lt;&gt;"Total for",D7&lt;&gt;"Gross Profit",D7&lt;&gt;"Net Operating Revenue",D7&lt;&gt;"Net Other Revenue",D7&lt;&gt;"Net Revenue"),1,0)</f>
        <v>0</v>
      </c>
      <c r="H7" s="36" t="str">
        <f aca="false">IF(G7=1,IF(AND(LEN(D7)&gt;7,ISNUMBER(VALUE(LEFT(D7,6))),MID(D7,7,1)=" "),LEFT(D7,6),D7),"")</f>
        <v/>
      </c>
      <c r="I7" s="36" t="str">
        <f aca="false">IF(G7=1,IF(COUNTIF('Forecast Detail'!$C$8:$C$400,H7)=0,"UNMAPPED","OK"),"")</f>
        <v/>
      </c>
      <c r="K7" s="6" t="s">
        <v>621</v>
      </c>
    </row>
    <row r="8" customFormat="false" ht="15" hidden="false" customHeight="false" outlineLevel="0" collapsed="false">
      <c r="A8" s="6" t="s">
        <v>193</v>
      </c>
      <c r="B8" s="11" t="n">
        <v>7858980</v>
      </c>
      <c r="C8" s="11" t="n">
        <f aca="false">B8</f>
        <v>7858980</v>
      </c>
      <c r="D8" s="36" t="str">
        <f aca="false">TRIM(A8)</f>
        <v>400186 Tuition Income</v>
      </c>
      <c r="E8" s="36" t="str">
        <f aca="false">IF(D8="Revenue","Revenue",IF(D8="Cost of Goods Sold","COGS",IF(D8="Expenditures","Expense",IF(D8="Other Revenue","Other Revenue",IF(D8="Other Expenditures","Other Expense",E7)))))</f>
        <v>Revenue</v>
      </c>
      <c r="F8" s="36" t="str">
        <f aca="false">IF(OR(D8="Revenue",D8="Cost of Goods Sold",D8="Expenditures",D8="Other Revenue",D8="Other Expenditures"),E8,IF(AND(LEN(D8)&gt;2,MID(D8,2,1)=" ",ISNUMBER(VALUE(LEFT(D8,1)))),D8,F7))</f>
        <v>1 Tuition and Fees</v>
      </c>
      <c r="G8" s="36" t="n">
        <f aca="false">IF(AND(D8&lt;&gt;"",ISNUMBER(B8),LEFT(D8,9)&lt;&gt;"Total for",D8&lt;&gt;"Gross Profit",D8&lt;&gt;"Net Operating Revenue",D8&lt;&gt;"Net Other Revenue",D8&lt;&gt;"Net Revenue"),1,0)</f>
        <v>1</v>
      </c>
      <c r="H8" s="36" t="str">
        <f aca="false">IF(G8=1,IF(AND(LEN(D8)&gt;7,ISNUMBER(VALUE(LEFT(D8,6))),MID(D8,7,1)=" "),LEFT(D8,6),D8),"")</f>
        <v>400186</v>
      </c>
      <c r="I8" s="36" t="str">
        <f aca="false">IF(G8=1,IF(COUNTIF('Forecast Detail'!$C$8:$C$400,H8)=0,"UNMAPPED","OK"),"")</f>
        <v>OK</v>
      </c>
      <c r="K8" s="6" t="s">
        <v>622</v>
      </c>
    </row>
    <row r="9" customFormat="false" ht="15" hidden="false" customHeight="false" outlineLevel="0" collapsed="false">
      <c r="A9" s="6" t="s">
        <v>196</v>
      </c>
      <c r="B9" s="11" t="n">
        <v>410000</v>
      </c>
      <c r="C9" s="11" t="n">
        <f aca="false">B9</f>
        <v>410000</v>
      </c>
      <c r="D9" s="36" t="str">
        <f aca="false">TRIM(A9)</f>
        <v>400187 Scholarship for Kids Tuition</v>
      </c>
      <c r="E9" s="36" t="str">
        <f aca="false">IF(D9="Revenue","Revenue",IF(D9="Cost of Goods Sold","COGS",IF(D9="Expenditures","Expense",IF(D9="Other Revenue","Other Revenue",IF(D9="Other Expenditures","Other Expense",E8)))))</f>
        <v>Revenue</v>
      </c>
      <c r="F9" s="36" t="str">
        <f aca="false">IF(OR(D9="Revenue",D9="Cost of Goods Sold",D9="Expenditures",D9="Other Revenue",D9="Other Expenditures"),E9,IF(AND(LEN(D9)&gt;2,MID(D9,2,1)=" ",ISNUMBER(VALUE(LEFT(D9,1)))),D9,F8))</f>
        <v>1 Tuition and Fees</v>
      </c>
      <c r="G9" s="36" t="n">
        <f aca="false">IF(AND(D9&lt;&gt;"",ISNUMBER(B9),LEFT(D9,9)&lt;&gt;"Total for",D9&lt;&gt;"Gross Profit",D9&lt;&gt;"Net Operating Revenue",D9&lt;&gt;"Net Other Revenue",D9&lt;&gt;"Net Revenue"),1,0)</f>
        <v>1</v>
      </c>
      <c r="H9" s="36" t="str">
        <f aca="false">IF(G9=1,IF(AND(LEN(D9)&gt;7,ISNUMBER(VALUE(LEFT(D9,6))),MID(D9,7,1)=" "),LEFT(D9,6),D9),"")</f>
        <v>400187</v>
      </c>
      <c r="I9" s="36" t="str">
        <f aca="false">IF(G9=1,IF(COUNTIF('Forecast Detail'!$C$8:$C$400,H9)=0,"UNMAPPED","OK"),"")</f>
        <v>OK</v>
      </c>
    </row>
    <row r="10" customFormat="false" ht="15" hidden="false" customHeight="false" outlineLevel="0" collapsed="false">
      <c r="A10" s="6" t="s">
        <v>199</v>
      </c>
      <c r="B10" s="11" t="n">
        <v>616000</v>
      </c>
      <c r="C10" s="11" t="n">
        <f aca="false">B10</f>
        <v>616000</v>
      </c>
      <c r="D10" s="36" t="str">
        <f aca="false">TRIM(A10)</f>
        <v>400188 Choose Act Tuition</v>
      </c>
      <c r="E10" s="36" t="str">
        <f aca="false">IF(D10="Revenue","Revenue",IF(D10="Cost of Goods Sold","COGS",IF(D10="Expenditures","Expense",IF(D10="Other Revenue","Other Revenue",IF(D10="Other Expenditures","Other Expense",E9)))))</f>
        <v>Revenue</v>
      </c>
      <c r="F10" s="36" t="str">
        <f aca="false">IF(OR(D10="Revenue",D10="Cost of Goods Sold",D10="Expenditures",D10="Other Revenue",D10="Other Expenditures"),E10,IF(AND(LEN(D10)&gt;2,MID(D10,2,1)=" ",ISNUMBER(VALUE(LEFT(D10,1)))),D10,F9))</f>
        <v>1 Tuition and Fees</v>
      </c>
      <c r="G10" s="36" t="n">
        <f aca="false">IF(AND(D10&lt;&gt;"",ISNUMBER(B10),LEFT(D10,9)&lt;&gt;"Total for",D10&lt;&gt;"Gross Profit",D10&lt;&gt;"Net Operating Revenue",D10&lt;&gt;"Net Other Revenue",D10&lt;&gt;"Net Revenue"),1,0)</f>
        <v>1</v>
      </c>
      <c r="H10" s="36" t="str">
        <f aca="false">IF(G10=1,IF(AND(LEN(D10)&gt;7,ISNUMBER(VALUE(LEFT(D10,6))),MID(D10,7,1)=" "),LEFT(D10,6),D10),"")</f>
        <v>400188</v>
      </c>
      <c r="I10" s="36" t="str">
        <f aca="false">IF(G10=1,IF(COUNTIF('Forecast Detail'!$C$8:$C$400,H10)=0,"UNMAPPED","OK"),"")</f>
        <v>OK</v>
      </c>
    </row>
    <row r="11" customFormat="false" ht="15" hidden="false" customHeight="false" outlineLevel="0" collapsed="false">
      <c r="A11" s="6" t="s">
        <v>202</v>
      </c>
      <c r="B11" s="11" t="n">
        <v>0</v>
      </c>
      <c r="C11" s="11" t="n">
        <f aca="false">B11</f>
        <v>0</v>
      </c>
      <c r="D11" s="36" t="str">
        <f aca="false">TRIM(A11)</f>
        <v>400189 AOSF Tuition</v>
      </c>
      <c r="E11" s="36" t="str">
        <f aca="false">IF(D11="Revenue","Revenue",IF(D11="Cost of Goods Sold","COGS",IF(D11="Expenditures","Expense",IF(D11="Other Revenue","Other Revenue",IF(D11="Other Expenditures","Other Expense",E10)))))</f>
        <v>Revenue</v>
      </c>
      <c r="F11" s="36" t="str">
        <f aca="false">IF(OR(D11="Revenue",D11="Cost of Goods Sold",D11="Expenditures",D11="Other Revenue",D11="Other Expenditures"),E11,IF(AND(LEN(D11)&gt;2,MID(D11,2,1)=" ",ISNUMBER(VALUE(LEFT(D11,1)))),D11,F10))</f>
        <v>1 Tuition and Fees</v>
      </c>
      <c r="G11" s="36" t="n">
        <f aca="false">IF(AND(D11&lt;&gt;"",ISNUMBER(B11),LEFT(D11,9)&lt;&gt;"Total for",D11&lt;&gt;"Gross Profit",D11&lt;&gt;"Net Operating Revenue",D11&lt;&gt;"Net Other Revenue",D11&lt;&gt;"Net Revenue"),1,0)</f>
        <v>1</v>
      </c>
      <c r="H11" s="36" t="str">
        <f aca="false">IF(G11=1,IF(AND(LEN(D11)&gt;7,ISNUMBER(VALUE(LEFT(D11,6))),MID(D11,7,1)=" "),LEFT(D11,6),D11),"")</f>
        <v>400189</v>
      </c>
      <c r="I11" s="36" t="str">
        <f aca="false">IF(G11=1,IF(COUNTIF('Forecast Detail'!$C$8:$C$400,H11)=0,"UNMAPPED","OK"),"")</f>
        <v>OK</v>
      </c>
    </row>
    <row r="12" customFormat="false" ht="15" hidden="false" customHeight="false" outlineLevel="0" collapsed="false">
      <c r="A12" s="6" t="s">
        <v>623</v>
      </c>
      <c r="B12" s="11" t="n">
        <f aca="false">B7+B8+B9+B10+B11</f>
        <v>8884980</v>
      </c>
      <c r="C12" s="11" t="n">
        <f aca="false">B12</f>
        <v>8884980</v>
      </c>
      <c r="D12" s="36" t="str">
        <f aca="false">TRIM(A12)</f>
        <v>Total for Gross Tuition</v>
      </c>
      <c r="E12" s="36" t="str">
        <f aca="false">IF(D12="Revenue","Revenue",IF(D12="Cost of Goods Sold","COGS",IF(D12="Expenditures","Expense",IF(D12="Other Revenue","Other Revenue",IF(D12="Other Expenditures","Other Expense",E11)))))</f>
        <v>Revenue</v>
      </c>
      <c r="F12" s="36" t="str">
        <f aca="false">IF(OR(D12="Revenue",D12="Cost of Goods Sold",D12="Expenditures",D12="Other Revenue",D12="Other Expenditures"),E12,IF(AND(LEN(D12)&gt;2,MID(D12,2,1)=" ",ISNUMBER(VALUE(LEFT(D12,1)))),D12,F11))</f>
        <v>1 Tuition and Fees</v>
      </c>
      <c r="G12" s="36" t="n">
        <f aca="false">IF(AND(D12&lt;&gt;"",ISNUMBER(B12),LEFT(D12,9)&lt;&gt;"Total for",D12&lt;&gt;"Gross Profit",D12&lt;&gt;"Net Operating Revenue",D12&lt;&gt;"Net Other Revenue",D12&lt;&gt;"Net Revenue"),1,0)</f>
        <v>0</v>
      </c>
      <c r="H12" s="36" t="str">
        <f aca="false">IF(G12=1,IF(AND(LEN(D12)&gt;7,ISNUMBER(VALUE(LEFT(D12,6))),MID(D12,7,1)=" "),LEFT(D12,6),D12),"")</f>
        <v/>
      </c>
      <c r="I12" s="36" t="str">
        <f aca="false">IF(G12=1,IF(COUNTIF('Forecast Detail'!$C$8:$C$400,H12)=0,"UNMAPPED","OK"),"")</f>
        <v/>
      </c>
    </row>
    <row r="13" customFormat="false" ht="15" hidden="false" customHeight="false" outlineLevel="0" collapsed="false">
      <c r="A13" s="6" t="s">
        <v>624</v>
      </c>
      <c r="D13" s="36" t="str">
        <f aca="false">TRIM(A13)</f>
        <v>Other Tuition-Related Fees</v>
      </c>
      <c r="E13" s="36" t="str">
        <f aca="false">IF(D13="Revenue","Revenue",IF(D13="Cost of Goods Sold","COGS",IF(D13="Expenditures","Expense",IF(D13="Other Revenue","Other Revenue",IF(D13="Other Expenditures","Other Expense",E12)))))</f>
        <v>Revenue</v>
      </c>
      <c r="F13" s="36" t="str">
        <f aca="false">IF(OR(D13="Revenue",D13="Cost of Goods Sold",D13="Expenditures",D13="Other Revenue",D13="Other Expenditures"),E13,IF(AND(LEN(D13)&gt;2,MID(D13,2,1)=" ",ISNUMBER(VALUE(LEFT(D13,1)))),D13,F12))</f>
        <v>1 Tuition and Fees</v>
      </c>
      <c r="G13" s="36" t="n">
        <f aca="false">IF(AND(D13&lt;&gt;"",ISNUMBER(B13),LEFT(D13,9)&lt;&gt;"Total for",D13&lt;&gt;"Gross Profit",D13&lt;&gt;"Net Operating Revenue",D13&lt;&gt;"Net Other Revenue",D13&lt;&gt;"Net Revenue"),1,0)</f>
        <v>0</v>
      </c>
      <c r="H13" s="36" t="str">
        <f aca="false">IF(G13=1,IF(AND(LEN(D13)&gt;7,ISNUMBER(VALUE(LEFT(D13,6))),MID(D13,7,1)=" "),LEFT(D13,6),D13),"")</f>
        <v/>
      </c>
      <c r="I13" s="36" t="str">
        <f aca="false">IF(G13=1,IF(COUNTIF('Forecast Detail'!$C$8:$C$400,H13)=0,"UNMAPPED","OK"),"")</f>
        <v/>
      </c>
    </row>
    <row r="14" customFormat="false" ht="15" hidden="false" customHeight="false" outlineLevel="0" collapsed="false">
      <c r="A14" s="6" t="s">
        <v>204</v>
      </c>
      <c r="B14" s="11" t="n">
        <v>35000</v>
      </c>
      <c r="C14" s="11" t="n">
        <f aca="false">B14</f>
        <v>35000</v>
      </c>
      <c r="D14" s="36" t="str">
        <f aca="false">TRIM(A14)</f>
        <v>400180 Building Fees</v>
      </c>
      <c r="E14" s="36" t="str">
        <f aca="false">IF(D14="Revenue","Revenue",IF(D14="Cost of Goods Sold","COGS",IF(D14="Expenditures","Expense",IF(D14="Other Revenue","Other Revenue",IF(D14="Other Expenditures","Other Expense",E13)))))</f>
        <v>Revenue</v>
      </c>
      <c r="F14" s="36" t="str">
        <f aca="false">IF(OR(D14="Revenue",D14="Cost of Goods Sold",D14="Expenditures",D14="Other Revenue",D14="Other Expenditures"),E14,IF(AND(LEN(D14)&gt;2,MID(D14,2,1)=" ",ISNUMBER(VALUE(LEFT(D14,1)))),D14,F13))</f>
        <v>1 Tuition and Fees</v>
      </c>
      <c r="G14" s="36" t="n">
        <f aca="false">IF(AND(D14&lt;&gt;"",ISNUMBER(B14),LEFT(D14,9)&lt;&gt;"Total for",D14&lt;&gt;"Gross Profit",D14&lt;&gt;"Net Operating Revenue",D14&lt;&gt;"Net Other Revenue",D14&lt;&gt;"Net Revenue"),1,0)</f>
        <v>1</v>
      </c>
      <c r="H14" s="36" t="str">
        <f aca="false">IF(G14=1,IF(AND(LEN(D14)&gt;7,ISNUMBER(VALUE(LEFT(D14,6))),MID(D14,7,1)=" "),LEFT(D14,6),D14),"")</f>
        <v>400180</v>
      </c>
      <c r="I14" s="36" t="str">
        <f aca="false">IF(G14=1,IF(COUNTIF('Forecast Detail'!$C$8:$C$400,H14)=0,"UNMAPPED","OK"),"")</f>
        <v>OK</v>
      </c>
    </row>
    <row r="15" customFormat="false" ht="15" hidden="false" customHeight="false" outlineLevel="0" collapsed="false">
      <c r="A15" s="6" t="s">
        <v>206</v>
      </c>
      <c r="B15" s="11" t="n">
        <v>162300</v>
      </c>
      <c r="C15" s="11" t="n">
        <f aca="false">B15</f>
        <v>162300</v>
      </c>
      <c r="D15" s="36" t="str">
        <f aca="false">TRIM(A15)</f>
        <v>400181 Enrollment Fees</v>
      </c>
      <c r="E15" s="36" t="str">
        <f aca="false">IF(D15="Revenue","Revenue",IF(D15="Cost of Goods Sold","COGS",IF(D15="Expenditures","Expense",IF(D15="Other Revenue","Other Revenue",IF(D15="Other Expenditures","Other Expense",E14)))))</f>
        <v>Revenue</v>
      </c>
      <c r="F15" s="36" t="str">
        <f aca="false">IF(OR(D15="Revenue",D15="Cost of Goods Sold",D15="Expenditures",D15="Other Revenue",D15="Other Expenditures"),E15,IF(AND(LEN(D15)&gt;2,MID(D15,2,1)=" ",ISNUMBER(VALUE(LEFT(D15,1)))),D15,F14))</f>
        <v>1 Tuition and Fees</v>
      </c>
      <c r="G15" s="36" t="n">
        <f aca="false">IF(AND(D15&lt;&gt;"",ISNUMBER(B15),LEFT(D15,9)&lt;&gt;"Total for",D15&lt;&gt;"Gross Profit",D15&lt;&gt;"Net Operating Revenue",D15&lt;&gt;"Net Other Revenue",D15&lt;&gt;"Net Revenue"),1,0)</f>
        <v>1</v>
      </c>
      <c r="H15" s="36" t="str">
        <f aca="false">IF(G15=1,IF(AND(LEN(D15)&gt;7,ISNUMBER(VALUE(LEFT(D15,6))),MID(D15,7,1)=" "),LEFT(D15,6),D15),"")</f>
        <v>400181</v>
      </c>
      <c r="I15" s="36" t="str">
        <f aca="false">IF(G15=1,IF(COUNTIF('Forecast Detail'!$C$8:$C$400,H15)=0,"UNMAPPED","OK"),"")</f>
        <v>OK</v>
      </c>
    </row>
    <row r="16" customFormat="false" ht="15" hidden="false" customHeight="false" outlineLevel="0" collapsed="false">
      <c r="A16" s="6" t="s">
        <v>209</v>
      </c>
      <c r="B16" s="11" t="n">
        <v>139000</v>
      </c>
      <c r="C16" s="11" t="n">
        <f aca="false">B16</f>
        <v>139000</v>
      </c>
      <c r="D16" s="36" t="str">
        <f aca="false">TRIM(A16)</f>
        <v>400183 Tuition Insurance Income</v>
      </c>
      <c r="E16" s="36" t="str">
        <f aca="false">IF(D16="Revenue","Revenue",IF(D16="Cost of Goods Sold","COGS",IF(D16="Expenditures","Expense",IF(D16="Other Revenue","Other Revenue",IF(D16="Other Expenditures","Other Expense",E15)))))</f>
        <v>Revenue</v>
      </c>
      <c r="F16" s="36" t="str">
        <f aca="false">IF(OR(D16="Revenue",D16="Cost of Goods Sold",D16="Expenditures",D16="Other Revenue",D16="Other Expenditures"),E16,IF(AND(LEN(D16)&gt;2,MID(D16,2,1)=" ",ISNUMBER(VALUE(LEFT(D16,1)))),D16,F15))</f>
        <v>1 Tuition and Fees</v>
      </c>
      <c r="G16" s="36" t="n">
        <f aca="false">IF(AND(D16&lt;&gt;"",ISNUMBER(B16),LEFT(D16,9)&lt;&gt;"Total for",D16&lt;&gt;"Gross Profit",D16&lt;&gt;"Net Operating Revenue",D16&lt;&gt;"Net Other Revenue",D16&lt;&gt;"Net Revenue"),1,0)</f>
        <v>1</v>
      </c>
      <c r="H16" s="36" t="str">
        <f aca="false">IF(G16=1,IF(AND(LEN(D16)&gt;7,ISNUMBER(VALUE(LEFT(D16,6))),MID(D16,7,1)=" "),LEFT(D16,6),D16),"")</f>
        <v>400183</v>
      </c>
      <c r="I16" s="36" t="str">
        <f aca="false">IF(G16=1,IF(COUNTIF('Forecast Detail'!$C$8:$C$400,H16)=0,"UNMAPPED","OK"),"")</f>
        <v>OK</v>
      </c>
    </row>
    <row r="17" customFormat="false" ht="15" hidden="false" customHeight="false" outlineLevel="0" collapsed="false">
      <c r="A17" s="6" t="s">
        <v>211</v>
      </c>
      <c r="B17" s="11" t="n">
        <v>0</v>
      </c>
      <c r="C17" s="11" t="n">
        <f aca="false">B17</f>
        <v>0</v>
      </c>
      <c r="D17" s="36" t="str">
        <f aca="false">TRIM(A17)</f>
        <v>400184 Application Fees</v>
      </c>
      <c r="E17" s="36" t="str">
        <f aca="false">IF(D17="Revenue","Revenue",IF(D17="Cost of Goods Sold","COGS",IF(D17="Expenditures","Expense",IF(D17="Other Revenue","Other Revenue",IF(D17="Other Expenditures","Other Expense",E16)))))</f>
        <v>Revenue</v>
      </c>
      <c r="F17" s="36" t="str">
        <f aca="false">IF(OR(D17="Revenue",D17="Cost of Goods Sold",D17="Expenditures",D17="Other Revenue",D17="Other Expenditures"),E17,IF(AND(LEN(D17)&gt;2,MID(D17,2,1)=" ",ISNUMBER(VALUE(LEFT(D17,1)))),D17,F16))</f>
        <v>1 Tuition and Fees</v>
      </c>
      <c r="G17" s="36" t="n">
        <f aca="false">IF(AND(D17&lt;&gt;"",ISNUMBER(B17),LEFT(D17,9)&lt;&gt;"Total for",D17&lt;&gt;"Gross Profit",D17&lt;&gt;"Net Operating Revenue",D17&lt;&gt;"Net Other Revenue",D17&lt;&gt;"Net Revenue"),1,0)</f>
        <v>1</v>
      </c>
      <c r="H17" s="36" t="str">
        <f aca="false">IF(G17=1,IF(AND(LEN(D17)&gt;7,ISNUMBER(VALUE(LEFT(D17,6))),MID(D17,7,1)=" "),LEFT(D17,6),D17),"")</f>
        <v>400184</v>
      </c>
      <c r="I17" s="36" t="str">
        <f aca="false">IF(G17=1,IF(COUNTIF('Forecast Detail'!$C$8:$C$400,H17)=0,"UNMAPPED","OK"),"")</f>
        <v>OK</v>
      </c>
    </row>
    <row r="18" customFormat="false" ht="15" hidden="false" customHeight="false" outlineLevel="0" collapsed="false">
      <c r="A18" s="6" t="s">
        <v>213</v>
      </c>
      <c r="B18" s="11" t="n">
        <v>0</v>
      </c>
      <c r="C18" s="11" t="n">
        <f aca="false">B18</f>
        <v>0</v>
      </c>
      <c r="D18" s="36" t="str">
        <f aca="false">TRIM(A18)</f>
        <v>400185 Enrollment Fee Waived - Alumni Credit</v>
      </c>
      <c r="E18" s="36" t="str">
        <f aca="false">IF(D18="Revenue","Revenue",IF(D18="Cost of Goods Sold","COGS",IF(D18="Expenditures","Expense",IF(D18="Other Revenue","Other Revenue",IF(D18="Other Expenditures","Other Expense",E17)))))</f>
        <v>Revenue</v>
      </c>
      <c r="F18" s="36" t="str">
        <f aca="false">IF(OR(D18="Revenue",D18="Cost of Goods Sold",D18="Expenditures",D18="Other Revenue",D18="Other Expenditures"),E18,IF(AND(LEN(D18)&gt;2,MID(D18,2,1)=" ",ISNUMBER(VALUE(LEFT(D18,1)))),D18,F17))</f>
        <v>1 Tuition and Fees</v>
      </c>
      <c r="G18" s="36" t="n">
        <f aca="false">IF(AND(D18&lt;&gt;"",ISNUMBER(B18),LEFT(D18,9)&lt;&gt;"Total for",D18&lt;&gt;"Gross Profit",D18&lt;&gt;"Net Operating Revenue",D18&lt;&gt;"Net Other Revenue",D18&lt;&gt;"Net Revenue"),1,0)</f>
        <v>1</v>
      </c>
      <c r="H18" s="36" t="str">
        <f aca="false">IF(G18=1,IF(AND(LEN(D18)&gt;7,ISNUMBER(VALUE(LEFT(D18,6))),MID(D18,7,1)=" "),LEFT(D18,6),D18),"")</f>
        <v>400185</v>
      </c>
      <c r="I18" s="36" t="str">
        <f aca="false">IF(G18=1,IF(COUNTIF('Forecast Detail'!$C$8:$C$400,H18)=0,"UNMAPPED","OK"),"")</f>
        <v>OK</v>
      </c>
    </row>
    <row r="19" customFormat="false" ht="15" hidden="false" customHeight="false" outlineLevel="0" collapsed="false">
      <c r="A19" s="6" t="s">
        <v>215</v>
      </c>
      <c r="B19" s="11" t="n">
        <v>0</v>
      </c>
      <c r="C19" s="11" t="n">
        <f aca="false">B19</f>
        <v>0</v>
      </c>
      <c r="D19" s="36" t="str">
        <f aca="false">TRIM(A19)</f>
        <v>400199 Fee - Tuition Discount</v>
      </c>
      <c r="E19" s="36" t="str">
        <f aca="false">IF(D19="Revenue","Revenue",IF(D19="Cost of Goods Sold","COGS",IF(D19="Expenditures","Expense",IF(D19="Other Revenue","Other Revenue",IF(D19="Other Expenditures","Other Expense",E18)))))</f>
        <v>Revenue</v>
      </c>
      <c r="F19" s="36" t="str">
        <f aca="false">IF(OR(D19="Revenue",D19="Cost of Goods Sold",D19="Expenditures",D19="Other Revenue",D19="Other Expenditures"),E19,IF(AND(LEN(D19)&gt;2,MID(D19,2,1)=" ",ISNUMBER(VALUE(LEFT(D19,1)))),D19,F18))</f>
        <v>1 Tuition and Fees</v>
      </c>
      <c r="G19" s="36" t="n">
        <f aca="false">IF(AND(D19&lt;&gt;"",ISNUMBER(B19),LEFT(D19,9)&lt;&gt;"Total for",D19&lt;&gt;"Gross Profit",D19&lt;&gt;"Net Operating Revenue",D19&lt;&gt;"Net Other Revenue",D19&lt;&gt;"Net Revenue"),1,0)</f>
        <v>1</v>
      </c>
      <c r="H19" s="36" t="str">
        <f aca="false">IF(G19=1,IF(AND(LEN(D19)&gt;7,ISNUMBER(VALUE(LEFT(D19,6))),MID(D19,7,1)=" "),LEFT(D19,6),D19),"")</f>
        <v>400199</v>
      </c>
      <c r="I19" s="36" t="str">
        <f aca="false">IF(G19=1,IF(COUNTIF('Forecast Detail'!$C$8:$C$400,H19)=0,"UNMAPPED","OK"),"")</f>
        <v>OK</v>
      </c>
    </row>
    <row r="20" customFormat="false" ht="15" hidden="false" customHeight="false" outlineLevel="0" collapsed="false">
      <c r="A20" s="6" t="s">
        <v>217</v>
      </c>
      <c r="B20" s="11" t="n">
        <v>0</v>
      </c>
      <c r="C20" s="11" t="n">
        <f aca="false">B20</f>
        <v>0</v>
      </c>
      <c r="D20" s="36" t="str">
        <f aca="false">TRIM(A20)</f>
        <v>400201 Referral Fee - Tuition Discount</v>
      </c>
      <c r="E20" s="36" t="str">
        <f aca="false">IF(D20="Revenue","Revenue",IF(D20="Cost of Goods Sold","COGS",IF(D20="Expenditures","Expense",IF(D20="Other Revenue","Other Revenue",IF(D20="Other Expenditures","Other Expense",E19)))))</f>
        <v>Revenue</v>
      </c>
      <c r="F20" s="36" t="str">
        <f aca="false">IF(OR(D20="Revenue",D20="Cost of Goods Sold",D20="Expenditures",D20="Other Revenue",D20="Other Expenditures"),E20,IF(AND(LEN(D20)&gt;2,MID(D20,2,1)=" ",ISNUMBER(VALUE(LEFT(D20,1)))),D20,F19))</f>
        <v>1 Tuition and Fees</v>
      </c>
      <c r="G20" s="36" t="n">
        <f aca="false">IF(AND(D20&lt;&gt;"",ISNUMBER(B20),LEFT(D20,9)&lt;&gt;"Total for",D20&lt;&gt;"Gross Profit",D20&lt;&gt;"Net Operating Revenue",D20&lt;&gt;"Net Other Revenue",D20&lt;&gt;"Net Revenue"),1,0)</f>
        <v>1</v>
      </c>
      <c r="H20" s="36" t="str">
        <f aca="false">IF(G20=1,IF(AND(LEN(D20)&gt;7,ISNUMBER(VALUE(LEFT(D20,6))),MID(D20,7,1)=" "),LEFT(D20,6),D20),"")</f>
        <v>400201</v>
      </c>
      <c r="I20" s="36" t="str">
        <f aca="false">IF(G20=1,IF(COUNTIF('Forecast Detail'!$C$8:$C$400,H20)=0,"UNMAPPED","OK"),"")</f>
        <v>OK</v>
      </c>
    </row>
    <row r="21" customFormat="false" ht="15" hidden="false" customHeight="false" outlineLevel="0" collapsed="false">
      <c r="A21" s="6" t="s">
        <v>625</v>
      </c>
      <c r="D21" s="36" t="str">
        <f aca="false">TRIM(A21)</f>
        <v>Other Income-Late Fees</v>
      </c>
      <c r="E21" s="36" t="str">
        <f aca="false">IF(D21="Revenue","Revenue",IF(D21="Cost of Goods Sold","COGS",IF(D21="Expenditures","Expense",IF(D21="Other Revenue","Other Revenue",IF(D21="Other Expenditures","Other Expense",E20)))))</f>
        <v>Revenue</v>
      </c>
      <c r="F21" s="36" t="str">
        <f aca="false">IF(OR(D21="Revenue",D21="Cost of Goods Sold",D21="Expenditures",D21="Other Revenue",D21="Other Expenditures"),E21,IF(AND(LEN(D21)&gt;2,MID(D21,2,1)=" ",ISNUMBER(VALUE(LEFT(D21,1)))),D21,F20))</f>
        <v>1 Tuition and Fees</v>
      </c>
      <c r="G21" s="36" t="n">
        <f aca="false">IF(AND(D21&lt;&gt;"",ISNUMBER(B21),LEFT(D21,9)&lt;&gt;"Total for",D21&lt;&gt;"Gross Profit",D21&lt;&gt;"Net Operating Revenue",D21&lt;&gt;"Net Other Revenue",D21&lt;&gt;"Net Revenue"),1,0)</f>
        <v>0</v>
      </c>
      <c r="H21" s="36" t="str">
        <f aca="false">IF(G21=1,IF(AND(LEN(D21)&gt;7,ISNUMBER(VALUE(LEFT(D21,6))),MID(D21,7,1)=" "),LEFT(D21,6),D21),"")</f>
        <v/>
      </c>
      <c r="I21" s="36" t="str">
        <f aca="false">IF(G21=1,IF(COUNTIF('Forecast Detail'!$C$8:$C$400,H21)=0,"UNMAPPED","OK"),"")</f>
        <v/>
      </c>
    </row>
    <row r="22" customFormat="false" ht="15" hidden="false" customHeight="false" outlineLevel="0" collapsed="false">
      <c r="A22" s="6" t="s">
        <v>219</v>
      </c>
      <c r="B22" s="11" t="n">
        <v>9300</v>
      </c>
      <c r="C22" s="11" t="n">
        <f aca="false">B22</f>
        <v>9300</v>
      </c>
      <c r="D22" s="36" t="str">
        <f aca="false">TRIM(A22)</f>
        <v>400126 Late Fees</v>
      </c>
      <c r="E22" s="36" t="str">
        <f aca="false">IF(D22="Revenue","Revenue",IF(D22="Cost of Goods Sold","COGS",IF(D22="Expenditures","Expense",IF(D22="Other Revenue","Other Revenue",IF(D22="Other Expenditures","Other Expense",E21)))))</f>
        <v>Revenue</v>
      </c>
      <c r="F22" s="36" t="str">
        <f aca="false">IF(OR(D22="Revenue",D22="Cost of Goods Sold",D22="Expenditures",D22="Other Revenue",D22="Other Expenditures"),E22,IF(AND(LEN(D22)&gt;2,MID(D22,2,1)=" ",ISNUMBER(VALUE(LEFT(D22,1)))),D22,F21))</f>
        <v>1 Tuition and Fees</v>
      </c>
      <c r="G22" s="36" t="n">
        <f aca="false">IF(AND(D22&lt;&gt;"",ISNUMBER(B22),LEFT(D22,9)&lt;&gt;"Total for",D22&lt;&gt;"Gross Profit",D22&lt;&gt;"Net Operating Revenue",D22&lt;&gt;"Net Other Revenue",D22&lt;&gt;"Net Revenue"),1,0)</f>
        <v>1</v>
      </c>
      <c r="H22" s="36" t="str">
        <f aca="false">IF(G22=1,IF(AND(LEN(D22)&gt;7,ISNUMBER(VALUE(LEFT(D22,6))),MID(D22,7,1)=" "),LEFT(D22,6),D22),"")</f>
        <v>400126</v>
      </c>
      <c r="I22" s="36" t="str">
        <f aca="false">IF(G22=1,IF(COUNTIF('Forecast Detail'!$C$8:$C$400,H22)=0,"UNMAPPED","OK"),"")</f>
        <v>OK</v>
      </c>
    </row>
    <row r="23" customFormat="false" ht="15" hidden="false" customHeight="false" outlineLevel="0" collapsed="false">
      <c r="A23" s="6" t="s">
        <v>221</v>
      </c>
      <c r="B23" s="11" t="n">
        <v>0</v>
      </c>
      <c r="C23" s="11" t="n">
        <f aca="false">B23</f>
        <v>0</v>
      </c>
      <c r="D23" s="36" t="str">
        <f aca="false">TRIM(A23)</f>
        <v>400127 Waived Late Fees</v>
      </c>
      <c r="E23" s="36" t="str">
        <f aca="false">IF(D23="Revenue","Revenue",IF(D23="Cost of Goods Sold","COGS",IF(D23="Expenditures","Expense",IF(D23="Other Revenue","Other Revenue",IF(D23="Other Expenditures","Other Expense",E22)))))</f>
        <v>Revenue</v>
      </c>
      <c r="F23" s="36" t="str">
        <f aca="false">IF(OR(D23="Revenue",D23="Cost of Goods Sold",D23="Expenditures",D23="Other Revenue",D23="Other Expenditures"),E23,IF(AND(LEN(D23)&gt;2,MID(D23,2,1)=" ",ISNUMBER(VALUE(LEFT(D23,1)))),D23,F22))</f>
        <v>1 Tuition and Fees</v>
      </c>
      <c r="G23" s="36" t="n">
        <f aca="false">IF(AND(D23&lt;&gt;"",ISNUMBER(B23),LEFT(D23,9)&lt;&gt;"Total for",D23&lt;&gt;"Gross Profit",D23&lt;&gt;"Net Operating Revenue",D23&lt;&gt;"Net Other Revenue",D23&lt;&gt;"Net Revenue"),1,0)</f>
        <v>1</v>
      </c>
      <c r="H23" s="36" t="str">
        <f aca="false">IF(G23=1,IF(AND(LEN(D23)&gt;7,ISNUMBER(VALUE(LEFT(D23,6))),MID(D23,7,1)=" "),LEFT(D23,6),D23),"")</f>
        <v>400127</v>
      </c>
      <c r="I23" s="36" t="str">
        <f aca="false">IF(G23=1,IF(COUNTIF('Forecast Detail'!$C$8:$C$400,H23)=0,"UNMAPPED","OK"),"")</f>
        <v>OK</v>
      </c>
    </row>
    <row r="24" customFormat="false" ht="15" hidden="false" customHeight="false" outlineLevel="0" collapsed="false">
      <c r="A24" s="6" t="s">
        <v>223</v>
      </c>
      <c r="B24" s="11" t="n">
        <v>0</v>
      </c>
      <c r="C24" s="11" t="n">
        <f aca="false">B24</f>
        <v>0</v>
      </c>
      <c r="D24" s="36" t="str">
        <f aca="false">TRIM(A24)</f>
        <v>400128 Late Fees - Past Due Accounts</v>
      </c>
      <c r="E24" s="36" t="str">
        <f aca="false">IF(D24="Revenue","Revenue",IF(D24="Cost of Goods Sold","COGS",IF(D24="Expenditures","Expense",IF(D24="Other Revenue","Other Revenue",IF(D24="Other Expenditures","Other Expense",E23)))))</f>
        <v>Revenue</v>
      </c>
      <c r="F24" s="36" t="str">
        <f aca="false">IF(OR(D24="Revenue",D24="Cost of Goods Sold",D24="Expenditures",D24="Other Revenue",D24="Other Expenditures"),E24,IF(AND(LEN(D24)&gt;2,MID(D24,2,1)=" ",ISNUMBER(VALUE(LEFT(D24,1)))),D24,F23))</f>
        <v>1 Tuition and Fees</v>
      </c>
      <c r="G24" s="36" t="n">
        <f aca="false">IF(AND(D24&lt;&gt;"",ISNUMBER(B24),LEFT(D24,9)&lt;&gt;"Total for",D24&lt;&gt;"Gross Profit",D24&lt;&gt;"Net Operating Revenue",D24&lt;&gt;"Net Other Revenue",D24&lt;&gt;"Net Revenue"),1,0)</f>
        <v>1</v>
      </c>
      <c r="H24" s="36" t="str">
        <f aca="false">IF(G24=1,IF(AND(LEN(D24)&gt;7,ISNUMBER(VALUE(LEFT(D24,6))),MID(D24,7,1)=" "),LEFT(D24,6),D24),"")</f>
        <v>400128</v>
      </c>
      <c r="I24" s="36" t="str">
        <f aca="false">IF(G24=1,IF(COUNTIF('Forecast Detail'!$C$8:$C$400,H24)=0,"UNMAPPED","OK"),"")</f>
        <v>OK</v>
      </c>
    </row>
    <row r="25" customFormat="false" ht="15" hidden="false" customHeight="false" outlineLevel="0" collapsed="false">
      <c r="A25" s="6" t="s">
        <v>626</v>
      </c>
      <c r="B25" s="11" t="n">
        <f aca="false">B21+B22+B23+B24</f>
        <v>9300</v>
      </c>
      <c r="C25" s="11" t="n">
        <f aca="false">B25</f>
        <v>9300</v>
      </c>
      <c r="D25" s="36" t="str">
        <f aca="false">TRIM(A25)</f>
        <v>Total for Other Income-Late Fees</v>
      </c>
      <c r="E25" s="36" t="str">
        <f aca="false">IF(D25="Revenue","Revenue",IF(D25="Cost of Goods Sold","COGS",IF(D25="Expenditures","Expense",IF(D25="Other Revenue","Other Revenue",IF(D25="Other Expenditures","Other Expense",E24)))))</f>
        <v>Revenue</v>
      </c>
      <c r="F25" s="36" t="str">
        <f aca="false">IF(OR(D25="Revenue",D25="Cost of Goods Sold",D25="Expenditures",D25="Other Revenue",D25="Other Expenditures"),E25,IF(AND(LEN(D25)&gt;2,MID(D25,2,1)=" ",ISNUMBER(VALUE(LEFT(D25,1)))),D25,F24))</f>
        <v>1 Tuition and Fees</v>
      </c>
      <c r="G25" s="36" t="n">
        <f aca="false">IF(AND(D25&lt;&gt;"",ISNUMBER(B25),LEFT(D25,9)&lt;&gt;"Total for",D25&lt;&gt;"Gross Profit",D25&lt;&gt;"Net Operating Revenue",D25&lt;&gt;"Net Other Revenue",D25&lt;&gt;"Net Revenue"),1,0)</f>
        <v>0</v>
      </c>
      <c r="H25" s="36" t="str">
        <f aca="false">IF(G25=1,IF(AND(LEN(D25)&gt;7,ISNUMBER(VALUE(LEFT(D25,6))),MID(D25,7,1)=" "),LEFT(D25,6),D25),"")</f>
        <v/>
      </c>
      <c r="I25" s="36" t="str">
        <f aca="false">IF(G25=1,IF(COUNTIF('Forecast Detail'!$C$8:$C$400,H25)=0,"UNMAPPED","OK"),"")</f>
        <v/>
      </c>
    </row>
    <row r="26" customFormat="false" ht="15" hidden="false" customHeight="false" outlineLevel="0" collapsed="false">
      <c r="A26" s="6" t="s">
        <v>627</v>
      </c>
      <c r="B26" s="11" t="n">
        <f aca="false">B13+B14+B15+B16+B17+B18+B19+B20+B25</f>
        <v>345600</v>
      </c>
      <c r="C26" s="11" t="n">
        <f aca="false">B26</f>
        <v>345600</v>
      </c>
      <c r="D26" s="36" t="str">
        <f aca="false">TRIM(A26)</f>
        <v>Total for Other Tuition-Related Fees</v>
      </c>
      <c r="E26" s="36" t="str">
        <f aca="false">IF(D26="Revenue","Revenue",IF(D26="Cost of Goods Sold","COGS",IF(D26="Expenditures","Expense",IF(D26="Other Revenue","Other Revenue",IF(D26="Other Expenditures","Other Expense",E25)))))</f>
        <v>Revenue</v>
      </c>
      <c r="F26" s="36" t="str">
        <f aca="false">IF(OR(D26="Revenue",D26="Cost of Goods Sold",D26="Expenditures",D26="Other Revenue",D26="Other Expenditures"),E26,IF(AND(LEN(D26)&gt;2,MID(D26,2,1)=" ",ISNUMBER(VALUE(LEFT(D26,1)))),D26,F25))</f>
        <v>1 Tuition and Fees</v>
      </c>
      <c r="G26" s="36" t="n">
        <f aca="false">IF(AND(D26&lt;&gt;"",ISNUMBER(B26),LEFT(D26,9)&lt;&gt;"Total for",D26&lt;&gt;"Gross Profit",D26&lt;&gt;"Net Operating Revenue",D26&lt;&gt;"Net Other Revenue",D26&lt;&gt;"Net Revenue"),1,0)</f>
        <v>0</v>
      </c>
      <c r="H26" s="36" t="str">
        <f aca="false">IF(G26=1,IF(AND(LEN(D26)&gt;7,ISNUMBER(VALUE(LEFT(D26,6))),MID(D26,7,1)=" "),LEFT(D26,6),D26),"")</f>
        <v/>
      </c>
      <c r="I26" s="36" t="str">
        <f aca="false">IF(G26=1,IF(COUNTIF('Forecast Detail'!$C$8:$C$400,H26)=0,"UNMAPPED","OK"),"")</f>
        <v/>
      </c>
    </row>
    <row r="27" customFormat="false" ht="15" hidden="false" customHeight="false" outlineLevel="0" collapsed="false">
      <c r="A27" s="6" t="s">
        <v>628</v>
      </c>
      <c r="D27" s="36" t="str">
        <f aca="false">TRIM(A27)</f>
        <v>Tuition Discounts</v>
      </c>
      <c r="E27" s="36" t="str">
        <f aca="false">IF(D27="Revenue","Revenue",IF(D27="Cost of Goods Sold","COGS",IF(D27="Expenditures","Expense",IF(D27="Other Revenue","Other Revenue",IF(D27="Other Expenditures","Other Expense",E26)))))</f>
        <v>Revenue</v>
      </c>
      <c r="F27" s="36" t="str">
        <f aca="false">IF(OR(D27="Revenue",D27="Cost of Goods Sold",D27="Expenditures",D27="Other Revenue",D27="Other Expenditures"),E27,IF(AND(LEN(D27)&gt;2,MID(D27,2,1)=" ",ISNUMBER(VALUE(LEFT(D27,1)))),D27,F26))</f>
        <v>1 Tuition and Fees</v>
      </c>
      <c r="G27" s="36" t="n">
        <f aca="false">IF(AND(D27&lt;&gt;"",ISNUMBER(B27),LEFT(D27,9)&lt;&gt;"Total for",D27&lt;&gt;"Gross Profit",D27&lt;&gt;"Net Operating Revenue",D27&lt;&gt;"Net Other Revenue",D27&lt;&gt;"Net Revenue"),1,0)</f>
        <v>0</v>
      </c>
      <c r="H27" s="36" t="str">
        <f aca="false">IF(G27=1,IF(AND(LEN(D27)&gt;7,ISNUMBER(VALUE(LEFT(D27,6))),MID(D27,7,1)=" "),LEFT(D27,6),D27),"")</f>
        <v/>
      </c>
      <c r="I27" s="36" t="str">
        <f aca="false">IF(G27=1,IF(COUNTIF('Forecast Detail'!$C$8:$C$400,H27)=0,"UNMAPPED","OK"),"")</f>
        <v/>
      </c>
    </row>
    <row r="28" customFormat="false" ht="15" hidden="false" customHeight="false" outlineLevel="0" collapsed="false">
      <c r="A28" s="6" t="s">
        <v>225</v>
      </c>
      <c r="B28" s="11" t="n">
        <v>-16070</v>
      </c>
      <c r="C28" s="11" t="n">
        <f aca="false">B28</f>
        <v>-16070</v>
      </c>
      <c r="D28" s="36" t="str">
        <f aca="false">TRIM(A28)</f>
        <v>400193 Pastoral Discount</v>
      </c>
      <c r="E28" s="36" t="str">
        <f aca="false">IF(D28="Revenue","Revenue",IF(D28="Cost of Goods Sold","COGS",IF(D28="Expenditures","Expense",IF(D28="Other Revenue","Other Revenue",IF(D28="Other Expenditures","Other Expense",E27)))))</f>
        <v>Revenue</v>
      </c>
      <c r="F28" s="36" t="str">
        <f aca="false">IF(OR(D28="Revenue",D28="Cost of Goods Sold",D28="Expenditures",D28="Other Revenue",D28="Other Expenditures"),E28,IF(AND(LEN(D28)&gt;2,MID(D28,2,1)=" ",ISNUMBER(VALUE(LEFT(D28,1)))),D28,F27))</f>
        <v>1 Tuition and Fees</v>
      </c>
      <c r="G28" s="36" t="n">
        <f aca="false">IF(AND(D28&lt;&gt;"",ISNUMBER(B28),LEFT(D28,9)&lt;&gt;"Total for",D28&lt;&gt;"Gross Profit",D28&lt;&gt;"Net Operating Revenue",D28&lt;&gt;"Net Other Revenue",D28&lt;&gt;"Net Revenue"),1,0)</f>
        <v>1</v>
      </c>
      <c r="H28" s="36" t="str">
        <f aca="false">IF(G28=1,IF(AND(LEN(D28)&gt;7,ISNUMBER(VALUE(LEFT(D28,6))),MID(D28,7,1)=" "),LEFT(D28,6),D28),"")</f>
        <v>400193</v>
      </c>
      <c r="I28" s="36" t="str">
        <f aca="false">IF(G28=1,IF(COUNTIF('Forecast Detail'!$C$8:$C$400,H28)=0,"UNMAPPED","OK"),"")</f>
        <v>OK</v>
      </c>
    </row>
    <row r="29" customFormat="false" ht="15" hidden="false" customHeight="false" outlineLevel="0" collapsed="false">
      <c r="A29" s="6" t="s">
        <v>227</v>
      </c>
      <c r="B29" s="11" t="n">
        <v>-300000</v>
      </c>
      <c r="C29" s="11" t="n">
        <f aca="false">B29</f>
        <v>-300000</v>
      </c>
      <c r="D29" s="36" t="str">
        <f aca="false">TRIM(A29)</f>
        <v>400194 Grace Based Financial Assistance</v>
      </c>
      <c r="E29" s="36" t="str">
        <f aca="false">IF(D29="Revenue","Revenue",IF(D29="Cost of Goods Sold","COGS",IF(D29="Expenditures","Expense",IF(D29="Other Revenue","Other Revenue",IF(D29="Other Expenditures","Other Expense",E28)))))</f>
        <v>Revenue</v>
      </c>
      <c r="F29" s="36" t="str">
        <f aca="false">IF(OR(D29="Revenue",D29="Cost of Goods Sold",D29="Expenditures",D29="Other Revenue",D29="Other Expenditures"),E29,IF(AND(LEN(D29)&gt;2,MID(D29,2,1)=" ",ISNUMBER(VALUE(LEFT(D29,1)))),D29,F28))</f>
        <v>1 Tuition and Fees</v>
      </c>
      <c r="G29" s="36" t="n">
        <f aca="false">IF(AND(D29&lt;&gt;"",ISNUMBER(B29),LEFT(D29,9)&lt;&gt;"Total for",D29&lt;&gt;"Gross Profit",D29&lt;&gt;"Net Operating Revenue",D29&lt;&gt;"Net Other Revenue",D29&lt;&gt;"Net Revenue"),1,0)</f>
        <v>1</v>
      </c>
      <c r="H29" s="36" t="str">
        <f aca="false">IF(G29=1,IF(AND(LEN(D29)&gt;7,ISNUMBER(VALUE(LEFT(D29,6))),MID(D29,7,1)=" "),LEFT(D29,6),D29),"")</f>
        <v>400194</v>
      </c>
      <c r="I29" s="36" t="str">
        <f aca="false">IF(G29=1,IF(COUNTIF('Forecast Detail'!$C$8:$C$400,H29)=0,"UNMAPPED","OK"),"")</f>
        <v>OK</v>
      </c>
    </row>
    <row r="30" customFormat="false" ht="15" hidden="false" customHeight="false" outlineLevel="0" collapsed="false">
      <c r="A30" s="6" t="s">
        <v>229</v>
      </c>
      <c r="B30" s="11" t="n">
        <v>-49675</v>
      </c>
      <c r="C30" s="11" t="n">
        <f aca="false">B30</f>
        <v>-49675</v>
      </c>
      <c r="D30" s="36" t="str">
        <f aca="false">TRIM(A30)</f>
        <v>400195 Multi-Child Discounts</v>
      </c>
      <c r="E30" s="36" t="str">
        <f aca="false">IF(D30="Revenue","Revenue",IF(D30="Cost of Goods Sold","COGS",IF(D30="Expenditures","Expense",IF(D30="Other Revenue","Other Revenue",IF(D30="Other Expenditures","Other Expense",E29)))))</f>
        <v>Revenue</v>
      </c>
      <c r="F30" s="36" t="str">
        <f aca="false">IF(OR(D30="Revenue",D30="Cost of Goods Sold",D30="Expenditures",D30="Other Revenue",D30="Other Expenditures"),E30,IF(AND(LEN(D30)&gt;2,MID(D30,2,1)=" ",ISNUMBER(VALUE(LEFT(D30,1)))),D30,F29))</f>
        <v>1 Tuition and Fees</v>
      </c>
      <c r="G30" s="36" t="n">
        <f aca="false">IF(AND(D30&lt;&gt;"",ISNUMBER(B30),LEFT(D30,9)&lt;&gt;"Total for",D30&lt;&gt;"Gross Profit",D30&lt;&gt;"Net Operating Revenue",D30&lt;&gt;"Net Other Revenue",D30&lt;&gt;"Net Revenue"),1,0)</f>
        <v>1</v>
      </c>
      <c r="H30" s="36" t="str">
        <f aca="false">IF(G30=1,IF(AND(LEN(D30)&gt;7,ISNUMBER(VALUE(LEFT(D30,6))),MID(D30,7,1)=" "),LEFT(D30,6),D30),"")</f>
        <v>400195</v>
      </c>
      <c r="I30" s="36" t="str">
        <f aca="false">IF(G30=1,IF(COUNTIF('Forecast Detail'!$C$8:$C$400,H30)=0,"UNMAPPED","OK"),"")</f>
        <v>OK</v>
      </c>
    </row>
    <row r="31" customFormat="false" ht="15" hidden="false" customHeight="false" outlineLevel="0" collapsed="false">
      <c r="A31" s="6" t="s">
        <v>231</v>
      </c>
      <c r="B31" s="11" t="n">
        <v>-65453</v>
      </c>
      <c r="C31" s="11" t="n">
        <f aca="false">B31</f>
        <v>-65453</v>
      </c>
      <c r="D31" s="36" t="str">
        <f aca="false">TRIM(A31)</f>
        <v>400196 Military Discount</v>
      </c>
      <c r="E31" s="36" t="str">
        <f aca="false">IF(D31="Revenue","Revenue",IF(D31="Cost of Goods Sold","COGS",IF(D31="Expenditures","Expense",IF(D31="Other Revenue","Other Revenue",IF(D31="Other Expenditures","Other Expense",E30)))))</f>
        <v>Revenue</v>
      </c>
      <c r="F31" s="36" t="str">
        <f aca="false">IF(OR(D31="Revenue",D31="Cost of Goods Sold",D31="Expenditures",D31="Other Revenue",D31="Other Expenditures"),E31,IF(AND(LEN(D31)&gt;2,MID(D31,2,1)=" ",ISNUMBER(VALUE(LEFT(D31,1)))),D31,F30))</f>
        <v>1 Tuition and Fees</v>
      </c>
      <c r="G31" s="36" t="n">
        <f aca="false">IF(AND(D31&lt;&gt;"",ISNUMBER(B31),LEFT(D31,9)&lt;&gt;"Total for",D31&lt;&gt;"Gross Profit",D31&lt;&gt;"Net Operating Revenue",D31&lt;&gt;"Net Other Revenue",D31&lt;&gt;"Net Revenue"),1,0)</f>
        <v>1</v>
      </c>
      <c r="H31" s="36" t="str">
        <f aca="false">IF(G31=1,IF(AND(LEN(D31)&gt;7,ISNUMBER(VALUE(LEFT(D31,6))),MID(D31,7,1)=" "),LEFT(D31,6),D31),"")</f>
        <v>400196</v>
      </c>
      <c r="I31" s="36" t="str">
        <f aca="false">IF(G31=1,IF(COUNTIF('Forecast Detail'!$C$8:$C$400,H31)=0,"UNMAPPED","OK"),"")</f>
        <v>OK</v>
      </c>
    </row>
    <row r="32" customFormat="false" ht="15" hidden="false" customHeight="false" outlineLevel="0" collapsed="false">
      <c r="A32" s="6" t="s">
        <v>629</v>
      </c>
      <c r="B32" s="11" t="n">
        <f aca="false">B27+B28+B29+B30+B31</f>
        <v>-431198</v>
      </c>
      <c r="C32" s="11" t="n">
        <f aca="false">B32</f>
        <v>-431198</v>
      </c>
      <c r="D32" s="36" t="str">
        <f aca="false">TRIM(A32)</f>
        <v>Total for Tuition Discounts</v>
      </c>
      <c r="E32" s="36" t="str">
        <f aca="false">IF(D32="Revenue","Revenue",IF(D32="Cost of Goods Sold","COGS",IF(D32="Expenditures","Expense",IF(D32="Other Revenue","Other Revenue",IF(D32="Other Expenditures","Other Expense",E31)))))</f>
        <v>Revenue</v>
      </c>
      <c r="F32" s="36" t="str">
        <f aca="false">IF(OR(D32="Revenue",D32="Cost of Goods Sold",D32="Expenditures",D32="Other Revenue",D32="Other Expenditures"),E32,IF(AND(LEN(D32)&gt;2,MID(D32,2,1)=" ",ISNUMBER(VALUE(LEFT(D32,1)))),D32,F31))</f>
        <v>1 Tuition and Fees</v>
      </c>
      <c r="G32" s="36" t="n">
        <f aca="false">IF(AND(D32&lt;&gt;"",ISNUMBER(B32),LEFT(D32,9)&lt;&gt;"Total for",D32&lt;&gt;"Gross Profit",D32&lt;&gt;"Net Operating Revenue",D32&lt;&gt;"Net Other Revenue",D32&lt;&gt;"Net Revenue"),1,0)</f>
        <v>0</v>
      </c>
      <c r="H32" s="36" t="str">
        <f aca="false">IF(G32=1,IF(AND(LEN(D32)&gt;7,ISNUMBER(VALUE(LEFT(D32,6))),MID(D32,7,1)=" "),LEFT(D32,6),D32),"")</f>
        <v/>
      </c>
      <c r="I32" s="36" t="str">
        <f aca="false">IF(G32=1,IF(COUNTIF('Forecast Detail'!$C$8:$C$400,H32)=0,"UNMAPPED","OK"),"")</f>
        <v/>
      </c>
    </row>
    <row r="33" customFormat="false" ht="15" hidden="false" customHeight="false" outlineLevel="0" collapsed="false">
      <c r="A33" s="6" t="s">
        <v>630</v>
      </c>
      <c r="B33" s="11" t="n">
        <f aca="false">B6+B12+B26+B32</f>
        <v>8799382</v>
      </c>
      <c r="C33" s="11" t="n">
        <f aca="false">B33</f>
        <v>8799382</v>
      </c>
      <c r="D33" s="36" t="str">
        <f aca="false">TRIM(A33)</f>
        <v>Total for 1 Tuition and Fees</v>
      </c>
      <c r="E33" s="36" t="str">
        <f aca="false">IF(D33="Revenue","Revenue",IF(D33="Cost of Goods Sold","COGS",IF(D33="Expenditures","Expense",IF(D33="Other Revenue","Other Revenue",IF(D33="Other Expenditures","Other Expense",E32)))))</f>
        <v>Revenue</v>
      </c>
      <c r="F33" s="36" t="str">
        <f aca="false">IF(OR(D33="Revenue",D33="Cost of Goods Sold",D33="Expenditures",D33="Other Revenue",D33="Other Expenditures"),E33,IF(AND(LEN(D33)&gt;2,MID(D33,2,1)=" ",ISNUMBER(VALUE(LEFT(D33,1)))),D33,F32))</f>
        <v>1 Tuition and Fees</v>
      </c>
      <c r="G33" s="36" t="n">
        <f aca="false">IF(AND(D33&lt;&gt;"",ISNUMBER(B33),LEFT(D33,9)&lt;&gt;"Total for",D33&lt;&gt;"Gross Profit",D33&lt;&gt;"Net Operating Revenue",D33&lt;&gt;"Net Other Revenue",D33&lt;&gt;"Net Revenue"),1,0)</f>
        <v>0</v>
      </c>
      <c r="H33" s="36" t="str">
        <f aca="false">IF(G33=1,IF(AND(LEN(D33)&gt;7,ISNUMBER(VALUE(LEFT(D33,6))),MID(D33,7,1)=" "),LEFT(D33,6),D33),"")</f>
        <v/>
      </c>
      <c r="I33" s="36" t="str">
        <f aca="false">IF(G33=1,IF(COUNTIF('Forecast Detail'!$C$8:$C$400,H33)=0,"UNMAPPED","OK"),"")</f>
        <v/>
      </c>
    </row>
    <row r="34" customFormat="false" ht="15" hidden="false" customHeight="false" outlineLevel="0" collapsed="false">
      <c r="A34" s="6" t="s">
        <v>9</v>
      </c>
      <c r="D34" s="36" t="str">
        <f aca="false">TRIM(A34)</f>
        <v>2 Interest and Other Income</v>
      </c>
      <c r="E34" s="36" t="str">
        <f aca="false">IF(D34="Revenue","Revenue",IF(D34="Cost of Goods Sold","COGS",IF(D34="Expenditures","Expense",IF(D34="Other Revenue","Other Revenue",IF(D34="Other Expenditures","Other Expense",E33)))))</f>
        <v>Revenue</v>
      </c>
      <c r="F34" s="36" t="str">
        <f aca="false">IF(OR(D34="Revenue",D34="Cost of Goods Sold",D34="Expenditures",D34="Other Revenue",D34="Other Expenditures"),E34,IF(AND(LEN(D34)&gt;2,MID(D34,2,1)=" ",ISNUMBER(VALUE(LEFT(D34,1)))),D34,F33))</f>
        <v>2 Interest and Other Income</v>
      </c>
      <c r="G34" s="36" t="n">
        <f aca="false">IF(AND(D34&lt;&gt;"",ISNUMBER(B34),LEFT(D34,9)&lt;&gt;"Total for",D34&lt;&gt;"Gross Profit",D34&lt;&gt;"Net Operating Revenue",D34&lt;&gt;"Net Other Revenue",D34&lt;&gt;"Net Revenue"),1,0)</f>
        <v>0</v>
      </c>
      <c r="H34" s="36" t="str">
        <f aca="false">IF(G34=1,IF(AND(LEN(D34)&gt;7,ISNUMBER(VALUE(LEFT(D34,6))),MID(D34,7,1)=" "),LEFT(D34,6),D34),"")</f>
        <v/>
      </c>
      <c r="I34" s="36" t="str">
        <f aca="false">IF(G34=1,IF(COUNTIF('Forecast Detail'!$C$8:$C$400,H34)=0,"UNMAPPED","OK"),"")</f>
        <v/>
      </c>
    </row>
    <row r="35" customFormat="false" ht="15" hidden="false" customHeight="false" outlineLevel="0" collapsed="false">
      <c r="A35" s="6" t="s">
        <v>631</v>
      </c>
      <c r="D35" s="36" t="str">
        <f aca="false">TRIM(A35)</f>
        <v>After School/Summer Day Care</v>
      </c>
      <c r="E35" s="36" t="str">
        <f aca="false">IF(D35="Revenue","Revenue",IF(D35="Cost of Goods Sold","COGS",IF(D35="Expenditures","Expense",IF(D35="Other Revenue","Other Revenue",IF(D35="Other Expenditures","Other Expense",E34)))))</f>
        <v>Revenue</v>
      </c>
      <c r="F35" s="36" t="str">
        <f aca="false">IF(OR(D35="Revenue",D35="Cost of Goods Sold",D35="Expenditures",D35="Other Revenue",D35="Other Expenditures"),E35,IF(AND(LEN(D35)&gt;2,MID(D35,2,1)=" ",ISNUMBER(VALUE(LEFT(D35,1)))),D35,F34))</f>
        <v>2 Interest and Other Income</v>
      </c>
      <c r="G35" s="36" t="n">
        <f aca="false">IF(AND(D35&lt;&gt;"",ISNUMBER(B35),LEFT(D35,9)&lt;&gt;"Total for",D35&lt;&gt;"Gross Profit",D35&lt;&gt;"Net Operating Revenue",D35&lt;&gt;"Net Other Revenue",D35&lt;&gt;"Net Revenue"),1,0)</f>
        <v>0</v>
      </c>
      <c r="H35" s="36" t="str">
        <f aca="false">IF(G35=1,IF(AND(LEN(D35)&gt;7,ISNUMBER(VALUE(LEFT(D35,6))),MID(D35,7,1)=" "),LEFT(D35,6),D35),"")</f>
        <v/>
      </c>
      <c r="I35" s="36" t="str">
        <f aca="false">IF(G35=1,IF(COUNTIF('Forecast Detail'!$C$8:$C$400,H35)=0,"UNMAPPED","OK"),"")</f>
        <v/>
      </c>
    </row>
    <row r="36" customFormat="false" ht="15" hidden="false" customHeight="false" outlineLevel="0" collapsed="false">
      <c r="A36" s="6" t="s">
        <v>233</v>
      </c>
      <c r="B36" s="11" t="n">
        <v>145000</v>
      </c>
      <c r="C36" s="11" t="n">
        <f aca="false">B36</f>
        <v>145000</v>
      </c>
      <c r="D36" s="36" t="str">
        <f aca="false">TRIM(A36)</f>
        <v>400133 Cat Quest Revenue</v>
      </c>
      <c r="E36" s="36" t="str">
        <f aca="false">IF(D36="Revenue","Revenue",IF(D36="Cost of Goods Sold","COGS",IF(D36="Expenditures","Expense",IF(D36="Other Revenue","Other Revenue",IF(D36="Other Expenditures","Other Expense",E35)))))</f>
        <v>Revenue</v>
      </c>
      <c r="F36" s="36" t="str">
        <f aca="false">IF(OR(D36="Revenue",D36="Cost of Goods Sold",D36="Expenditures",D36="Other Revenue",D36="Other Expenditures"),E36,IF(AND(LEN(D36)&gt;2,MID(D36,2,1)=" ",ISNUMBER(VALUE(LEFT(D36,1)))),D36,F35))</f>
        <v>2 Interest and Other Income</v>
      </c>
      <c r="G36" s="36" t="n">
        <f aca="false">IF(AND(D36&lt;&gt;"",ISNUMBER(B36),LEFT(D36,9)&lt;&gt;"Total for",D36&lt;&gt;"Gross Profit",D36&lt;&gt;"Net Operating Revenue",D36&lt;&gt;"Net Other Revenue",D36&lt;&gt;"Net Revenue"),1,0)</f>
        <v>1</v>
      </c>
      <c r="H36" s="36" t="str">
        <f aca="false">IF(G36=1,IF(AND(LEN(D36)&gt;7,ISNUMBER(VALUE(LEFT(D36,6))),MID(D36,7,1)=" "),LEFT(D36,6),D36),"")</f>
        <v>400133</v>
      </c>
      <c r="I36" s="36" t="str">
        <f aca="false">IF(G36=1,IF(COUNTIF('Forecast Detail'!$C$8:$C$400,H36)=0,"UNMAPPED","OK"),"")</f>
        <v>OK</v>
      </c>
    </row>
    <row r="37" customFormat="false" ht="15" hidden="false" customHeight="false" outlineLevel="0" collapsed="false">
      <c r="A37" s="6" t="s">
        <v>235</v>
      </c>
      <c r="B37" s="11" t="n">
        <v>0</v>
      </c>
      <c r="C37" s="11" t="n">
        <f aca="false">B37</f>
        <v>0</v>
      </c>
      <c r="D37" s="36" t="str">
        <f aca="false">TRIM(A37)</f>
        <v>400134 Summer Quest Income</v>
      </c>
      <c r="E37" s="36" t="str">
        <f aca="false">IF(D37="Revenue","Revenue",IF(D37="Cost of Goods Sold","COGS",IF(D37="Expenditures","Expense",IF(D37="Other Revenue","Other Revenue",IF(D37="Other Expenditures","Other Expense",E36)))))</f>
        <v>Revenue</v>
      </c>
      <c r="F37" s="36" t="str">
        <f aca="false">IF(OR(D37="Revenue",D37="Cost of Goods Sold",D37="Expenditures",D37="Other Revenue",D37="Other Expenditures"),E37,IF(AND(LEN(D37)&gt;2,MID(D37,2,1)=" ",ISNUMBER(VALUE(LEFT(D37,1)))),D37,F36))</f>
        <v>2 Interest and Other Income</v>
      </c>
      <c r="G37" s="36" t="n">
        <f aca="false">IF(AND(D37&lt;&gt;"",ISNUMBER(B37),LEFT(D37,9)&lt;&gt;"Total for",D37&lt;&gt;"Gross Profit",D37&lt;&gt;"Net Operating Revenue",D37&lt;&gt;"Net Other Revenue",D37&lt;&gt;"Net Revenue"),1,0)</f>
        <v>1</v>
      </c>
      <c r="H37" s="36" t="str">
        <f aca="false">IF(G37=1,IF(AND(LEN(D37)&gt;7,ISNUMBER(VALUE(LEFT(D37,6))),MID(D37,7,1)=" "),LEFT(D37,6),D37),"")</f>
        <v>400134</v>
      </c>
      <c r="I37" s="36" t="str">
        <f aca="false">IF(G37=1,IF(COUNTIF('Forecast Detail'!$C$8:$C$400,H37)=0,"UNMAPPED","OK"),"")</f>
        <v>OK</v>
      </c>
    </row>
    <row r="38" customFormat="false" ht="15" hidden="false" customHeight="false" outlineLevel="0" collapsed="false">
      <c r="A38" s="6" t="s">
        <v>237</v>
      </c>
      <c r="B38" s="11" t="n">
        <v>-95000</v>
      </c>
      <c r="C38" s="11" t="n">
        <f aca="false">B38</f>
        <v>-95000</v>
      </c>
      <c r="D38" s="36" t="str">
        <f aca="false">TRIM(A38)</f>
        <v>400197 Cat Quest Expenses (Contra)</v>
      </c>
      <c r="E38" s="36" t="str">
        <f aca="false">IF(D38="Revenue","Revenue",IF(D38="Cost of Goods Sold","COGS",IF(D38="Expenditures","Expense",IF(D38="Other Revenue","Other Revenue",IF(D38="Other Expenditures","Other Expense",E37)))))</f>
        <v>Revenue</v>
      </c>
      <c r="F38" s="36" t="str">
        <f aca="false">IF(OR(D38="Revenue",D38="Cost of Goods Sold",D38="Expenditures",D38="Other Revenue",D38="Other Expenditures"),E38,IF(AND(LEN(D38)&gt;2,MID(D38,2,1)=" ",ISNUMBER(VALUE(LEFT(D38,1)))),D38,F37))</f>
        <v>2 Interest and Other Income</v>
      </c>
      <c r="G38" s="36" t="n">
        <f aca="false">IF(AND(D38&lt;&gt;"",ISNUMBER(B38),LEFT(D38,9)&lt;&gt;"Total for",D38&lt;&gt;"Gross Profit",D38&lt;&gt;"Net Operating Revenue",D38&lt;&gt;"Net Other Revenue",D38&lt;&gt;"Net Revenue"),1,0)</f>
        <v>1</v>
      </c>
      <c r="H38" s="36" t="str">
        <f aca="false">IF(G38=1,IF(AND(LEN(D38)&gt;7,ISNUMBER(VALUE(LEFT(D38,6))),MID(D38,7,1)=" "),LEFT(D38,6),D38),"")</f>
        <v>400197</v>
      </c>
      <c r="I38" s="36" t="str">
        <f aca="false">IF(G38=1,IF(COUNTIF('Forecast Detail'!$C$8:$C$400,H38)=0,"UNMAPPED","OK"),"")</f>
        <v>OK</v>
      </c>
    </row>
    <row r="39" customFormat="false" ht="15" hidden="false" customHeight="false" outlineLevel="0" collapsed="false">
      <c r="A39" s="6" t="s">
        <v>239</v>
      </c>
      <c r="B39" s="11" t="n">
        <v>0</v>
      </c>
      <c r="C39" s="11" t="n">
        <f aca="false">B39</f>
        <v>0</v>
      </c>
      <c r="D39" s="36" t="str">
        <f aca="false">TRIM(A39)</f>
        <v>400198 Summer Cat Quest Expenses (Contra)</v>
      </c>
      <c r="E39" s="36" t="str">
        <f aca="false">IF(D39="Revenue","Revenue",IF(D39="Cost of Goods Sold","COGS",IF(D39="Expenditures","Expense",IF(D39="Other Revenue","Other Revenue",IF(D39="Other Expenditures","Other Expense",E38)))))</f>
        <v>Revenue</v>
      </c>
      <c r="F39" s="36" t="str">
        <f aca="false">IF(OR(D39="Revenue",D39="Cost of Goods Sold",D39="Expenditures",D39="Other Revenue",D39="Other Expenditures"),E39,IF(AND(LEN(D39)&gt;2,MID(D39,2,1)=" ",ISNUMBER(VALUE(LEFT(D39,1)))),D39,F38))</f>
        <v>2 Interest and Other Income</v>
      </c>
      <c r="G39" s="36" t="n">
        <f aca="false">IF(AND(D39&lt;&gt;"",ISNUMBER(B39),LEFT(D39,9)&lt;&gt;"Total for",D39&lt;&gt;"Gross Profit",D39&lt;&gt;"Net Operating Revenue",D39&lt;&gt;"Net Other Revenue",D39&lt;&gt;"Net Revenue"),1,0)</f>
        <v>1</v>
      </c>
      <c r="H39" s="36" t="str">
        <f aca="false">IF(G39=1,IF(AND(LEN(D39)&gt;7,ISNUMBER(VALUE(LEFT(D39,6))),MID(D39,7,1)=" "),LEFT(D39,6),D39),"")</f>
        <v>400198</v>
      </c>
      <c r="I39" s="36" t="str">
        <f aca="false">IF(G39=1,IF(COUNTIF('Forecast Detail'!$C$8:$C$400,H39)=0,"UNMAPPED","OK"),"")</f>
        <v>OK</v>
      </c>
    </row>
    <row r="40" customFormat="false" ht="15" hidden="false" customHeight="false" outlineLevel="0" collapsed="false">
      <c r="A40" s="6" t="s">
        <v>632</v>
      </c>
      <c r="B40" s="11" t="n">
        <f aca="false">B35+B36+B37+B38+B39</f>
        <v>50000</v>
      </c>
      <c r="C40" s="11" t="n">
        <f aca="false">B40</f>
        <v>50000</v>
      </c>
      <c r="D40" s="36" t="str">
        <f aca="false">TRIM(A40)</f>
        <v>Total for After School/Summer Day Care</v>
      </c>
      <c r="E40" s="36" t="str">
        <f aca="false">IF(D40="Revenue","Revenue",IF(D40="Cost of Goods Sold","COGS",IF(D40="Expenditures","Expense",IF(D40="Other Revenue","Other Revenue",IF(D40="Other Expenditures","Other Expense",E39)))))</f>
        <v>Revenue</v>
      </c>
      <c r="F40" s="36" t="str">
        <f aca="false">IF(OR(D40="Revenue",D40="Cost of Goods Sold",D40="Expenditures",D40="Other Revenue",D40="Other Expenditures"),E40,IF(AND(LEN(D40)&gt;2,MID(D40,2,1)=" ",ISNUMBER(VALUE(LEFT(D40,1)))),D40,F39))</f>
        <v>2 Interest and Other Income</v>
      </c>
      <c r="G40" s="36" t="n">
        <f aca="false">IF(AND(D40&lt;&gt;"",ISNUMBER(B40),LEFT(D40,9)&lt;&gt;"Total for",D40&lt;&gt;"Gross Profit",D40&lt;&gt;"Net Operating Revenue",D40&lt;&gt;"Net Other Revenue",D40&lt;&gt;"Net Revenue"),1,0)</f>
        <v>0</v>
      </c>
      <c r="H40" s="36" t="str">
        <f aca="false">IF(G40=1,IF(AND(LEN(D40)&gt;7,ISNUMBER(VALUE(LEFT(D40,6))),MID(D40,7,1)=" "),LEFT(D40,6),D40),"")</f>
        <v/>
      </c>
      <c r="I40" s="36" t="str">
        <f aca="false">IF(G40=1,IF(COUNTIF('Forecast Detail'!$C$8:$C$400,H40)=0,"UNMAPPED","OK"),"")</f>
        <v/>
      </c>
    </row>
    <row r="41" customFormat="false" ht="15" hidden="false" customHeight="false" outlineLevel="0" collapsed="false">
      <c r="A41" s="6" t="s">
        <v>633</v>
      </c>
      <c r="D41" s="36" t="str">
        <f aca="false">TRIM(A41)</f>
        <v>Contributions from Endowments</v>
      </c>
      <c r="E41" s="36" t="str">
        <f aca="false">IF(D41="Revenue","Revenue",IF(D41="Cost of Goods Sold","COGS",IF(D41="Expenditures","Expense",IF(D41="Other Revenue","Other Revenue",IF(D41="Other Expenditures","Other Expense",E40)))))</f>
        <v>Revenue</v>
      </c>
      <c r="F41" s="36" t="str">
        <f aca="false">IF(OR(D41="Revenue",D41="Cost of Goods Sold",D41="Expenditures",D41="Other Revenue",D41="Other Expenditures"),E41,IF(AND(LEN(D41)&gt;2,MID(D41,2,1)=" ",ISNUMBER(VALUE(LEFT(D41,1)))),D41,F40))</f>
        <v>2 Interest and Other Income</v>
      </c>
      <c r="G41" s="36" t="n">
        <f aca="false">IF(AND(D41&lt;&gt;"",ISNUMBER(B41),LEFT(D41,9)&lt;&gt;"Total for",D41&lt;&gt;"Gross Profit",D41&lt;&gt;"Net Operating Revenue",D41&lt;&gt;"Net Other Revenue",D41&lt;&gt;"Net Revenue"),1,0)</f>
        <v>0</v>
      </c>
      <c r="H41" s="36" t="str">
        <f aca="false">IF(G41=1,IF(AND(LEN(D41)&gt;7,ISNUMBER(VALUE(LEFT(D41,6))),MID(D41,7,1)=" "),LEFT(D41,6),D41),"")</f>
        <v/>
      </c>
      <c r="I41" s="36" t="str">
        <f aca="false">IF(G41=1,IF(COUNTIF('Forecast Detail'!$C$8:$C$400,H41)=0,"UNMAPPED","OK"),"")</f>
        <v/>
      </c>
    </row>
    <row r="42" customFormat="false" ht="15" hidden="false" customHeight="false" outlineLevel="0" collapsed="false">
      <c r="A42" s="6" t="s">
        <v>241</v>
      </c>
      <c r="B42" s="11" t="n">
        <v>60000</v>
      </c>
      <c r="C42" s="11" t="n">
        <f aca="false">B42</f>
        <v>60000</v>
      </c>
      <c r="D42" s="36" t="str">
        <f aca="false">TRIM(A42)</f>
        <v>400080 Contribution from Charitable Trust</v>
      </c>
      <c r="E42" s="36" t="str">
        <f aca="false">IF(D42="Revenue","Revenue",IF(D42="Cost of Goods Sold","COGS",IF(D42="Expenditures","Expense",IF(D42="Other Revenue","Other Revenue",IF(D42="Other Expenditures","Other Expense",E41)))))</f>
        <v>Revenue</v>
      </c>
      <c r="F42" s="36" t="str">
        <f aca="false">IF(OR(D42="Revenue",D42="Cost of Goods Sold",D42="Expenditures",D42="Other Revenue",D42="Other Expenditures"),E42,IF(AND(LEN(D42)&gt;2,MID(D42,2,1)=" ",ISNUMBER(VALUE(LEFT(D42,1)))),D42,F41))</f>
        <v>2 Interest and Other Income</v>
      </c>
      <c r="G42" s="36" t="n">
        <f aca="false">IF(AND(D42&lt;&gt;"",ISNUMBER(B42),LEFT(D42,9)&lt;&gt;"Total for",D42&lt;&gt;"Gross Profit",D42&lt;&gt;"Net Operating Revenue",D42&lt;&gt;"Net Other Revenue",D42&lt;&gt;"Net Revenue"),1,0)</f>
        <v>1</v>
      </c>
      <c r="H42" s="36" t="str">
        <f aca="false">IF(G42=1,IF(AND(LEN(D42)&gt;7,ISNUMBER(VALUE(LEFT(D42,6))),MID(D42,7,1)=" "),LEFT(D42,6),D42),"")</f>
        <v>400080</v>
      </c>
      <c r="I42" s="36" t="str">
        <f aca="false">IF(G42=1,IF(COUNTIF('Forecast Detail'!$C$8:$C$400,H42)=0,"UNMAPPED","OK"),"")</f>
        <v>OK</v>
      </c>
    </row>
    <row r="43" customFormat="false" ht="15" hidden="false" customHeight="false" outlineLevel="0" collapsed="false">
      <c r="A43" s="6" t="s">
        <v>243</v>
      </c>
      <c r="B43" s="11" t="n">
        <v>0</v>
      </c>
      <c r="C43" s="11" t="n">
        <f aca="false">B43</f>
        <v>0</v>
      </c>
      <c r="D43" s="36" t="str">
        <f aca="false">TRIM(A43)</f>
        <v>400081 Scholarship Income Charitable Trust</v>
      </c>
      <c r="E43" s="36" t="str">
        <f aca="false">IF(D43="Revenue","Revenue",IF(D43="Cost of Goods Sold","COGS",IF(D43="Expenditures","Expense",IF(D43="Other Revenue","Other Revenue",IF(D43="Other Expenditures","Other Expense",E42)))))</f>
        <v>Revenue</v>
      </c>
      <c r="F43" s="36" t="str">
        <f aca="false">IF(OR(D43="Revenue",D43="Cost of Goods Sold",D43="Expenditures",D43="Other Revenue",D43="Other Expenditures"),E43,IF(AND(LEN(D43)&gt;2,MID(D43,2,1)=" ",ISNUMBER(VALUE(LEFT(D43,1)))),D43,F42))</f>
        <v>2 Interest and Other Income</v>
      </c>
      <c r="G43" s="36" t="n">
        <f aca="false">IF(AND(D43&lt;&gt;"",ISNUMBER(B43),LEFT(D43,9)&lt;&gt;"Total for",D43&lt;&gt;"Gross Profit",D43&lt;&gt;"Net Operating Revenue",D43&lt;&gt;"Net Other Revenue",D43&lt;&gt;"Net Revenue"),1,0)</f>
        <v>1</v>
      </c>
      <c r="H43" s="36" t="str">
        <f aca="false">IF(G43=1,IF(AND(LEN(D43)&gt;7,ISNUMBER(VALUE(LEFT(D43,6))),MID(D43,7,1)=" "),LEFT(D43,6),D43),"")</f>
        <v>400081</v>
      </c>
      <c r="I43" s="36" t="str">
        <f aca="false">IF(G43=1,IF(COUNTIF('Forecast Detail'!$C$8:$C$400,H43)=0,"UNMAPPED","OK"),"")</f>
        <v>OK</v>
      </c>
    </row>
    <row r="44" customFormat="false" ht="15" hidden="false" customHeight="false" outlineLevel="0" collapsed="false">
      <c r="A44" s="6" t="s">
        <v>245</v>
      </c>
      <c r="B44" s="11" t="n">
        <v>55000</v>
      </c>
      <c r="C44" s="11" t="n">
        <f aca="false">B44</f>
        <v>55000</v>
      </c>
      <c r="D44" s="36" t="str">
        <f aca="false">TRIM(A44)</f>
        <v>400084 Trinity Church Contribution</v>
      </c>
      <c r="E44" s="36" t="str">
        <f aca="false">IF(D44="Revenue","Revenue",IF(D44="Cost of Goods Sold","COGS",IF(D44="Expenditures","Expense",IF(D44="Other Revenue","Other Revenue",IF(D44="Other Expenditures","Other Expense",E43)))))</f>
        <v>Revenue</v>
      </c>
      <c r="F44" s="36" t="str">
        <f aca="false">IF(OR(D44="Revenue",D44="Cost of Goods Sold",D44="Expenditures",D44="Other Revenue",D44="Other Expenditures"),E44,IF(AND(LEN(D44)&gt;2,MID(D44,2,1)=" ",ISNUMBER(VALUE(LEFT(D44,1)))),D44,F43))</f>
        <v>2 Interest and Other Income</v>
      </c>
      <c r="G44" s="36" t="n">
        <f aca="false">IF(AND(D44&lt;&gt;"",ISNUMBER(B44),LEFT(D44,9)&lt;&gt;"Total for",D44&lt;&gt;"Gross Profit",D44&lt;&gt;"Net Operating Revenue",D44&lt;&gt;"Net Other Revenue",D44&lt;&gt;"Net Revenue"),1,0)</f>
        <v>1</v>
      </c>
      <c r="H44" s="36" t="str">
        <f aca="false">IF(G44=1,IF(AND(LEN(D44)&gt;7,ISNUMBER(VALUE(LEFT(D44,6))),MID(D44,7,1)=" "),LEFT(D44,6),D44),"")</f>
        <v>400084</v>
      </c>
      <c r="I44" s="36" t="str">
        <f aca="false">IF(G44=1,IF(COUNTIF('Forecast Detail'!$C$8:$C$400,H44)=0,"UNMAPPED","OK"),"")</f>
        <v>OK</v>
      </c>
    </row>
    <row r="45" customFormat="false" ht="15" hidden="false" customHeight="false" outlineLevel="0" collapsed="false">
      <c r="A45" s="6" t="s">
        <v>247</v>
      </c>
      <c r="B45" s="11" t="n">
        <v>100000</v>
      </c>
      <c r="C45" s="11" t="n">
        <f aca="false">B45</f>
        <v>100000</v>
      </c>
      <c r="D45" s="36" t="str">
        <f aca="false">TRIM(A45)</f>
        <v>400191 Corporate Sponsors - General Fund Contribution</v>
      </c>
      <c r="E45" s="36" t="str">
        <f aca="false">IF(D45="Revenue","Revenue",IF(D45="Cost of Goods Sold","COGS",IF(D45="Expenditures","Expense",IF(D45="Other Revenue","Other Revenue",IF(D45="Other Expenditures","Other Expense",E44)))))</f>
        <v>Revenue</v>
      </c>
      <c r="F45" s="36" t="str">
        <f aca="false">IF(OR(D45="Revenue",D45="Cost of Goods Sold",D45="Expenditures",D45="Other Revenue",D45="Other Expenditures"),E45,IF(AND(LEN(D45)&gt;2,MID(D45,2,1)=" ",ISNUMBER(VALUE(LEFT(D45,1)))),D45,F44))</f>
        <v>2 Interest and Other Income</v>
      </c>
      <c r="G45" s="36" t="n">
        <f aca="false">IF(AND(D45&lt;&gt;"",ISNUMBER(B45),LEFT(D45,9)&lt;&gt;"Total for",D45&lt;&gt;"Gross Profit",D45&lt;&gt;"Net Operating Revenue",D45&lt;&gt;"Net Other Revenue",D45&lt;&gt;"Net Revenue"),1,0)</f>
        <v>1</v>
      </c>
      <c r="H45" s="36" t="str">
        <f aca="false">IF(G45=1,IF(AND(LEN(D45)&gt;7,ISNUMBER(VALUE(LEFT(D45,6))),MID(D45,7,1)=" "),LEFT(D45,6),D45),"")</f>
        <v>400191</v>
      </c>
      <c r="I45" s="36" t="str">
        <f aca="false">IF(G45=1,IF(COUNTIF('Forecast Detail'!$C$8:$C$400,H45)=0,"UNMAPPED","OK"),"")</f>
        <v>OK</v>
      </c>
    </row>
    <row r="46" customFormat="false" ht="15" hidden="false" customHeight="false" outlineLevel="0" collapsed="false">
      <c r="A46" s="6" t="s">
        <v>249</v>
      </c>
      <c r="B46" s="11" t="n">
        <v>150000</v>
      </c>
      <c r="C46" s="11" t="n">
        <f aca="false">B46</f>
        <v>150000</v>
      </c>
      <c r="D46" s="36" t="str">
        <f aca="false">TRIM(A46)</f>
        <v>400192 Annual Fund Unrestricted-General Fund Contribution</v>
      </c>
      <c r="E46" s="36" t="str">
        <f aca="false">IF(D46="Revenue","Revenue",IF(D46="Cost of Goods Sold","COGS",IF(D46="Expenditures","Expense",IF(D46="Other Revenue","Other Revenue",IF(D46="Other Expenditures","Other Expense",E45)))))</f>
        <v>Revenue</v>
      </c>
      <c r="F46" s="36" t="str">
        <f aca="false">IF(OR(D46="Revenue",D46="Cost of Goods Sold",D46="Expenditures",D46="Other Revenue",D46="Other Expenditures"),E46,IF(AND(LEN(D46)&gt;2,MID(D46,2,1)=" ",ISNUMBER(VALUE(LEFT(D46,1)))),D46,F45))</f>
        <v>2 Interest and Other Income</v>
      </c>
      <c r="G46" s="36" t="n">
        <f aca="false">IF(AND(D46&lt;&gt;"",ISNUMBER(B46),LEFT(D46,9)&lt;&gt;"Total for",D46&lt;&gt;"Gross Profit",D46&lt;&gt;"Net Operating Revenue",D46&lt;&gt;"Net Other Revenue",D46&lt;&gt;"Net Revenue"),1,0)</f>
        <v>1</v>
      </c>
      <c r="H46" s="36" t="str">
        <f aca="false">IF(G46=1,IF(AND(LEN(D46)&gt;7,ISNUMBER(VALUE(LEFT(D46,6))),MID(D46,7,1)=" "),LEFT(D46,6),D46),"")</f>
        <v>400192</v>
      </c>
      <c r="I46" s="36" t="str">
        <f aca="false">IF(G46=1,IF(COUNTIF('Forecast Detail'!$C$8:$C$400,H46)=0,"UNMAPPED","OK"),"")</f>
        <v>OK</v>
      </c>
    </row>
    <row r="47" customFormat="false" ht="15" hidden="false" customHeight="false" outlineLevel="0" collapsed="false">
      <c r="A47" s="6" t="s">
        <v>634</v>
      </c>
      <c r="B47" s="11" t="n">
        <f aca="false">B41+B42+B43+B44+B45+B46</f>
        <v>365000</v>
      </c>
      <c r="C47" s="11" t="n">
        <f aca="false">B47</f>
        <v>365000</v>
      </c>
      <c r="D47" s="36" t="str">
        <f aca="false">TRIM(A47)</f>
        <v>Total for Contributions from Endowments</v>
      </c>
      <c r="E47" s="36" t="str">
        <f aca="false">IF(D47="Revenue","Revenue",IF(D47="Cost of Goods Sold","COGS",IF(D47="Expenditures","Expense",IF(D47="Other Revenue","Other Revenue",IF(D47="Other Expenditures","Other Expense",E46)))))</f>
        <v>Revenue</v>
      </c>
      <c r="F47" s="36" t="str">
        <f aca="false">IF(OR(D47="Revenue",D47="Cost of Goods Sold",D47="Expenditures",D47="Other Revenue",D47="Other Expenditures"),E47,IF(AND(LEN(D47)&gt;2,MID(D47,2,1)=" ",ISNUMBER(VALUE(LEFT(D47,1)))),D47,F46))</f>
        <v>2 Interest and Other Income</v>
      </c>
      <c r="G47" s="36" t="n">
        <f aca="false">IF(AND(D47&lt;&gt;"",ISNUMBER(B47),LEFT(D47,9)&lt;&gt;"Total for",D47&lt;&gt;"Gross Profit",D47&lt;&gt;"Net Operating Revenue",D47&lt;&gt;"Net Other Revenue",D47&lt;&gt;"Net Revenue"),1,0)</f>
        <v>0</v>
      </c>
      <c r="H47" s="36" t="str">
        <f aca="false">IF(G47=1,IF(AND(LEN(D47)&gt;7,ISNUMBER(VALUE(LEFT(D47,6))),MID(D47,7,1)=" "),LEFT(D47,6),D47),"")</f>
        <v/>
      </c>
      <c r="I47" s="36" t="str">
        <f aca="false">IF(G47=1,IF(COUNTIF('Forecast Detail'!$C$8:$C$400,H47)=0,"UNMAPPED","OK"),"")</f>
        <v/>
      </c>
    </row>
    <row r="48" customFormat="false" ht="15" hidden="false" customHeight="false" outlineLevel="0" collapsed="false">
      <c r="A48" s="6" t="s">
        <v>635</v>
      </c>
      <c r="D48" s="36" t="str">
        <f aca="false">TRIM(A48)</f>
        <v>Interest Income</v>
      </c>
      <c r="E48" s="36" t="str">
        <f aca="false">IF(D48="Revenue","Revenue",IF(D48="Cost of Goods Sold","COGS",IF(D48="Expenditures","Expense",IF(D48="Other Revenue","Other Revenue",IF(D48="Other Expenditures","Other Expense",E47)))))</f>
        <v>Revenue</v>
      </c>
      <c r="F48" s="36" t="str">
        <f aca="false">IF(OR(D48="Revenue",D48="Cost of Goods Sold",D48="Expenditures",D48="Other Revenue",D48="Other Expenditures"),E48,IF(AND(LEN(D48)&gt;2,MID(D48,2,1)=" ",ISNUMBER(VALUE(LEFT(D48,1)))),D48,F47))</f>
        <v>2 Interest and Other Income</v>
      </c>
      <c r="G48" s="36" t="n">
        <f aca="false">IF(AND(D48&lt;&gt;"",ISNUMBER(B48),LEFT(D48,9)&lt;&gt;"Total for",D48&lt;&gt;"Gross Profit",D48&lt;&gt;"Net Operating Revenue",D48&lt;&gt;"Net Other Revenue",D48&lt;&gt;"Net Revenue"),1,0)</f>
        <v>0</v>
      </c>
      <c r="H48" s="36" t="str">
        <f aca="false">IF(G48=1,IF(AND(LEN(D48)&gt;7,ISNUMBER(VALUE(LEFT(D48,6))),MID(D48,7,1)=" "),LEFT(D48,6),D48),"")</f>
        <v/>
      </c>
      <c r="I48" s="36" t="str">
        <f aca="false">IF(G48=1,IF(COUNTIF('Forecast Detail'!$C$8:$C$400,H48)=0,"UNMAPPED","OK"),"")</f>
        <v/>
      </c>
    </row>
    <row r="49" customFormat="false" ht="15" hidden="false" customHeight="false" outlineLevel="0" collapsed="false">
      <c r="A49" s="6" t="s">
        <v>251</v>
      </c>
      <c r="B49" s="11" t="n">
        <v>30000</v>
      </c>
      <c r="C49" s="11" t="n">
        <f aca="false">B49</f>
        <v>30000</v>
      </c>
      <c r="D49" s="36" t="str">
        <f aca="false">TRIM(A49)</f>
        <v>400124 Interest Income Reserve Acct Synovus</v>
      </c>
      <c r="E49" s="36" t="str">
        <f aca="false">IF(D49="Revenue","Revenue",IF(D49="Cost of Goods Sold","COGS",IF(D49="Expenditures","Expense",IF(D49="Other Revenue","Other Revenue",IF(D49="Other Expenditures","Other Expense",E48)))))</f>
        <v>Revenue</v>
      </c>
      <c r="F49" s="36" t="str">
        <f aca="false">IF(OR(D49="Revenue",D49="Cost of Goods Sold",D49="Expenditures",D49="Other Revenue",D49="Other Expenditures"),E49,IF(AND(LEN(D49)&gt;2,MID(D49,2,1)=" ",ISNUMBER(VALUE(LEFT(D49,1)))),D49,F48))</f>
        <v>2 Interest and Other Income</v>
      </c>
      <c r="G49" s="36" t="n">
        <f aca="false">IF(AND(D49&lt;&gt;"",ISNUMBER(B49),LEFT(D49,9)&lt;&gt;"Total for",D49&lt;&gt;"Gross Profit",D49&lt;&gt;"Net Operating Revenue",D49&lt;&gt;"Net Other Revenue",D49&lt;&gt;"Net Revenue"),1,0)</f>
        <v>1</v>
      </c>
      <c r="H49" s="36" t="str">
        <f aca="false">IF(G49=1,IF(AND(LEN(D49)&gt;7,ISNUMBER(VALUE(LEFT(D49,6))),MID(D49,7,1)=" "),LEFT(D49,6),D49),"")</f>
        <v>400124</v>
      </c>
      <c r="I49" s="36" t="str">
        <f aca="false">IF(G49=1,IF(COUNTIF('Forecast Detail'!$C$8:$C$400,H49)=0,"UNMAPPED","OK"),"")</f>
        <v>OK</v>
      </c>
    </row>
    <row r="50" customFormat="false" ht="15" hidden="false" customHeight="false" outlineLevel="0" collapsed="false">
      <c r="A50" s="6" t="s">
        <v>254</v>
      </c>
      <c r="B50" s="11" t="n">
        <v>0</v>
      </c>
      <c r="C50" s="11" t="n">
        <f aca="false">B50</f>
        <v>0</v>
      </c>
      <c r="D50" s="36" t="str">
        <f aca="false">TRIM(A50)</f>
        <v>400125 Interest Income Contingency Synovus</v>
      </c>
      <c r="E50" s="36" t="str">
        <f aca="false">IF(D50="Revenue","Revenue",IF(D50="Cost of Goods Sold","COGS",IF(D50="Expenditures","Expense",IF(D50="Other Revenue","Other Revenue",IF(D50="Other Expenditures","Other Expense",E49)))))</f>
        <v>Revenue</v>
      </c>
      <c r="F50" s="36" t="str">
        <f aca="false">IF(OR(D50="Revenue",D50="Cost of Goods Sold",D50="Expenditures",D50="Other Revenue",D50="Other Expenditures"),E50,IF(AND(LEN(D50)&gt;2,MID(D50,2,1)=" ",ISNUMBER(VALUE(LEFT(D50,1)))),D50,F49))</f>
        <v>2 Interest and Other Income</v>
      </c>
      <c r="G50" s="36" t="n">
        <f aca="false">IF(AND(D50&lt;&gt;"",ISNUMBER(B50),LEFT(D50,9)&lt;&gt;"Total for",D50&lt;&gt;"Gross Profit",D50&lt;&gt;"Net Operating Revenue",D50&lt;&gt;"Net Other Revenue",D50&lt;&gt;"Net Revenue"),1,0)</f>
        <v>1</v>
      </c>
      <c r="H50" s="36" t="str">
        <f aca="false">IF(G50=1,IF(AND(LEN(D50)&gt;7,ISNUMBER(VALUE(LEFT(D50,6))),MID(D50,7,1)=" "),LEFT(D50,6),D50),"")</f>
        <v>400125</v>
      </c>
      <c r="I50" s="36" t="str">
        <f aca="false">IF(G50=1,IF(COUNTIF('Forecast Detail'!$C$8:$C$400,H50)=0,"UNMAPPED","OK"),"")</f>
        <v>OK</v>
      </c>
    </row>
    <row r="51" customFormat="false" ht="15" hidden="false" customHeight="false" outlineLevel="0" collapsed="false">
      <c r="A51" s="6" t="s">
        <v>256</v>
      </c>
      <c r="B51" s="11" t="n">
        <v>0</v>
      </c>
      <c r="C51" s="11" t="n">
        <f aca="false">B51</f>
        <v>0</v>
      </c>
      <c r="D51" s="36" t="str">
        <f aca="false">TRIM(A51)</f>
        <v>400182 Scholarship for Kids Interest Income</v>
      </c>
      <c r="E51" s="36" t="str">
        <f aca="false">IF(D51="Revenue","Revenue",IF(D51="Cost of Goods Sold","COGS",IF(D51="Expenditures","Expense",IF(D51="Other Revenue","Other Revenue",IF(D51="Other Expenditures","Other Expense",E50)))))</f>
        <v>Revenue</v>
      </c>
      <c r="F51" s="36" t="str">
        <f aca="false">IF(OR(D51="Revenue",D51="Cost of Goods Sold",D51="Expenditures",D51="Other Revenue",D51="Other Expenditures"),E51,IF(AND(LEN(D51)&gt;2,MID(D51,2,1)=" ",ISNUMBER(VALUE(LEFT(D51,1)))),D51,F50))</f>
        <v>2 Interest and Other Income</v>
      </c>
      <c r="G51" s="36" t="n">
        <f aca="false">IF(AND(D51&lt;&gt;"",ISNUMBER(B51),LEFT(D51,9)&lt;&gt;"Total for",D51&lt;&gt;"Gross Profit",D51&lt;&gt;"Net Operating Revenue",D51&lt;&gt;"Net Other Revenue",D51&lt;&gt;"Net Revenue"),1,0)</f>
        <v>1</v>
      </c>
      <c r="H51" s="36" t="str">
        <f aca="false">IF(G51=1,IF(AND(LEN(D51)&gt;7,ISNUMBER(VALUE(LEFT(D51,6))),MID(D51,7,1)=" "),LEFT(D51,6),D51),"")</f>
        <v>400182</v>
      </c>
      <c r="I51" s="36" t="str">
        <f aca="false">IF(G51=1,IF(COUNTIF('Forecast Detail'!$C$8:$C$400,H51)=0,"UNMAPPED","OK"),"")</f>
        <v>OK</v>
      </c>
    </row>
    <row r="52" customFormat="false" ht="15" hidden="false" customHeight="false" outlineLevel="0" collapsed="false">
      <c r="A52" s="6" t="s">
        <v>636</v>
      </c>
      <c r="B52" s="11" t="n">
        <f aca="false">B48+B49+B50+B51</f>
        <v>30000</v>
      </c>
      <c r="C52" s="11" t="n">
        <f aca="false">B52</f>
        <v>30000</v>
      </c>
      <c r="D52" s="36" t="str">
        <f aca="false">TRIM(A52)</f>
        <v>Total for Interest Income</v>
      </c>
      <c r="E52" s="36" t="str">
        <f aca="false">IF(D52="Revenue","Revenue",IF(D52="Cost of Goods Sold","COGS",IF(D52="Expenditures","Expense",IF(D52="Other Revenue","Other Revenue",IF(D52="Other Expenditures","Other Expense",E51)))))</f>
        <v>Revenue</v>
      </c>
      <c r="F52" s="36" t="str">
        <f aca="false">IF(OR(D52="Revenue",D52="Cost of Goods Sold",D52="Expenditures",D52="Other Revenue",D52="Other Expenditures"),E52,IF(AND(LEN(D52)&gt;2,MID(D52,2,1)=" ",ISNUMBER(VALUE(LEFT(D52,1)))),D52,F51))</f>
        <v>2 Interest and Other Income</v>
      </c>
      <c r="G52" s="36" t="n">
        <f aca="false">IF(AND(D52&lt;&gt;"",ISNUMBER(B52),LEFT(D52,9)&lt;&gt;"Total for",D52&lt;&gt;"Gross Profit",D52&lt;&gt;"Net Operating Revenue",D52&lt;&gt;"Net Other Revenue",D52&lt;&gt;"Net Revenue"),1,0)</f>
        <v>0</v>
      </c>
      <c r="H52" s="36" t="str">
        <f aca="false">IF(G52=1,IF(AND(LEN(D52)&gt;7,ISNUMBER(VALUE(LEFT(D52,6))),MID(D52,7,1)=" "),LEFT(D52,6),D52),"")</f>
        <v/>
      </c>
      <c r="I52" s="36" t="str">
        <f aca="false">IF(G52=1,IF(COUNTIF('Forecast Detail'!$C$8:$C$400,H52)=0,"UNMAPPED","OK"),"")</f>
        <v/>
      </c>
    </row>
    <row r="53" customFormat="false" ht="15" hidden="false" customHeight="false" outlineLevel="0" collapsed="false">
      <c r="A53" s="6" t="s">
        <v>637</v>
      </c>
      <c r="B53" s="11" t="n">
        <f aca="false">B34+B40+B47+B52</f>
        <v>445000</v>
      </c>
      <c r="C53" s="11" t="n">
        <f aca="false">B53</f>
        <v>445000</v>
      </c>
      <c r="D53" s="36" t="str">
        <f aca="false">TRIM(A53)</f>
        <v>Total for 2 Interest and Other Income</v>
      </c>
      <c r="E53" s="36" t="str">
        <f aca="false">IF(D53="Revenue","Revenue",IF(D53="Cost of Goods Sold","COGS",IF(D53="Expenditures","Expense",IF(D53="Other Revenue","Other Revenue",IF(D53="Other Expenditures","Other Expense",E52)))))</f>
        <v>Revenue</v>
      </c>
      <c r="F53" s="36" t="str">
        <f aca="false">IF(OR(D53="Revenue",D53="Cost of Goods Sold",D53="Expenditures",D53="Other Revenue",D53="Other Expenditures"),E53,IF(AND(LEN(D53)&gt;2,MID(D53,2,1)=" ",ISNUMBER(VALUE(LEFT(D53,1)))),D53,F52))</f>
        <v>2 Interest and Other Income</v>
      </c>
      <c r="G53" s="36" t="n">
        <f aca="false">IF(AND(D53&lt;&gt;"",ISNUMBER(B53),LEFT(D53,9)&lt;&gt;"Total for",D53&lt;&gt;"Gross Profit",D53&lt;&gt;"Net Operating Revenue",D53&lt;&gt;"Net Other Revenue",D53&lt;&gt;"Net Revenue"),1,0)</f>
        <v>0</v>
      </c>
      <c r="H53" s="36" t="str">
        <f aca="false">IF(G53=1,IF(AND(LEN(D53)&gt;7,ISNUMBER(VALUE(LEFT(D53,6))),MID(D53,7,1)=" "),LEFT(D53,6),D53),"")</f>
        <v/>
      </c>
      <c r="I53" s="36" t="str">
        <f aca="false">IF(G53=1,IF(COUNTIF('Forecast Detail'!$C$8:$C$400,H53)=0,"UNMAPPED","OK"),"")</f>
        <v/>
      </c>
    </row>
    <row r="54" customFormat="false" ht="15" hidden="false" customHeight="false" outlineLevel="0" collapsed="false">
      <c r="A54" s="6" t="s">
        <v>10</v>
      </c>
      <c r="B54" s="11" t="n">
        <v>60000</v>
      </c>
      <c r="C54" s="11" t="n">
        <f aca="false">B54</f>
        <v>60000</v>
      </c>
      <c r="D54" s="36" t="str">
        <f aca="false">TRIM(A54)</f>
        <v>4 Other Miscellaneous Income</v>
      </c>
      <c r="E54" s="36" t="str">
        <f aca="false">IF(D54="Revenue","Revenue",IF(D54="Cost of Goods Sold","COGS",IF(D54="Expenditures","Expense",IF(D54="Other Revenue","Other Revenue",IF(D54="Other Expenditures","Other Expense",E53)))))</f>
        <v>Revenue</v>
      </c>
      <c r="F54" s="36" t="str">
        <f aca="false">IF(OR(D54="Revenue",D54="Cost of Goods Sold",D54="Expenditures",D54="Other Revenue",D54="Other Expenditures"),E54,IF(AND(LEN(D54)&gt;2,MID(D54,2,1)=" ",ISNUMBER(VALUE(LEFT(D54,1)))),D54,F53))</f>
        <v>4 Other Miscellaneous Income</v>
      </c>
      <c r="G54" s="36" t="n">
        <f aca="false">IF(AND(D54&lt;&gt;"",ISNUMBER(B54),LEFT(D54,9)&lt;&gt;"Total for",D54&lt;&gt;"Gross Profit",D54&lt;&gt;"Net Operating Revenue",D54&lt;&gt;"Net Other Revenue",D54&lt;&gt;"Net Revenue"),1,0)</f>
        <v>1</v>
      </c>
      <c r="H54" s="36" t="str">
        <f aca="false">IF(G54=1,IF(AND(LEN(D54)&gt;7,ISNUMBER(VALUE(LEFT(D54,6))),MID(D54,7,1)=" "),LEFT(D54,6),D54),"")</f>
        <v>4 Other Miscellaneous Income</v>
      </c>
      <c r="I54" s="36" t="str">
        <f aca="false">IF(G54=1,IF(COUNTIF('Forecast Detail'!$C$8:$C$400,H54)=0,"UNMAPPED","OK"),"")</f>
        <v>OK</v>
      </c>
    </row>
    <row r="55" customFormat="false" ht="15" hidden="false" customHeight="false" outlineLevel="0" collapsed="false">
      <c r="A55" s="6" t="s">
        <v>258</v>
      </c>
      <c r="B55" s="11" t="n">
        <v>0</v>
      </c>
      <c r="C55" s="11" t="n">
        <f aca="false">B55</f>
        <v>0</v>
      </c>
      <c r="D55" s="36" t="str">
        <f aca="false">TRIM(A55)</f>
        <v>400027 Contingency Income Athletic Playoffs</v>
      </c>
      <c r="E55" s="36" t="str">
        <f aca="false">IF(D55="Revenue","Revenue",IF(D55="Cost of Goods Sold","COGS",IF(D55="Expenditures","Expense",IF(D55="Other Revenue","Other Revenue",IF(D55="Other Expenditures","Other Expense",E54)))))</f>
        <v>Revenue</v>
      </c>
      <c r="F55" s="36" t="str">
        <f aca="false">IF(OR(D55="Revenue",D55="Cost of Goods Sold",D55="Expenditures",D55="Other Revenue",D55="Other Expenditures"),E55,IF(AND(LEN(D55)&gt;2,MID(D55,2,1)=" ",ISNUMBER(VALUE(LEFT(D55,1)))),D55,F54))</f>
        <v>4 Other Miscellaneous Income</v>
      </c>
      <c r="G55" s="36" t="n">
        <f aca="false">IF(AND(D55&lt;&gt;"",ISNUMBER(B55),LEFT(D55,9)&lt;&gt;"Total for",D55&lt;&gt;"Gross Profit",D55&lt;&gt;"Net Operating Revenue",D55&lt;&gt;"Net Other Revenue",D55&lt;&gt;"Net Revenue"),1,0)</f>
        <v>1</v>
      </c>
      <c r="H55" s="36" t="str">
        <f aca="false">IF(G55=1,IF(AND(LEN(D55)&gt;7,ISNUMBER(VALUE(LEFT(D55,6))),MID(D55,7,1)=" "),LEFT(D55,6),D55),"")</f>
        <v>400027</v>
      </c>
      <c r="I55" s="36" t="str">
        <f aca="false">IF(G55=1,IF(COUNTIF('Forecast Detail'!$C$8:$C$400,H55)=0,"UNMAPPED","OK"),"")</f>
        <v>OK</v>
      </c>
    </row>
    <row r="56" customFormat="false" ht="15" hidden="false" customHeight="false" outlineLevel="0" collapsed="false">
      <c r="A56" s="6" t="s">
        <v>260</v>
      </c>
      <c r="B56" s="11" t="n">
        <v>0</v>
      </c>
      <c r="C56" s="11" t="n">
        <f aca="false">B56</f>
        <v>0</v>
      </c>
      <c r="D56" s="36" t="str">
        <f aca="false">TRIM(A56)</f>
        <v>400082 Grant Income</v>
      </c>
      <c r="E56" s="36" t="str">
        <f aca="false">IF(D56="Revenue","Revenue",IF(D56="Cost of Goods Sold","COGS",IF(D56="Expenditures","Expense",IF(D56="Other Revenue","Other Revenue",IF(D56="Other Expenditures","Other Expense",E55)))))</f>
        <v>Revenue</v>
      </c>
      <c r="F56" s="36" t="str">
        <f aca="false">IF(OR(D56="Revenue",D56="Cost of Goods Sold",D56="Expenditures",D56="Other Revenue",D56="Other Expenditures"),E56,IF(AND(LEN(D56)&gt;2,MID(D56,2,1)=" ",ISNUMBER(VALUE(LEFT(D56,1)))),D56,F55))</f>
        <v>4 Other Miscellaneous Income</v>
      </c>
      <c r="G56" s="36" t="n">
        <f aca="false">IF(AND(D56&lt;&gt;"",ISNUMBER(B56),LEFT(D56,9)&lt;&gt;"Total for",D56&lt;&gt;"Gross Profit",D56&lt;&gt;"Net Operating Revenue",D56&lt;&gt;"Net Other Revenue",D56&lt;&gt;"Net Revenue"),1,0)</f>
        <v>1</v>
      </c>
      <c r="H56" s="36" t="str">
        <f aca="false">IF(G56=1,IF(AND(LEN(D56)&gt;7,ISNUMBER(VALUE(LEFT(D56,6))),MID(D56,7,1)=" "),LEFT(D56,6),D56),"")</f>
        <v>400082</v>
      </c>
      <c r="I56" s="36" t="str">
        <f aca="false">IF(G56=1,IF(COUNTIF('Forecast Detail'!$C$8:$C$400,H56)=0,"UNMAPPED","OK"),"")</f>
        <v>OK</v>
      </c>
    </row>
    <row r="57" customFormat="false" ht="15" hidden="false" customHeight="false" outlineLevel="0" collapsed="false">
      <c r="A57" s="6" t="s">
        <v>262</v>
      </c>
      <c r="B57" s="11" t="n">
        <v>0</v>
      </c>
      <c r="C57" s="11" t="n">
        <f aca="false">B57</f>
        <v>0</v>
      </c>
      <c r="D57" s="36" t="str">
        <f aca="false">TRIM(A57)</f>
        <v>400132 Facility Rental/Usage Income</v>
      </c>
      <c r="E57" s="36" t="str">
        <f aca="false">IF(D57="Revenue","Revenue",IF(D57="Cost of Goods Sold","COGS",IF(D57="Expenditures","Expense",IF(D57="Other Revenue","Other Revenue",IF(D57="Other Expenditures","Other Expense",E56)))))</f>
        <v>Revenue</v>
      </c>
      <c r="F57" s="36" t="str">
        <f aca="false">IF(OR(D57="Revenue",D57="Cost of Goods Sold",D57="Expenditures",D57="Other Revenue",D57="Other Expenditures"),E57,IF(AND(LEN(D57)&gt;2,MID(D57,2,1)=" ",ISNUMBER(VALUE(LEFT(D57,1)))),D57,F56))</f>
        <v>4 Other Miscellaneous Income</v>
      </c>
      <c r="G57" s="36" t="n">
        <f aca="false">IF(AND(D57&lt;&gt;"",ISNUMBER(B57),LEFT(D57,9)&lt;&gt;"Total for",D57&lt;&gt;"Gross Profit",D57&lt;&gt;"Net Operating Revenue",D57&lt;&gt;"Net Other Revenue",D57&lt;&gt;"Net Revenue"),1,0)</f>
        <v>1</v>
      </c>
      <c r="H57" s="36" t="str">
        <f aca="false">IF(G57=1,IF(AND(LEN(D57)&gt;7,ISNUMBER(VALUE(LEFT(D57,6))),MID(D57,7,1)=" "),LEFT(D57,6),D57),"")</f>
        <v>400132</v>
      </c>
      <c r="I57" s="36" t="str">
        <f aca="false">IF(G57=1,IF(COUNTIF('Forecast Detail'!$C$8:$C$400,H57)=0,"UNMAPPED","OK"),"")</f>
        <v>OK</v>
      </c>
    </row>
    <row r="58" customFormat="false" ht="15" hidden="false" customHeight="false" outlineLevel="0" collapsed="false">
      <c r="A58" s="6" t="s">
        <v>264</v>
      </c>
      <c r="B58" s="11" t="n">
        <v>0</v>
      </c>
      <c r="C58" s="11" t="n">
        <f aca="false">B58</f>
        <v>0</v>
      </c>
      <c r="D58" s="36" t="str">
        <f aca="false">TRIM(A58)</f>
        <v>400143 Speech Therapy Fees</v>
      </c>
      <c r="E58" s="36" t="str">
        <f aca="false">IF(D58="Revenue","Revenue",IF(D58="Cost of Goods Sold","COGS",IF(D58="Expenditures","Expense",IF(D58="Other Revenue","Other Revenue",IF(D58="Other Expenditures","Other Expense",E57)))))</f>
        <v>Revenue</v>
      </c>
      <c r="F58" s="36" t="str">
        <f aca="false">IF(OR(D58="Revenue",D58="Cost of Goods Sold",D58="Expenditures",D58="Other Revenue",D58="Other Expenditures"),E58,IF(AND(LEN(D58)&gt;2,MID(D58,2,1)=" ",ISNUMBER(VALUE(LEFT(D58,1)))),D58,F57))</f>
        <v>4 Other Miscellaneous Income</v>
      </c>
      <c r="G58" s="36" t="n">
        <f aca="false">IF(AND(D58&lt;&gt;"",ISNUMBER(B58),LEFT(D58,9)&lt;&gt;"Total for",D58&lt;&gt;"Gross Profit",D58&lt;&gt;"Net Operating Revenue",D58&lt;&gt;"Net Other Revenue",D58&lt;&gt;"Net Revenue"),1,0)</f>
        <v>1</v>
      </c>
      <c r="H58" s="36" t="str">
        <f aca="false">IF(G58=1,IF(AND(LEN(D58)&gt;7,ISNUMBER(VALUE(LEFT(D58,6))),MID(D58,7,1)=" "),LEFT(D58,6),D58),"")</f>
        <v>400143</v>
      </c>
      <c r="I58" s="36" t="str">
        <f aca="false">IF(G58=1,IF(COUNTIF('Forecast Detail'!$C$8:$C$400,H58)=0,"UNMAPPED","OK"),"")</f>
        <v>OK</v>
      </c>
    </row>
    <row r="59" customFormat="false" ht="15" hidden="false" customHeight="false" outlineLevel="0" collapsed="false">
      <c r="A59" s="6" t="s">
        <v>266</v>
      </c>
      <c r="B59" s="11" t="n">
        <v>0</v>
      </c>
      <c r="C59" s="11" t="n">
        <f aca="false">B59</f>
        <v>0</v>
      </c>
      <c r="D59" s="36" t="str">
        <f aca="false">TRIM(A59)</f>
        <v>400144 Credit Card Rebates</v>
      </c>
      <c r="E59" s="36" t="str">
        <f aca="false">IF(D59="Revenue","Revenue",IF(D59="Cost of Goods Sold","COGS",IF(D59="Expenditures","Expense",IF(D59="Other Revenue","Other Revenue",IF(D59="Other Expenditures","Other Expense",E58)))))</f>
        <v>Revenue</v>
      </c>
      <c r="F59" s="36" t="str">
        <f aca="false">IF(OR(D59="Revenue",D59="Cost of Goods Sold",D59="Expenditures",D59="Other Revenue",D59="Other Expenditures"),E59,IF(AND(LEN(D59)&gt;2,MID(D59,2,1)=" ",ISNUMBER(VALUE(LEFT(D59,1)))),D59,F58))</f>
        <v>4 Other Miscellaneous Income</v>
      </c>
      <c r="G59" s="36" t="n">
        <f aca="false">IF(AND(D59&lt;&gt;"",ISNUMBER(B59),LEFT(D59,9)&lt;&gt;"Total for",D59&lt;&gt;"Gross Profit",D59&lt;&gt;"Net Operating Revenue",D59&lt;&gt;"Net Other Revenue",D59&lt;&gt;"Net Revenue"),1,0)</f>
        <v>1</v>
      </c>
      <c r="H59" s="36" t="str">
        <f aca="false">IF(G59=1,IF(AND(LEN(D59)&gt;7,ISNUMBER(VALUE(LEFT(D59,6))),MID(D59,7,1)=" "),LEFT(D59,6),D59),"")</f>
        <v>400144</v>
      </c>
      <c r="I59" s="36" t="str">
        <f aca="false">IF(G59=1,IF(COUNTIF('Forecast Detail'!$C$8:$C$400,H59)=0,"UNMAPPED","OK"),"")</f>
        <v>OK</v>
      </c>
    </row>
    <row r="60" customFormat="false" ht="15" hidden="false" customHeight="false" outlineLevel="0" collapsed="false">
      <c r="A60" s="6" t="s">
        <v>268</v>
      </c>
      <c r="B60" s="11" t="n">
        <v>0</v>
      </c>
      <c r="C60" s="11" t="n">
        <f aca="false">B60</f>
        <v>0</v>
      </c>
      <c r="D60" s="36" t="str">
        <f aca="false">TRIM(A60)</f>
        <v>400145 Sale of AP Textbooks</v>
      </c>
      <c r="E60" s="36" t="str">
        <f aca="false">IF(D60="Revenue","Revenue",IF(D60="Cost of Goods Sold","COGS",IF(D60="Expenditures","Expense",IF(D60="Other Revenue","Other Revenue",IF(D60="Other Expenditures","Other Expense",E59)))))</f>
        <v>Revenue</v>
      </c>
      <c r="F60" s="36" t="str">
        <f aca="false">IF(OR(D60="Revenue",D60="Cost of Goods Sold",D60="Expenditures",D60="Other Revenue",D60="Other Expenditures"),E60,IF(AND(LEN(D60)&gt;2,MID(D60,2,1)=" ",ISNUMBER(VALUE(LEFT(D60,1)))),D60,F59))</f>
        <v>4 Other Miscellaneous Income</v>
      </c>
      <c r="G60" s="36" t="n">
        <f aca="false">IF(AND(D60&lt;&gt;"",ISNUMBER(B60),LEFT(D60,9)&lt;&gt;"Total for",D60&lt;&gt;"Gross Profit",D60&lt;&gt;"Net Operating Revenue",D60&lt;&gt;"Net Other Revenue",D60&lt;&gt;"Net Revenue"),1,0)</f>
        <v>1</v>
      </c>
      <c r="H60" s="36" t="str">
        <f aca="false">IF(G60=1,IF(AND(LEN(D60)&gt;7,ISNUMBER(VALUE(LEFT(D60,6))),MID(D60,7,1)=" "),LEFT(D60,6),D60),"")</f>
        <v>400145</v>
      </c>
      <c r="I60" s="36" t="str">
        <f aca="false">IF(G60=1,IF(COUNTIF('Forecast Detail'!$C$8:$C$400,H60)=0,"UNMAPPED","OK"),"")</f>
        <v>OK</v>
      </c>
    </row>
    <row r="61" customFormat="false" ht="15" hidden="false" customHeight="false" outlineLevel="0" collapsed="false">
      <c r="A61" s="6" t="s">
        <v>270</v>
      </c>
      <c r="B61" s="11" t="n">
        <v>0</v>
      </c>
      <c r="C61" s="11" t="n">
        <f aca="false">B61</f>
        <v>0</v>
      </c>
      <c r="D61" s="36" t="str">
        <f aca="false">TRIM(A61)</f>
        <v>400147 Coke Machines Proceeds</v>
      </c>
      <c r="E61" s="36" t="str">
        <f aca="false">IF(D61="Revenue","Revenue",IF(D61="Cost of Goods Sold","COGS",IF(D61="Expenditures","Expense",IF(D61="Other Revenue","Other Revenue",IF(D61="Other Expenditures","Other Expense",E60)))))</f>
        <v>Revenue</v>
      </c>
      <c r="F61" s="36" t="str">
        <f aca="false">IF(OR(D61="Revenue",D61="Cost of Goods Sold",D61="Expenditures",D61="Other Revenue",D61="Other Expenditures"),E61,IF(AND(LEN(D61)&gt;2,MID(D61,2,1)=" ",ISNUMBER(VALUE(LEFT(D61,1)))),D61,F60))</f>
        <v>4 Other Miscellaneous Income</v>
      </c>
      <c r="G61" s="36" t="n">
        <f aca="false">IF(AND(D61&lt;&gt;"",ISNUMBER(B61),LEFT(D61,9)&lt;&gt;"Total for",D61&lt;&gt;"Gross Profit",D61&lt;&gt;"Net Operating Revenue",D61&lt;&gt;"Net Other Revenue",D61&lt;&gt;"Net Revenue"),1,0)</f>
        <v>1</v>
      </c>
      <c r="H61" s="36" t="str">
        <f aca="false">IF(G61=1,IF(AND(LEN(D61)&gt;7,ISNUMBER(VALUE(LEFT(D61,6))),MID(D61,7,1)=" "),LEFT(D61,6),D61),"")</f>
        <v>400147</v>
      </c>
      <c r="I61" s="36" t="str">
        <f aca="false">IF(G61=1,IF(COUNTIF('Forecast Detail'!$C$8:$C$400,H61)=0,"UNMAPPED","OK"),"")</f>
        <v>OK</v>
      </c>
    </row>
    <row r="62" customFormat="false" ht="15" hidden="false" customHeight="false" outlineLevel="0" collapsed="false">
      <c r="A62" s="6" t="s">
        <v>272</v>
      </c>
      <c r="B62" s="11" t="n">
        <v>0</v>
      </c>
      <c r="C62" s="11" t="n">
        <f aca="false">B62</f>
        <v>0</v>
      </c>
      <c r="D62" s="36" t="str">
        <f aca="false">TRIM(A62)</f>
        <v>400148 Convenience Fee Income</v>
      </c>
      <c r="E62" s="36" t="str">
        <f aca="false">IF(D62="Revenue","Revenue",IF(D62="Cost of Goods Sold","COGS",IF(D62="Expenditures","Expense",IF(D62="Other Revenue","Other Revenue",IF(D62="Other Expenditures","Other Expense",E61)))))</f>
        <v>Revenue</v>
      </c>
      <c r="F62" s="36" t="str">
        <f aca="false">IF(OR(D62="Revenue",D62="Cost of Goods Sold",D62="Expenditures",D62="Other Revenue",D62="Other Expenditures"),E62,IF(AND(LEN(D62)&gt;2,MID(D62,2,1)=" ",ISNUMBER(VALUE(LEFT(D62,1)))),D62,F61))</f>
        <v>4 Other Miscellaneous Income</v>
      </c>
      <c r="G62" s="36" t="n">
        <f aca="false">IF(AND(D62&lt;&gt;"",ISNUMBER(B62),LEFT(D62,9)&lt;&gt;"Total for",D62&lt;&gt;"Gross Profit",D62&lt;&gt;"Net Operating Revenue",D62&lt;&gt;"Net Other Revenue",D62&lt;&gt;"Net Revenue"),1,0)</f>
        <v>1</v>
      </c>
      <c r="H62" s="36" t="str">
        <f aca="false">IF(G62=1,IF(AND(LEN(D62)&gt;7,ISNUMBER(VALUE(LEFT(D62,6))),MID(D62,7,1)=" "),LEFT(D62,6),D62),"")</f>
        <v>400148</v>
      </c>
      <c r="I62" s="36" t="str">
        <f aca="false">IF(G62=1,IF(COUNTIF('Forecast Detail'!$C$8:$C$400,H62)=0,"UNMAPPED","OK"),"")</f>
        <v>OK</v>
      </c>
    </row>
    <row r="63" customFormat="false" ht="15" hidden="false" customHeight="false" outlineLevel="0" collapsed="false">
      <c r="A63" s="6" t="s">
        <v>274</v>
      </c>
      <c r="B63" s="11" t="n">
        <v>0</v>
      </c>
      <c r="C63" s="11" t="n">
        <f aca="false">B63</f>
        <v>0</v>
      </c>
      <c r="D63" s="36" t="str">
        <f aca="false">TRIM(A63)</f>
        <v>400149 AP Testing Fees</v>
      </c>
      <c r="E63" s="36" t="str">
        <f aca="false">IF(D63="Revenue","Revenue",IF(D63="Cost of Goods Sold","COGS",IF(D63="Expenditures","Expense",IF(D63="Other Revenue","Other Revenue",IF(D63="Other Expenditures","Other Expense",E62)))))</f>
        <v>Revenue</v>
      </c>
      <c r="F63" s="36" t="str">
        <f aca="false">IF(OR(D63="Revenue",D63="Cost of Goods Sold",D63="Expenditures",D63="Other Revenue",D63="Other Expenditures"),E63,IF(AND(LEN(D63)&gt;2,MID(D63,2,1)=" ",ISNUMBER(VALUE(LEFT(D63,1)))),D63,F62))</f>
        <v>4 Other Miscellaneous Income</v>
      </c>
      <c r="G63" s="36" t="n">
        <f aca="false">IF(AND(D63&lt;&gt;"",ISNUMBER(B63),LEFT(D63,9)&lt;&gt;"Total for",D63&lt;&gt;"Gross Profit",D63&lt;&gt;"Net Operating Revenue",D63&lt;&gt;"Net Other Revenue",D63&lt;&gt;"Net Revenue"),1,0)</f>
        <v>1</v>
      </c>
      <c r="H63" s="36" t="str">
        <f aca="false">IF(G63=1,IF(AND(LEN(D63)&gt;7,ISNUMBER(VALUE(LEFT(D63,6))),MID(D63,7,1)=" "),LEFT(D63,6),D63),"")</f>
        <v>400149</v>
      </c>
      <c r="I63" s="36" t="str">
        <f aca="false">IF(G63=1,IF(COUNTIF('Forecast Detail'!$C$8:$C$400,H63)=0,"UNMAPPED","OK"),"")</f>
        <v>OK</v>
      </c>
    </row>
    <row r="64" customFormat="false" ht="15" hidden="false" customHeight="false" outlineLevel="0" collapsed="false">
      <c r="A64" s="6" t="s">
        <v>276</v>
      </c>
      <c r="B64" s="11" t="n">
        <v>0</v>
      </c>
      <c r="C64" s="11" t="n">
        <f aca="false">B64</f>
        <v>0</v>
      </c>
      <c r="D64" s="36" t="str">
        <f aca="false">TRIM(A64)</f>
        <v>400165 Lost Textbook Fines</v>
      </c>
      <c r="E64" s="36" t="str">
        <f aca="false">IF(D64="Revenue","Revenue",IF(D64="Cost of Goods Sold","COGS",IF(D64="Expenditures","Expense",IF(D64="Other Revenue","Other Revenue",IF(D64="Other Expenditures","Other Expense",E63)))))</f>
        <v>Revenue</v>
      </c>
      <c r="F64" s="36" t="str">
        <f aca="false">IF(OR(D64="Revenue",D64="Cost of Goods Sold",D64="Expenditures",D64="Other Revenue",D64="Other Expenditures"),E64,IF(AND(LEN(D64)&gt;2,MID(D64,2,1)=" ",ISNUMBER(VALUE(LEFT(D64,1)))),D64,F63))</f>
        <v>4 Other Miscellaneous Income</v>
      </c>
      <c r="G64" s="36" t="n">
        <f aca="false">IF(AND(D64&lt;&gt;"",ISNUMBER(B64),LEFT(D64,9)&lt;&gt;"Total for",D64&lt;&gt;"Gross Profit",D64&lt;&gt;"Net Operating Revenue",D64&lt;&gt;"Net Other Revenue",D64&lt;&gt;"Net Revenue"),1,0)</f>
        <v>1</v>
      </c>
      <c r="H64" s="36" t="str">
        <f aca="false">IF(G64=1,IF(AND(LEN(D64)&gt;7,ISNUMBER(VALUE(LEFT(D64,6))),MID(D64,7,1)=" "),LEFT(D64,6),D64),"")</f>
        <v>400165</v>
      </c>
      <c r="I64" s="36" t="str">
        <f aca="false">IF(G64=1,IF(COUNTIF('Forecast Detail'!$C$8:$C$400,H64)=0,"UNMAPPED","OK"),"")</f>
        <v>OK</v>
      </c>
    </row>
    <row r="65" customFormat="false" ht="15" hidden="false" customHeight="false" outlineLevel="0" collapsed="false">
      <c r="A65" s="6" t="s">
        <v>278</v>
      </c>
      <c r="B65" s="11" t="n">
        <v>0</v>
      </c>
      <c r="C65" s="11" t="n">
        <f aca="false">B65</f>
        <v>0</v>
      </c>
      <c r="D65" s="36" t="str">
        <f aca="false">TRIM(A65)</f>
        <v>400166 School Picture Income</v>
      </c>
      <c r="E65" s="36" t="str">
        <f aca="false">IF(D65="Revenue","Revenue",IF(D65="Cost of Goods Sold","COGS",IF(D65="Expenditures","Expense",IF(D65="Other Revenue","Other Revenue",IF(D65="Other Expenditures","Other Expense",E64)))))</f>
        <v>Revenue</v>
      </c>
      <c r="F65" s="36" t="str">
        <f aca="false">IF(OR(D65="Revenue",D65="Cost of Goods Sold",D65="Expenditures",D65="Other Revenue",D65="Other Expenditures"),E65,IF(AND(LEN(D65)&gt;2,MID(D65,2,1)=" ",ISNUMBER(VALUE(LEFT(D65,1)))),D65,F64))</f>
        <v>4 Other Miscellaneous Income</v>
      </c>
      <c r="G65" s="36" t="n">
        <f aca="false">IF(AND(D65&lt;&gt;"",ISNUMBER(B65),LEFT(D65,9)&lt;&gt;"Total for",D65&lt;&gt;"Gross Profit",D65&lt;&gt;"Net Operating Revenue",D65&lt;&gt;"Net Other Revenue",D65&lt;&gt;"Net Revenue"),1,0)</f>
        <v>1</v>
      </c>
      <c r="H65" s="36" t="str">
        <f aca="false">IF(G65=1,IF(AND(LEN(D65)&gt;7,ISNUMBER(VALUE(LEFT(D65,6))),MID(D65,7,1)=" "),LEFT(D65,6),D65),"")</f>
        <v>400166</v>
      </c>
      <c r="I65" s="36" t="str">
        <f aca="false">IF(G65=1,IF(COUNTIF('Forecast Detail'!$C$8:$C$400,H65)=0,"UNMAPPED","OK"),"")</f>
        <v>OK</v>
      </c>
    </row>
    <row r="66" customFormat="false" ht="15" hidden="false" customHeight="false" outlineLevel="0" collapsed="false">
      <c r="A66" s="6" t="s">
        <v>280</v>
      </c>
      <c r="B66" s="11" t="n">
        <v>0</v>
      </c>
      <c r="C66" s="11" t="n">
        <f aca="false">B66</f>
        <v>0</v>
      </c>
      <c r="D66" s="36" t="str">
        <f aca="false">TRIM(A66)</f>
        <v>400169 Other Income For Non-Classified Activities</v>
      </c>
      <c r="E66" s="36" t="str">
        <f aca="false">IF(D66="Revenue","Revenue",IF(D66="Cost of Goods Sold","COGS",IF(D66="Expenditures","Expense",IF(D66="Other Revenue","Other Revenue",IF(D66="Other Expenditures","Other Expense",E65)))))</f>
        <v>Revenue</v>
      </c>
      <c r="F66" s="36" t="str">
        <f aca="false">IF(OR(D66="Revenue",D66="Cost of Goods Sold",D66="Expenditures",D66="Other Revenue",D66="Other Expenditures"),E66,IF(AND(LEN(D66)&gt;2,MID(D66,2,1)=" ",ISNUMBER(VALUE(LEFT(D66,1)))),D66,F65))</f>
        <v>4 Other Miscellaneous Income</v>
      </c>
      <c r="G66" s="36" t="n">
        <f aca="false">IF(AND(D66&lt;&gt;"",ISNUMBER(B66),LEFT(D66,9)&lt;&gt;"Total for",D66&lt;&gt;"Gross Profit",D66&lt;&gt;"Net Operating Revenue",D66&lt;&gt;"Net Other Revenue",D66&lt;&gt;"Net Revenue"),1,0)</f>
        <v>1</v>
      </c>
      <c r="H66" s="36" t="str">
        <f aca="false">IF(G66=1,IF(AND(LEN(D66)&gt;7,ISNUMBER(VALUE(LEFT(D66,6))),MID(D66,7,1)=" "),LEFT(D66,6),D66),"")</f>
        <v>400169</v>
      </c>
      <c r="I66" s="36" t="str">
        <f aca="false">IF(G66=1,IF(COUNTIF('Forecast Detail'!$C$8:$C$400,H66)=0,"UNMAPPED","OK"),"")</f>
        <v>OK</v>
      </c>
    </row>
    <row r="67" customFormat="false" ht="15" hidden="false" customHeight="false" outlineLevel="0" collapsed="false">
      <c r="A67" s="6" t="s">
        <v>282</v>
      </c>
      <c r="B67" s="11" t="n">
        <v>0</v>
      </c>
      <c r="C67" s="11" t="n">
        <f aca="false">B67</f>
        <v>0</v>
      </c>
      <c r="D67" s="36" t="str">
        <f aca="false">TRIM(A67)</f>
        <v>400170 Hospitality Collections from Employees</v>
      </c>
      <c r="E67" s="36" t="str">
        <f aca="false">IF(D67="Revenue","Revenue",IF(D67="Cost of Goods Sold","COGS",IF(D67="Expenditures","Expense",IF(D67="Other Revenue","Other Revenue",IF(D67="Other Expenditures","Other Expense",E66)))))</f>
        <v>Revenue</v>
      </c>
      <c r="F67" s="36" t="str">
        <f aca="false">IF(OR(D67="Revenue",D67="Cost of Goods Sold",D67="Expenditures",D67="Other Revenue",D67="Other Expenditures"),E67,IF(AND(LEN(D67)&gt;2,MID(D67,2,1)=" ",ISNUMBER(VALUE(LEFT(D67,1)))),D67,F66))</f>
        <v>4 Other Miscellaneous Income</v>
      </c>
      <c r="G67" s="36" t="n">
        <f aca="false">IF(AND(D67&lt;&gt;"",ISNUMBER(B67),LEFT(D67,9)&lt;&gt;"Total for",D67&lt;&gt;"Gross Profit",D67&lt;&gt;"Net Operating Revenue",D67&lt;&gt;"Net Other Revenue",D67&lt;&gt;"Net Revenue"),1,0)</f>
        <v>1</v>
      </c>
      <c r="H67" s="36" t="str">
        <f aca="false">IF(G67=1,IF(AND(LEN(D67)&gt;7,ISNUMBER(VALUE(LEFT(D67,6))),MID(D67,7,1)=" "),LEFT(D67,6),D67),"")</f>
        <v>400170</v>
      </c>
      <c r="I67" s="36" t="str">
        <f aca="false">IF(G67=1,IF(COUNTIF('Forecast Detail'!$C$8:$C$400,H67)=0,"UNMAPPED","OK"),"")</f>
        <v>OK</v>
      </c>
    </row>
    <row r="68" customFormat="false" ht="15" hidden="false" customHeight="false" outlineLevel="0" collapsed="false">
      <c r="A68" s="6" t="s">
        <v>638</v>
      </c>
      <c r="D68" s="36" t="str">
        <f aca="false">TRIM(A68)</f>
        <v>Fees from Tutoring Services</v>
      </c>
      <c r="E68" s="36" t="str">
        <f aca="false">IF(D68="Revenue","Revenue",IF(D68="Cost of Goods Sold","COGS",IF(D68="Expenditures","Expense",IF(D68="Other Revenue","Other Revenue",IF(D68="Other Expenditures","Other Expense",E67)))))</f>
        <v>Revenue</v>
      </c>
      <c r="F68" s="36" t="str">
        <f aca="false">IF(OR(D68="Revenue",D68="Cost of Goods Sold",D68="Expenditures",D68="Other Revenue",D68="Other Expenditures"),E68,IF(AND(LEN(D68)&gt;2,MID(D68,2,1)=" ",ISNUMBER(VALUE(LEFT(D68,1)))),D68,F67))</f>
        <v>4 Other Miscellaneous Income</v>
      </c>
      <c r="G68" s="36" t="n">
        <f aca="false">IF(AND(D68&lt;&gt;"",ISNUMBER(B68),LEFT(D68,9)&lt;&gt;"Total for",D68&lt;&gt;"Gross Profit",D68&lt;&gt;"Net Operating Revenue",D68&lt;&gt;"Net Other Revenue",D68&lt;&gt;"Net Revenue"),1,0)</f>
        <v>0</v>
      </c>
      <c r="H68" s="36" t="str">
        <f aca="false">IF(G68=1,IF(AND(LEN(D68)&gt;7,ISNUMBER(VALUE(LEFT(D68,6))),MID(D68,7,1)=" "),LEFT(D68,6),D68),"")</f>
        <v/>
      </c>
      <c r="I68" s="36" t="str">
        <f aca="false">IF(G68=1,IF(COUNTIF('Forecast Detail'!$C$8:$C$400,H68)=0,"UNMAPPED","OK"),"")</f>
        <v/>
      </c>
    </row>
    <row r="69" customFormat="false" ht="15" hidden="false" customHeight="false" outlineLevel="0" collapsed="false">
      <c r="A69" s="6" t="s">
        <v>284</v>
      </c>
      <c r="B69" s="11" t="n">
        <v>0</v>
      </c>
      <c r="C69" s="11" t="n">
        <f aca="false">B69</f>
        <v>0</v>
      </c>
      <c r="D69" s="36" t="str">
        <f aca="false">TRIM(A69)</f>
        <v>400129 Tutoring Fees Lower School</v>
      </c>
      <c r="E69" s="36" t="str">
        <f aca="false">IF(D69="Revenue","Revenue",IF(D69="Cost of Goods Sold","COGS",IF(D69="Expenditures","Expense",IF(D69="Other Revenue","Other Revenue",IF(D69="Other Expenditures","Other Expense",E68)))))</f>
        <v>Revenue</v>
      </c>
      <c r="F69" s="36" t="str">
        <f aca="false">IF(OR(D69="Revenue",D69="Cost of Goods Sold",D69="Expenditures",D69="Other Revenue",D69="Other Expenditures"),E69,IF(AND(LEN(D69)&gt;2,MID(D69,2,1)=" ",ISNUMBER(VALUE(LEFT(D69,1)))),D69,F68))</f>
        <v>4 Other Miscellaneous Income</v>
      </c>
      <c r="G69" s="36" t="n">
        <f aca="false">IF(AND(D69&lt;&gt;"",ISNUMBER(B69),LEFT(D69,9)&lt;&gt;"Total for",D69&lt;&gt;"Gross Profit",D69&lt;&gt;"Net Operating Revenue",D69&lt;&gt;"Net Other Revenue",D69&lt;&gt;"Net Revenue"),1,0)</f>
        <v>1</v>
      </c>
      <c r="H69" s="36" t="str">
        <f aca="false">IF(G69=1,IF(AND(LEN(D69)&gt;7,ISNUMBER(VALUE(LEFT(D69,6))),MID(D69,7,1)=" "),LEFT(D69,6),D69),"")</f>
        <v>400129</v>
      </c>
      <c r="I69" s="36" t="str">
        <f aca="false">IF(G69=1,IF(COUNTIF('Forecast Detail'!$C$8:$C$400,H69)=0,"UNMAPPED","OK"),"")</f>
        <v>OK</v>
      </c>
    </row>
    <row r="70" customFormat="false" ht="15" hidden="false" customHeight="false" outlineLevel="0" collapsed="false">
      <c r="A70" s="6" t="s">
        <v>286</v>
      </c>
      <c r="B70" s="11" t="n">
        <v>0</v>
      </c>
      <c r="C70" s="11" t="n">
        <f aca="false">B70</f>
        <v>0</v>
      </c>
      <c r="D70" s="36" t="str">
        <f aca="false">TRIM(A70)</f>
        <v>400130 Tutoring Fees Middle School</v>
      </c>
      <c r="E70" s="36" t="str">
        <f aca="false">IF(D70="Revenue","Revenue",IF(D70="Cost of Goods Sold","COGS",IF(D70="Expenditures","Expense",IF(D70="Other Revenue","Other Revenue",IF(D70="Other Expenditures","Other Expense",E69)))))</f>
        <v>Revenue</v>
      </c>
      <c r="F70" s="36" t="str">
        <f aca="false">IF(OR(D70="Revenue",D70="Cost of Goods Sold",D70="Expenditures",D70="Other Revenue",D70="Other Expenditures"),E70,IF(AND(LEN(D70)&gt;2,MID(D70,2,1)=" ",ISNUMBER(VALUE(LEFT(D70,1)))),D70,F69))</f>
        <v>4 Other Miscellaneous Income</v>
      </c>
      <c r="G70" s="36" t="n">
        <f aca="false">IF(AND(D70&lt;&gt;"",ISNUMBER(B70),LEFT(D70,9)&lt;&gt;"Total for",D70&lt;&gt;"Gross Profit",D70&lt;&gt;"Net Operating Revenue",D70&lt;&gt;"Net Other Revenue",D70&lt;&gt;"Net Revenue"),1,0)</f>
        <v>1</v>
      </c>
      <c r="H70" s="36" t="str">
        <f aca="false">IF(G70=1,IF(AND(LEN(D70)&gt;7,ISNUMBER(VALUE(LEFT(D70,6))),MID(D70,7,1)=" "),LEFT(D70,6),D70),"")</f>
        <v>400130</v>
      </c>
      <c r="I70" s="36" t="str">
        <f aca="false">IF(G70=1,IF(COUNTIF('Forecast Detail'!$C$8:$C$400,H70)=0,"UNMAPPED","OK"),"")</f>
        <v>OK</v>
      </c>
    </row>
    <row r="71" customFormat="false" ht="15" hidden="false" customHeight="false" outlineLevel="0" collapsed="false">
      <c r="A71" s="6" t="s">
        <v>288</v>
      </c>
      <c r="B71" s="11" t="n">
        <v>0</v>
      </c>
      <c r="C71" s="11" t="n">
        <f aca="false">B71</f>
        <v>0</v>
      </c>
      <c r="D71" s="36" t="str">
        <f aca="false">TRIM(A71)</f>
        <v>400131 Tutoring Fees Upper School</v>
      </c>
      <c r="E71" s="36" t="str">
        <f aca="false">IF(D71="Revenue","Revenue",IF(D71="Cost of Goods Sold","COGS",IF(D71="Expenditures","Expense",IF(D71="Other Revenue","Other Revenue",IF(D71="Other Expenditures","Other Expense",E70)))))</f>
        <v>Revenue</v>
      </c>
      <c r="F71" s="36" t="str">
        <f aca="false">IF(OR(D71="Revenue",D71="Cost of Goods Sold",D71="Expenditures",D71="Other Revenue",D71="Other Expenditures"),E71,IF(AND(LEN(D71)&gt;2,MID(D71,2,1)=" ",ISNUMBER(VALUE(LEFT(D71,1)))),D71,F70))</f>
        <v>4 Other Miscellaneous Income</v>
      </c>
      <c r="G71" s="36" t="n">
        <f aca="false">IF(AND(D71&lt;&gt;"",ISNUMBER(B71),LEFT(D71,9)&lt;&gt;"Total for",D71&lt;&gt;"Gross Profit",D71&lt;&gt;"Net Operating Revenue",D71&lt;&gt;"Net Other Revenue",D71&lt;&gt;"Net Revenue"),1,0)</f>
        <v>1</v>
      </c>
      <c r="H71" s="36" t="str">
        <f aca="false">IF(G71=1,IF(AND(LEN(D71)&gt;7,ISNUMBER(VALUE(LEFT(D71,6))),MID(D71,7,1)=" "),LEFT(D71,6),D71),"")</f>
        <v>400131</v>
      </c>
      <c r="I71" s="36" t="str">
        <f aca="false">IF(G71=1,IF(COUNTIF('Forecast Detail'!$C$8:$C$400,H71)=0,"UNMAPPED","OK"),"")</f>
        <v>OK</v>
      </c>
    </row>
    <row r="72" customFormat="false" ht="15" hidden="false" customHeight="false" outlineLevel="0" collapsed="false">
      <c r="A72" s="6" t="s">
        <v>290</v>
      </c>
      <c r="B72" s="11" t="n">
        <v>0</v>
      </c>
      <c r="C72" s="11" t="n">
        <f aca="false">B72</f>
        <v>0</v>
      </c>
      <c r="D72" s="36" t="str">
        <f aca="false">TRIM(A72)</f>
        <v>400151 ACT Prep Income</v>
      </c>
      <c r="E72" s="36" t="str">
        <f aca="false">IF(D72="Revenue","Revenue",IF(D72="Cost of Goods Sold","COGS",IF(D72="Expenditures","Expense",IF(D72="Other Revenue","Other Revenue",IF(D72="Other Expenditures","Other Expense",E71)))))</f>
        <v>Revenue</v>
      </c>
      <c r="F72" s="36" t="str">
        <f aca="false">IF(OR(D72="Revenue",D72="Cost of Goods Sold",D72="Expenditures",D72="Other Revenue",D72="Other Expenditures"),E72,IF(AND(LEN(D72)&gt;2,MID(D72,2,1)=" ",ISNUMBER(VALUE(LEFT(D72,1)))),D72,F71))</f>
        <v>4 Other Miscellaneous Income</v>
      </c>
      <c r="G72" s="36" t="n">
        <f aca="false">IF(AND(D72&lt;&gt;"",ISNUMBER(B72),LEFT(D72,9)&lt;&gt;"Total for",D72&lt;&gt;"Gross Profit",D72&lt;&gt;"Net Operating Revenue",D72&lt;&gt;"Net Other Revenue",D72&lt;&gt;"Net Revenue"),1,0)</f>
        <v>1</v>
      </c>
      <c r="H72" s="36" t="str">
        <f aca="false">IF(G72=1,IF(AND(LEN(D72)&gt;7,ISNUMBER(VALUE(LEFT(D72,6))),MID(D72,7,1)=" "),LEFT(D72,6),D72),"")</f>
        <v>400151</v>
      </c>
      <c r="I72" s="36" t="str">
        <f aca="false">IF(G72=1,IF(COUNTIF('Forecast Detail'!$C$8:$C$400,H72)=0,"UNMAPPED","OK"),"")</f>
        <v>OK</v>
      </c>
    </row>
    <row r="73" customFormat="false" ht="15" hidden="false" customHeight="false" outlineLevel="0" collapsed="false">
      <c r="A73" s="6" t="s">
        <v>639</v>
      </c>
      <c r="B73" s="11" t="n">
        <f aca="false">B68+B69+B70+B71+B72</f>
        <v>0</v>
      </c>
      <c r="C73" s="11" t="n">
        <f aca="false">B73</f>
        <v>0</v>
      </c>
      <c r="D73" s="36" t="str">
        <f aca="false">TRIM(A73)</f>
        <v>Total for Fees from Tutoring Services</v>
      </c>
      <c r="E73" s="36" t="str">
        <f aca="false">IF(D73="Revenue","Revenue",IF(D73="Cost of Goods Sold","COGS",IF(D73="Expenditures","Expense",IF(D73="Other Revenue","Other Revenue",IF(D73="Other Expenditures","Other Expense",E72)))))</f>
        <v>Revenue</v>
      </c>
      <c r="F73" s="36" t="str">
        <f aca="false">IF(OR(D73="Revenue",D73="Cost of Goods Sold",D73="Expenditures",D73="Other Revenue",D73="Other Expenditures"),E73,IF(AND(LEN(D73)&gt;2,MID(D73,2,1)=" ",ISNUMBER(VALUE(LEFT(D73,1)))),D73,F72))</f>
        <v>4 Other Miscellaneous Income</v>
      </c>
      <c r="G73" s="36" t="n">
        <f aca="false">IF(AND(D73&lt;&gt;"",ISNUMBER(B73),LEFT(D73,9)&lt;&gt;"Total for",D73&lt;&gt;"Gross Profit",D73&lt;&gt;"Net Operating Revenue",D73&lt;&gt;"Net Other Revenue",D73&lt;&gt;"Net Revenue"),1,0)</f>
        <v>0</v>
      </c>
      <c r="H73" s="36" t="str">
        <f aca="false">IF(G73=1,IF(AND(LEN(D73)&gt;7,ISNUMBER(VALUE(LEFT(D73,6))),MID(D73,7,1)=" "),LEFT(D73,6),D73),"")</f>
        <v/>
      </c>
      <c r="I73" s="36" t="str">
        <f aca="false">IF(G73=1,IF(COUNTIF('Forecast Detail'!$C$8:$C$400,H73)=0,"UNMAPPED","OK"),"")</f>
        <v/>
      </c>
    </row>
    <row r="74" customFormat="false" ht="15" hidden="false" customHeight="false" outlineLevel="0" collapsed="false">
      <c r="A74" s="6" t="s">
        <v>640</v>
      </c>
      <c r="D74" s="36" t="str">
        <f aca="false">TRIM(A74)</f>
        <v>Net Revenue Twas the Night</v>
      </c>
      <c r="E74" s="36" t="str">
        <f aca="false">IF(D74="Revenue","Revenue",IF(D74="Cost of Goods Sold","COGS",IF(D74="Expenditures","Expense",IF(D74="Other Revenue","Other Revenue",IF(D74="Other Expenditures","Other Expense",E73)))))</f>
        <v>Revenue</v>
      </c>
      <c r="F74" s="36" t="str">
        <f aca="false">IF(OR(D74="Revenue",D74="Cost of Goods Sold",D74="Expenditures",D74="Other Revenue",D74="Other Expenditures"),E74,IF(AND(LEN(D74)&gt;2,MID(D74,2,1)=" ",ISNUMBER(VALUE(LEFT(D74,1)))),D74,F73))</f>
        <v>4 Other Miscellaneous Income</v>
      </c>
      <c r="G74" s="36" t="n">
        <f aca="false">IF(AND(D74&lt;&gt;"",ISNUMBER(B74),LEFT(D74,9)&lt;&gt;"Total for",D74&lt;&gt;"Gross Profit",D74&lt;&gt;"Net Operating Revenue",D74&lt;&gt;"Net Other Revenue",D74&lt;&gt;"Net Revenue"),1,0)</f>
        <v>0</v>
      </c>
      <c r="H74" s="36" t="str">
        <f aca="false">IF(G74=1,IF(AND(LEN(D74)&gt;7,ISNUMBER(VALUE(LEFT(D74,6))),MID(D74,7,1)=" "),LEFT(D74,6),D74),"")</f>
        <v/>
      </c>
      <c r="I74" s="36" t="str">
        <f aca="false">IF(G74=1,IF(COUNTIF('Forecast Detail'!$C$8:$C$400,H74)=0,"UNMAPPED","OK"),"")</f>
        <v/>
      </c>
    </row>
    <row r="75" customFormat="false" ht="15" hidden="false" customHeight="false" outlineLevel="0" collapsed="false">
      <c r="A75" s="6" t="s">
        <v>292</v>
      </c>
      <c r="B75" s="11" t="n">
        <v>0</v>
      </c>
      <c r="C75" s="11" t="n">
        <f aca="false">B75</f>
        <v>0</v>
      </c>
      <c r="D75" s="36" t="str">
        <f aca="false">TRIM(A75)</f>
        <v>400086 Twas the Night Revenue</v>
      </c>
      <c r="E75" s="36" t="str">
        <f aca="false">IF(D75="Revenue","Revenue",IF(D75="Cost of Goods Sold","COGS",IF(D75="Expenditures","Expense",IF(D75="Other Revenue","Other Revenue",IF(D75="Other Expenditures","Other Expense",E74)))))</f>
        <v>Revenue</v>
      </c>
      <c r="F75" s="36" t="str">
        <f aca="false">IF(OR(D75="Revenue",D75="Cost of Goods Sold",D75="Expenditures",D75="Other Revenue",D75="Other Expenditures"),E75,IF(AND(LEN(D75)&gt;2,MID(D75,2,1)=" ",ISNUMBER(VALUE(LEFT(D75,1)))),D75,F74))</f>
        <v>4 Other Miscellaneous Income</v>
      </c>
      <c r="G75" s="36" t="n">
        <f aca="false">IF(AND(D75&lt;&gt;"",ISNUMBER(B75),LEFT(D75,9)&lt;&gt;"Total for",D75&lt;&gt;"Gross Profit",D75&lt;&gt;"Net Operating Revenue",D75&lt;&gt;"Net Other Revenue",D75&lt;&gt;"Net Revenue"),1,0)</f>
        <v>1</v>
      </c>
      <c r="H75" s="36" t="str">
        <f aca="false">IF(G75=1,IF(AND(LEN(D75)&gt;7,ISNUMBER(VALUE(LEFT(D75,6))),MID(D75,7,1)=" "),LEFT(D75,6),D75),"")</f>
        <v>400086</v>
      </c>
      <c r="I75" s="36" t="str">
        <f aca="false">IF(G75=1,IF(COUNTIF('Forecast Detail'!$C$8:$C$400,H75)=0,"UNMAPPED","OK"),"")</f>
        <v>OK</v>
      </c>
    </row>
    <row r="76" customFormat="false" ht="15" hidden="false" customHeight="false" outlineLevel="0" collapsed="false">
      <c r="A76" s="6" t="s">
        <v>294</v>
      </c>
      <c r="B76" s="11" t="n">
        <v>0</v>
      </c>
      <c r="C76" s="11" t="n">
        <f aca="false">B76</f>
        <v>0</v>
      </c>
      <c r="D76" s="36" t="str">
        <f aca="false">TRIM(A76)</f>
        <v>400200 Twas the Night Costs Contra</v>
      </c>
      <c r="E76" s="36" t="str">
        <f aca="false">IF(D76="Revenue","Revenue",IF(D76="Cost of Goods Sold","COGS",IF(D76="Expenditures","Expense",IF(D76="Other Revenue","Other Revenue",IF(D76="Other Expenditures","Other Expense",E75)))))</f>
        <v>Revenue</v>
      </c>
      <c r="F76" s="36" t="str">
        <f aca="false">IF(OR(D76="Revenue",D76="Cost of Goods Sold",D76="Expenditures",D76="Other Revenue",D76="Other Expenditures"),E76,IF(AND(LEN(D76)&gt;2,MID(D76,2,1)=" ",ISNUMBER(VALUE(LEFT(D76,1)))),D76,F75))</f>
        <v>4 Other Miscellaneous Income</v>
      </c>
      <c r="G76" s="36" t="n">
        <f aca="false">IF(AND(D76&lt;&gt;"",ISNUMBER(B76),LEFT(D76,9)&lt;&gt;"Total for",D76&lt;&gt;"Gross Profit",D76&lt;&gt;"Net Operating Revenue",D76&lt;&gt;"Net Other Revenue",D76&lt;&gt;"Net Revenue"),1,0)</f>
        <v>1</v>
      </c>
      <c r="H76" s="36" t="str">
        <f aca="false">IF(G76=1,IF(AND(LEN(D76)&gt;7,ISNUMBER(VALUE(LEFT(D76,6))),MID(D76,7,1)=" "),LEFT(D76,6),D76),"")</f>
        <v>400200</v>
      </c>
      <c r="I76" s="36" t="str">
        <f aca="false">IF(G76=1,IF(COUNTIF('Forecast Detail'!$C$8:$C$400,H76)=0,"UNMAPPED","OK"),"")</f>
        <v>OK</v>
      </c>
    </row>
    <row r="77" customFormat="false" ht="15" hidden="false" customHeight="false" outlineLevel="0" collapsed="false">
      <c r="A77" s="6" t="s">
        <v>641</v>
      </c>
      <c r="B77" s="11" t="n">
        <f aca="false">B74+B75+B76</f>
        <v>0</v>
      </c>
      <c r="C77" s="11" t="n">
        <f aca="false">B77</f>
        <v>0</v>
      </c>
      <c r="D77" s="36" t="str">
        <f aca="false">TRIM(A77)</f>
        <v>Total for Net Revenue Twas the Night</v>
      </c>
      <c r="E77" s="36" t="str">
        <f aca="false">IF(D77="Revenue","Revenue",IF(D77="Cost of Goods Sold","COGS",IF(D77="Expenditures","Expense",IF(D77="Other Revenue","Other Revenue",IF(D77="Other Expenditures","Other Expense",E76)))))</f>
        <v>Revenue</v>
      </c>
      <c r="F77" s="36" t="str">
        <f aca="false">IF(OR(D77="Revenue",D77="Cost of Goods Sold",D77="Expenditures",D77="Other Revenue",D77="Other Expenditures"),E77,IF(AND(LEN(D77)&gt;2,MID(D77,2,1)=" ",ISNUMBER(VALUE(LEFT(D77,1)))),D77,F76))</f>
        <v>4 Other Miscellaneous Income</v>
      </c>
      <c r="G77" s="36" t="n">
        <f aca="false">IF(AND(D77&lt;&gt;"",ISNUMBER(B77),LEFT(D77,9)&lt;&gt;"Total for",D77&lt;&gt;"Gross Profit",D77&lt;&gt;"Net Operating Revenue",D77&lt;&gt;"Net Other Revenue",D77&lt;&gt;"Net Revenue"),1,0)</f>
        <v>0</v>
      </c>
      <c r="H77" s="36" t="str">
        <f aca="false">IF(G77=1,IF(AND(LEN(D77)&gt;7,ISNUMBER(VALUE(LEFT(D77,6))),MID(D77,7,1)=" "),LEFT(D77,6),D77),"")</f>
        <v/>
      </c>
      <c r="I77" s="36" t="str">
        <f aca="false">IF(G77=1,IF(COUNTIF('Forecast Detail'!$C$8:$C$400,H77)=0,"UNMAPPED","OK"),"")</f>
        <v/>
      </c>
    </row>
    <row r="78" customFormat="false" ht="15" hidden="false" customHeight="false" outlineLevel="0" collapsed="false">
      <c r="A78" s="6" t="s">
        <v>642</v>
      </c>
      <c r="B78" s="11" t="n">
        <f aca="false">B54+B55+B56+B57+B58+B59+B60+B61+B62+B63+B64+B65+B66+B67+B73+B77</f>
        <v>60000</v>
      </c>
      <c r="C78" s="11" t="n">
        <f aca="false">B78</f>
        <v>60000</v>
      </c>
      <c r="D78" s="36" t="str">
        <f aca="false">TRIM(A78)</f>
        <v>Total for 4 Other Miscellaneous Income</v>
      </c>
      <c r="E78" s="36" t="str">
        <f aca="false">IF(D78="Revenue","Revenue",IF(D78="Cost of Goods Sold","COGS",IF(D78="Expenditures","Expense",IF(D78="Other Revenue","Other Revenue",IF(D78="Other Expenditures","Other Expense",E77)))))</f>
        <v>Revenue</v>
      </c>
      <c r="F78" s="36" t="str">
        <f aca="false">IF(OR(D78="Revenue",D78="Cost of Goods Sold",D78="Expenditures",D78="Other Revenue",D78="Other Expenditures"),E78,IF(AND(LEN(D78)&gt;2,MID(D78,2,1)=" ",ISNUMBER(VALUE(LEFT(D78,1)))),D78,F77))</f>
        <v>4 Other Miscellaneous Income</v>
      </c>
      <c r="G78" s="36" t="n">
        <f aca="false">IF(AND(D78&lt;&gt;"",ISNUMBER(B78),LEFT(D78,9)&lt;&gt;"Total for",D78&lt;&gt;"Gross Profit",D78&lt;&gt;"Net Operating Revenue",D78&lt;&gt;"Net Other Revenue",D78&lt;&gt;"Net Revenue"),1,0)</f>
        <v>0</v>
      </c>
      <c r="H78" s="36" t="str">
        <f aca="false">IF(G78=1,IF(AND(LEN(D78)&gt;7,ISNUMBER(VALUE(LEFT(D78,6))),MID(D78,7,1)=" "),LEFT(D78,6),D78),"")</f>
        <v/>
      </c>
      <c r="I78" s="36" t="str">
        <f aca="false">IF(G78=1,IF(COUNTIF('Forecast Detail'!$C$8:$C$400,H78)=0,"UNMAPPED","OK"),"")</f>
        <v/>
      </c>
    </row>
    <row r="79" customFormat="false" ht="15" hidden="false" customHeight="false" outlineLevel="0" collapsed="false">
      <c r="A79" s="6" t="s">
        <v>11</v>
      </c>
      <c r="B79" s="11" t="n">
        <v>0</v>
      </c>
      <c r="C79" s="11" t="n">
        <f aca="false">B79</f>
        <v>0</v>
      </c>
      <c r="D79" s="36" t="str">
        <f aca="false">TRIM(A79)</f>
        <v>5 Athletic Income</v>
      </c>
      <c r="E79" s="36" t="str">
        <f aca="false">IF(D79="Revenue","Revenue",IF(D79="Cost of Goods Sold","COGS",IF(D79="Expenditures","Expense",IF(D79="Other Revenue","Other Revenue",IF(D79="Other Expenditures","Other Expense",E78)))))</f>
        <v>Revenue</v>
      </c>
      <c r="F79" s="36" t="str">
        <f aca="false">IF(OR(D79="Revenue",D79="Cost of Goods Sold",D79="Expenditures",D79="Other Revenue",D79="Other Expenditures"),E79,IF(AND(LEN(D79)&gt;2,MID(D79,2,1)=" ",ISNUMBER(VALUE(LEFT(D79,1)))),D79,F78))</f>
        <v>5 Athletic Income</v>
      </c>
      <c r="G79" s="36" t="n">
        <f aca="false">IF(AND(D79&lt;&gt;"",ISNUMBER(B79),LEFT(D79,9)&lt;&gt;"Total for",D79&lt;&gt;"Gross Profit",D79&lt;&gt;"Net Operating Revenue",D79&lt;&gt;"Net Other Revenue",D79&lt;&gt;"Net Revenue"),1,0)</f>
        <v>1</v>
      </c>
      <c r="H79" s="36" t="str">
        <f aca="false">IF(G79=1,IF(AND(LEN(D79)&gt;7,ISNUMBER(VALUE(LEFT(D79,6))),MID(D79,7,1)=" "),LEFT(D79,6),D79),"")</f>
        <v>5 Athletic Income</v>
      </c>
      <c r="I79" s="36" t="str">
        <f aca="false">IF(G79=1,IF(COUNTIF('Forecast Detail'!$C$8:$C$400,H79)=0,"UNMAPPED","OK"),"")</f>
        <v>OK</v>
      </c>
    </row>
    <row r="80" customFormat="false" ht="15" hidden="false" customHeight="false" outlineLevel="0" collapsed="false">
      <c r="A80" s="6" t="s">
        <v>643</v>
      </c>
      <c r="B80" s="11" t="n">
        <f aca="false">B5+B33+B53+B78+B79</f>
        <v>9304382</v>
      </c>
      <c r="C80" s="11" t="n">
        <f aca="false">B80</f>
        <v>9304382</v>
      </c>
      <c r="D80" s="36" t="str">
        <f aca="false">TRIM(A80)</f>
        <v>Total for Revenue</v>
      </c>
      <c r="E80" s="36" t="str">
        <f aca="false">IF(D80="Revenue","Revenue",IF(D80="Cost of Goods Sold","COGS",IF(D80="Expenditures","Expense",IF(D80="Other Revenue","Other Revenue",IF(D80="Other Expenditures","Other Expense",E79)))))</f>
        <v>Revenue</v>
      </c>
      <c r="F80" s="36" t="str">
        <f aca="false">IF(OR(D80="Revenue",D80="Cost of Goods Sold",D80="Expenditures",D80="Other Revenue",D80="Other Expenditures"),E80,IF(AND(LEN(D80)&gt;2,MID(D80,2,1)=" ",ISNUMBER(VALUE(LEFT(D80,1)))),D80,F79))</f>
        <v>5 Athletic Income</v>
      </c>
      <c r="G80" s="36" t="n">
        <f aca="false">IF(AND(D80&lt;&gt;"",ISNUMBER(B80),LEFT(D80,9)&lt;&gt;"Total for",D80&lt;&gt;"Gross Profit",D80&lt;&gt;"Net Operating Revenue",D80&lt;&gt;"Net Other Revenue",D80&lt;&gt;"Net Revenue"),1,0)</f>
        <v>0</v>
      </c>
      <c r="H80" s="36" t="str">
        <f aca="false">IF(G80=1,IF(AND(LEN(D80)&gt;7,ISNUMBER(VALUE(LEFT(D80,6))),MID(D80,7,1)=" "),LEFT(D80,6),D80),"")</f>
        <v/>
      </c>
      <c r="I80" s="36" t="str">
        <f aca="false">IF(G80=1,IF(COUNTIF('Forecast Detail'!$C$8:$C$400,H80)=0,"UNMAPPED","OK"),"")</f>
        <v/>
      </c>
    </row>
    <row r="81" customFormat="false" ht="15" hidden="false" customHeight="false" outlineLevel="0" collapsed="false">
      <c r="A81" s="6" t="s">
        <v>644</v>
      </c>
      <c r="D81" s="36" t="str">
        <f aca="false">TRIM(A81)</f>
        <v>Cost of Goods Sold</v>
      </c>
      <c r="E81" s="36" t="str">
        <f aca="false">IF(D81="Revenue","Revenue",IF(D81="Cost of Goods Sold","COGS",IF(D81="Expenditures","Expense",IF(D81="Other Revenue","Other Revenue",IF(D81="Other Expenditures","Other Expense",E80)))))</f>
        <v>COGS</v>
      </c>
      <c r="F81" s="36" t="str">
        <f aca="false">IF(OR(D81="Revenue",D81="Cost of Goods Sold",D81="Expenditures",D81="Other Revenue",D81="Other Expenditures"),E81,IF(AND(LEN(D81)&gt;2,MID(D81,2,1)=" ",ISNUMBER(VALUE(LEFT(D81,1)))),D81,F80))</f>
        <v>COGS</v>
      </c>
      <c r="G81" s="36" t="n">
        <f aca="false">IF(AND(D81&lt;&gt;"",ISNUMBER(B81),LEFT(D81,9)&lt;&gt;"Total for",D81&lt;&gt;"Gross Profit",D81&lt;&gt;"Net Operating Revenue",D81&lt;&gt;"Net Other Revenue",D81&lt;&gt;"Net Revenue"),1,0)</f>
        <v>0</v>
      </c>
      <c r="H81" s="36" t="str">
        <f aca="false">IF(G81=1,IF(AND(LEN(D81)&gt;7,ISNUMBER(VALUE(LEFT(D81,6))),MID(D81,7,1)=" "),LEFT(D81,6),D81),"")</f>
        <v/>
      </c>
      <c r="I81" s="36" t="str">
        <f aca="false">IF(G81=1,IF(COUNTIF('Forecast Detail'!$C$8:$C$400,H81)=0,"UNMAPPED","OK"),"")</f>
        <v/>
      </c>
    </row>
    <row r="82" customFormat="false" ht="15" hidden="false" customHeight="false" outlineLevel="0" collapsed="false">
      <c r="A82" s="6" t="s">
        <v>645</v>
      </c>
      <c r="B82" s="11" t="n">
        <f aca="false">B80-B81</f>
        <v>9304382</v>
      </c>
      <c r="C82" s="11" t="n">
        <f aca="false">B82</f>
        <v>9304382</v>
      </c>
      <c r="D82" s="36" t="str">
        <f aca="false">TRIM(A82)</f>
        <v>Gross Profit</v>
      </c>
      <c r="E82" s="36" t="str">
        <f aca="false">IF(D82="Revenue","Revenue",IF(D82="Cost of Goods Sold","COGS",IF(D82="Expenditures","Expense",IF(D82="Other Revenue","Other Revenue",IF(D82="Other Expenditures","Other Expense",E81)))))</f>
        <v>COGS</v>
      </c>
      <c r="F82" s="36" t="str">
        <f aca="false">IF(OR(D82="Revenue",D82="Cost of Goods Sold",D82="Expenditures",D82="Other Revenue",D82="Other Expenditures"),E82,IF(AND(LEN(D82)&gt;2,MID(D82,2,1)=" ",ISNUMBER(VALUE(LEFT(D82,1)))),D82,F81))</f>
        <v>COGS</v>
      </c>
      <c r="G82" s="36" t="n">
        <f aca="false">IF(AND(D82&lt;&gt;"",ISNUMBER(B82),LEFT(D82,9)&lt;&gt;"Total for",D82&lt;&gt;"Gross Profit",D82&lt;&gt;"Net Operating Revenue",D82&lt;&gt;"Net Other Revenue",D82&lt;&gt;"Net Revenue"),1,0)</f>
        <v>0</v>
      </c>
      <c r="H82" s="36" t="str">
        <f aca="false">IF(G82=1,IF(AND(LEN(D82)&gt;7,ISNUMBER(VALUE(LEFT(D82,6))),MID(D82,7,1)=" "),LEFT(D82,6),D82),"")</f>
        <v/>
      </c>
      <c r="I82" s="36" t="str">
        <f aca="false">IF(G82=1,IF(COUNTIF('Forecast Detail'!$C$8:$C$400,H82)=0,"UNMAPPED","OK"),"")</f>
        <v/>
      </c>
    </row>
    <row r="83" customFormat="false" ht="15" hidden="false" customHeight="false" outlineLevel="0" collapsed="false">
      <c r="A83" s="6" t="s">
        <v>646</v>
      </c>
      <c r="D83" s="36" t="str">
        <f aca="false">TRIM(A83)</f>
        <v>Expenditures</v>
      </c>
      <c r="E83" s="36" t="str">
        <f aca="false">IF(D83="Revenue","Revenue",IF(D83="Cost of Goods Sold","COGS",IF(D83="Expenditures","Expense",IF(D83="Other Revenue","Other Revenue",IF(D83="Other Expenditures","Other Expense",E82)))))</f>
        <v>Expense</v>
      </c>
      <c r="F83" s="36" t="str">
        <f aca="false">IF(OR(D83="Revenue",D83="Cost of Goods Sold",D83="Expenditures",D83="Other Revenue",D83="Other Expenditures"),E83,IF(AND(LEN(D83)&gt;2,MID(D83,2,1)=" ",ISNUMBER(VALUE(LEFT(D83,1)))),D83,F82))</f>
        <v>Expense</v>
      </c>
      <c r="G83" s="36" t="n">
        <f aca="false">IF(AND(D83&lt;&gt;"",ISNUMBER(B83),LEFT(D83,9)&lt;&gt;"Total for",D83&lt;&gt;"Gross Profit",D83&lt;&gt;"Net Operating Revenue",D83&lt;&gt;"Net Other Revenue",D83&lt;&gt;"Net Revenue"),1,0)</f>
        <v>0</v>
      </c>
      <c r="H83" s="36" t="str">
        <f aca="false">IF(G83=1,IF(AND(LEN(D83)&gt;7,ISNUMBER(VALUE(LEFT(D83,6))),MID(D83,7,1)=" "),LEFT(D83,6),D83),"")</f>
        <v/>
      </c>
      <c r="I83" s="36" t="str">
        <f aca="false">IF(G83=1,IF(COUNTIF('Forecast Detail'!$C$8:$C$400,H83)=0,"UNMAPPED","OK"),"")</f>
        <v/>
      </c>
    </row>
    <row r="84" customFormat="false" ht="15" hidden="false" customHeight="false" outlineLevel="0" collapsed="false">
      <c r="A84" s="6" t="s">
        <v>14</v>
      </c>
      <c r="D84" s="36" t="str">
        <f aca="false">TRIM(A84)</f>
        <v>1 Salaries and Benefits</v>
      </c>
      <c r="E84" s="36" t="str">
        <f aca="false">IF(D84="Revenue","Revenue",IF(D84="Cost of Goods Sold","COGS",IF(D84="Expenditures","Expense",IF(D84="Other Revenue","Other Revenue",IF(D84="Other Expenditures","Other Expense",E83)))))</f>
        <v>Expense</v>
      </c>
      <c r="F84" s="36" t="str">
        <f aca="false">IF(OR(D84="Revenue",D84="Cost of Goods Sold",D84="Expenditures",D84="Other Revenue",D84="Other Expenditures"),E84,IF(AND(LEN(D84)&gt;2,MID(D84,2,1)=" ",ISNUMBER(VALUE(LEFT(D84,1)))),D84,F83))</f>
        <v>1 Salaries and Benefits</v>
      </c>
      <c r="G84" s="36" t="n">
        <f aca="false">IF(AND(D84&lt;&gt;"",ISNUMBER(B84),LEFT(D84,9)&lt;&gt;"Total for",D84&lt;&gt;"Gross Profit",D84&lt;&gt;"Net Operating Revenue",D84&lt;&gt;"Net Other Revenue",D84&lt;&gt;"Net Revenue"),1,0)</f>
        <v>0</v>
      </c>
      <c r="H84" s="36" t="str">
        <f aca="false">IF(G84=1,IF(AND(LEN(D84)&gt;7,ISNUMBER(VALUE(LEFT(D84,6))),MID(D84,7,1)=" "),LEFT(D84,6),D84),"")</f>
        <v/>
      </c>
      <c r="I84" s="36" t="str">
        <f aca="false">IF(G84=1,IF(COUNTIF('Forecast Detail'!$C$8:$C$400,H84)=0,"UNMAPPED","OK"),"")</f>
        <v/>
      </c>
    </row>
    <row r="85" customFormat="false" ht="15" hidden="false" customHeight="false" outlineLevel="0" collapsed="false">
      <c r="A85" s="6" t="s">
        <v>297</v>
      </c>
      <c r="B85" s="11" t="n">
        <v>138720</v>
      </c>
      <c r="C85" s="11" t="n">
        <f aca="false">B85</f>
        <v>138720</v>
      </c>
      <c r="D85" s="36" t="str">
        <f aca="false">TRIM(A85)</f>
        <v>500267 Expenses for 401K plan</v>
      </c>
      <c r="E85" s="36" t="str">
        <f aca="false">IF(D85="Revenue","Revenue",IF(D85="Cost of Goods Sold","COGS",IF(D85="Expenditures","Expense",IF(D85="Other Revenue","Other Revenue",IF(D85="Other Expenditures","Other Expense",E84)))))</f>
        <v>Expense</v>
      </c>
      <c r="F85" s="36" t="str">
        <f aca="false">IF(OR(D85="Revenue",D85="Cost of Goods Sold",D85="Expenditures",D85="Other Revenue",D85="Other Expenditures"),E85,IF(AND(LEN(D85)&gt;2,MID(D85,2,1)=" ",ISNUMBER(VALUE(LEFT(D85,1)))),D85,F84))</f>
        <v>1 Salaries and Benefits</v>
      </c>
      <c r="G85" s="36" t="n">
        <f aca="false">IF(AND(D85&lt;&gt;"",ISNUMBER(B85),LEFT(D85,9)&lt;&gt;"Total for",D85&lt;&gt;"Gross Profit",D85&lt;&gt;"Net Operating Revenue",D85&lt;&gt;"Net Other Revenue",D85&lt;&gt;"Net Revenue"),1,0)</f>
        <v>1</v>
      </c>
      <c r="H85" s="36" t="str">
        <f aca="false">IF(G85=1,IF(AND(LEN(D85)&gt;7,ISNUMBER(VALUE(LEFT(D85,6))),MID(D85,7,1)=" "),LEFT(D85,6),D85),"")</f>
        <v>500267</v>
      </c>
      <c r="I85" s="36" t="str">
        <f aca="false">IF(G85=1,IF(COUNTIF('Forecast Detail'!$C$8:$C$400,H85)=0,"UNMAPPED","OK"),"")</f>
        <v>OK</v>
      </c>
    </row>
    <row r="86" customFormat="false" ht="15" hidden="false" customHeight="false" outlineLevel="0" collapsed="false">
      <c r="A86" s="6" t="s">
        <v>300</v>
      </c>
      <c r="B86" s="11" t="n">
        <v>285000</v>
      </c>
      <c r="C86" s="11" t="n">
        <f aca="false">B86</f>
        <v>285000</v>
      </c>
      <c r="D86" s="36" t="str">
        <f aca="false">TRIM(A86)</f>
        <v>500268 Medical Insurance Expense</v>
      </c>
      <c r="E86" s="36" t="str">
        <f aca="false">IF(D86="Revenue","Revenue",IF(D86="Cost of Goods Sold","COGS",IF(D86="Expenditures","Expense",IF(D86="Other Revenue","Other Revenue",IF(D86="Other Expenditures","Other Expense",E85)))))</f>
        <v>Expense</v>
      </c>
      <c r="F86" s="36" t="str">
        <f aca="false">IF(OR(D86="Revenue",D86="Cost of Goods Sold",D86="Expenditures",D86="Other Revenue",D86="Other Expenditures"),E86,IF(AND(LEN(D86)&gt;2,MID(D86,2,1)=" ",ISNUMBER(VALUE(LEFT(D86,1)))),D86,F85))</f>
        <v>1 Salaries and Benefits</v>
      </c>
      <c r="G86" s="36" t="n">
        <f aca="false">IF(AND(D86&lt;&gt;"",ISNUMBER(B86),LEFT(D86,9)&lt;&gt;"Total for",D86&lt;&gt;"Gross Profit",D86&lt;&gt;"Net Operating Revenue",D86&lt;&gt;"Net Other Revenue",D86&lt;&gt;"Net Revenue"),1,0)</f>
        <v>1</v>
      </c>
      <c r="H86" s="36" t="str">
        <f aca="false">IF(G86=1,IF(AND(LEN(D86)&gt;7,ISNUMBER(VALUE(LEFT(D86,6))),MID(D86,7,1)=" "),LEFT(D86,6),D86),"")</f>
        <v>500268</v>
      </c>
      <c r="I86" s="36" t="str">
        <f aca="false">IF(G86=1,IF(COUNTIF('Forecast Detail'!$C$8:$C$400,H86)=0,"UNMAPPED","OK"),"")</f>
        <v>OK</v>
      </c>
    </row>
    <row r="87" customFormat="false" ht="15" hidden="false" customHeight="false" outlineLevel="0" collapsed="false">
      <c r="A87" s="6" t="s">
        <v>303</v>
      </c>
      <c r="B87" s="11" t="n">
        <v>10000</v>
      </c>
      <c r="C87" s="11" t="n">
        <f aca="false">B87</f>
        <v>10000</v>
      </c>
      <c r="D87" s="36" t="str">
        <f aca="false">TRIM(A87)</f>
        <v>500269 Dental/Life Insurance Expense</v>
      </c>
      <c r="E87" s="36" t="str">
        <f aca="false">IF(D87="Revenue","Revenue",IF(D87="Cost of Goods Sold","COGS",IF(D87="Expenditures","Expense",IF(D87="Other Revenue","Other Revenue",IF(D87="Other Expenditures","Other Expense",E86)))))</f>
        <v>Expense</v>
      </c>
      <c r="F87" s="36" t="str">
        <f aca="false">IF(OR(D87="Revenue",D87="Cost of Goods Sold",D87="Expenditures",D87="Other Revenue",D87="Other Expenditures"),E87,IF(AND(LEN(D87)&gt;2,MID(D87,2,1)=" ",ISNUMBER(VALUE(LEFT(D87,1)))),D87,F86))</f>
        <v>1 Salaries and Benefits</v>
      </c>
      <c r="G87" s="36" t="n">
        <f aca="false">IF(AND(D87&lt;&gt;"",ISNUMBER(B87),LEFT(D87,9)&lt;&gt;"Total for",D87&lt;&gt;"Gross Profit",D87&lt;&gt;"Net Operating Revenue",D87&lt;&gt;"Net Other Revenue",D87&lt;&gt;"Net Revenue"),1,0)</f>
        <v>1</v>
      </c>
      <c r="H87" s="36" t="str">
        <f aca="false">IF(G87=1,IF(AND(LEN(D87)&gt;7,ISNUMBER(VALUE(LEFT(D87,6))),MID(D87,7,1)=" "),LEFT(D87,6),D87),"")</f>
        <v>500269</v>
      </c>
      <c r="I87" s="36" t="str">
        <f aca="false">IF(G87=1,IF(COUNTIF('Forecast Detail'!$C$8:$C$400,H87)=0,"UNMAPPED","OK"),"")</f>
        <v>OK</v>
      </c>
    </row>
    <row r="88" customFormat="false" ht="15" hidden="false" customHeight="false" outlineLevel="0" collapsed="false">
      <c r="A88" s="6" t="s">
        <v>305</v>
      </c>
      <c r="B88" s="11" t="n">
        <v>329889</v>
      </c>
      <c r="C88" s="11" t="n">
        <f aca="false">B88</f>
        <v>329889</v>
      </c>
      <c r="D88" s="36" t="str">
        <f aca="false">TRIM(A88)</f>
        <v>500270 Staff Tuition Benefits</v>
      </c>
      <c r="E88" s="36" t="str">
        <f aca="false">IF(D88="Revenue","Revenue",IF(D88="Cost of Goods Sold","COGS",IF(D88="Expenditures","Expense",IF(D88="Other Revenue","Other Revenue",IF(D88="Other Expenditures","Other Expense",E87)))))</f>
        <v>Expense</v>
      </c>
      <c r="F88" s="36" t="str">
        <f aca="false">IF(OR(D88="Revenue",D88="Cost of Goods Sold",D88="Expenditures",D88="Other Revenue",D88="Other Expenditures"),E88,IF(AND(LEN(D88)&gt;2,MID(D88,2,1)=" ",ISNUMBER(VALUE(LEFT(D88,1)))),D88,F87))</f>
        <v>1 Salaries and Benefits</v>
      </c>
      <c r="G88" s="36" t="n">
        <f aca="false">IF(AND(D88&lt;&gt;"",ISNUMBER(B88),LEFT(D88,9)&lt;&gt;"Total for",D88&lt;&gt;"Gross Profit",D88&lt;&gt;"Net Operating Revenue",D88&lt;&gt;"Net Other Revenue",D88&lt;&gt;"Net Revenue"),1,0)</f>
        <v>1</v>
      </c>
      <c r="H88" s="36" t="str">
        <f aca="false">IF(G88=1,IF(AND(LEN(D88)&gt;7,ISNUMBER(VALUE(LEFT(D88,6))),MID(D88,7,1)=" "),LEFT(D88,6),D88),"")</f>
        <v>500270</v>
      </c>
      <c r="I88" s="36" t="str">
        <f aca="false">IF(G88=1,IF(COUNTIF('Forecast Detail'!$C$8:$C$400,H88)=0,"UNMAPPED","OK"),"")</f>
        <v>OK</v>
      </c>
    </row>
    <row r="89" customFormat="false" ht="15" hidden="false" customHeight="false" outlineLevel="0" collapsed="false">
      <c r="A89" s="6" t="s">
        <v>307</v>
      </c>
      <c r="B89" s="11" t="n">
        <v>0</v>
      </c>
      <c r="C89" s="11" t="n">
        <f aca="false">B89</f>
        <v>0</v>
      </c>
      <c r="D89" s="36" t="str">
        <f aca="false">TRIM(A89)</f>
        <v>500271 Staff Benefit After School Care</v>
      </c>
      <c r="E89" s="36" t="str">
        <f aca="false">IF(D89="Revenue","Revenue",IF(D89="Cost of Goods Sold","COGS",IF(D89="Expenditures","Expense",IF(D89="Other Revenue","Other Revenue",IF(D89="Other Expenditures","Other Expense",E88)))))</f>
        <v>Expense</v>
      </c>
      <c r="F89" s="36" t="str">
        <f aca="false">IF(OR(D89="Revenue",D89="Cost of Goods Sold",D89="Expenditures",D89="Other Revenue",D89="Other Expenditures"),E89,IF(AND(LEN(D89)&gt;2,MID(D89,2,1)=" ",ISNUMBER(VALUE(LEFT(D89,1)))),D89,F88))</f>
        <v>1 Salaries and Benefits</v>
      </c>
      <c r="G89" s="36" t="n">
        <f aca="false">IF(AND(D89&lt;&gt;"",ISNUMBER(B89),LEFT(D89,9)&lt;&gt;"Total for",D89&lt;&gt;"Gross Profit",D89&lt;&gt;"Net Operating Revenue",D89&lt;&gt;"Net Other Revenue",D89&lt;&gt;"Net Revenue"),1,0)</f>
        <v>1</v>
      </c>
      <c r="H89" s="36" t="str">
        <f aca="false">IF(G89=1,IF(AND(LEN(D89)&gt;7,ISNUMBER(VALUE(LEFT(D89,6))),MID(D89,7,1)=" "),LEFT(D89,6),D89),"")</f>
        <v>500271</v>
      </c>
      <c r="I89" s="36" t="str">
        <f aca="false">IF(G89=1,IF(COUNTIF('Forecast Detail'!$C$8:$C$400,H89)=0,"UNMAPPED","OK"),"")</f>
        <v>OK</v>
      </c>
    </row>
    <row r="90" customFormat="false" ht="15" hidden="false" customHeight="false" outlineLevel="0" collapsed="false">
      <c r="A90" s="6" t="s">
        <v>309</v>
      </c>
      <c r="B90" s="11" t="n">
        <v>6000</v>
      </c>
      <c r="C90" s="11" t="n">
        <f aca="false">B90</f>
        <v>6000</v>
      </c>
      <c r="D90" s="36" t="str">
        <f aca="false">TRIM(A90)</f>
        <v>500272 Head of School Auto Allowance</v>
      </c>
      <c r="E90" s="36" t="str">
        <f aca="false">IF(D90="Revenue","Revenue",IF(D90="Cost of Goods Sold","COGS",IF(D90="Expenditures","Expense",IF(D90="Other Revenue","Other Revenue",IF(D90="Other Expenditures","Other Expense",E89)))))</f>
        <v>Expense</v>
      </c>
      <c r="F90" s="36" t="str">
        <f aca="false">IF(OR(D90="Revenue",D90="Cost of Goods Sold",D90="Expenditures",D90="Other Revenue",D90="Other Expenditures"),E90,IF(AND(LEN(D90)&gt;2,MID(D90,2,1)=" ",ISNUMBER(VALUE(LEFT(D90,1)))),D90,F89))</f>
        <v>1 Salaries and Benefits</v>
      </c>
      <c r="G90" s="36" t="n">
        <f aca="false">IF(AND(D90&lt;&gt;"",ISNUMBER(B90),LEFT(D90,9)&lt;&gt;"Total for",D90&lt;&gt;"Gross Profit",D90&lt;&gt;"Net Operating Revenue",D90&lt;&gt;"Net Other Revenue",D90&lt;&gt;"Net Revenue"),1,0)</f>
        <v>1</v>
      </c>
      <c r="H90" s="36" t="str">
        <f aca="false">IF(G90=1,IF(AND(LEN(D90)&gt;7,ISNUMBER(VALUE(LEFT(D90,6))),MID(D90,7,1)=" "),LEFT(D90,6),D90),"")</f>
        <v>500272</v>
      </c>
      <c r="I90" s="36" t="str">
        <f aca="false">IF(G90=1,IF(COUNTIF('Forecast Detail'!$C$8:$C$400,H90)=0,"UNMAPPED","OK"),"")</f>
        <v>OK</v>
      </c>
    </row>
    <row r="91" customFormat="false" ht="15" hidden="false" customHeight="false" outlineLevel="0" collapsed="false">
      <c r="A91" s="6" t="s">
        <v>311</v>
      </c>
      <c r="B91" s="11" t="n">
        <v>0</v>
      </c>
      <c r="C91" s="11" t="n">
        <f aca="false">B91</f>
        <v>0</v>
      </c>
      <c r="D91" s="36" t="str">
        <f aca="false">TRIM(A91)</f>
        <v>500273 State Unemployment Insurance</v>
      </c>
      <c r="E91" s="36" t="str">
        <f aca="false">IF(D91="Revenue","Revenue",IF(D91="Cost of Goods Sold","COGS",IF(D91="Expenditures","Expense",IF(D91="Other Revenue","Other Revenue",IF(D91="Other Expenditures","Other Expense",E90)))))</f>
        <v>Expense</v>
      </c>
      <c r="F91" s="36" t="str">
        <f aca="false">IF(OR(D91="Revenue",D91="Cost of Goods Sold",D91="Expenditures",D91="Other Revenue",D91="Other Expenditures"),E91,IF(AND(LEN(D91)&gt;2,MID(D91,2,1)=" ",ISNUMBER(VALUE(LEFT(D91,1)))),D91,F90))</f>
        <v>1 Salaries and Benefits</v>
      </c>
      <c r="G91" s="36" t="n">
        <f aca="false">IF(AND(D91&lt;&gt;"",ISNUMBER(B91),LEFT(D91,9)&lt;&gt;"Total for",D91&lt;&gt;"Gross Profit",D91&lt;&gt;"Net Operating Revenue",D91&lt;&gt;"Net Other Revenue",D91&lt;&gt;"Net Revenue"),1,0)</f>
        <v>1</v>
      </c>
      <c r="H91" s="36" t="str">
        <f aca="false">IF(G91=1,IF(AND(LEN(D91)&gt;7,ISNUMBER(VALUE(LEFT(D91,6))),MID(D91,7,1)=" "),LEFT(D91,6),D91),"")</f>
        <v>500273</v>
      </c>
      <c r="I91" s="36" t="str">
        <f aca="false">IF(G91=1,IF(COUNTIF('Forecast Detail'!$C$8:$C$400,H91)=0,"UNMAPPED","OK"),"")</f>
        <v>OK</v>
      </c>
    </row>
    <row r="92" customFormat="false" ht="15" hidden="false" customHeight="false" outlineLevel="0" collapsed="false">
      <c r="A92" s="6" t="s">
        <v>313</v>
      </c>
      <c r="B92" s="11" t="n">
        <v>385500</v>
      </c>
      <c r="C92" s="11" t="n">
        <f aca="false">B92</f>
        <v>385500</v>
      </c>
      <c r="D92" s="36" t="str">
        <f aca="false">TRIM(A92)</f>
        <v>500274 Federal Payroll Taxes</v>
      </c>
      <c r="E92" s="36" t="str">
        <f aca="false">IF(D92="Revenue","Revenue",IF(D92="Cost of Goods Sold","COGS",IF(D92="Expenditures","Expense",IF(D92="Other Revenue","Other Revenue",IF(D92="Other Expenditures","Other Expense",E91)))))</f>
        <v>Expense</v>
      </c>
      <c r="F92" s="36" t="str">
        <f aca="false">IF(OR(D92="Revenue",D92="Cost of Goods Sold",D92="Expenditures",D92="Other Revenue",D92="Other Expenditures"),E92,IF(AND(LEN(D92)&gt;2,MID(D92,2,1)=" ",ISNUMBER(VALUE(LEFT(D92,1)))),D92,F91))</f>
        <v>1 Salaries and Benefits</v>
      </c>
      <c r="G92" s="36" t="n">
        <f aca="false">IF(AND(D92&lt;&gt;"",ISNUMBER(B92),LEFT(D92,9)&lt;&gt;"Total for",D92&lt;&gt;"Gross Profit",D92&lt;&gt;"Net Operating Revenue",D92&lt;&gt;"Net Other Revenue",D92&lt;&gt;"Net Revenue"),1,0)</f>
        <v>1</v>
      </c>
      <c r="H92" s="36" t="str">
        <f aca="false">IF(G92=1,IF(AND(LEN(D92)&gt;7,ISNUMBER(VALUE(LEFT(D92,6))),MID(D92,7,1)=" "),LEFT(D92,6),D92),"")</f>
        <v>500274</v>
      </c>
      <c r="I92" s="36" t="str">
        <f aca="false">IF(G92=1,IF(COUNTIF('Forecast Detail'!$C$8:$C$400,H92)=0,"UNMAPPED","OK"),"")</f>
        <v>OK</v>
      </c>
    </row>
    <row r="93" customFormat="false" ht="15" hidden="false" customHeight="false" outlineLevel="0" collapsed="false">
      <c r="A93" s="6" t="s">
        <v>315</v>
      </c>
      <c r="B93" s="11" t="n">
        <v>1420000</v>
      </c>
      <c r="C93" s="11" t="n">
        <f aca="false">B93</f>
        <v>1420000</v>
      </c>
      <c r="D93" s="36" t="str">
        <f aca="false">TRIM(A93)</f>
        <v>500275 Administrative Salaries</v>
      </c>
      <c r="E93" s="36" t="str">
        <f aca="false">IF(D93="Revenue","Revenue",IF(D93="Cost of Goods Sold","COGS",IF(D93="Expenditures","Expense",IF(D93="Other Revenue","Other Revenue",IF(D93="Other Expenditures","Other Expense",E92)))))</f>
        <v>Expense</v>
      </c>
      <c r="F93" s="36" t="str">
        <f aca="false">IF(OR(D93="Revenue",D93="Cost of Goods Sold",D93="Expenditures",D93="Other Revenue",D93="Other Expenditures"),E93,IF(AND(LEN(D93)&gt;2,MID(D93,2,1)=" ",ISNUMBER(VALUE(LEFT(D93,1)))),D93,F92))</f>
        <v>1 Salaries and Benefits</v>
      </c>
      <c r="G93" s="36" t="n">
        <f aca="false">IF(AND(D93&lt;&gt;"",ISNUMBER(B93),LEFT(D93,9)&lt;&gt;"Total for",D93&lt;&gt;"Gross Profit",D93&lt;&gt;"Net Operating Revenue",D93&lt;&gt;"Net Other Revenue",D93&lt;&gt;"Net Revenue"),1,0)</f>
        <v>1</v>
      </c>
      <c r="H93" s="36" t="str">
        <f aca="false">IF(G93=1,IF(AND(LEN(D93)&gt;7,ISNUMBER(VALUE(LEFT(D93,6))),MID(D93,7,1)=" "),LEFT(D93,6),D93),"")</f>
        <v>500275</v>
      </c>
      <c r="I93" s="36" t="str">
        <f aca="false">IF(G93=1,IF(COUNTIF('Forecast Detail'!$C$8:$C$400,H93)=0,"UNMAPPED","OK"),"")</f>
        <v>OK</v>
      </c>
    </row>
    <row r="94" customFormat="false" ht="15" hidden="false" customHeight="false" outlineLevel="0" collapsed="false">
      <c r="A94" s="6" t="s">
        <v>318</v>
      </c>
      <c r="B94" s="11" t="n">
        <v>3461000</v>
      </c>
      <c r="C94" s="11" t="n">
        <f aca="false">B94</f>
        <v>3461000</v>
      </c>
      <c r="D94" s="36" t="str">
        <f aca="false">TRIM(A94)</f>
        <v>500276 Teacher Salaries</v>
      </c>
      <c r="E94" s="36" t="str">
        <f aca="false">IF(D94="Revenue","Revenue",IF(D94="Cost of Goods Sold","COGS",IF(D94="Expenditures","Expense",IF(D94="Other Revenue","Other Revenue",IF(D94="Other Expenditures","Other Expense",E93)))))</f>
        <v>Expense</v>
      </c>
      <c r="F94" s="36" t="str">
        <f aca="false">IF(OR(D94="Revenue",D94="Cost of Goods Sold",D94="Expenditures",D94="Other Revenue",D94="Other Expenditures"),E94,IF(AND(LEN(D94)&gt;2,MID(D94,2,1)=" ",ISNUMBER(VALUE(LEFT(D94,1)))),D94,F93))</f>
        <v>1 Salaries and Benefits</v>
      </c>
      <c r="G94" s="36" t="n">
        <f aca="false">IF(AND(D94&lt;&gt;"",ISNUMBER(B94),LEFT(D94,9)&lt;&gt;"Total for",D94&lt;&gt;"Gross Profit",D94&lt;&gt;"Net Operating Revenue",D94&lt;&gt;"Net Other Revenue",D94&lt;&gt;"Net Revenue"),1,0)</f>
        <v>1</v>
      </c>
      <c r="H94" s="36" t="str">
        <f aca="false">IF(G94=1,IF(AND(LEN(D94)&gt;7,ISNUMBER(VALUE(LEFT(D94,6))),MID(D94,7,1)=" "),LEFT(D94,6),D94),"")</f>
        <v>500276</v>
      </c>
      <c r="I94" s="36" t="str">
        <f aca="false">IF(G94=1,IF(COUNTIF('Forecast Detail'!$C$8:$C$400,H94)=0,"UNMAPPED","OK"),"")</f>
        <v>OK</v>
      </c>
    </row>
    <row r="95" customFormat="false" ht="15" hidden="false" customHeight="false" outlineLevel="0" collapsed="false">
      <c r="A95" s="6" t="s">
        <v>320</v>
      </c>
      <c r="B95" s="11" t="n">
        <v>0</v>
      </c>
      <c r="C95" s="11" t="n">
        <f aca="false">B95</f>
        <v>0</v>
      </c>
      <c r="D95" s="36" t="str">
        <f aca="false">TRIM(A95)</f>
        <v>500277 Faculty/Staff Stipends</v>
      </c>
      <c r="E95" s="36" t="str">
        <f aca="false">IF(D95="Revenue","Revenue",IF(D95="Cost of Goods Sold","COGS",IF(D95="Expenditures","Expense",IF(D95="Other Revenue","Other Revenue",IF(D95="Other Expenditures","Other Expense",E94)))))</f>
        <v>Expense</v>
      </c>
      <c r="F95" s="36" t="str">
        <f aca="false">IF(OR(D95="Revenue",D95="Cost of Goods Sold",D95="Expenditures",D95="Other Revenue",D95="Other Expenditures"),E95,IF(AND(LEN(D95)&gt;2,MID(D95,2,1)=" ",ISNUMBER(VALUE(LEFT(D95,1)))),D95,F94))</f>
        <v>1 Salaries and Benefits</v>
      </c>
      <c r="G95" s="36" t="n">
        <f aca="false">IF(AND(D95&lt;&gt;"",ISNUMBER(B95),LEFT(D95,9)&lt;&gt;"Total for",D95&lt;&gt;"Gross Profit",D95&lt;&gt;"Net Operating Revenue",D95&lt;&gt;"Net Other Revenue",D95&lt;&gt;"Net Revenue"),1,0)</f>
        <v>1</v>
      </c>
      <c r="H95" s="36" t="str">
        <f aca="false">IF(G95=1,IF(AND(LEN(D95)&gt;7,ISNUMBER(VALUE(LEFT(D95,6))),MID(D95,7,1)=" "),LEFT(D95,6),D95),"")</f>
        <v>500277</v>
      </c>
      <c r="I95" s="36" t="str">
        <f aca="false">IF(G95=1,IF(COUNTIF('Forecast Detail'!$C$8:$C$400,H95)=0,"UNMAPPED","OK"),"")</f>
        <v>OK</v>
      </c>
    </row>
    <row r="96" customFormat="false" ht="15" hidden="false" customHeight="false" outlineLevel="0" collapsed="false">
      <c r="A96" s="6" t="s">
        <v>322</v>
      </c>
      <c r="B96" s="11" t="n">
        <v>20000</v>
      </c>
      <c r="C96" s="11" t="n">
        <f aca="false">B96</f>
        <v>20000</v>
      </c>
      <c r="D96" s="36" t="str">
        <f aca="false">TRIM(A96)</f>
        <v>500278 Substitute Expenses Upper School</v>
      </c>
      <c r="E96" s="36" t="str">
        <f aca="false">IF(D96="Revenue","Revenue",IF(D96="Cost of Goods Sold","COGS",IF(D96="Expenditures","Expense",IF(D96="Other Revenue","Other Revenue",IF(D96="Other Expenditures","Other Expense",E95)))))</f>
        <v>Expense</v>
      </c>
      <c r="F96" s="36" t="str">
        <f aca="false">IF(OR(D96="Revenue",D96="Cost of Goods Sold",D96="Expenditures",D96="Other Revenue",D96="Other Expenditures"),E96,IF(AND(LEN(D96)&gt;2,MID(D96,2,1)=" ",ISNUMBER(VALUE(LEFT(D96,1)))),D96,F95))</f>
        <v>1 Salaries and Benefits</v>
      </c>
      <c r="G96" s="36" t="n">
        <f aca="false">IF(AND(D96&lt;&gt;"",ISNUMBER(B96),LEFT(D96,9)&lt;&gt;"Total for",D96&lt;&gt;"Gross Profit",D96&lt;&gt;"Net Operating Revenue",D96&lt;&gt;"Net Other Revenue",D96&lt;&gt;"Net Revenue"),1,0)</f>
        <v>1</v>
      </c>
      <c r="H96" s="36" t="str">
        <f aca="false">IF(G96=1,IF(AND(LEN(D96)&gt;7,ISNUMBER(VALUE(LEFT(D96,6))),MID(D96,7,1)=" "),LEFT(D96,6),D96),"")</f>
        <v>500278</v>
      </c>
      <c r="I96" s="36" t="str">
        <f aca="false">IF(G96=1,IF(COUNTIF('Forecast Detail'!$C$8:$C$400,H96)=0,"UNMAPPED","OK"),"")</f>
        <v>OK</v>
      </c>
    </row>
    <row r="97" customFormat="false" ht="15" hidden="false" customHeight="false" outlineLevel="0" collapsed="false">
      <c r="A97" s="6" t="s">
        <v>324</v>
      </c>
      <c r="B97" s="11" t="n">
        <v>15000</v>
      </c>
      <c r="C97" s="11" t="n">
        <f aca="false">B97</f>
        <v>15000</v>
      </c>
      <c r="D97" s="36" t="str">
        <f aca="false">TRIM(A97)</f>
        <v>500279 Substitute Expense Lower School</v>
      </c>
      <c r="E97" s="36" t="str">
        <f aca="false">IF(D97="Revenue","Revenue",IF(D97="Cost of Goods Sold","COGS",IF(D97="Expenditures","Expense",IF(D97="Other Revenue","Other Revenue",IF(D97="Other Expenditures","Other Expense",E96)))))</f>
        <v>Expense</v>
      </c>
      <c r="F97" s="36" t="str">
        <f aca="false">IF(OR(D97="Revenue",D97="Cost of Goods Sold",D97="Expenditures",D97="Other Revenue",D97="Other Expenditures"),E97,IF(AND(LEN(D97)&gt;2,MID(D97,2,1)=" ",ISNUMBER(VALUE(LEFT(D97,1)))),D97,F96))</f>
        <v>1 Salaries and Benefits</v>
      </c>
      <c r="G97" s="36" t="n">
        <f aca="false">IF(AND(D97&lt;&gt;"",ISNUMBER(B97),LEFT(D97,9)&lt;&gt;"Total for",D97&lt;&gt;"Gross Profit",D97&lt;&gt;"Net Operating Revenue",D97&lt;&gt;"Net Other Revenue",D97&lt;&gt;"Net Revenue"),1,0)</f>
        <v>1</v>
      </c>
      <c r="H97" s="36" t="str">
        <f aca="false">IF(G97=1,IF(AND(LEN(D97)&gt;7,ISNUMBER(VALUE(LEFT(D97,6))),MID(D97,7,1)=" "),LEFT(D97,6),D97),"")</f>
        <v>500279</v>
      </c>
      <c r="I97" s="36" t="str">
        <f aca="false">IF(G97=1,IF(COUNTIF('Forecast Detail'!$C$8:$C$400,H97)=0,"UNMAPPED","OK"),"")</f>
        <v>OK</v>
      </c>
    </row>
    <row r="98" customFormat="false" ht="15" hidden="false" customHeight="false" outlineLevel="0" collapsed="false">
      <c r="A98" s="6" t="s">
        <v>326</v>
      </c>
      <c r="B98" s="11" t="n">
        <v>182000</v>
      </c>
      <c r="C98" s="11" t="n">
        <f aca="false">B98</f>
        <v>182000</v>
      </c>
      <c r="D98" s="36" t="str">
        <f aca="false">TRIM(A98)</f>
        <v>500280 Maintenance Salaries</v>
      </c>
      <c r="E98" s="36" t="str">
        <f aca="false">IF(D98="Revenue","Revenue",IF(D98="Cost of Goods Sold","COGS",IF(D98="Expenditures","Expense",IF(D98="Other Revenue","Other Revenue",IF(D98="Other Expenditures","Other Expense",E97)))))</f>
        <v>Expense</v>
      </c>
      <c r="F98" s="36" t="str">
        <f aca="false">IF(OR(D98="Revenue",D98="Cost of Goods Sold",D98="Expenditures",D98="Other Revenue",D98="Other Expenditures"),E98,IF(AND(LEN(D98)&gt;2,MID(D98,2,1)=" ",ISNUMBER(VALUE(LEFT(D98,1)))),D98,F97))</f>
        <v>1 Salaries and Benefits</v>
      </c>
      <c r="G98" s="36" t="n">
        <f aca="false">IF(AND(D98&lt;&gt;"",ISNUMBER(B98),LEFT(D98,9)&lt;&gt;"Total for",D98&lt;&gt;"Gross Profit",D98&lt;&gt;"Net Operating Revenue",D98&lt;&gt;"Net Other Revenue",D98&lt;&gt;"Net Revenue"),1,0)</f>
        <v>1</v>
      </c>
      <c r="H98" s="36" t="str">
        <f aca="false">IF(G98=1,IF(AND(LEN(D98)&gt;7,ISNUMBER(VALUE(LEFT(D98,6))),MID(D98,7,1)=" "),LEFT(D98,6),D98),"")</f>
        <v>500280</v>
      </c>
      <c r="I98" s="36" t="str">
        <f aca="false">IF(G98=1,IF(COUNTIF('Forecast Detail'!$C$8:$C$400,H98)=0,"UNMAPPED","OK"),"")</f>
        <v>OK</v>
      </c>
    </row>
    <row r="99" customFormat="false" ht="15" hidden="false" customHeight="false" outlineLevel="0" collapsed="false">
      <c r="A99" s="6" t="s">
        <v>647</v>
      </c>
      <c r="B99" s="11" t="n">
        <f aca="false">B84+B85+B86+B87+B88+B89+B90+B91+B92+B93+B94+B95+B96+B97+B98</f>
        <v>6253109</v>
      </c>
      <c r="C99" s="11" t="n">
        <f aca="false">B99</f>
        <v>6253109</v>
      </c>
      <c r="D99" s="36" t="str">
        <f aca="false">TRIM(A99)</f>
        <v>Total for 1 Salaries and Benefits</v>
      </c>
      <c r="E99" s="36" t="str">
        <f aca="false">IF(D99="Revenue","Revenue",IF(D99="Cost of Goods Sold","COGS",IF(D99="Expenditures","Expense",IF(D99="Other Revenue","Other Revenue",IF(D99="Other Expenditures","Other Expense",E98)))))</f>
        <v>Expense</v>
      </c>
      <c r="F99" s="36" t="str">
        <f aca="false">IF(OR(D99="Revenue",D99="Cost of Goods Sold",D99="Expenditures",D99="Other Revenue",D99="Other Expenditures"),E99,IF(AND(LEN(D99)&gt;2,MID(D99,2,1)=" ",ISNUMBER(VALUE(LEFT(D99,1)))),D99,F98))</f>
        <v>1 Salaries and Benefits</v>
      </c>
      <c r="G99" s="36" t="n">
        <f aca="false">IF(AND(D99&lt;&gt;"",ISNUMBER(B99),LEFT(D99,9)&lt;&gt;"Total for",D99&lt;&gt;"Gross Profit",D99&lt;&gt;"Net Operating Revenue",D99&lt;&gt;"Net Other Revenue",D99&lt;&gt;"Net Revenue"),1,0)</f>
        <v>0</v>
      </c>
      <c r="H99" s="36" t="str">
        <f aca="false">IF(G99=1,IF(AND(LEN(D99)&gt;7,ISNUMBER(VALUE(LEFT(D99,6))),MID(D99,7,1)=" "),LEFT(D99,6),D99),"")</f>
        <v/>
      </c>
      <c r="I99" s="36" t="str">
        <f aca="false">IF(G99=1,IF(COUNTIF('Forecast Detail'!$C$8:$C$400,H99)=0,"UNMAPPED","OK"),"")</f>
        <v/>
      </c>
    </row>
    <row r="100" customFormat="false" ht="15" hidden="false" customHeight="false" outlineLevel="0" collapsed="false">
      <c r="A100" s="6" t="s">
        <v>15</v>
      </c>
      <c r="D100" s="36" t="str">
        <f aca="false">TRIM(A100)</f>
        <v>2 Instructional Expenses</v>
      </c>
      <c r="E100" s="36" t="str">
        <f aca="false">IF(D100="Revenue","Revenue",IF(D100="Cost of Goods Sold","COGS",IF(D100="Expenditures","Expense",IF(D100="Other Revenue","Other Revenue",IF(D100="Other Expenditures","Other Expense",E99)))))</f>
        <v>Expense</v>
      </c>
      <c r="F100" s="36" t="str">
        <f aca="false">IF(OR(D100="Revenue",D100="Cost of Goods Sold",D100="Expenditures",D100="Other Revenue",D100="Other Expenditures"),E100,IF(AND(LEN(D100)&gt;2,MID(D100,2,1)=" ",ISNUMBER(VALUE(LEFT(D100,1)))),D100,F99))</f>
        <v>2 Instructional Expenses</v>
      </c>
      <c r="G100" s="36" t="n">
        <f aca="false">IF(AND(D100&lt;&gt;"",ISNUMBER(B100),LEFT(D100,9)&lt;&gt;"Total for",D100&lt;&gt;"Gross Profit",D100&lt;&gt;"Net Operating Revenue",D100&lt;&gt;"Net Other Revenue",D100&lt;&gt;"Net Revenue"),1,0)</f>
        <v>0</v>
      </c>
      <c r="H100" s="36" t="str">
        <f aca="false">IF(G100=1,IF(AND(LEN(D100)&gt;7,ISNUMBER(VALUE(LEFT(D100,6))),MID(D100,7,1)=" "),LEFT(D100,6),D100),"")</f>
        <v/>
      </c>
      <c r="I100" s="36" t="str">
        <f aca="false">IF(G100=1,IF(COUNTIF('Forecast Detail'!$C$8:$C$400,H100)=0,"UNMAPPED","OK"),"")</f>
        <v/>
      </c>
    </row>
    <row r="101" customFormat="false" ht="15" hidden="false" customHeight="false" outlineLevel="0" collapsed="false">
      <c r="A101" s="6" t="s">
        <v>328</v>
      </c>
      <c r="B101" s="11" t="n">
        <v>0</v>
      </c>
      <c r="C101" s="11" t="n">
        <f aca="false">B101</f>
        <v>0</v>
      </c>
      <c r="D101" s="36" t="str">
        <f aca="false">TRIM(A101)</f>
        <v>500023 Teacher Development</v>
      </c>
      <c r="E101" s="36" t="str">
        <f aca="false">IF(D101="Revenue","Revenue",IF(D101="Cost of Goods Sold","COGS",IF(D101="Expenditures","Expense",IF(D101="Other Revenue","Other Revenue",IF(D101="Other Expenditures","Other Expense",E100)))))</f>
        <v>Expense</v>
      </c>
      <c r="F101" s="36" t="str">
        <f aca="false">IF(OR(D101="Revenue",D101="Cost of Goods Sold",D101="Expenditures",D101="Other Revenue",D101="Other Expenditures"),E101,IF(AND(LEN(D101)&gt;2,MID(D101,2,1)=" ",ISNUMBER(VALUE(LEFT(D101,1)))),D101,F100))</f>
        <v>2 Instructional Expenses</v>
      </c>
      <c r="G101" s="36" t="n">
        <f aca="false">IF(AND(D101&lt;&gt;"",ISNUMBER(B101),LEFT(D101,9)&lt;&gt;"Total for",D101&lt;&gt;"Gross Profit",D101&lt;&gt;"Net Operating Revenue",D101&lt;&gt;"Net Other Revenue",D101&lt;&gt;"Net Revenue"),1,0)</f>
        <v>1</v>
      </c>
      <c r="H101" s="36" t="str">
        <f aca="false">IF(G101=1,IF(AND(LEN(D101)&gt;7,ISNUMBER(VALUE(LEFT(D101,6))),MID(D101,7,1)=" "),LEFT(D101,6),D101),"")</f>
        <v>500023</v>
      </c>
      <c r="I101" s="36" t="str">
        <f aca="false">IF(G101=1,IF(COUNTIF('Forecast Detail'!$C$8:$C$400,H101)=0,"UNMAPPED","OK"),"")</f>
        <v>OK</v>
      </c>
    </row>
    <row r="102" customFormat="false" ht="15" hidden="false" customHeight="false" outlineLevel="0" collapsed="false">
      <c r="A102" s="6" t="s">
        <v>329</v>
      </c>
      <c r="B102" s="11" t="n">
        <v>25000</v>
      </c>
      <c r="C102" s="11" t="n">
        <f aca="false">B102</f>
        <v>25000</v>
      </c>
      <c r="D102" s="36" t="str">
        <f aca="false">TRIM(A102)</f>
        <v>All School Supplies</v>
      </c>
      <c r="E102" s="36" t="str">
        <f aca="false">IF(D102="Revenue","Revenue",IF(D102="Cost of Goods Sold","COGS",IF(D102="Expenditures","Expense",IF(D102="Other Revenue","Other Revenue",IF(D102="Other Expenditures","Other Expense",E101)))))</f>
        <v>Expense</v>
      </c>
      <c r="F102" s="36" t="str">
        <f aca="false">IF(OR(D102="Revenue",D102="Cost of Goods Sold",D102="Expenditures",D102="Other Revenue",D102="Other Expenditures"),E102,IF(AND(LEN(D102)&gt;2,MID(D102,2,1)=" ",ISNUMBER(VALUE(LEFT(D102,1)))),D102,F101))</f>
        <v>2 Instructional Expenses</v>
      </c>
      <c r="G102" s="36" t="n">
        <f aca="false">IF(AND(D102&lt;&gt;"",ISNUMBER(B102),LEFT(D102,9)&lt;&gt;"Total for",D102&lt;&gt;"Gross Profit",D102&lt;&gt;"Net Operating Revenue",D102&lt;&gt;"Net Other Revenue",D102&lt;&gt;"Net Revenue"),1,0)</f>
        <v>1</v>
      </c>
      <c r="H102" s="36" t="str">
        <f aca="false">IF(G102=1,IF(AND(LEN(D102)&gt;7,ISNUMBER(VALUE(LEFT(D102,6))),MID(D102,7,1)=" "),LEFT(D102,6),D102),"")</f>
        <v>All School Supplies</v>
      </c>
      <c r="I102" s="36" t="str">
        <f aca="false">IF(G102=1,IF(COUNTIF('Forecast Detail'!$C$8:$C$400,H102)=0,"UNMAPPED","OK"),"")</f>
        <v>OK</v>
      </c>
    </row>
    <row r="103" customFormat="false" ht="15" hidden="false" customHeight="false" outlineLevel="0" collapsed="false">
      <c r="A103" s="6" t="s">
        <v>332</v>
      </c>
      <c r="B103" s="11" t="n">
        <v>0</v>
      </c>
      <c r="C103" s="11" t="n">
        <f aca="false">B103</f>
        <v>0</v>
      </c>
      <c r="D103" s="36" t="str">
        <f aca="false">TRIM(A103)</f>
        <v>500168 All School Supplies</v>
      </c>
      <c r="E103" s="36" t="str">
        <f aca="false">IF(D103="Revenue","Revenue",IF(D103="Cost of Goods Sold","COGS",IF(D103="Expenditures","Expense",IF(D103="Other Revenue","Other Revenue",IF(D103="Other Expenditures","Other Expense",E102)))))</f>
        <v>Expense</v>
      </c>
      <c r="F103" s="36" t="str">
        <f aca="false">IF(OR(D103="Revenue",D103="Cost of Goods Sold",D103="Expenditures",D103="Other Revenue",D103="Other Expenditures"),E103,IF(AND(LEN(D103)&gt;2,MID(D103,2,1)=" ",ISNUMBER(VALUE(LEFT(D103,1)))),D103,F102))</f>
        <v>2 Instructional Expenses</v>
      </c>
      <c r="G103" s="36" t="n">
        <f aca="false">IF(AND(D103&lt;&gt;"",ISNUMBER(B103),LEFT(D103,9)&lt;&gt;"Total for",D103&lt;&gt;"Gross Profit",D103&lt;&gt;"Net Operating Revenue",D103&lt;&gt;"Net Other Revenue",D103&lt;&gt;"Net Revenue"),1,0)</f>
        <v>1</v>
      </c>
      <c r="H103" s="36" t="str">
        <f aca="false">IF(G103=1,IF(AND(LEN(D103)&gt;7,ISNUMBER(VALUE(LEFT(D103,6))),MID(D103,7,1)=" "),LEFT(D103,6),D103),"")</f>
        <v>500168</v>
      </c>
      <c r="I103" s="36" t="str">
        <f aca="false">IF(G103=1,IF(COUNTIF('Forecast Detail'!$C$8:$C$400,H103)=0,"UNMAPPED","OK"),"")</f>
        <v>OK</v>
      </c>
    </row>
    <row r="104" customFormat="false" ht="15" hidden="false" customHeight="false" outlineLevel="0" collapsed="false">
      <c r="A104" s="6" t="s">
        <v>334</v>
      </c>
      <c r="B104" s="11" t="n">
        <v>0</v>
      </c>
      <c r="C104" s="11" t="n">
        <f aca="false">B104</f>
        <v>0</v>
      </c>
      <c r="D104" s="36" t="str">
        <f aca="false">TRIM(A104)</f>
        <v>500169 School Machine Supplies DO NOT USE</v>
      </c>
      <c r="E104" s="36" t="str">
        <f aca="false">IF(D104="Revenue","Revenue",IF(D104="Cost of Goods Sold","COGS",IF(D104="Expenditures","Expense",IF(D104="Other Revenue","Other Revenue",IF(D104="Other Expenditures","Other Expense",E103)))))</f>
        <v>Expense</v>
      </c>
      <c r="F104" s="36" t="str">
        <f aca="false">IF(OR(D104="Revenue",D104="Cost of Goods Sold",D104="Expenditures",D104="Other Revenue",D104="Other Expenditures"),E104,IF(AND(LEN(D104)&gt;2,MID(D104,2,1)=" ",ISNUMBER(VALUE(LEFT(D104,1)))),D104,F103))</f>
        <v>2 Instructional Expenses</v>
      </c>
      <c r="G104" s="36" t="n">
        <f aca="false">IF(AND(D104&lt;&gt;"",ISNUMBER(B104),LEFT(D104,9)&lt;&gt;"Total for",D104&lt;&gt;"Gross Profit",D104&lt;&gt;"Net Operating Revenue",D104&lt;&gt;"Net Other Revenue",D104&lt;&gt;"Net Revenue"),1,0)</f>
        <v>1</v>
      </c>
      <c r="H104" s="36" t="str">
        <f aca="false">IF(G104=1,IF(AND(LEN(D104)&gt;7,ISNUMBER(VALUE(LEFT(D104,6))),MID(D104,7,1)=" "),LEFT(D104,6),D104),"")</f>
        <v>500169</v>
      </c>
      <c r="I104" s="36" t="str">
        <f aca="false">IF(G104=1,IF(COUNTIF('Forecast Detail'!$C$8:$C$400,H104)=0,"UNMAPPED","OK"),"")</f>
        <v>OK</v>
      </c>
    </row>
    <row r="105" customFormat="false" ht="15" hidden="false" customHeight="false" outlineLevel="0" collapsed="false">
      <c r="A105" s="6" t="s">
        <v>336</v>
      </c>
      <c r="B105" s="11" t="n">
        <v>0</v>
      </c>
      <c r="C105" s="11" t="n">
        <f aca="false">B105</f>
        <v>0</v>
      </c>
      <c r="D105" s="36" t="str">
        <f aca="false">TRIM(A105)</f>
        <v>500170 Copy and Duplication Paper DO NOT USE</v>
      </c>
      <c r="E105" s="36" t="str">
        <f aca="false">IF(D105="Revenue","Revenue",IF(D105="Cost of Goods Sold","COGS",IF(D105="Expenditures","Expense",IF(D105="Other Revenue","Other Revenue",IF(D105="Other Expenditures","Other Expense",E104)))))</f>
        <v>Expense</v>
      </c>
      <c r="F105" s="36" t="str">
        <f aca="false">IF(OR(D105="Revenue",D105="Cost of Goods Sold",D105="Expenditures",D105="Other Revenue",D105="Other Expenditures"),E105,IF(AND(LEN(D105)&gt;2,MID(D105,2,1)=" ",ISNUMBER(VALUE(LEFT(D105,1)))),D105,F104))</f>
        <v>2 Instructional Expenses</v>
      </c>
      <c r="G105" s="36" t="n">
        <f aca="false">IF(AND(D105&lt;&gt;"",ISNUMBER(B105),LEFT(D105,9)&lt;&gt;"Total for",D105&lt;&gt;"Gross Profit",D105&lt;&gt;"Net Operating Revenue",D105&lt;&gt;"Net Other Revenue",D105&lt;&gt;"Net Revenue"),1,0)</f>
        <v>1</v>
      </c>
      <c r="H105" s="36" t="str">
        <f aca="false">IF(G105=1,IF(AND(LEN(D105)&gt;7,ISNUMBER(VALUE(LEFT(D105,6))),MID(D105,7,1)=" "),LEFT(D105,6),D105),"")</f>
        <v>500170</v>
      </c>
      <c r="I105" s="36" t="str">
        <f aca="false">IF(G105=1,IF(COUNTIF('Forecast Detail'!$C$8:$C$400,H105)=0,"UNMAPPED","OK"),"")</f>
        <v>OK</v>
      </c>
    </row>
    <row r="106" customFormat="false" ht="15" hidden="false" customHeight="false" outlineLevel="0" collapsed="false">
      <c r="A106" s="6" t="s">
        <v>338</v>
      </c>
      <c r="B106" s="11" t="n">
        <v>0</v>
      </c>
      <c r="C106" s="11" t="n">
        <f aca="false">B106</f>
        <v>0</v>
      </c>
      <c r="D106" s="36" t="str">
        <f aca="false">TRIM(A106)</f>
        <v>500171 Supplies Teachers Lounge</v>
      </c>
      <c r="E106" s="36" t="str">
        <f aca="false">IF(D106="Revenue","Revenue",IF(D106="Cost of Goods Sold","COGS",IF(D106="Expenditures","Expense",IF(D106="Other Revenue","Other Revenue",IF(D106="Other Expenditures","Other Expense",E105)))))</f>
        <v>Expense</v>
      </c>
      <c r="F106" s="36" t="str">
        <f aca="false">IF(OR(D106="Revenue",D106="Cost of Goods Sold",D106="Expenditures",D106="Other Revenue",D106="Other Expenditures"),E106,IF(AND(LEN(D106)&gt;2,MID(D106,2,1)=" ",ISNUMBER(VALUE(LEFT(D106,1)))),D106,F105))</f>
        <v>2 Instructional Expenses</v>
      </c>
      <c r="G106" s="36" t="n">
        <f aca="false">IF(AND(D106&lt;&gt;"",ISNUMBER(B106),LEFT(D106,9)&lt;&gt;"Total for",D106&lt;&gt;"Gross Profit",D106&lt;&gt;"Net Operating Revenue",D106&lt;&gt;"Net Other Revenue",D106&lt;&gt;"Net Revenue"),1,0)</f>
        <v>1</v>
      </c>
      <c r="H106" s="36" t="str">
        <f aca="false">IF(G106=1,IF(AND(LEN(D106)&gt;7,ISNUMBER(VALUE(LEFT(D106,6))),MID(D106,7,1)=" "),LEFT(D106,6),D106),"")</f>
        <v>500171</v>
      </c>
      <c r="I106" s="36" t="str">
        <f aca="false">IF(G106=1,IF(COUNTIF('Forecast Detail'!$C$8:$C$400,H106)=0,"UNMAPPED","OK"),"")</f>
        <v>OK</v>
      </c>
    </row>
    <row r="107" customFormat="false" ht="15" hidden="false" customHeight="false" outlineLevel="0" collapsed="false">
      <c r="A107" s="6" t="s">
        <v>648</v>
      </c>
      <c r="B107" s="11" t="n">
        <f aca="false">B102+B103+B104+B105+B106</f>
        <v>25000</v>
      </c>
      <c r="C107" s="11" t="n">
        <f aca="false">B107</f>
        <v>25000</v>
      </c>
      <c r="D107" s="36" t="str">
        <f aca="false">TRIM(A107)</f>
        <v>Total for All School Supplies</v>
      </c>
      <c r="E107" s="36" t="str">
        <f aca="false">IF(D107="Revenue","Revenue",IF(D107="Cost of Goods Sold","COGS",IF(D107="Expenditures","Expense",IF(D107="Other Revenue","Other Revenue",IF(D107="Other Expenditures","Other Expense",E106)))))</f>
        <v>Expense</v>
      </c>
      <c r="F107" s="36" t="str">
        <f aca="false">IF(OR(D107="Revenue",D107="Cost of Goods Sold",D107="Expenditures",D107="Other Revenue",D107="Other Expenditures"),E107,IF(AND(LEN(D107)&gt;2,MID(D107,2,1)=" ",ISNUMBER(VALUE(LEFT(D107,1)))),D107,F106))</f>
        <v>2 Instructional Expenses</v>
      </c>
      <c r="G107" s="36" t="n">
        <f aca="false">IF(AND(D107&lt;&gt;"",ISNUMBER(B107),LEFT(D107,9)&lt;&gt;"Total for",D107&lt;&gt;"Gross Profit",D107&lt;&gt;"Net Operating Revenue",D107&lt;&gt;"Net Other Revenue",D107&lt;&gt;"Net Revenue"),1,0)</f>
        <v>0</v>
      </c>
      <c r="H107" s="36" t="str">
        <f aca="false">IF(G107=1,IF(AND(LEN(D107)&gt;7,ISNUMBER(VALUE(LEFT(D107,6))),MID(D107,7,1)=" "),LEFT(D107,6),D107),"")</f>
        <v/>
      </c>
      <c r="I107" s="36" t="str">
        <f aca="false">IF(G107=1,IF(COUNTIF('Forecast Detail'!$C$8:$C$400,H107)=0,"UNMAPPED","OK"),"")</f>
        <v/>
      </c>
    </row>
    <row r="108" customFormat="false" ht="15" hidden="false" customHeight="false" outlineLevel="0" collapsed="false">
      <c r="A108" s="6" t="s">
        <v>339</v>
      </c>
      <c r="B108" s="11" t="n">
        <v>3000</v>
      </c>
      <c r="C108" s="11" t="n">
        <f aca="false">B108</f>
        <v>3000</v>
      </c>
      <c r="D108" s="36" t="str">
        <f aca="false">TRIM(A108)</f>
        <v>Band Activities</v>
      </c>
      <c r="E108" s="36" t="str">
        <f aca="false">IF(D108="Revenue","Revenue",IF(D108="Cost of Goods Sold","COGS",IF(D108="Expenditures","Expense",IF(D108="Other Revenue","Other Revenue",IF(D108="Other Expenditures","Other Expense",E107)))))</f>
        <v>Expense</v>
      </c>
      <c r="F108" s="36" t="str">
        <f aca="false">IF(OR(D108="Revenue",D108="Cost of Goods Sold",D108="Expenditures",D108="Other Revenue",D108="Other Expenditures"),E108,IF(AND(LEN(D108)&gt;2,MID(D108,2,1)=" ",ISNUMBER(VALUE(LEFT(D108,1)))),D108,F107))</f>
        <v>2 Instructional Expenses</v>
      </c>
      <c r="G108" s="36" t="n">
        <f aca="false">IF(AND(D108&lt;&gt;"",ISNUMBER(B108),LEFT(D108,9)&lt;&gt;"Total for",D108&lt;&gt;"Gross Profit",D108&lt;&gt;"Net Operating Revenue",D108&lt;&gt;"Net Other Revenue",D108&lt;&gt;"Net Revenue"),1,0)</f>
        <v>1</v>
      </c>
      <c r="H108" s="36" t="str">
        <f aca="false">IF(G108=1,IF(AND(LEN(D108)&gt;7,ISNUMBER(VALUE(LEFT(D108,6))),MID(D108,7,1)=" "),LEFT(D108,6),D108),"")</f>
        <v>Band Activities</v>
      </c>
      <c r="I108" s="36" t="str">
        <f aca="false">IF(G108=1,IF(COUNTIF('Forecast Detail'!$C$8:$C$400,H108)=0,"UNMAPPED","OK"),"")</f>
        <v>OK</v>
      </c>
    </row>
    <row r="109" customFormat="false" ht="15" hidden="false" customHeight="false" outlineLevel="0" collapsed="false">
      <c r="A109" s="6" t="s">
        <v>340</v>
      </c>
      <c r="B109" s="11" t="n">
        <v>2000</v>
      </c>
      <c r="C109" s="11" t="n">
        <f aca="false">B109</f>
        <v>2000</v>
      </c>
      <c r="D109" s="36" t="str">
        <f aca="false">TRIM(A109)</f>
        <v>Clubs</v>
      </c>
      <c r="E109" s="36" t="str">
        <f aca="false">IF(D109="Revenue","Revenue",IF(D109="Cost of Goods Sold","COGS",IF(D109="Expenditures","Expense",IF(D109="Other Revenue","Other Revenue",IF(D109="Other Expenditures","Other Expense",E108)))))</f>
        <v>Expense</v>
      </c>
      <c r="F109" s="36" t="str">
        <f aca="false">IF(OR(D109="Revenue",D109="Cost of Goods Sold",D109="Expenditures",D109="Other Revenue",D109="Other Expenditures"),E109,IF(AND(LEN(D109)&gt;2,MID(D109,2,1)=" ",ISNUMBER(VALUE(LEFT(D109,1)))),D109,F108))</f>
        <v>2 Instructional Expenses</v>
      </c>
      <c r="G109" s="36" t="n">
        <f aca="false">IF(AND(D109&lt;&gt;"",ISNUMBER(B109),LEFT(D109,9)&lt;&gt;"Total for",D109&lt;&gt;"Gross Profit",D109&lt;&gt;"Net Operating Revenue",D109&lt;&gt;"Net Other Revenue",D109&lt;&gt;"Net Revenue"),1,0)</f>
        <v>1</v>
      </c>
      <c r="H109" s="36" t="str">
        <f aca="false">IF(G109=1,IF(AND(LEN(D109)&gt;7,ISNUMBER(VALUE(LEFT(D109,6))),MID(D109,7,1)=" "),LEFT(D109,6),D109),"")</f>
        <v>Clubs</v>
      </c>
      <c r="I109" s="36" t="str">
        <f aca="false">IF(G109=1,IF(COUNTIF('Forecast Detail'!$C$8:$C$400,H109)=0,"UNMAPPED","OK"),"")</f>
        <v>OK</v>
      </c>
    </row>
    <row r="110" customFormat="false" ht="15" hidden="false" customHeight="false" outlineLevel="0" collapsed="false">
      <c r="A110" s="6" t="s">
        <v>341</v>
      </c>
      <c r="B110" s="11" t="n">
        <v>35000</v>
      </c>
      <c r="C110" s="11" t="n">
        <f aca="false">B110</f>
        <v>35000</v>
      </c>
      <c r="D110" s="36" t="str">
        <f aca="false">TRIM(A110)</f>
        <v>Combined Libraries</v>
      </c>
      <c r="E110" s="36" t="str">
        <f aca="false">IF(D110="Revenue","Revenue",IF(D110="Cost of Goods Sold","COGS",IF(D110="Expenditures","Expense",IF(D110="Other Revenue","Other Revenue",IF(D110="Other Expenditures","Other Expense",E109)))))</f>
        <v>Expense</v>
      </c>
      <c r="F110" s="36" t="str">
        <f aca="false">IF(OR(D110="Revenue",D110="Cost of Goods Sold",D110="Expenditures",D110="Other Revenue",D110="Other Expenditures"),E110,IF(AND(LEN(D110)&gt;2,MID(D110,2,1)=" ",ISNUMBER(VALUE(LEFT(D110,1)))),D110,F109))</f>
        <v>2 Instructional Expenses</v>
      </c>
      <c r="G110" s="36" t="n">
        <f aca="false">IF(AND(D110&lt;&gt;"",ISNUMBER(B110),LEFT(D110,9)&lt;&gt;"Total for",D110&lt;&gt;"Gross Profit",D110&lt;&gt;"Net Operating Revenue",D110&lt;&gt;"Net Other Revenue",D110&lt;&gt;"Net Revenue"),1,0)</f>
        <v>1</v>
      </c>
      <c r="H110" s="36" t="str">
        <f aca="false">IF(G110=1,IF(AND(LEN(D110)&gt;7,ISNUMBER(VALUE(LEFT(D110,6))),MID(D110,7,1)=" "),LEFT(D110,6),D110),"")</f>
        <v>Combined Libraries</v>
      </c>
      <c r="I110" s="36" t="str">
        <f aca="false">IF(G110=1,IF(COUNTIF('Forecast Detail'!$C$8:$C$400,H110)=0,"UNMAPPED","OK"),"")</f>
        <v>OK</v>
      </c>
    </row>
    <row r="111" customFormat="false" ht="15" hidden="false" customHeight="false" outlineLevel="0" collapsed="false">
      <c r="A111" s="6" t="s">
        <v>342</v>
      </c>
      <c r="B111" s="11" t="n">
        <v>1000</v>
      </c>
      <c r="C111" s="11" t="n">
        <f aca="false">B111</f>
        <v>1000</v>
      </c>
      <c r="D111" s="36" t="str">
        <f aca="false">TRIM(A111)</f>
        <v>Drama Expenses</v>
      </c>
      <c r="E111" s="36" t="str">
        <f aca="false">IF(D111="Revenue","Revenue",IF(D111="Cost of Goods Sold","COGS",IF(D111="Expenditures","Expense",IF(D111="Other Revenue","Other Revenue",IF(D111="Other Expenditures","Other Expense",E110)))))</f>
        <v>Expense</v>
      </c>
      <c r="F111" s="36" t="str">
        <f aca="false">IF(OR(D111="Revenue",D111="Cost of Goods Sold",D111="Expenditures",D111="Other Revenue",D111="Other Expenditures"),E111,IF(AND(LEN(D111)&gt;2,MID(D111,2,1)=" ",ISNUMBER(VALUE(LEFT(D111,1)))),D111,F110))</f>
        <v>2 Instructional Expenses</v>
      </c>
      <c r="G111" s="36" t="n">
        <f aca="false">IF(AND(D111&lt;&gt;"",ISNUMBER(B111),LEFT(D111,9)&lt;&gt;"Total for",D111&lt;&gt;"Gross Profit",D111&lt;&gt;"Net Operating Revenue",D111&lt;&gt;"Net Other Revenue",D111&lt;&gt;"Net Revenue"),1,0)</f>
        <v>1</v>
      </c>
      <c r="H111" s="36" t="str">
        <f aca="false">IF(G111=1,IF(AND(LEN(D111)&gt;7,ISNUMBER(VALUE(LEFT(D111,6))),MID(D111,7,1)=" "),LEFT(D111,6),D111),"")</f>
        <v>Drama Expenses</v>
      </c>
      <c r="I111" s="36" t="str">
        <f aca="false">IF(G111=1,IF(COUNTIF('Forecast Detail'!$C$8:$C$400,H111)=0,"UNMAPPED","OK"),"")</f>
        <v>OK</v>
      </c>
    </row>
    <row r="112" customFormat="false" ht="15" hidden="false" customHeight="false" outlineLevel="0" collapsed="false">
      <c r="A112" s="6" t="s">
        <v>343</v>
      </c>
      <c r="B112" s="11" t="n">
        <v>15000</v>
      </c>
      <c r="C112" s="11" t="n">
        <f aca="false">B112</f>
        <v>15000</v>
      </c>
      <c r="D112" s="36" t="str">
        <f aca="false">TRIM(A112)</f>
        <v>Fine Arts</v>
      </c>
      <c r="E112" s="36" t="str">
        <f aca="false">IF(D112="Revenue","Revenue",IF(D112="Cost of Goods Sold","COGS",IF(D112="Expenditures","Expense",IF(D112="Other Revenue","Other Revenue",IF(D112="Other Expenditures","Other Expense",E111)))))</f>
        <v>Expense</v>
      </c>
      <c r="F112" s="36" t="str">
        <f aca="false">IF(OR(D112="Revenue",D112="Cost of Goods Sold",D112="Expenditures",D112="Other Revenue",D112="Other Expenditures"),E112,IF(AND(LEN(D112)&gt;2,MID(D112,2,1)=" ",ISNUMBER(VALUE(LEFT(D112,1)))),D112,F111))</f>
        <v>2 Instructional Expenses</v>
      </c>
      <c r="G112" s="36" t="n">
        <f aca="false">IF(AND(D112&lt;&gt;"",ISNUMBER(B112),LEFT(D112,9)&lt;&gt;"Total for",D112&lt;&gt;"Gross Profit",D112&lt;&gt;"Net Operating Revenue",D112&lt;&gt;"Net Other Revenue",D112&lt;&gt;"Net Revenue"),1,0)</f>
        <v>1</v>
      </c>
      <c r="H112" s="36" t="str">
        <f aca="false">IF(G112=1,IF(AND(LEN(D112)&gt;7,ISNUMBER(VALUE(LEFT(D112,6))),MID(D112,7,1)=" "),LEFT(D112,6),D112),"")</f>
        <v>Fine Arts</v>
      </c>
      <c r="I112" s="36" t="str">
        <f aca="false">IF(G112=1,IF(COUNTIF('Forecast Detail'!$C$8:$C$400,H112)=0,"UNMAPPED","OK"),"")</f>
        <v>OK</v>
      </c>
    </row>
    <row r="113" customFormat="false" ht="15" hidden="false" customHeight="false" outlineLevel="0" collapsed="false">
      <c r="A113" s="6" t="s">
        <v>649</v>
      </c>
      <c r="D113" s="36" t="str">
        <f aca="false">TRIM(A113)</f>
        <v>General Instructional Activities</v>
      </c>
      <c r="E113" s="36" t="str">
        <f aca="false">IF(D113="Revenue","Revenue",IF(D113="Cost of Goods Sold","COGS",IF(D113="Expenditures","Expense",IF(D113="Other Revenue","Other Revenue",IF(D113="Other Expenditures","Other Expense",E112)))))</f>
        <v>Expense</v>
      </c>
      <c r="F113" s="36" t="str">
        <f aca="false">IF(OR(D113="Revenue",D113="Cost of Goods Sold",D113="Expenditures",D113="Other Revenue",D113="Other Expenditures"),E113,IF(AND(LEN(D113)&gt;2,MID(D113,2,1)=" ",ISNUMBER(VALUE(LEFT(D113,1)))),D113,F112))</f>
        <v>2 Instructional Expenses</v>
      </c>
      <c r="G113" s="36" t="n">
        <f aca="false">IF(AND(D113&lt;&gt;"",ISNUMBER(B113),LEFT(D113,9)&lt;&gt;"Total for",D113&lt;&gt;"Gross Profit",D113&lt;&gt;"Net Operating Revenue",D113&lt;&gt;"Net Other Revenue",D113&lt;&gt;"Net Revenue"),1,0)</f>
        <v>0</v>
      </c>
      <c r="H113" s="36" t="str">
        <f aca="false">IF(G113=1,IF(AND(LEN(D113)&gt;7,ISNUMBER(VALUE(LEFT(D113,6))),MID(D113,7,1)=" "),LEFT(D113,6),D113),"")</f>
        <v/>
      </c>
      <c r="I113" s="36" t="str">
        <f aca="false">IF(G113=1,IF(COUNTIF('Forecast Detail'!$C$8:$C$400,H113)=0,"UNMAPPED","OK"),"")</f>
        <v/>
      </c>
    </row>
    <row r="114" customFormat="false" ht="15" hidden="false" customHeight="false" outlineLevel="0" collapsed="false">
      <c r="A114" s="6" t="s">
        <v>345</v>
      </c>
      <c r="B114" s="11" t="n">
        <v>5000</v>
      </c>
      <c r="C114" s="11" t="n">
        <f aca="false">B114</f>
        <v>5000</v>
      </c>
      <c r="D114" s="36" t="str">
        <f aca="false">TRIM(A114)</f>
        <v>500025 In-Service Expenses</v>
      </c>
      <c r="E114" s="36" t="str">
        <f aca="false">IF(D114="Revenue","Revenue",IF(D114="Cost of Goods Sold","COGS",IF(D114="Expenditures","Expense",IF(D114="Other Revenue","Other Revenue",IF(D114="Other Expenditures","Other Expense",E113)))))</f>
        <v>Expense</v>
      </c>
      <c r="F114" s="36" t="str">
        <f aca="false">IF(OR(D114="Revenue",D114="Cost of Goods Sold",D114="Expenditures",D114="Other Revenue",D114="Other Expenditures"),E114,IF(AND(LEN(D114)&gt;2,MID(D114,2,1)=" ",ISNUMBER(VALUE(LEFT(D114,1)))),D114,F113))</f>
        <v>2 Instructional Expenses</v>
      </c>
      <c r="G114" s="36" t="n">
        <f aca="false">IF(AND(D114&lt;&gt;"",ISNUMBER(B114),LEFT(D114,9)&lt;&gt;"Total for",D114&lt;&gt;"Gross Profit",D114&lt;&gt;"Net Operating Revenue",D114&lt;&gt;"Net Other Revenue",D114&lt;&gt;"Net Revenue"),1,0)</f>
        <v>1</v>
      </c>
      <c r="H114" s="36" t="str">
        <f aca="false">IF(G114=1,IF(AND(LEN(D114)&gt;7,ISNUMBER(VALUE(LEFT(D114,6))),MID(D114,7,1)=" "),LEFT(D114,6),D114),"")</f>
        <v>500025</v>
      </c>
      <c r="I114" s="36" t="str">
        <f aca="false">IF(G114=1,IF(COUNTIF('Forecast Detail'!$C$8:$C$400,H114)=0,"UNMAPPED","OK"),"")</f>
        <v>OK</v>
      </c>
    </row>
    <row r="115" customFormat="false" ht="15" hidden="false" customHeight="false" outlineLevel="0" collapsed="false">
      <c r="A115" s="6" t="s">
        <v>347</v>
      </c>
      <c r="B115" s="11" t="n">
        <v>0</v>
      </c>
      <c r="C115" s="11" t="n">
        <f aca="false">B115</f>
        <v>0</v>
      </c>
      <c r="D115" s="36" t="str">
        <f aca="false">TRIM(A115)</f>
        <v>500219 ACT Prep Expense</v>
      </c>
      <c r="E115" s="36" t="str">
        <f aca="false">IF(D115="Revenue","Revenue",IF(D115="Cost of Goods Sold","COGS",IF(D115="Expenditures","Expense",IF(D115="Other Revenue","Other Revenue",IF(D115="Other Expenditures","Other Expense",E114)))))</f>
        <v>Expense</v>
      </c>
      <c r="F115" s="36" t="str">
        <f aca="false">IF(OR(D115="Revenue",D115="Cost of Goods Sold",D115="Expenditures",D115="Other Revenue",D115="Other Expenditures"),E115,IF(AND(LEN(D115)&gt;2,MID(D115,2,1)=" ",ISNUMBER(VALUE(LEFT(D115,1)))),D115,F114))</f>
        <v>2 Instructional Expenses</v>
      </c>
      <c r="G115" s="36" t="n">
        <f aca="false">IF(AND(D115&lt;&gt;"",ISNUMBER(B115),LEFT(D115,9)&lt;&gt;"Total for",D115&lt;&gt;"Gross Profit",D115&lt;&gt;"Net Operating Revenue",D115&lt;&gt;"Net Other Revenue",D115&lt;&gt;"Net Revenue"),1,0)</f>
        <v>1</v>
      </c>
      <c r="H115" s="36" t="str">
        <f aca="false">IF(G115=1,IF(AND(LEN(D115)&gt;7,ISNUMBER(VALUE(LEFT(D115,6))),MID(D115,7,1)=" "),LEFT(D115,6),D115),"")</f>
        <v>500219</v>
      </c>
      <c r="I115" s="36" t="str">
        <f aca="false">IF(G115=1,IF(COUNTIF('Forecast Detail'!$C$8:$C$400,H115)=0,"UNMAPPED","OK"),"")</f>
        <v>OK</v>
      </c>
    </row>
    <row r="116" customFormat="false" ht="15" hidden="false" customHeight="false" outlineLevel="0" collapsed="false">
      <c r="A116" s="6" t="s">
        <v>349</v>
      </c>
      <c r="B116" s="11" t="n">
        <v>1000</v>
      </c>
      <c r="C116" s="11" t="n">
        <f aca="false">B116</f>
        <v>1000</v>
      </c>
      <c r="D116" s="36" t="str">
        <f aca="false">TRIM(A116)</f>
        <v>500312 Honor Society Expenses</v>
      </c>
      <c r="E116" s="36" t="str">
        <f aca="false">IF(D116="Revenue","Revenue",IF(D116="Cost of Goods Sold","COGS",IF(D116="Expenditures","Expense",IF(D116="Other Revenue","Other Revenue",IF(D116="Other Expenditures","Other Expense",E115)))))</f>
        <v>Expense</v>
      </c>
      <c r="F116" s="36" t="str">
        <f aca="false">IF(OR(D116="Revenue",D116="Cost of Goods Sold",D116="Expenditures",D116="Other Revenue",D116="Other Expenditures"),E116,IF(AND(LEN(D116)&gt;2,MID(D116,2,1)=" ",ISNUMBER(VALUE(LEFT(D116,1)))),D116,F115))</f>
        <v>2 Instructional Expenses</v>
      </c>
      <c r="G116" s="36" t="n">
        <f aca="false">IF(AND(D116&lt;&gt;"",ISNUMBER(B116),LEFT(D116,9)&lt;&gt;"Total for",D116&lt;&gt;"Gross Profit",D116&lt;&gt;"Net Operating Revenue",D116&lt;&gt;"Net Other Revenue",D116&lt;&gt;"Net Revenue"),1,0)</f>
        <v>1</v>
      </c>
      <c r="H116" s="36" t="str">
        <f aca="false">IF(G116=1,IF(AND(LEN(D116)&gt;7,ISNUMBER(VALUE(LEFT(D116,6))),MID(D116,7,1)=" "),LEFT(D116,6),D116),"")</f>
        <v>500312</v>
      </c>
      <c r="I116" s="36" t="str">
        <f aca="false">IF(G116=1,IF(COUNTIF('Forecast Detail'!$C$8:$C$400,H116)=0,"UNMAPPED","OK"),"")</f>
        <v>OK</v>
      </c>
    </row>
    <row r="117" customFormat="false" ht="15" hidden="false" customHeight="false" outlineLevel="0" collapsed="false">
      <c r="A117" s="6" t="s">
        <v>650</v>
      </c>
      <c r="B117" s="11" t="n">
        <f aca="false">B113+B114+B115+B116</f>
        <v>6000</v>
      </c>
      <c r="C117" s="11" t="n">
        <f aca="false">B117</f>
        <v>6000</v>
      </c>
      <c r="D117" s="36" t="str">
        <f aca="false">TRIM(A117)</f>
        <v>Total for General Instructional Activities</v>
      </c>
      <c r="E117" s="36" t="str">
        <f aca="false">IF(D117="Revenue","Revenue",IF(D117="Cost of Goods Sold","COGS",IF(D117="Expenditures","Expense",IF(D117="Other Revenue","Other Revenue",IF(D117="Other Expenditures","Other Expense",E116)))))</f>
        <v>Expense</v>
      </c>
      <c r="F117" s="36" t="str">
        <f aca="false">IF(OR(D117="Revenue",D117="Cost of Goods Sold",D117="Expenditures",D117="Other Revenue",D117="Other Expenditures"),E117,IF(AND(LEN(D117)&gt;2,MID(D117,2,1)=" ",ISNUMBER(VALUE(LEFT(D117,1)))),D117,F116))</f>
        <v>2 Instructional Expenses</v>
      </c>
      <c r="G117" s="36" t="n">
        <f aca="false">IF(AND(D117&lt;&gt;"",ISNUMBER(B117),LEFT(D117,9)&lt;&gt;"Total for",D117&lt;&gt;"Gross Profit",D117&lt;&gt;"Net Operating Revenue",D117&lt;&gt;"Net Other Revenue",D117&lt;&gt;"Net Revenue"),1,0)</f>
        <v>0</v>
      </c>
      <c r="H117" s="36" t="str">
        <f aca="false">IF(G117=1,IF(AND(LEN(D117)&gt;7,ISNUMBER(VALUE(LEFT(D117,6))),MID(D117,7,1)=" "),LEFT(D117,6),D117),"")</f>
        <v/>
      </c>
      <c r="I117" s="36" t="str">
        <f aca="false">IF(G117=1,IF(COUNTIF('Forecast Detail'!$C$8:$C$400,H117)=0,"UNMAPPED","OK"),"")</f>
        <v/>
      </c>
    </row>
    <row r="118" customFormat="false" ht="15" hidden="false" customHeight="false" outlineLevel="0" collapsed="false">
      <c r="A118" s="6" t="s">
        <v>350</v>
      </c>
      <c r="B118" s="11" t="n">
        <v>55950</v>
      </c>
      <c r="C118" s="11" t="n">
        <f aca="false">B118</f>
        <v>55950</v>
      </c>
      <c r="D118" s="36" t="str">
        <f aca="false">TRIM(A118)</f>
        <v>Lower School Expenses</v>
      </c>
      <c r="E118" s="36" t="str">
        <f aca="false">IF(D118="Revenue","Revenue",IF(D118="Cost of Goods Sold","COGS",IF(D118="Expenditures","Expense",IF(D118="Other Revenue","Other Revenue",IF(D118="Other Expenditures","Other Expense",E117)))))</f>
        <v>Expense</v>
      </c>
      <c r="F118" s="36" t="str">
        <f aca="false">IF(OR(D118="Revenue",D118="Cost of Goods Sold",D118="Expenditures",D118="Other Revenue",D118="Other Expenditures"),E118,IF(AND(LEN(D118)&gt;2,MID(D118,2,1)=" ",ISNUMBER(VALUE(LEFT(D118,1)))),D118,F117))</f>
        <v>2 Instructional Expenses</v>
      </c>
      <c r="G118" s="36" t="n">
        <f aca="false">IF(AND(D118&lt;&gt;"",ISNUMBER(B118),LEFT(D118,9)&lt;&gt;"Total for",D118&lt;&gt;"Gross Profit",D118&lt;&gt;"Net Operating Revenue",D118&lt;&gt;"Net Other Revenue",D118&lt;&gt;"Net Revenue"),1,0)</f>
        <v>1</v>
      </c>
      <c r="H118" s="36" t="str">
        <f aca="false">IF(G118=1,IF(AND(LEN(D118)&gt;7,ISNUMBER(VALUE(LEFT(D118,6))),MID(D118,7,1)=" "),LEFT(D118,6),D118),"")</f>
        <v>Lower School Expenses</v>
      </c>
      <c r="I118" s="36" t="str">
        <f aca="false">IF(G118=1,IF(COUNTIF('Forecast Detail'!$C$8:$C$400,H118)=0,"UNMAPPED","OK"),"")</f>
        <v>OK</v>
      </c>
    </row>
    <row r="119" customFormat="false" ht="15" hidden="false" customHeight="false" outlineLevel="0" collapsed="false">
      <c r="A119" s="6" t="s">
        <v>352</v>
      </c>
      <c r="B119" s="11" t="n">
        <v>35000</v>
      </c>
      <c r="C119" s="11" t="n">
        <f aca="false">B119</f>
        <v>35000</v>
      </c>
      <c r="D119" s="36" t="str">
        <f aca="false">TRIM(A119)</f>
        <v>500181 Lower School Activity Fee</v>
      </c>
      <c r="E119" s="36" t="str">
        <f aca="false">IF(D119="Revenue","Revenue",IF(D119="Cost of Goods Sold","COGS",IF(D119="Expenditures","Expense",IF(D119="Other Revenue","Other Revenue",IF(D119="Other Expenditures","Other Expense",E118)))))</f>
        <v>Expense</v>
      </c>
      <c r="F119" s="36" t="str">
        <f aca="false">IF(OR(D119="Revenue",D119="Cost of Goods Sold",D119="Expenditures",D119="Other Revenue",D119="Other Expenditures"),E119,IF(AND(LEN(D119)&gt;2,MID(D119,2,1)=" ",ISNUMBER(VALUE(LEFT(D119,1)))),D119,F118))</f>
        <v>2 Instructional Expenses</v>
      </c>
      <c r="G119" s="36" t="n">
        <f aca="false">IF(AND(D119&lt;&gt;"",ISNUMBER(B119),LEFT(D119,9)&lt;&gt;"Total for",D119&lt;&gt;"Gross Profit",D119&lt;&gt;"Net Operating Revenue",D119&lt;&gt;"Net Other Revenue",D119&lt;&gt;"Net Revenue"),1,0)</f>
        <v>1</v>
      </c>
      <c r="H119" s="36" t="str">
        <f aca="false">IF(G119=1,IF(AND(LEN(D119)&gt;7,ISNUMBER(VALUE(LEFT(D119,6))),MID(D119,7,1)=" "),LEFT(D119,6),D119),"")</f>
        <v>500181</v>
      </c>
      <c r="I119" s="36" t="str">
        <f aca="false">IF(G119=1,IF(COUNTIF('Forecast Detail'!$C$8:$C$400,H119)=0,"UNMAPPED","OK"),"")</f>
        <v>OK</v>
      </c>
    </row>
    <row r="120" customFormat="false" ht="15" hidden="false" customHeight="false" outlineLevel="0" collapsed="false">
      <c r="A120" s="6" t="s">
        <v>651</v>
      </c>
      <c r="B120" s="11" t="n">
        <f aca="false">B118+B119</f>
        <v>90950</v>
      </c>
      <c r="C120" s="11" t="n">
        <f aca="false">B120</f>
        <v>90950</v>
      </c>
      <c r="D120" s="36" t="str">
        <f aca="false">TRIM(A120)</f>
        <v>Total for Lower School Expenses</v>
      </c>
      <c r="E120" s="36" t="str">
        <f aca="false">IF(D120="Revenue","Revenue",IF(D120="Cost of Goods Sold","COGS",IF(D120="Expenditures","Expense",IF(D120="Other Revenue","Other Revenue",IF(D120="Other Expenditures","Other Expense",E119)))))</f>
        <v>Expense</v>
      </c>
      <c r="F120" s="36" t="str">
        <f aca="false">IF(OR(D120="Revenue",D120="Cost of Goods Sold",D120="Expenditures",D120="Other Revenue",D120="Other Expenditures"),E120,IF(AND(LEN(D120)&gt;2,MID(D120,2,1)=" ",ISNUMBER(VALUE(LEFT(D120,1)))),D120,F119))</f>
        <v>2 Instructional Expenses</v>
      </c>
      <c r="G120" s="36" t="n">
        <f aca="false">IF(AND(D120&lt;&gt;"",ISNUMBER(B120),LEFT(D120,9)&lt;&gt;"Total for",D120&lt;&gt;"Gross Profit",D120&lt;&gt;"Net Operating Revenue",D120&lt;&gt;"Net Other Revenue",D120&lt;&gt;"Net Revenue"),1,0)</f>
        <v>0</v>
      </c>
      <c r="H120" s="36" t="str">
        <f aca="false">IF(G120=1,IF(AND(LEN(D120)&gt;7,ISNUMBER(VALUE(LEFT(D120,6))),MID(D120,7,1)=" "),LEFT(D120,6),D120),"")</f>
        <v/>
      </c>
      <c r="I120" s="36" t="str">
        <f aca="false">IF(G120=1,IF(COUNTIF('Forecast Detail'!$C$8:$C$400,H120)=0,"UNMAPPED","OK"),"")</f>
        <v/>
      </c>
    </row>
    <row r="121" customFormat="false" ht="15" hidden="false" customHeight="false" outlineLevel="0" collapsed="false">
      <c r="A121" s="6" t="s">
        <v>652</v>
      </c>
      <c r="D121" s="36" t="str">
        <f aca="false">TRIM(A121)</f>
        <v>Middle/Upper School Division</v>
      </c>
      <c r="E121" s="36" t="str">
        <f aca="false">IF(D121="Revenue","Revenue",IF(D121="Cost of Goods Sold","COGS",IF(D121="Expenditures","Expense",IF(D121="Other Revenue","Other Revenue",IF(D121="Other Expenditures","Other Expense",E120)))))</f>
        <v>Expense</v>
      </c>
      <c r="F121" s="36" t="str">
        <f aca="false">IF(OR(D121="Revenue",D121="Cost of Goods Sold",D121="Expenditures",D121="Other Revenue",D121="Other Expenditures"),E121,IF(AND(LEN(D121)&gt;2,MID(D121,2,1)=" ",ISNUMBER(VALUE(LEFT(D121,1)))),D121,F120))</f>
        <v>2 Instructional Expenses</v>
      </c>
      <c r="G121" s="36" t="n">
        <f aca="false">IF(AND(D121&lt;&gt;"",ISNUMBER(B121),LEFT(D121,9)&lt;&gt;"Total for",D121&lt;&gt;"Gross Profit",D121&lt;&gt;"Net Operating Revenue",D121&lt;&gt;"Net Other Revenue",D121&lt;&gt;"Net Revenue"),1,0)</f>
        <v>0</v>
      </c>
      <c r="H121" s="36" t="str">
        <f aca="false">IF(G121=1,IF(AND(LEN(D121)&gt;7,ISNUMBER(VALUE(LEFT(D121,6))),MID(D121,7,1)=" "),LEFT(D121,6),D121),"")</f>
        <v/>
      </c>
      <c r="I121" s="36" t="str">
        <f aca="false">IF(G121=1,IF(COUNTIF('Forecast Detail'!$C$8:$C$400,H121)=0,"UNMAPPED","OK"),"")</f>
        <v/>
      </c>
    </row>
    <row r="122" customFormat="false" ht="15" hidden="false" customHeight="false" outlineLevel="0" collapsed="false">
      <c r="A122" s="6" t="s">
        <v>354</v>
      </c>
      <c r="B122" s="11" t="n">
        <v>1800</v>
      </c>
      <c r="C122" s="11" t="n">
        <f aca="false">B122</f>
        <v>1800</v>
      </c>
      <c r="D122" s="36" t="str">
        <f aca="false">TRIM(A122)</f>
        <v>500193 Math Department Expenses</v>
      </c>
      <c r="E122" s="36" t="str">
        <f aca="false">IF(D122="Revenue","Revenue",IF(D122="Cost of Goods Sold","COGS",IF(D122="Expenditures","Expense",IF(D122="Other Revenue","Other Revenue",IF(D122="Other Expenditures","Other Expense",E121)))))</f>
        <v>Expense</v>
      </c>
      <c r="F122" s="36" t="str">
        <f aca="false">IF(OR(D122="Revenue",D122="Cost of Goods Sold",D122="Expenditures",D122="Other Revenue",D122="Other Expenditures"),E122,IF(AND(LEN(D122)&gt;2,MID(D122,2,1)=" ",ISNUMBER(VALUE(LEFT(D122,1)))),D122,F121))</f>
        <v>2 Instructional Expenses</v>
      </c>
      <c r="G122" s="36" t="n">
        <f aca="false">IF(AND(D122&lt;&gt;"",ISNUMBER(B122),LEFT(D122,9)&lt;&gt;"Total for",D122&lt;&gt;"Gross Profit",D122&lt;&gt;"Net Operating Revenue",D122&lt;&gt;"Net Other Revenue",D122&lt;&gt;"Net Revenue"),1,0)</f>
        <v>1</v>
      </c>
      <c r="H122" s="36" t="str">
        <f aca="false">IF(G122=1,IF(AND(LEN(D122)&gt;7,ISNUMBER(VALUE(LEFT(D122,6))),MID(D122,7,1)=" "),LEFT(D122,6),D122),"")</f>
        <v>500193</v>
      </c>
      <c r="I122" s="36" t="str">
        <f aca="false">IF(G122=1,IF(COUNTIF('Forecast Detail'!$C$8:$C$400,H122)=0,"UNMAPPED","OK"),"")</f>
        <v>OK</v>
      </c>
    </row>
    <row r="123" customFormat="false" ht="15" hidden="false" customHeight="false" outlineLevel="0" collapsed="false">
      <c r="A123" s="6" t="s">
        <v>356</v>
      </c>
      <c r="B123" s="11" t="n">
        <v>300</v>
      </c>
      <c r="C123" s="11" t="n">
        <f aca="false">B123</f>
        <v>300</v>
      </c>
      <c r="D123" s="36" t="str">
        <f aca="false">TRIM(A123)</f>
        <v>500194 English Department Expense</v>
      </c>
      <c r="E123" s="36" t="str">
        <f aca="false">IF(D123="Revenue","Revenue",IF(D123="Cost of Goods Sold","COGS",IF(D123="Expenditures","Expense",IF(D123="Other Revenue","Other Revenue",IF(D123="Other Expenditures","Other Expense",E122)))))</f>
        <v>Expense</v>
      </c>
      <c r="F123" s="36" t="str">
        <f aca="false">IF(OR(D123="Revenue",D123="Cost of Goods Sold",D123="Expenditures",D123="Other Revenue",D123="Other Expenditures"),E123,IF(AND(LEN(D123)&gt;2,MID(D123,2,1)=" ",ISNUMBER(VALUE(LEFT(D123,1)))),D123,F122))</f>
        <v>2 Instructional Expenses</v>
      </c>
      <c r="G123" s="36" t="n">
        <f aca="false">IF(AND(D123&lt;&gt;"",ISNUMBER(B123),LEFT(D123,9)&lt;&gt;"Total for",D123&lt;&gt;"Gross Profit",D123&lt;&gt;"Net Operating Revenue",D123&lt;&gt;"Net Other Revenue",D123&lt;&gt;"Net Revenue"),1,0)</f>
        <v>1</v>
      </c>
      <c r="H123" s="36" t="str">
        <f aca="false">IF(G123=1,IF(AND(LEN(D123)&gt;7,ISNUMBER(VALUE(LEFT(D123,6))),MID(D123,7,1)=" "),LEFT(D123,6),D123),"")</f>
        <v>500194</v>
      </c>
      <c r="I123" s="36" t="str">
        <f aca="false">IF(G123=1,IF(COUNTIF('Forecast Detail'!$C$8:$C$400,H123)=0,"UNMAPPED","OK"),"")</f>
        <v>OK</v>
      </c>
    </row>
    <row r="124" customFormat="false" ht="15" hidden="false" customHeight="false" outlineLevel="0" collapsed="false">
      <c r="A124" s="6" t="s">
        <v>358</v>
      </c>
      <c r="B124" s="11" t="n">
        <v>0</v>
      </c>
      <c r="C124" s="11" t="n">
        <f aca="false">B124</f>
        <v>0</v>
      </c>
      <c r="D124" s="36" t="str">
        <f aca="false">TRIM(A124)</f>
        <v>500195 Curriculum Review</v>
      </c>
      <c r="E124" s="36" t="str">
        <f aca="false">IF(D124="Revenue","Revenue",IF(D124="Cost of Goods Sold","COGS",IF(D124="Expenditures","Expense",IF(D124="Other Revenue","Other Revenue",IF(D124="Other Expenditures","Other Expense",E123)))))</f>
        <v>Expense</v>
      </c>
      <c r="F124" s="36" t="str">
        <f aca="false">IF(OR(D124="Revenue",D124="Cost of Goods Sold",D124="Expenditures",D124="Other Revenue",D124="Other Expenditures"),E124,IF(AND(LEN(D124)&gt;2,MID(D124,2,1)=" ",ISNUMBER(VALUE(LEFT(D124,1)))),D124,F123))</f>
        <v>2 Instructional Expenses</v>
      </c>
      <c r="G124" s="36" t="n">
        <f aca="false">IF(AND(D124&lt;&gt;"",ISNUMBER(B124),LEFT(D124,9)&lt;&gt;"Total for",D124&lt;&gt;"Gross Profit",D124&lt;&gt;"Net Operating Revenue",D124&lt;&gt;"Net Other Revenue",D124&lt;&gt;"Net Revenue"),1,0)</f>
        <v>1</v>
      </c>
      <c r="H124" s="36" t="str">
        <f aca="false">IF(G124=1,IF(AND(LEN(D124)&gt;7,ISNUMBER(VALUE(LEFT(D124,6))),MID(D124,7,1)=" "),LEFT(D124,6),D124),"")</f>
        <v>500195</v>
      </c>
      <c r="I124" s="36" t="str">
        <f aca="false">IF(G124=1,IF(COUNTIF('Forecast Detail'!$C$8:$C$400,H124)=0,"UNMAPPED","OK"),"")</f>
        <v>OK</v>
      </c>
    </row>
    <row r="125" customFormat="false" ht="15" hidden="false" customHeight="false" outlineLevel="0" collapsed="false">
      <c r="A125" s="6" t="s">
        <v>360</v>
      </c>
      <c r="B125" s="11" t="n">
        <v>300</v>
      </c>
      <c r="C125" s="11" t="n">
        <f aca="false">B125</f>
        <v>300</v>
      </c>
      <c r="D125" s="36" t="str">
        <f aca="false">TRIM(A125)</f>
        <v>500196 History Department Expense</v>
      </c>
      <c r="E125" s="36" t="str">
        <f aca="false">IF(D125="Revenue","Revenue",IF(D125="Cost of Goods Sold","COGS",IF(D125="Expenditures","Expense",IF(D125="Other Revenue","Other Revenue",IF(D125="Other Expenditures","Other Expense",E124)))))</f>
        <v>Expense</v>
      </c>
      <c r="F125" s="36" t="str">
        <f aca="false">IF(OR(D125="Revenue",D125="Cost of Goods Sold",D125="Expenditures",D125="Other Revenue",D125="Other Expenditures"),E125,IF(AND(LEN(D125)&gt;2,MID(D125,2,1)=" ",ISNUMBER(VALUE(LEFT(D125,1)))),D125,F124))</f>
        <v>2 Instructional Expenses</v>
      </c>
      <c r="G125" s="36" t="n">
        <f aca="false">IF(AND(D125&lt;&gt;"",ISNUMBER(B125),LEFT(D125,9)&lt;&gt;"Total for",D125&lt;&gt;"Gross Profit",D125&lt;&gt;"Net Operating Revenue",D125&lt;&gt;"Net Other Revenue",D125&lt;&gt;"Net Revenue"),1,0)</f>
        <v>1</v>
      </c>
      <c r="H125" s="36" t="str">
        <f aca="false">IF(G125=1,IF(AND(LEN(D125)&gt;7,ISNUMBER(VALUE(LEFT(D125,6))),MID(D125,7,1)=" "),LEFT(D125,6),D125),"")</f>
        <v>500196</v>
      </c>
      <c r="I125" s="36" t="str">
        <f aca="false">IF(G125=1,IF(COUNTIF('Forecast Detail'!$C$8:$C$400,H125)=0,"UNMAPPED","OK"),"")</f>
        <v>OK</v>
      </c>
    </row>
    <row r="126" customFormat="false" ht="15" hidden="false" customHeight="false" outlineLevel="0" collapsed="false">
      <c r="A126" s="6" t="s">
        <v>362</v>
      </c>
      <c r="B126" s="11" t="n">
        <v>2000</v>
      </c>
      <c r="C126" s="11" t="n">
        <f aca="false">B126</f>
        <v>2000</v>
      </c>
      <c r="D126" s="36" t="str">
        <f aca="false">TRIM(A126)</f>
        <v>500197 Foreign Language Expenses</v>
      </c>
      <c r="E126" s="36" t="str">
        <f aca="false">IF(D126="Revenue","Revenue",IF(D126="Cost of Goods Sold","COGS",IF(D126="Expenditures","Expense",IF(D126="Other Revenue","Other Revenue",IF(D126="Other Expenditures","Other Expense",E125)))))</f>
        <v>Expense</v>
      </c>
      <c r="F126" s="36" t="str">
        <f aca="false">IF(OR(D126="Revenue",D126="Cost of Goods Sold",D126="Expenditures",D126="Other Revenue",D126="Other Expenditures"),E126,IF(AND(LEN(D126)&gt;2,MID(D126,2,1)=" ",ISNUMBER(VALUE(LEFT(D126,1)))),D126,F125))</f>
        <v>2 Instructional Expenses</v>
      </c>
      <c r="G126" s="36" t="n">
        <f aca="false">IF(AND(D126&lt;&gt;"",ISNUMBER(B126),LEFT(D126,9)&lt;&gt;"Total for",D126&lt;&gt;"Gross Profit",D126&lt;&gt;"Net Operating Revenue",D126&lt;&gt;"Net Other Revenue",D126&lt;&gt;"Net Revenue"),1,0)</f>
        <v>1</v>
      </c>
      <c r="H126" s="36" t="str">
        <f aca="false">IF(G126=1,IF(AND(LEN(D126)&gt;7,ISNUMBER(VALUE(LEFT(D126,6))),MID(D126,7,1)=" "),LEFT(D126,6),D126),"")</f>
        <v>500197</v>
      </c>
      <c r="I126" s="36" t="str">
        <f aca="false">IF(G126=1,IF(COUNTIF('Forecast Detail'!$C$8:$C$400,H126)=0,"UNMAPPED","OK"),"")</f>
        <v>OK</v>
      </c>
    </row>
    <row r="127" customFormat="false" ht="15" hidden="false" customHeight="false" outlineLevel="0" collapsed="false">
      <c r="A127" s="6" t="s">
        <v>364</v>
      </c>
      <c r="B127" s="11" t="n">
        <v>500</v>
      </c>
      <c r="C127" s="11" t="n">
        <f aca="false">B127</f>
        <v>500</v>
      </c>
      <c r="D127" s="36" t="str">
        <f aca="false">TRIM(A127)</f>
        <v>500198 Christian Studies Department</v>
      </c>
      <c r="E127" s="36" t="str">
        <f aca="false">IF(D127="Revenue","Revenue",IF(D127="Cost of Goods Sold","COGS",IF(D127="Expenditures","Expense",IF(D127="Other Revenue","Other Revenue",IF(D127="Other Expenditures","Other Expense",E126)))))</f>
        <v>Expense</v>
      </c>
      <c r="F127" s="36" t="str">
        <f aca="false">IF(OR(D127="Revenue",D127="Cost of Goods Sold",D127="Expenditures",D127="Other Revenue",D127="Other Expenditures"),E127,IF(AND(LEN(D127)&gt;2,MID(D127,2,1)=" ",ISNUMBER(VALUE(LEFT(D127,1)))),D127,F126))</f>
        <v>2 Instructional Expenses</v>
      </c>
      <c r="G127" s="36" t="n">
        <f aca="false">IF(AND(D127&lt;&gt;"",ISNUMBER(B127),LEFT(D127,9)&lt;&gt;"Total for",D127&lt;&gt;"Gross Profit",D127&lt;&gt;"Net Operating Revenue",D127&lt;&gt;"Net Other Revenue",D127&lt;&gt;"Net Revenue"),1,0)</f>
        <v>1</v>
      </c>
      <c r="H127" s="36" t="str">
        <f aca="false">IF(G127=1,IF(AND(LEN(D127)&gt;7,ISNUMBER(VALUE(LEFT(D127,6))),MID(D127,7,1)=" "),LEFT(D127,6),D127),"")</f>
        <v>500198</v>
      </c>
      <c r="I127" s="36" t="str">
        <f aca="false">IF(G127=1,IF(COUNTIF('Forecast Detail'!$C$8:$C$400,H127)=0,"UNMAPPED","OK"),"")</f>
        <v>OK</v>
      </c>
    </row>
    <row r="128" customFormat="false" ht="15" hidden="false" customHeight="false" outlineLevel="0" collapsed="false">
      <c r="A128" s="6" t="s">
        <v>366</v>
      </c>
      <c r="B128" s="11" t="n">
        <v>3000</v>
      </c>
      <c r="C128" s="11" t="n">
        <f aca="false">B128</f>
        <v>3000</v>
      </c>
      <c r="D128" s="36" t="str">
        <f aca="false">TRIM(A128)</f>
        <v>500199 Science Department</v>
      </c>
      <c r="E128" s="36" t="str">
        <f aca="false">IF(D128="Revenue","Revenue",IF(D128="Cost of Goods Sold","COGS",IF(D128="Expenditures","Expense",IF(D128="Other Revenue","Other Revenue",IF(D128="Other Expenditures","Other Expense",E127)))))</f>
        <v>Expense</v>
      </c>
      <c r="F128" s="36" t="str">
        <f aca="false">IF(OR(D128="Revenue",D128="Cost of Goods Sold",D128="Expenditures",D128="Other Revenue",D128="Other Expenditures"),E128,IF(AND(LEN(D128)&gt;2,MID(D128,2,1)=" ",ISNUMBER(VALUE(LEFT(D128,1)))),D128,F127))</f>
        <v>2 Instructional Expenses</v>
      </c>
      <c r="G128" s="36" t="n">
        <f aca="false">IF(AND(D128&lt;&gt;"",ISNUMBER(B128),LEFT(D128,9)&lt;&gt;"Total for",D128&lt;&gt;"Gross Profit",D128&lt;&gt;"Net Operating Revenue",D128&lt;&gt;"Net Other Revenue",D128&lt;&gt;"Net Revenue"),1,0)</f>
        <v>1</v>
      </c>
      <c r="H128" s="36" t="str">
        <f aca="false">IF(G128=1,IF(AND(LEN(D128)&gt;7,ISNUMBER(VALUE(LEFT(D128,6))),MID(D128,7,1)=" "),LEFT(D128,6),D128),"")</f>
        <v>500199</v>
      </c>
      <c r="I128" s="36" t="str">
        <f aca="false">IF(G128=1,IF(COUNTIF('Forecast Detail'!$C$8:$C$400,H128)=0,"UNMAPPED","OK"),"")</f>
        <v>OK</v>
      </c>
    </row>
    <row r="129" customFormat="false" ht="15" hidden="false" customHeight="false" outlineLevel="0" collapsed="false">
      <c r="A129" s="6" t="s">
        <v>368</v>
      </c>
      <c r="B129" s="11" t="n">
        <v>8700</v>
      </c>
      <c r="C129" s="11" t="n">
        <f aca="false">B129</f>
        <v>8700</v>
      </c>
      <c r="D129" s="36" t="str">
        <f aca="false">TRIM(A129)</f>
        <v>500200 Tech and Media Class Expenses</v>
      </c>
      <c r="E129" s="36" t="str">
        <f aca="false">IF(D129="Revenue","Revenue",IF(D129="Cost of Goods Sold","COGS",IF(D129="Expenditures","Expense",IF(D129="Other Revenue","Other Revenue",IF(D129="Other Expenditures","Other Expense",E128)))))</f>
        <v>Expense</v>
      </c>
      <c r="F129" s="36" t="str">
        <f aca="false">IF(OR(D129="Revenue",D129="Cost of Goods Sold",D129="Expenditures",D129="Other Revenue",D129="Other Expenditures"),E129,IF(AND(LEN(D129)&gt;2,MID(D129,2,1)=" ",ISNUMBER(VALUE(LEFT(D129,1)))),D129,F128))</f>
        <v>2 Instructional Expenses</v>
      </c>
      <c r="G129" s="36" t="n">
        <f aca="false">IF(AND(D129&lt;&gt;"",ISNUMBER(B129),LEFT(D129,9)&lt;&gt;"Total for",D129&lt;&gt;"Gross Profit",D129&lt;&gt;"Net Operating Revenue",D129&lt;&gt;"Net Other Revenue",D129&lt;&gt;"Net Revenue"),1,0)</f>
        <v>1</v>
      </c>
      <c r="H129" s="36" t="str">
        <f aca="false">IF(G129=1,IF(AND(LEN(D129)&gt;7,ISNUMBER(VALUE(LEFT(D129,6))),MID(D129,7,1)=" "),LEFT(D129,6),D129),"")</f>
        <v>500200</v>
      </c>
      <c r="I129" s="36" t="str">
        <f aca="false">IF(G129=1,IF(COUNTIF('Forecast Detail'!$C$8:$C$400,H129)=0,"UNMAPPED","OK"),"")</f>
        <v>OK</v>
      </c>
    </row>
    <row r="130" customFormat="false" ht="15" hidden="false" customHeight="false" outlineLevel="0" collapsed="false">
      <c r="A130" s="6" t="s">
        <v>370</v>
      </c>
      <c r="B130" s="11" t="n">
        <v>2000</v>
      </c>
      <c r="C130" s="11" t="n">
        <f aca="false">B130</f>
        <v>2000</v>
      </c>
      <c r="D130" s="36" t="str">
        <f aca="false">TRIM(A130)</f>
        <v>500203 Middle School/Upper School Supplies</v>
      </c>
      <c r="E130" s="36" t="str">
        <f aca="false">IF(D130="Revenue","Revenue",IF(D130="Cost of Goods Sold","COGS",IF(D130="Expenditures","Expense",IF(D130="Other Revenue","Other Revenue",IF(D130="Other Expenditures","Other Expense",E129)))))</f>
        <v>Expense</v>
      </c>
      <c r="F130" s="36" t="str">
        <f aca="false">IF(OR(D130="Revenue",D130="Cost of Goods Sold",D130="Expenditures",D130="Other Revenue",D130="Other Expenditures"),E130,IF(AND(LEN(D130)&gt;2,MID(D130,2,1)=" ",ISNUMBER(VALUE(LEFT(D130,1)))),D130,F129))</f>
        <v>2 Instructional Expenses</v>
      </c>
      <c r="G130" s="36" t="n">
        <f aca="false">IF(AND(D130&lt;&gt;"",ISNUMBER(B130),LEFT(D130,9)&lt;&gt;"Total for",D130&lt;&gt;"Gross Profit",D130&lt;&gt;"Net Operating Revenue",D130&lt;&gt;"Net Other Revenue",D130&lt;&gt;"Net Revenue"),1,0)</f>
        <v>1</v>
      </c>
      <c r="H130" s="36" t="str">
        <f aca="false">IF(G130=1,IF(AND(LEN(D130)&gt;7,ISNUMBER(VALUE(LEFT(D130,6))),MID(D130,7,1)=" "),LEFT(D130,6),D130),"")</f>
        <v>500203</v>
      </c>
      <c r="I130" s="36" t="str">
        <f aca="false">IF(G130=1,IF(COUNTIF('Forecast Detail'!$C$8:$C$400,H130)=0,"UNMAPPED","OK"),"")</f>
        <v>OK</v>
      </c>
    </row>
    <row r="131" customFormat="false" ht="15" hidden="false" customHeight="false" outlineLevel="0" collapsed="false">
      <c r="A131" s="6" t="s">
        <v>372</v>
      </c>
      <c r="B131" s="11" t="n">
        <v>2000</v>
      </c>
      <c r="C131" s="11" t="n">
        <f aca="false">B131</f>
        <v>2000</v>
      </c>
      <c r="D131" s="36" t="str">
        <f aca="false">TRIM(A131)</f>
        <v>500204 Winterim Class Expense</v>
      </c>
      <c r="E131" s="36" t="str">
        <f aca="false">IF(D131="Revenue","Revenue",IF(D131="Cost of Goods Sold","COGS",IF(D131="Expenditures","Expense",IF(D131="Other Revenue","Other Revenue",IF(D131="Other Expenditures","Other Expense",E130)))))</f>
        <v>Expense</v>
      </c>
      <c r="F131" s="36" t="str">
        <f aca="false">IF(OR(D131="Revenue",D131="Cost of Goods Sold",D131="Expenditures",D131="Other Revenue",D131="Other Expenditures"),E131,IF(AND(LEN(D131)&gt;2,MID(D131,2,1)=" ",ISNUMBER(VALUE(LEFT(D131,1)))),D131,F130))</f>
        <v>2 Instructional Expenses</v>
      </c>
      <c r="G131" s="36" t="n">
        <f aca="false">IF(AND(D131&lt;&gt;"",ISNUMBER(B131),LEFT(D131,9)&lt;&gt;"Total for",D131&lt;&gt;"Gross Profit",D131&lt;&gt;"Net Operating Revenue",D131&lt;&gt;"Net Other Revenue",D131&lt;&gt;"Net Revenue"),1,0)</f>
        <v>1</v>
      </c>
      <c r="H131" s="36" t="str">
        <f aca="false">IF(G131=1,IF(AND(LEN(D131)&gt;7,ISNUMBER(VALUE(LEFT(D131,6))),MID(D131,7,1)=" "),LEFT(D131,6),D131),"")</f>
        <v>500204</v>
      </c>
      <c r="I131" s="36" t="str">
        <f aca="false">IF(G131=1,IF(COUNTIF('Forecast Detail'!$C$8:$C$400,H131)=0,"UNMAPPED","OK"),"")</f>
        <v>OK</v>
      </c>
    </row>
    <row r="132" customFormat="false" ht="15" hidden="false" customHeight="false" outlineLevel="0" collapsed="false">
      <c r="A132" s="6" t="s">
        <v>374</v>
      </c>
      <c r="B132" s="11" t="n">
        <v>0</v>
      </c>
      <c r="C132" s="11" t="n">
        <f aca="false">B132</f>
        <v>0</v>
      </c>
      <c r="D132" s="36" t="str">
        <f aca="false">TRIM(A132)</f>
        <v>500205 MakerSpace Expenses</v>
      </c>
      <c r="E132" s="36" t="str">
        <f aca="false">IF(D132="Revenue","Revenue",IF(D132="Cost of Goods Sold","COGS",IF(D132="Expenditures","Expense",IF(D132="Other Revenue","Other Revenue",IF(D132="Other Expenditures","Other Expense",E131)))))</f>
        <v>Expense</v>
      </c>
      <c r="F132" s="36" t="str">
        <f aca="false">IF(OR(D132="Revenue",D132="Cost of Goods Sold",D132="Expenditures",D132="Other Revenue",D132="Other Expenditures"),E132,IF(AND(LEN(D132)&gt;2,MID(D132,2,1)=" ",ISNUMBER(VALUE(LEFT(D132,1)))),D132,F131))</f>
        <v>2 Instructional Expenses</v>
      </c>
      <c r="G132" s="36" t="n">
        <f aca="false">IF(AND(D132&lt;&gt;"",ISNUMBER(B132),LEFT(D132,9)&lt;&gt;"Total for",D132&lt;&gt;"Gross Profit",D132&lt;&gt;"Net Operating Revenue",D132&lt;&gt;"Net Other Revenue",D132&lt;&gt;"Net Revenue"),1,0)</f>
        <v>1</v>
      </c>
      <c r="H132" s="36" t="str">
        <f aca="false">IF(G132=1,IF(AND(LEN(D132)&gt;7,ISNUMBER(VALUE(LEFT(D132,6))),MID(D132,7,1)=" "),LEFT(D132,6),D132),"")</f>
        <v>500205</v>
      </c>
      <c r="I132" s="36" t="str">
        <f aca="false">IF(G132=1,IF(COUNTIF('Forecast Detail'!$C$8:$C$400,H132)=0,"UNMAPPED","OK"),"")</f>
        <v>OK</v>
      </c>
    </row>
    <row r="133" customFormat="false" ht="15" hidden="false" customHeight="false" outlineLevel="0" collapsed="false">
      <c r="A133" s="6" t="s">
        <v>376</v>
      </c>
      <c r="B133" s="11" t="n">
        <v>0</v>
      </c>
      <c r="C133" s="11" t="n">
        <f aca="false">B133</f>
        <v>0</v>
      </c>
      <c r="D133" s="36" t="str">
        <f aca="false">TRIM(A133)</f>
        <v>500207 MS/US Activities Billed</v>
      </c>
      <c r="E133" s="36" t="str">
        <f aca="false">IF(D133="Revenue","Revenue",IF(D133="Cost of Goods Sold","COGS",IF(D133="Expenditures","Expense",IF(D133="Other Revenue","Other Revenue",IF(D133="Other Expenditures","Other Expense",E132)))))</f>
        <v>Expense</v>
      </c>
      <c r="F133" s="36" t="str">
        <f aca="false">IF(OR(D133="Revenue",D133="Cost of Goods Sold",D133="Expenditures",D133="Other Revenue",D133="Other Expenditures"),E133,IF(AND(LEN(D133)&gt;2,MID(D133,2,1)=" ",ISNUMBER(VALUE(LEFT(D133,1)))),D133,F132))</f>
        <v>2 Instructional Expenses</v>
      </c>
      <c r="G133" s="36" t="n">
        <f aca="false">IF(AND(D133&lt;&gt;"",ISNUMBER(B133),LEFT(D133,9)&lt;&gt;"Total for",D133&lt;&gt;"Gross Profit",D133&lt;&gt;"Net Operating Revenue",D133&lt;&gt;"Net Other Revenue",D133&lt;&gt;"Net Revenue"),1,0)</f>
        <v>1</v>
      </c>
      <c r="H133" s="36" t="str">
        <f aca="false">IF(G133=1,IF(AND(LEN(D133)&gt;7,ISNUMBER(VALUE(LEFT(D133,6))),MID(D133,7,1)=" "),LEFT(D133,6),D133),"")</f>
        <v>500207</v>
      </c>
      <c r="I133" s="36" t="str">
        <f aca="false">IF(G133=1,IF(COUNTIF('Forecast Detail'!$C$8:$C$400,H133)=0,"UNMAPPED","OK"),"")</f>
        <v>OK</v>
      </c>
    </row>
    <row r="134" customFormat="false" ht="15" hidden="false" customHeight="false" outlineLevel="0" collapsed="false">
      <c r="A134" s="6" t="s">
        <v>378</v>
      </c>
      <c r="B134" s="11" t="n">
        <v>0</v>
      </c>
      <c r="C134" s="11" t="n">
        <f aca="false">B134</f>
        <v>0</v>
      </c>
      <c r="D134" s="36" t="str">
        <f aca="false">TRIM(A134)</f>
        <v>500208 Academic Testing AP</v>
      </c>
      <c r="E134" s="36" t="str">
        <f aca="false">IF(D134="Revenue","Revenue",IF(D134="Cost of Goods Sold","COGS",IF(D134="Expenditures","Expense",IF(D134="Other Revenue","Other Revenue",IF(D134="Other Expenditures","Other Expense",E133)))))</f>
        <v>Expense</v>
      </c>
      <c r="F134" s="36" t="str">
        <f aca="false">IF(OR(D134="Revenue",D134="Cost of Goods Sold",D134="Expenditures",D134="Other Revenue",D134="Other Expenditures"),E134,IF(AND(LEN(D134)&gt;2,MID(D134,2,1)=" ",ISNUMBER(VALUE(LEFT(D134,1)))),D134,F133))</f>
        <v>2 Instructional Expenses</v>
      </c>
      <c r="G134" s="36" t="n">
        <f aca="false">IF(AND(D134&lt;&gt;"",ISNUMBER(B134),LEFT(D134,9)&lt;&gt;"Total for",D134&lt;&gt;"Gross Profit",D134&lt;&gt;"Net Operating Revenue",D134&lt;&gt;"Net Other Revenue",D134&lt;&gt;"Net Revenue"),1,0)</f>
        <v>1</v>
      </c>
      <c r="H134" s="36" t="str">
        <f aca="false">IF(G134=1,IF(AND(LEN(D134)&gt;7,ISNUMBER(VALUE(LEFT(D134,6))),MID(D134,7,1)=" "),LEFT(D134,6),D134),"")</f>
        <v>500208</v>
      </c>
      <c r="I134" s="36" t="str">
        <f aca="false">IF(G134=1,IF(COUNTIF('Forecast Detail'!$C$8:$C$400,H134)=0,"UNMAPPED","OK"),"")</f>
        <v>OK</v>
      </c>
    </row>
    <row r="135" customFormat="false" ht="15" hidden="false" customHeight="false" outlineLevel="0" collapsed="false">
      <c r="A135" s="6" t="s">
        <v>380</v>
      </c>
      <c r="B135" s="11" t="n">
        <v>1500</v>
      </c>
      <c r="C135" s="11" t="n">
        <f aca="false">B135</f>
        <v>1500</v>
      </c>
      <c r="D135" s="36" t="str">
        <f aca="false">TRIM(A135)</f>
        <v>500209 MS/US Principal Activities</v>
      </c>
      <c r="E135" s="36" t="str">
        <f aca="false">IF(D135="Revenue","Revenue",IF(D135="Cost of Goods Sold","COGS",IF(D135="Expenditures","Expense",IF(D135="Other Revenue","Other Revenue",IF(D135="Other Expenditures","Other Expense",E134)))))</f>
        <v>Expense</v>
      </c>
      <c r="F135" s="36" t="str">
        <f aca="false">IF(OR(D135="Revenue",D135="Cost of Goods Sold",D135="Expenditures",D135="Other Revenue",D135="Other Expenditures"),E135,IF(AND(LEN(D135)&gt;2,MID(D135,2,1)=" ",ISNUMBER(VALUE(LEFT(D135,1)))),D135,F134))</f>
        <v>2 Instructional Expenses</v>
      </c>
      <c r="G135" s="36" t="n">
        <f aca="false">IF(AND(D135&lt;&gt;"",ISNUMBER(B135),LEFT(D135,9)&lt;&gt;"Total for",D135&lt;&gt;"Gross Profit",D135&lt;&gt;"Net Operating Revenue",D135&lt;&gt;"Net Other Revenue",D135&lt;&gt;"Net Revenue"),1,0)</f>
        <v>1</v>
      </c>
      <c r="H135" s="36" t="str">
        <f aca="false">IF(G135=1,IF(AND(LEN(D135)&gt;7,ISNUMBER(VALUE(LEFT(D135,6))),MID(D135,7,1)=" "),LEFT(D135,6),D135),"")</f>
        <v>500209</v>
      </c>
      <c r="I135" s="36" t="str">
        <f aca="false">IF(G135=1,IF(COUNTIF('Forecast Detail'!$C$8:$C$400,H135)=0,"UNMAPPED","OK"),"")</f>
        <v>OK</v>
      </c>
    </row>
    <row r="136" customFormat="false" ht="15" hidden="false" customHeight="false" outlineLevel="0" collapsed="false">
      <c r="A136" s="6" t="s">
        <v>382</v>
      </c>
      <c r="B136" s="11" t="n">
        <v>0</v>
      </c>
      <c r="C136" s="11" t="n">
        <f aca="false">B136</f>
        <v>0</v>
      </c>
      <c r="D136" s="36" t="str">
        <f aca="false">TRIM(A136)</f>
        <v>500211 Consumables/Workbooks US&amp;MS</v>
      </c>
      <c r="E136" s="36" t="str">
        <f aca="false">IF(D136="Revenue","Revenue",IF(D136="Cost of Goods Sold","COGS",IF(D136="Expenditures","Expense",IF(D136="Other Revenue","Other Revenue",IF(D136="Other Expenditures","Other Expense",E135)))))</f>
        <v>Expense</v>
      </c>
      <c r="F136" s="36" t="str">
        <f aca="false">IF(OR(D136="Revenue",D136="Cost of Goods Sold",D136="Expenditures",D136="Other Revenue",D136="Other Expenditures"),E136,IF(AND(LEN(D136)&gt;2,MID(D136,2,1)=" ",ISNUMBER(VALUE(LEFT(D136,1)))),D136,F135))</f>
        <v>2 Instructional Expenses</v>
      </c>
      <c r="G136" s="36" t="n">
        <f aca="false">IF(AND(D136&lt;&gt;"",ISNUMBER(B136),LEFT(D136,9)&lt;&gt;"Total for",D136&lt;&gt;"Gross Profit",D136&lt;&gt;"Net Operating Revenue",D136&lt;&gt;"Net Other Revenue",D136&lt;&gt;"Net Revenue"),1,0)</f>
        <v>1</v>
      </c>
      <c r="H136" s="36" t="str">
        <f aca="false">IF(G136=1,IF(AND(LEN(D136)&gt;7,ISNUMBER(VALUE(LEFT(D136,6))),MID(D136,7,1)=" "),LEFT(D136,6),D136),"")</f>
        <v>500211</v>
      </c>
      <c r="I136" s="36" t="str">
        <f aca="false">IF(G136=1,IF(COUNTIF('Forecast Detail'!$C$8:$C$400,H136)=0,"UNMAPPED","OK"),"")</f>
        <v>OK</v>
      </c>
    </row>
    <row r="137" customFormat="false" ht="15" hidden="false" customHeight="false" outlineLevel="0" collapsed="false">
      <c r="A137" s="6" t="s">
        <v>384</v>
      </c>
      <c r="B137" s="11" t="n">
        <v>29700</v>
      </c>
      <c r="C137" s="11" t="n">
        <f aca="false">B137</f>
        <v>29700</v>
      </c>
      <c r="D137" s="36" t="str">
        <f aca="false">TRIM(A137)</f>
        <v>500212 MS Textbooks</v>
      </c>
      <c r="E137" s="36" t="str">
        <f aca="false">IF(D137="Revenue","Revenue",IF(D137="Cost of Goods Sold","COGS",IF(D137="Expenditures","Expense",IF(D137="Other Revenue","Other Revenue",IF(D137="Other Expenditures","Other Expense",E136)))))</f>
        <v>Expense</v>
      </c>
      <c r="F137" s="36" t="str">
        <f aca="false">IF(OR(D137="Revenue",D137="Cost of Goods Sold",D137="Expenditures",D137="Other Revenue",D137="Other Expenditures"),E137,IF(AND(LEN(D137)&gt;2,MID(D137,2,1)=" ",ISNUMBER(VALUE(LEFT(D137,1)))),D137,F136))</f>
        <v>2 Instructional Expenses</v>
      </c>
      <c r="G137" s="36" t="n">
        <f aca="false">IF(AND(D137&lt;&gt;"",ISNUMBER(B137),LEFT(D137,9)&lt;&gt;"Total for",D137&lt;&gt;"Gross Profit",D137&lt;&gt;"Net Operating Revenue",D137&lt;&gt;"Net Other Revenue",D137&lt;&gt;"Net Revenue"),1,0)</f>
        <v>1</v>
      </c>
      <c r="H137" s="36" t="str">
        <f aca="false">IF(G137=1,IF(AND(LEN(D137)&gt;7,ISNUMBER(VALUE(LEFT(D137,6))),MID(D137,7,1)=" "),LEFT(D137,6),D137),"")</f>
        <v>500212</v>
      </c>
      <c r="I137" s="36" t="str">
        <f aca="false">IF(G137=1,IF(COUNTIF('Forecast Detail'!$C$8:$C$400,H137)=0,"UNMAPPED","OK"),"")</f>
        <v>OK</v>
      </c>
    </row>
    <row r="138" customFormat="false" ht="15" hidden="false" customHeight="false" outlineLevel="0" collapsed="false">
      <c r="A138" s="6" t="s">
        <v>386</v>
      </c>
      <c r="B138" s="11" t="n">
        <v>0</v>
      </c>
      <c r="C138" s="11" t="n">
        <f aca="false">B138</f>
        <v>0</v>
      </c>
      <c r="D138" s="36" t="str">
        <f aca="false">TRIM(A138)</f>
        <v>500213 Textbooks AP</v>
      </c>
      <c r="E138" s="36" t="str">
        <f aca="false">IF(D138="Revenue","Revenue",IF(D138="Cost of Goods Sold","COGS",IF(D138="Expenditures","Expense",IF(D138="Other Revenue","Other Revenue",IF(D138="Other Expenditures","Other Expense",E137)))))</f>
        <v>Expense</v>
      </c>
      <c r="F138" s="36" t="str">
        <f aca="false">IF(OR(D138="Revenue",D138="Cost of Goods Sold",D138="Expenditures",D138="Other Revenue",D138="Other Expenditures"),E138,IF(AND(LEN(D138)&gt;2,MID(D138,2,1)=" ",ISNUMBER(VALUE(LEFT(D138,1)))),D138,F137))</f>
        <v>2 Instructional Expenses</v>
      </c>
      <c r="G138" s="36" t="n">
        <f aca="false">IF(AND(D138&lt;&gt;"",ISNUMBER(B138),LEFT(D138,9)&lt;&gt;"Total for",D138&lt;&gt;"Gross Profit",D138&lt;&gt;"Net Operating Revenue",D138&lt;&gt;"Net Other Revenue",D138&lt;&gt;"Net Revenue"),1,0)</f>
        <v>1</v>
      </c>
      <c r="H138" s="36" t="str">
        <f aca="false">IF(G138=1,IF(AND(LEN(D138)&gt;7,ISNUMBER(VALUE(LEFT(D138,6))),MID(D138,7,1)=" "),LEFT(D138,6),D138),"")</f>
        <v>500213</v>
      </c>
      <c r="I138" s="36" t="str">
        <f aca="false">IF(G138=1,IF(COUNTIF('Forecast Detail'!$C$8:$C$400,H138)=0,"UNMAPPED","OK"),"")</f>
        <v>OK</v>
      </c>
    </row>
    <row r="139" customFormat="false" ht="15" hidden="false" customHeight="false" outlineLevel="0" collapsed="false">
      <c r="A139" s="6" t="s">
        <v>388</v>
      </c>
      <c r="B139" s="11" t="n">
        <v>0</v>
      </c>
      <c r="C139" s="11" t="n">
        <f aca="false">B139</f>
        <v>0</v>
      </c>
      <c r="D139" s="36" t="str">
        <f aca="false">TRIM(A139)</f>
        <v>500214 Textbooks US</v>
      </c>
      <c r="E139" s="36" t="str">
        <f aca="false">IF(D139="Revenue","Revenue",IF(D139="Cost of Goods Sold","COGS",IF(D139="Expenditures","Expense",IF(D139="Other Revenue","Other Revenue",IF(D139="Other Expenditures","Other Expense",E138)))))</f>
        <v>Expense</v>
      </c>
      <c r="F139" s="36" t="str">
        <f aca="false">IF(OR(D139="Revenue",D139="Cost of Goods Sold",D139="Expenditures",D139="Other Revenue",D139="Other Expenditures"),E139,IF(AND(LEN(D139)&gt;2,MID(D139,2,1)=" ",ISNUMBER(VALUE(LEFT(D139,1)))),D139,F138))</f>
        <v>2 Instructional Expenses</v>
      </c>
      <c r="G139" s="36" t="n">
        <f aca="false">IF(AND(D139&lt;&gt;"",ISNUMBER(B139),LEFT(D139,9)&lt;&gt;"Total for",D139&lt;&gt;"Gross Profit",D139&lt;&gt;"Net Operating Revenue",D139&lt;&gt;"Net Other Revenue",D139&lt;&gt;"Net Revenue"),1,0)</f>
        <v>1</v>
      </c>
      <c r="H139" s="36" t="str">
        <f aca="false">IF(G139=1,IF(AND(LEN(D139)&gt;7,ISNUMBER(VALUE(LEFT(D139,6))),MID(D139,7,1)=" "),LEFT(D139,6),D139),"")</f>
        <v>500214</v>
      </c>
      <c r="I139" s="36" t="str">
        <f aca="false">IF(G139=1,IF(COUNTIF('Forecast Detail'!$C$8:$C$400,H139)=0,"UNMAPPED","OK"),"")</f>
        <v>OK</v>
      </c>
    </row>
    <row r="140" customFormat="false" ht="15" hidden="false" customHeight="false" outlineLevel="0" collapsed="false">
      <c r="A140" s="6" t="s">
        <v>390</v>
      </c>
      <c r="B140" s="11" t="n">
        <v>1000</v>
      </c>
      <c r="C140" s="11" t="n">
        <f aca="false">B140</f>
        <v>1000</v>
      </c>
      <c r="D140" s="36" t="str">
        <f aca="false">TRIM(A140)</f>
        <v>500215 Innovation Class Expenses</v>
      </c>
      <c r="E140" s="36" t="str">
        <f aca="false">IF(D140="Revenue","Revenue",IF(D140="Cost of Goods Sold","COGS",IF(D140="Expenditures","Expense",IF(D140="Other Revenue","Other Revenue",IF(D140="Other Expenditures","Other Expense",E139)))))</f>
        <v>Expense</v>
      </c>
      <c r="F140" s="36" t="str">
        <f aca="false">IF(OR(D140="Revenue",D140="Cost of Goods Sold",D140="Expenditures",D140="Other Revenue",D140="Other Expenditures"),E140,IF(AND(LEN(D140)&gt;2,MID(D140,2,1)=" ",ISNUMBER(VALUE(LEFT(D140,1)))),D140,F139))</f>
        <v>2 Instructional Expenses</v>
      </c>
      <c r="G140" s="36" t="n">
        <f aca="false">IF(AND(D140&lt;&gt;"",ISNUMBER(B140),LEFT(D140,9)&lt;&gt;"Total for",D140&lt;&gt;"Gross Profit",D140&lt;&gt;"Net Operating Revenue",D140&lt;&gt;"Net Other Revenue",D140&lt;&gt;"Net Revenue"),1,0)</f>
        <v>1</v>
      </c>
      <c r="H140" s="36" t="str">
        <f aca="false">IF(G140=1,IF(AND(LEN(D140)&gt;7,ISNUMBER(VALUE(LEFT(D140,6))),MID(D140,7,1)=" "),LEFT(D140,6),D140),"")</f>
        <v>500215</v>
      </c>
      <c r="I140" s="36" t="str">
        <f aca="false">IF(G140=1,IF(COUNTIF('Forecast Detail'!$C$8:$C$400,H140)=0,"UNMAPPED","OK"),"")</f>
        <v>OK</v>
      </c>
    </row>
    <row r="141" customFormat="false" ht="15" hidden="false" customHeight="false" outlineLevel="0" collapsed="false">
      <c r="A141" s="6" t="s">
        <v>392</v>
      </c>
      <c r="B141" s="11" t="n">
        <v>7000</v>
      </c>
      <c r="C141" s="11" t="n">
        <f aca="false">B141</f>
        <v>7000</v>
      </c>
      <c r="D141" s="36" t="str">
        <f aca="false">TRIM(A141)</f>
        <v>500216 OnLine Course Expense</v>
      </c>
      <c r="E141" s="36" t="str">
        <f aca="false">IF(D141="Revenue","Revenue",IF(D141="Cost of Goods Sold","COGS",IF(D141="Expenditures","Expense",IF(D141="Other Revenue","Other Revenue",IF(D141="Other Expenditures","Other Expense",E140)))))</f>
        <v>Expense</v>
      </c>
      <c r="F141" s="36" t="str">
        <f aca="false">IF(OR(D141="Revenue",D141="Cost of Goods Sold",D141="Expenditures",D141="Other Revenue",D141="Other Expenditures"),E141,IF(AND(LEN(D141)&gt;2,MID(D141,2,1)=" ",ISNUMBER(VALUE(LEFT(D141,1)))),D141,F140))</f>
        <v>2 Instructional Expenses</v>
      </c>
      <c r="G141" s="36" t="n">
        <f aca="false">IF(AND(D141&lt;&gt;"",ISNUMBER(B141),LEFT(D141,9)&lt;&gt;"Total for",D141&lt;&gt;"Gross Profit",D141&lt;&gt;"Net Operating Revenue",D141&lt;&gt;"Net Other Revenue",D141&lt;&gt;"Net Revenue"),1,0)</f>
        <v>1</v>
      </c>
      <c r="H141" s="36" t="str">
        <f aca="false">IF(G141=1,IF(AND(LEN(D141)&gt;7,ISNUMBER(VALUE(LEFT(D141,6))),MID(D141,7,1)=" "),LEFT(D141,6),D141),"")</f>
        <v>500216</v>
      </c>
      <c r="I141" s="36" t="str">
        <f aca="false">IF(G141=1,IF(COUNTIF('Forecast Detail'!$C$8:$C$400,H141)=0,"UNMAPPED","OK"),"")</f>
        <v>OK</v>
      </c>
    </row>
    <row r="142" customFormat="false" ht="15" hidden="false" customHeight="false" outlineLevel="0" collapsed="false">
      <c r="A142" s="6" t="s">
        <v>653</v>
      </c>
      <c r="B142" s="11" t="n">
        <f aca="false">B121+B122+B123+B124+B125+B126+B127+B128+B129+B130+B131+B132+B133+B134+B135+B136+B137+B138+B139+B140+B141</f>
        <v>59800</v>
      </c>
      <c r="C142" s="11" t="n">
        <f aca="false">B142</f>
        <v>59800</v>
      </c>
      <c r="D142" s="36" t="str">
        <f aca="false">TRIM(A142)</f>
        <v>Total for Middle/Upper School Division</v>
      </c>
      <c r="E142" s="36" t="str">
        <f aca="false">IF(D142="Revenue","Revenue",IF(D142="Cost of Goods Sold","COGS",IF(D142="Expenditures","Expense",IF(D142="Other Revenue","Other Revenue",IF(D142="Other Expenditures","Other Expense",E141)))))</f>
        <v>Expense</v>
      </c>
      <c r="F142" s="36" t="str">
        <f aca="false">IF(OR(D142="Revenue",D142="Cost of Goods Sold",D142="Expenditures",D142="Other Revenue",D142="Other Expenditures"),E142,IF(AND(LEN(D142)&gt;2,MID(D142,2,1)=" ",ISNUMBER(VALUE(LEFT(D142,1)))),D142,F141))</f>
        <v>2 Instructional Expenses</v>
      </c>
      <c r="G142" s="36" t="n">
        <f aca="false">IF(AND(D142&lt;&gt;"",ISNUMBER(B142),LEFT(D142,9)&lt;&gt;"Total for",D142&lt;&gt;"Gross Profit",D142&lt;&gt;"Net Operating Revenue",D142&lt;&gt;"Net Other Revenue",D142&lt;&gt;"Net Revenue"),1,0)</f>
        <v>0</v>
      </c>
      <c r="H142" s="36" t="str">
        <f aca="false">IF(G142=1,IF(AND(LEN(D142)&gt;7,ISNUMBER(VALUE(LEFT(D142,6))),MID(D142,7,1)=" "),LEFT(D142,6),D142),"")</f>
        <v/>
      </c>
      <c r="I142" s="36" t="str">
        <f aca="false">IF(G142=1,IF(COUNTIF('Forecast Detail'!$C$8:$C$400,H142)=0,"UNMAPPED","OK"),"")</f>
        <v/>
      </c>
    </row>
    <row r="143" customFormat="false" ht="15" hidden="false" customHeight="false" outlineLevel="0" collapsed="false">
      <c r="A143" s="6" t="s">
        <v>393</v>
      </c>
      <c r="B143" s="11" t="n">
        <v>5000</v>
      </c>
      <c r="C143" s="11" t="n">
        <f aca="false">B143</f>
        <v>5000</v>
      </c>
      <c r="D143" s="36" t="str">
        <f aca="false">TRIM(A143)</f>
        <v>Student Activities Expenses</v>
      </c>
      <c r="E143" s="36" t="str">
        <f aca="false">IF(D143="Revenue","Revenue",IF(D143="Cost of Goods Sold","COGS",IF(D143="Expenditures","Expense",IF(D143="Other Revenue","Other Revenue",IF(D143="Other Expenditures","Other Expense",E142)))))</f>
        <v>Expense</v>
      </c>
      <c r="F143" s="36" t="str">
        <f aca="false">IF(OR(D143="Revenue",D143="Cost of Goods Sold",D143="Expenditures",D143="Other Revenue",D143="Other Expenditures"),E143,IF(AND(LEN(D143)&gt;2,MID(D143,2,1)=" ",ISNUMBER(VALUE(LEFT(D143,1)))),D143,F142))</f>
        <v>2 Instructional Expenses</v>
      </c>
      <c r="G143" s="36" t="n">
        <f aca="false">IF(AND(D143&lt;&gt;"",ISNUMBER(B143),LEFT(D143,9)&lt;&gt;"Total for",D143&lt;&gt;"Gross Profit",D143&lt;&gt;"Net Operating Revenue",D143&lt;&gt;"Net Other Revenue",D143&lt;&gt;"Net Revenue"),1,0)</f>
        <v>1</v>
      </c>
      <c r="H143" s="36" t="str">
        <f aca="false">IF(G143=1,IF(AND(LEN(D143)&gt;7,ISNUMBER(VALUE(LEFT(D143,6))),MID(D143,7,1)=" "),LEFT(D143,6),D143),"")</f>
        <v>Student Activities Expenses</v>
      </c>
      <c r="I143" s="36" t="str">
        <f aca="false">IF(G143=1,IF(COUNTIF('Forecast Detail'!$C$8:$C$400,H143)=0,"UNMAPPED","OK"),"")</f>
        <v>OK</v>
      </c>
    </row>
    <row r="144" customFormat="false" ht="15" hidden="false" customHeight="false" outlineLevel="0" collapsed="false">
      <c r="A144" s="6" t="s">
        <v>395</v>
      </c>
      <c r="B144" s="11" t="n">
        <v>0</v>
      </c>
      <c r="C144" s="11" t="n">
        <f aca="false">B144</f>
        <v>0</v>
      </c>
      <c r="D144" s="36" t="str">
        <f aca="false">TRIM(A144)</f>
        <v>500283 All School Activity Expenses</v>
      </c>
      <c r="E144" s="36" t="str">
        <f aca="false">IF(D144="Revenue","Revenue",IF(D144="Cost of Goods Sold","COGS",IF(D144="Expenditures","Expense",IF(D144="Other Revenue","Other Revenue",IF(D144="Other Expenditures","Other Expense",E143)))))</f>
        <v>Expense</v>
      </c>
      <c r="F144" s="36" t="str">
        <f aca="false">IF(OR(D144="Revenue",D144="Cost of Goods Sold",D144="Expenditures",D144="Other Revenue",D144="Other Expenditures"),E144,IF(AND(LEN(D144)&gt;2,MID(D144,2,1)=" ",ISNUMBER(VALUE(LEFT(D144,1)))),D144,F143))</f>
        <v>2 Instructional Expenses</v>
      </c>
      <c r="G144" s="36" t="n">
        <f aca="false">IF(AND(D144&lt;&gt;"",ISNUMBER(B144),LEFT(D144,9)&lt;&gt;"Total for",D144&lt;&gt;"Gross Profit",D144&lt;&gt;"Net Operating Revenue",D144&lt;&gt;"Net Other Revenue",D144&lt;&gt;"Net Revenue"),1,0)</f>
        <v>1</v>
      </c>
      <c r="H144" s="36" t="str">
        <f aca="false">IF(G144=1,IF(AND(LEN(D144)&gt;7,ISNUMBER(VALUE(LEFT(D144,6))),MID(D144,7,1)=" "),LEFT(D144,6),D144),"")</f>
        <v>500283</v>
      </c>
      <c r="I144" s="36" t="str">
        <f aca="false">IF(G144=1,IF(COUNTIF('Forecast Detail'!$C$8:$C$400,H144)=0,"UNMAPPED","OK"),"")</f>
        <v>OK</v>
      </c>
    </row>
    <row r="145" customFormat="false" ht="15" hidden="false" customHeight="false" outlineLevel="0" collapsed="false">
      <c r="A145" s="6" t="s">
        <v>397</v>
      </c>
      <c r="B145" s="11" t="n">
        <v>10000</v>
      </c>
      <c r="C145" s="11" t="n">
        <f aca="false">B145</f>
        <v>10000</v>
      </c>
      <c r="D145" s="36" t="str">
        <f aca="false">TRIM(A145)</f>
        <v>500311 Graduation Activities</v>
      </c>
      <c r="E145" s="36" t="str">
        <f aca="false">IF(D145="Revenue","Revenue",IF(D145="Cost of Goods Sold","COGS",IF(D145="Expenditures","Expense",IF(D145="Other Revenue","Other Revenue",IF(D145="Other Expenditures","Other Expense",E144)))))</f>
        <v>Expense</v>
      </c>
      <c r="F145" s="36" t="str">
        <f aca="false">IF(OR(D145="Revenue",D145="Cost of Goods Sold",D145="Expenditures",D145="Other Revenue",D145="Other Expenditures"),E145,IF(AND(LEN(D145)&gt;2,MID(D145,2,1)=" ",ISNUMBER(VALUE(LEFT(D145,1)))),D145,F144))</f>
        <v>2 Instructional Expenses</v>
      </c>
      <c r="G145" s="36" t="n">
        <f aca="false">IF(AND(D145&lt;&gt;"",ISNUMBER(B145),LEFT(D145,9)&lt;&gt;"Total for",D145&lt;&gt;"Gross Profit",D145&lt;&gt;"Net Operating Revenue",D145&lt;&gt;"Net Other Revenue",D145&lt;&gt;"Net Revenue"),1,0)</f>
        <v>1</v>
      </c>
      <c r="H145" s="36" t="str">
        <f aca="false">IF(G145=1,IF(AND(LEN(D145)&gt;7,ISNUMBER(VALUE(LEFT(D145,6))),MID(D145,7,1)=" "),LEFT(D145,6),D145),"")</f>
        <v>500311</v>
      </c>
      <c r="I145" s="36" t="str">
        <f aca="false">IF(G145=1,IF(COUNTIF('Forecast Detail'!$C$8:$C$400,H145)=0,"UNMAPPED","OK"),"")</f>
        <v>OK</v>
      </c>
    </row>
    <row r="146" customFormat="false" ht="15" hidden="false" customHeight="false" outlineLevel="0" collapsed="false">
      <c r="A146" s="6" t="s">
        <v>399</v>
      </c>
      <c r="B146" s="11" t="n">
        <v>0</v>
      </c>
      <c r="C146" s="11" t="n">
        <f aca="false">B146</f>
        <v>0</v>
      </c>
      <c r="D146" s="36" t="str">
        <f aca="false">TRIM(A146)</f>
        <v>500313 Junior Class Prom</v>
      </c>
      <c r="E146" s="36" t="str">
        <f aca="false">IF(D146="Revenue","Revenue",IF(D146="Cost of Goods Sold","COGS",IF(D146="Expenditures","Expense",IF(D146="Other Revenue","Other Revenue",IF(D146="Other Expenditures","Other Expense",E145)))))</f>
        <v>Expense</v>
      </c>
      <c r="F146" s="36" t="str">
        <f aca="false">IF(OR(D146="Revenue",D146="Cost of Goods Sold",D146="Expenditures",D146="Other Revenue",D146="Other Expenditures"),E146,IF(AND(LEN(D146)&gt;2,MID(D146,2,1)=" ",ISNUMBER(VALUE(LEFT(D146,1)))),D146,F145))</f>
        <v>2 Instructional Expenses</v>
      </c>
      <c r="G146" s="36" t="n">
        <f aca="false">IF(AND(D146&lt;&gt;"",ISNUMBER(B146),LEFT(D146,9)&lt;&gt;"Total for",D146&lt;&gt;"Gross Profit",D146&lt;&gt;"Net Operating Revenue",D146&lt;&gt;"Net Other Revenue",D146&lt;&gt;"Net Revenue"),1,0)</f>
        <v>1</v>
      </c>
      <c r="H146" s="36" t="str">
        <f aca="false">IF(G146=1,IF(AND(LEN(D146)&gt;7,ISNUMBER(VALUE(LEFT(D146,6))),MID(D146,7,1)=" "),LEFT(D146,6),D146),"")</f>
        <v>500313</v>
      </c>
      <c r="I146" s="36" t="str">
        <f aca="false">IF(G146=1,IF(COUNTIF('Forecast Detail'!$C$8:$C$400,H146)=0,"UNMAPPED","OK"),"")</f>
        <v>OK</v>
      </c>
    </row>
    <row r="147" customFormat="false" ht="15" hidden="false" customHeight="false" outlineLevel="0" collapsed="false">
      <c r="A147" s="6" t="s">
        <v>401</v>
      </c>
      <c r="B147" s="11" t="n">
        <v>0</v>
      </c>
      <c r="C147" s="11" t="n">
        <f aca="false">B147</f>
        <v>0</v>
      </c>
      <c r="D147" s="36" t="str">
        <f aca="false">TRIM(A147)</f>
        <v>500318 Purchases Student Activities Billable</v>
      </c>
      <c r="E147" s="36" t="str">
        <f aca="false">IF(D147="Revenue","Revenue",IF(D147="Cost of Goods Sold","COGS",IF(D147="Expenditures","Expense",IF(D147="Other Revenue","Other Revenue",IF(D147="Other Expenditures","Other Expense",E146)))))</f>
        <v>Expense</v>
      </c>
      <c r="F147" s="36" t="str">
        <f aca="false">IF(OR(D147="Revenue",D147="Cost of Goods Sold",D147="Expenditures",D147="Other Revenue",D147="Other Expenditures"),E147,IF(AND(LEN(D147)&gt;2,MID(D147,2,1)=" ",ISNUMBER(VALUE(LEFT(D147,1)))),D147,F146))</f>
        <v>2 Instructional Expenses</v>
      </c>
      <c r="G147" s="36" t="n">
        <f aca="false">IF(AND(D147&lt;&gt;"",ISNUMBER(B147),LEFT(D147,9)&lt;&gt;"Total for",D147&lt;&gt;"Gross Profit",D147&lt;&gt;"Net Operating Revenue",D147&lt;&gt;"Net Other Revenue",D147&lt;&gt;"Net Revenue"),1,0)</f>
        <v>1</v>
      </c>
      <c r="H147" s="36" t="str">
        <f aca="false">IF(G147=1,IF(AND(LEN(D147)&gt;7,ISNUMBER(VALUE(LEFT(D147,6))),MID(D147,7,1)=" "),LEFT(D147,6),D147),"")</f>
        <v>500318</v>
      </c>
      <c r="I147" s="36" t="str">
        <f aca="false">IF(G147=1,IF(COUNTIF('Forecast Detail'!$C$8:$C$400,H147)=0,"UNMAPPED","OK"),"")</f>
        <v>OK</v>
      </c>
    </row>
    <row r="148" customFormat="false" ht="15" hidden="false" customHeight="false" outlineLevel="0" collapsed="false">
      <c r="A148" s="6" t="s">
        <v>403</v>
      </c>
      <c r="B148" s="11" t="n">
        <v>0</v>
      </c>
      <c r="C148" s="11" t="n">
        <f aca="false">B148</f>
        <v>0</v>
      </c>
      <c r="D148" s="36" t="str">
        <f aca="false">TRIM(A148)</f>
        <v>500340 Senior Class Expenses</v>
      </c>
      <c r="E148" s="36" t="str">
        <f aca="false">IF(D148="Revenue","Revenue",IF(D148="Cost of Goods Sold","COGS",IF(D148="Expenditures","Expense",IF(D148="Other Revenue","Other Revenue",IF(D148="Other Expenditures","Other Expense",E147)))))</f>
        <v>Expense</v>
      </c>
      <c r="F148" s="36" t="str">
        <f aca="false">IF(OR(D148="Revenue",D148="Cost of Goods Sold",D148="Expenditures",D148="Other Revenue",D148="Other Expenditures"),E148,IF(AND(LEN(D148)&gt;2,MID(D148,2,1)=" ",ISNUMBER(VALUE(LEFT(D148,1)))),D148,F147))</f>
        <v>2 Instructional Expenses</v>
      </c>
      <c r="G148" s="36" t="n">
        <f aca="false">IF(AND(D148&lt;&gt;"",ISNUMBER(B148),LEFT(D148,9)&lt;&gt;"Total for",D148&lt;&gt;"Gross Profit",D148&lt;&gt;"Net Operating Revenue",D148&lt;&gt;"Net Other Revenue",D148&lt;&gt;"Net Revenue"),1,0)</f>
        <v>1</v>
      </c>
      <c r="H148" s="36" t="str">
        <f aca="false">IF(G148=1,IF(AND(LEN(D148)&gt;7,ISNUMBER(VALUE(LEFT(D148,6))),MID(D148,7,1)=" "),LEFT(D148,6),D148),"")</f>
        <v>500340</v>
      </c>
      <c r="I148" s="36" t="str">
        <f aca="false">IF(G148=1,IF(COUNTIF('Forecast Detail'!$C$8:$C$400,H148)=0,"UNMAPPED","OK"),"")</f>
        <v>OK</v>
      </c>
    </row>
    <row r="149" customFormat="false" ht="15" hidden="false" customHeight="false" outlineLevel="0" collapsed="false">
      <c r="A149" s="6" t="s">
        <v>405</v>
      </c>
      <c r="B149" s="11" t="n">
        <v>0</v>
      </c>
      <c r="C149" s="11" t="n">
        <f aca="false">B149</f>
        <v>0</v>
      </c>
      <c r="D149" s="36" t="str">
        <f aca="false">TRIM(A149)</f>
        <v>500428 Wildcat Carnival</v>
      </c>
      <c r="E149" s="36" t="str">
        <f aca="false">IF(D149="Revenue","Revenue",IF(D149="Cost of Goods Sold","COGS",IF(D149="Expenditures","Expense",IF(D149="Other Revenue","Other Revenue",IF(D149="Other Expenditures","Other Expense",E148)))))</f>
        <v>Expense</v>
      </c>
      <c r="F149" s="36" t="str">
        <f aca="false">IF(OR(D149="Revenue",D149="Cost of Goods Sold",D149="Expenditures",D149="Other Revenue",D149="Other Expenditures"),E149,IF(AND(LEN(D149)&gt;2,MID(D149,2,1)=" ",ISNUMBER(VALUE(LEFT(D149,1)))),D149,F148))</f>
        <v>2 Instructional Expenses</v>
      </c>
      <c r="G149" s="36" t="n">
        <f aca="false">IF(AND(D149&lt;&gt;"",ISNUMBER(B149),LEFT(D149,9)&lt;&gt;"Total for",D149&lt;&gt;"Gross Profit",D149&lt;&gt;"Net Operating Revenue",D149&lt;&gt;"Net Other Revenue",D149&lt;&gt;"Net Revenue"),1,0)</f>
        <v>1</v>
      </c>
      <c r="H149" s="36" t="str">
        <f aca="false">IF(G149=1,IF(AND(LEN(D149)&gt;7,ISNUMBER(VALUE(LEFT(D149,6))),MID(D149,7,1)=" "),LEFT(D149,6),D149),"")</f>
        <v>500428</v>
      </c>
      <c r="I149" s="36" t="str">
        <f aca="false">IF(G149=1,IF(COUNTIF('Forecast Detail'!$C$8:$C$400,H149)=0,"UNMAPPED","OK"),"")</f>
        <v>OK</v>
      </c>
    </row>
    <row r="150" customFormat="false" ht="15" hidden="false" customHeight="false" outlineLevel="0" collapsed="false">
      <c r="A150" s="6" t="s">
        <v>407</v>
      </c>
      <c r="B150" s="11" t="n">
        <v>0</v>
      </c>
      <c r="C150" s="11" t="n">
        <f aca="false">B150</f>
        <v>0</v>
      </c>
      <c r="D150" s="36" t="str">
        <f aca="false">TRIM(A150)</f>
        <v>500434 MS/US Field Trips Billable</v>
      </c>
      <c r="E150" s="36" t="str">
        <f aca="false">IF(D150="Revenue","Revenue",IF(D150="Cost of Goods Sold","COGS",IF(D150="Expenditures","Expense",IF(D150="Other Revenue","Other Revenue",IF(D150="Other Expenditures","Other Expense",E149)))))</f>
        <v>Expense</v>
      </c>
      <c r="F150" s="36" t="str">
        <f aca="false">IF(OR(D150="Revenue",D150="Cost of Goods Sold",D150="Expenditures",D150="Other Revenue",D150="Other Expenditures"),E150,IF(AND(LEN(D150)&gt;2,MID(D150,2,1)=" ",ISNUMBER(VALUE(LEFT(D150,1)))),D150,F149))</f>
        <v>2 Instructional Expenses</v>
      </c>
      <c r="G150" s="36" t="n">
        <f aca="false">IF(AND(D150&lt;&gt;"",ISNUMBER(B150),LEFT(D150,9)&lt;&gt;"Total for",D150&lt;&gt;"Gross Profit",D150&lt;&gt;"Net Operating Revenue",D150&lt;&gt;"Net Other Revenue",D150&lt;&gt;"Net Revenue"),1,0)</f>
        <v>1</v>
      </c>
      <c r="H150" s="36" t="str">
        <f aca="false">IF(G150=1,IF(AND(LEN(D150)&gt;7,ISNUMBER(VALUE(LEFT(D150,6))),MID(D150,7,1)=" "),LEFT(D150,6),D150),"")</f>
        <v>500434</v>
      </c>
      <c r="I150" s="36" t="str">
        <f aca="false">IF(G150=1,IF(COUNTIF('Forecast Detail'!$C$8:$C$400,H150)=0,"UNMAPPED","OK"),"")</f>
        <v>OK</v>
      </c>
    </row>
    <row r="151" customFormat="false" ht="15" hidden="false" customHeight="false" outlineLevel="0" collapsed="false">
      <c r="A151" s="6" t="s">
        <v>654</v>
      </c>
      <c r="B151" s="11" t="n">
        <f aca="false">B143+B144+B145+B146+B147+B148+B149+B150</f>
        <v>15000</v>
      </c>
      <c r="C151" s="11" t="n">
        <f aca="false">B151</f>
        <v>15000</v>
      </c>
      <c r="D151" s="36" t="str">
        <f aca="false">TRIM(A151)</f>
        <v>Total for Student Activities Expenses</v>
      </c>
      <c r="E151" s="36" t="str">
        <f aca="false">IF(D151="Revenue","Revenue",IF(D151="Cost of Goods Sold","COGS",IF(D151="Expenditures","Expense",IF(D151="Other Revenue","Other Revenue",IF(D151="Other Expenditures","Other Expense",E150)))))</f>
        <v>Expense</v>
      </c>
      <c r="F151" s="36" t="str">
        <f aca="false">IF(OR(D151="Revenue",D151="Cost of Goods Sold",D151="Expenditures",D151="Other Revenue",D151="Other Expenditures"),E151,IF(AND(LEN(D151)&gt;2,MID(D151,2,1)=" ",ISNUMBER(VALUE(LEFT(D151,1)))),D151,F150))</f>
        <v>2 Instructional Expenses</v>
      </c>
      <c r="G151" s="36" t="n">
        <f aca="false">IF(AND(D151&lt;&gt;"",ISNUMBER(B151),LEFT(D151,9)&lt;&gt;"Total for",D151&lt;&gt;"Gross Profit",D151&lt;&gt;"Net Operating Revenue",D151&lt;&gt;"Net Other Revenue",D151&lt;&gt;"Net Revenue"),1,0)</f>
        <v>0</v>
      </c>
      <c r="H151" s="36" t="str">
        <f aca="false">IF(G151=1,IF(AND(LEN(D151)&gt;7,ISNUMBER(VALUE(LEFT(D151,6))),MID(D151,7,1)=" "),LEFT(D151,6),D151),"")</f>
        <v/>
      </c>
      <c r="I151" s="36" t="str">
        <f aca="false">IF(G151=1,IF(COUNTIF('Forecast Detail'!$C$8:$C$400,H151)=0,"UNMAPPED","OK"),"")</f>
        <v/>
      </c>
    </row>
    <row r="152" customFormat="false" ht="15" hidden="false" customHeight="false" outlineLevel="0" collapsed="false">
      <c r="A152" s="6" t="s">
        <v>655</v>
      </c>
      <c r="B152" s="11" t="n">
        <f aca="false">B100+B101+B107+B108+B109+B110+B111+B112+B117+B120+B142+B151</f>
        <v>252750</v>
      </c>
      <c r="C152" s="11" t="n">
        <f aca="false">B152</f>
        <v>252750</v>
      </c>
      <c r="D152" s="36" t="str">
        <f aca="false">TRIM(A152)</f>
        <v>Total for 2 Instructional Expenses</v>
      </c>
      <c r="E152" s="36" t="str">
        <f aca="false">IF(D152="Revenue","Revenue",IF(D152="Cost of Goods Sold","COGS",IF(D152="Expenditures","Expense",IF(D152="Other Revenue","Other Revenue",IF(D152="Other Expenditures","Other Expense",E151)))))</f>
        <v>Expense</v>
      </c>
      <c r="F152" s="36" t="str">
        <f aca="false">IF(OR(D152="Revenue",D152="Cost of Goods Sold",D152="Expenditures",D152="Other Revenue",D152="Other Expenditures"),E152,IF(AND(LEN(D152)&gt;2,MID(D152,2,1)=" ",ISNUMBER(VALUE(LEFT(D152,1)))),D152,F151))</f>
        <v>2 Instructional Expenses</v>
      </c>
      <c r="G152" s="36" t="n">
        <f aca="false">IF(AND(D152&lt;&gt;"",ISNUMBER(B152),LEFT(D152,9)&lt;&gt;"Total for",D152&lt;&gt;"Gross Profit",D152&lt;&gt;"Net Operating Revenue",D152&lt;&gt;"Net Other Revenue",D152&lt;&gt;"Net Revenue"),1,0)</f>
        <v>0</v>
      </c>
      <c r="H152" s="36" t="str">
        <f aca="false">IF(G152=1,IF(AND(LEN(D152)&gt;7,ISNUMBER(VALUE(LEFT(D152,6))),MID(D152,7,1)=" "),LEFT(D152,6),D152),"")</f>
        <v/>
      </c>
      <c r="I152" s="36" t="str">
        <f aca="false">IF(G152=1,IF(COUNTIF('Forecast Detail'!$C$8:$C$400,H152)=0,"UNMAPPED","OK"),"")</f>
        <v/>
      </c>
    </row>
    <row r="153" customFormat="false" ht="15" hidden="false" customHeight="false" outlineLevel="0" collapsed="false">
      <c r="A153" s="6" t="s">
        <v>16</v>
      </c>
      <c r="D153" s="36" t="str">
        <f aca="false">TRIM(A153)</f>
        <v>3 Operations</v>
      </c>
      <c r="E153" s="36" t="str">
        <f aca="false">IF(D153="Revenue","Revenue",IF(D153="Cost of Goods Sold","COGS",IF(D153="Expenditures","Expense",IF(D153="Other Revenue","Other Revenue",IF(D153="Other Expenditures","Other Expense",E152)))))</f>
        <v>Expense</v>
      </c>
      <c r="F153" s="36" t="str">
        <f aca="false">IF(OR(D153="Revenue",D153="Cost of Goods Sold",D153="Expenditures",D153="Other Revenue",D153="Other Expenditures"),E153,IF(AND(LEN(D153)&gt;2,MID(D153,2,1)=" ",ISNUMBER(VALUE(LEFT(D153,1)))),D153,F152))</f>
        <v>3 Operations</v>
      </c>
      <c r="G153" s="36" t="n">
        <f aca="false">IF(AND(D153&lt;&gt;"",ISNUMBER(B153),LEFT(D153,9)&lt;&gt;"Total for",D153&lt;&gt;"Gross Profit",D153&lt;&gt;"Net Operating Revenue",D153&lt;&gt;"Net Other Revenue",D153&lt;&gt;"Net Revenue"),1,0)</f>
        <v>0</v>
      </c>
      <c r="H153" s="36" t="str">
        <f aca="false">IF(G153=1,IF(AND(LEN(D153)&gt;7,ISNUMBER(VALUE(LEFT(D153,6))),MID(D153,7,1)=" "),LEFT(D153,6),D153),"")</f>
        <v/>
      </c>
      <c r="I153" s="36" t="str">
        <f aca="false">IF(G153=1,IF(COUNTIF('Forecast Detail'!$C$8:$C$400,H153)=0,"UNMAPPED","OK"),"")</f>
        <v/>
      </c>
    </row>
    <row r="154" customFormat="false" ht="15" hidden="false" customHeight="false" outlineLevel="0" collapsed="false">
      <c r="A154" s="6" t="s">
        <v>408</v>
      </c>
      <c r="B154" s="11" t="n">
        <v>45000</v>
      </c>
      <c r="C154" s="11" t="n">
        <f aca="false">B154</f>
        <v>45000</v>
      </c>
      <c r="D154" s="36" t="str">
        <f aca="false">TRIM(A154)</f>
        <v>Business Office Expenses</v>
      </c>
      <c r="E154" s="36" t="str">
        <f aca="false">IF(D154="Revenue","Revenue",IF(D154="Cost of Goods Sold","COGS",IF(D154="Expenditures","Expense",IF(D154="Other Revenue","Other Revenue",IF(D154="Other Expenditures","Other Expense",E153)))))</f>
        <v>Expense</v>
      </c>
      <c r="F154" s="36" t="str">
        <f aca="false">IF(OR(D154="Revenue",D154="Cost of Goods Sold",D154="Expenditures",D154="Other Revenue",D154="Other Expenditures"),E154,IF(AND(LEN(D154)&gt;2,MID(D154,2,1)=" ",ISNUMBER(VALUE(LEFT(D154,1)))),D154,F153))</f>
        <v>3 Operations</v>
      </c>
      <c r="G154" s="36" t="n">
        <f aca="false">IF(AND(D154&lt;&gt;"",ISNUMBER(B154),LEFT(D154,9)&lt;&gt;"Total for",D154&lt;&gt;"Gross Profit",D154&lt;&gt;"Net Operating Revenue",D154&lt;&gt;"Net Other Revenue",D154&lt;&gt;"Net Revenue"),1,0)</f>
        <v>1</v>
      </c>
      <c r="H154" s="36" t="str">
        <f aca="false">IF(G154=1,IF(AND(LEN(D154)&gt;7,ISNUMBER(VALUE(LEFT(D154,6))),MID(D154,7,1)=" "),LEFT(D154,6),D154),"")</f>
        <v>Business Office Expenses</v>
      </c>
      <c r="I154" s="36" t="str">
        <f aca="false">IF(G154=1,IF(COUNTIF('Forecast Detail'!$C$8:$C$400,H154)=0,"UNMAPPED","OK"),"")</f>
        <v>OK</v>
      </c>
    </row>
    <row r="155" customFormat="false" ht="15" hidden="false" customHeight="false" outlineLevel="0" collapsed="false">
      <c r="A155" s="6" t="s">
        <v>410</v>
      </c>
      <c r="B155" s="11" t="n">
        <v>0</v>
      </c>
      <c r="C155" s="11" t="n">
        <f aca="false">B155</f>
        <v>0</v>
      </c>
      <c r="D155" s="36" t="str">
        <f aca="false">TRIM(A155)</f>
        <v>500010 Postage Expense</v>
      </c>
      <c r="E155" s="36" t="str">
        <f aca="false">IF(D155="Revenue","Revenue",IF(D155="Cost of Goods Sold","COGS",IF(D155="Expenditures","Expense",IF(D155="Other Revenue","Other Revenue",IF(D155="Other Expenditures","Other Expense",E154)))))</f>
        <v>Expense</v>
      </c>
      <c r="F155" s="36" t="str">
        <f aca="false">IF(OR(D155="Revenue",D155="Cost of Goods Sold",D155="Expenditures",D155="Other Revenue",D155="Other Expenditures"),E155,IF(AND(LEN(D155)&gt;2,MID(D155,2,1)=" ",ISNUMBER(VALUE(LEFT(D155,1)))),D155,F154))</f>
        <v>3 Operations</v>
      </c>
      <c r="G155" s="36" t="n">
        <f aca="false">IF(AND(D155&lt;&gt;"",ISNUMBER(B155),LEFT(D155,9)&lt;&gt;"Total for",D155&lt;&gt;"Gross Profit",D155&lt;&gt;"Net Operating Revenue",D155&lt;&gt;"Net Other Revenue",D155&lt;&gt;"Net Revenue"),1,0)</f>
        <v>1</v>
      </c>
      <c r="H155" s="36" t="str">
        <f aca="false">IF(G155=1,IF(AND(LEN(D155)&gt;7,ISNUMBER(VALUE(LEFT(D155,6))),MID(D155,7,1)=" "),LEFT(D155,6),D155),"")</f>
        <v>500010</v>
      </c>
      <c r="I155" s="36" t="str">
        <f aca="false">IF(G155=1,IF(COUNTIF('Forecast Detail'!$C$8:$C$400,H155)=0,"UNMAPPED","OK"),"")</f>
        <v>OK</v>
      </c>
    </row>
    <row r="156" customFormat="false" ht="15" hidden="false" customHeight="false" outlineLevel="0" collapsed="false">
      <c r="A156" s="6" t="s">
        <v>412</v>
      </c>
      <c r="B156" s="11" t="n">
        <v>0</v>
      </c>
      <c r="C156" s="11" t="n">
        <f aca="false">B156</f>
        <v>0</v>
      </c>
      <c r="D156" s="36" t="str">
        <f aca="false">TRIM(A156)</f>
        <v>500241 FACTS Enrollment Fee Expense</v>
      </c>
      <c r="E156" s="36" t="str">
        <f aca="false">IF(D156="Revenue","Revenue",IF(D156="Cost of Goods Sold","COGS",IF(D156="Expenditures","Expense",IF(D156="Other Revenue","Other Revenue",IF(D156="Other Expenditures","Other Expense",E155)))))</f>
        <v>Expense</v>
      </c>
      <c r="F156" s="36" t="str">
        <f aca="false">IF(OR(D156="Revenue",D156="Cost of Goods Sold",D156="Expenditures",D156="Other Revenue",D156="Other Expenditures"),E156,IF(AND(LEN(D156)&gt;2,MID(D156,2,1)=" ",ISNUMBER(VALUE(LEFT(D156,1)))),D156,F155))</f>
        <v>3 Operations</v>
      </c>
      <c r="G156" s="36" t="n">
        <f aca="false">IF(AND(D156&lt;&gt;"",ISNUMBER(B156),LEFT(D156,9)&lt;&gt;"Total for",D156&lt;&gt;"Gross Profit",D156&lt;&gt;"Net Operating Revenue",D156&lt;&gt;"Net Other Revenue",D156&lt;&gt;"Net Revenue"),1,0)</f>
        <v>1</v>
      </c>
      <c r="H156" s="36" t="str">
        <f aca="false">IF(G156=1,IF(AND(LEN(D156)&gt;7,ISNUMBER(VALUE(LEFT(D156,6))),MID(D156,7,1)=" "),LEFT(D156,6),D156),"")</f>
        <v>500241</v>
      </c>
      <c r="I156" s="36" t="str">
        <f aca="false">IF(G156=1,IF(COUNTIF('Forecast Detail'!$C$8:$C$400,H156)=0,"UNMAPPED","OK"),"")</f>
        <v>OK</v>
      </c>
    </row>
    <row r="157" customFormat="false" ht="15" hidden="false" customHeight="false" outlineLevel="0" collapsed="false">
      <c r="A157" s="6" t="s">
        <v>414</v>
      </c>
      <c r="B157" s="11" t="n">
        <v>7500</v>
      </c>
      <c r="C157" s="11" t="n">
        <f aca="false">B157</f>
        <v>7500</v>
      </c>
      <c r="D157" s="36" t="str">
        <f aca="false">TRIM(A157)</f>
        <v>500242 FACTS Hosting Fee</v>
      </c>
      <c r="E157" s="36" t="str">
        <f aca="false">IF(D157="Revenue","Revenue",IF(D157="Cost of Goods Sold","COGS",IF(D157="Expenditures","Expense",IF(D157="Other Revenue","Other Revenue",IF(D157="Other Expenditures","Other Expense",E156)))))</f>
        <v>Expense</v>
      </c>
      <c r="F157" s="36" t="str">
        <f aca="false">IF(OR(D157="Revenue",D157="Cost of Goods Sold",D157="Expenditures",D157="Other Revenue",D157="Other Expenditures"),E157,IF(AND(LEN(D157)&gt;2,MID(D157,2,1)=" ",ISNUMBER(VALUE(LEFT(D157,1)))),D157,F156))</f>
        <v>3 Operations</v>
      </c>
      <c r="G157" s="36" t="n">
        <f aca="false">IF(AND(D157&lt;&gt;"",ISNUMBER(B157),LEFT(D157,9)&lt;&gt;"Total for",D157&lt;&gt;"Gross Profit",D157&lt;&gt;"Net Operating Revenue",D157&lt;&gt;"Net Other Revenue",D157&lt;&gt;"Net Revenue"),1,0)</f>
        <v>1</v>
      </c>
      <c r="H157" s="36" t="str">
        <f aca="false">IF(G157=1,IF(AND(LEN(D157)&gt;7,ISNUMBER(VALUE(LEFT(D157,6))),MID(D157,7,1)=" "),LEFT(D157,6),D157),"")</f>
        <v>500242</v>
      </c>
      <c r="I157" s="36" t="str">
        <f aca="false">IF(G157=1,IF(COUNTIF('Forecast Detail'!$C$8:$C$400,H157)=0,"UNMAPPED","OK"),"")</f>
        <v>OK</v>
      </c>
    </row>
    <row r="158" customFormat="false" ht="15" hidden="false" customHeight="false" outlineLevel="0" collapsed="false">
      <c r="A158" s="6" t="s">
        <v>416</v>
      </c>
      <c r="B158" s="11" t="n">
        <v>0</v>
      </c>
      <c r="C158" s="11" t="n">
        <f aca="false">B158</f>
        <v>0</v>
      </c>
      <c r="D158" s="36" t="str">
        <f aca="false">TRIM(A158)</f>
        <v>500243 FACTS Implementation Fee</v>
      </c>
      <c r="E158" s="36" t="str">
        <f aca="false">IF(D158="Revenue","Revenue",IF(D158="Cost of Goods Sold","COGS",IF(D158="Expenditures","Expense",IF(D158="Other Revenue","Other Revenue",IF(D158="Other Expenditures","Other Expense",E157)))))</f>
        <v>Expense</v>
      </c>
      <c r="F158" s="36" t="str">
        <f aca="false">IF(OR(D158="Revenue",D158="Cost of Goods Sold",D158="Expenditures",D158="Other Revenue",D158="Other Expenditures"),E158,IF(AND(LEN(D158)&gt;2,MID(D158,2,1)=" ",ISNUMBER(VALUE(LEFT(D158,1)))),D158,F157))</f>
        <v>3 Operations</v>
      </c>
      <c r="G158" s="36" t="n">
        <f aca="false">IF(AND(D158&lt;&gt;"",ISNUMBER(B158),LEFT(D158,9)&lt;&gt;"Total for",D158&lt;&gt;"Gross Profit",D158&lt;&gt;"Net Operating Revenue",D158&lt;&gt;"Net Other Revenue",D158&lt;&gt;"Net Revenue"),1,0)</f>
        <v>1</v>
      </c>
      <c r="H158" s="36" t="str">
        <f aca="false">IF(G158=1,IF(AND(LEN(D158)&gt;7,ISNUMBER(VALUE(LEFT(D158,6))),MID(D158,7,1)=" "),LEFT(D158,6),D158),"")</f>
        <v>500243</v>
      </c>
      <c r="I158" s="36" t="str">
        <f aca="false">IF(G158=1,IF(COUNTIF('Forecast Detail'!$C$8:$C$400,H158)=0,"UNMAPPED","OK"),"")</f>
        <v>OK</v>
      </c>
    </row>
    <row r="159" customFormat="false" ht="15" hidden="false" customHeight="false" outlineLevel="0" collapsed="false">
      <c r="A159" s="6" t="s">
        <v>418</v>
      </c>
      <c r="B159" s="11" t="n">
        <v>0</v>
      </c>
      <c r="C159" s="11" t="n">
        <f aca="false">B159</f>
        <v>0</v>
      </c>
      <c r="D159" s="36" t="str">
        <f aca="false">TRIM(A159)</f>
        <v>500244 FACTS Returned Payment Fee</v>
      </c>
      <c r="E159" s="36" t="str">
        <f aca="false">IF(D159="Revenue","Revenue",IF(D159="Cost of Goods Sold","COGS",IF(D159="Expenditures","Expense",IF(D159="Other Revenue","Other Revenue",IF(D159="Other Expenditures","Other Expense",E158)))))</f>
        <v>Expense</v>
      </c>
      <c r="F159" s="36" t="str">
        <f aca="false">IF(OR(D159="Revenue",D159="Cost of Goods Sold",D159="Expenditures",D159="Other Revenue",D159="Other Expenditures"),E159,IF(AND(LEN(D159)&gt;2,MID(D159,2,1)=" ",ISNUMBER(VALUE(LEFT(D159,1)))),D159,F158))</f>
        <v>3 Operations</v>
      </c>
      <c r="G159" s="36" t="n">
        <f aca="false">IF(AND(D159&lt;&gt;"",ISNUMBER(B159),LEFT(D159,9)&lt;&gt;"Total for",D159&lt;&gt;"Gross Profit",D159&lt;&gt;"Net Operating Revenue",D159&lt;&gt;"Net Other Revenue",D159&lt;&gt;"Net Revenue"),1,0)</f>
        <v>1</v>
      </c>
      <c r="H159" s="36" t="str">
        <f aca="false">IF(G159=1,IF(AND(LEN(D159)&gt;7,ISNUMBER(VALUE(LEFT(D159,6))),MID(D159,7,1)=" "),LEFT(D159,6),D159),"")</f>
        <v>500244</v>
      </c>
      <c r="I159" s="36" t="str">
        <f aca="false">IF(G159=1,IF(COUNTIF('Forecast Detail'!$C$8:$C$400,H159)=0,"UNMAPPED","OK"),"")</f>
        <v>OK</v>
      </c>
    </row>
    <row r="160" customFormat="false" ht="15" hidden="false" customHeight="false" outlineLevel="0" collapsed="false">
      <c r="A160" s="6" t="s">
        <v>420</v>
      </c>
      <c r="B160" s="11" t="n">
        <v>0</v>
      </c>
      <c r="C160" s="11" t="n">
        <f aca="false">B160</f>
        <v>0</v>
      </c>
      <c r="D160" s="36" t="str">
        <f aca="false">TRIM(A160)</f>
        <v>500245 FACTS Online Enrollment Fee</v>
      </c>
      <c r="E160" s="36" t="str">
        <f aca="false">IF(D160="Revenue","Revenue",IF(D160="Cost of Goods Sold","COGS",IF(D160="Expenditures","Expense",IF(D160="Other Revenue","Other Revenue",IF(D160="Other Expenditures","Other Expense",E159)))))</f>
        <v>Expense</v>
      </c>
      <c r="F160" s="36" t="str">
        <f aca="false">IF(OR(D160="Revenue",D160="Cost of Goods Sold",D160="Expenditures",D160="Other Revenue",D160="Other Expenditures"),E160,IF(AND(LEN(D160)&gt;2,MID(D160,2,1)=" ",ISNUMBER(VALUE(LEFT(D160,1)))),D160,F159))</f>
        <v>3 Operations</v>
      </c>
      <c r="G160" s="36" t="n">
        <f aca="false">IF(AND(D160&lt;&gt;"",ISNUMBER(B160),LEFT(D160,9)&lt;&gt;"Total for",D160&lt;&gt;"Gross Profit",D160&lt;&gt;"Net Operating Revenue",D160&lt;&gt;"Net Other Revenue",D160&lt;&gt;"Net Revenue"),1,0)</f>
        <v>1</v>
      </c>
      <c r="H160" s="36" t="str">
        <f aca="false">IF(G160=1,IF(AND(LEN(D160)&gt;7,ISNUMBER(VALUE(LEFT(D160,6))),MID(D160,7,1)=" "),LEFT(D160,6),D160),"")</f>
        <v>500245</v>
      </c>
      <c r="I160" s="36" t="str">
        <f aca="false">IF(G160=1,IF(COUNTIF('Forecast Detail'!$C$8:$C$400,H160)=0,"UNMAPPED","OK"),"")</f>
        <v>OK</v>
      </c>
    </row>
    <row r="161" customFormat="false" ht="15" hidden="false" customHeight="false" outlineLevel="0" collapsed="false">
      <c r="A161" s="6" t="s">
        <v>422</v>
      </c>
      <c r="B161" s="11" t="n">
        <v>0</v>
      </c>
      <c r="C161" s="11" t="n">
        <f aca="false">B161</f>
        <v>0</v>
      </c>
      <c r="D161" s="36" t="str">
        <f aca="false">TRIM(A161)</f>
        <v>500246 FACTS Application Fee</v>
      </c>
      <c r="E161" s="36" t="str">
        <f aca="false">IF(D161="Revenue","Revenue",IF(D161="Cost of Goods Sold","COGS",IF(D161="Expenditures","Expense",IF(D161="Other Revenue","Other Revenue",IF(D161="Other Expenditures","Other Expense",E160)))))</f>
        <v>Expense</v>
      </c>
      <c r="F161" s="36" t="str">
        <f aca="false">IF(OR(D161="Revenue",D161="Cost of Goods Sold",D161="Expenditures",D161="Other Revenue",D161="Other Expenditures"),E161,IF(AND(LEN(D161)&gt;2,MID(D161,2,1)=" ",ISNUMBER(VALUE(LEFT(D161,1)))),D161,F160))</f>
        <v>3 Operations</v>
      </c>
      <c r="G161" s="36" t="n">
        <f aca="false">IF(AND(D161&lt;&gt;"",ISNUMBER(B161),LEFT(D161,9)&lt;&gt;"Total for",D161&lt;&gt;"Gross Profit",D161&lt;&gt;"Net Operating Revenue",D161&lt;&gt;"Net Other Revenue",D161&lt;&gt;"Net Revenue"),1,0)</f>
        <v>1</v>
      </c>
      <c r="H161" s="36" t="str">
        <f aca="false">IF(G161=1,IF(AND(LEN(D161)&gt;7,ISNUMBER(VALUE(LEFT(D161,6))),MID(D161,7,1)=" "),LEFT(D161,6),D161),"")</f>
        <v>500246</v>
      </c>
      <c r="I161" s="36" t="str">
        <f aca="false">IF(G161=1,IF(COUNTIF('Forecast Detail'!$C$8:$C$400,H161)=0,"UNMAPPED","OK"),"")</f>
        <v>OK</v>
      </c>
    </row>
    <row r="162" customFormat="false" ht="15" hidden="false" customHeight="false" outlineLevel="0" collapsed="false">
      <c r="A162" s="6" t="s">
        <v>424</v>
      </c>
      <c r="B162" s="11" t="n">
        <v>0</v>
      </c>
      <c r="C162" s="11" t="n">
        <f aca="false">B162</f>
        <v>0</v>
      </c>
      <c r="D162" s="36" t="str">
        <f aca="false">TRIM(A162)</f>
        <v>500247 FACTS Services Expense</v>
      </c>
      <c r="E162" s="36" t="str">
        <f aca="false">IF(D162="Revenue","Revenue",IF(D162="Cost of Goods Sold","COGS",IF(D162="Expenditures","Expense",IF(D162="Other Revenue","Other Revenue",IF(D162="Other Expenditures","Other Expense",E161)))))</f>
        <v>Expense</v>
      </c>
      <c r="F162" s="36" t="str">
        <f aca="false">IF(OR(D162="Revenue",D162="Cost of Goods Sold",D162="Expenditures",D162="Other Revenue",D162="Other Expenditures"),E162,IF(AND(LEN(D162)&gt;2,MID(D162,2,1)=" ",ISNUMBER(VALUE(LEFT(D162,1)))),D162,F161))</f>
        <v>3 Operations</v>
      </c>
      <c r="G162" s="36" t="n">
        <f aca="false">IF(AND(D162&lt;&gt;"",ISNUMBER(B162),LEFT(D162,9)&lt;&gt;"Total for",D162&lt;&gt;"Gross Profit",D162&lt;&gt;"Net Operating Revenue",D162&lt;&gt;"Net Other Revenue",D162&lt;&gt;"Net Revenue"),1,0)</f>
        <v>1</v>
      </c>
      <c r="H162" s="36" t="str">
        <f aca="false">IF(G162=1,IF(AND(LEN(D162)&gt;7,ISNUMBER(VALUE(LEFT(D162,6))),MID(D162,7,1)=" "),LEFT(D162,6),D162),"")</f>
        <v>500247</v>
      </c>
      <c r="I162" s="36" t="str">
        <f aca="false">IF(G162=1,IF(COUNTIF('Forecast Detail'!$C$8:$C$400,H162)=0,"UNMAPPED","OK"),"")</f>
        <v>OK</v>
      </c>
    </row>
    <row r="163" customFormat="false" ht="15" hidden="false" customHeight="false" outlineLevel="0" collapsed="false">
      <c r="A163" s="6" t="s">
        <v>426</v>
      </c>
      <c r="B163" s="11" t="n">
        <v>0</v>
      </c>
      <c r="C163" s="11" t="n">
        <f aca="false">B163</f>
        <v>0</v>
      </c>
      <c r="D163" s="36" t="str">
        <f aca="false">TRIM(A163)</f>
        <v>500248 Pre-Employment Expenses</v>
      </c>
      <c r="E163" s="36" t="str">
        <f aca="false">IF(D163="Revenue","Revenue",IF(D163="Cost of Goods Sold","COGS",IF(D163="Expenditures","Expense",IF(D163="Other Revenue","Other Revenue",IF(D163="Other Expenditures","Other Expense",E162)))))</f>
        <v>Expense</v>
      </c>
      <c r="F163" s="36" t="str">
        <f aca="false">IF(OR(D163="Revenue",D163="Cost of Goods Sold",D163="Expenditures",D163="Other Revenue",D163="Other Expenditures"),E163,IF(AND(LEN(D163)&gt;2,MID(D163,2,1)=" ",ISNUMBER(VALUE(LEFT(D163,1)))),D163,F162))</f>
        <v>3 Operations</v>
      </c>
      <c r="G163" s="36" t="n">
        <f aca="false">IF(AND(D163&lt;&gt;"",ISNUMBER(B163),LEFT(D163,9)&lt;&gt;"Total for",D163&lt;&gt;"Gross Profit",D163&lt;&gt;"Net Operating Revenue",D163&lt;&gt;"Net Other Revenue",D163&lt;&gt;"Net Revenue"),1,0)</f>
        <v>1</v>
      </c>
      <c r="H163" s="36" t="str">
        <f aca="false">IF(G163=1,IF(AND(LEN(D163)&gt;7,ISNUMBER(VALUE(LEFT(D163,6))),MID(D163,7,1)=" "),LEFT(D163,6),D163),"")</f>
        <v>500248</v>
      </c>
      <c r="I163" s="36" t="str">
        <f aca="false">IF(G163=1,IF(COUNTIF('Forecast Detail'!$C$8:$C$400,H163)=0,"UNMAPPED","OK"),"")</f>
        <v>OK</v>
      </c>
    </row>
    <row r="164" customFormat="false" ht="15" hidden="false" customHeight="false" outlineLevel="0" collapsed="false">
      <c r="A164" s="6" t="s">
        <v>428</v>
      </c>
      <c r="B164" s="11" t="n">
        <v>0</v>
      </c>
      <c r="C164" s="11" t="n">
        <f aca="false">B164</f>
        <v>0</v>
      </c>
      <c r="D164" s="36" t="str">
        <f aca="false">TRIM(A164)</f>
        <v>500249 Business Office Expenses</v>
      </c>
      <c r="E164" s="36" t="str">
        <f aca="false">IF(D164="Revenue","Revenue",IF(D164="Cost of Goods Sold","COGS",IF(D164="Expenditures","Expense",IF(D164="Other Revenue","Other Revenue",IF(D164="Other Expenditures","Other Expense",E163)))))</f>
        <v>Expense</v>
      </c>
      <c r="F164" s="36" t="str">
        <f aca="false">IF(OR(D164="Revenue",D164="Cost of Goods Sold",D164="Expenditures",D164="Other Revenue",D164="Other Expenditures"),E164,IF(AND(LEN(D164)&gt;2,MID(D164,2,1)=" ",ISNUMBER(VALUE(LEFT(D164,1)))),D164,F163))</f>
        <v>3 Operations</v>
      </c>
      <c r="G164" s="36" t="n">
        <f aca="false">IF(AND(D164&lt;&gt;"",ISNUMBER(B164),LEFT(D164,9)&lt;&gt;"Total for",D164&lt;&gt;"Gross Profit",D164&lt;&gt;"Net Operating Revenue",D164&lt;&gt;"Net Other Revenue",D164&lt;&gt;"Net Revenue"),1,0)</f>
        <v>1</v>
      </c>
      <c r="H164" s="36" t="str">
        <f aca="false">IF(G164=1,IF(AND(LEN(D164)&gt;7,ISNUMBER(VALUE(LEFT(D164,6))),MID(D164,7,1)=" "),LEFT(D164,6),D164),"")</f>
        <v>500249</v>
      </c>
      <c r="I164" s="36" t="str">
        <f aca="false">IF(G164=1,IF(COUNTIF('Forecast Detail'!$C$8:$C$400,H164)=0,"UNMAPPED","OK"),"")</f>
        <v>OK</v>
      </c>
    </row>
    <row r="165" customFormat="false" ht="15" hidden="false" customHeight="false" outlineLevel="0" collapsed="false">
      <c r="A165" s="6" t="s">
        <v>430</v>
      </c>
      <c r="B165" s="11" t="n">
        <v>0</v>
      </c>
      <c r="C165" s="11" t="n">
        <f aca="false">B165</f>
        <v>0</v>
      </c>
      <c r="D165" s="36" t="str">
        <f aca="false">TRIM(A165)</f>
        <v>500251 Payroll Processing Fees</v>
      </c>
      <c r="E165" s="36" t="str">
        <f aca="false">IF(D165="Revenue","Revenue",IF(D165="Cost of Goods Sold","COGS",IF(D165="Expenditures","Expense",IF(D165="Other Revenue","Other Revenue",IF(D165="Other Expenditures","Other Expense",E164)))))</f>
        <v>Expense</v>
      </c>
      <c r="F165" s="36" t="str">
        <f aca="false">IF(OR(D165="Revenue",D165="Cost of Goods Sold",D165="Expenditures",D165="Other Revenue",D165="Other Expenditures"),E165,IF(AND(LEN(D165)&gt;2,MID(D165,2,1)=" ",ISNUMBER(VALUE(LEFT(D165,1)))),D165,F164))</f>
        <v>3 Operations</v>
      </c>
      <c r="G165" s="36" t="n">
        <f aca="false">IF(AND(D165&lt;&gt;"",ISNUMBER(B165),LEFT(D165,9)&lt;&gt;"Total for",D165&lt;&gt;"Gross Profit",D165&lt;&gt;"Net Operating Revenue",D165&lt;&gt;"Net Other Revenue",D165&lt;&gt;"Net Revenue"),1,0)</f>
        <v>1</v>
      </c>
      <c r="H165" s="36" t="str">
        <f aca="false">IF(G165=1,IF(AND(LEN(D165)&gt;7,ISNUMBER(VALUE(LEFT(D165,6))),MID(D165,7,1)=" "),LEFT(D165,6),D165),"")</f>
        <v>500251</v>
      </c>
      <c r="I165" s="36" t="str">
        <f aca="false">IF(G165=1,IF(COUNTIF('Forecast Detail'!$C$8:$C$400,H165)=0,"UNMAPPED","OK"),"")</f>
        <v>OK</v>
      </c>
    </row>
    <row r="166" customFormat="false" ht="15" hidden="false" customHeight="false" outlineLevel="0" collapsed="false">
      <c r="A166" s="6" t="s">
        <v>432</v>
      </c>
      <c r="B166" s="11" t="n">
        <v>3500</v>
      </c>
      <c r="C166" s="11" t="n">
        <f aca="false">B166</f>
        <v>3500</v>
      </c>
      <c r="D166" s="36" t="str">
        <f aca="false">TRIM(A166)</f>
        <v>500252 Banking Fees</v>
      </c>
      <c r="E166" s="36" t="str">
        <f aca="false">IF(D166="Revenue","Revenue",IF(D166="Cost of Goods Sold","COGS",IF(D166="Expenditures","Expense",IF(D166="Other Revenue","Other Revenue",IF(D166="Other Expenditures","Other Expense",E165)))))</f>
        <v>Expense</v>
      </c>
      <c r="F166" s="36" t="str">
        <f aca="false">IF(OR(D166="Revenue",D166="Cost of Goods Sold",D166="Expenditures",D166="Other Revenue",D166="Other Expenditures"),E166,IF(AND(LEN(D166)&gt;2,MID(D166,2,1)=" ",ISNUMBER(VALUE(LEFT(D166,1)))),D166,F165))</f>
        <v>3 Operations</v>
      </c>
      <c r="G166" s="36" t="n">
        <f aca="false">IF(AND(D166&lt;&gt;"",ISNUMBER(B166),LEFT(D166,9)&lt;&gt;"Total for",D166&lt;&gt;"Gross Profit",D166&lt;&gt;"Net Operating Revenue",D166&lt;&gt;"Net Other Revenue",D166&lt;&gt;"Net Revenue"),1,0)</f>
        <v>1</v>
      </c>
      <c r="H166" s="36" t="str">
        <f aca="false">IF(G166=1,IF(AND(LEN(D166)&gt;7,ISNUMBER(VALUE(LEFT(D166,6))),MID(D166,7,1)=" "),LEFT(D166,6),D166),"")</f>
        <v>500252</v>
      </c>
      <c r="I166" s="36" t="str">
        <f aca="false">IF(G166=1,IF(COUNTIF('Forecast Detail'!$C$8:$C$400,H166)=0,"UNMAPPED","OK"),"")</f>
        <v>OK</v>
      </c>
    </row>
    <row r="167" customFormat="false" ht="15" hidden="false" customHeight="false" outlineLevel="0" collapsed="false">
      <c r="A167" s="6" t="s">
        <v>656</v>
      </c>
      <c r="B167" s="11" t="n">
        <f aca="false">B154+B155+B156+B157+B158+B159+B160+B161+B162+B163+B164+B165+B166</f>
        <v>56000</v>
      </c>
      <c r="C167" s="11" t="n">
        <f aca="false">B167</f>
        <v>56000</v>
      </c>
      <c r="D167" s="36" t="str">
        <f aca="false">TRIM(A167)</f>
        <v>Total for Business Office Expenses</v>
      </c>
      <c r="E167" s="36" t="str">
        <f aca="false">IF(D167="Revenue","Revenue",IF(D167="Cost of Goods Sold","COGS",IF(D167="Expenditures","Expense",IF(D167="Other Revenue","Other Revenue",IF(D167="Other Expenditures","Other Expense",E166)))))</f>
        <v>Expense</v>
      </c>
      <c r="F167" s="36" t="str">
        <f aca="false">IF(OR(D167="Revenue",D167="Cost of Goods Sold",D167="Expenditures",D167="Other Revenue",D167="Other Expenditures"),E167,IF(AND(LEN(D167)&gt;2,MID(D167,2,1)=" ",ISNUMBER(VALUE(LEFT(D167,1)))),D167,F166))</f>
        <v>3 Operations</v>
      </c>
      <c r="G167" s="36" t="n">
        <f aca="false">IF(AND(D167&lt;&gt;"",ISNUMBER(B167),LEFT(D167,9)&lt;&gt;"Total for",D167&lt;&gt;"Gross Profit",D167&lt;&gt;"Net Operating Revenue",D167&lt;&gt;"Net Other Revenue",D167&lt;&gt;"Net Revenue"),1,0)</f>
        <v>0</v>
      </c>
      <c r="H167" s="36" t="str">
        <f aca="false">IF(G167=1,IF(AND(LEN(D167)&gt;7,ISNUMBER(VALUE(LEFT(D167,6))),MID(D167,7,1)=" "),LEFT(D167,6),D167),"")</f>
        <v/>
      </c>
      <c r="I167" s="36" t="str">
        <f aca="false">IF(G167=1,IF(COUNTIF('Forecast Detail'!$C$8:$C$400,H167)=0,"UNMAPPED","OK"),"")</f>
        <v/>
      </c>
    </row>
    <row r="168" customFormat="false" ht="15" hidden="false" customHeight="false" outlineLevel="0" collapsed="false">
      <c r="A168" s="6" t="s">
        <v>433</v>
      </c>
      <c r="B168" s="11" t="n">
        <v>730000</v>
      </c>
      <c r="C168" s="11" t="n">
        <f aca="false">B168</f>
        <v>730000</v>
      </c>
      <c r="D168" s="36" t="str">
        <f aca="false">TRIM(A168)</f>
        <v>Food Service</v>
      </c>
      <c r="E168" s="36" t="str">
        <f aca="false">IF(D168="Revenue","Revenue",IF(D168="Cost of Goods Sold","COGS",IF(D168="Expenditures","Expense",IF(D168="Other Revenue","Other Revenue",IF(D168="Other Expenditures","Other Expense",E167)))))</f>
        <v>Expense</v>
      </c>
      <c r="F168" s="36" t="str">
        <f aca="false">IF(OR(D168="Revenue",D168="Cost of Goods Sold",D168="Expenditures",D168="Other Revenue",D168="Other Expenditures"),E168,IF(AND(LEN(D168)&gt;2,MID(D168,2,1)=" ",ISNUMBER(VALUE(LEFT(D168,1)))),D168,F167))</f>
        <v>3 Operations</v>
      </c>
      <c r="G168" s="36" t="n">
        <f aca="false">IF(AND(D168&lt;&gt;"",ISNUMBER(B168),LEFT(D168,9)&lt;&gt;"Total for",D168&lt;&gt;"Gross Profit",D168&lt;&gt;"Net Operating Revenue",D168&lt;&gt;"Net Other Revenue",D168&lt;&gt;"Net Revenue"),1,0)</f>
        <v>1</v>
      </c>
      <c r="H168" s="36" t="str">
        <f aca="false">IF(G168=1,IF(AND(LEN(D168)&gt;7,ISNUMBER(VALUE(LEFT(D168,6))),MID(D168,7,1)=" "),LEFT(D168,6),D168),"")</f>
        <v>Food Service</v>
      </c>
      <c r="I168" s="36" t="str">
        <f aca="false">IF(G168=1,IF(COUNTIF('Forecast Detail'!$C$8:$C$400,H168)=0,"UNMAPPED","OK"),"")</f>
        <v>OK</v>
      </c>
    </row>
    <row r="169" customFormat="false" ht="15" hidden="false" customHeight="false" outlineLevel="0" collapsed="false">
      <c r="A169" s="6" t="s">
        <v>657</v>
      </c>
      <c r="D169" s="36" t="str">
        <f aca="false">TRIM(A169)</f>
        <v>General Operational Expenses</v>
      </c>
      <c r="E169" s="36" t="str">
        <f aca="false">IF(D169="Revenue","Revenue",IF(D169="Cost of Goods Sold","COGS",IF(D169="Expenditures","Expense",IF(D169="Other Revenue","Other Revenue",IF(D169="Other Expenditures","Other Expense",E168)))))</f>
        <v>Expense</v>
      </c>
      <c r="F169" s="36" t="str">
        <f aca="false">IF(OR(D169="Revenue",D169="Cost of Goods Sold",D169="Expenditures",D169="Other Revenue",D169="Other Expenditures"),E169,IF(AND(LEN(D169)&gt;2,MID(D169,2,1)=" ",ISNUMBER(VALUE(LEFT(D169,1)))),D169,F168))</f>
        <v>3 Operations</v>
      </c>
      <c r="G169" s="36" t="n">
        <f aca="false">IF(AND(D169&lt;&gt;"",ISNUMBER(B169),LEFT(D169,9)&lt;&gt;"Total for",D169&lt;&gt;"Gross Profit",D169&lt;&gt;"Net Operating Revenue",D169&lt;&gt;"Net Other Revenue",D169&lt;&gt;"Net Revenue"),1,0)</f>
        <v>0</v>
      </c>
      <c r="H169" s="36" t="str">
        <f aca="false">IF(G169=1,IF(AND(LEN(D169)&gt;7,ISNUMBER(VALUE(LEFT(D169,6))),MID(D169,7,1)=" "),LEFT(D169,6),D169),"")</f>
        <v/>
      </c>
      <c r="I169" s="36" t="str">
        <f aca="false">IF(G169=1,IF(COUNTIF('Forecast Detail'!$C$8:$C$400,H169)=0,"UNMAPPED","OK"),"")</f>
        <v/>
      </c>
    </row>
    <row r="170" customFormat="false" ht="15" hidden="false" customHeight="false" outlineLevel="0" collapsed="false">
      <c r="A170" s="6" t="s">
        <v>436</v>
      </c>
      <c r="B170" s="11" t="n">
        <v>132000</v>
      </c>
      <c r="C170" s="11" t="n">
        <f aca="false">B170</f>
        <v>132000</v>
      </c>
      <c r="D170" s="36" t="str">
        <f aca="false">TRIM(A170)</f>
        <v>500026 Insurance Expense</v>
      </c>
      <c r="E170" s="36" t="str">
        <f aca="false">IF(D170="Revenue","Revenue",IF(D170="Cost of Goods Sold","COGS",IF(D170="Expenditures","Expense",IF(D170="Other Revenue","Other Revenue",IF(D170="Other Expenditures","Other Expense",E169)))))</f>
        <v>Expense</v>
      </c>
      <c r="F170" s="36" t="str">
        <f aca="false">IF(OR(D170="Revenue",D170="Cost of Goods Sold",D170="Expenditures",D170="Other Revenue",D170="Other Expenditures"),E170,IF(AND(LEN(D170)&gt;2,MID(D170,2,1)=" ",ISNUMBER(VALUE(LEFT(D170,1)))),D170,F169))</f>
        <v>3 Operations</v>
      </c>
      <c r="G170" s="36" t="n">
        <f aca="false">IF(AND(D170&lt;&gt;"",ISNUMBER(B170),LEFT(D170,9)&lt;&gt;"Total for",D170&lt;&gt;"Gross Profit",D170&lt;&gt;"Net Operating Revenue",D170&lt;&gt;"Net Other Revenue",D170&lt;&gt;"Net Revenue"),1,0)</f>
        <v>1</v>
      </c>
      <c r="H170" s="36" t="str">
        <f aca="false">IF(G170=1,IF(AND(LEN(D170)&gt;7,ISNUMBER(VALUE(LEFT(D170,6))),MID(D170,7,1)=" "),LEFT(D170,6),D170),"")</f>
        <v>500026</v>
      </c>
      <c r="I170" s="36" t="str">
        <f aca="false">IF(G170=1,IF(COUNTIF('Forecast Detail'!$C$8:$C$400,H170)=0,"UNMAPPED","OK"),"")</f>
        <v>OK</v>
      </c>
    </row>
    <row r="171" customFormat="false" ht="15" hidden="false" customHeight="false" outlineLevel="0" collapsed="false">
      <c r="A171" s="6" t="s">
        <v>438</v>
      </c>
      <c r="B171" s="11" t="n">
        <v>40000</v>
      </c>
      <c r="C171" s="11" t="n">
        <f aca="false">B171</f>
        <v>40000</v>
      </c>
      <c r="D171" s="36" t="str">
        <f aca="false">TRIM(A171)</f>
        <v>500250 Copier Leases</v>
      </c>
      <c r="E171" s="36" t="str">
        <f aca="false">IF(D171="Revenue","Revenue",IF(D171="Cost of Goods Sold","COGS",IF(D171="Expenditures","Expense",IF(D171="Other Revenue","Other Revenue",IF(D171="Other Expenditures","Other Expense",E170)))))</f>
        <v>Expense</v>
      </c>
      <c r="F171" s="36" t="str">
        <f aca="false">IF(OR(D171="Revenue",D171="Cost of Goods Sold",D171="Expenditures",D171="Other Revenue",D171="Other Expenditures"),E171,IF(AND(LEN(D171)&gt;2,MID(D171,2,1)=" ",ISNUMBER(VALUE(LEFT(D171,1)))),D171,F170))</f>
        <v>3 Operations</v>
      </c>
      <c r="G171" s="36" t="n">
        <f aca="false">IF(AND(D171&lt;&gt;"",ISNUMBER(B171),LEFT(D171,9)&lt;&gt;"Total for",D171&lt;&gt;"Gross Profit",D171&lt;&gt;"Net Operating Revenue",D171&lt;&gt;"Net Other Revenue",D171&lt;&gt;"Net Revenue"),1,0)</f>
        <v>1</v>
      </c>
      <c r="H171" s="36" t="str">
        <f aca="false">IF(G171=1,IF(AND(LEN(D171)&gt;7,ISNUMBER(VALUE(LEFT(D171,6))),MID(D171,7,1)=" "),LEFT(D171,6),D171),"")</f>
        <v>500250</v>
      </c>
      <c r="I171" s="36" t="str">
        <f aca="false">IF(G171=1,IF(COUNTIF('Forecast Detail'!$C$8:$C$400,H171)=0,"UNMAPPED","OK"),"")</f>
        <v>OK</v>
      </c>
    </row>
    <row r="172" customFormat="false" ht="15" hidden="false" customHeight="false" outlineLevel="0" collapsed="false">
      <c r="A172" s="6" t="s">
        <v>440</v>
      </c>
      <c r="B172" s="11" t="n">
        <v>60500</v>
      </c>
      <c r="C172" s="11" t="n">
        <f aca="false">B172</f>
        <v>60500</v>
      </c>
      <c r="D172" s="36" t="str">
        <f aca="false">TRIM(A172)</f>
        <v>500357 Outsourced Tech Support</v>
      </c>
      <c r="E172" s="36" t="str">
        <f aca="false">IF(D172="Revenue","Revenue",IF(D172="Cost of Goods Sold","COGS",IF(D172="Expenditures","Expense",IF(D172="Other Revenue","Other Revenue",IF(D172="Other Expenditures","Other Expense",E171)))))</f>
        <v>Expense</v>
      </c>
      <c r="F172" s="36" t="str">
        <f aca="false">IF(OR(D172="Revenue",D172="Cost of Goods Sold",D172="Expenditures",D172="Other Revenue",D172="Other Expenditures"),E172,IF(AND(LEN(D172)&gt;2,MID(D172,2,1)=" ",ISNUMBER(VALUE(LEFT(D172,1)))),D172,F171))</f>
        <v>3 Operations</v>
      </c>
      <c r="G172" s="36" t="n">
        <f aca="false">IF(AND(D172&lt;&gt;"",ISNUMBER(B172),LEFT(D172,9)&lt;&gt;"Total for",D172&lt;&gt;"Gross Profit",D172&lt;&gt;"Net Operating Revenue",D172&lt;&gt;"Net Other Revenue",D172&lt;&gt;"Net Revenue"),1,0)</f>
        <v>1</v>
      </c>
      <c r="H172" s="36" t="str">
        <f aca="false">IF(G172=1,IF(AND(LEN(D172)&gt;7,ISNUMBER(VALUE(LEFT(D172,6))),MID(D172,7,1)=" "),LEFT(D172,6),D172),"")</f>
        <v>500357</v>
      </c>
      <c r="I172" s="36" t="str">
        <f aca="false">IF(G172=1,IF(COUNTIF('Forecast Detail'!$C$8:$C$400,H172)=0,"UNMAPPED","OK"),"")</f>
        <v>OK</v>
      </c>
    </row>
    <row r="173" customFormat="false" ht="15" hidden="false" customHeight="false" outlineLevel="0" collapsed="false">
      <c r="A173" s="6" t="s">
        <v>658</v>
      </c>
      <c r="B173" s="11" t="n">
        <f aca="false">B169+B170+B171+B172</f>
        <v>232500</v>
      </c>
      <c r="C173" s="11" t="n">
        <f aca="false">B173</f>
        <v>232500</v>
      </c>
      <c r="D173" s="36" t="str">
        <f aca="false">TRIM(A173)</f>
        <v>Total for General Operational Expenses</v>
      </c>
      <c r="E173" s="36" t="str">
        <f aca="false">IF(D173="Revenue","Revenue",IF(D173="Cost of Goods Sold","COGS",IF(D173="Expenditures","Expense",IF(D173="Other Revenue","Other Revenue",IF(D173="Other Expenditures","Other Expense",E172)))))</f>
        <v>Expense</v>
      </c>
      <c r="F173" s="36" t="str">
        <f aca="false">IF(OR(D173="Revenue",D173="Cost of Goods Sold",D173="Expenditures",D173="Other Revenue",D173="Other Expenditures"),E173,IF(AND(LEN(D173)&gt;2,MID(D173,2,1)=" ",ISNUMBER(VALUE(LEFT(D173,1)))),D173,F172))</f>
        <v>3 Operations</v>
      </c>
      <c r="G173" s="36" t="n">
        <f aca="false">IF(AND(D173&lt;&gt;"",ISNUMBER(B173),LEFT(D173,9)&lt;&gt;"Total for",D173&lt;&gt;"Gross Profit",D173&lt;&gt;"Net Operating Revenue",D173&lt;&gt;"Net Other Revenue",D173&lt;&gt;"Net Revenue"),1,0)</f>
        <v>0</v>
      </c>
      <c r="H173" s="36" t="str">
        <f aca="false">IF(G173=1,IF(AND(LEN(D173)&gt;7,ISNUMBER(VALUE(LEFT(D173,6))),MID(D173,7,1)=" "),LEFT(D173,6),D173),"")</f>
        <v/>
      </c>
      <c r="I173" s="36" t="str">
        <f aca="false">IF(G173=1,IF(COUNTIF('Forecast Detail'!$C$8:$C$400,H173)=0,"UNMAPPED","OK"),"")</f>
        <v/>
      </c>
    </row>
    <row r="174" customFormat="false" ht="15" hidden="false" customHeight="false" outlineLevel="0" collapsed="false">
      <c r="A174" s="6" t="s">
        <v>659</v>
      </c>
      <c r="D174" s="36" t="str">
        <f aca="false">TRIM(A174)</f>
        <v>Maintenance/Grounds/Utilities Expenses</v>
      </c>
      <c r="E174" s="36" t="str">
        <f aca="false">IF(D174="Revenue","Revenue",IF(D174="Cost of Goods Sold","COGS",IF(D174="Expenditures","Expense",IF(D174="Other Revenue","Other Revenue",IF(D174="Other Expenditures","Other Expense",E173)))))</f>
        <v>Expense</v>
      </c>
      <c r="F174" s="36" t="str">
        <f aca="false">IF(OR(D174="Revenue",D174="Cost of Goods Sold",D174="Expenditures",D174="Other Revenue",D174="Other Expenditures"),E174,IF(AND(LEN(D174)&gt;2,MID(D174,2,1)=" ",ISNUMBER(VALUE(LEFT(D174,1)))),D174,F173))</f>
        <v>3 Operations</v>
      </c>
      <c r="G174" s="36" t="n">
        <f aca="false">IF(AND(D174&lt;&gt;"",ISNUMBER(B174),LEFT(D174,9)&lt;&gt;"Total for",D174&lt;&gt;"Gross Profit",D174&lt;&gt;"Net Operating Revenue",D174&lt;&gt;"Net Other Revenue",D174&lt;&gt;"Net Revenue"),1,0)</f>
        <v>0</v>
      </c>
      <c r="H174" s="36" t="str">
        <f aca="false">IF(G174=1,IF(AND(LEN(D174)&gt;7,ISNUMBER(VALUE(LEFT(D174,6))),MID(D174,7,1)=" "),LEFT(D174,6),D174),"")</f>
        <v/>
      </c>
      <c r="I174" s="36" t="str">
        <f aca="false">IF(G174=1,IF(COUNTIF('Forecast Detail'!$C$8:$C$400,H174)=0,"UNMAPPED","OK"),"")</f>
        <v/>
      </c>
    </row>
    <row r="175" customFormat="false" ht="15" hidden="false" customHeight="false" outlineLevel="0" collapsed="false">
      <c r="A175" s="6" t="s">
        <v>442</v>
      </c>
      <c r="B175" s="11" t="n">
        <v>0</v>
      </c>
      <c r="C175" s="11" t="n">
        <f aca="false">B175</f>
        <v>0</v>
      </c>
      <c r="D175" s="36" t="str">
        <f aca="false">TRIM(A175)</f>
        <v>500221 Repairs Athletic Facilities</v>
      </c>
      <c r="E175" s="36" t="str">
        <f aca="false">IF(D175="Revenue","Revenue",IF(D175="Cost of Goods Sold","COGS",IF(D175="Expenditures","Expense",IF(D175="Other Revenue","Other Revenue",IF(D175="Other Expenditures","Other Expense",E174)))))</f>
        <v>Expense</v>
      </c>
      <c r="F175" s="36" t="str">
        <f aca="false">IF(OR(D175="Revenue",D175="Cost of Goods Sold",D175="Expenditures",D175="Other Revenue",D175="Other Expenditures"),E175,IF(AND(LEN(D175)&gt;2,MID(D175,2,1)=" ",ISNUMBER(VALUE(LEFT(D175,1)))),D175,F174))</f>
        <v>3 Operations</v>
      </c>
      <c r="G175" s="36" t="n">
        <f aca="false">IF(AND(D175&lt;&gt;"",ISNUMBER(B175),LEFT(D175,9)&lt;&gt;"Total for",D175&lt;&gt;"Gross Profit",D175&lt;&gt;"Net Operating Revenue",D175&lt;&gt;"Net Other Revenue",D175&lt;&gt;"Net Revenue"),1,0)</f>
        <v>1</v>
      </c>
      <c r="H175" s="36" t="str">
        <f aca="false">IF(G175=1,IF(AND(LEN(D175)&gt;7,ISNUMBER(VALUE(LEFT(D175,6))),MID(D175,7,1)=" "),LEFT(D175,6),D175),"")</f>
        <v>500221</v>
      </c>
      <c r="I175" s="36" t="str">
        <f aca="false">IF(G175=1,IF(COUNTIF('Forecast Detail'!$C$8:$C$400,H175)=0,"UNMAPPED","OK"),"")</f>
        <v>OK</v>
      </c>
    </row>
    <row r="176" customFormat="false" ht="15" hidden="false" customHeight="false" outlineLevel="0" collapsed="false">
      <c r="A176" s="6" t="s">
        <v>444</v>
      </c>
      <c r="B176" s="11" t="n">
        <v>135000</v>
      </c>
      <c r="C176" s="11" t="n">
        <f aca="false">B176</f>
        <v>135000</v>
      </c>
      <c r="D176" s="36" t="str">
        <f aca="false">TRIM(A176)</f>
        <v>500222 Janitorial Services</v>
      </c>
      <c r="E176" s="36" t="str">
        <f aca="false">IF(D176="Revenue","Revenue",IF(D176="Cost of Goods Sold","COGS",IF(D176="Expenditures","Expense",IF(D176="Other Revenue","Other Revenue",IF(D176="Other Expenditures","Other Expense",E175)))))</f>
        <v>Expense</v>
      </c>
      <c r="F176" s="36" t="str">
        <f aca="false">IF(OR(D176="Revenue",D176="Cost of Goods Sold",D176="Expenditures",D176="Other Revenue",D176="Other Expenditures"),E176,IF(AND(LEN(D176)&gt;2,MID(D176,2,1)=" ",ISNUMBER(VALUE(LEFT(D176,1)))),D176,F175))</f>
        <v>3 Operations</v>
      </c>
      <c r="G176" s="36" t="n">
        <f aca="false">IF(AND(D176&lt;&gt;"",ISNUMBER(B176),LEFT(D176,9)&lt;&gt;"Total for",D176&lt;&gt;"Gross Profit",D176&lt;&gt;"Net Operating Revenue",D176&lt;&gt;"Net Other Revenue",D176&lt;&gt;"Net Revenue"),1,0)</f>
        <v>1</v>
      </c>
      <c r="H176" s="36" t="str">
        <f aca="false">IF(G176=1,IF(AND(LEN(D176)&gt;7,ISNUMBER(VALUE(LEFT(D176,6))),MID(D176,7,1)=" "),LEFT(D176,6),D176),"")</f>
        <v>500222</v>
      </c>
      <c r="I176" s="36" t="str">
        <f aca="false">IF(G176=1,IF(COUNTIF('Forecast Detail'!$C$8:$C$400,H176)=0,"UNMAPPED","OK"),"")</f>
        <v>OK</v>
      </c>
    </row>
    <row r="177" customFormat="false" ht="15" hidden="false" customHeight="false" outlineLevel="0" collapsed="false">
      <c r="A177" s="6" t="s">
        <v>446</v>
      </c>
      <c r="B177" s="11" t="n">
        <v>0</v>
      </c>
      <c r="C177" s="11" t="n">
        <f aca="false">B177</f>
        <v>0</v>
      </c>
      <c r="D177" s="36" t="str">
        <f aca="false">TRIM(A177)</f>
        <v>500223 Maintenance Contracts Facilities</v>
      </c>
      <c r="E177" s="36" t="str">
        <f aca="false">IF(D177="Revenue","Revenue",IF(D177="Cost of Goods Sold","COGS",IF(D177="Expenditures","Expense",IF(D177="Other Revenue","Other Revenue",IF(D177="Other Expenditures","Other Expense",E176)))))</f>
        <v>Expense</v>
      </c>
      <c r="F177" s="36" t="str">
        <f aca="false">IF(OR(D177="Revenue",D177="Cost of Goods Sold",D177="Expenditures",D177="Other Revenue",D177="Other Expenditures"),E177,IF(AND(LEN(D177)&gt;2,MID(D177,2,1)=" ",ISNUMBER(VALUE(LEFT(D177,1)))),D177,F176))</f>
        <v>3 Operations</v>
      </c>
      <c r="G177" s="36" t="n">
        <f aca="false">IF(AND(D177&lt;&gt;"",ISNUMBER(B177),LEFT(D177,9)&lt;&gt;"Total for",D177&lt;&gt;"Gross Profit",D177&lt;&gt;"Net Operating Revenue",D177&lt;&gt;"Net Other Revenue",D177&lt;&gt;"Net Revenue"),1,0)</f>
        <v>1</v>
      </c>
      <c r="H177" s="36" t="str">
        <f aca="false">IF(G177=1,IF(AND(LEN(D177)&gt;7,ISNUMBER(VALUE(LEFT(D177,6))),MID(D177,7,1)=" "),LEFT(D177,6),D177),"")</f>
        <v>500223</v>
      </c>
      <c r="I177" s="36" t="str">
        <f aca="false">IF(G177=1,IF(COUNTIF('Forecast Detail'!$C$8:$C$400,H177)=0,"UNMAPPED","OK"),"")</f>
        <v>OK</v>
      </c>
    </row>
    <row r="178" customFormat="false" ht="15" hidden="false" customHeight="false" outlineLevel="0" collapsed="false">
      <c r="A178" s="6" t="s">
        <v>448</v>
      </c>
      <c r="B178" s="11" t="n">
        <v>50000</v>
      </c>
      <c r="C178" s="11" t="n">
        <f aca="false">B178</f>
        <v>50000</v>
      </c>
      <c r="D178" s="36" t="str">
        <f aca="false">TRIM(A178)</f>
        <v>500224 Equipment General</v>
      </c>
      <c r="E178" s="36" t="str">
        <f aca="false">IF(D178="Revenue","Revenue",IF(D178="Cost of Goods Sold","COGS",IF(D178="Expenditures","Expense",IF(D178="Other Revenue","Other Revenue",IF(D178="Other Expenditures","Other Expense",E177)))))</f>
        <v>Expense</v>
      </c>
      <c r="F178" s="36" t="str">
        <f aca="false">IF(OR(D178="Revenue",D178="Cost of Goods Sold",D178="Expenditures",D178="Other Revenue",D178="Other Expenditures"),E178,IF(AND(LEN(D178)&gt;2,MID(D178,2,1)=" ",ISNUMBER(VALUE(LEFT(D178,1)))),D178,F177))</f>
        <v>3 Operations</v>
      </c>
      <c r="G178" s="36" t="n">
        <f aca="false">IF(AND(D178&lt;&gt;"",ISNUMBER(B178),LEFT(D178,9)&lt;&gt;"Total for",D178&lt;&gt;"Gross Profit",D178&lt;&gt;"Net Operating Revenue",D178&lt;&gt;"Net Other Revenue",D178&lt;&gt;"Net Revenue"),1,0)</f>
        <v>1</v>
      </c>
      <c r="H178" s="36" t="str">
        <f aca="false">IF(G178=1,IF(AND(LEN(D178)&gt;7,ISNUMBER(VALUE(LEFT(D178,6))),MID(D178,7,1)=" "),LEFT(D178,6),D178),"")</f>
        <v>500224</v>
      </c>
      <c r="I178" s="36" t="str">
        <f aca="false">IF(G178=1,IF(COUNTIF('Forecast Detail'!$C$8:$C$400,H178)=0,"UNMAPPED","OK"),"")</f>
        <v>OK</v>
      </c>
    </row>
    <row r="179" customFormat="false" ht="15" hidden="false" customHeight="false" outlineLevel="0" collapsed="false">
      <c r="A179" s="6" t="s">
        <v>450</v>
      </c>
      <c r="B179" s="11" t="n">
        <v>0</v>
      </c>
      <c r="C179" s="11" t="n">
        <f aca="false">B179</f>
        <v>0</v>
      </c>
      <c r="D179" s="36" t="str">
        <f aca="false">TRIM(A179)</f>
        <v>500226 Grounds Contracts</v>
      </c>
      <c r="E179" s="36" t="str">
        <f aca="false">IF(D179="Revenue","Revenue",IF(D179="Cost of Goods Sold","COGS",IF(D179="Expenditures","Expense",IF(D179="Other Revenue","Other Revenue",IF(D179="Other Expenditures","Other Expense",E178)))))</f>
        <v>Expense</v>
      </c>
      <c r="F179" s="36" t="str">
        <f aca="false">IF(OR(D179="Revenue",D179="Cost of Goods Sold",D179="Expenditures",D179="Other Revenue",D179="Other Expenditures"),E179,IF(AND(LEN(D179)&gt;2,MID(D179,2,1)=" ",ISNUMBER(VALUE(LEFT(D179,1)))),D179,F178))</f>
        <v>3 Operations</v>
      </c>
      <c r="G179" s="36" t="n">
        <f aca="false">IF(AND(D179&lt;&gt;"",ISNUMBER(B179),LEFT(D179,9)&lt;&gt;"Total for",D179&lt;&gt;"Gross Profit",D179&lt;&gt;"Net Operating Revenue",D179&lt;&gt;"Net Other Revenue",D179&lt;&gt;"Net Revenue"),1,0)</f>
        <v>1</v>
      </c>
      <c r="H179" s="36" t="str">
        <f aca="false">IF(G179=1,IF(AND(LEN(D179)&gt;7,ISNUMBER(VALUE(LEFT(D179,6))),MID(D179,7,1)=" "),LEFT(D179,6),D179),"")</f>
        <v>500226</v>
      </c>
      <c r="I179" s="36" t="str">
        <f aca="false">IF(G179=1,IF(COUNTIF('Forecast Detail'!$C$8:$C$400,H179)=0,"UNMAPPED","OK"),"")</f>
        <v>OK</v>
      </c>
    </row>
    <row r="180" customFormat="false" ht="15" hidden="false" customHeight="false" outlineLevel="0" collapsed="false">
      <c r="A180" s="6" t="s">
        <v>452</v>
      </c>
      <c r="B180" s="11" t="n">
        <v>0</v>
      </c>
      <c r="C180" s="11" t="n">
        <f aca="false">B180</f>
        <v>0</v>
      </c>
      <c r="D180" s="36" t="str">
        <f aca="false">TRIM(A180)</f>
        <v>500227 Grounds Equipment</v>
      </c>
      <c r="E180" s="36" t="str">
        <f aca="false">IF(D180="Revenue","Revenue",IF(D180="Cost of Goods Sold","COGS",IF(D180="Expenditures","Expense",IF(D180="Other Revenue","Other Revenue",IF(D180="Other Expenditures","Other Expense",E179)))))</f>
        <v>Expense</v>
      </c>
      <c r="F180" s="36" t="str">
        <f aca="false">IF(OR(D180="Revenue",D180="Cost of Goods Sold",D180="Expenditures",D180="Other Revenue",D180="Other Expenditures"),E180,IF(AND(LEN(D180)&gt;2,MID(D180,2,1)=" ",ISNUMBER(VALUE(LEFT(D180,1)))),D180,F179))</f>
        <v>3 Operations</v>
      </c>
      <c r="G180" s="36" t="n">
        <f aca="false">IF(AND(D180&lt;&gt;"",ISNUMBER(B180),LEFT(D180,9)&lt;&gt;"Total for",D180&lt;&gt;"Gross Profit",D180&lt;&gt;"Net Operating Revenue",D180&lt;&gt;"Net Other Revenue",D180&lt;&gt;"Net Revenue"),1,0)</f>
        <v>1</v>
      </c>
      <c r="H180" s="36" t="str">
        <f aca="false">IF(G180=1,IF(AND(LEN(D180)&gt;7,ISNUMBER(VALUE(LEFT(D180,6))),MID(D180,7,1)=" "),LEFT(D180,6),D180),"")</f>
        <v>500227</v>
      </c>
      <c r="I180" s="36" t="str">
        <f aca="false">IF(G180=1,IF(COUNTIF('Forecast Detail'!$C$8:$C$400,H180)=0,"UNMAPPED","OK"),"")</f>
        <v>OK</v>
      </c>
    </row>
    <row r="181" customFormat="false" ht="15" hidden="false" customHeight="false" outlineLevel="0" collapsed="false">
      <c r="A181" s="6" t="s">
        <v>454</v>
      </c>
      <c r="B181" s="11" t="n">
        <v>0</v>
      </c>
      <c r="C181" s="11" t="n">
        <f aca="false">B181</f>
        <v>0</v>
      </c>
      <c r="D181" s="36" t="str">
        <f aca="false">TRIM(A181)</f>
        <v>500228 Grounds Costs and Expenses</v>
      </c>
      <c r="E181" s="36" t="str">
        <f aca="false">IF(D181="Revenue","Revenue",IF(D181="Cost of Goods Sold","COGS",IF(D181="Expenditures","Expense",IF(D181="Other Revenue","Other Revenue",IF(D181="Other Expenditures","Other Expense",E180)))))</f>
        <v>Expense</v>
      </c>
      <c r="F181" s="36" t="str">
        <f aca="false">IF(OR(D181="Revenue",D181="Cost of Goods Sold",D181="Expenditures",D181="Other Revenue",D181="Other Expenditures"),E181,IF(AND(LEN(D181)&gt;2,MID(D181,2,1)=" ",ISNUMBER(VALUE(LEFT(D181,1)))),D181,F180))</f>
        <v>3 Operations</v>
      </c>
      <c r="G181" s="36" t="n">
        <f aca="false">IF(AND(D181&lt;&gt;"",ISNUMBER(B181),LEFT(D181,9)&lt;&gt;"Total for",D181&lt;&gt;"Gross Profit",D181&lt;&gt;"Net Operating Revenue",D181&lt;&gt;"Net Other Revenue",D181&lt;&gt;"Net Revenue"),1,0)</f>
        <v>1</v>
      </c>
      <c r="H181" s="36" t="str">
        <f aca="false">IF(G181=1,IF(AND(LEN(D181)&gt;7,ISNUMBER(VALUE(LEFT(D181,6))),MID(D181,7,1)=" "),LEFT(D181,6),D181),"")</f>
        <v>500228</v>
      </c>
      <c r="I181" s="36" t="str">
        <f aca="false">IF(G181=1,IF(COUNTIF('Forecast Detail'!$C$8:$C$400,H181)=0,"UNMAPPED","OK"),"")</f>
        <v>OK</v>
      </c>
    </row>
    <row r="182" customFormat="false" ht="15" hidden="false" customHeight="false" outlineLevel="0" collapsed="false">
      <c r="A182" s="6" t="s">
        <v>456</v>
      </c>
      <c r="B182" s="11" t="n">
        <v>0</v>
      </c>
      <c r="C182" s="11" t="n">
        <f aca="false">B182</f>
        <v>0</v>
      </c>
      <c r="D182" s="36" t="str">
        <f aca="false">TRIM(A182)</f>
        <v>500230 Repairs and Maintenance School Property</v>
      </c>
      <c r="E182" s="36" t="str">
        <f aca="false">IF(D182="Revenue","Revenue",IF(D182="Cost of Goods Sold","COGS",IF(D182="Expenditures","Expense",IF(D182="Other Revenue","Other Revenue",IF(D182="Other Expenditures","Other Expense",E181)))))</f>
        <v>Expense</v>
      </c>
      <c r="F182" s="36" t="str">
        <f aca="false">IF(OR(D182="Revenue",D182="Cost of Goods Sold",D182="Expenditures",D182="Other Revenue",D182="Other Expenditures"),E182,IF(AND(LEN(D182)&gt;2,MID(D182,2,1)=" ",ISNUMBER(VALUE(LEFT(D182,1)))),D182,F181))</f>
        <v>3 Operations</v>
      </c>
      <c r="G182" s="36" t="n">
        <f aca="false">IF(AND(D182&lt;&gt;"",ISNUMBER(B182),LEFT(D182,9)&lt;&gt;"Total for",D182&lt;&gt;"Gross Profit",D182&lt;&gt;"Net Operating Revenue",D182&lt;&gt;"Net Other Revenue",D182&lt;&gt;"Net Revenue"),1,0)</f>
        <v>1</v>
      </c>
      <c r="H182" s="36" t="str">
        <f aca="false">IF(G182=1,IF(AND(LEN(D182)&gt;7,ISNUMBER(VALUE(LEFT(D182,6))),MID(D182,7,1)=" "),LEFT(D182,6),D182),"")</f>
        <v>500230</v>
      </c>
      <c r="I182" s="36" t="str">
        <f aca="false">IF(G182=1,IF(COUNTIF('Forecast Detail'!$C$8:$C$400,H182)=0,"UNMAPPED","OK"),"")</f>
        <v>OK</v>
      </c>
    </row>
    <row r="183" customFormat="false" ht="15" hidden="false" customHeight="false" outlineLevel="0" collapsed="false">
      <c r="A183" s="6" t="s">
        <v>458</v>
      </c>
      <c r="B183" s="11" t="n">
        <v>0</v>
      </c>
      <c r="C183" s="11" t="n">
        <f aca="false">B183</f>
        <v>0</v>
      </c>
      <c r="D183" s="36" t="str">
        <f aca="false">TRIM(A183)</f>
        <v>500234 Janitorial Supplies</v>
      </c>
      <c r="E183" s="36" t="str">
        <f aca="false">IF(D183="Revenue","Revenue",IF(D183="Cost of Goods Sold","COGS",IF(D183="Expenditures","Expense",IF(D183="Other Revenue","Other Revenue",IF(D183="Other Expenditures","Other Expense",E182)))))</f>
        <v>Expense</v>
      </c>
      <c r="F183" s="36" t="str">
        <f aca="false">IF(OR(D183="Revenue",D183="Cost of Goods Sold",D183="Expenditures",D183="Other Revenue",D183="Other Expenditures"),E183,IF(AND(LEN(D183)&gt;2,MID(D183,2,1)=" ",ISNUMBER(VALUE(LEFT(D183,1)))),D183,F182))</f>
        <v>3 Operations</v>
      </c>
      <c r="G183" s="36" t="n">
        <f aca="false">IF(AND(D183&lt;&gt;"",ISNUMBER(B183),LEFT(D183,9)&lt;&gt;"Total for",D183&lt;&gt;"Gross Profit",D183&lt;&gt;"Net Operating Revenue",D183&lt;&gt;"Net Other Revenue",D183&lt;&gt;"Net Revenue"),1,0)</f>
        <v>1</v>
      </c>
      <c r="H183" s="36" t="str">
        <f aca="false">IF(G183=1,IF(AND(LEN(D183)&gt;7,ISNUMBER(VALUE(LEFT(D183,6))),MID(D183,7,1)=" "),LEFT(D183,6),D183),"")</f>
        <v>500234</v>
      </c>
      <c r="I183" s="36" t="str">
        <f aca="false">IF(G183=1,IF(COUNTIF('Forecast Detail'!$C$8:$C$400,H183)=0,"UNMAPPED","OK"),"")</f>
        <v>OK</v>
      </c>
    </row>
    <row r="184" customFormat="false" ht="15" hidden="false" customHeight="false" outlineLevel="0" collapsed="false">
      <c r="A184" s="6" t="s">
        <v>460</v>
      </c>
      <c r="B184" s="11" t="n">
        <v>0</v>
      </c>
      <c r="C184" s="11" t="n">
        <f aca="false">B184</f>
        <v>0</v>
      </c>
      <c r="D184" s="36" t="str">
        <f aca="false">TRIM(A184)</f>
        <v>500236 Repairs Willet Hall</v>
      </c>
      <c r="E184" s="36" t="str">
        <f aca="false">IF(D184="Revenue","Revenue",IF(D184="Cost of Goods Sold","COGS",IF(D184="Expenditures","Expense",IF(D184="Other Revenue","Other Revenue",IF(D184="Other Expenditures","Other Expense",E183)))))</f>
        <v>Expense</v>
      </c>
      <c r="F184" s="36" t="str">
        <f aca="false">IF(OR(D184="Revenue",D184="Cost of Goods Sold",D184="Expenditures",D184="Other Revenue",D184="Other Expenditures"),E184,IF(AND(LEN(D184)&gt;2,MID(D184,2,1)=" ",ISNUMBER(VALUE(LEFT(D184,1)))),D184,F183))</f>
        <v>3 Operations</v>
      </c>
      <c r="G184" s="36" t="n">
        <f aca="false">IF(AND(D184&lt;&gt;"",ISNUMBER(B184),LEFT(D184,9)&lt;&gt;"Total for",D184&lt;&gt;"Gross Profit",D184&lt;&gt;"Net Operating Revenue",D184&lt;&gt;"Net Other Revenue",D184&lt;&gt;"Net Revenue"),1,0)</f>
        <v>1</v>
      </c>
      <c r="H184" s="36" t="str">
        <f aca="false">IF(G184=1,IF(AND(LEN(D184)&gt;7,ISNUMBER(VALUE(LEFT(D184,6))),MID(D184,7,1)=" "),LEFT(D184,6),D184),"")</f>
        <v>500236</v>
      </c>
      <c r="I184" s="36" t="str">
        <f aca="false">IF(G184=1,IF(COUNTIF('Forecast Detail'!$C$8:$C$400,H184)=0,"UNMAPPED","OK"),"")</f>
        <v>OK</v>
      </c>
    </row>
    <row r="185" customFormat="false" ht="15" hidden="false" customHeight="false" outlineLevel="0" collapsed="false">
      <c r="A185" s="6" t="s">
        <v>461</v>
      </c>
      <c r="B185" s="11" t="n">
        <v>643750</v>
      </c>
      <c r="C185" s="11" t="n">
        <f aca="false">B185</f>
        <v>643750</v>
      </c>
      <c r="D185" s="36" t="str">
        <f aca="false">TRIM(A185)</f>
        <v>Maintenance-Budget Only</v>
      </c>
      <c r="E185" s="36" t="str">
        <f aca="false">IF(D185="Revenue","Revenue",IF(D185="Cost of Goods Sold","COGS",IF(D185="Expenditures","Expense",IF(D185="Other Revenue","Other Revenue",IF(D185="Other Expenditures","Other Expense",E184)))))</f>
        <v>Expense</v>
      </c>
      <c r="F185" s="36" t="str">
        <f aca="false">IF(OR(D185="Revenue",D185="Cost of Goods Sold",D185="Expenditures",D185="Other Revenue",D185="Other Expenditures"),E185,IF(AND(LEN(D185)&gt;2,MID(D185,2,1)=" ",ISNUMBER(VALUE(LEFT(D185,1)))),D185,F184))</f>
        <v>3 Operations</v>
      </c>
      <c r="G185" s="36" t="n">
        <f aca="false">IF(AND(D185&lt;&gt;"",ISNUMBER(B185),LEFT(D185,9)&lt;&gt;"Total for",D185&lt;&gt;"Gross Profit",D185&lt;&gt;"Net Operating Revenue",D185&lt;&gt;"Net Other Revenue",D185&lt;&gt;"Net Revenue"),1,0)</f>
        <v>1</v>
      </c>
      <c r="H185" s="36" t="str">
        <f aca="false">IF(G185=1,IF(AND(LEN(D185)&gt;7,ISNUMBER(VALUE(LEFT(D185,6))),MID(D185,7,1)=" "),LEFT(D185,6),D185),"")</f>
        <v>Maintenance-Budget Only</v>
      </c>
      <c r="I185" s="36" t="str">
        <f aca="false">IF(G185=1,IF(COUNTIF('Forecast Detail'!$C$8:$C$400,H185)=0,"UNMAPPED","OK"),"")</f>
        <v>OK</v>
      </c>
    </row>
    <row r="186" customFormat="false" ht="15" hidden="false" customHeight="false" outlineLevel="0" collapsed="false">
      <c r="A186" s="6" t="s">
        <v>660</v>
      </c>
      <c r="D186" s="36" t="str">
        <f aca="false">TRIM(A186)</f>
        <v>Utilities</v>
      </c>
      <c r="E186" s="36" t="str">
        <f aca="false">IF(D186="Revenue","Revenue",IF(D186="Cost of Goods Sold","COGS",IF(D186="Expenditures","Expense",IF(D186="Other Revenue","Other Revenue",IF(D186="Other Expenditures","Other Expense",E185)))))</f>
        <v>Expense</v>
      </c>
      <c r="F186" s="36" t="str">
        <f aca="false">IF(OR(D186="Revenue",D186="Cost of Goods Sold",D186="Expenditures",D186="Other Revenue",D186="Other Expenditures"),E186,IF(AND(LEN(D186)&gt;2,MID(D186,2,1)=" ",ISNUMBER(VALUE(LEFT(D186,1)))),D186,F185))</f>
        <v>3 Operations</v>
      </c>
      <c r="G186" s="36" t="n">
        <f aca="false">IF(AND(D186&lt;&gt;"",ISNUMBER(B186),LEFT(D186,9)&lt;&gt;"Total for",D186&lt;&gt;"Gross Profit",D186&lt;&gt;"Net Operating Revenue",D186&lt;&gt;"Net Other Revenue",D186&lt;&gt;"Net Revenue"),1,0)</f>
        <v>0</v>
      </c>
      <c r="H186" s="36" t="str">
        <f aca="false">IF(G186=1,IF(AND(LEN(D186)&gt;7,ISNUMBER(VALUE(LEFT(D186,6))),MID(D186,7,1)=" "),LEFT(D186,6),D186),"")</f>
        <v/>
      </c>
      <c r="I186" s="36" t="str">
        <f aca="false">IF(G186=1,IF(COUNTIF('Forecast Detail'!$C$8:$C$400,H186)=0,"UNMAPPED","OK"),"")</f>
        <v/>
      </c>
    </row>
    <row r="187" customFormat="false" ht="15" hidden="false" customHeight="false" outlineLevel="0" collapsed="false">
      <c r="A187" s="6" t="s">
        <v>463</v>
      </c>
      <c r="B187" s="11" t="n">
        <v>0</v>
      </c>
      <c r="C187" s="11" t="n">
        <f aca="false">B187</f>
        <v>0</v>
      </c>
      <c r="D187" s="36" t="str">
        <f aca="false">TRIM(A187)</f>
        <v>500237 Utilities - Power</v>
      </c>
      <c r="E187" s="36" t="str">
        <f aca="false">IF(D187="Revenue","Revenue",IF(D187="Cost of Goods Sold","COGS",IF(D187="Expenditures","Expense",IF(D187="Other Revenue","Other Revenue",IF(D187="Other Expenditures","Other Expense",E186)))))</f>
        <v>Expense</v>
      </c>
      <c r="F187" s="36" t="str">
        <f aca="false">IF(OR(D187="Revenue",D187="Cost of Goods Sold",D187="Expenditures",D187="Other Revenue",D187="Other Expenditures"),E187,IF(AND(LEN(D187)&gt;2,MID(D187,2,1)=" ",ISNUMBER(VALUE(LEFT(D187,1)))),D187,F186))</f>
        <v>3 Operations</v>
      </c>
      <c r="G187" s="36" t="n">
        <f aca="false">IF(AND(D187&lt;&gt;"",ISNUMBER(B187),LEFT(D187,9)&lt;&gt;"Total for",D187&lt;&gt;"Gross Profit",D187&lt;&gt;"Net Operating Revenue",D187&lt;&gt;"Net Other Revenue",D187&lt;&gt;"Net Revenue"),1,0)</f>
        <v>1</v>
      </c>
      <c r="H187" s="36" t="str">
        <f aca="false">IF(G187=1,IF(AND(LEN(D187)&gt;7,ISNUMBER(VALUE(LEFT(D187,6))),MID(D187,7,1)=" "),LEFT(D187,6),D187),"")</f>
        <v>500237</v>
      </c>
      <c r="I187" s="36" t="str">
        <f aca="false">IF(G187=1,IF(COUNTIF('Forecast Detail'!$C$8:$C$400,H187)=0,"UNMAPPED","OK"),"")</f>
        <v>OK</v>
      </c>
    </row>
    <row r="188" customFormat="false" ht="15" hidden="false" customHeight="false" outlineLevel="0" collapsed="false">
      <c r="A188" s="6" t="s">
        <v>465</v>
      </c>
      <c r="B188" s="11" t="n">
        <v>0</v>
      </c>
      <c r="C188" s="11" t="n">
        <f aca="false">B188</f>
        <v>0</v>
      </c>
      <c r="D188" s="36" t="str">
        <f aca="false">TRIM(A188)</f>
        <v>500238 Utilities Water</v>
      </c>
      <c r="E188" s="36" t="str">
        <f aca="false">IF(D188="Revenue","Revenue",IF(D188="Cost of Goods Sold","COGS",IF(D188="Expenditures","Expense",IF(D188="Other Revenue","Other Revenue",IF(D188="Other Expenditures","Other Expense",E187)))))</f>
        <v>Expense</v>
      </c>
      <c r="F188" s="36" t="str">
        <f aca="false">IF(OR(D188="Revenue",D188="Cost of Goods Sold",D188="Expenditures",D188="Other Revenue",D188="Other Expenditures"),E188,IF(AND(LEN(D188)&gt;2,MID(D188,2,1)=" ",ISNUMBER(VALUE(LEFT(D188,1)))),D188,F187))</f>
        <v>3 Operations</v>
      </c>
      <c r="G188" s="36" t="n">
        <f aca="false">IF(AND(D188&lt;&gt;"",ISNUMBER(B188),LEFT(D188,9)&lt;&gt;"Total for",D188&lt;&gt;"Gross Profit",D188&lt;&gt;"Net Operating Revenue",D188&lt;&gt;"Net Other Revenue",D188&lt;&gt;"Net Revenue"),1,0)</f>
        <v>1</v>
      </c>
      <c r="H188" s="36" t="str">
        <f aca="false">IF(G188=1,IF(AND(LEN(D188)&gt;7,ISNUMBER(VALUE(LEFT(D188,6))),MID(D188,7,1)=" "),LEFT(D188,6),D188),"")</f>
        <v>500238</v>
      </c>
      <c r="I188" s="36" t="str">
        <f aca="false">IF(G188=1,IF(COUNTIF('Forecast Detail'!$C$8:$C$400,H188)=0,"UNMAPPED","OK"),"")</f>
        <v>OK</v>
      </c>
    </row>
    <row r="189" customFormat="false" ht="15" hidden="false" customHeight="false" outlineLevel="0" collapsed="false">
      <c r="A189" s="6" t="s">
        <v>467</v>
      </c>
      <c r="B189" s="11" t="n">
        <v>0</v>
      </c>
      <c r="C189" s="11" t="n">
        <f aca="false">B189</f>
        <v>0</v>
      </c>
      <c r="D189" s="36" t="str">
        <f aca="false">TRIM(A189)</f>
        <v>500239 Utilities Telephone &amp; Cell</v>
      </c>
      <c r="E189" s="36" t="str">
        <f aca="false">IF(D189="Revenue","Revenue",IF(D189="Cost of Goods Sold","COGS",IF(D189="Expenditures","Expense",IF(D189="Other Revenue","Other Revenue",IF(D189="Other Expenditures","Other Expense",E188)))))</f>
        <v>Expense</v>
      </c>
      <c r="F189" s="36" t="str">
        <f aca="false">IF(OR(D189="Revenue",D189="Cost of Goods Sold",D189="Expenditures",D189="Other Revenue",D189="Other Expenditures"),E189,IF(AND(LEN(D189)&gt;2,MID(D189,2,1)=" ",ISNUMBER(VALUE(LEFT(D189,1)))),D189,F188))</f>
        <v>3 Operations</v>
      </c>
      <c r="G189" s="36" t="n">
        <f aca="false">IF(AND(D189&lt;&gt;"",ISNUMBER(B189),LEFT(D189,9)&lt;&gt;"Total for",D189&lt;&gt;"Gross Profit",D189&lt;&gt;"Net Operating Revenue",D189&lt;&gt;"Net Other Revenue",D189&lt;&gt;"Net Revenue"),1,0)</f>
        <v>1</v>
      </c>
      <c r="H189" s="36" t="str">
        <f aca="false">IF(G189=1,IF(AND(LEN(D189)&gt;7,ISNUMBER(VALUE(LEFT(D189,6))),MID(D189,7,1)=" "),LEFT(D189,6),D189),"")</f>
        <v>500239</v>
      </c>
      <c r="I189" s="36" t="str">
        <f aca="false">IF(G189=1,IF(COUNTIF('Forecast Detail'!$C$8:$C$400,H189)=0,"UNMAPPED","OK"),"")</f>
        <v>OK</v>
      </c>
    </row>
    <row r="190" customFormat="false" ht="15" hidden="false" customHeight="false" outlineLevel="0" collapsed="false">
      <c r="A190" s="6" t="s">
        <v>469</v>
      </c>
      <c r="B190" s="11" t="n">
        <v>0</v>
      </c>
      <c r="C190" s="11" t="n">
        <f aca="false">B190</f>
        <v>0</v>
      </c>
      <c r="D190" s="36" t="str">
        <f aca="false">TRIM(A190)</f>
        <v>500240 Utilities Gas</v>
      </c>
      <c r="E190" s="36" t="str">
        <f aca="false">IF(D190="Revenue","Revenue",IF(D190="Cost of Goods Sold","COGS",IF(D190="Expenditures","Expense",IF(D190="Other Revenue","Other Revenue",IF(D190="Other Expenditures","Other Expense",E189)))))</f>
        <v>Expense</v>
      </c>
      <c r="F190" s="36" t="str">
        <f aca="false">IF(OR(D190="Revenue",D190="Cost of Goods Sold",D190="Expenditures",D190="Other Revenue",D190="Other Expenditures"),E190,IF(AND(LEN(D190)&gt;2,MID(D190,2,1)=" ",ISNUMBER(VALUE(LEFT(D190,1)))),D190,F189))</f>
        <v>3 Operations</v>
      </c>
      <c r="G190" s="36" t="n">
        <f aca="false">IF(AND(D190&lt;&gt;"",ISNUMBER(B190),LEFT(D190,9)&lt;&gt;"Total for",D190&lt;&gt;"Gross Profit",D190&lt;&gt;"Net Operating Revenue",D190&lt;&gt;"Net Other Revenue",D190&lt;&gt;"Net Revenue"),1,0)</f>
        <v>1</v>
      </c>
      <c r="H190" s="36" t="str">
        <f aca="false">IF(G190=1,IF(AND(LEN(D190)&gt;7,ISNUMBER(VALUE(LEFT(D190,6))),MID(D190,7,1)=" "),LEFT(D190,6),D190),"")</f>
        <v>500240</v>
      </c>
      <c r="I190" s="36" t="str">
        <f aca="false">IF(G190=1,IF(COUNTIF('Forecast Detail'!$C$8:$C$400,H190)=0,"UNMAPPED","OK"),"")</f>
        <v>OK</v>
      </c>
    </row>
    <row r="191" customFormat="false" ht="15" hidden="false" customHeight="false" outlineLevel="0" collapsed="false">
      <c r="A191" s="6" t="s">
        <v>661</v>
      </c>
      <c r="B191" s="11" t="n">
        <f aca="false">B186+B187+B188+B189+B190</f>
        <v>0</v>
      </c>
      <c r="C191" s="11" t="n">
        <f aca="false">B191</f>
        <v>0</v>
      </c>
      <c r="D191" s="36" t="str">
        <f aca="false">TRIM(A191)</f>
        <v>Total for Utilities</v>
      </c>
      <c r="E191" s="36" t="str">
        <f aca="false">IF(D191="Revenue","Revenue",IF(D191="Cost of Goods Sold","COGS",IF(D191="Expenditures","Expense",IF(D191="Other Revenue","Other Revenue",IF(D191="Other Expenditures","Other Expense",E190)))))</f>
        <v>Expense</v>
      </c>
      <c r="F191" s="36" t="str">
        <f aca="false">IF(OR(D191="Revenue",D191="Cost of Goods Sold",D191="Expenditures",D191="Other Revenue",D191="Other Expenditures"),E191,IF(AND(LEN(D191)&gt;2,MID(D191,2,1)=" ",ISNUMBER(VALUE(LEFT(D191,1)))),D191,F190))</f>
        <v>3 Operations</v>
      </c>
      <c r="G191" s="36" t="n">
        <f aca="false">IF(AND(D191&lt;&gt;"",ISNUMBER(B191),LEFT(D191,9)&lt;&gt;"Total for",D191&lt;&gt;"Gross Profit",D191&lt;&gt;"Net Operating Revenue",D191&lt;&gt;"Net Other Revenue",D191&lt;&gt;"Net Revenue"),1,0)</f>
        <v>0</v>
      </c>
      <c r="H191" s="36" t="str">
        <f aca="false">IF(G191=1,IF(AND(LEN(D191)&gt;7,ISNUMBER(VALUE(LEFT(D191,6))),MID(D191,7,1)=" "),LEFT(D191,6),D191),"")</f>
        <v/>
      </c>
      <c r="I191" s="36" t="str">
        <f aca="false">IF(G191=1,IF(COUNTIF('Forecast Detail'!$C$8:$C$400,H191)=0,"UNMAPPED","OK"),"")</f>
        <v/>
      </c>
    </row>
    <row r="192" customFormat="false" ht="15" hidden="false" customHeight="false" outlineLevel="0" collapsed="false">
      <c r="A192" s="6" t="s">
        <v>662</v>
      </c>
      <c r="B192" s="11" t="n">
        <f aca="false">B174+B175+B176+B177+B178+B179+B180+B181+B182+B183+B184+B185+B191</f>
        <v>828750</v>
      </c>
      <c r="C192" s="11" t="n">
        <f aca="false">B192</f>
        <v>828750</v>
      </c>
      <c r="D192" s="36" t="str">
        <f aca="false">TRIM(A192)</f>
        <v>Total for Maintenance/Grounds/Utilities Expenses</v>
      </c>
      <c r="E192" s="36" t="str">
        <f aca="false">IF(D192="Revenue","Revenue",IF(D192="Cost of Goods Sold","COGS",IF(D192="Expenditures","Expense",IF(D192="Other Revenue","Other Revenue",IF(D192="Other Expenditures","Other Expense",E191)))))</f>
        <v>Expense</v>
      </c>
      <c r="F192" s="36" t="str">
        <f aca="false">IF(OR(D192="Revenue",D192="Cost of Goods Sold",D192="Expenditures",D192="Other Revenue",D192="Other Expenditures"),E192,IF(AND(LEN(D192)&gt;2,MID(D192,2,1)=" ",ISNUMBER(VALUE(LEFT(D192,1)))),D192,F191))</f>
        <v>3 Operations</v>
      </c>
      <c r="G192" s="36" t="n">
        <f aca="false">IF(AND(D192&lt;&gt;"",ISNUMBER(B192),LEFT(D192,9)&lt;&gt;"Total for",D192&lt;&gt;"Gross Profit",D192&lt;&gt;"Net Operating Revenue",D192&lt;&gt;"Net Other Revenue",D192&lt;&gt;"Net Revenue"),1,0)</f>
        <v>0</v>
      </c>
      <c r="H192" s="36" t="str">
        <f aca="false">IF(G192=1,IF(AND(LEN(D192)&gt;7,ISNUMBER(VALUE(LEFT(D192,6))),MID(D192,7,1)=" "),LEFT(D192,6),D192),"")</f>
        <v/>
      </c>
      <c r="I192" s="36" t="str">
        <f aca="false">IF(G192=1,IF(COUNTIF('Forecast Detail'!$C$8:$C$400,H192)=0,"UNMAPPED","OK"),"")</f>
        <v/>
      </c>
    </row>
    <row r="193" customFormat="false" ht="15" hidden="false" customHeight="false" outlineLevel="0" collapsed="false">
      <c r="A193" s="6" t="s">
        <v>663</v>
      </c>
      <c r="B193" s="11" t="n">
        <f aca="false">B153+B167+B168+B173+B192</f>
        <v>1847250</v>
      </c>
      <c r="C193" s="11" t="n">
        <f aca="false">B193</f>
        <v>1847250</v>
      </c>
      <c r="D193" s="36" t="str">
        <f aca="false">TRIM(A193)</f>
        <v>Total for 3 Operations</v>
      </c>
      <c r="E193" s="36" t="str">
        <f aca="false">IF(D193="Revenue","Revenue",IF(D193="Cost of Goods Sold","COGS",IF(D193="Expenditures","Expense",IF(D193="Other Revenue","Other Revenue",IF(D193="Other Expenditures","Other Expense",E192)))))</f>
        <v>Expense</v>
      </c>
      <c r="F193" s="36" t="str">
        <f aca="false">IF(OR(D193="Revenue",D193="Cost of Goods Sold",D193="Expenditures",D193="Other Revenue",D193="Other Expenditures"),E193,IF(AND(LEN(D193)&gt;2,MID(D193,2,1)=" ",ISNUMBER(VALUE(LEFT(D193,1)))),D193,F192))</f>
        <v>3 Operations</v>
      </c>
      <c r="G193" s="36" t="n">
        <f aca="false">IF(AND(D193&lt;&gt;"",ISNUMBER(B193),LEFT(D193,9)&lt;&gt;"Total for",D193&lt;&gt;"Gross Profit",D193&lt;&gt;"Net Operating Revenue",D193&lt;&gt;"Net Other Revenue",D193&lt;&gt;"Net Revenue"),1,0)</f>
        <v>0</v>
      </c>
      <c r="H193" s="36" t="str">
        <f aca="false">IF(G193=1,IF(AND(LEN(D193)&gt;7,ISNUMBER(VALUE(LEFT(D193,6))),MID(D193,7,1)=" "),LEFT(D193,6),D193),"")</f>
        <v/>
      </c>
      <c r="I193" s="36" t="str">
        <f aca="false">IF(G193=1,IF(COUNTIF('Forecast Detail'!$C$8:$C$400,H193)=0,"UNMAPPED","OK"),"")</f>
        <v/>
      </c>
    </row>
    <row r="194" customFormat="false" ht="15" hidden="false" customHeight="false" outlineLevel="0" collapsed="false">
      <c r="A194" s="6" t="s">
        <v>17</v>
      </c>
      <c r="D194" s="36" t="str">
        <f aca="false">TRIM(A194)</f>
        <v>4 Administrative</v>
      </c>
      <c r="E194" s="36" t="str">
        <f aca="false">IF(D194="Revenue","Revenue",IF(D194="Cost of Goods Sold","COGS",IF(D194="Expenditures","Expense",IF(D194="Other Revenue","Other Revenue",IF(D194="Other Expenditures","Other Expense",E193)))))</f>
        <v>Expense</v>
      </c>
      <c r="F194" s="36" t="str">
        <f aca="false">IF(OR(D194="Revenue",D194="Cost of Goods Sold",D194="Expenditures",D194="Other Revenue",D194="Other Expenditures"),E194,IF(AND(LEN(D194)&gt;2,MID(D194,2,1)=" ",ISNUMBER(VALUE(LEFT(D194,1)))),D194,F193))</f>
        <v>4 Administrative</v>
      </c>
      <c r="G194" s="36" t="n">
        <f aca="false">IF(AND(D194&lt;&gt;"",ISNUMBER(B194),LEFT(D194,9)&lt;&gt;"Total for",D194&lt;&gt;"Gross Profit",D194&lt;&gt;"Net Operating Revenue",D194&lt;&gt;"Net Other Revenue",D194&lt;&gt;"Net Revenue"),1,0)</f>
        <v>0</v>
      </c>
      <c r="H194" s="36" t="str">
        <f aca="false">IF(G194=1,IF(AND(LEN(D194)&gt;7,ISNUMBER(VALUE(LEFT(D194,6))),MID(D194,7,1)=" "),LEFT(D194,6),D194),"")</f>
        <v/>
      </c>
      <c r="I194" s="36" t="str">
        <f aca="false">IF(G194=1,IF(COUNTIF('Forecast Detail'!$C$8:$C$400,H194)=0,"UNMAPPED","OK"),"")</f>
        <v/>
      </c>
    </row>
    <row r="195" customFormat="false" ht="15" hidden="false" customHeight="false" outlineLevel="0" collapsed="false">
      <c r="A195" s="6" t="s">
        <v>664</v>
      </c>
      <c r="D195" s="36" t="str">
        <f aca="false">TRIM(A195)</f>
        <v>Administrative Activities-General</v>
      </c>
      <c r="E195" s="36" t="str">
        <f aca="false">IF(D195="Revenue","Revenue",IF(D195="Cost of Goods Sold","COGS",IF(D195="Expenditures","Expense",IF(D195="Other Revenue","Other Revenue",IF(D195="Other Expenditures","Other Expense",E194)))))</f>
        <v>Expense</v>
      </c>
      <c r="F195" s="36" t="str">
        <f aca="false">IF(OR(D195="Revenue",D195="Cost of Goods Sold",D195="Expenditures",D195="Other Revenue",D195="Other Expenditures"),E195,IF(AND(LEN(D195)&gt;2,MID(D195,2,1)=" ",ISNUMBER(VALUE(LEFT(D195,1)))),D195,F194))</f>
        <v>4 Administrative</v>
      </c>
      <c r="G195" s="36" t="n">
        <f aca="false">IF(AND(D195&lt;&gt;"",ISNUMBER(B195),LEFT(D195,9)&lt;&gt;"Total for",D195&lt;&gt;"Gross Profit",D195&lt;&gt;"Net Operating Revenue",D195&lt;&gt;"Net Other Revenue",D195&lt;&gt;"Net Revenue"),1,0)</f>
        <v>0</v>
      </c>
      <c r="H195" s="36" t="str">
        <f aca="false">IF(G195=1,IF(AND(LEN(D195)&gt;7,ISNUMBER(VALUE(LEFT(D195,6))),MID(D195,7,1)=" "),LEFT(D195,6),D195),"")</f>
        <v/>
      </c>
      <c r="I195" s="36" t="str">
        <f aca="false">IF(G195=1,IF(COUNTIF('Forecast Detail'!$C$8:$C$400,H195)=0,"UNMAPPED","OK"),"")</f>
        <v/>
      </c>
    </row>
    <row r="196" customFormat="false" ht="15" hidden="false" customHeight="false" outlineLevel="0" collapsed="false">
      <c r="A196" s="6" t="s">
        <v>471</v>
      </c>
      <c r="B196" s="11" t="n">
        <v>30000</v>
      </c>
      <c r="C196" s="11" t="n">
        <f aca="false">B196</f>
        <v>30000</v>
      </c>
      <c r="D196" s="36" t="str">
        <f aca="false">TRIM(A196)</f>
        <v>500017 Admissions</v>
      </c>
      <c r="E196" s="36" t="str">
        <f aca="false">IF(D196="Revenue","Revenue",IF(D196="Cost of Goods Sold","COGS",IF(D196="Expenditures","Expense",IF(D196="Other Revenue","Other Revenue",IF(D196="Other Expenditures","Other Expense",E195)))))</f>
        <v>Expense</v>
      </c>
      <c r="F196" s="36" t="str">
        <f aca="false">IF(OR(D196="Revenue",D196="Cost of Goods Sold",D196="Expenditures",D196="Other Revenue",D196="Other Expenditures"),E196,IF(AND(LEN(D196)&gt;2,MID(D196,2,1)=" ",ISNUMBER(VALUE(LEFT(D196,1)))),D196,F195))</f>
        <v>4 Administrative</v>
      </c>
      <c r="G196" s="36" t="n">
        <f aca="false">IF(AND(D196&lt;&gt;"",ISNUMBER(B196),LEFT(D196,9)&lt;&gt;"Total for",D196&lt;&gt;"Gross Profit",D196&lt;&gt;"Net Operating Revenue",D196&lt;&gt;"Net Other Revenue",D196&lt;&gt;"Net Revenue"),1,0)</f>
        <v>1</v>
      </c>
      <c r="H196" s="36" t="str">
        <f aca="false">IF(G196=1,IF(AND(LEN(D196)&gt;7,ISNUMBER(VALUE(LEFT(D196,6))),MID(D196,7,1)=" "),LEFT(D196,6),D196),"")</f>
        <v>500017</v>
      </c>
      <c r="I196" s="36" t="str">
        <f aca="false">IF(G196=1,IF(COUNTIF('Forecast Detail'!$C$8:$C$400,H196)=0,"UNMAPPED","OK"),"")</f>
        <v>OK</v>
      </c>
    </row>
    <row r="197" customFormat="false" ht="15" hidden="false" customHeight="false" outlineLevel="0" collapsed="false">
      <c r="A197" s="6" t="s">
        <v>473</v>
      </c>
      <c r="B197" s="11" t="n">
        <v>7700</v>
      </c>
      <c r="C197" s="11" t="n">
        <f aca="false">B197</f>
        <v>7700</v>
      </c>
      <c r="D197" s="36" t="str">
        <f aca="false">TRIM(A197)</f>
        <v>500018 College Counseling</v>
      </c>
      <c r="E197" s="36" t="str">
        <f aca="false">IF(D197="Revenue","Revenue",IF(D197="Cost of Goods Sold","COGS",IF(D197="Expenditures","Expense",IF(D197="Other Revenue","Other Revenue",IF(D197="Other Expenditures","Other Expense",E196)))))</f>
        <v>Expense</v>
      </c>
      <c r="F197" s="36" t="str">
        <f aca="false">IF(OR(D197="Revenue",D197="Cost of Goods Sold",D197="Expenditures",D197="Other Revenue",D197="Other Expenditures"),E197,IF(AND(LEN(D197)&gt;2,MID(D197,2,1)=" ",ISNUMBER(VALUE(LEFT(D197,1)))),D197,F196))</f>
        <v>4 Administrative</v>
      </c>
      <c r="G197" s="36" t="n">
        <f aca="false">IF(AND(D197&lt;&gt;"",ISNUMBER(B197),LEFT(D197,9)&lt;&gt;"Total for",D197&lt;&gt;"Gross Profit",D197&lt;&gt;"Net Operating Revenue",D197&lt;&gt;"Net Other Revenue",D197&lt;&gt;"Net Revenue"),1,0)</f>
        <v>1</v>
      </c>
      <c r="H197" s="36" t="str">
        <f aca="false">IF(G197=1,IF(AND(LEN(D197)&gt;7,ISNUMBER(VALUE(LEFT(D197,6))),MID(D197,7,1)=" "),LEFT(D197,6),D197),"")</f>
        <v>500018</v>
      </c>
      <c r="I197" s="36" t="str">
        <f aca="false">IF(G197=1,IF(COUNTIF('Forecast Detail'!$C$8:$C$400,H197)=0,"UNMAPPED","OK"),"")</f>
        <v>OK</v>
      </c>
    </row>
    <row r="198" customFormat="false" ht="15" hidden="false" customHeight="false" outlineLevel="0" collapsed="false">
      <c r="A198" s="6" t="s">
        <v>475</v>
      </c>
      <c r="B198" s="11" t="n">
        <v>20000</v>
      </c>
      <c r="C198" s="11" t="n">
        <f aca="false">B198</f>
        <v>20000</v>
      </c>
      <c r="D198" s="36" t="str">
        <f aca="false">TRIM(A198)</f>
        <v>500019 Guidance Office</v>
      </c>
      <c r="E198" s="36" t="str">
        <f aca="false">IF(D198="Revenue","Revenue",IF(D198="Cost of Goods Sold","COGS",IF(D198="Expenditures","Expense",IF(D198="Other Revenue","Other Revenue",IF(D198="Other Expenditures","Other Expense",E197)))))</f>
        <v>Expense</v>
      </c>
      <c r="F198" s="36" t="str">
        <f aca="false">IF(OR(D198="Revenue",D198="Cost of Goods Sold",D198="Expenditures",D198="Other Revenue",D198="Other Expenditures"),E198,IF(AND(LEN(D198)&gt;2,MID(D198,2,1)=" ",ISNUMBER(VALUE(LEFT(D198,1)))),D198,F197))</f>
        <v>4 Administrative</v>
      </c>
      <c r="G198" s="36" t="n">
        <f aca="false">IF(AND(D198&lt;&gt;"",ISNUMBER(B198),LEFT(D198,9)&lt;&gt;"Total for",D198&lt;&gt;"Gross Profit",D198&lt;&gt;"Net Operating Revenue",D198&lt;&gt;"Net Other Revenue",D198&lt;&gt;"Net Revenue"),1,0)</f>
        <v>1</v>
      </c>
      <c r="H198" s="36" t="str">
        <f aca="false">IF(G198=1,IF(AND(LEN(D198)&gt;7,ISNUMBER(VALUE(LEFT(D198,6))),MID(D198,7,1)=" "),LEFT(D198,6),D198),"")</f>
        <v>500019</v>
      </c>
      <c r="I198" s="36" t="str">
        <f aca="false">IF(G198=1,IF(COUNTIF('Forecast Detail'!$C$8:$C$400,H198)=0,"UNMAPPED","OK"),"")</f>
        <v>OK</v>
      </c>
    </row>
    <row r="199" customFormat="false" ht="15" hidden="false" customHeight="false" outlineLevel="0" collapsed="false">
      <c r="A199" s="6" t="s">
        <v>477</v>
      </c>
      <c r="B199" s="11" t="n">
        <v>6000</v>
      </c>
      <c r="C199" s="11" t="n">
        <f aca="false">B199</f>
        <v>6000</v>
      </c>
      <c r="D199" s="36" t="str">
        <f aca="false">TRIM(A199)</f>
        <v>500020 Head of School Expenses</v>
      </c>
      <c r="E199" s="36" t="str">
        <f aca="false">IF(D199="Revenue","Revenue",IF(D199="Cost of Goods Sold","COGS",IF(D199="Expenditures","Expense",IF(D199="Other Revenue","Other Revenue",IF(D199="Other Expenditures","Other Expense",E198)))))</f>
        <v>Expense</v>
      </c>
      <c r="F199" s="36" t="str">
        <f aca="false">IF(OR(D199="Revenue",D199="Cost of Goods Sold",D199="Expenditures",D199="Other Revenue",D199="Other Expenditures"),E199,IF(AND(LEN(D199)&gt;2,MID(D199,2,1)=" ",ISNUMBER(VALUE(LEFT(D199,1)))),D199,F198))</f>
        <v>4 Administrative</v>
      </c>
      <c r="G199" s="36" t="n">
        <f aca="false">IF(AND(D199&lt;&gt;"",ISNUMBER(B199),LEFT(D199,9)&lt;&gt;"Total for",D199&lt;&gt;"Gross Profit",D199&lt;&gt;"Net Operating Revenue",D199&lt;&gt;"Net Other Revenue",D199&lt;&gt;"Net Revenue"),1,0)</f>
        <v>1</v>
      </c>
      <c r="H199" s="36" t="str">
        <f aca="false">IF(G199=1,IF(AND(LEN(D199)&gt;7,ISNUMBER(VALUE(LEFT(D199,6))),MID(D199,7,1)=" "),LEFT(D199,6),D199),"")</f>
        <v>500020</v>
      </c>
      <c r="I199" s="36" t="str">
        <f aca="false">IF(G199=1,IF(COUNTIF('Forecast Detail'!$C$8:$C$400,H199)=0,"UNMAPPED","OK"),"")</f>
        <v>OK</v>
      </c>
    </row>
    <row r="200" customFormat="false" ht="15" hidden="false" customHeight="false" outlineLevel="0" collapsed="false">
      <c r="A200" s="6" t="s">
        <v>479</v>
      </c>
      <c r="B200" s="11" t="n">
        <v>4000</v>
      </c>
      <c r="C200" s="11" t="n">
        <f aca="false">B200</f>
        <v>4000</v>
      </c>
      <c r="D200" s="36" t="str">
        <f aca="false">TRIM(A200)</f>
        <v>500022 Board Expense</v>
      </c>
      <c r="E200" s="36" t="str">
        <f aca="false">IF(D200="Revenue","Revenue",IF(D200="Cost of Goods Sold","COGS",IF(D200="Expenditures","Expense",IF(D200="Other Revenue","Other Revenue",IF(D200="Other Expenditures","Other Expense",E199)))))</f>
        <v>Expense</v>
      </c>
      <c r="F200" s="36" t="str">
        <f aca="false">IF(OR(D200="Revenue",D200="Cost of Goods Sold",D200="Expenditures",D200="Other Revenue",D200="Other Expenditures"),E200,IF(AND(LEN(D200)&gt;2,MID(D200,2,1)=" ",ISNUMBER(VALUE(LEFT(D200,1)))),D200,F199))</f>
        <v>4 Administrative</v>
      </c>
      <c r="G200" s="36" t="n">
        <f aca="false">IF(AND(D200&lt;&gt;"",ISNUMBER(B200),LEFT(D200,9)&lt;&gt;"Total for",D200&lt;&gt;"Gross Profit",D200&lt;&gt;"Net Operating Revenue",D200&lt;&gt;"Net Other Revenue",D200&lt;&gt;"Net Revenue"),1,0)</f>
        <v>1</v>
      </c>
      <c r="H200" s="36" t="str">
        <f aca="false">IF(G200=1,IF(AND(LEN(D200)&gt;7,ISNUMBER(VALUE(LEFT(D200,6))),MID(D200,7,1)=" "),LEFT(D200,6),D200),"")</f>
        <v>500022</v>
      </c>
      <c r="I200" s="36" t="str">
        <f aca="false">IF(G200=1,IF(COUNTIF('Forecast Detail'!$C$8:$C$400,H200)=0,"UNMAPPED","OK"),"")</f>
        <v>OK</v>
      </c>
    </row>
    <row r="201" customFormat="false" ht="15" hidden="false" customHeight="false" outlineLevel="0" collapsed="false">
      <c r="A201" s="6" t="s">
        <v>481</v>
      </c>
      <c r="B201" s="11" t="n">
        <v>3000</v>
      </c>
      <c r="C201" s="11" t="n">
        <f aca="false">B201</f>
        <v>3000</v>
      </c>
      <c r="D201" s="36" t="str">
        <f aca="false">TRIM(A201)</f>
        <v>500024 Faculty Appreciation</v>
      </c>
      <c r="E201" s="36" t="str">
        <f aca="false">IF(D201="Revenue","Revenue",IF(D201="Cost of Goods Sold","COGS",IF(D201="Expenditures","Expense",IF(D201="Other Revenue","Other Revenue",IF(D201="Other Expenditures","Other Expense",E200)))))</f>
        <v>Expense</v>
      </c>
      <c r="F201" s="36" t="str">
        <f aca="false">IF(OR(D201="Revenue",D201="Cost of Goods Sold",D201="Expenditures",D201="Other Revenue",D201="Other Expenditures"),E201,IF(AND(LEN(D201)&gt;2,MID(D201,2,1)=" ",ISNUMBER(VALUE(LEFT(D201,1)))),D201,F200))</f>
        <v>4 Administrative</v>
      </c>
      <c r="G201" s="36" t="n">
        <f aca="false">IF(AND(D201&lt;&gt;"",ISNUMBER(B201),LEFT(D201,9)&lt;&gt;"Total for",D201&lt;&gt;"Gross Profit",D201&lt;&gt;"Net Operating Revenue",D201&lt;&gt;"Net Other Revenue",D201&lt;&gt;"Net Revenue"),1,0)</f>
        <v>1</v>
      </c>
      <c r="H201" s="36" t="str">
        <f aca="false">IF(G201=1,IF(AND(LEN(D201)&gt;7,ISNUMBER(VALUE(LEFT(D201,6))),MID(D201,7,1)=" "),LEFT(D201,6),D201),"")</f>
        <v>500024</v>
      </c>
      <c r="I201" s="36" t="str">
        <f aca="false">IF(G201=1,IF(COUNTIF('Forecast Detail'!$C$8:$C$400,H201)=0,"UNMAPPED","OK"),"")</f>
        <v>OK</v>
      </c>
    </row>
    <row r="202" customFormat="false" ht="15" hidden="false" customHeight="false" outlineLevel="0" collapsed="false">
      <c r="A202" s="6" t="s">
        <v>483</v>
      </c>
      <c r="B202" s="11" t="n">
        <v>25000</v>
      </c>
      <c r="C202" s="11" t="n">
        <f aca="false">B202</f>
        <v>25000</v>
      </c>
      <c r="D202" s="36" t="str">
        <f aca="false">TRIM(A202)</f>
        <v>500056 Athletic Contingency Playoff Expenses</v>
      </c>
      <c r="E202" s="36" t="str">
        <f aca="false">IF(D202="Revenue","Revenue",IF(D202="Cost of Goods Sold","COGS",IF(D202="Expenditures","Expense",IF(D202="Other Revenue","Other Revenue",IF(D202="Other Expenditures","Other Expense",E201)))))</f>
        <v>Expense</v>
      </c>
      <c r="F202" s="36" t="str">
        <f aca="false">IF(OR(D202="Revenue",D202="Cost of Goods Sold",D202="Expenditures",D202="Other Revenue",D202="Other Expenditures"),E202,IF(AND(LEN(D202)&gt;2,MID(D202,2,1)=" ",ISNUMBER(VALUE(LEFT(D202,1)))),D202,F201))</f>
        <v>4 Administrative</v>
      </c>
      <c r="G202" s="36" t="n">
        <f aca="false">IF(AND(D202&lt;&gt;"",ISNUMBER(B202),LEFT(D202,9)&lt;&gt;"Total for",D202&lt;&gt;"Gross Profit",D202&lt;&gt;"Net Operating Revenue",D202&lt;&gt;"Net Other Revenue",D202&lt;&gt;"Net Revenue"),1,0)</f>
        <v>1</v>
      </c>
      <c r="H202" s="36" t="str">
        <f aca="false">IF(G202=1,IF(AND(LEN(D202)&gt;7,ISNUMBER(VALUE(LEFT(D202,6))),MID(D202,7,1)=" "),LEFT(D202,6),D202),"")</f>
        <v>500056</v>
      </c>
      <c r="I202" s="36" t="str">
        <f aca="false">IF(G202=1,IF(COUNTIF('Forecast Detail'!$C$8:$C$400,H202)=0,"UNMAPPED","OK"),"")</f>
        <v>OK</v>
      </c>
    </row>
    <row r="203" customFormat="false" ht="15" hidden="false" customHeight="false" outlineLevel="0" collapsed="false">
      <c r="A203" s="6" t="s">
        <v>485</v>
      </c>
      <c r="B203" s="11" t="n">
        <v>6000</v>
      </c>
      <c r="C203" s="11" t="n">
        <f aca="false">B203</f>
        <v>6000</v>
      </c>
      <c r="D203" s="36" t="str">
        <f aca="false">TRIM(A203)</f>
        <v>500127 Cirrus Lease</v>
      </c>
      <c r="E203" s="36" t="str">
        <f aca="false">IF(D203="Revenue","Revenue",IF(D203="Cost of Goods Sold","COGS",IF(D203="Expenditures","Expense",IF(D203="Other Revenue","Other Revenue",IF(D203="Other Expenditures","Other Expense",E202)))))</f>
        <v>Expense</v>
      </c>
      <c r="F203" s="36" t="str">
        <f aca="false">IF(OR(D203="Revenue",D203="Cost of Goods Sold",D203="Expenditures",D203="Other Revenue",D203="Other Expenditures"),E203,IF(AND(LEN(D203)&gt;2,MID(D203,2,1)=" ",ISNUMBER(VALUE(LEFT(D203,1)))),D203,F202))</f>
        <v>4 Administrative</v>
      </c>
      <c r="G203" s="36" t="n">
        <f aca="false">IF(AND(D203&lt;&gt;"",ISNUMBER(B203),LEFT(D203,9)&lt;&gt;"Total for",D203&lt;&gt;"Gross Profit",D203&lt;&gt;"Net Operating Revenue",D203&lt;&gt;"Net Other Revenue",D203&lt;&gt;"Net Revenue"),1,0)</f>
        <v>1</v>
      </c>
      <c r="H203" s="36" t="str">
        <f aca="false">IF(G203=1,IF(AND(LEN(D203)&gt;7,ISNUMBER(VALUE(LEFT(D203,6))),MID(D203,7,1)=" "),LEFT(D203,6),D203),"")</f>
        <v>500127</v>
      </c>
      <c r="I203" s="36" t="str">
        <f aca="false">IF(G203=1,IF(COUNTIF('Forecast Detail'!$C$8:$C$400,H203)=0,"UNMAPPED","OK"),"")</f>
        <v>OK</v>
      </c>
    </row>
    <row r="204" customFormat="false" ht="15" hidden="false" customHeight="false" outlineLevel="0" collapsed="false">
      <c r="A204" s="6" t="s">
        <v>487</v>
      </c>
      <c r="B204" s="11" t="n">
        <v>50000</v>
      </c>
      <c r="C204" s="11" t="n">
        <f aca="false">B204</f>
        <v>50000</v>
      </c>
      <c r="D204" s="36" t="str">
        <f aca="false">TRIM(A204)</f>
        <v>500256 Audit Fees - Financials</v>
      </c>
      <c r="E204" s="36" t="str">
        <f aca="false">IF(D204="Revenue","Revenue",IF(D204="Cost of Goods Sold","COGS",IF(D204="Expenditures","Expense",IF(D204="Other Revenue","Other Revenue",IF(D204="Other Expenditures","Other Expense",E203)))))</f>
        <v>Expense</v>
      </c>
      <c r="F204" s="36" t="str">
        <f aca="false">IF(OR(D204="Revenue",D204="Cost of Goods Sold",D204="Expenditures",D204="Other Revenue",D204="Other Expenditures"),E204,IF(AND(LEN(D204)&gt;2,MID(D204,2,1)=" ",ISNUMBER(VALUE(LEFT(D204,1)))),D204,F203))</f>
        <v>4 Administrative</v>
      </c>
      <c r="G204" s="36" t="n">
        <f aca="false">IF(AND(D204&lt;&gt;"",ISNUMBER(B204),LEFT(D204,9)&lt;&gt;"Total for",D204&lt;&gt;"Gross Profit",D204&lt;&gt;"Net Operating Revenue",D204&lt;&gt;"Net Other Revenue",D204&lt;&gt;"Net Revenue"),1,0)</f>
        <v>1</v>
      </c>
      <c r="H204" s="36" t="str">
        <f aca="false">IF(G204=1,IF(AND(LEN(D204)&gt;7,ISNUMBER(VALUE(LEFT(D204,6))),MID(D204,7,1)=" "),LEFT(D204,6),D204),"")</f>
        <v>500256</v>
      </c>
      <c r="I204" s="36" t="str">
        <f aca="false">IF(G204=1,IF(COUNTIF('Forecast Detail'!$C$8:$C$400,H204)=0,"UNMAPPED","OK"),"")</f>
        <v>OK</v>
      </c>
    </row>
    <row r="205" customFormat="false" ht="15" hidden="false" customHeight="false" outlineLevel="0" collapsed="false">
      <c r="A205" s="6" t="s">
        <v>489</v>
      </c>
      <c r="B205" s="11" t="n">
        <v>5000</v>
      </c>
      <c r="C205" s="11" t="n">
        <f aca="false">B205</f>
        <v>5000</v>
      </c>
      <c r="D205" s="36" t="str">
        <f aca="false">TRIM(A205)</f>
        <v>500257 SAIS/SACS Audit Fees</v>
      </c>
      <c r="E205" s="36" t="str">
        <f aca="false">IF(D205="Revenue","Revenue",IF(D205="Cost of Goods Sold","COGS",IF(D205="Expenditures","Expense",IF(D205="Other Revenue","Other Revenue",IF(D205="Other Expenditures","Other Expense",E204)))))</f>
        <v>Expense</v>
      </c>
      <c r="F205" s="36" t="str">
        <f aca="false">IF(OR(D205="Revenue",D205="Cost of Goods Sold",D205="Expenditures",D205="Other Revenue",D205="Other Expenditures"),E205,IF(AND(LEN(D205)&gt;2,MID(D205,2,1)=" ",ISNUMBER(VALUE(LEFT(D205,1)))),D205,F204))</f>
        <v>4 Administrative</v>
      </c>
      <c r="G205" s="36" t="n">
        <f aca="false">IF(AND(D205&lt;&gt;"",ISNUMBER(B205),LEFT(D205,9)&lt;&gt;"Total for",D205&lt;&gt;"Gross Profit",D205&lt;&gt;"Net Operating Revenue",D205&lt;&gt;"Net Other Revenue",D205&lt;&gt;"Net Revenue"),1,0)</f>
        <v>1</v>
      </c>
      <c r="H205" s="36" t="str">
        <f aca="false">IF(G205=1,IF(AND(LEN(D205)&gt;7,ISNUMBER(VALUE(LEFT(D205,6))),MID(D205,7,1)=" "),LEFT(D205,6),D205),"")</f>
        <v>500257</v>
      </c>
      <c r="I205" s="36" t="str">
        <f aca="false">IF(G205=1,IF(COUNTIF('Forecast Detail'!$C$8:$C$400,H205)=0,"UNMAPPED","OK"),"")</f>
        <v>OK</v>
      </c>
    </row>
    <row r="206" customFormat="false" ht="15" hidden="false" customHeight="false" outlineLevel="0" collapsed="false">
      <c r="A206" s="6" t="s">
        <v>491</v>
      </c>
      <c r="B206" s="11" t="n">
        <v>15000</v>
      </c>
      <c r="C206" s="11" t="n">
        <f aca="false">B206</f>
        <v>15000</v>
      </c>
      <c r="D206" s="36" t="str">
        <f aca="false">TRIM(A206)</f>
        <v>500260 Bad Debt Expense</v>
      </c>
      <c r="E206" s="36" t="str">
        <f aca="false">IF(D206="Revenue","Revenue",IF(D206="Cost of Goods Sold","COGS",IF(D206="Expenditures","Expense",IF(D206="Other Revenue","Other Revenue",IF(D206="Other Expenditures","Other Expense",E205)))))</f>
        <v>Expense</v>
      </c>
      <c r="F206" s="36" t="str">
        <f aca="false">IF(OR(D206="Revenue",D206="Cost of Goods Sold",D206="Expenditures",D206="Other Revenue",D206="Other Expenditures"),E206,IF(AND(LEN(D206)&gt;2,MID(D206,2,1)=" ",ISNUMBER(VALUE(LEFT(D206,1)))),D206,F205))</f>
        <v>4 Administrative</v>
      </c>
      <c r="G206" s="36" t="n">
        <f aca="false">IF(AND(D206&lt;&gt;"",ISNUMBER(B206),LEFT(D206,9)&lt;&gt;"Total for",D206&lt;&gt;"Gross Profit",D206&lt;&gt;"Net Operating Revenue",D206&lt;&gt;"Net Other Revenue",D206&lt;&gt;"Net Revenue"),1,0)</f>
        <v>1</v>
      </c>
      <c r="H206" s="36" t="str">
        <f aca="false">IF(G206=1,IF(AND(LEN(D206)&gt;7,ISNUMBER(VALUE(LEFT(D206,6))),MID(D206,7,1)=" "),LEFT(D206,6),D206),"")</f>
        <v>500260</v>
      </c>
      <c r="I206" s="36" t="str">
        <f aca="false">IF(G206=1,IF(COUNTIF('Forecast Detail'!$C$8:$C$400,H206)=0,"UNMAPPED","OK"),"")</f>
        <v>OK</v>
      </c>
    </row>
    <row r="207" customFormat="false" ht="15" hidden="false" customHeight="false" outlineLevel="0" collapsed="false">
      <c r="A207" s="6" t="s">
        <v>493</v>
      </c>
      <c r="B207" s="11" t="n">
        <v>15000</v>
      </c>
      <c r="C207" s="11" t="n">
        <f aca="false">B207</f>
        <v>15000</v>
      </c>
      <c r="D207" s="36" t="str">
        <f aca="false">TRIM(A207)</f>
        <v>500265 Strategic Plan Expenses</v>
      </c>
      <c r="E207" s="36" t="str">
        <f aca="false">IF(D207="Revenue","Revenue",IF(D207="Cost of Goods Sold","COGS",IF(D207="Expenditures","Expense",IF(D207="Other Revenue","Other Revenue",IF(D207="Other Expenditures","Other Expense",E206)))))</f>
        <v>Expense</v>
      </c>
      <c r="F207" s="36" t="str">
        <f aca="false">IF(OR(D207="Revenue",D207="Cost of Goods Sold",D207="Expenditures",D207="Other Revenue",D207="Other Expenditures"),E207,IF(AND(LEN(D207)&gt;2,MID(D207,2,1)=" ",ISNUMBER(VALUE(LEFT(D207,1)))),D207,F206))</f>
        <v>4 Administrative</v>
      </c>
      <c r="G207" s="36" t="n">
        <f aca="false">IF(AND(D207&lt;&gt;"",ISNUMBER(B207),LEFT(D207,9)&lt;&gt;"Total for",D207&lt;&gt;"Gross Profit",D207&lt;&gt;"Net Operating Revenue",D207&lt;&gt;"Net Other Revenue",D207&lt;&gt;"Net Revenue"),1,0)</f>
        <v>1</v>
      </c>
      <c r="H207" s="36" t="str">
        <f aca="false">IF(G207=1,IF(AND(LEN(D207)&gt;7,ISNUMBER(VALUE(LEFT(D207,6))),MID(D207,7,1)=" "),LEFT(D207,6),D207),"")</f>
        <v>500265</v>
      </c>
      <c r="I207" s="36" t="str">
        <f aca="false">IF(G207=1,IF(COUNTIF('Forecast Detail'!$C$8:$C$400,H207)=0,"UNMAPPED","OK"),"")</f>
        <v>OK</v>
      </c>
    </row>
    <row r="208" customFormat="false" ht="15" hidden="false" customHeight="false" outlineLevel="0" collapsed="false">
      <c r="A208" s="6" t="s">
        <v>495</v>
      </c>
      <c r="B208" s="11" t="n">
        <v>8500</v>
      </c>
      <c r="C208" s="11" t="n">
        <f aca="false">B208</f>
        <v>8500</v>
      </c>
      <c r="D208" s="36" t="str">
        <f aca="false">TRIM(A208)</f>
        <v>500266 Dues and Subscriptions</v>
      </c>
      <c r="E208" s="36" t="str">
        <f aca="false">IF(D208="Revenue","Revenue",IF(D208="Cost of Goods Sold","COGS",IF(D208="Expenditures","Expense",IF(D208="Other Revenue","Other Revenue",IF(D208="Other Expenditures","Other Expense",E207)))))</f>
        <v>Expense</v>
      </c>
      <c r="F208" s="36" t="str">
        <f aca="false">IF(OR(D208="Revenue",D208="Cost of Goods Sold",D208="Expenditures",D208="Other Revenue",D208="Other Expenditures"),E208,IF(AND(LEN(D208)&gt;2,MID(D208,2,1)=" ",ISNUMBER(VALUE(LEFT(D208,1)))),D208,F207))</f>
        <v>4 Administrative</v>
      </c>
      <c r="G208" s="36" t="n">
        <f aca="false">IF(AND(D208&lt;&gt;"",ISNUMBER(B208),LEFT(D208,9)&lt;&gt;"Total for",D208&lt;&gt;"Gross Profit",D208&lt;&gt;"Net Operating Revenue",D208&lt;&gt;"Net Other Revenue",D208&lt;&gt;"Net Revenue"),1,0)</f>
        <v>1</v>
      </c>
      <c r="H208" s="36" t="str">
        <f aca="false">IF(G208=1,IF(AND(LEN(D208)&gt;7,ISNUMBER(VALUE(LEFT(D208,6))),MID(D208,7,1)=" "),LEFT(D208,6),D208),"")</f>
        <v>500266</v>
      </c>
      <c r="I208" s="36" t="str">
        <f aca="false">IF(G208=1,IF(COUNTIF('Forecast Detail'!$C$8:$C$400,H208)=0,"UNMAPPED","OK"),"")</f>
        <v>OK</v>
      </c>
    </row>
    <row r="209" customFormat="false" ht="15" hidden="false" customHeight="false" outlineLevel="0" collapsed="false">
      <c r="A209" s="6" t="s">
        <v>497</v>
      </c>
      <c r="B209" s="11" t="n">
        <v>69500</v>
      </c>
      <c r="C209" s="11" t="n">
        <f aca="false">B209</f>
        <v>69500</v>
      </c>
      <c r="D209" s="36" t="str">
        <f aca="false">TRIM(A209)</f>
        <v>500393 Premium Paid for Tuition Insurance</v>
      </c>
      <c r="E209" s="36" t="str">
        <f aca="false">IF(D209="Revenue","Revenue",IF(D209="Cost of Goods Sold","COGS",IF(D209="Expenditures","Expense",IF(D209="Other Revenue","Other Revenue",IF(D209="Other Expenditures","Other Expense",E208)))))</f>
        <v>Expense</v>
      </c>
      <c r="F209" s="36" t="str">
        <f aca="false">IF(OR(D209="Revenue",D209="Cost of Goods Sold",D209="Expenditures",D209="Other Revenue",D209="Other Expenditures"),E209,IF(AND(LEN(D209)&gt;2,MID(D209,2,1)=" ",ISNUMBER(VALUE(LEFT(D209,1)))),D209,F208))</f>
        <v>4 Administrative</v>
      </c>
      <c r="G209" s="36" t="n">
        <f aca="false">IF(AND(D209&lt;&gt;"",ISNUMBER(B209),LEFT(D209,9)&lt;&gt;"Total for",D209&lt;&gt;"Gross Profit",D209&lt;&gt;"Net Operating Revenue",D209&lt;&gt;"Net Other Revenue",D209&lt;&gt;"Net Revenue"),1,0)</f>
        <v>1</v>
      </c>
      <c r="H209" s="36" t="str">
        <f aca="false">IF(G209=1,IF(AND(LEN(D209)&gt;7,ISNUMBER(VALUE(LEFT(D209,6))),MID(D209,7,1)=" "),LEFT(D209,6),D209),"")</f>
        <v>500393</v>
      </c>
      <c r="I209" s="36" t="str">
        <f aca="false">IF(G209=1,IF(COUNTIF('Forecast Detail'!$C$8:$C$400,H209)=0,"UNMAPPED","OK"),"")</f>
        <v>OK</v>
      </c>
    </row>
    <row r="210" customFormat="false" ht="15" hidden="false" customHeight="false" outlineLevel="0" collapsed="false">
      <c r="A210" s="6" t="s">
        <v>665</v>
      </c>
      <c r="B210" s="11" t="n">
        <f aca="false">B195+B196+B197+B198+B199+B200+B201+B202+B203+B204+B205+B206+B207+B208+B209</f>
        <v>264700</v>
      </c>
      <c r="C210" s="11" t="n">
        <f aca="false">B210</f>
        <v>264700</v>
      </c>
      <c r="D210" s="36" t="str">
        <f aca="false">TRIM(A210)</f>
        <v>Total for Administrative Activities-General</v>
      </c>
      <c r="E210" s="36" t="str">
        <f aca="false">IF(D210="Revenue","Revenue",IF(D210="Cost of Goods Sold","COGS",IF(D210="Expenditures","Expense",IF(D210="Other Revenue","Other Revenue",IF(D210="Other Expenditures","Other Expense",E209)))))</f>
        <v>Expense</v>
      </c>
      <c r="F210" s="36" t="str">
        <f aca="false">IF(OR(D210="Revenue",D210="Cost of Goods Sold",D210="Expenditures",D210="Other Revenue",D210="Other Expenditures"),E210,IF(AND(LEN(D210)&gt;2,MID(D210,2,1)=" ",ISNUMBER(VALUE(LEFT(D210,1)))),D210,F209))</f>
        <v>4 Administrative</v>
      </c>
      <c r="G210" s="36" t="n">
        <f aca="false">IF(AND(D210&lt;&gt;"",ISNUMBER(B210),LEFT(D210,9)&lt;&gt;"Total for",D210&lt;&gt;"Gross Profit",D210&lt;&gt;"Net Operating Revenue",D210&lt;&gt;"Net Other Revenue",D210&lt;&gt;"Net Revenue"),1,0)</f>
        <v>0</v>
      </c>
      <c r="H210" s="36" t="str">
        <f aca="false">IF(G210=1,IF(AND(LEN(D210)&gt;7,ISNUMBER(VALUE(LEFT(D210,6))),MID(D210,7,1)=" "),LEFT(D210,6),D210),"")</f>
        <v/>
      </c>
      <c r="I210" s="36" t="str">
        <f aca="false">IF(G210=1,IF(COUNTIF('Forecast Detail'!$C$8:$C$400,H210)=0,"UNMAPPED","OK"),"")</f>
        <v/>
      </c>
    </row>
    <row r="211" customFormat="false" ht="15" hidden="false" customHeight="false" outlineLevel="0" collapsed="false">
      <c r="A211" s="6" t="s">
        <v>498</v>
      </c>
      <c r="B211" s="11" t="n">
        <v>0</v>
      </c>
      <c r="C211" s="11" t="n">
        <f aca="false">B211</f>
        <v>0</v>
      </c>
      <c r="D211" s="36" t="str">
        <f aca="false">TRIM(A211)</f>
        <v>Advancement Activities</v>
      </c>
      <c r="E211" s="36" t="str">
        <f aca="false">IF(D211="Revenue","Revenue",IF(D211="Cost of Goods Sold","COGS",IF(D211="Expenditures","Expense",IF(D211="Other Revenue","Other Revenue",IF(D211="Other Expenditures","Other Expense",E210)))))</f>
        <v>Expense</v>
      </c>
      <c r="F211" s="36" t="str">
        <f aca="false">IF(OR(D211="Revenue",D211="Cost of Goods Sold",D211="Expenditures",D211="Other Revenue",D211="Other Expenditures"),E211,IF(AND(LEN(D211)&gt;2,MID(D211,2,1)=" ",ISNUMBER(VALUE(LEFT(D211,1)))),D211,F210))</f>
        <v>4 Administrative</v>
      </c>
      <c r="G211" s="36" t="n">
        <f aca="false">IF(AND(D211&lt;&gt;"",ISNUMBER(B211),LEFT(D211,9)&lt;&gt;"Total for",D211&lt;&gt;"Gross Profit",D211&lt;&gt;"Net Operating Revenue",D211&lt;&gt;"Net Other Revenue",D211&lt;&gt;"Net Revenue"),1,0)</f>
        <v>1</v>
      </c>
      <c r="H211" s="36" t="str">
        <f aca="false">IF(G211=1,IF(AND(LEN(D211)&gt;7,ISNUMBER(VALUE(LEFT(D211,6))),MID(D211,7,1)=" "),LEFT(D211,6),D211),"")</f>
        <v>Advancement Activities</v>
      </c>
      <c r="I211" s="36" t="str">
        <f aca="false">IF(G211=1,IF(COUNTIF('Forecast Detail'!$C$8:$C$400,H211)=0,"UNMAPPED","OK"),"")</f>
        <v>OK</v>
      </c>
    </row>
    <row r="212" customFormat="false" ht="15" hidden="false" customHeight="false" outlineLevel="0" collapsed="false">
      <c r="A212" s="6" t="s">
        <v>499</v>
      </c>
      <c r="B212" s="11" t="n">
        <v>80000</v>
      </c>
      <c r="C212" s="11" t="n">
        <f aca="false">B212</f>
        <v>80000</v>
      </c>
      <c r="D212" s="36" t="str">
        <f aca="false">TRIM(A212)</f>
        <v>Advertising and Marketing</v>
      </c>
      <c r="E212" s="36" t="str">
        <f aca="false">IF(D212="Revenue","Revenue",IF(D212="Cost of Goods Sold","COGS",IF(D212="Expenditures","Expense",IF(D212="Other Revenue","Other Revenue",IF(D212="Other Expenditures","Other Expense",E211)))))</f>
        <v>Expense</v>
      </c>
      <c r="F212" s="36" t="str">
        <f aca="false">IF(OR(D212="Revenue",D212="Cost of Goods Sold",D212="Expenditures",D212="Other Revenue",D212="Other Expenditures"),E212,IF(AND(LEN(D212)&gt;2,MID(D212,2,1)=" ",ISNUMBER(VALUE(LEFT(D212,1)))),D212,F211))</f>
        <v>4 Administrative</v>
      </c>
      <c r="G212" s="36" t="n">
        <f aca="false">IF(AND(D212&lt;&gt;"",ISNUMBER(B212),LEFT(D212,9)&lt;&gt;"Total for",D212&lt;&gt;"Gross Profit",D212&lt;&gt;"Net Operating Revenue",D212&lt;&gt;"Net Other Revenue",D212&lt;&gt;"Net Revenue"),1,0)</f>
        <v>1</v>
      </c>
      <c r="H212" s="36" t="str">
        <f aca="false">IF(G212=1,IF(AND(LEN(D212)&gt;7,ISNUMBER(VALUE(LEFT(D212,6))),MID(D212,7,1)=" "),LEFT(D212,6),D212),"")</f>
        <v>Advertising and Marketing</v>
      </c>
      <c r="I212" s="36" t="str">
        <f aca="false">IF(G212=1,IF(COUNTIF('Forecast Detail'!$C$8:$C$400,H212)=0,"UNMAPPED","OK"),"")</f>
        <v>OK</v>
      </c>
    </row>
    <row r="213" customFormat="false" ht="15" hidden="false" customHeight="false" outlineLevel="0" collapsed="false">
      <c r="A213" s="6" t="s">
        <v>666</v>
      </c>
      <c r="D213" s="36" t="str">
        <f aca="false">TRIM(A213)</f>
        <v>Debt Service</v>
      </c>
      <c r="E213" s="36" t="str">
        <f aca="false">IF(D213="Revenue","Revenue",IF(D213="Cost of Goods Sold","COGS",IF(D213="Expenditures","Expense",IF(D213="Other Revenue","Other Revenue",IF(D213="Other Expenditures","Other Expense",E212)))))</f>
        <v>Expense</v>
      </c>
      <c r="F213" s="36" t="str">
        <f aca="false">IF(OR(D213="Revenue",D213="Cost of Goods Sold",D213="Expenditures",D213="Other Revenue",D213="Other Expenditures"),E213,IF(AND(LEN(D213)&gt;2,MID(D213,2,1)=" ",ISNUMBER(VALUE(LEFT(D213,1)))),D213,F212))</f>
        <v>4 Administrative</v>
      </c>
      <c r="G213" s="36" t="n">
        <f aca="false">IF(AND(D213&lt;&gt;"",ISNUMBER(B213),LEFT(D213,9)&lt;&gt;"Total for",D213&lt;&gt;"Gross Profit",D213&lt;&gt;"Net Operating Revenue",D213&lt;&gt;"Net Other Revenue",D213&lt;&gt;"Net Revenue"),1,0)</f>
        <v>0</v>
      </c>
      <c r="H213" s="36" t="str">
        <f aca="false">IF(G213=1,IF(AND(LEN(D213)&gt;7,ISNUMBER(VALUE(LEFT(D213,6))),MID(D213,7,1)=" "),LEFT(D213,6),D213),"")</f>
        <v/>
      </c>
      <c r="I213" s="36" t="str">
        <f aca="false">IF(G213=1,IF(COUNTIF('Forecast Detail'!$C$8:$C$400,H213)=0,"UNMAPPED","OK"),"")</f>
        <v/>
      </c>
    </row>
    <row r="214" customFormat="false" ht="15" hidden="false" customHeight="false" outlineLevel="0" collapsed="false">
      <c r="A214" s="6" t="s">
        <v>501</v>
      </c>
      <c r="B214" s="11" t="n">
        <v>160236</v>
      </c>
      <c r="C214" s="11" t="n">
        <f aca="false">B214</f>
        <v>160236</v>
      </c>
      <c r="D214" s="36" t="str">
        <f aca="false">TRIM(A214)</f>
        <v>500123 Mortgage Principal</v>
      </c>
      <c r="E214" s="36" t="str">
        <f aca="false">IF(D214="Revenue","Revenue",IF(D214="Cost of Goods Sold","COGS",IF(D214="Expenditures","Expense",IF(D214="Other Revenue","Other Revenue",IF(D214="Other Expenditures","Other Expense",E213)))))</f>
        <v>Expense</v>
      </c>
      <c r="F214" s="36" t="str">
        <f aca="false">IF(OR(D214="Revenue",D214="Cost of Goods Sold",D214="Expenditures",D214="Other Revenue",D214="Other Expenditures"),E214,IF(AND(LEN(D214)&gt;2,MID(D214,2,1)=" ",ISNUMBER(VALUE(LEFT(D214,1)))),D214,F213))</f>
        <v>4 Administrative</v>
      </c>
      <c r="G214" s="36" t="n">
        <f aca="false">IF(AND(D214&lt;&gt;"",ISNUMBER(B214),LEFT(D214,9)&lt;&gt;"Total for",D214&lt;&gt;"Gross Profit",D214&lt;&gt;"Net Operating Revenue",D214&lt;&gt;"Net Other Revenue",D214&lt;&gt;"Net Revenue"),1,0)</f>
        <v>1</v>
      </c>
      <c r="H214" s="36" t="str">
        <f aca="false">IF(G214=1,IF(AND(LEN(D214)&gt;7,ISNUMBER(VALUE(LEFT(D214,6))),MID(D214,7,1)=" "),LEFT(D214,6),D214),"")</f>
        <v>500123</v>
      </c>
      <c r="I214" s="36" t="str">
        <f aca="false">IF(G214=1,IF(COUNTIF('Forecast Detail'!$C$8:$C$400,H214)=0,"UNMAPPED","OK"),"")</f>
        <v>OK</v>
      </c>
    </row>
    <row r="215" customFormat="false" ht="15" hidden="false" customHeight="false" outlineLevel="0" collapsed="false">
      <c r="A215" s="6" t="s">
        <v>504</v>
      </c>
      <c r="B215" s="11" t="n">
        <v>25432</v>
      </c>
      <c r="C215" s="11" t="n">
        <f aca="false">B215</f>
        <v>25432</v>
      </c>
      <c r="D215" s="36" t="str">
        <f aca="false">TRIM(A215)</f>
        <v>500125 Mortgage Interest Expense</v>
      </c>
      <c r="E215" s="36" t="str">
        <f aca="false">IF(D215="Revenue","Revenue",IF(D215="Cost of Goods Sold","COGS",IF(D215="Expenditures","Expense",IF(D215="Other Revenue","Other Revenue",IF(D215="Other Expenditures","Other Expense",E214)))))</f>
        <v>Expense</v>
      </c>
      <c r="F215" s="36" t="str">
        <f aca="false">IF(OR(D215="Revenue",D215="Cost of Goods Sold",D215="Expenditures",D215="Other Revenue",D215="Other Expenditures"),E215,IF(AND(LEN(D215)&gt;2,MID(D215,2,1)=" ",ISNUMBER(VALUE(LEFT(D215,1)))),D215,F214))</f>
        <v>4 Administrative</v>
      </c>
      <c r="G215" s="36" t="n">
        <f aca="false">IF(AND(D215&lt;&gt;"",ISNUMBER(B215),LEFT(D215,9)&lt;&gt;"Total for",D215&lt;&gt;"Gross Profit",D215&lt;&gt;"Net Operating Revenue",D215&lt;&gt;"Net Other Revenue",D215&lt;&gt;"Net Revenue"),1,0)</f>
        <v>1</v>
      </c>
      <c r="H215" s="36" t="str">
        <f aca="false">IF(G215=1,IF(AND(LEN(D215)&gt;7,ISNUMBER(VALUE(LEFT(D215,6))),MID(D215,7,1)=" "),LEFT(D215,6),D215),"")</f>
        <v>500125</v>
      </c>
      <c r="I215" s="36" t="str">
        <f aca="false">IF(G215=1,IF(COUNTIF('Forecast Detail'!$C$8:$C$400,H215)=0,"UNMAPPED","OK"),"")</f>
        <v>OK</v>
      </c>
    </row>
    <row r="216" customFormat="false" ht="15" hidden="false" customHeight="false" outlineLevel="0" collapsed="false">
      <c r="A216" s="6" t="s">
        <v>667</v>
      </c>
      <c r="B216" s="11" t="n">
        <f aca="false">B213+B214+B215</f>
        <v>185668</v>
      </c>
      <c r="C216" s="11" t="n">
        <f aca="false">B216</f>
        <v>185668</v>
      </c>
      <c r="D216" s="36" t="str">
        <f aca="false">TRIM(A216)</f>
        <v>Total for Debt Service</v>
      </c>
      <c r="E216" s="36" t="str">
        <f aca="false">IF(D216="Revenue","Revenue",IF(D216="Cost of Goods Sold","COGS",IF(D216="Expenditures","Expense",IF(D216="Other Revenue","Other Revenue",IF(D216="Other Expenditures","Other Expense",E215)))))</f>
        <v>Expense</v>
      </c>
      <c r="F216" s="36" t="str">
        <f aca="false">IF(OR(D216="Revenue",D216="Cost of Goods Sold",D216="Expenditures",D216="Other Revenue",D216="Other Expenditures"),E216,IF(AND(LEN(D216)&gt;2,MID(D216,2,1)=" ",ISNUMBER(VALUE(LEFT(D216,1)))),D216,F215))</f>
        <v>4 Administrative</v>
      </c>
      <c r="G216" s="36" t="n">
        <f aca="false">IF(AND(D216&lt;&gt;"",ISNUMBER(B216),LEFT(D216,9)&lt;&gt;"Total for",D216&lt;&gt;"Gross Profit",D216&lt;&gt;"Net Operating Revenue",D216&lt;&gt;"Net Other Revenue",D216&lt;&gt;"Net Revenue"),1,0)</f>
        <v>0</v>
      </c>
      <c r="H216" s="36" t="str">
        <f aca="false">IF(G216=1,IF(AND(LEN(D216)&gt;7,ISNUMBER(VALUE(LEFT(D216,6))),MID(D216,7,1)=" "),LEFT(D216,6),D216),"")</f>
        <v/>
      </c>
      <c r="I216" s="36" t="str">
        <f aca="false">IF(G216=1,IF(COUNTIF('Forecast Detail'!$C$8:$C$400,H216)=0,"UNMAPPED","OK"),"")</f>
        <v/>
      </c>
    </row>
    <row r="217" customFormat="false" ht="15" hidden="false" customHeight="false" outlineLevel="0" collapsed="false">
      <c r="A217" s="6" t="s">
        <v>505</v>
      </c>
      <c r="B217" s="11" t="n">
        <v>0</v>
      </c>
      <c r="C217" s="11" t="n">
        <f aca="false">B217</f>
        <v>0</v>
      </c>
      <c r="D217" s="36" t="str">
        <f aca="false">TRIM(A217)</f>
        <v>Technology Expenses</v>
      </c>
      <c r="E217" s="36" t="str">
        <f aca="false">IF(D217="Revenue","Revenue",IF(D217="Cost of Goods Sold","COGS",IF(D217="Expenditures","Expense",IF(D217="Other Revenue","Other Revenue",IF(D217="Other Expenditures","Other Expense",E216)))))</f>
        <v>Expense</v>
      </c>
      <c r="F217" s="36" t="str">
        <f aca="false">IF(OR(D217="Revenue",D217="Cost of Goods Sold",D217="Expenditures",D217="Other Revenue",D217="Other Expenditures"),E217,IF(AND(LEN(D217)&gt;2,MID(D217,2,1)=" ",ISNUMBER(VALUE(LEFT(D217,1)))),D217,F216))</f>
        <v>4 Administrative</v>
      </c>
      <c r="G217" s="36" t="n">
        <f aca="false">IF(AND(D217&lt;&gt;"",ISNUMBER(B217),LEFT(D217,9)&lt;&gt;"Total for",D217&lt;&gt;"Gross Profit",D217&lt;&gt;"Net Operating Revenue",D217&lt;&gt;"Net Other Revenue",D217&lt;&gt;"Net Revenue"),1,0)</f>
        <v>1</v>
      </c>
      <c r="H217" s="36" t="str">
        <f aca="false">IF(G217=1,IF(AND(LEN(D217)&gt;7,ISNUMBER(VALUE(LEFT(D217,6))),MID(D217,7,1)=" "),LEFT(D217,6),D217),"")</f>
        <v>Technology Expenses</v>
      </c>
      <c r="I217" s="36" t="str">
        <f aca="false">IF(G217=1,IF(COUNTIF('Forecast Detail'!$C$8:$C$400,H217)=0,"UNMAPPED","OK"),"")</f>
        <v>OK</v>
      </c>
    </row>
    <row r="218" customFormat="false" ht="15" hidden="false" customHeight="false" outlineLevel="0" collapsed="false">
      <c r="A218" s="6" t="s">
        <v>507</v>
      </c>
      <c r="B218" s="11" t="n">
        <v>10000</v>
      </c>
      <c r="C218" s="11" t="n">
        <f aca="false">B218</f>
        <v>10000</v>
      </c>
      <c r="D218" s="36" t="str">
        <f aca="false">TRIM(A218)</f>
        <v>500202 Computer Classroom Expenses</v>
      </c>
      <c r="E218" s="36" t="str">
        <f aca="false">IF(D218="Revenue","Revenue",IF(D218="Cost of Goods Sold","COGS",IF(D218="Expenditures","Expense",IF(D218="Other Revenue","Other Revenue",IF(D218="Other Expenditures","Other Expense",E217)))))</f>
        <v>Expense</v>
      </c>
      <c r="F218" s="36" t="str">
        <f aca="false">IF(OR(D218="Revenue",D218="Cost of Goods Sold",D218="Expenditures",D218="Other Revenue",D218="Other Expenditures"),E218,IF(AND(LEN(D218)&gt;2,MID(D218,2,1)=" ",ISNUMBER(VALUE(LEFT(D218,1)))),D218,F217))</f>
        <v>4 Administrative</v>
      </c>
      <c r="G218" s="36" t="n">
        <f aca="false">IF(AND(D218&lt;&gt;"",ISNUMBER(B218),LEFT(D218,9)&lt;&gt;"Total for",D218&lt;&gt;"Gross Profit",D218&lt;&gt;"Net Operating Revenue",D218&lt;&gt;"Net Other Revenue",D218&lt;&gt;"Net Revenue"),1,0)</f>
        <v>1</v>
      </c>
      <c r="H218" s="36" t="str">
        <f aca="false">IF(G218=1,IF(AND(LEN(D218)&gt;7,ISNUMBER(VALUE(LEFT(D218,6))),MID(D218,7,1)=" "),LEFT(D218,6),D218),"")</f>
        <v>500202</v>
      </c>
      <c r="I218" s="36" t="str">
        <f aca="false">IF(G218=1,IF(COUNTIF('Forecast Detail'!$C$8:$C$400,H218)=0,"UNMAPPED","OK"),"")</f>
        <v>OK</v>
      </c>
    </row>
    <row r="219" customFormat="false" ht="15" hidden="false" customHeight="false" outlineLevel="0" collapsed="false">
      <c r="A219" s="6" t="s">
        <v>509</v>
      </c>
      <c r="B219" s="11" t="n">
        <v>0</v>
      </c>
      <c r="C219" s="11" t="n">
        <f aca="false">B219</f>
        <v>0</v>
      </c>
      <c r="D219" s="36" t="str">
        <f aca="false">TRIM(A219)</f>
        <v>500354 Technology Supplies 1 to 1</v>
      </c>
      <c r="E219" s="36" t="str">
        <f aca="false">IF(D219="Revenue","Revenue",IF(D219="Cost of Goods Sold","COGS",IF(D219="Expenditures","Expense",IF(D219="Other Revenue","Other Revenue",IF(D219="Other Expenditures","Other Expense",E218)))))</f>
        <v>Expense</v>
      </c>
      <c r="F219" s="36" t="str">
        <f aca="false">IF(OR(D219="Revenue",D219="Cost of Goods Sold",D219="Expenditures",D219="Other Revenue",D219="Other Expenditures"),E219,IF(AND(LEN(D219)&gt;2,MID(D219,2,1)=" ",ISNUMBER(VALUE(LEFT(D219,1)))),D219,F218))</f>
        <v>4 Administrative</v>
      </c>
      <c r="G219" s="36" t="n">
        <f aca="false">IF(AND(D219&lt;&gt;"",ISNUMBER(B219),LEFT(D219,9)&lt;&gt;"Total for",D219&lt;&gt;"Gross Profit",D219&lt;&gt;"Net Operating Revenue",D219&lt;&gt;"Net Other Revenue",D219&lt;&gt;"Net Revenue"),1,0)</f>
        <v>1</v>
      </c>
      <c r="H219" s="36" t="str">
        <f aca="false">IF(G219=1,IF(AND(LEN(D219)&gt;7,ISNUMBER(VALUE(LEFT(D219,6))),MID(D219,7,1)=" "),LEFT(D219,6),D219),"")</f>
        <v>500354</v>
      </c>
      <c r="I219" s="36" t="str">
        <f aca="false">IF(G219=1,IF(COUNTIF('Forecast Detail'!$C$8:$C$400,H219)=0,"UNMAPPED","OK"),"")</f>
        <v>OK</v>
      </c>
    </row>
    <row r="220" customFormat="false" ht="15" hidden="false" customHeight="false" outlineLevel="0" collapsed="false">
      <c r="A220" s="6" t="s">
        <v>511</v>
      </c>
      <c r="B220" s="11" t="n">
        <v>38000</v>
      </c>
      <c r="C220" s="11" t="n">
        <f aca="false">B220</f>
        <v>38000</v>
      </c>
      <c r="D220" s="36" t="str">
        <f aca="false">TRIM(A220)</f>
        <v>500355 Administrative Software</v>
      </c>
      <c r="E220" s="36" t="str">
        <f aca="false">IF(D220="Revenue","Revenue",IF(D220="Cost of Goods Sold","COGS",IF(D220="Expenditures","Expense",IF(D220="Other Revenue","Other Revenue",IF(D220="Other Expenditures","Other Expense",E219)))))</f>
        <v>Expense</v>
      </c>
      <c r="F220" s="36" t="str">
        <f aca="false">IF(OR(D220="Revenue",D220="Cost of Goods Sold",D220="Expenditures",D220="Other Revenue",D220="Other Expenditures"),E220,IF(AND(LEN(D220)&gt;2,MID(D220,2,1)=" ",ISNUMBER(VALUE(LEFT(D220,1)))),D220,F219))</f>
        <v>4 Administrative</v>
      </c>
      <c r="G220" s="36" t="n">
        <f aca="false">IF(AND(D220&lt;&gt;"",ISNUMBER(B220),LEFT(D220,9)&lt;&gt;"Total for",D220&lt;&gt;"Gross Profit",D220&lt;&gt;"Net Operating Revenue",D220&lt;&gt;"Net Other Revenue",D220&lt;&gt;"Net Revenue"),1,0)</f>
        <v>1</v>
      </c>
      <c r="H220" s="36" t="str">
        <f aca="false">IF(G220=1,IF(AND(LEN(D220)&gt;7,ISNUMBER(VALUE(LEFT(D220,6))),MID(D220,7,1)=" "),LEFT(D220,6),D220),"")</f>
        <v>500355</v>
      </c>
      <c r="I220" s="36" t="str">
        <f aca="false">IF(G220=1,IF(COUNTIF('Forecast Detail'!$C$8:$C$400,H220)=0,"UNMAPPED","OK"),"")</f>
        <v>OK</v>
      </c>
    </row>
    <row r="221" customFormat="false" ht="15" hidden="false" customHeight="false" outlineLevel="0" collapsed="false">
      <c r="A221" s="6" t="s">
        <v>513</v>
      </c>
      <c r="B221" s="11" t="n">
        <v>0</v>
      </c>
      <c r="C221" s="11" t="n">
        <f aca="false">B221</f>
        <v>0</v>
      </c>
      <c r="D221" s="36" t="str">
        <f aca="false">TRIM(A221)</f>
        <v>500356 Software Costs Upper School</v>
      </c>
      <c r="E221" s="36" t="str">
        <f aca="false">IF(D221="Revenue","Revenue",IF(D221="Cost of Goods Sold","COGS",IF(D221="Expenditures","Expense",IF(D221="Other Revenue","Other Revenue",IF(D221="Other Expenditures","Other Expense",E220)))))</f>
        <v>Expense</v>
      </c>
      <c r="F221" s="36" t="str">
        <f aca="false">IF(OR(D221="Revenue",D221="Cost of Goods Sold",D221="Expenditures",D221="Other Revenue",D221="Other Expenditures"),E221,IF(AND(LEN(D221)&gt;2,MID(D221,2,1)=" ",ISNUMBER(VALUE(LEFT(D221,1)))),D221,F220))</f>
        <v>4 Administrative</v>
      </c>
      <c r="G221" s="36" t="n">
        <f aca="false">IF(AND(D221&lt;&gt;"",ISNUMBER(B221),LEFT(D221,9)&lt;&gt;"Total for",D221&lt;&gt;"Gross Profit",D221&lt;&gt;"Net Operating Revenue",D221&lt;&gt;"Net Other Revenue",D221&lt;&gt;"Net Revenue"),1,0)</f>
        <v>1</v>
      </c>
      <c r="H221" s="36" t="str">
        <f aca="false">IF(G221=1,IF(AND(LEN(D221)&gt;7,ISNUMBER(VALUE(LEFT(D221,6))),MID(D221,7,1)=" "),LEFT(D221,6),D221),"")</f>
        <v>500356</v>
      </c>
      <c r="I221" s="36" t="str">
        <f aca="false">IF(G221=1,IF(COUNTIF('Forecast Detail'!$C$8:$C$400,H221)=0,"UNMAPPED","OK"),"")</f>
        <v>OK</v>
      </c>
    </row>
    <row r="222" customFormat="false" ht="15" hidden="false" customHeight="false" outlineLevel="0" collapsed="false">
      <c r="A222" s="6" t="s">
        <v>515</v>
      </c>
      <c r="B222" s="11" t="n">
        <v>145000</v>
      </c>
      <c r="C222" s="11" t="n">
        <f aca="false">B222</f>
        <v>145000</v>
      </c>
      <c r="D222" s="36" t="str">
        <f aca="false">TRIM(A222)</f>
        <v>500358 Technology Equipment</v>
      </c>
      <c r="E222" s="36" t="str">
        <f aca="false">IF(D222="Revenue","Revenue",IF(D222="Cost of Goods Sold","COGS",IF(D222="Expenditures","Expense",IF(D222="Other Revenue","Other Revenue",IF(D222="Other Expenditures","Other Expense",E221)))))</f>
        <v>Expense</v>
      </c>
      <c r="F222" s="36" t="str">
        <f aca="false">IF(OR(D222="Revenue",D222="Cost of Goods Sold",D222="Expenditures",D222="Other Revenue",D222="Other Expenditures"),E222,IF(AND(LEN(D222)&gt;2,MID(D222,2,1)=" ",ISNUMBER(VALUE(LEFT(D222,1)))),D222,F221))</f>
        <v>4 Administrative</v>
      </c>
      <c r="G222" s="36" t="n">
        <f aca="false">IF(AND(D222&lt;&gt;"",ISNUMBER(B222),LEFT(D222,9)&lt;&gt;"Total for",D222&lt;&gt;"Gross Profit",D222&lt;&gt;"Net Operating Revenue",D222&lt;&gt;"Net Other Revenue",D222&lt;&gt;"Net Revenue"),1,0)</f>
        <v>1</v>
      </c>
      <c r="H222" s="36" t="str">
        <f aca="false">IF(G222=1,IF(AND(LEN(D222)&gt;7,ISNUMBER(VALUE(LEFT(D222,6))),MID(D222,7,1)=" "),LEFT(D222,6),D222),"")</f>
        <v>500358</v>
      </c>
      <c r="I222" s="36" t="str">
        <f aca="false">IF(G222=1,IF(COUNTIF('Forecast Detail'!$C$8:$C$400,H222)=0,"UNMAPPED","OK"),"")</f>
        <v>OK</v>
      </c>
    </row>
    <row r="223" customFormat="false" ht="15" hidden="false" customHeight="false" outlineLevel="0" collapsed="false">
      <c r="A223" s="6" t="s">
        <v>517</v>
      </c>
      <c r="B223" s="11" t="n">
        <v>55000</v>
      </c>
      <c r="C223" s="11" t="n">
        <f aca="false">B223</f>
        <v>55000</v>
      </c>
      <c r="D223" s="36" t="str">
        <f aca="false">TRIM(A223)</f>
        <v>500359 Technology Equipment Reserve</v>
      </c>
      <c r="E223" s="36" t="str">
        <f aca="false">IF(D223="Revenue","Revenue",IF(D223="Cost of Goods Sold","COGS",IF(D223="Expenditures","Expense",IF(D223="Other Revenue","Other Revenue",IF(D223="Other Expenditures","Other Expense",E222)))))</f>
        <v>Expense</v>
      </c>
      <c r="F223" s="36" t="str">
        <f aca="false">IF(OR(D223="Revenue",D223="Cost of Goods Sold",D223="Expenditures",D223="Other Revenue",D223="Other Expenditures"),E223,IF(AND(LEN(D223)&gt;2,MID(D223,2,1)=" ",ISNUMBER(VALUE(LEFT(D223,1)))),D223,F222))</f>
        <v>4 Administrative</v>
      </c>
      <c r="G223" s="36" t="n">
        <f aca="false">IF(AND(D223&lt;&gt;"",ISNUMBER(B223),LEFT(D223,9)&lt;&gt;"Total for",D223&lt;&gt;"Gross Profit",D223&lt;&gt;"Net Operating Revenue",D223&lt;&gt;"Net Other Revenue",D223&lt;&gt;"Net Revenue"),1,0)</f>
        <v>1</v>
      </c>
      <c r="H223" s="36" t="str">
        <f aca="false">IF(G223=1,IF(AND(LEN(D223)&gt;7,ISNUMBER(VALUE(LEFT(D223,6))),MID(D223,7,1)=" "),LEFT(D223,6),D223),"")</f>
        <v>500359</v>
      </c>
      <c r="I223" s="36" t="str">
        <f aca="false">IF(G223=1,IF(COUNTIF('Forecast Detail'!$C$8:$C$400,H223)=0,"UNMAPPED","OK"),"")</f>
        <v>OK</v>
      </c>
    </row>
    <row r="224" customFormat="false" ht="15" hidden="false" customHeight="false" outlineLevel="0" collapsed="false">
      <c r="A224" s="6" t="s">
        <v>519</v>
      </c>
      <c r="B224" s="11" t="n">
        <v>0</v>
      </c>
      <c r="C224" s="11" t="n">
        <f aca="false">B224</f>
        <v>0</v>
      </c>
      <c r="D224" s="36" t="str">
        <f aca="false">TRIM(A224)</f>
        <v>500360 Lease for Network Switches</v>
      </c>
      <c r="E224" s="36" t="str">
        <f aca="false">IF(D224="Revenue","Revenue",IF(D224="Cost of Goods Sold","COGS",IF(D224="Expenditures","Expense",IF(D224="Other Revenue","Other Revenue",IF(D224="Other Expenditures","Other Expense",E223)))))</f>
        <v>Expense</v>
      </c>
      <c r="F224" s="36" t="str">
        <f aca="false">IF(OR(D224="Revenue",D224="Cost of Goods Sold",D224="Expenditures",D224="Other Revenue",D224="Other Expenditures"),E224,IF(AND(LEN(D224)&gt;2,MID(D224,2,1)=" ",ISNUMBER(VALUE(LEFT(D224,1)))),D224,F223))</f>
        <v>4 Administrative</v>
      </c>
      <c r="G224" s="36" t="n">
        <f aca="false">IF(AND(D224&lt;&gt;"",ISNUMBER(B224),LEFT(D224,9)&lt;&gt;"Total for",D224&lt;&gt;"Gross Profit",D224&lt;&gt;"Net Operating Revenue",D224&lt;&gt;"Net Other Revenue",D224&lt;&gt;"Net Revenue"),1,0)</f>
        <v>1</v>
      </c>
      <c r="H224" s="36" t="str">
        <f aca="false">IF(G224=1,IF(AND(LEN(D224)&gt;7,ISNUMBER(VALUE(LEFT(D224,6))),MID(D224,7,1)=" "),LEFT(D224,6),D224),"")</f>
        <v>500360</v>
      </c>
      <c r="I224" s="36" t="str">
        <f aca="false">IF(G224=1,IF(COUNTIF('Forecast Detail'!$C$8:$C$400,H224)=0,"UNMAPPED","OK"),"")</f>
        <v>OK</v>
      </c>
    </row>
    <row r="225" customFormat="false" ht="15" hidden="false" customHeight="false" outlineLevel="0" collapsed="false">
      <c r="A225" s="6" t="s">
        <v>521</v>
      </c>
      <c r="B225" s="11" t="n">
        <v>0</v>
      </c>
      <c r="C225" s="11" t="n">
        <f aca="false">B225</f>
        <v>0</v>
      </c>
      <c r="D225" s="36" t="str">
        <f aca="false">TRIM(A225)</f>
        <v>500361 Software Lower School</v>
      </c>
      <c r="E225" s="36" t="str">
        <f aca="false">IF(D225="Revenue","Revenue",IF(D225="Cost of Goods Sold","COGS",IF(D225="Expenditures","Expense",IF(D225="Other Revenue","Other Revenue",IF(D225="Other Expenditures","Other Expense",E224)))))</f>
        <v>Expense</v>
      </c>
      <c r="F225" s="36" t="str">
        <f aca="false">IF(OR(D225="Revenue",D225="Cost of Goods Sold",D225="Expenditures",D225="Other Revenue",D225="Other Expenditures"),E225,IF(AND(LEN(D225)&gt;2,MID(D225,2,1)=" ",ISNUMBER(VALUE(LEFT(D225,1)))),D225,F224))</f>
        <v>4 Administrative</v>
      </c>
      <c r="G225" s="36" t="n">
        <f aca="false">IF(AND(D225&lt;&gt;"",ISNUMBER(B225),LEFT(D225,9)&lt;&gt;"Total for",D225&lt;&gt;"Gross Profit",D225&lt;&gt;"Net Operating Revenue",D225&lt;&gt;"Net Other Revenue",D225&lt;&gt;"Net Revenue"),1,0)</f>
        <v>1</v>
      </c>
      <c r="H225" s="36" t="str">
        <f aca="false">IF(G225=1,IF(AND(LEN(D225)&gt;7,ISNUMBER(VALUE(LEFT(D225,6))),MID(D225,7,1)=" "),LEFT(D225,6),D225),"")</f>
        <v>500361</v>
      </c>
      <c r="I225" s="36" t="str">
        <f aca="false">IF(G225=1,IF(COUNTIF('Forecast Detail'!$C$8:$C$400,H225)=0,"UNMAPPED","OK"),"")</f>
        <v>OK</v>
      </c>
    </row>
    <row r="226" customFormat="false" ht="15" hidden="false" customHeight="false" outlineLevel="0" collapsed="false">
      <c r="A226" s="6" t="s">
        <v>523</v>
      </c>
      <c r="B226" s="11" t="n">
        <v>0</v>
      </c>
      <c r="C226" s="11" t="n">
        <f aca="false">B226</f>
        <v>0</v>
      </c>
      <c r="D226" s="36" t="str">
        <f aca="false">TRIM(A226)</f>
        <v>500362 Technology Software Administrative</v>
      </c>
      <c r="E226" s="36" t="str">
        <f aca="false">IF(D226="Revenue","Revenue",IF(D226="Cost of Goods Sold","COGS",IF(D226="Expenditures","Expense",IF(D226="Other Revenue","Other Revenue",IF(D226="Other Expenditures","Other Expense",E225)))))</f>
        <v>Expense</v>
      </c>
      <c r="F226" s="36" t="str">
        <f aca="false">IF(OR(D226="Revenue",D226="Cost of Goods Sold",D226="Expenditures",D226="Other Revenue",D226="Other Expenditures"),E226,IF(AND(LEN(D226)&gt;2,MID(D226,2,1)=" ",ISNUMBER(VALUE(LEFT(D226,1)))),D226,F225))</f>
        <v>4 Administrative</v>
      </c>
      <c r="G226" s="36" t="n">
        <f aca="false">IF(AND(D226&lt;&gt;"",ISNUMBER(B226),LEFT(D226,9)&lt;&gt;"Total for",D226&lt;&gt;"Gross Profit",D226&lt;&gt;"Net Operating Revenue",D226&lt;&gt;"Net Other Revenue",D226&lt;&gt;"Net Revenue"),1,0)</f>
        <v>1</v>
      </c>
      <c r="H226" s="36" t="str">
        <f aca="false">IF(G226=1,IF(AND(LEN(D226)&gt;7,ISNUMBER(VALUE(LEFT(D226,6))),MID(D226,7,1)=" "),LEFT(D226,6),D226),"")</f>
        <v>500362</v>
      </c>
      <c r="I226" s="36" t="str">
        <f aca="false">IF(G226=1,IF(COUNTIF('Forecast Detail'!$C$8:$C$400,H226)=0,"UNMAPPED","OK"),"")</f>
        <v>OK</v>
      </c>
    </row>
    <row r="227" customFormat="false" ht="15" hidden="false" customHeight="false" outlineLevel="0" collapsed="false">
      <c r="A227" s="6" t="s">
        <v>525</v>
      </c>
      <c r="B227" s="11" t="n">
        <v>0</v>
      </c>
      <c r="C227" s="11" t="n">
        <f aca="false">B227</f>
        <v>0</v>
      </c>
      <c r="D227" s="36" t="str">
        <f aca="false">TRIM(A227)</f>
        <v>500363 Technology General Office Supplies</v>
      </c>
      <c r="E227" s="36" t="str">
        <f aca="false">IF(D227="Revenue","Revenue",IF(D227="Cost of Goods Sold","COGS",IF(D227="Expenditures","Expense",IF(D227="Other Revenue","Other Revenue",IF(D227="Other Expenditures","Other Expense",E226)))))</f>
        <v>Expense</v>
      </c>
      <c r="F227" s="36" t="str">
        <f aca="false">IF(OR(D227="Revenue",D227="Cost of Goods Sold",D227="Expenditures",D227="Other Revenue",D227="Other Expenditures"),E227,IF(AND(LEN(D227)&gt;2,MID(D227,2,1)=" ",ISNUMBER(VALUE(LEFT(D227,1)))),D227,F226))</f>
        <v>4 Administrative</v>
      </c>
      <c r="G227" s="36" t="n">
        <f aca="false">IF(AND(D227&lt;&gt;"",ISNUMBER(B227),LEFT(D227,9)&lt;&gt;"Total for",D227&lt;&gt;"Gross Profit",D227&lt;&gt;"Net Operating Revenue",D227&lt;&gt;"Net Other Revenue",D227&lt;&gt;"Net Revenue"),1,0)</f>
        <v>1</v>
      </c>
      <c r="H227" s="36" t="str">
        <f aca="false">IF(G227=1,IF(AND(LEN(D227)&gt;7,ISNUMBER(VALUE(LEFT(D227,6))),MID(D227,7,1)=" "),LEFT(D227,6),D227),"")</f>
        <v>500363</v>
      </c>
      <c r="I227" s="36" t="str">
        <f aca="false">IF(G227=1,IF(COUNTIF('Forecast Detail'!$C$8:$C$400,H227)=0,"UNMAPPED","OK"),"")</f>
        <v>OK</v>
      </c>
    </row>
    <row r="228" customFormat="false" ht="15" hidden="false" customHeight="false" outlineLevel="0" collapsed="false">
      <c r="A228" s="6" t="s">
        <v>527</v>
      </c>
      <c r="B228" s="11" t="n">
        <v>0</v>
      </c>
      <c r="C228" s="11" t="n">
        <f aca="false">B228</f>
        <v>0</v>
      </c>
      <c r="D228" s="36" t="str">
        <f aca="false">TRIM(A228)</f>
        <v>500364 Repairs Technology</v>
      </c>
      <c r="E228" s="36" t="str">
        <f aca="false">IF(D228="Revenue","Revenue",IF(D228="Cost of Goods Sold","COGS",IF(D228="Expenditures","Expense",IF(D228="Other Revenue","Other Revenue",IF(D228="Other Expenditures","Other Expense",E227)))))</f>
        <v>Expense</v>
      </c>
      <c r="F228" s="36" t="str">
        <f aca="false">IF(OR(D228="Revenue",D228="Cost of Goods Sold",D228="Expenditures",D228="Other Revenue",D228="Other Expenditures"),E228,IF(AND(LEN(D228)&gt;2,MID(D228,2,1)=" ",ISNUMBER(VALUE(LEFT(D228,1)))),D228,F227))</f>
        <v>4 Administrative</v>
      </c>
      <c r="G228" s="36" t="n">
        <f aca="false">IF(AND(D228&lt;&gt;"",ISNUMBER(B228),LEFT(D228,9)&lt;&gt;"Total for",D228&lt;&gt;"Gross Profit",D228&lt;&gt;"Net Operating Revenue",D228&lt;&gt;"Net Other Revenue",D228&lt;&gt;"Net Revenue"),1,0)</f>
        <v>1</v>
      </c>
      <c r="H228" s="36" t="str">
        <f aca="false">IF(G228=1,IF(AND(LEN(D228)&gt;7,ISNUMBER(VALUE(LEFT(D228,6))),MID(D228,7,1)=" "),LEFT(D228,6),D228),"")</f>
        <v>500364</v>
      </c>
      <c r="I228" s="36" t="str">
        <f aca="false">IF(G228=1,IF(COUNTIF('Forecast Detail'!$C$8:$C$400,H228)=0,"UNMAPPED","OK"),"")</f>
        <v>OK</v>
      </c>
    </row>
    <row r="229" customFormat="false" ht="15" hidden="false" customHeight="false" outlineLevel="0" collapsed="false">
      <c r="A229" s="6" t="s">
        <v>529</v>
      </c>
      <c r="B229" s="11" t="n">
        <v>0</v>
      </c>
      <c r="C229" s="11" t="n">
        <f aca="false">B229</f>
        <v>0</v>
      </c>
      <c r="D229" s="36" t="str">
        <f aca="false">TRIM(A229)</f>
        <v>500365 Communication Costs</v>
      </c>
      <c r="E229" s="36" t="str">
        <f aca="false">IF(D229="Revenue","Revenue",IF(D229="Cost of Goods Sold","COGS",IF(D229="Expenditures","Expense",IF(D229="Other Revenue","Other Revenue",IF(D229="Other Expenditures","Other Expense",E228)))))</f>
        <v>Expense</v>
      </c>
      <c r="F229" s="36" t="str">
        <f aca="false">IF(OR(D229="Revenue",D229="Cost of Goods Sold",D229="Expenditures",D229="Other Revenue",D229="Other Expenditures"),E229,IF(AND(LEN(D229)&gt;2,MID(D229,2,1)=" ",ISNUMBER(VALUE(LEFT(D229,1)))),D229,F228))</f>
        <v>4 Administrative</v>
      </c>
      <c r="G229" s="36" t="n">
        <f aca="false">IF(AND(D229&lt;&gt;"",ISNUMBER(B229),LEFT(D229,9)&lt;&gt;"Total for",D229&lt;&gt;"Gross Profit",D229&lt;&gt;"Net Operating Revenue",D229&lt;&gt;"Net Other Revenue",D229&lt;&gt;"Net Revenue"),1,0)</f>
        <v>1</v>
      </c>
      <c r="H229" s="36" t="str">
        <f aca="false">IF(G229=1,IF(AND(LEN(D229)&gt;7,ISNUMBER(VALUE(LEFT(D229,6))),MID(D229,7,1)=" "),LEFT(D229,6),D229),"")</f>
        <v>500365</v>
      </c>
      <c r="I229" s="36" t="str">
        <f aca="false">IF(G229=1,IF(COUNTIF('Forecast Detail'!$C$8:$C$400,H229)=0,"UNMAPPED","OK"),"")</f>
        <v>OK</v>
      </c>
    </row>
    <row r="230" customFormat="false" ht="15" hidden="false" customHeight="false" outlineLevel="0" collapsed="false">
      <c r="A230" s="6" t="s">
        <v>531</v>
      </c>
      <c r="B230" s="11" t="n">
        <v>0</v>
      </c>
      <c r="C230" s="11" t="n">
        <f aca="false">B230</f>
        <v>0</v>
      </c>
      <c r="D230" s="36" t="str">
        <f aca="false">TRIM(A230)</f>
        <v>500367 Technology Installation Expense</v>
      </c>
      <c r="E230" s="36" t="str">
        <f aca="false">IF(D230="Revenue","Revenue",IF(D230="Cost of Goods Sold","COGS",IF(D230="Expenditures","Expense",IF(D230="Other Revenue","Other Revenue",IF(D230="Other Expenditures","Other Expense",E229)))))</f>
        <v>Expense</v>
      </c>
      <c r="F230" s="36" t="str">
        <f aca="false">IF(OR(D230="Revenue",D230="Cost of Goods Sold",D230="Expenditures",D230="Other Revenue",D230="Other Expenditures"),E230,IF(AND(LEN(D230)&gt;2,MID(D230,2,1)=" ",ISNUMBER(VALUE(LEFT(D230,1)))),D230,F229))</f>
        <v>4 Administrative</v>
      </c>
      <c r="G230" s="36" t="n">
        <f aca="false">IF(AND(D230&lt;&gt;"",ISNUMBER(B230),LEFT(D230,9)&lt;&gt;"Total for",D230&lt;&gt;"Gross Profit",D230&lt;&gt;"Net Operating Revenue",D230&lt;&gt;"Net Other Revenue",D230&lt;&gt;"Net Revenue"),1,0)</f>
        <v>1</v>
      </c>
      <c r="H230" s="36" t="str">
        <f aca="false">IF(G230=1,IF(AND(LEN(D230)&gt;7,ISNUMBER(VALUE(LEFT(D230,6))),MID(D230,7,1)=" "),LEFT(D230,6),D230),"")</f>
        <v>500367</v>
      </c>
      <c r="I230" s="36" t="str">
        <f aca="false">IF(G230=1,IF(COUNTIF('Forecast Detail'!$C$8:$C$400,H230)=0,"UNMAPPED","OK"),"")</f>
        <v>OK</v>
      </c>
    </row>
    <row r="231" customFormat="false" ht="15" hidden="false" customHeight="false" outlineLevel="0" collapsed="false">
      <c r="A231" s="6" t="s">
        <v>533</v>
      </c>
      <c r="B231" s="11" t="n">
        <v>0</v>
      </c>
      <c r="C231" s="11" t="n">
        <f aca="false">B231</f>
        <v>0</v>
      </c>
      <c r="D231" s="36" t="str">
        <f aca="false">TRIM(A231)</f>
        <v>500377 Apple Lease #10</v>
      </c>
      <c r="E231" s="36" t="str">
        <f aca="false">IF(D231="Revenue","Revenue",IF(D231="Cost of Goods Sold","COGS",IF(D231="Expenditures","Expense",IF(D231="Other Revenue","Other Revenue",IF(D231="Other Expenditures","Other Expense",E230)))))</f>
        <v>Expense</v>
      </c>
      <c r="F231" s="36" t="str">
        <f aca="false">IF(OR(D231="Revenue",D231="Cost of Goods Sold",D231="Expenditures",D231="Other Revenue",D231="Other Expenditures"),E231,IF(AND(LEN(D231)&gt;2,MID(D231,2,1)=" ",ISNUMBER(VALUE(LEFT(D231,1)))),D231,F230))</f>
        <v>4 Administrative</v>
      </c>
      <c r="G231" s="36" t="n">
        <f aca="false">IF(AND(D231&lt;&gt;"",ISNUMBER(B231),LEFT(D231,9)&lt;&gt;"Total for",D231&lt;&gt;"Gross Profit",D231&lt;&gt;"Net Operating Revenue",D231&lt;&gt;"Net Other Revenue",D231&lt;&gt;"Net Revenue"),1,0)</f>
        <v>1</v>
      </c>
      <c r="H231" s="36" t="str">
        <f aca="false">IF(G231=1,IF(AND(LEN(D231)&gt;7,ISNUMBER(VALUE(LEFT(D231,6))),MID(D231,7,1)=" "),LEFT(D231,6),D231),"")</f>
        <v>500377</v>
      </c>
      <c r="I231" s="36" t="str">
        <f aca="false">IF(G231=1,IF(COUNTIF('Forecast Detail'!$C$8:$C$400,H231)=0,"UNMAPPED","OK"),"")</f>
        <v>OK</v>
      </c>
    </row>
    <row r="232" customFormat="false" ht="15" hidden="false" customHeight="false" outlineLevel="0" collapsed="false">
      <c r="A232" s="6" t="s">
        <v>535</v>
      </c>
      <c r="B232" s="11" t="n">
        <v>0</v>
      </c>
      <c r="C232" s="11" t="n">
        <f aca="false">B232</f>
        <v>0</v>
      </c>
      <c r="D232" s="36" t="str">
        <f aca="false">TRIM(A232)</f>
        <v>500378 Apple Lease #9</v>
      </c>
      <c r="E232" s="36" t="str">
        <f aca="false">IF(D232="Revenue","Revenue",IF(D232="Cost of Goods Sold","COGS",IF(D232="Expenditures","Expense",IF(D232="Other Revenue","Other Revenue",IF(D232="Other Expenditures","Other Expense",E231)))))</f>
        <v>Expense</v>
      </c>
      <c r="F232" s="36" t="str">
        <f aca="false">IF(OR(D232="Revenue",D232="Cost of Goods Sold",D232="Expenditures",D232="Other Revenue",D232="Other Expenditures"),E232,IF(AND(LEN(D232)&gt;2,MID(D232,2,1)=" ",ISNUMBER(VALUE(LEFT(D232,1)))),D232,F231))</f>
        <v>4 Administrative</v>
      </c>
      <c r="G232" s="36" t="n">
        <f aca="false">IF(AND(D232&lt;&gt;"",ISNUMBER(B232),LEFT(D232,9)&lt;&gt;"Total for",D232&lt;&gt;"Gross Profit",D232&lt;&gt;"Net Operating Revenue",D232&lt;&gt;"Net Other Revenue",D232&lt;&gt;"Net Revenue"),1,0)</f>
        <v>1</v>
      </c>
      <c r="H232" s="36" t="str">
        <f aca="false">IF(G232=1,IF(AND(LEN(D232)&gt;7,ISNUMBER(VALUE(LEFT(D232,6))),MID(D232,7,1)=" "),LEFT(D232,6),D232),"")</f>
        <v>500378</v>
      </c>
      <c r="I232" s="36" t="str">
        <f aca="false">IF(G232=1,IF(COUNTIF('Forecast Detail'!$C$8:$C$400,H232)=0,"UNMAPPED","OK"),"")</f>
        <v>OK</v>
      </c>
    </row>
    <row r="233" customFormat="false" ht="15" hidden="false" customHeight="false" outlineLevel="0" collapsed="false">
      <c r="A233" s="6" t="s">
        <v>537</v>
      </c>
      <c r="B233" s="11" t="n">
        <v>0</v>
      </c>
      <c r="C233" s="11" t="n">
        <f aca="false">B233</f>
        <v>0</v>
      </c>
      <c r="D233" s="36" t="str">
        <f aca="false">TRIM(A233)</f>
        <v>500403 Billings for Deductible for Students 1 to 1</v>
      </c>
      <c r="E233" s="36" t="str">
        <f aca="false">IF(D233="Revenue","Revenue",IF(D233="Cost of Goods Sold","COGS",IF(D233="Expenditures","Expense",IF(D233="Other Revenue","Other Revenue",IF(D233="Other Expenditures","Other Expense",E232)))))</f>
        <v>Expense</v>
      </c>
      <c r="F233" s="36" t="str">
        <f aca="false">IF(OR(D233="Revenue",D233="Cost of Goods Sold",D233="Expenditures",D233="Other Revenue",D233="Other Expenditures"),E233,IF(AND(LEN(D233)&gt;2,MID(D233,2,1)=" ",ISNUMBER(VALUE(LEFT(D233,1)))),D233,F232))</f>
        <v>4 Administrative</v>
      </c>
      <c r="G233" s="36" t="n">
        <f aca="false">IF(AND(D233&lt;&gt;"",ISNUMBER(B233),LEFT(D233,9)&lt;&gt;"Total for",D233&lt;&gt;"Gross Profit",D233&lt;&gt;"Net Operating Revenue",D233&lt;&gt;"Net Other Revenue",D233&lt;&gt;"Net Revenue"),1,0)</f>
        <v>1</v>
      </c>
      <c r="H233" s="36" t="str">
        <f aca="false">IF(G233=1,IF(AND(LEN(D233)&gt;7,ISNUMBER(VALUE(LEFT(D233,6))),MID(D233,7,1)=" "),LEFT(D233,6),D233),"")</f>
        <v>500403</v>
      </c>
      <c r="I233" s="36" t="str">
        <f aca="false">IF(G233=1,IF(COUNTIF('Forecast Detail'!$C$8:$C$400,H233)=0,"UNMAPPED","OK"),"")</f>
        <v>OK</v>
      </c>
    </row>
    <row r="234" customFormat="false" ht="15" hidden="false" customHeight="false" outlineLevel="0" collapsed="false">
      <c r="A234" s="6" t="s">
        <v>539</v>
      </c>
      <c r="B234" s="11" t="n">
        <v>0</v>
      </c>
      <c r="C234" s="11" t="n">
        <f aca="false">B234</f>
        <v>0</v>
      </c>
      <c r="D234" s="36" t="str">
        <f aca="false">TRIM(A234)</f>
        <v>500404 Technology Insurance Premiums</v>
      </c>
      <c r="E234" s="36" t="str">
        <f aca="false">IF(D234="Revenue","Revenue",IF(D234="Cost of Goods Sold","COGS",IF(D234="Expenditures","Expense",IF(D234="Other Revenue","Other Revenue",IF(D234="Other Expenditures","Other Expense",E233)))))</f>
        <v>Expense</v>
      </c>
      <c r="F234" s="36" t="str">
        <f aca="false">IF(OR(D234="Revenue",D234="Cost of Goods Sold",D234="Expenditures",D234="Other Revenue",D234="Other Expenditures"),E234,IF(AND(LEN(D234)&gt;2,MID(D234,2,1)=" ",ISNUMBER(VALUE(LEFT(D234,1)))),D234,F233))</f>
        <v>4 Administrative</v>
      </c>
      <c r="G234" s="36" t="n">
        <f aca="false">IF(AND(D234&lt;&gt;"",ISNUMBER(B234),LEFT(D234,9)&lt;&gt;"Total for",D234&lt;&gt;"Gross Profit",D234&lt;&gt;"Net Operating Revenue",D234&lt;&gt;"Net Other Revenue",D234&lt;&gt;"Net Revenue"),1,0)</f>
        <v>1</v>
      </c>
      <c r="H234" s="36" t="str">
        <f aca="false">IF(G234=1,IF(AND(LEN(D234)&gt;7,ISNUMBER(VALUE(LEFT(D234,6))),MID(D234,7,1)=" "),LEFT(D234,6),D234),"")</f>
        <v>500404</v>
      </c>
      <c r="I234" s="36" t="str">
        <f aca="false">IF(G234=1,IF(COUNTIF('Forecast Detail'!$C$8:$C$400,H234)=0,"UNMAPPED","OK"),"")</f>
        <v>OK</v>
      </c>
    </row>
    <row r="235" customFormat="false" ht="15" hidden="false" customHeight="false" outlineLevel="0" collapsed="false">
      <c r="A235" s="6" t="s">
        <v>668</v>
      </c>
      <c r="B235" s="11" t="n">
        <f aca="false">B217+B218+B219+B220+B221+B222+B223+B224+B225+B226+B227+B228+B229+B230+B231+B232+B233+B234</f>
        <v>248000</v>
      </c>
      <c r="C235" s="11" t="n">
        <f aca="false">B235</f>
        <v>248000</v>
      </c>
      <c r="D235" s="36" t="str">
        <f aca="false">TRIM(A235)</f>
        <v>Total for Technology Expenses</v>
      </c>
      <c r="E235" s="36" t="str">
        <f aca="false">IF(D235="Revenue","Revenue",IF(D235="Cost of Goods Sold","COGS",IF(D235="Expenditures","Expense",IF(D235="Other Revenue","Other Revenue",IF(D235="Other Expenditures","Other Expense",E234)))))</f>
        <v>Expense</v>
      </c>
      <c r="F235" s="36" t="str">
        <f aca="false">IF(OR(D235="Revenue",D235="Cost of Goods Sold",D235="Expenditures",D235="Other Revenue",D235="Other Expenditures"),E235,IF(AND(LEN(D235)&gt;2,MID(D235,2,1)=" ",ISNUMBER(VALUE(LEFT(D235,1)))),D235,F234))</f>
        <v>4 Administrative</v>
      </c>
      <c r="G235" s="36" t="n">
        <f aca="false">IF(AND(D235&lt;&gt;"",ISNUMBER(B235),LEFT(D235,9)&lt;&gt;"Total for",D235&lt;&gt;"Gross Profit",D235&lt;&gt;"Net Operating Revenue",D235&lt;&gt;"Net Other Revenue",D235&lt;&gt;"Net Revenue"),1,0)</f>
        <v>0</v>
      </c>
      <c r="H235" s="36" t="str">
        <f aca="false">IF(G235=1,IF(AND(LEN(D235)&gt;7,ISNUMBER(VALUE(LEFT(D235,6))),MID(D235,7,1)=" "),LEFT(D235,6),D235),"")</f>
        <v/>
      </c>
      <c r="I235" s="36" t="str">
        <f aca="false">IF(G235=1,IF(COUNTIF('Forecast Detail'!$C$8:$C$400,H235)=0,"UNMAPPED","OK"),"")</f>
        <v/>
      </c>
    </row>
    <row r="236" customFormat="false" ht="15" hidden="false" customHeight="false" outlineLevel="0" collapsed="false">
      <c r="A236" s="6" t="s">
        <v>669</v>
      </c>
      <c r="B236" s="11" t="n">
        <f aca="false">B194+B210+B211+B212+B216+B235</f>
        <v>778368</v>
      </c>
      <c r="C236" s="11" t="n">
        <f aca="false">B236</f>
        <v>778368</v>
      </c>
      <c r="D236" s="36" t="str">
        <f aca="false">TRIM(A236)</f>
        <v>Total for 4 Administrative</v>
      </c>
      <c r="E236" s="36" t="str">
        <f aca="false">IF(D236="Revenue","Revenue",IF(D236="Cost of Goods Sold","COGS",IF(D236="Expenditures","Expense",IF(D236="Other Revenue","Other Revenue",IF(D236="Other Expenditures","Other Expense",E235)))))</f>
        <v>Expense</v>
      </c>
      <c r="F236" s="36" t="str">
        <f aca="false">IF(OR(D236="Revenue",D236="Cost of Goods Sold",D236="Expenditures",D236="Other Revenue",D236="Other Expenditures"),E236,IF(AND(LEN(D236)&gt;2,MID(D236,2,1)=" ",ISNUMBER(VALUE(LEFT(D236,1)))),D236,F235))</f>
        <v>4 Administrative</v>
      </c>
      <c r="G236" s="36" t="n">
        <f aca="false">IF(AND(D236&lt;&gt;"",ISNUMBER(B236),LEFT(D236,9)&lt;&gt;"Total for",D236&lt;&gt;"Gross Profit",D236&lt;&gt;"Net Operating Revenue",D236&lt;&gt;"Net Other Revenue",D236&lt;&gt;"Net Revenue"),1,0)</f>
        <v>0</v>
      </c>
      <c r="H236" s="36" t="str">
        <f aca="false">IF(G236=1,IF(AND(LEN(D236)&gt;7,ISNUMBER(VALUE(LEFT(D236,6))),MID(D236,7,1)=" "),LEFT(D236,6),D236),"")</f>
        <v/>
      </c>
      <c r="I236" s="36" t="str">
        <f aca="false">IF(G236=1,IF(COUNTIF('Forecast Detail'!$C$8:$C$400,H236)=0,"UNMAPPED","OK"),"")</f>
        <v/>
      </c>
    </row>
    <row r="237" customFormat="false" ht="15" hidden="false" customHeight="false" outlineLevel="0" collapsed="false">
      <c r="A237" s="6" t="s">
        <v>18</v>
      </c>
      <c r="B237" s="11" t="n">
        <v>171263</v>
      </c>
      <c r="C237" s="11" t="n">
        <f aca="false">B237</f>
        <v>171263</v>
      </c>
      <c r="D237" s="36" t="str">
        <f aca="false">TRIM(A237)</f>
        <v>5 Athletic Expenses</v>
      </c>
      <c r="E237" s="36" t="str">
        <f aca="false">IF(D237="Revenue","Revenue",IF(D237="Cost of Goods Sold","COGS",IF(D237="Expenditures","Expense",IF(D237="Other Revenue","Other Revenue",IF(D237="Other Expenditures","Other Expense",E236)))))</f>
        <v>Expense</v>
      </c>
      <c r="F237" s="36" t="str">
        <f aca="false">IF(OR(D237="Revenue",D237="Cost of Goods Sold",D237="Expenditures",D237="Other Revenue",D237="Other Expenditures"),E237,IF(AND(LEN(D237)&gt;2,MID(D237,2,1)=" ",ISNUMBER(VALUE(LEFT(D237,1)))),D237,F236))</f>
        <v>5 Athletic Expenses</v>
      </c>
      <c r="G237" s="36" t="n">
        <f aca="false">IF(AND(D237&lt;&gt;"",ISNUMBER(B237),LEFT(D237,9)&lt;&gt;"Total for",D237&lt;&gt;"Gross Profit",D237&lt;&gt;"Net Operating Revenue",D237&lt;&gt;"Net Other Revenue",D237&lt;&gt;"Net Revenue"),1,0)</f>
        <v>1</v>
      </c>
      <c r="H237" s="36" t="str">
        <f aca="false">IF(G237=1,IF(AND(LEN(D237)&gt;7,ISNUMBER(VALUE(LEFT(D237,6))),MID(D237,7,1)=" "),LEFT(D237,6),D237),"")</f>
        <v>5 Athletic Expenses</v>
      </c>
      <c r="I237" s="36" t="str">
        <f aca="false">IF(G237=1,IF(COUNTIF('Forecast Detail'!$C$8:$C$400,H237)=0,"UNMAPPED","OK"),"")</f>
        <v>OK</v>
      </c>
    </row>
    <row r="238" customFormat="false" ht="15" hidden="false" customHeight="false" outlineLevel="0" collapsed="false">
      <c r="A238" s="6" t="s">
        <v>670</v>
      </c>
      <c r="D238" s="36" t="str">
        <f aca="false">TRIM(A238)</f>
        <v>Athletic Expenses - General</v>
      </c>
      <c r="E238" s="36" t="str">
        <f aca="false">IF(D238="Revenue","Revenue",IF(D238="Cost of Goods Sold","COGS",IF(D238="Expenditures","Expense",IF(D238="Other Revenue","Other Revenue",IF(D238="Other Expenditures","Other Expense",E237)))))</f>
        <v>Expense</v>
      </c>
      <c r="F238" s="36" t="str">
        <f aca="false">IF(OR(D238="Revenue",D238="Cost of Goods Sold",D238="Expenditures",D238="Other Revenue",D238="Other Expenditures"),E238,IF(AND(LEN(D238)&gt;2,MID(D238,2,1)=" ",ISNUMBER(VALUE(LEFT(D238,1)))),D238,F237))</f>
        <v>5 Athletic Expenses</v>
      </c>
      <c r="G238" s="36" t="n">
        <f aca="false">IF(AND(D238&lt;&gt;"",ISNUMBER(B238),LEFT(D238,9)&lt;&gt;"Total for",D238&lt;&gt;"Gross Profit",D238&lt;&gt;"Net Operating Revenue",D238&lt;&gt;"Net Other Revenue",D238&lt;&gt;"Net Revenue"),1,0)</f>
        <v>0</v>
      </c>
      <c r="H238" s="36" t="str">
        <f aca="false">IF(G238=1,IF(AND(LEN(D238)&gt;7,ISNUMBER(VALUE(LEFT(D238,6))),MID(D238,7,1)=" "),LEFT(D238,6),D238),"")</f>
        <v/>
      </c>
      <c r="I238" s="36" t="str">
        <f aca="false">IF(G238=1,IF(COUNTIF('Forecast Detail'!$C$8:$C$400,H238)=0,"UNMAPPED","OK"),"")</f>
        <v/>
      </c>
    </row>
    <row r="239" customFormat="false" ht="15" hidden="false" customHeight="false" outlineLevel="0" collapsed="false">
      <c r="A239" s="6" t="s">
        <v>541</v>
      </c>
      <c r="B239" s="11" t="n">
        <v>0</v>
      </c>
      <c r="C239" s="11" t="n">
        <f aca="false">B239</f>
        <v>0</v>
      </c>
      <c r="D239" s="36" t="str">
        <f aca="false">TRIM(A239)</f>
        <v>500057 Summer Camp Exp DO NOT USE</v>
      </c>
      <c r="E239" s="36" t="str">
        <f aca="false">IF(D239="Revenue","Revenue",IF(D239="Cost of Goods Sold","COGS",IF(D239="Expenditures","Expense",IF(D239="Other Revenue","Other Revenue",IF(D239="Other Expenditures","Other Expense",E238)))))</f>
        <v>Expense</v>
      </c>
      <c r="F239" s="36" t="str">
        <f aca="false">IF(OR(D239="Revenue",D239="Cost of Goods Sold",D239="Expenditures",D239="Other Revenue",D239="Other Expenditures"),E239,IF(AND(LEN(D239)&gt;2,MID(D239,2,1)=" ",ISNUMBER(VALUE(LEFT(D239,1)))),D239,F238))</f>
        <v>5 Athletic Expenses</v>
      </c>
      <c r="G239" s="36" t="n">
        <f aca="false">IF(AND(D239&lt;&gt;"",ISNUMBER(B239),LEFT(D239,9)&lt;&gt;"Total for",D239&lt;&gt;"Gross Profit",D239&lt;&gt;"Net Operating Revenue",D239&lt;&gt;"Net Other Revenue",D239&lt;&gt;"Net Revenue"),1,0)</f>
        <v>1</v>
      </c>
      <c r="H239" s="36" t="str">
        <f aca="false">IF(G239=1,IF(AND(LEN(D239)&gt;7,ISNUMBER(VALUE(LEFT(D239,6))),MID(D239,7,1)=" "),LEFT(D239,6),D239),"")</f>
        <v>500057</v>
      </c>
      <c r="I239" s="36" t="str">
        <f aca="false">IF(G239=1,IF(COUNTIF('Forecast Detail'!$C$8:$C$400,H239)=0,"UNMAPPED","OK"),"")</f>
        <v>OK</v>
      </c>
    </row>
    <row r="240" customFormat="false" ht="15" hidden="false" customHeight="false" outlineLevel="0" collapsed="false">
      <c r="A240" s="6" t="s">
        <v>671</v>
      </c>
      <c r="B240" s="11" t="n">
        <f aca="false">B238+B239</f>
        <v>0</v>
      </c>
      <c r="C240" s="11" t="n">
        <f aca="false">B240</f>
        <v>0</v>
      </c>
      <c r="D240" s="36" t="str">
        <f aca="false">TRIM(A240)</f>
        <v>Total for Athletic Expenses - General</v>
      </c>
      <c r="E240" s="36" t="str">
        <f aca="false">IF(D240="Revenue","Revenue",IF(D240="Cost of Goods Sold","COGS",IF(D240="Expenditures","Expense",IF(D240="Other Revenue","Other Revenue",IF(D240="Other Expenditures","Other Expense",E239)))))</f>
        <v>Expense</v>
      </c>
      <c r="F240" s="36" t="str">
        <f aca="false">IF(OR(D240="Revenue",D240="Cost of Goods Sold",D240="Expenditures",D240="Other Revenue",D240="Other Expenditures"),E240,IF(AND(LEN(D240)&gt;2,MID(D240,2,1)=" ",ISNUMBER(VALUE(LEFT(D240,1)))),D240,F239))</f>
        <v>5 Athletic Expenses</v>
      </c>
      <c r="G240" s="36" t="n">
        <f aca="false">IF(AND(D240&lt;&gt;"",ISNUMBER(B240),LEFT(D240,9)&lt;&gt;"Total for",D240&lt;&gt;"Gross Profit",D240&lt;&gt;"Net Operating Revenue",D240&lt;&gt;"Net Other Revenue",D240&lt;&gt;"Net Revenue"),1,0)</f>
        <v>0</v>
      </c>
      <c r="H240" s="36" t="str">
        <f aca="false">IF(G240=1,IF(AND(LEN(D240)&gt;7,ISNUMBER(VALUE(LEFT(D240,6))),MID(D240,7,1)=" "),LEFT(D240,6),D240),"")</f>
        <v/>
      </c>
      <c r="I240" s="36" t="str">
        <f aca="false">IF(G240=1,IF(COUNTIF('Forecast Detail'!$C$8:$C$400,H240)=0,"UNMAPPED","OK"),"")</f>
        <v/>
      </c>
    </row>
    <row r="241" customFormat="false" ht="15" hidden="false" customHeight="false" outlineLevel="0" collapsed="false">
      <c r="A241" s="6" t="s">
        <v>672</v>
      </c>
      <c r="B241" s="11" t="n">
        <f aca="false">B237+B240</f>
        <v>171263</v>
      </c>
      <c r="C241" s="11" t="n">
        <f aca="false">B241</f>
        <v>171263</v>
      </c>
      <c r="D241" s="36" t="str">
        <f aca="false">TRIM(A241)</f>
        <v>Total for 5 Athletic Expenses</v>
      </c>
      <c r="E241" s="36" t="str">
        <f aca="false">IF(D241="Revenue","Revenue",IF(D241="Cost of Goods Sold","COGS",IF(D241="Expenditures","Expense",IF(D241="Other Revenue","Other Revenue",IF(D241="Other Expenditures","Other Expense",E240)))))</f>
        <v>Expense</v>
      </c>
      <c r="F241" s="36" t="str">
        <f aca="false">IF(OR(D241="Revenue",D241="Cost of Goods Sold",D241="Expenditures",D241="Other Revenue",D241="Other Expenditures"),E241,IF(AND(LEN(D241)&gt;2,MID(D241,2,1)=" ",ISNUMBER(VALUE(LEFT(D241,1)))),D241,F240))</f>
        <v>5 Athletic Expenses</v>
      </c>
      <c r="G241" s="36" t="n">
        <f aca="false">IF(AND(D241&lt;&gt;"",ISNUMBER(B241),LEFT(D241,9)&lt;&gt;"Total for",D241&lt;&gt;"Gross Profit",D241&lt;&gt;"Net Operating Revenue",D241&lt;&gt;"Net Other Revenue",D241&lt;&gt;"Net Revenue"),1,0)</f>
        <v>0</v>
      </c>
      <c r="H241" s="36" t="str">
        <f aca="false">IF(G241=1,IF(AND(LEN(D241)&gt;7,ISNUMBER(VALUE(LEFT(D241,6))),MID(D241,7,1)=" "),LEFT(D241,6),D241),"")</f>
        <v/>
      </c>
      <c r="I241" s="36" t="str">
        <f aca="false">IF(G241=1,IF(COUNTIF('Forecast Detail'!$C$8:$C$400,H241)=0,"UNMAPPED","OK"),"")</f>
        <v/>
      </c>
    </row>
    <row r="242" customFormat="false" ht="15" hidden="false" customHeight="false" outlineLevel="0" collapsed="false">
      <c r="A242" s="6" t="s">
        <v>673</v>
      </c>
      <c r="B242" s="11" t="n">
        <f aca="false">B83+B99+B152+B193+B236+B241</f>
        <v>9302740</v>
      </c>
      <c r="C242" s="11" t="n">
        <f aca="false">B242</f>
        <v>9302740</v>
      </c>
      <c r="D242" s="36" t="str">
        <f aca="false">TRIM(A242)</f>
        <v>Total for Expenditures</v>
      </c>
      <c r="E242" s="36" t="str">
        <f aca="false">IF(D242="Revenue","Revenue",IF(D242="Cost of Goods Sold","COGS",IF(D242="Expenditures","Expense",IF(D242="Other Revenue","Other Revenue",IF(D242="Other Expenditures","Other Expense",E241)))))</f>
        <v>Expense</v>
      </c>
      <c r="F242" s="36" t="str">
        <f aca="false">IF(OR(D242="Revenue",D242="Cost of Goods Sold",D242="Expenditures",D242="Other Revenue",D242="Other Expenditures"),E242,IF(AND(LEN(D242)&gt;2,MID(D242,2,1)=" ",ISNUMBER(VALUE(LEFT(D242,1)))),D242,F241))</f>
        <v>5 Athletic Expenses</v>
      </c>
      <c r="G242" s="36" t="n">
        <f aca="false">IF(AND(D242&lt;&gt;"",ISNUMBER(B242),LEFT(D242,9)&lt;&gt;"Total for",D242&lt;&gt;"Gross Profit",D242&lt;&gt;"Net Operating Revenue",D242&lt;&gt;"Net Other Revenue",D242&lt;&gt;"Net Revenue"),1,0)</f>
        <v>0</v>
      </c>
      <c r="H242" s="36" t="str">
        <f aca="false">IF(G242=1,IF(AND(LEN(D242)&gt;7,ISNUMBER(VALUE(LEFT(D242,6))),MID(D242,7,1)=" "),LEFT(D242,6),D242),"")</f>
        <v/>
      </c>
      <c r="I242" s="36" t="str">
        <f aca="false">IF(G242=1,IF(COUNTIF('Forecast Detail'!$C$8:$C$400,H242)=0,"UNMAPPED","OK"),"")</f>
        <v/>
      </c>
    </row>
    <row r="243" customFormat="false" ht="15" hidden="false" customHeight="false" outlineLevel="0" collapsed="false">
      <c r="A243" s="6" t="s">
        <v>21</v>
      </c>
      <c r="B243" s="11" t="n">
        <f aca="false">B82-B242</f>
        <v>1642</v>
      </c>
      <c r="C243" s="11" t="n">
        <f aca="false">B243</f>
        <v>1642</v>
      </c>
      <c r="D243" s="36" t="str">
        <f aca="false">TRIM(A243)</f>
        <v>Net Operating Revenue</v>
      </c>
      <c r="E243" s="36" t="str">
        <f aca="false">IF(D243="Revenue","Revenue",IF(D243="Cost of Goods Sold","COGS",IF(D243="Expenditures","Expense",IF(D243="Other Revenue","Other Revenue",IF(D243="Other Expenditures","Other Expense",E242)))))</f>
        <v>Expense</v>
      </c>
      <c r="F243" s="36" t="str">
        <f aca="false">IF(OR(D243="Revenue",D243="Cost of Goods Sold",D243="Expenditures",D243="Other Revenue",D243="Other Expenditures"),E243,IF(AND(LEN(D243)&gt;2,MID(D243,2,1)=" ",ISNUMBER(VALUE(LEFT(D243,1)))),D243,F242))</f>
        <v>5 Athletic Expenses</v>
      </c>
      <c r="G243" s="36" t="n">
        <f aca="false">IF(AND(D243&lt;&gt;"",ISNUMBER(B243),LEFT(D243,9)&lt;&gt;"Total for",D243&lt;&gt;"Gross Profit",D243&lt;&gt;"Net Operating Revenue",D243&lt;&gt;"Net Other Revenue",D243&lt;&gt;"Net Revenue"),1,0)</f>
        <v>0</v>
      </c>
      <c r="H243" s="36" t="str">
        <f aca="false">IF(G243=1,IF(AND(LEN(D243)&gt;7,ISNUMBER(VALUE(LEFT(D243,6))),MID(D243,7,1)=" "),LEFT(D243,6),D243),"")</f>
        <v/>
      </c>
      <c r="I243" s="36" t="str">
        <f aca="false">IF(G243=1,IF(COUNTIF('Forecast Detail'!$C$8:$C$400,H243)=0,"UNMAPPED","OK"),"")</f>
        <v/>
      </c>
    </row>
    <row r="244" customFormat="false" ht="15" hidden="false" customHeight="false" outlineLevel="0" collapsed="false">
      <c r="A244" s="6" t="s">
        <v>542</v>
      </c>
      <c r="D244" s="36" t="str">
        <f aca="false">TRIM(A244)</f>
        <v>Other Revenue</v>
      </c>
      <c r="E244" s="36" t="str">
        <f aca="false">IF(D244="Revenue","Revenue",IF(D244="Cost of Goods Sold","COGS",IF(D244="Expenditures","Expense",IF(D244="Other Revenue","Other Revenue",IF(D244="Other Expenditures","Other Expense",E243)))))</f>
        <v>Other Revenue</v>
      </c>
      <c r="F244" s="36" t="str">
        <f aca="false">IF(OR(D244="Revenue",D244="Cost of Goods Sold",D244="Expenditures",D244="Other Revenue",D244="Other Expenditures"),E244,IF(AND(LEN(D244)&gt;2,MID(D244,2,1)=" ",ISNUMBER(VALUE(LEFT(D244,1)))),D244,F243))</f>
        <v>Other Revenue</v>
      </c>
      <c r="G244" s="36" t="n">
        <f aca="false">IF(AND(D244&lt;&gt;"",ISNUMBER(B244),LEFT(D244,9)&lt;&gt;"Total for",D244&lt;&gt;"Gross Profit",D244&lt;&gt;"Net Operating Revenue",D244&lt;&gt;"Net Other Revenue",D244&lt;&gt;"Net Revenue"),1,0)</f>
        <v>0</v>
      </c>
      <c r="H244" s="36" t="str">
        <f aca="false">IF(G244=1,IF(AND(LEN(D244)&gt;7,ISNUMBER(VALUE(LEFT(D244,6))),MID(D244,7,1)=" "),LEFT(D244,6),D244),"")</f>
        <v/>
      </c>
      <c r="I244" s="36" t="str">
        <f aca="false">IF(G244=1,IF(COUNTIF('Forecast Detail'!$C$8:$C$400,H244)=0,"UNMAPPED","OK"),"")</f>
        <v/>
      </c>
    </row>
    <row r="245" customFormat="false" ht="15" hidden="false" customHeight="false" outlineLevel="0" collapsed="false">
      <c r="A245" s="6" t="s">
        <v>543</v>
      </c>
      <c r="B245" s="11" t="n">
        <v>0</v>
      </c>
      <c r="C245" s="11" t="n">
        <f aca="false">B245</f>
        <v>0</v>
      </c>
      <c r="D245" s="36" t="str">
        <f aca="false">TRIM(A245)</f>
        <v>Development Income</v>
      </c>
      <c r="E245" s="36" t="str">
        <f aca="false">IF(D245="Revenue","Revenue",IF(D245="Cost of Goods Sold","COGS",IF(D245="Expenditures","Expense",IF(D245="Other Revenue","Other Revenue",IF(D245="Other Expenditures","Other Expense",E244)))))</f>
        <v>Other Revenue</v>
      </c>
      <c r="F245" s="36" t="str">
        <f aca="false">IF(OR(D245="Revenue",D245="Cost of Goods Sold",D245="Expenditures",D245="Other Revenue",D245="Other Expenditures"),E245,IF(AND(LEN(D245)&gt;2,MID(D245,2,1)=" ",ISNUMBER(VALUE(LEFT(D245,1)))),D245,F244))</f>
        <v>Other Revenue</v>
      </c>
      <c r="G245" s="36" t="n">
        <f aca="false">IF(AND(D245&lt;&gt;"",ISNUMBER(B245),LEFT(D245,9)&lt;&gt;"Total for",D245&lt;&gt;"Gross Profit",D245&lt;&gt;"Net Operating Revenue",D245&lt;&gt;"Net Other Revenue",D245&lt;&gt;"Net Revenue"),1,0)</f>
        <v>1</v>
      </c>
      <c r="H245" s="36" t="str">
        <f aca="false">IF(G245=1,IF(AND(LEN(D245)&gt;7,ISNUMBER(VALUE(LEFT(D245,6))),MID(D245,7,1)=" "),LEFT(D245,6),D245),"")</f>
        <v>Development Income</v>
      </c>
      <c r="I245" s="36" t="str">
        <f aca="false">IF(G245=1,IF(COUNTIF('Forecast Detail'!$C$8:$C$400,H245)=0,"UNMAPPED","OK"),"")</f>
        <v>OK</v>
      </c>
    </row>
    <row r="246" customFormat="false" ht="15" hidden="false" customHeight="false" outlineLevel="0" collapsed="false">
      <c r="A246" s="6" t="s">
        <v>674</v>
      </c>
      <c r="B246" s="11" t="n">
        <f aca="false">B244+B245</f>
        <v>0</v>
      </c>
      <c r="C246" s="11" t="n">
        <f aca="false">B246</f>
        <v>0</v>
      </c>
      <c r="D246" s="36" t="str">
        <f aca="false">TRIM(A246)</f>
        <v>Total for Other Revenue</v>
      </c>
      <c r="E246" s="36" t="str">
        <f aca="false">IF(D246="Revenue","Revenue",IF(D246="Cost of Goods Sold","COGS",IF(D246="Expenditures","Expense",IF(D246="Other Revenue","Other Revenue",IF(D246="Other Expenditures","Other Expense",E245)))))</f>
        <v>Other Revenue</v>
      </c>
      <c r="F246" s="36" t="str">
        <f aca="false">IF(OR(D246="Revenue",D246="Cost of Goods Sold",D246="Expenditures",D246="Other Revenue",D246="Other Expenditures"),E246,IF(AND(LEN(D246)&gt;2,MID(D246,2,1)=" ",ISNUMBER(VALUE(LEFT(D246,1)))),D246,F245))</f>
        <v>Other Revenue</v>
      </c>
      <c r="G246" s="36" t="n">
        <f aca="false">IF(AND(D246&lt;&gt;"",ISNUMBER(B246),LEFT(D246,9)&lt;&gt;"Total for",D246&lt;&gt;"Gross Profit",D246&lt;&gt;"Net Operating Revenue",D246&lt;&gt;"Net Other Revenue",D246&lt;&gt;"Net Revenue"),1,0)</f>
        <v>0</v>
      </c>
      <c r="H246" s="36" t="str">
        <f aca="false">IF(G246=1,IF(AND(LEN(D246)&gt;7,ISNUMBER(VALUE(LEFT(D246,6))),MID(D246,7,1)=" "),LEFT(D246,6),D246),"")</f>
        <v/>
      </c>
      <c r="I246" s="36" t="str">
        <f aca="false">IF(G246=1,IF(COUNTIF('Forecast Detail'!$C$8:$C$400,H246)=0,"UNMAPPED","OK"),"")</f>
        <v/>
      </c>
    </row>
    <row r="247" customFormat="false" ht="15" hidden="false" customHeight="false" outlineLevel="0" collapsed="false">
      <c r="A247" s="6" t="s">
        <v>675</v>
      </c>
      <c r="D247" s="36" t="str">
        <f aca="false">TRIM(A247)</f>
        <v>Other Expenditures</v>
      </c>
      <c r="E247" s="36" t="str">
        <f aca="false">IF(D247="Revenue","Revenue",IF(D247="Cost of Goods Sold","COGS",IF(D247="Expenditures","Expense",IF(D247="Other Revenue","Other Revenue",IF(D247="Other Expenditures","Other Expense",E246)))))</f>
        <v>Other Expense</v>
      </c>
      <c r="F247" s="36" t="str">
        <f aca="false">IF(OR(D247="Revenue",D247="Cost of Goods Sold",D247="Expenditures",D247="Other Revenue",D247="Other Expenditures"),E247,IF(AND(LEN(D247)&gt;2,MID(D247,2,1)=" ",ISNUMBER(VALUE(LEFT(D247,1)))),D247,F246))</f>
        <v>Other Expense</v>
      </c>
      <c r="G247" s="36" t="n">
        <f aca="false">IF(AND(D247&lt;&gt;"",ISNUMBER(B247),LEFT(D247,9)&lt;&gt;"Total for",D247&lt;&gt;"Gross Profit",D247&lt;&gt;"Net Operating Revenue",D247&lt;&gt;"Net Other Revenue",D247&lt;&gt;"Net Revenue"),1,0)</f>
        <v>0</v>
      </c>
      <c r="H247" s="36" t="str">
        <f aca="false">IF(G247=1,IF(AND(LEN(D247)&gt;7,ISNUMBER(VALUE(LEFT(D247,6))),MID(D247,7,1)=" "),LEFT(D247,6),D247),"")</f>
        <v/>
      </c>
      <c r="I247" s="36" t="str">
        <f aca="false">IF(G247=1,IF(COUNTIF('Forecast Detail'!$C$8:$C$400,H247)=0,"UNMAPPED","OK"),"")</f>
        <v/>
      </c>
    </row>
    <row r="248" customFormat="false" ht="15" hidden="false" customHeight="false" outlineLevel="0" collapsed="false">
      <c r="A248" s="6" t="s">
        <v>545</v>
      </c>
      <c r="B248" s="11" t="n">
        <v>0</v>
      </c>
      <c r="C248" s="11" t="n">
        <f aca="false">B248</f>
        <v>0</v>
      </c>
      <c r="D248" s="36" t="str">
        <f aca="false">TRIM(A248)</f>
        <v>Development Expenses</v>
      </c>
      <c r="E248" s="36" t="str">
        <f aca="false">IF(D248="Revenue","Revenue",IF(D248="Cost of Goods Sold","COGS",IF(D248="Expenditures","Expense",IF(D248="Other Revenue","Other Revenue",IF(D248="Other Expenditures","Other Expense",E247)))))</f>
        <v>Other Expense</v>
      </c>
      <c r="F248" s="36" t="str">
        <f aca="false">IF(OR(D248="Revenue",D248="Cost of Goods Sold",D248="Expenditures",D248="Other Revenue",D248="Other Expenditures"),E248,IF(AND(LEN(D248)&gt;2,MID(D248,2,1)=" ",ISNUMBER(VALUE(LEFT(D248,1)))),D248,F247))</f>
        <v>Other Expense</v>
      </c>
      <c r="G248" s="36" t="n">
        <f aca="false">IF(AND(D248&lt;&gt;"",ISNUMBER(B248),LEFT(D248,9)&lt;&gt;"Total for",D248&lt;&gt;"Gross Profit",D248&lt;&gt;"Net Operating Revenue",D248&lt;&gt;"Net Other Revenue",D248&lt;&gt;"Net Revenue"),1,0)</f>
        <v>1</v>
      </c>
      <c r="H248" s="36" t="str">
        <f aca="false">IF(G248=1,IF(AND(LEN(D248)&gt;7,ISNUMBER(VALUE(LEFT(D248,6))),MID(D248,7,1)=" "),LEFT(D248,6),D248),"")</f>
        <v>Development Expenses</v>
      </c>
      <c r="I248" s="36" t="str">
        <f aca="false">IF(G248=1,IF(COUNTIF('Forecast Detail'!$C$8:$C$400,H248)=0,"UNMAPPED","OK"),"")</f>
        <v>OK</v>
      </c>
    </row>
    <row r="249" customFormat="false" ht="15" hidden="false" customHeight="false" outlineLevel="0" collapsed="false">
      <c r="A249" s="6" t="s">
        <v>676</v>
      </c>
      <c r="B249" s="11" t="n">
        <f aca="false">B247+B248</f>
        <v>0</v>
      </c>
      <c r="C249" s="11" t="n">
        <f aca="false">B249</f>
        <v>0</v>
      </c>
      <c r="D249" s="36" t="str">
        <f aca="false">TRIM(A249)</f>
        <v>Total for Other Expenditures</v>
      </c>
      <c r="E249" s="36" t="str">
        <f aca="false">IF(D249="Revenue","Revenue",IF(D249="Cost of Goods Sold","COGS",IF(D249="Expenditures","Expense",IF(D249="Other Revenue","Other Revenue",IF(D249="Other Expenditures","Other Expense",E248)))))</f>
        <v>Other Expense</v>
      </c>
      <c r="F249" s="36" t="str">
        <f aca="false">IF(OR(D249="Revenue",D249="Cost of Goods Sold",D249="Expenditures",D249="Other Revenue",D249="Other Expenditures"),E249,IF(AND(LEN(D249)&gt;2,MID(D249,2,1)=" ",ISNUMBER(VALUE(LEFT(D249,1)))),D249,F248))</f>
        <v>Other Expense</v>
      </c>
      <c r="G249" s="36" t="n">
        <f aca="false">IF(AND(D249&lt;&gt;"",ISNUMBER(B249),LEFT(D249,9)&lt;&gt;"Total for",D249&lt;&gt;"Gross Profit",D249&lt;&gt;"Net Operating Revenue",D249&lt;&gt;"Net Other Revenue",D249&lt;&gt;"Net Revenue"),1,0)</f>
        <v>0</v>
      </c>
      <c r="H249" s="36" t="str">
        <f aca="false">IF(G249=1,IF(AND(LEN(D249)&gt;7,ISNUMBER(VALUE(LEFT(D249,6))),MID(D249,7,1)=" "),LEFT(D249,6),D249),"")</f>
        <v/>
      </c>
      <c r="I249" s="36" t="str">
        <f aca="false">IF(G249=1,IF(COUNTIF('Forecast Detail'!$C$8:$C$400,H249)=0,"UNMAPPED","OK"),"")</f>
        <v/>
      </c>
    </row>
    <row r="250" customFormat="false" ht="15" hidden="false" customHeight="false" outlineLevel="0" collapsed="false">
      <c r="A250" s="6" t="s">
        <v>24</v>
      </c>
      <c r="B250" s="11" t="n">
        <f aca="false">B246-B249</f>
        <v>0</v>
      </c>
      <c r="C250" s="11" t="n">
        <f aca="false">B250</f>
        <v>0</v>
      </c>
      <c r="D250" s="36" t="str">
        <f aca="false">TRIM(A250)</f>
        <v>Net Other Revenue</v>
      </c>
      <c r="E250" s="36" t="str">
        <f aca="false">IF(D250="Revenue","Revenue",IF(D250="Cost of Goods Sold","COGS",IF(D250="Expenditures","Expense",IF(D250="Other Revenue","Other Revenue",IF(D250="Other Expenditures","Other Expense",E249)))))</f>
        <v>Other Expense</v>
      </c>
      <c r="F250" s="36" t="str">
        <f aca="false">IF(OR(D250="Revenue",D250="Cost of Goods Sold",D250="Expenditures",D250="Other Revenue",D250="Other Expenditures"),E250,IF(AND(LEN(D250)&gt;2,MID(D250,2,1)=" ",ISNUMBER(VALUE(LEFT(D250,1)))),D250,F249))</f>
        <v>Other Expense</v>
      </c>
      <c r="G250" s="36" t="n">
        <f aca="false">IF(AND(D250&lt;&gt;"",ISNUMBER(B250),LEFT(D250,9)&lt;&gt;"Total for",D250&lt;&gt;"Gross Profit",D250&lt;&gt;"Net Operating Revenue",D250&lt;&gt;"Net Other Revenue",D250&lt;&gt;"Net Revenue"),1,0)</f>
        <v>0</v>
      </c>
      <c r="H250" s="36" t="str">
        <f aca="false">IF(G250=1,IF(AND(LEN(D250)&gt;7,ISNUMBER(VALUE(LEFT(D250,6))),MID(D250,7,1)=" "),LEFT(D250,6),D250),"")</f>
        <v/>
      </c>
      <c r="I250" s="36" t="str">
        <f aca="false">IF(G250=1,IF(COUNTIF('Forecast Detail'!$C$8:$C$400,H250)=0,"UNMAPPED","OK"),"")</f>
        <v/>
      </c>
    </row>
    <row r="251" customFormat="false" ht="15" hidden="false" customHeight="false" outlineLevel="0" collapsed="false">
      <c r="A251" s="6" t="s">
        <v>677</v>
      </c>
      <c r="B251" s="11" t="n">
        <f aca="false">B243+B250</f>
        <v>1642</v>
      </c>
      <c r="C251" s="11" t="n">
        <f aca="false">B251</f>
        <v>1642</v>
      </c>
      <c r="D251" s="36" t="str">
        <f aca="false">TRIM(A251)</f>
        <v>Net Revenue</v>
      </c>
      <c r="E251" s="36" t="str">
        <f aca="false">IF(D251="Revenue","Revenue",IF(D251="Cost of Goods Sold","COGS",IF(D251="Expenditures","Expense",IF(D251="Other Revenue","Other Revenue",IF(D251="Other Expenditures","Other Expense",E250)))))</f>
        <v>Other Expense</v>
      </c>
      <c r="F251" s="36" t="str">
        <f aca="false">IF(OR(D251="Revenue",D251="Cost of Goods Sold",D251="Expenditures",D251="Other Revenue",D251="Other Expenditures"),E251,IF(AND(LEN(D251)&gt;2,MID(D251,2,1)=" ",ISNUMBER(VALUE(LEFT(D251,1)))),D251,F250))</f>
        <v>Other Expense</v>
      </c>
      <c r="G251" s="36" t="n">
        <f aca="false">IF(AND(D251&lt;&gt;"",ISNUMBER(B251),LEFT(D251,9)&lt;&gt;"Total for",D251&lt;&gt;"Gross Profit",D251&lt;&gt;"Net Operating Revenue",D251&lt;&gt;"Net Other Revenue",D251&lt;&gt;"Net Revenue"),1,0)</f>
        <v>0</v>
      </c>
      <c r="H251" s="36" t="str">
        <f aca="false">IF(G251=1,IF(AND(LEN(D251)&gt;7,ISNUMBER(VALUE(LEFT(D251,6))),MID(D251,7,1)=" "),LEFT(D251,6),D251),"")</f>
        <v/>
      </c>
      <c r="I251" s="36" t="str">
        <f aca="false">IF(G251=1,IF(COUNTIF('Forecast Detail'!$C$8:$C$400,H251)=0,"UNMAPPED","OK"),"")</f>
        <v/>
      </c>
    </row>
    <row r="252" customFormat="false" ht="15" hidden="false" customHeight="false" outlineLevel="0" collapsed="false">
      <c r="D252" s="36" t="str">
        <f aca="false">TRIM(A252)</f>
        <v/>
      </c>
      <c r="E252" s="36" t="str">
        <f aca="false">IF(D252="Revenue","Revenue",IF(D252="Cost of Goods Sold","COGS",IF(D252="Expenditures","Expense",IF(D252="Other Revenue","Other Revenue",IF(D252="Other Expenditures","Other Expense",E251)))))</f>
        <v>Other Expense</v>
      </c>
      <c r="F252" s="36" t="str">
        <f aca="false">IF(OR(D252="Revenue",D252="Cost of Goods Sold",D252="Expenditures",D252="Other Revenue",D252="Other Expenditures"),E252,IF(AND(LEN(D252)&gt;2,MID(D252,2,1)=" ",ISNUMBER(VALUE(LEFT(D252,1)))),D252,F251))</f>
        <v>Other Expense</v>
      </c>
      <c r="G252" s="36" t="n">
        <f aca="false">IF(AND(D252&lt;&gt;"",ISNUMBER(B252),LEFT(D252,9)&lt;&gt;"Total for",D252&lt;&gt;"Gross Profit",D252&lt;&gt;"Net Operating Revenue",D252&lt;&gt;"Net Other Revenue",D252&lt;&gt;"Net Revenue"),1,0)</f>
        <v>0</v>
      </c>
      <c r="H252" s="36" t="str">
        <f aca="false">IF(G252=1,IF(AND(LEN(D252)&gt;7,ISNUMBER(VALUE(LEFT(D252,6))),MID(D252,7,1)=" "),LEFT(D252,6),D252),"")</f>
        <v/>
      </c>
      <c r="I252" s="36" t="str">
        <f aca="false">IF(G252=1,IF(COUNTIF('Forecast Detail'!$C$8:$C$400,H252)=0,"UNMAPPED","OK"),"")</f>
        <v/>
      </c>
    </row>
    <row r="253" customFormat="false" ht="15" hidden="false" customHeight="false" outlineLevel="0" collapsed="false">
      <c r="D253" s="36" t="str">
        <f aca="false">TRIM(A253)</f>
        <v/>
      </c>
      <c r="E253" s="36" t="str">
        <f aca="false">IF(D253="Revenue","Revenue",IF(D253="Cost of Goods Sold","COGS",IF(D253="Expenditures","Expense",IF(D253="Other Revenue","Other Revenue",IF(D253="Other Expenditures","Other Expense",E252)))))</f>
        <v>Other Expense</v>
      </c>
      <c r="F253" s="36" t="str">
        <f aca="false">IF(OR(D253="Revenue",D253="Cost of Goods Sold",D253="Expenditures",D253="Other Revenue",D253="Other Expenditures"),E253,IF(AND(LEN(D253)&gt;2,MID(D253,2,1)=" ",ISNUMBER(VALUE(LEFT(D253,1)))),D253,F252))</f>
        <v>Other Expense</v>
      </c>
      <c r="G253" s="36" t="n">
        <f aca="false">IF(AND(D253&lt;&gt;"",ISNUMBER(B253),LEFT(D253,9)&lt;&gt;"Total for",D253&lt;&gt;"Gross Profit",D253&lt;&gt;"Net Operating Revenue",D253&lt;&gt;"Net Other Revenue",D253&lt;&gt;"Net Revenue"),1,0)</f>
        <v>0</v>
      </c>
      <c r="H253" s="36" t="str">
        <f aca="false">IF(G253=1,IF(AND(LEN(D253)&gt;7,ISNUMBER(VALUE(LEFT(D253,6))),MID(D253,7,1)=" "),LEFT(D253,6),D253),"")</f>
        <v/>
      </c>
      <c r="I253" s="36" t="str">
        <f aca="false">IF(G253=1,IF(COUNTIF('Forecast Detail'!$C$8:$C$400,H253)=0,"UNMAPPED","OK"),"")</f>
        <v/>
      </c>
    </row>
    <row r="254" customFormat="false" ht="15" hidden="false" customHeight="false" outlineLevel="0" collapsed="false">
      <c r="D254" s="36" t="str">
        <f aca="false">TRIM(A254)</f>
        <v/>
      </c>
      <c r="E254" s="36" t="str">
        <f aca="false">IF(D254="Revenue","Revenue",IF(D254="Cost of Goods Sold","COGS",IF(D254="Expenditures","Expense",IF(D254="Other Revenue","Other Revenue",IF(D254="Other Expenditures","Other Expense",E253)))))</f>
        <v>Other Expense</v>
      </c>
      <c r="F254" s="36" t="str">
        <f aca="false">IF(OR(D254="Revenue",D254="Cost of Goods Sold",D254="Expenditures",D254="Other Revenue",D254="Other Expenditures"),E254,IF(AND(LEN(D254)&gt;2,MID(D254,2,1)=" ",ISNUMBER(VALUE(LEFT(D254,1)))),D254,F253))</f>
        <v>Other Expense</v>
      </c>
      <c r="G254" s="36" t="n">
        <f aca="false">IF(AND(D254&lt;&gt;"",ISNUMBER(B254),LEFT(D254,9)&lt;&gt;"Total for",D254&lt;&gt;"Gross Profit",D254&lt;&gt;"Net Operating Revenue",D254&lt;&gt;"Net Other Revenue",D254&lt;&gt;"Net Revenue"),1,0)</f>
        <v>0</v>
      </c>
      <c r="H254" s="36" t="str">
        <f aca="false">IF(G254=1,IF(AND(LEN(D254)&gt;7,ISNUMBER(VALUE(LEFT(D254,6))),MID(D254,7,1)=" "),LEFT(D254,6),D254),"")</f>
        <v/>
      </c>
      <c r="I254" s="36" t="str">
        <f aca="false">IF(G254=1,IF(COUNTIF('Forecast Detail'!$C$8:$C$400,H254)=0,"UNMAPPED","OK"),"")</f>
        <v/>
      </c>
    </row>
    <row r="255" customFormat="false" ht="15" hidden="false" customHeight="false" outlineLevel="0" collapsed="false">
      <c r="A255" s="6" t="s">
        <v>678</v>
      </c>
      <c r="D255" s="36" t="str">
        <f aca="false">TRIM(A255)</f>
        <v>Tuesday, September 22, 2026 09:32 AM GMT-05:00</v>
      </c>
      <c r="E255" s="36" t="str">
        <f aca="false">IF(D255="Revenue","Revenue",IF(D255="Cost of Goods Sold","COGS",IF(D255="Expenditures","Expense",IF(D255="Other Revenue","Other Revenue",IF(D255="Other Expenditures","Other Expense",E254)))))</f>
        <v>Other Expense</v>
      </c>
      <c r="F255" s="36" t="str">
        <f aca="false">IF(OR(D255="Revenue",D255="Cost of Goods Sold",D255="Expenditures",D255="Other Revenue",D255="Other Expenditures"),E255,IF(AND(LEN(D255)&gt;2,MID(D255,2,1)=" ",ISNUMBER(VALUE(LEFT(D255,1)))),D255,F254))</f>
        <v>Other Expense</v>
      </c>
      <c r="G255" s="36" t="n">
        <f aca="false">IF(AND(D255&lt;&gt;"",ISNUMBER(B255),LEFT(D255,9)&lt;&gt;"Total for",D255&lt;&gt;"Gross Profit",D255&lt;&gt;"Net Operating Revenue",D255&lt;&gt;"Net Other Revenue",D255&lt;&gt;"Net Revenue"),1,0)</f>
        <v>0</v>
      </c>
      <c r="H255" s="36" t="str">
        <f aca="false">IF(G255=1,IF(AND(LEN(D255)&gt;7,ISNUMBER(VALUE(LEFT(D255,6))),MID(D255,7,1)=" "),LEFT(D255,6),D255),"")</f>
        <v/>
      </c>
      <c r="I255" s="36" t="str">
        <f aca="false">IF(G255=1,IF(COUNTIF('Forecast Detail'!$C$8:$C$400,H255)=0,"UNMAPPED","OK"),"")</f>
        <v/>
      </c>
    </row>
    <row r="256" customFormat="false" ht="15" hidden="false" customHeight="false" outlineLevel="0" collapsed="false">
      <c r="D256" s="36" t="str">
        <f aca="false">TRIM(A256)</f>
        <v/>
      </c>
      <c r="E256" s="36" t="str">
        <f aca="false">IF(D256="Revenue","Revenue",IF(D256="Cost of Goods Sold","COGS",IF(D256="Expenditures","Expense",IF(D256="Other Revenue","Other Revenue",IF(D256="Other Expenditures","Other Expense",E255)))))</f>
        <v>Other Expense</v>
      </c>
      <c r="F256" s="36" t="str">
        <f aca="false">IF(OR(D256="Revenue",D256="Cost of Goods Sold",D256="Expenditures",D256="Other Revenue",D256="Other Expenditures"),E256,IF(AND(LEN(D256)&gt;2,MID(D256,2,1)=" ",ISNUMBER(VALUE(LEFT(D256,1)))),D256,F255))</f>
        <v>Other Expense</v>
      </c>
      <c r="G256" s="36" t="n">
        <f aca="false">IF(AND(D256&lt;&gt;"",ISNUMBER(B256),LEFT(D256,9)&lt;&gt;"Total for",D256&lt;&gt;"Gross Profit",D256&lt;&gt;"Net Operating Revenue",D256&lt;&gt;"Net Other Revenue",D256&lt;&gt;"Net Revenue"),1,0)</f>
        <v>0</v>
      </c>
      <c r="H256" s="36" t="str">
        <f aca="false">IF(G256=1,IF(AND(LEN(D256)&gt;7,ISNUMBER(VALUE(LEFT(D256,6))),MID(D256,7,1)=" "),LEFT(D256,6),D256),"")</f>
        <v/>
      </c>
      <c r="I256" s="36" t="str">
        <f aca="false">IF(G256=1,IF(COUNTIF('Forecast Detail'!$C$8:$C$400,H256)=0,"UNMAPPED","OK"),"")</f>
        <v/>
      </c>
    </row>
    <row r="257" customFormat="false" ht="15" hidden="false" customHeight="false" outlineLevel="0" collapsed="false">
      <c r="D257" s="36" t="str">
        <f aca="false">TRIM(A257)</f>
        <v/>
      </c>
      <c r="E257" s="36" t="str">
        <f aca="false">IF(D257="Revenue","Revenue",IF(D257="Cost of Goods Sold","COGS",IF(D257="Expenditures","Expense",IF(D257="Other Revenue","Other Revenue",IF(D257="Other Expenditures","Other Expense",E256)))))</f>
        <v>Other Expense</v>
      </c>
      <c r="F257" s="36" t="str">
        <f aca="false">IF(OR(D257="Revenue",D257="Cost of Goods Sold",D257="Expenditures",D257="Other Revenue",D257="Other Expenditures"),E257,IF(AND(LEN(D257)&gt;2,MID(D257,2,1)=" ",ISNUMBER(VALUE(LEFT(D257,1)))),D257,F256))</f>
        <v>Other Expense</v>
      </c>
      <c r="G257" s="36" t="n">
        <f aca="false">IF(AND(D257&lt;&gt;"",ISNUMBER(B257),LEFT(D257,9)&lt;&gt;"Total for",D257&lt;&gt;"Gross Profit",D257&lt;&gt;"Net Operating Revenue",D257&lt;&gt;"Net Other Revenue",D257&lt;&gt;"Net Revenue"),1,0)</f>
        <v>0</v>
      </c>
      <c r="H257" s="36" t="str">
        <f aca="false">IF(G257=1,IF(AND(LEN(D257)&gt;7,ISNUMBER(VALUE(LEFT(D257,6))),MID(D257,7,1)=" "),LEFT(D257,6),D257),"")</f>
        <v/>
      </c>
      <c r="I257" s="36" t="str">
        <f aca="false">IF(G257=1,IF(COUNTIF('Forecast Detail'!$C$8:$C$400,H257)=0,"UNMAPPED","OK"),"")</f>
        <v/>
      </c>
    </row>
    <row r="258" customFormat="false" ht="15" hidden="false" customHeight="false" outlineLevel="0" collapsed="false">
      <c r="D258" s="36" t="str">
        <f aca="false">TRIM(A258)</f>
        <v/>
      </c>
      <c r="E258" s="36" t="str">
        <f aca="false">IF(D258="Revenue","Revenue",IF(D258="Cost of Goods Sold","COGS",IF(D258="Expenditures","Expense",IF(D258="Other Revenue","Other Revenue",IF(D258="Other Expenditures","Other Expense",E257)))))</f>
        <v>Other Expense</v>
      </c>
      <c r="F258" s="36" t="str">
        <f aca="false">IF(OR(D258="Revenue",D258="Cost of Goods Sold",D258="Expenditures",D258="Other Revenue",D258="Other Expenditures"),E258,IF(AND(LEN(D258)&gt;2,MID(D258,2,1)=" ",ISNUMBER(VALUE(LEFT(D258,1)))),D258,F257))</f>
        <v>Other Expense</v>
      </c>
      <c r="G258" s="36" t="n">
        <f aca="false">IF(AND(D258&lt;&gt;"",ISNUMBER(B258),LEFT(D258,9)&lt;&gt;"Total for",D258&lt;&gt;"Gross Profit",D258&lt;&gt;"Net Operating Revenue",D258&lt;&gt;"Net Other Revenue",D258&lt;&gt;"Net Revenue"),1,0)</f>
        <v>0</v>
      </c>
      <c r="H258" s="36" t="str">
        <f aca="false">IF(G258=1,IF(AND(LEN(D258)&gt;7,ISNUMBER(VALUE(LEFT(D258,6))),MID(D258,7,1)=" "),LEFT(D258,6),D258),"")</f>
        <v/>
      </c>
      <c r="I258" s="36" t="str">
        <f aca="false">IF(G258=1,IF(COUNTIF('Forecast Detail'!$C$8:$C$400,H258)=0,"UNMAPPED","OK"),"")</f>
        <v/>
      </c>
    </row>
    <row r="259" customFormat="false" ht="15" hidden="false" customHeight="false" outlineLevel="0" collapsed="false">
      <c r="D259" s="36" t="str">
        <f aca="false">TRIM(A259)</f>
        <v/>
      </c>
      <c r="E259" s="36" t="str">
        <f aca="false">IF(D259="Revenue","Revenue",IF(D259="Cost of Goods Sold","COGS",IF(D259="Expenditures","Expense",IF(D259="Other Revenue","Other Revenue",IF(D259="Other Expenditures","Other Expense",E258)))))</f>
        <v>Other Expense</v>
      </c>
      <c r="F259" s="36" t="str">
        <f aca="false">IF(OR(D259="Revenue",D259="Cost of Goods Sold",D259="Expenditures",D259="Other Revenue",D259="Other Expenditures"),E259,IF(AND(LEN(D259)&gt;2,MID(D259,2,1)=" ",ISNUMBER(VALUE(LEFT(D259,1)))),D259,F258))</f>
        <v>Other Expense</v>
      </c>
      <c r="G259" s="36" t="n">
        <f aca="false">IF(AND(D259&lt;&gt;"",ISNUMBER(B259),LEFT(D259,9)&lt;&gt;"Total for",D259&lt;&gt;"Gross Profit",D259&lt;&gt;"Net Operating Revenue",D259&lt;&gt;"Net Other Revenue",D259&lt;&gt;"Net Revenue"),1,0)</f>
        <v>0</v>
      </c>
      <c r="H259" s="36" t="str">
        <f aca="false">IF(G259=1,IF(AND(LEN(D259)&gt;7,ISNUMBER(VALUE(LEFT(D259,6))),MID(D259,7,1)=" "),LEFT(D259,6),D259),"")</f>
        <v/>
      </c>
      <c r="I259" s="36" t="str">
        <f aca="false">IF(G259=1,IF(COUNTIF('Forecast Detail'!$C$8:$C$400,H259)=0,"UNMAPPED","OK"),"")</f>
        <v/>
      </c>
    </row>
    <row r="260" customFormat="false" ht="15" hidden="false" customHeight="false" outlineLevel="0" collapsed="false">
      <c r="D260" s="36" t="str">
        <f aca="false">TRIM(A260)</f>
        <v/>
      </c>
      <c r="E260" s="36" t="str">
        <f aca="false">IF(D260="Revenue","Revenue",IF(D260="Cost of Goods Sold","COGS",IF(D260="Expenditures","Expense",IF(D260="Other Revenue","Other Revenue",IF(D260="Other Expenditures","Other Expense",E259)))))</f>
        <v>Other Expense</v>
      </c>
      <c r="F260" s="36" t="str">
        <f aca="false">IF(OR(D260="Revenue",D260="Cost of Goods Sold",D260="Expenditures",D260="Other Revenue",D260="Other Expenditures"),E260,IF(AND(LEN(D260)&gt;2,MID(D260,2,1)=" ",ISNUMBER(VALUE(LEFT(D260,1)))),D260,F259))</f>
        <v>Other Expense</v>
      </c>
      <c r="G260" s="36" t="n">
        <f aca="false">IF(AND(D260&lt;&gt;"",ISNUMBER(B260),LEFT(D260,9)&lt;&gt;"Total for",D260&lt;&gt;"Gross Profit",D260&lt;&gt;"Net Operating Revenue",D260&lt;&gt;"Net Other Revenue",D260&lt;&gt;"Net Revenue"),1,0)</f>
        <v>0</v>
      </c>
      <c r="H260" s="36" t="str">
        <f aca="false">IF(G260=1,IF(AND(LEN(D260)&gt;7,ISNUMBER(VALUE(LEFT(D260,6))),MID(D260,7,1)=" "),LEFT(D260,6),D260),"")</f>
        <v/>
      </c>
      <c r="I260" s="36" t="str">
        <f aca="false">IF(G260=1,IF(COUNTIF('Forecast Detail'!$C$8:$C$400,H260)=0,"UNMAPPED","OK"),"")</f>
        <v/>
      </c>
    </row>
    <row r="261" customFormat="false" ht="15" hidden="false" customHeight="false" outlineLevel="0" collapsed="false">
      <c r="D261" s="36" t="str">
        <f aca="false">TRIM(A261)</f>
        <v/>
      </c>
      <c r="E261" s="36" t="str">
        <f aca="false">IF(D261="Revenue","Revenue",IF(D261="Cost of Goods Sold","COGS",IF(D261="Expenditures","Expense",IF(D261="Other Revenue","Other Revenue",IF(D261="Other Expenditures","Other Expense",E260)))))</f>
        <v>Other Expense</v>
      </c>
      <c r="F261" s="36" t="str">
        <f aca="false">IF(OR(D261="Revenue",D261="Cost of Goods Sold",D261="Expenditures",D261="Other Revenue",D261="Other Expenditures"),E261,IF(AND(LEN(D261)&gt;2,MID(D261,2,1)=" ",ISNUMBER(VALUE(LEFT(D261,1)))),D261,F260))</f>
        <v>Other Expense</v>
      </c>
      <c r="G261" s="36" t="n">
        <f aca="false">IF(AND(D261&lt;&gt;"",ISNUMBER(B261),LEFT(D261,9)&lt;&gt;"Total for",D261&lt;&gt;"Gross Profit",D261&lt;&gt;"Net Operating Revenue",D261&lt;&gt;"Net Other Revenue",D261&lt;&gt;"Net Revenue"),1,0)</f>
        <v>0</v>
      </c>
      <c r="H261" s="36" t="str">
        <f aca="false">IF(G261=1,IF(AND(LEN(D261)&gt;7,ISNUMBER(VALUE(LEFT(D261,6))),MID(D261,7,1)=" "),LEFT(D261,6),D261),"")</f>
        <v/>
      </c>
      <c r="I261" s="36" t="str">
        <f aca="false">IF(G261=1,IF(COUNTIF('Forecast Detail'!$C$8:$C$400,H261)=0,"UNMAPPED","OK"),"")</f>
        <v/>
      </c>
    </row>
    <row r="262" customFormat="false" ht="15" hidden="false" customHeight="false" outlineLevel="0" collapsed="false">
      <c r="D262" s="36" t="str">
        <f aca="false">TRIM(A262)</f>
        <v/>
      </c>
      <c r="E262" s="36" t="str">
        <f aca="false">IF(D262="Revenue","Revenue",IF(D262="Cost of Goods Sold","COGS",IF(D262="Expenditures","Expense",IF(D262="Other Revenue","Other Revenue",IF(D262="Other Expenditures","Other Expense",E261)))))</f>
        <v>Other Expense</v>
      </c>
      <c r="F262" s="36" t="str">
        <f aca="false">IF(OR(D262="Revenue",D262="Cost of Goods Sold",D262="Expenditures",D262="Other Revenue",D262="Other Expenditures"),E262,IF(AND(LEN(D262)&gt;2,MID(D262,2,1)=" ",ISNUMBER(VALUE(LEFT(D262,1)))),D262,F261))</f>
        <v>Other Expense</v>
      </c>
      <c r="G262" s="36" t="n">
        <f aca="false">IF(AND(D262&lt;&gt;"",ISNUMBER(B262),LEFT(D262,9)&lt;&gt;"Total for",D262&lt;&gt;"Gross Profit",D262&lt;&gt;"Net Operating Revenue",D262&lt;&gt;"Net Other Revenue",D262&lt;&gt;"Net Revenue"),1,0)</f>
        <v>0</v>
      </c>
      <c r="H262" s="36" t="str">
        <f aca="false">IF(G262=1,IF(AND(LEN(D262)&gt;7,ISNUMBER(VALUE(LEFT(D262,6))),MID(D262,7,1)=" "),LEFT(D262,6),D262),"")</f>
        <v/>
      </c>
      <c r="I262" s="36" t="str">
        <f aca="false">IF(G262=1,IF(COUNTIF('Forecast Detail'!$C$8:$C$400,H262)=0,"UNMAPPED","OK"),"")</f>
        <v/>
      </c>
    </row>
    <row r="263" customFormat="false" ht="15" hidden="false" customHeight="false" outlineLevel="0" collapsed="false">
      <c r="D263" s="36" t="str">
        <f aca="false">TRIM(A263)</f>
        <v/>
      </c>
      <c r="E263" s="36" t="str">
        <f aca="false">IF(D263="Revenue","Revenue",IF(D263="Cost of Goods Sold","COGS",IF(D263="Expenditures","Expense",IF(D263="Other Revenue","Other Revenue",IF(D263="Other Expenditures","Other Expense",E262)))))</f>
        <v>Other Expense</v>
      </c>
      <c r="F263" s="36" t="str">
        <f aca="false">IF(OR(D263="Revenue",D263="Cost of Goods Sold",D263="Expenditures",D263="Other Revenue",D263="Other Expenditures"),E263,IF(AND(LEN(D263)&gt;2,MID(D263,2,1)=" ",ISNUMBER(VALUE(LEFT(D263,1)))),D263,F262))</f>
        <v>Other Expense</v>
      </c>
      <c r="G263" s="36" t="n">
        <f aca="false">IF(AND(D263&lt;&gt;"",ISNUMBER(B263),LEFT(D263,9)&lt;&gt;"Total for",D263&lt;&gt;"Gross Profit",D263&lt;&gt;"Net Operating Revenue",D263&lt;&gt;"Net Other Revenue",D263&lt;&gt;"Net Revenue"),1,0)</f>
        <v>0</v>
      </c>
      <c r="H263" s="36" t="str">
        <f aca="false">IF(G263=1,IF(AND(LEN(D263)&gt;7,ISNUMBER(VALUE(LEFT(D263,6))),MID(D263,7,1)=" "),LEFT(D263,6),D263),"")</f>
        <v/>
      </c>
      <c r="I263" s="36" t="str">
        <f aca="false">IF(G263=1,IF(COUNTIF('Forecast Detail'!$C$8:$C$400,H263)=0,"UNMAPPED","OK"),"")</f>
        <v/>
      </c>
    </row>
    <row r="264" customFormat="false" ht="15" hidden="false" customHeight="false" outlineLevel="0" collapsed="false">
      <c r="D264" s="36" t="str">
        <f aca="false">TRIM(A264)</f>
        <v/>
      </c>
      <c r="E264" s="36" t="str">
        <f aca="false">IF(D264="Revenue","Revenue",IF(D264="Cost of Goods Sold","COGS",IF(D264="Expenditures","Expense",IF(D264="Other Revenue","Other Revenue",IF(D264="Other Expenditures","Other Expense",E263)))))</f>
        <v>Other Expense</v>
      </c>
      <c r="F264" s="36" t="str">
        <f aca="false">IF(OR(D264="Revenue",D264="Cost of Goods Sold",D264="Expenditures",D264="Other Revenue",D264="Other Expenditures"),E264,IF(AND(LEN(D264)&gt;2,MID(D264,2,1)=" ",ISNUMBER(VALUE(LEFT(D264,1)))),D264,F263))</f>
        <v>Other Expense</v>
      </c>
      <c r="G264" s="36" t="n">
        <f aca="false">IF(AND(D264&lt;&gt;"",ISNUMBER(B264),LEFT(D264,9)&lt;&gt;"Total for",D264&lt;&gt;"Gross Profit",D264&lt;&gt;"Net Operating Revenue",D264&lt;&gt;"Net Other Revenue",D264&lt;&gt;"Net Revenue"),1,0)</f>
        <v>0</v>
      </c>
      <c r="H264" s="36" t="str">
        <f aca="false">IF(G264=1,IF(AND(LEN(D264)&gt;7,ISNUMBER(VALUE(LEFT(D264,6))),MID(D264,7,1)=" "),LEFT(D264,6),D264),"")</f>
        <v/>
      </c>
      <c r="I264" s="36" t="str">
        <f aca="false">IF(G264=1,IF(COUNTIF('Forecast Detail'!$C$8:$C$400,H264)=0,"UNMAPPED","OK"),"")</f>
        <v/>
      </c>
    </row>
    <row r="265" customFormat="false" ht="15" hidden="false" customHeight="false" outlineLevel="0" collapsed="false">
      <c r="D265" s="36" t="str">
        <f aca="false">TRIM(A265)</f>
        <v/>
      </c>
      <c r="E265" s="36" t="str">
        <f aca="false">IF(D265="Revenue","Revenue",IF(D265="Cost of Goods Sold","COGS",IF(D265="Expenditures","Expense",IF(D265="Other Revenue","Other Revenue",IF(D265="Other Expenditures","Other Expense",E264)))))</f>
        <v>Other Expense</v>
      </c>
      <c r="F265" s="36" t="str">
        <f aca="false">IF(OR(D265="Revenue",D265="Cost of Goods Sold",D265="Expenditures",D265="Other Revenue",D265="Other Expenditures"),E265,IF(AND(LEN(D265)&gt;2,MID(D265,2,1)=" ",ISNUMBER(VALUE(LEFT(D265,1)))),D265,F264))</f>
        <v>Other Expense</v>
      </c>
      <c r="G265" s="36" t="n">
        <f aca="false">IF(AND(D265&lt;&gt;"",ISNUMBER(B265),LEFT(D265,9)&lt;&gt;"Total for",D265&lt;&gt;"Gross Profit",D265&lt;&gt;"Net Operating Revenue",D265&lt;&gt;"Net Other Revenue",D265&lt;&gt;"Net Revenue"),1,0)</f>
        <v>0</v>
      </c>
      <c r="H265" s="36" t="str">
        <f aca="false">IF(G265=1,IF(AND(LEN(D265)&gt;7,ISNUMBER(VALUE(LEFT(D265,6))),MID(D265,7,1)=" "),LEFT(D265,6),D265),"")</f>
        <v/>
      </c>
      <c r="I265" s="36" t="str">
        <f aca="false">IF(G265=1,IF(COUNTIF('Forecast Detail'!$C$8:$C$400,H265)=0,"UNMAPPED","OK"),"")</f>
        <v/>
      </c>
    </row>
    <row r="266" customFormat="false" ht="15" hidden="false" customHeight="false" outlineLevel="0" collapsed="false">
      <c r="D266" s="36" t="str">
        <f aca="false">TRIM(A266)</f>
        <v/>
      </c>
      <c r="E266" s="36" t="str">
        <f aca="false">IF(D266="Revenue","Revenue",IF(D266="Cost of Goods Sold","COGS",IF(D266="Expenditures","Expense",IF(D266="Other Revenue","Other Revenue",IF(D266="Other Expenditures","Other Expense",E265)))))</f>
        <v>Other Expense</v>
      </c>
      <c r="F266" s="36" t="str">
        <f aca="false">IF(OR(D266="Revenue",D266="Cost of Goods Sold",D266="Expenditures",D266="Other Revenue",D266="Other Expenditures"),E266,IF(AND(LEN(D266)&gt;2,MID(D266,2,1)=" ",ISNUMBER(VALUE(LEFT(D266,1)))),D266,F265))</f>
        <v>Other Expense</v>
      </c>
      <c r="G266" s="36" t="n">
        <f aca="false">IF(AND(D266&lt;&gt;"",ISNUMBER(B266),LEFT(D266,9)&lt;&gt;"Total for",D266&lt;&gt;"Gross Profit",D266&lt;&gt;"Net Operating Revenue",D266&lt;&gt;"Net Other Revenue",D266&lt;&gt;"Net Revenue"),1,0)</f>
        <v>0</v>
      </c>
      <c r="H266" s="36" t="str">
        <f aca="false">IF(G266=1,IF(AND(LEN(D266)&gt;7,ISNUMBER(VALUE(LEFT(D266,6))),MID(D266,7,1)=" "),LEFT(D266,6),D266),"")</f>
        <v/>
      </c>
      <c r="I266" s="36" t="str">
        <f aca="false">IF(G266=1,IF(COUNTIF('Forecast Detail'!$C$8:$C$400,H266)=0,"UNMAPPED","OK"),"")</f>
        <v/>
      </c>
    </row>
    <row r="267" customFormat="false" ht="15" hidden="false" customHeight="false" outlineLevel="0" collapsed="false">
      <c r="D267" s="36" t="str">
        <f aca="false">TRIM(A267)</f>
        <v/>
      </c>
      <c r="E267" s="36" t="str">
        <f aca="false">IF(D267="Revenue","Revenue",IF(D267="Cost of Goods Sold","COGS",IF(D267="Expenditures","Expense",IF(D267="Other Revenue","Other Revenue",IF(D267="Other Expenditures","Other Expense",E266)))))</f>
        <v>Other Expense</v>
      </c>
      <c r="F267" s="36" t="str">
        <f aca="false">IF(OR(D267="Revenue",D267="Cost of Goods Sold",D267="Expenditures",D267="Other Revenue",D267="Other Expenditures"),E267,IF(AND(LEN(D267)&gt;2,MID(D267,2,1)=" ",ISNUMBER(VALUE(LEFT(D267,1)))),D267,F266))</f>
        <v>Other Expense</v>
      </c>
      <c r="G267" s="36" t="n">
        <f aca="false">IF(AND(D267&lt;&gt;"",ISNUMBER(B267),LEFT(D267,9)&lt;&gt;"Total for",D267&lt;&gt;"Gross Profit",D267&lt;&gt;"Net Operating Revenue",D267&lt;&gt;"Net Other Revenue",D267&lt;&gt;"Net Revenue"),1,0)</f>
        <v>0</v>
      </c>
      <c r="H267" s="36" t="str">
        <f aca="false">IF(G267=1,IF(AND(LEN(D267)&gt;7,ISNUMBER(VALUE(LEFT(D267,6))),MID(D267,7,1)=" "),LEFT(D267,6),D267),"")</f>
        <v/>
      </c>
      <c r="I267" s="36" t="str">
        <f aca="false">IF(G267=1,IF(COUNTIF('Forecast Detail'!$C$8:$C$400,H267)=0,"UNMAPPED","OK"),"")</f>
        <v/>
      </c>
    </row>
    <row r="268" customFormat="false" ht="15" hidden="false" customHeight="false" outlineLevel="0" collapsed="false">
      <c r="D268" s="36" t="str">
        <f aca="false">TRIM(A268)</f>
        <v/>
      </c>
      <c r="E268" s="36" t="str">
        <f aca="false">IF(D268="Revenue","Revenue",IF(D268="Cost of Goods Sold","COGS",IF(D268="Expenditures","Expense",IF(D268="Other Revenue","Other Revenue",IF(D268="Other Expenditures","Other Expense",E267)))))</f>
        <v>Other Expense</v>
      </c>
      <c r="F268" s="36" t="str">
        <f aca="false">IF(OR(D268="Revenue",D268="Cost of Goods Sold",D268="Expenditures",D268="Other Revenue",D268="Other Expenditures"),E268,IF(AND(LEN(D268)&gt;2,MID(D268,2,1)=" ",ISNUMBER(VALUE(LEFT(D268,1)))),D268,F267))</f>
        <v>Other Expense</v>
      </c>
      <c r="G268" s="36" t="n">
        <f aca="false">IF(AND(D268&lt;&gt;"",ISNUMBER(B268),LEFT(D268,9)&lt;&gt;"Total for",D268&lt;&gt;"Gross Profit",D268&lt;&gt;"Net Operating Revenue",D268&lt;&gt;"Net Other Revenue",D268&lt;&gt;"Net Revenue"),1,0)</f>
        <v>0</v>
      </c>
      <c r="H268" s="36" t="str">
        <f aca="false">IF(G268=1,IF(AND(LEN(D268)&gt;7,ISNUMBER(VALUE(LEFT(D268,6))),MID(D268,7,1)=" "),LEFT(D268,6),D268),"")</f>
        <v/>
      </c>
      <c r="I268" s="36" t="str">
        <f aca="false">IF(G268=1,IF(COUNTIF('Forecast Detail'!$C$8:$C$400,H268)=0,"UNMAPPED","OK"),"")</f>
        <v/>
      </c>
    </row>
    <row r="269" customFormat="false" ht="15" hidden="false" customHeight="false" outlineLevel="0" collapsed="false">
      <c r="D269" s="36" t="str">
        <f aca="false">TRIM(A269)</f>
        <v/>
      </c>
      <c r="E269" s="36" t="str">
        <f aca="false">IF(D269="Revenue","Revenue",IF(D269="Cost of Goods Sold","COGS",IF(D269="Expenditures","Expense",IF(D269="Other Revenue","Other Revenue",IF(D269="Other Expenditures","Other Expense",E268)))))</f>
        <v>Other Expense</v>
      </c>
      <c r="F269" s="36" t="str">
        <f aca="false">IF(OR(D269="Revenue",D269="Cost of Goods Sold",D269="Expenditures",D269="Other Revenue",D269="Other Expenditures"),E269,IF(AND(LEN(D269)&gt;2,MID(D269,2,1)=" ",ISNUMBER(VALUE(LEFT(D269,1)))),D269,F268))</f>
        <v>Other Expense</v>
      </c>
      <c r="G269" s="36" t="n">
        <f aca="false">IF(AND(D269&lt;&gt;"",ISNUMBER(B269),LEFT(D269,9)&lt;&gt;"Total for",D269&lt;&gt;"Gross Profit",D269&lt;&gt;"Net Operating Revenue",D269&lt;&gt;"Net Other Revenue",D269&lt;&gt;"Net Revenue"),1,0)</f>
        <v>0</v>
      </c>
      <c r="H269" s="36" t="str">
        <f aca="false">IF(G269=1,IF(AND(LEN(D269)&gt;7,ISNUMBER(VALUE(LEFT(D269,6))),MID(D269,7,1)=" "),LEFT(D269,6),D269),"")</f>
        <v/>
      </c>
      <c r="I269" s="36" t="str">
        <f aca="false">IF(G269=1,IF(COUNTIF('Forecast Detail'!$C$8:$C$400,H269)=0,"UNMAPPED","OK"),"")</f>
        <v/>
      </c>
    </row>
    <row r="270" customFormat="false" ht="15" hidden="false" customHeight="false" outlineLevel="0" collapsed="false">
      <c r="D270" s="36" t="str">
        <f aca="false">TRIM(A270)</f>
        <v/>
      </c>
      <c r="E270" s="36" t="str">
        <f aca="false">IF(D270="Revenue","Revenue",IF(D270="Cost of Goods Sold","COGS",IF(D270="Expenditures","Expense",IF(D270="Other Revenue","Other Revenue",IF(D270="Other Expenditures","Other Expense",E269)))))</f>
        <v>Other Expense</v>
      </c>
      <c r="F270" s="36" t="str">
        <f aca="false">IF(OR(D270="Revenue",D270="Cost of Goods Sold",D270="Expenditures",D270="Other Revenue",D270="Other Expenditures"),E270,IF(AND(LEN(D270)&gt;2,MID(D270,2,1)=" ",ISNUMBER(VALUE(LEFT(D270,1)))),D270,F269))</f>
        <v>Other Expense</v>
      </c>
      <c r="G270" s="36" t="n">
        <f aca="false">IF(AND(D270&lt;&gt;"",ISNUMBER(B270),LEFT(D270,9)&lt;&gt;"Total for",D270&lt;&gt;"Gross Profit",D270&lt;&gt;"Net Operating Revenue",D270&lt;&gt;"Net Other Revenue",D270&lt;&gt;"Net Revenue"),1,0)</f>
        <v>0</v>
      </c>
      <c r="H270" s="36" t="str">
        <f aca="false">IF(G270=1,IF(AND(LEN(D270)&gt;7,ISNUMBER(VALUE(LEFT(D270,6))),MID(D270,7,1)=" "),LEFT(D270,6),D270),"")</f>
        <v/>
      </c>
      <c r="I270" s="36" t="str">
        <f aca="false">IF(G270=1,IF(COUNTIF('Forecast Detail'!$C$8:$C$400,H270)=0,"UNMAPPED","OK"),"")</f>
        <v/>
      </c>
    </row>
    <row r="271" customFormat="false" ht="15" hidden="false" customHeight="false" outlineLevel="0" collapsed="false">
      <c r="D271" s="36" t="str">
        <f aca="false">TRIM(A271)</f>
        <v/>
      </c>
      <c r="E271" s="36" t="str">
        <f aca="false">IF(D271="Revenue","Revenue",IF(D271="Cost of Goods Sold","COGS",IF(D271="Expenditures","Expense",IF(D271="Other Revenue","Other Revenue",IF(D271="Other Expenditures","Other Expense",E270)))))</f>
        <v>Other Expense</v>
      </c>
      <c r="F271" s="36" t="str">
        <f aca="false">IF(OR(D271="Revenue",D271="Cost of Goods Sold",D271="Expenditures",D271="Other Revenue",D271="Other Expenditures"),E271,IF(AND(LEN(D271)&gt;2,MID(D271,2,1)=" ",ISNUMBER(VALUE(LEFT(D271,1)))),D271,F270))</f>
        <v>Other Expense</v>
      </c>
      <c r="G271" s="36" t="n">
        <f aca="false">IF(AND(D271&lt;&gt;"",ISNUMBER(B271),LEFT(D271,9)&lt;&gt;"Total for",D271&lt;&gt;"Gross Profit",D271&lt;&gt;"Net Operating Revenue",D271&lt;&gt;"Net Other Revenue",D271&lt;&gt;"Net Revenue"),1,0)</f>
        <v>0</v>
      </c>
      <c r="H271" s="36" t="str">
        <f aca="false">IF(G271=1,IF(AND(LEN(D271)&gt;7,ISNUMBER(VALUE(LEFT(D271,6))),MID(D271,7,1)=" "),LEFT(D271,6),D271),"")</f>
        <v/>
      </c>
      <c r="I271" s="36" t="str">
        <f aca="false">IF(G271=1,IF(COUNTIF('Forecast Detail'!$C$8:$C$400,H271)=0,"UNMAPPED","OK"),"")</f>
        <v/>
      </c>
    </row>
    <row r="272" customFormat="false" ht="15" hidden="false" customHeight="false" outlineLevel="0" collapsed="false">
      <c r="D272" s="36" t="str">
        <f aca="false">TRIM(A272)</f>
        <v/>
      </c>
      <c r="E272" s="36" t="str">
        <f aca="false">IF(D272="Revenue","Revenue",IF(D272="Cost of Goods Sold","COGS",IF(D272="Expenditures","Expense",IF(D272="Other Revenue","Other Revenue",IF(D272="Other Expenditures","Other Expense",E271)))))</f>
        <v>Other Expense</v>
      </c>
      <c r="F272" s="36" t="str">
        <f aca="false">IF(OR(D272="Revenue",D272="Cost of Goods Sold",D272="Expenditures",D272="Other Revenue",D272="Other Expenditures"),E272,IF(AND(LEN(D272)&gt;2,MID(D272,2,1)=" ",ISNUMBER(VALUE(LEFT(D272,1)))),D272,F271))</f>
        <v>Other Expense</v>
      </c>
      <c r="G272" s="36" t="n">
        <f aca="false">IF(AND(D272&lt;&gt;"",ISNUMBER(B272),LEFT(D272,9)&lt;&gt;"Total for",D272&lt;&gt;"Gross Profit",D272&lt;&gt;"Net Operating Revenue",D272&lt;&gt;"Net Other Revenue",D272&lt;&gt;"Net Revenue"),1,0)</f>
        <v>0</v>
      </c>
      <c r="H272" s="36" t="str">
        <f aca="false">IF(G272=1,IF(AND(LEN(D272)&gt;7,ISNUMBER(VALUE(LEFT(D272,6))),MID(D272,7,1)=" "),LEFT(D272,6),D272),"")</f>
        <v/>
      </c>
      <c r="I272" s="36" t="str">
        <f aca="false">IF(G272=1,IF(COUNTIF('Forecast Detail'!$C$8:$C$400,H272)=0,"UNMAPPED","OK"),"")</f>
        <v/>
      </c>
    </row>
    <row r="273" customFormat="false" ht="15" hidden="false" customHeight="false" outlineLevel="0" collapsed="false">
      <c r="D273" s="36" t="str">
        <f aca="false">TRIM(A273)</f>
        <v/>
      </c>
      <c r="E273" s="36" t="str">
        <f aca="false">IF(D273="Revenue","Revenue",IF(D273="Cost of Goods Sold","COGS",IF(D273="Expenditures","Expense",IF(D273="Other Revenue","Other Revenue",IF(D273="Other Expenditures","Other Expense",E272)))))</f>
        <v>Other Expense</v>
      </c>
      <c r="F273" s="36" t="str">
        <f aca="false">IF(OR(D273="Revenue",D273="Cost of Goods Sold",D273="Expenditures",D273="Other Revenue",D273="Other Expenditures"),E273,IF(AND(LEN(D273)&gt;2,MID(D273,2,1)=" ",ISNUMBER(VALUE(LEFT(D273,1)))),D273,F272))</f>
        <v>Other Expense</v>
      </c>
      <c r="G273" s="36" t="n">
        <f aca="false">IF(AND(D273&lt;&gt;"",ISNUMBER(B273),LEFT(D273,9)&lt;&gt;"Total for",D273&lt;&gt;"Gross Profit",D273&lt;&gt;"Net Operating Revenue",D273&lt;&gt;"Net Other Revenue",D273&lt;&gt;"Net Revenue"),1,0)</f>
        <v>0</v>
      </c>
      <c r="H273" s="36" t="str">
        <f aca="false">IF(G273=1,IF(AND(LEN(D273)&gt;7,ISNUMBER(VALUE(LEFT(D273,6))),MID(D273,7,1)=" "),LEFT(D273,6),D273),"")</f>
        <v/>
      </c>
      <c r="I273" s="36" t="str">
        <f aca="false">IF(G273=1,IF(COUNTIF('Forecast Detail'!$C$8:$C$400,H273)=0,"UNMAPPED","OK"),"")</f>
        <v/>
      </c>
    </row>
    <row r="274" customFormat="false" ht="15" hidden="false" customHeight="false" outlineLevel="0" collapsed="false">
      <c r="D274" s="36" t="str">
        <f aca="false">TRIM(A274)</f>
        <v/>
      </c>
      <c r="E274" s="36" t="str">
        <f aca="false">IF(D274="Revenue","Revenue",IF(D274="Cost of Goods Sold","COGS",IF(D274="Expenditures","Expense",IF(D274="Other Revenue","Other Revenue",IF(D274="Other Expenditures","Other Expense",E273)))))</f>
        <v>Other Expense</v>
      </c>
      <c r="F274" s="36" t="str">
        <f aca="false">IF(OR(D274="Revenue",D274="Cost of Goods Sold",D274="Expenditures",D274="Other Revenue",D274="Other Expenditures"),E274,IF(AND(LEN(D274)&gt;2,MID(D274,2,1)=" ",ISNUMBER(VALUE(LEFT(D274,1)))),D274,F273))</f>
        <v>Other Expense</v>
      </c>
      <c r="G274" s="36" t="n">
        <f aca="false">IF(AND(D274&lt;&gt;"",ISNUMBER(B274),LEFT(D274,9)&lt;&gt;"Total for",D274&lt;&gt;"Gross Profit",D274&lt;&gt;"Net Operating Revenue",D274&lt;&gt;"Net Other Revenue",D274&lt;&gt;"Net Revenue"),1,0)</f>
        <v>0</v>
      </c>
      <c r="H274" s="36" t="str">
        <f aca="false">IF(G274=1,IF(AND(LEN(D274)&gt;7,ISNUMBER(VALUE(LEFT(D274,6))),MID(D274,7,1)=" "),LEFT(D274,6),D274),"")</f>
        <v/>
      </c>
      <c r="I274" s="36" t="str">
        <f aca="false">IF(G274=1,IF(COUNTIF('Forecast Detail'!$C$8:$C$400,H274)=0,"UNMAPPED","OK"),"")</f>
        <v/>
      </c>
    </row>
    <row r="275" customFormat="false" ht="15" hidden="false" customHeight="false" outlineLevel="0" collapsed="false">
      <c r="D275" s="36" t="str">
        <f aca="false">TRIM(A275)</f>
        <v/>
      </c>
      <c r="E275" s="36" t="str">
        <f aca="false">IF(D275="Revenue","Revenue",IF(D275="Cost of Goods Sold","COGS",IF(D275="Expenditures","Expense",IF(D275="Other Revenue","Other Revenue",IF(D275="Other Expenditures","Other Expense",E274)))))</f>
        <v>Other Expense</v>
      </c>
      <c r="F275" s="36" t="str">
        <f aca="false">IF(OR(D275="Revenue",D275="Cost of Goods Sold",D275="Expenditures",D275="Other Revenue",D275="Other Expenditures"),E275,IF(AND(LEN(D275)&gt;2,MID(D275,2,1)=" ",ISNUMBER(VALUE(LEFT(D275,1)))),D275,F274))</f>
        <v>Other Expense</v>
      </c>
      <c r="G275" s="36" t="n">
        <f aca="false">IF(AND(D275&lt;&gt;"",ISNUMBER(B275),LEFT(D275,9)&lt;&gt;"Total for",D275&lt;&gt;"Gross Profit",D275&lt;&gt;"Net Operating Revenue",D275&lt;&gt;"Net Other Revenue",D275&lt;&gt;"Net Revenue"),1,0)</f>
        <v>0</v>
      </c>
      <c r="H275" s="36" t="str">
        <f aca="false">IF(G275=1,IF(AND(LEN(D275)&gt;7,ISNUMBER(VALUE(LEFT(D275,6))),MID(D275,7,1)=" "),LEFT(D275,6),D275),"")</f>
        <v/>
      </c>
      <c r="I275" s="36" t="str">
        <f aca="false">IF(G275=1,IF(COUNTIF('Forecast Detail'!$C$8:$C$400,H275)=0,"UNMAPPED","OK"),"")</f>
        <v/>
      </c>
    </row>
    <row r="276" customFormat="false" ht="15" hidden="false" customHeight="false" outlineLevel="0" collapsed="false">
      <c r="D276" s="36" t="str">
        <f aca="false">TRIM(A276)</f>
        <v/>
      </c>
      <c r="E276" s="36" t="str">
        <f aca="false">IF(D276="Revenue","Revenue",IF(D276="Cost of Goods Sold","COGS",IF(D276="Expenditures","Expense",IF(D276="Other Revenue","Other Revenue",IF(D276="Other Expenditures","Other Expense",E275)))))</f>
        <v>Other Expense</v>
      </c>
      <c r="F276" s="36" t="str">
        <f aca="false">IF(OR(D276="Revenue",D276="Cost of Goods Sold",D276="Expenditures",D276="Other Revenue",D276="Other Expenditures"),E276,IF(AND(LEN(D276)&gt;2,MID(D276,2,1)=" ",ISNUMBER(VALUE(LEFT(D276,1)))),D276,F275))</f>
        <v>Other Expense</v>
      </c>
      <c r="G276" s="36" t="n">
        <f aca="false">IF(AND(D276&lt;&gt;"",ISNUMBER(B276),LEFT(D276,9)&lt;&gt;"Total for",D276&lt;&gt;"Gross Profit",D276&lt;&gt;"Net Operating Revenue",D276&lt;&gt;"Net Other Revenue",D276&lt;&gt;"Net Revenue"),1,0)</f>
        <v>0</v>
      </c>
      <c r="H276" s="36" t="str">
        <f aca="false">IF(G276=1,IF(AND(LEN(D276)&gt;7,ISNUMBER(VALUE(LEFT(D276,6))),MID(D276,7,1)=" "),LEFT(D276,6),D276),"")</f>
        <v/>
      </c>
      <c r="I276" s="36" t="str">
        <f aca="false">IF(G276=1,IF(COUNTIF('Forecast Detail'!$C$8:$C$400,H276)=0,"UNMAPPED","OK"),"")</f>
        <v/>
      </c>
    </row>
    <row r="277" customFormat="false" ht="15" hidden="false" customHeight="false" outlineLevel="0" collapsed="false">
      <c r="D277" s="36" t="str">
        <f aca="false">TRIM(A277)</f>
        <v/>
      </c>
      <c r="E277" s="36" t="str">
        <f aca="false">IF(D277="Revenue","Revenue",IF(D277="Cost of Goods Sold","COGS",IF(D277="Expenditures","Expense",IF(D277="Other Revenue","Other Revenue",IF(D277="Other Expenditures","Other Expense",E276)))))</f>
        <v>Other Expense</v>
      </c>
      <c r="F277" s="36" t="str">
        <f aca="false">IF(OR(D277="Revenue",D277="Cost of Goods Sold",D277="Expenditures",D277="Other Revenue",D277="Other Expenditures"),E277,IF(AND(LEN(D277)&gt;2,MID(D277,2,1)=" ",ISNUMBER(VALUE(LEFT(D277,1)))),D277,F276))</f>
        <v>Other Expense</v>
      </c>
      <c r="G277" s="36" t="n">
        <f aca="false">IF(AND(D277&lt;&gt;"",ISNUMBER(B277),LEFT(D277,9)&lt;&gt;"Total for",D277&lt;&gt;"Gross Profit",D277&lt;&gt;"Net Operating Revenue",D277&lt;&gt;"Net Other Revenue",D277&lt;&gt;"Net Revenue"),1,0)</f>
        <v>0</v>
      </c>
      <c r="H277" s="36" t="str">
        <f aca="false">IF(G277=1,IF(AND(LEN(D277)&gt;7,ISNUMBER(VALUE(LEFT(D277,6))),MID(D277,7,1)=" "),LEFT(D277,6),D277),"")</f>
        <v/>
      </c>
      <c r="I277" s="36" t="str">
        <f aca="false">IF(G277=1,IF(COUNTIF('Forecast Detail'!$C$8:$C$400,H277)=0,"UNMAPPED","OK"),"")</f>
        <v/>
      </c>
    </row>
    <row r="278" customFormat="false" ht="15" hidden="false" customHeight="false" outlineLevel="0" collapsed="false">
      <c r="D278" s="36" t="str">
        <f aca="false">TRIM(A278)</f>
        <v/>
      </c>
      <c r="E278" s="36" t="str">
        <f aca="false">IF(D278="Revenue","Revenue",IF(D278="Cost of Goods Sold","COGS",IF(D278="Expenditures","Expense",IF(D278="Other Revenue","Other Revenue",IF(D278="Other Expenditures","Other Expense",E277)))))</f>
        <v>Other Expense</v>
      </c>
      <c r="F278" s="36" t="str">
        <f aca="false">IF(OR(D278="Revenue",D278="Cost of Goods Sold",D278="Expenditures",D278="Other Revenue",D278="Other Expenditures"),E278,IF(AND(LEN(D278)&gt;2,MID(D278,2,1)=" ",ISNUMBER(VALUE(LEFT(D278,1)))),D278,F277))</f>
        <v>Other Expense</v>
      </c>
      <c r="G278" s="36" t="n">
        <f aca="false">IF(AND(D278&lt;&gt;"",ISNUMBER(B278),LEFT(D278,9)&lt;&gt;"Total for",D278&lt;&gt;"Gross Profit",D278&lt;&gt;"Net Operating Revenue",D278&lt;&gt;"Net Other Revenue",D278&lt;&gt;"Net Revenue"),1,0)</f>
        <v>0</v>
      </c>
      <c r="H278" s="36" t="str">
        <f aca="false">IF(G278=1,IF(AND(LEN(D278)&gt;7,ISNUMBER(VALUE(LEFT(D278,6))),MID(D278,7,1)=" "),LEFT(D278,6),D278),"")</f>
        <v/>
      </c>
      <c r="I278" s="36" t="str">
        <f aca="false">IF(G278=1,IF(COUNTIF('Forecast Detail'!$C$8:$C$400,H278)=0,"UNMAPPED","OK"),"")</f>
        <v/>
      </c>
    </row>
    <row r="279" customFormat="false" ht="15" hidden="false" customHeight="false" outlineLevel="0" collapsed="false">
      <c r="D279" s="36" t="str">
        <f aca="false">TRIM(A279)</f>
        <v/>
      </c>
      <c r="E279" s="36" t="str">
        <f aca="false">IF(D279="Revenue","Revenue",IF(D279="Cost of Goods Sold","COGS",IF(D279="Expenditures","Expense",IF(D279="Other Revenue","Other Revenue",IF(D279="Other Expenditures","Other Expense",E278)))))</f>
        <v>Other Expense</v>
      </c>
      <c r="F279" s="36" t="str">
        <f aca="false">IF(OR(D279="Revenue",D279="Cost of Goods Sold",D279="Expenditures",D279="Other Revenue",D279="Other Expenditures"),E279,IF(AND(LEN(D279)&gt;2,MID(D279,2,1)=" ",ISNUMBER(VALUE(LEFT(D279,1)))),D279,F278))</f>
        <v>Other Expense</v>
      </c>
      <c r="G279" s="36" t="n">
        <f aca="false">IF(AND(D279&lt;&gt;"",ISNUMBER(B279),LEFT(D279,9)&lt;&gt;"Total for",D279&lt;&gt;"Gross Profit",D279&lt;&gt;"Net Operating Revenue",D279&lt;&gt;"Net Other Revenue",D279&lt;&gt;"Net Revenue"),1,0)</f>
        <v>0</v>
      </c>
      <c r="H279" s="36" t="str">
        <f aca="false">IF(G279=1,IF(AND(LEN(D279)&gt;7,ISNUMBER(VALUE(LEFT(D279,6))),MID(D279,7,1)=" "),LEFT(D279,6),D279),"")</f>
        <v/>
      </c>
      <c r="I279" s="36" t="str">
        <f aca="false">IF(G279=1,IF(COUNTIF('Forecast Detail'!$C$8:$C$400,H279)=0,"UNMAPPED","OK"),"")</f>
        <v/>
      </c>
    </row>
    <row r="280" customFormat="false" ht="15" hidden="false" customHeight="false" outlineLevel="0" collapsed="false">
      <c r="D280" s="36" t="str">
        <f aca="false">TRIM(A280)</f>
        <v/>
      </c>
      <c r="E280" s="36" t="str">
        <f aca="false">IF(D280="Revenue","Revenue",IF(D280="Cost of Goods Sold","COGS",IF(D280="Expenditures","Expense",IF(D280="Other Revenue","Other Revenue",IF(D280="Other Expenditures","Other Expense",E279)))))</f>
        <v>Other Expense</v>
      </c>
      <c r="F280" s="36" t="str">
        <f aca="false">IF(OR(D280="Revenue",D280="Cost of Goods Sold",D280="Expenditures",D280="Other Revenue",D280="Other Expenditures"),E280,IF(AND(LEN(D280)&gt;2,MID(D280,2,1)=" ",ISNUMBER(VALUE(LEFT(D280,1)))),D280,F279))</f>
        <v>Other Expense</v>
      </c>
      <c r="G280" s="36" t="n">
        <f aca="false">IF(AND(D280&lt;&gt;"",ISNUMBER(B280),LEFT(D280,9)&lt;&gt;"Total for",D280&lt;&gt;"Gross Profit",D280&lt;&gt;"Net Operating Revenue",D280&lt;&gt;"Net Other Revenue",D280&lt;&gt;"Net Revenue"),1,0)</f>
        <v>0</v>
      </c>
      <c r="H280" s="36" t="str">
        <f aca="false">IF(G280=1,IF(AND(LEN(D280)&gt;7,ISNUMBER(VALUE(LEFT(D280,6))),MID(D280,7,1)=" "),LEFT(D280,6),D280),"")</f>
        <v/>
      </c>
      <c r="I280" s="36" t="str">
        <f aca="false">IF(G280=1,IF(COUNTIF('Forecast Detail'!$C$8:$C$400,H280)=0,"UNMAPPED","OK"),"")</f>
        <v/>
      </c>
    </row>
    <row r="281" customFormat="false" ht="15" hidden="false" customHeight="false" outlineLevel="0" collapsed="false">
      <c r="D281" s="36" t="str">
        <f aca="false">TRIM(A281)</f>
        <v/>
      </c>
      <c r="E281" s="36" t="str">
        <f aca="false">IF(D281="Revenue","Revenue",IF(D281="Cost of Goods Sold","COGS",IF(D281="Expenditures","Expense",IF(D281="Other Revenue","Other Revenue",IF(D281="Other Expenditures","Other Expense",E280)))))</f>
        <v>Other Expense</v>
      </c>
      <c r="F281" s="36" t="str">
        <f aca="false">IF(OR(D281="Revenue",D281="Cost of Goods Sold",D281="Expenditures",D281="Other Revenue",D281="Other Expenditures"),E281,IF(AND(LEN(D281)&gt;2,MID(D281,2,1)=" ",ISNUMBER(VALUE(LEFT(D281,1)))),D281,F280))</f>
        <v>Other Expense</v>
      </c>
      <c r="G281" s="36" t="n">
        <f aca="false">IF(AND(D281&lt;&gt;"",ISNUMBER(B281),LEFT(D281,9)&lt;&gt;"Total for",D281&lt;&gt;"Gross Profit",D281&lt;&gt;"Net Operating Revenue",D281&lt;&gt;"Net Other Revenue",D281&lt;&gt;"Net Revenue"),1,0)</f>
        <v>0</v>
      </c>
      <c r="H281" s="36" t="str">
        <f aca="false">IF(G281=1,IF(AND(LEN(D281)&gt;7,ISNUMBER(VALUE(LEFT(D281,6))),MID(D281,7,1)=" "),LEFT(D281,6),D281),"")</f>
        <v/>
      </c>
      <c r="I281" s="36" t="str">
        <f aca="false">IF(G281=1,IF(COUNTIF('Forecast Detail'!$C$8:$C$400,H281)=0,"UNMAPPED","OK"),"")</f>
        <v/>
      </c>
    </row>
    <row r="282" customFormat="false" ht="15" hidden="false" customHeight="false" outlineLevel="0" collapsed="false">
      <c r="D282" s="36" t="str">
        <f aca="false">TRIM(A282)</f>
        <v/>
      </c>
      <c r="E282" s="36" t="str">
        <f aca="false">IF(D282="Revenue","Revenue",IF(D282="Cost of Goods Sold","COGS",IF(D282="Expenditures","Expense",IF(D282="Other Revenue","Other Revenue",IF(D282="Other Expenditures","Other Expense",E281)))))</f>
        <v>Other Expense</v>
      </c>
      <c r="F282" s="36" t="str">
        <f aca="false">IF(OR(D282="Revenue",D282="Cost of Goods Sold",D282="Expenditures",D282="Other Revenue",D282="Other Expenditures"),E282,IF(AND(LEN(D282)&gt;2,MID(D282,2,1)=" ",ISNUMBER(VALUE(LEFT(D282,1)))),D282,F281))</f>
        <v>Other Expense</v>
      </c>
      <c r="G282" s="36" t="n">
        <f aca="false">IF(AND(D282&lt;&gt;"",ISNUMBER(B282),LEFT(D282,9)&lt;&gt;"Total for",D282&lt;&gt;"Gross Profit",D282&lt;&gt;"Net Operating Revenue",D282&lt;&gt;"Net Other Revenue",D282&lt;&gt;"Net Revenue"),1,0)</f>
        <v>0</v>
      </c>
      <c r="H282" s="36" t="str">
        <f aca="false">IF(G282=1,IF(AND(LEN(D282)&gt;7,ISNUMBER(VALUE(LEFT(D282,6))),MID(D282,7,1)=" "),LEFT(D282,6),D282),"")</f>
        <v/>
      </c>
      <c r="I282" s="36" t="str">
        <f aca="false">IF(G282=1,IF(COUNTIF('Forecast Detail'!$C$8:$C$400,H282)=0,"UNMAPPED","OK"),"")</f>
        <v/>
      </c>
    </row>
    <row r="283" customFormat="false" ht="15" hidden="false" customHeight="false" outlineLevel="0" collapsed="false">
      <c r="D283" s="36" t="str">
        <f aca="false">TRIM(A283)</f>
        <v/>
      </c>
      <c r="E283" s="36" t="str">
        <f aca="false">IF(D283="Revenue","Revenue",IF(D283="Cost of Goods Sold","COGS",IF(D283="Expenditures","Expense",IF(D283="Other Revenue","Other Revenue",IF(D283="Other Expenditures","Other Expense",E282)))))</f>
        <v>Other Expense</v>
      </c>
      <c r="F283" s="36" t="str">
        <f aca="false">IF(OR(D283="Revenue",D283="Cost of Goods Sold",D283="Expenditures",D283="Other Revenue",D283="Other Expenditures"),E283,IF(AND(LEN(D283)&gt;2,MID(D283,2,1)=" ",ISNUMBER(VALUE(LEFT(D283,1)))),D283,F282))</f>
        <v>Other Expense</v>
      </c>
      <c r="G283" s="36" t="n">
        <f aca="false">IF(AND(D283&lt;&gt;"",ISNUMBER(B283),LEFT(D283,9)&lt;&gt;"Total for",D283&lt;&gt;"Gross Profit",D283&lt;&gt;"Net Operating Revenue",D283&lt;&gt;"Net Other Revenue",D283&lt;&gt;"Net Revenue"),1,0)</f>
        <v>0</v>
      </c>
      <c r="H283" s="36" t="str">
        <f aca="false">IF(G283=1,IF(AND(LEN(D283)&gt;7,ISNUMBER(VALUE(LEFT(D283,6))),MID(D283,7,1)=" "),LEFT(D283,6),D283),"")</f>
        <v/>
      </c>
      <c r="I283" s="36" t="str">
        <f aca="false">IF(G283=1,IF(COUNTIF('Forecast Detail'!$C$8:$C$400,H283)=0,"UNMAPPED","OK"),"")</f>
        <v/>
      </c>
    </row>
    <row r="284" customFormat="false" ht="15" hidden="false" customHeight="false" outlineLevel="0" collapsed="false">
      <c r="D284" s="36" t="str">
        <f aca="false">TRIM(A284)</f>
        <v/>
      </c>
      <c r="E284" s="36" t="str">
        <f aca="false">IF(D284="Revenue","Revenue",IF(D284="Cost of Goods Sold","COGS",IF(D284="Expenditures","Expense",IF(D284="Other Revenue","Other Revenue",IF(D284="Other Expenditures","Other Expense",E283)))))</f>
        <v>Other Expense</v>
      </c>
      <c r="F284" s="36" t="str">
        <f aca="false">IF(OR(D284="Revenue",D284="Cost of Goods Sold",D284="Expenditures",D284="Other Revenue",D284="Other Expenditures"),E284,IF(AND(LEN(D284)&gt;2,MID(D284,2,1)=" ",ISNUMBER(VALUE(LEFT(D284,1)))),D284,F283))</f>
        <v>Other Expense</v>
      </c>
      <c r="G284" s="36" t="n">
        <f aca="false">IF(AND(D284&lt;&gt;"",ISNUMBER(B284),LEFT(D284,9)&lt;&gt;"Total for",D284&lt;&gt;"Gross Profit",D284&lt;&gt;"Net Operating Revenue",D284&lt;&gt;"Net Other Revenue",D284&lt;&gt;"Net Revenue"),1,0)</f>
        <v>0</v>
      </c>
      <c r="H284" s="36" t="str">
        <f aca="false">IF(G284=1,IF(AND(LEN(D284)&gt;7,ISNUMBER(VALUE(LEFT(D284,6))),MID(D284,7,1)=" "),LEFT(D284,6),D284),"")</f>
        <v/>
      </c>
      <c r="I284" s="36" t="str">
        <f aca="false">IF(G284=1,IF(COUNTIF('Forecast Detail'!$C$8:$C$400,H284)=0,"UNMAPPED","OK"),"")</f>
        <v/>
      </c>
    </row>
    <row r="285" customFormat="false" ht="15" hidden="false" customHeight="false" outlineLevel="0" collapsed="false">
      <c r="D285" s="36" t="str">
        <f aca="false">TRIM(A285)</f>
        <v/>
      </c>
      <c r="E285" s="36" t="str">
        <f aca="false">IF(D285="Revenue","Revenue",IF(D285="Cost of Goods Sold","COGS",IF(D285="Expenditures","Expense",IF(D285="Other Revenue","Other Revenue",IF(D285="Other Expenditures","Other Expense",E284)))))</f>
        <v>Other Expense</v>
      </c>
      <c r="F285" s="36" t="str">
        <f aca="false">IF(OR(D285="Revenue",D285="Cost of Goods Sold",D285="Expenditures",D285="Other Revenue",D285="Other Expenditures"),E285,IF(AND(LEN(D285)&gt;2,MID(D285,2,1)=" ",ISNUMBER(VALUE(LEFT(D285,1)))),D285,F284))</f>
        <v>Other Expense</v>
      </c>
      <c r="G285" s="36" t="n">
        <f aca="false">IF(AND(D285&lt;&gt;"",ISNUMBER(B285),LEFT(D285,9)&lt;&gt;"Total for",D285&lt;&gt;"Gross Profit",D285&lt;&gt;"Net Operating Revenue",D285&lt;&gt;"Net Other Revenue",D285&lt;&gt;"Net Revenue"),1,0)</f>
        <v>0</v>
      </c>
      <c r="H285" s="36" t="str">
        <f aca="false">IF(G285=1,IF(AND(LEN(D285)&gt;7,ISNUMBER(VALUE(LEFT(D285,6))),MID(D285,7,1)=" "),LEFT(D285,6),D285),"")</f>
        <v/>
      </c>
      <c r="I285" s="36" t="str">
        <f aca="false">IF(G285=1,IF(COUNTIF('Forecast Detail'!$C$8:$C$400,H285)=0,"UNMAPPED","OK"),"")</f>
        <v/>
      </c>
    </row>
    <row r="286" customFormat="false" ht="15" hidden="false" customHeight="false" outlineLevel="0" collapsed="false">
      <c r="D286" s="36" t="str">
        <f aca="false">TRIM(A286)</f>
        <v/>
      </c>
      <c r="E286" s="36" t="str">
        <f aca="false">IF(D286="Revenue","Revenue",IF(D286="Cost of Goods Sold","COGS",IF(D286="Expenditures","Expense",IF(D286="Other Revenue","Other Revenue",IF(D286="Other Expenditures","Other Expense",E285)))))</f>
        <v>Other Expense</v>
      </c>
      <c r="F286" s="36" t="str">
        <f aca="false">IF(OR(D286="Revenue",D286="Cost of Goods Sold",D286="Expenditures",D286="Other Revenue",D286="Other Expenditures"),E286,IF(AND(LEN(D286)&gt;2,MID(D286,2,1)=" ",ISNUMBER(VALUE(LEFT(D286,1)))),D286,F285))</f>
        <v>Other Expense</v>
      </c>
      <c r="G286" s="36" t="n">
        <f aca="false">IF(AND(D286&lt;&gt;"",ISNUMBER(B286),LEFT(D286,9)&lt;&gt;"Total for",D286&lt;&gt;"Gross Profit",D286&lt;&gt;"Net Operating Revenue",D286&lt;&gt;"Net Other Revenue",D286&lt;&gt;"Net Revenue"),1,0)</f>
        <v>0</v>
      </c>
      <c r="H286" s="36" t="str">
        <f aca="false">IF(G286=1,IF(AND(LEN(D286)&gt;7,ISNUMBER(VALUE(LEFT(D286,6))),MID(D286,7,1)=" "),LEFT(D286,6),D286),"")</f>
        <v/>
      </c>
      <c r="I286" s="36" t="str">
        <f aca="false">IF(G286=1,IF(COUNTIF('Forecast Detail'!$C$8:$C$400,H286)=0,"UNMAPPED","OK"),"")</f>
        <v/>
      </c>
    </row>
    <row r="287" customFormat="false" ht="15" hidden="false" customHeight="false" outlineLevel="0" collapsed="false">
      <c r="D287" s="36" t="str">
        <f aca="false">TRIM(A287)</f>
        <v/>
      </c>
      <c r="E287" s="36" t="str">
        <f aca="false">IF(D287="Revenue","Revenue",IF(D287="Cost of Goods Sold","COGS",IF(D287="Expenditures","Expense",IF(D287="Other Revenue","Other Revenue",IF(D287="Other Expenditures","Other Expense",E286)))))</f>
        <v>Other Expense</v>
      </c>
      <c r="F287" s="36" t="str">
        <f aca="false">IF(OR(D287="Revenue",D287="Cost of Goods Sold",D287="Expenditures",D287="Other Revenue",D287="Other Expenditures"),E287,IF(AND(LEN(D287)&gt;2,MID(D287,2,1)=" ",ISNUMBER(VALUE(LEFT(D287,1)))),D287,F286))</f>
        <v>Other Expense</v>
      </c>
      <c r="G287" s="36" t="n">
        <f aca="false">IF(AND(D287&lt;&gt;"",ISNUMBER(B287),LEFT(D287,9)&lt;&gt;"Total for",D287&lt;&gt;"Gross Profit",D287&lt;&gt;"Net Operating Revenue",D287&lt;&gt;"Net Other Revenue",D287&lt;&gt;"Net Revenue"),1,0)</f>
        <v>0</v>
      </c>
      <c r="H287" s="36" t="str">
        <f aca="false">IF(G287=1,IF(AND(LEN(D287)&gt;7,ISNUMBER(VALUE(LEFT(D287,6))),MID(D287,7,1)=" "),LEFT(D287,6),D287),"")</f>
        <v/>
      </c>
      <c r="I287" s="36" t="str">
        <f aca="false">IF(G287=1,IF(COUNTIF('Forecast Detail'!$C$8:$C$400,H287)=0,"UNMAPPED","OK"),"")</f>
        <v/>
      </c>
    </row>
    <row r="288" customFormat="false" ht="15" hidden="false" customHeight="false" outlineLevel="0" collapsed="false">
      <c r="D288" s="36" t="str">
        <f aca="false">TRIM(A288)</f>
        <v/>
      </c>
      <c r="E288" s="36" t="str">
        <f aca="false">IF(D288="Revenue","Revenue",IF(D288="Cost of Goods Sold","COGS",IF(D288="Expenditures","Expense",IF(D288="Other Revenue","Other Revenue",IF(D288="Other Expenditures","Other Expense",E287)))))</f>
        <v>Other Expense</v>
      </c>
      <c r="F288" s="36" t="str">
        <f aca="false">IF(OR(D288="Revenue",D288="Cost of Goods Sold",D288="Expenditures",D288="Other Revenue",D288="Other Expenditures"),E288,IF(AND(LEN(D288)&gt;2,MID(D288,2,1)=" ",ISNUMBER(VALUE(LEFT(D288,1)))),D288,F287))</f>
        <v>Other Expense</v>
      </c>
      <c r="G288" s="36" t="n">
        <f aca="false">IF(AND(D288&lt;&gt;"",ISNUMBER(B288),LEFT(D288,9)&lt;&gt;"Total for",D288&lt;&gt;"Gross Profit",D288&lt;&gt;"Net Operating Revenue",D288&lt;&gt;"Net Other Revenue",D288&lt;&gt;"Net Revenue"),1,0)</f>
        <v>0</v>
      </c>
      <c r="H288" s="36" t="str">
        <f aca="false">IF(G288=1,IF(AND(LEN(D288)&gt;7,ISNUMBER(VALUE(LEFT(D288,6))),MID(D288,7,1)=" "),LEFT(D288,6),D288),"")</f>
        <v/>
      </c>
      <c r="I288" s="36" t="str">
        <f aca="false">IF(G288=1,IF(COUNTIF('Forecast Detail'!$C$8:$C$400,H288)=0,"UNMAPPED","OK"),"")</f>
        <v/>
      </c>
    </row>
    <row r="289" customFormat="false" ht="15" hidden="false" customHeight="false" outlineLevel="0" collapsed="false">
      <c r="D289" s="36" t="str">
        <f aca="false">TRIM(A289)</f>
        <v/>
      </c>
      <c r="E289" s="36" t="str">
        <f aca="false">IF(D289="Revenue","Revenue",IF(D289="Cost of Goods Sold","COGS",IF(D289="Expenditures","Expense",IF(D289="Other Revenue","Other Revenue",IF(D289="Other Expenditures","Other Expense",E288)))))</f>
        <v>Other Expense</v>
      </c>
      <c r="F289" s="36" t="str">
        <f aca="false">IF(OR(D289="Revenue",D289="Cost of Goods Sold",D289="Expenditures",D289="Other Revenue",D289="Other Expenditures"),E289,IF(AND(LEN(D289)&gt;2,MID(D289,2,1)=" ",ISNUMBER(VALUE(LEFT(D289,1)))),D289,F288))</f>
        <v>Other Expense</v>
      </c>
      <c r="G289" s="36" t="n">
        <f aca="false">IF(AND(D289&lt;&gt;"",ISNUMBER(B289),LEFT(D289,9)&lt;&gt;"Total for",D289&lt;&gt;"Gross Profit",D289&lt;&gt;"Net Operating Revenue",D289&lt;&gt;"Net Other Revenue",D289&lt;&gt;"Net Revenue"),1,0)</f>
        <v>0</v>
      </c>
      <c r="H289" s="36" t="str">
        <f aca="false">IF(G289=1,IF(AND(LEN(D289)&gt;7,ISNUMBER(VALUE(LEFT(D289,6))),MID(D289,7,1)=" "),LEFT(D289,6),D289),"")</f>
        <v/>
      </c>
      <c r="I289" s="36" t="str">
        <f aca="false">IF(G289=1,IF(COUNTIF('Forecast Detail'!$C$8:$C$400,H289)=0,"UNMAPPED","OK"),"")</f>
        <v/>
      </c>
    </row>
    <row r="290" customFormat="false" ht="15" hidden="false" customHeight="false" outlineLevel="0" collapsed="false">
      <c r="D290" s="36" t="str">
        <f aca="false">TRIM(A290)</f>
        <v/>
      </c>
      <c r="E290" s="36" t="str">
        <f aca="false">IF(D290="Revenue","Revenue",IF(D290="Cost of Goods Sold","COGS",IF(D290="Expenditures","Expense",IF(D290="Other Revenue","Other Revenue",IF(D290="Other Expenditures","Other Expense",E289)))))</f>
        <v>Other Expense</v>
      </c>
      <c r="F290" s="36" t="str">
        <f aca="false">IF(OR(D290="Revenue",D290="Cost of Goods Sold",D290="Expenditures",D290="Other Revenue",D290="Other Expenditures"),E290,IF(AND(LEN(D290)&gt;2,MID(D290,2,1)=" ",ISNUMBER(VALUE(LEFT(D290,1)))),D290,F289))</f>
        <v>Other Expense</v>
      </c>
      <c r="G290" s="36" t="n">
        <f aca="false">IF(AND(D290&lt;&gt;"",ISNUMBER(B290),LEFT(D290,9)&lt;&gt;"Total for",D290&lt;&gt;"Gross Profit",D290&lt;&gt;"Net Operating Revenue",D290&lt;&gt;"Net Other Revenue",D290&lt;&gt;"Net Revenue"),1,0)</f>
        <v>0</v>
      </c>
      <c r="H290" s="36" t="str">
        <f aca="false">IF(G290=1,IF(AND(LEN(D290)&gt;7,ISNUMBER(VALUE(LEFT(D290,6))),MID(D290,7,1)=" "),LEFT(D290,6),D290),"")</f>
        <v/>
      </c>
      <c r="I290" s="36" t="str">
        <f aca="false">IF(G290=1,IF(COUNTIF('Forecast Detail'!$C$8:$C$400,H290)=0,"UNMAPPED","OK"),"")</f>
        <v/>
      </c>
    </row>
    <row r="291" customFormat="false" ht="15" hidden="false" customHeight="false" outlineLevel="0" collapsed="false">
      <c r="D291" s="36" t="str">
        <f aca="false">TRIM(A291)</f>
        <v/>
      </c>
      <c r="E291" s="36" t="str">
        <f aca="false">IF(D291="Revenue","Revenue",IF(D291="Cost of Goods Sold","COGS",IF(D291="Expenditures","Expense",IF(D291="Other Revenue","Other Revenue",IF(D291="Other Expenditures","Other Expense",E290)))))</f>
        <v>Other Expense</v>
      </c>
      <c r="F291" s="36" t="str">
        <f aca="false">IF(OR(D291="Revenue",D291="Cost of Goods Sold",D291="Expenditures",D291="Other Revenue",D291="Other Expenditures"),E291,IF(AND(LEN(D291)&gt;2,MID(D291,2,1)=" ",ISNUMBER(VALUE(LEFT(D291,1)))),D291,F290))</f>
        <v>Other Expense</v>
      </c>
      <c r="G291" s="36" t="n">
        <f aca="false">IF(AND(D291&lt;&gt;"",ISNUMBER(B291),LEFT(D291,9)&lt;&gt;"Total for",D291&lt;&gt;"Gross Profit",D291&lt;&gt;"Net Operating Revenue",D291&lt;&gt;"Net Other Revenue",D291&lt;&gt;"Net Revenue"),1,0)</f>
        <v>0</v>
      </c>
      <c r="H291" s="36" t="str">
        <f aca="false">IF(G291=1,IF(AND(LEN(D291)&gt;7,ISNUMBER(VALUE(LEFT(D291,6))),MID(D291,7,1)=" "),LEFT(D291,6),D291),"")</f>
        <v/>
      </c>
      <c r="I291" s="36" t="str">
        <f aca="false">IF(G291=1,IF(COUNTIF('Forecast Detail'!$C$8:$C$400,H291)=0,"UNMAPPED","OK"),"")</f>
        <v/>
      </c>
    </row>
    <row r="292" customFormat="false" ht="15" hidden="false" customHeight="false" outlineLevel="0" collapsed="false">
      <c r="D292" s="36" t="str">
        <f aca="false">TRIM(A292)</f>
        <v/>
      </c>
      <c r="E292" s="36" t="str">
        <f aca="false">IF(D292="Revenue","Revenue",IF(D292="Cost of Goods Sold","COGS",IF(D292="Expenditures","Expense",IF(D292="Other Revenue","Other Revenue",IF(D292="Other Expenditures","Other Expense",E291)))))</f>
        <v>Other Expense</v>
      </c>
      <c r="F292" s="36" t="str">
        <f aca="false">IF(OR(D292="Revenue",D292="Cost of Goods Sold",D292="Expenditures",D292="Other Revenue",D292="Other Expenditures"),E292,IF(AND(LEN(D292)&gt;2,MID(D292,2,1)=" ",ISNUMBER(VALUE(LEFT(D292,1)))),D292,F291))</f>
        <v>Other Expense</v>
      </c>
      <c r="G292" s="36" t="n">
        <f aca="false">IF(AND(D292&lt;&gt;"",ISNUMBER(B292),LEFT(D292,9)&lt;&gt;"Total for",D292&lt;&gt;"Gross Profit",D292&lt;&gt;"Net Operating Revenue",D292&lt;&gt;"Net Other Revenue",D292&lt;&gt;"Net Revenue"),1,0)</f>
        <v>0</v>
      </c>
      <c r="H292" s="36" t="str">
        <f aca="false">IF(G292=1,IF(AND(LEN(D292)&gt;7,ISNUMBER(VALUE(LEFT(D292,6))),MID(D292,7,1)=" "),LEFT(D292,6),D292),"")</f>
        <v/>
      </c>
      <c r="I292" s="36" t="str">
        <f aca="false">IF(G292=1,IF(COUNTIF('Forecast Detail'!$C$8:$C$400,H292)=0,"UNMAPPED","OK"),"")</f>
        <v/>
      </c>
    </row>
    <row r="293" customFormat="false" ht="15" hidden="false" customHeight="false" outlineLevel="0" collapsed="false">
      <c r="D293" s="36" t="str">
        <f aca="false">TRIM(A293)</f>
        <v/>
      </c>
      <c r="E293" s="36" t="str">
        <f aca="false">IF(D293="Revenue","Revenue",IF(D293="Cost of Goods Sold","COGS",IF(D293="Expenditures","Expense",IF(D293="Other Revenue","Other Revenue",IF(D293="Other Expenditures","Other Expense",E292)))))</f>
        <v>Other Expense</v>
      </c>
      <c r="F293" s="36" t="str">
        <f aca="false">IF(OR(D293="Revenue",D293="Cost of Goods Sold",D293="Expenditures",D293="Other Revenue",D293="Other Expenditures"),E293,IF(AND(LEN(D293)&gt;2,MID(D293,2,1)=" ",ISNUMBER(VALUE(LEFT(D293,1)))),D293,F292))</f>
        <v>Other Expense</v>
      </c>
      <c r="G293" s="36" t="n">
        <f aca="false">IF(AND(D293&lt;&gt;"",ISNUMBER(B293),LEFT(D293,9)&lt;&gt;"Total for",D293&lt;&gt;"Gross Profit",D293&lt;&gt;"Net Operating Revenue",D293&lt;&gt;"Net Other Revenue",D293&lt;&gt;"Net Revenue"),1,0)</f>
        <v>0</v>
      </c>
      <c r="H293" s="36" t="str">
        <f aca="false">IF(G293=1,IF(AND(LEN(D293)&gt;7,ISNUMBER(VALUE(LEFT(D293,6))),MID(D293,7,1)=" "),LEFT(D293,6),D293),"")</f>
        <v/>
      </c>
      <c r="I293" s="36" t="str">
        <f aca="false">IF(G293=1,IF(COUNTIF('Forecast Detail'!$C$8:$C$400,H293)=0,"UNMAPPED","OK"),"")</f>
        <v/>
      </c>
    </row>
    <row r="294" customFormat="false" ht="15" hidden="false" customHeight="false" outlineLevel="0" collapsed="false">
      <c r="D294" s="36" t="str">
        <f aca="false">TRIM(A294)</f>
        <v/>
      </c>
      <c r="E294" s="36" t="str">
        <f aca="false">IF(D294="Revenue","Revenue",IF(D294="Cost of Goods Sold","COGS",IF(D294="Expenditures","Expense",IF(D294="Other Revenue","Other Revenue",IF(D294="Other Expenditures","Other Expense",E293)))))</f>
        <v>Other Expense</v>
      </c>
      <c r="F294" s="36" t="str">
        <f aca="false">IF(OR(D294="Revenue",D294="Cost of Goods Sold",D294="Expenditures",D294="Other Revenue",D294="Other Expenditures"),E294,IF(AND(LEN(D294)&gt;2,MID(D294,2,1)=" ",ISNUMBER(VALUE(LEFT(D294,1)))),D294,F293))</f>
        <v>Other Expense</v>
      </c>
      <c r="G294" s="36" t="n">
        <f aca="false">IF(AND(D294&lt;&gt;"",ISNUMBER(B294),LEFT(D294,9)&lt;&gt;"Total for",D294&lt;&gt;"Gross Profit",D294&lt;&gt;"Net Operating Revenue",D294&lt;&gt;"Net Other Revenue",D294&lt;&gt;"Net Revenue"),1,0)</f>
        <v>0</v>
      </c>
      <c r="H294" s="36" t="str">
        <f aca="false">IF(G294=1,IF(AND(LEN(D294)&gt;7,ISNUMBER(VALUE(LEFT(D294,6))),MID(D294,7,1)=" "),LEFT(D294,6),D294),"")</f>
        <v/>
      </c>
      <c r="I294" s="36" t="str">
        <f aca="false">IF(G294=1,IF(COUNTIF('Forecast Detail'!$C$8:$C$400,H294)=0,"UNMAPPED","OK"),"")</f>
        <v/>
      </c>
    </row>
    <row r="295" customFormat="false" ht="15" hidden="false" customHeight="false" outlineLevel="0" collapsed="false">
      <c r="D295" s="36" t="str">
        <f aca="false">TRIM(A295)</f>
        <v/>
      </c>
      <c r="E295" s="36" t="str">
        <f aca="false">IF(D295="Revenue","Revenue",IF(D295="Cost of Goods Sold","COGS",IF(D295="Expenditures","Expense",IF(D295="Other Revenue","Other Revenue",IF(D295="Other Expenditures","Other Expense",E294)))))</f>
        <v>Other Expense</v>
      </c>
      <c r="F295" s="36" t="str">
        <f aca="false">IF(OR(D295="Revenue",D295="Cost of Goods Sold",D295="Expenditures",D295="Other Revenue",D295="Other Expenditures"),E295,IF(AND(LEN(D295)&gt;2,MID(D295,2,1)=" ",ISNUMBER(VALUE(LEFT(D295,1)))),D295,F294))</f>
        <v>Other Expense</v>
      </c>
      <c r="G295" s="36" t="n">
        <f aca="false">IF(AND(D295&lt;&gt;"",ISNUMBER(B295),LEFT(D295,9)&lt;&gt;"Total for",D295&lt;&gt;"Gross Profit",D295&lt;&gt;"Net Operating Revenue",D295&lt;&gt;"Net Other Revenue",D295&lt;&gt;"Net Revenue"),1,0)</f>
        <v>0</v>
      </c>
      <c r="H295" s="36" t="str">
        <f aca="false">IF(G295=1,IF(AND(LEN(D295)&gt;7,ISNUMBER(VALUE(LEFT(D295,6))),MID(D295,7,1)=" "),LEFT(D295,6),D295),"")</f>
        <v/>
      </c>
      <c r="I295" s="36" t="str">
        <f aca="false">IF(G295=1,IF(COUNTIF('Forecast Detail'!$C$8:$C$400,H295)=0,"UNMAPPED","OK"),"")</f>
        <v/>
      </c>
    </row>
    <row r="296" customFormat="false" ht="15" hidden="false" customHeight="false" outlineLevel="0" collapsed="false">
      <c r="D296" s="36" t="str">
        <f aca="false">TRIM(A296)</f>
        <v/>
      </c>
      <c r="E296" s="36" t="str">
        <f aca="false">IF(D296="Revenue","Revenue",IF(D296="Cost of Goods Sold","COGS",IF(D296="Expenditures","Expense",IF(D296="Other Revenue","Other Revenue",IF(D296="Other Expenditures","Other Expense",E295)))))</f>
        <v>Other Expense</v>
      </c>
      <c r="F296" s="36" t="str">
        <f aca="false">IF(OR(D296="Revenue",D296="Cost of Goods Sold",D296="Expenditures",D296="Other Revenue",D296="Other Expenditures"),E296,IF(AND(LEN(D296)&gt;2,MID(D296,2,1)=" ",ISNUMBER(VALUE(LEFT(D296,1)))),D296,F295))</f>
        <v>Other Expense</v>
      </c>
      <c r="G296" s="36" t="n">
        <f aca="false">IF(AND(D296&lt;&gt;"",ISNUMBER(B296),LEFT(D296,9)&lt;&gt;"Total for",D296&lt;&gt;"Gross Profit",D296&lt;&gt;"Net Operating Revenue",D296&lt;&gt;"Net Other Revenue",D296&lt;&gt;"Net Revenue"),1,0)</f>
        <v>0</v>
      </c>
      <c r="H296" s="36" t="str">
        <f aca="false">IF(G296=1,IF(AND(LEN(D296)&gt;7,ISNUMBER(VALUE(LEFT(D296,6))),MID(D296,7,1)=" "),LEFT(D296,6),D296),"")</f>
        <v/>
      </c>
      <c r="I296" s="36" t="str">
        <f aca="false">IF(G296=1,IF(COUNTIF('Forecast Detail'!$C$8:$C$400,H296)=0,"UNMAPPED","OK"),"")</f>
        <v/>
      </c>
    </row>
    <row r="297" customFormat="false" ht="15" hidden="false" customHeight="false" outlineLevel="0" collapsed="false">
      <c r="D297" s="36" t="str">
        <f aca="false">TRIM(A297)</f>
        <v/>
      </c>
      <c r="E297" s="36" t="str">
        <f aca="false">IF(D297="Revenue","Revenue",IF(D297="Cost of Goods Sold","COGS",IF(D297="Expenditures","Expense",IF(D297="Other Revenue","Other Revenue",IF(D297="Other Expenditures","Other Expense",E296)))))</f>
        <v>Other Expense</v>
      </c>
      <c r="F297" s="36" t="str">
        <f aca="false">IF(OR(D297="Revenue",D297="Cost of Goods Sold",D297="Expenditures",D297="Other Revenue",D297="Other Expenditures"),E297,IF(AND(LEN(D297)&gt;2,MID(D297,2,1)=" ",ISNUMBER(VALUE(LEFT(D297,1)))),D297,F296))</f>
        <v>Other Expense</v>
      </c>
      <c r="G297" s="36" t="n">
        <f aca="false">IF(AND(D297&lt;&gt;"",ISNUMBER(B297),LEFT(D297,9)&lt;&gt;"Total for",D297&lt;&gt;"Gross Profit",D297&lt;&gt;"Net Operating Revenue",D297&lt;&gt;"Net Other Revenue",D297&lt;&gt;"Net Revenue"),1,0)</f>
        <v>0</v>
      </c>
      <c r="H297" s="36" t="str">
        <f aca="false">IF(G297=1,IF(AND(LEN(D297)&gt;7,ISNUMBER(VALUE(LEFT(D297,6))),MID(D297,7,1)=" "),LEFT(D297,6),D297),"")</f>
        <v/>
      </c>
      <c r="I297" s="36" t="str">
        <f aca="false">IF(G297=1,IF(COUNTIF('Forecast Detail'!$C$8:$C$400,H297)=0,"UNMAPPED","OK"),"")</f>
        <v/>
      </c>
    </row>
    <row r="298" customFormat="false" ht="15" hidden="false" customHeight="false" outlineLevel="0" collapsed="false">
      <c r="D298" s="36" t="str">
        <f aca="false">TRIM(A298)</f>
        <v/>
      </c>
      <c r="E298" s="36" t="str">
        <f aca="false">IF(D298="Revenue","Revenue",IF(D298="Cost of Goods Sold","COGS",IF(D298="Expenditures","Expense",IF(D298="Other Revenue","Other Revenue",IF(D298="Other Expenditures","Other Expense",E297)))))</f>
        <v>Other Expense</v>
      </c>
      <c r="F298" s="36" t="str">
        <f aca="false">IF(OR(D298="Revenue",D298="Cost of Goods Sold",D298="Expenditures",D298="Other Revenue",D298="Other Expenditures"),E298,IF(AND(LEN(D298)&gt;2,MID(D298,2,1)=" ",ISNUMBER(VALUE(LEFT(D298,1)))),D298,F297))</f>
        <v>Other Expense</v>
      </c>
      <c r="G298" s="36" t="n">
        <f aca="false">IF(AND(D298&lt;&gt;"",ISNUMBER(B298),LEFT(D298,9)&lt;&gt;"Total for",D298&lt;&gt;"Gross Profit",D298&lt;&gt;"Net Operating Revenue",D298&lt;&gt;"Net Other Revenue",D298&lt;&gt;"Net Revenue"),1,0)</f>
        <v>0</v>
      </c>
      <c r="H298" s="36" t="str">
        <f aca="false">IF(G298=1,IF(AND(LEN(D298)&gt;7,ISNUMBER(VALUE(LEFT(D298,6))),MID(D298,7,1)=" "),LEFT(D298,6),D298),"")</f>
        <v/>
      </c>
      <c r="I298" s="36" t="str">
        <f aca="false">IF(G298=1,IF(COUNTIF('Forecast Detail'!$C$8:$C$400,H298)=0,"UNMAPPED","OK"),"")</f>
        <v/>
      </c>
    </row>
    <row r="299" customFormat="false" ht="15" hidden="false" customHeight="false" outlineLevel="0" collapsed="false">
      <c r="D299" s="36" t="str">
        <f aca="false">TRIM(A299)</f>
        <v/>
      </c>
      <c r="E299" s="36" t="str">
        <f aca="false">IF(D299="Revenue","Revenue",IF(D299="Cost of Goods Sold","COGS",IF(D299="Expenditures","Expense",IF(D299="Other Revenue","Other Revenue",IF(D299="Other Expenditures","Other Expense",E298)))))</f>
        <v>Other Expense</v>
      </c>
      <c r="F299" s="36" t="str">
        <f aca="false">IF(OR(D299="Revenue",D299="Cost of Goods Sold",D299="Expenditures",D299="Other Revenue",D299="Other Expenditures"),E299,IF(AND(LEN(D299)&gt;2,MID(D299,2,1)=" ",ISNUMBER(VALUE(LEFT(D299,1)))),D299,F298))</f>
        <v>Other Expense</v>
      </c>
      <c r="G299" s="36" t="n">
        <f aca="false">IF(AND(D299&lt;&gt;"",ISNUMBER(B299),LEFT(D299,9)&lt;&gt;"Total for",D299&lt;&gt;"Gross Profit",D299&lt;&gt;"Net Operating Revenue",D299&lt;&gt;"Net Other Revenue",D299&lt;&gt;"Net Revenue"),1,0)</f>
        <v>0</v>
      </c>
      <c r="H299" s="36" t="str">
        <f aca="false">IF(G299=1,IF(AND(LEN(D299)&gt;7,ISNUMBER(VALUE(LEFT(D299,6))),MID(D299,7,1)=" "),LEFT(D299,6),D299),"")</f>
        <v/>
      </c>
      <c r="I299" s="36" t="str">
        <f aca="false">IF(G299=1,IF(COUNTIF('Forecast Detail'!$C$8:$C$400,H299)=0,"UNMAPPED","OK"),"")</f>
        <v/>
      </c>
    </row>
    <row r="300" customFormat="false" ht="15" hidden="false" customHeight="false" outlineLevel="0" collapsed="false">
      <c r="D300" s="36" t="str">
        <f aca="false">TRIM(A300)</f>
        <v/>
      </c>
      <c r="E300" s="36" t="str">
        <f aca="false">IF(D300="Revenue","Revenue",IF(D300="Cost of Goods Sold","COGS",IF(D300="Expenditures","Expense",IF(D300="Other Revenue","Other Revenue",IF(D300="Other Expenditures","Other Expense",E299)))))</f>
        <v>Other Expense</v>
      </c>
      <c r="F300" s="36" t="str">
        <f aca="false">IF(OR(D300="Revenue",D300="Cost of Goods Sold",D300="Expenditures",D300="Other Revenue",D300="Other Expenditures"),E300,IF(AND(LEN(D300)&gt;2,MID(D300,2,1)=" ",ISNUMBER(VALUE(LEFT(D300,1)))),D300,F299))</f>
        <v>Other Expense</v>
      </c>
      <c r="G300" s="36" t="n">
        <f aca="false">IF(AND(D300&lt;&gt;"",ISNUMBER(B300),LEFT(D300,9)&lt;&gt;"Total for",D300&lt;&gt;"Gross Profit",D300&lt;&gt;"Net Operating Revenue",D300&lt;&gt;"Net Other Revenue",D300&lt;&gt;"Net Revenue"),1,0)</f>
        <v>0</v>
      </c>
      <c r="H300" s="36" t="str">
        <f aca="false">IF(G300=1,IF(AND(LEN(D300)&gt;7,ISNUMBER(VALUE(LEFT(D300,6))),MID(D300,7,1)=" "),LEFT(D300,6),D300),"")</f>
        <v/>
      </c>
      <c r="I300" s="36" t="str">
        <f aca="false">IF(G300=1,IF(COUNTIF('Forecast Detail'!$C$8:$C$400,H300)=0,"UNMAPPED","OK"),"")</f>
        <v/>
      </c>
    </row>
    <row r="301" customFormat="false" ht="15" hidden="false" customHeight="false" outlineLevel="0" collapsed="false">
      <c r="D301" s="36" t="str">
        <f aca="false">TRIM(A301)</f>
        <v/>
      </c>
      <c r="E301" s="36" t="str">
        <f aca="false">IF(D301="Revenue","Revenue",IF(D301="Cost of Goods Sold","COGS",IF(D301="Expenditures","Expense",IF(D301="Other Revenue","Other Revenue",IF(D301="Other Expenditures","Other Expense",E300)))))</f>
        <v>Other Expense</v>
      </c>
      <c r="F301" s="36" t="str">
        <f aca="false">IF(OR(D301="Revenue",D301="Cost of Goods Sold",D301="Expenditures",D301="Other Revenue",D301="Other Expenditures"),E301,IF(AND(LEN(D301)&gt;2,MID(D301,2,1)=" ",ISNUMBER(VALUE(LEFT(D301,1)))),D301,F300))</f>
        <v>Other Expense</v>
      </c>
      <c r="G301" s="36" t="n">
        <f aca="false">IF(AND(D301&lt;&gt;"",ISNUMBER(B301),LEFT(D301,9)&lt;&gt;"Total for",D301&lt;&gt;"Gross Profit",D301&lt;&gt;"Net Operating Revenue",D301&lt;&gt;"Net Other Revenue",D301&lt;&gt;"Net Revenue"),1,0)</f>
        <v>0</v>
      </c>
      <c r="H301" s="36" t="str">
        <f aca="false">IF(G301=1,IF(AND(LEN(D301)&gt;7,ISNUMBER(VALUE(LEFT(D301,6))),MID(D301,7,1)=" "),LEFT(D301,6),D301),"")</f>
        <v/>
      </c>
      <c r="I301" s="36" t="str">
        <f aca="false">IF(G301=1,IF(COUNTIF('Forecast Detail'!$C$8:$C$400,H301)=0,"UNMAPPED","OK"),"")</f>
        <v/>
      </c>
    </row>
    <row r="302" customFormat="false" ht="15" hidden="false" customHeight="false" outlineLevel="0" collapsed="false">
      <c r="D302" s="36" t="str">
        <f aca="false">TRIM(A302)</f>
        <v/>
      </c>
      <c r="E302" s="36" t="str">
        <f aca="false">IF(D302="Revenue","Revenue",IF(D302="Cost of Goods Sold","COGS",IF(D302="Expenditures","Expense",IF(D302="Other Revenue","Other Revenue",IF(D302="Other Expenditures","Other Expense",E301)))))</f>
        <v>Other Expense</v>
      </c>
      <c r="F302" s="36" t="str">
        <f aca="false">IF(OR(D302="Revenue",D302="Cost of Goods Sold",D302="Expenditures",D302="Other Revenue",D302="Other Expenditures"),E302,IF(AND(LEN(D302)&gt;2,MID(D302,2,1)=" ",ISNUMBER(VALUE(LEFT(D302,1)))),D302,F301))</f>
        <v>Other Expense</v>
      </c>
      <c r="G302" s="36" t="n">
        <f aca="false">IF(AND(D302&lt;&gt;"",ISNUMBER(B302),LEFT(D302,9)&lt;&gt;"Total for",D302&lt;&gt;"Gross Profit",D302&lt;&gt;"Net Operating Revenue",D302&lt;&gt;"Net Other Revenue",D302&lt;&gt;"Net Revenue"),1,0)</f>
        <v>0</v>
      </c>
      <c r="H302" s="36" t="str">
        <f aca="false">IF(G302=1,IF(AND(LEN(D302)&gt;7,ISNUMBER(VALUE(LEFT(D302,6))),MID(D302,7,1)=" "),LEFT(D302,6),D302),"")</f>
        <v/>
      </c>
      <c r="I302" s="36" t="str">
        <f aca="false">IF(G302=1,IF(COUNTIF('Forecast Detail'!$C$8:$C$400,H302)=0,"UNMAPPED","OK"),"")</f>
        <v/>
      </c>
    </row>
    <row r="303" customFormat="false" ht="15" hidden="false" customHeight="false" outlineLevel="0" collapsed="false">
      <c r="D303" s="36" t="str">
        <f aca="false">TRIM(A303)</f>
        <v/>
      </c>
      <c r="E303" s="36" t="str">
        <f aca="false">IF(D303="Revenue","Revenue",IF(D303="Cost of Goods Sold","COGS",IF(D303="Expenditures","Expense",IF(D303="Other Revenue","Other Revenue",IF(D303="Other Expenditures","Other Expense",E302)))))</f>
        <v>Other Expense</v>
      </c>
      <c r="F303" s="36" t="str">
        <f aca="false">IF(OR(D303="Revenue",D303="Cost of Goods Sold",D303="Expenditures",D303="Other Revenue",D303="Other Expenditures"),E303,IF(AND(LEN(D303)&gt;2,MID(D303,2,1)=" ",ISNUMBER(VALUE(LEFT(D303,1)))),D303,F302))</f>
        <v>Other Expense</v>
      </c>
      <c r="G303" s="36" t="n">
        <f aca="false">IF(AND(D303&lt;&gt;"",ISNUMBER(B303),LEFT(D303,9)&lt;&gt;"Total for",D303&lt;&gt;"Gross Profit",D303&lt;&gt;"Net Operating Revenue",D303&lt;&gt;"Net Other Revenue",D303&lt;&gt;"Net Revenue"),1,0)</f>
        <v>0</v>
      </c>
      <c r="H303" s="36" t="str">
        <f aca="false">IF(G303=1,IF(AND(LEN(D303)&gt;7,ISNUMBER(VALUE(LEFT(D303,6))),MID(D303,7,1)=" "),LEFT(D303,6),D303),"")</f>
        <v/>
      </c>
      <c r="I303" s="36" t="str">
        <f aca="false">IF(G303=1,IF(COUNTIF('Forecast Detail'!$C$8:$C$400,H303)=0,"UNMAPPED","OK"),"")</f>
        <v/>
      </c>
    </row>
    <row r="304" customFormat="false" ht="15" hidden="false" customHeight="false" outlineLevel="0" collapsed="false">
      <c r="D304" s="36" t="str">
        <f aca="false">TRIM(A304)</f>
        <v/>
      </c>
      <c r="E304" s="36" t="str">
        <f aca="false">IF(D304="Revenue","Revenue",IF(D304="Cost of Goods Sold","COGS",IF(D304="Expenditures","Expense",IF(D304="Other Revenue","Other Revenue",IF(D304="Other Expenditures","Other Expense",E303)))))</f>
        <v>Other Expense</v>
      </c>
      <c r="F304" s="36" t="str">
        <f aca="false">IF(OR(D304="Revenue",D304="Cost of Goods Sold",D304="Expenditures",D304="Other Revenue",D304="Other Expenditures"),E304,IF(AND(LEN(D304)&gt;2,MID(D304,2,1)=" ",ISNUMBER(VALUE(LEFT(D304,1)))),D304,F303))</f>
        <v>Other Expense</v>
      </c>
      <c r="G304" s="36" t="n">
        <f aca="false">IF(AND(D304&lt;&gt;"",ISNUMBER(B304),LEFT(D304,9)&lt;&gt;"Total for",D304&lt;&gt;"Gross Profit",D304&lt;&gt;"Net Operating Revenue",D304&lt;&gt;"Net Other Revenue",D304&lt;&gt;"Net Revenue"),1,0)</f>
        <v>0</v>
      </c>
      <c r="H304" s="36" t="str">
        <f aca="false">IF(G304=1,IF(AND(LEN(D304)&gt;7,ISNUMBER(VALUE(LEFT(D304,6))),MID(D304,7,1)=" "),LEFT(D304,6),D304),"")</f>
        <v/>
      </c>
      <c r="I304" s="36" t="str">
        <f aca="false">IF(G304=1,IF(COUNTIF('Forecast Detail'!$C$8:$C$400,H304)=0,"UNMAPPED","OK"),"")</f>
        <v/>
      </c>
    </row>
    <row r="305" customFormat="false" ht="15" hidden="false" customHeight="false" outlineLevel="0" collapsed="false">
      <c r="D305" s="36" t="str">
        <f aca="false">TRIM(A305)</f>
        <v/>
      </c>
      <c r="E305" s="36" t="str">
        <f aca="false">IF(D305="Revenue","Revenue",IF(D305="Cost of Goods Sold","COGS",IF(D305="Expenditures","Expense",IF(D305="Other Revenue","Other Revenue",IF(D305="Other Expenditures","Other Expense",E304)))))</f>
        <v>Other Expense</v>
      </c>
      <c r="F305" s="36" t="str">
        <f aca="false">IF(OR(D305="Revenue",D305="Cost of Goods Sold",D305="Expenditures",D305="Other Revenue",D305="Other Expenditures"),E305,IF(AND(LEN(D305)&gt;2,MID(D305,2,1)=" ",ISNUMBER(VALUE(LEFT(D305,1)))),D305,F304))</f>
        <v>Other Expense</v>
      </c>
      <c r="G305" s="36" t="n">
        <f aca="false">IF(AND(D305&lt;&gt;"",ISNUMBER(B305),LEFT(D305,9)&lt;&gt;"Total for",D305&lt;&gt;"Gross Profit",D305&lt;&gt;"Net Operating Revenue",D305&lt;&gt;"Net Other Revenue",D305&lt;&gt;"Net Revenue"),1,0)</f>
        <v>0</v>
      </c>
      <c r="H305" s="36" t="str">
        <f aca="false">IF(G305=1,IF(AND(LEN(D305)&gt;7,ISNUMBER(VALUE(LEFT(D305,6))),MID(D305,7,1)=" "),LEFT(D305,6),D305),"")</f>
        <v/>
      </c>
      <c r="I305" s="36" t="str">
        <f aca="false">IF(G305=1,IF(COUNTIF('Forecast Detail'!$C$8:$C$400,H305)=0,"UNMAPPED","OK"),"")</f>
        <v/>
      </c>
    </row>
    <row r="306" customFormat="false" ht="15" hidden="false" customHeight="false" outlineLevel="0" collapsed="false">
      <c r="D306" s="36" t="str">
        <f aca="false">TRIM(A306)</f>
        <v/>
      </c>
      <c r="E306" s="36" t="str">
        <f aca="false">IF(D306="Revenue","Revenue",IF(D306="Cost of Goods Sold","COGS",IF(D306="Expenditures","Expense",IF(D306="Other Revenue","Other Revenue",IF(D306="Other Expenditures","Other Expense",E305)))))</f>
        <v>Other Expense</v>
      </c>
      <c r="F306" s="36" t="str">
        <f aca="false">IF(OR(D306="Revenue",D306="Cost of Goods Sold",D306="Expenditures",D306="Other Revenue",D306="Other Expenditures"),E306,IF(AND(LEN(D306)&gt;2,MID(D306,2,1)=" ",ISNUMBER(VALUE(LEFT(D306,1)))),D306,F305))</f>
        <v>Other Expense</v>
      </c>
      <c r="G306" s="36" t="n">
        <f aca="false">IF(AND(D306&lt;&gt;"",ISNUMBER(B306),LEFT(D306,9)&lt;&gt;"Total for",D306&lt;&gt;"Gross Profit",D306&lt;&gt;"Net Operating Revenue",D306&lt;&gt;"Net Other Revenue",D306&lt;&gt;"Net Revenue"),1,0)</f>
        <v>0</v>
      </c>
      <c r="H306" s="36" t="str">
        <f aca="false">IF(G306=1,IF(AND(LEN(D306)&gt;7,ISNUMBER(VALUE(LEFT(D306,6))),MID(D306,7,1)=" "),LEFT(D306,6),D306),"")</f>
        <v/>
      </c>
      <c r="I306" s="36" t="str">
        <f aca="false">IF(G306=1,IF(COUNTIF('Forecast Detail'!$C$8:$C$400,H306)=0,"UNMAPPED","OK"),"")</f>
        <v/>
      </c>
    </row>
    <row r="307" customFormat="false" ht="15" hidden="false" customHeight="false" outlineLevel="0" collapsed="false">
      <c r="D307" s="36" t="str">
        <f aca="false">TRIM(A307)</f>
        <v/>
      </c>
      <c r="E307" s="36" t="str">
        <f aca="false">IF(D307="Revenue","Revenue",IF(D307="Cost of Goods Sold","COGS",IF(D307="Expenditures","Expense",IF(D307="Other Revenue","Other Revenue",IF(D307="Other Expenditures","Other Expense",E306)))))</f>
        <v>Other Expense</v>
      </c>
      <c r="F307" s="36" t="str">
        <f aca="false">IF(OR(D307="Revenue",D307="Cost of Goods Sold",D307="Expenditures",D307="Other Revenue",D307="Other Expenditures"),E307,IF(AND(LEN(D307)&gt;2,MID(D307,2,1)=" ",ISNUMBER(VALUE(LEFT(D307,1)))),D307,F306))</f>
        <v>Other Expense</v>
      </c>
      <c r="G307" s="36" t="n">
        <f aca="false">IF(AND(D307&lt;&gt;"",ISNUMBER(B307),LEFT(D307,9)&lt;&gt;"Total for",D307&lt;&gt;"Gross Profit",D307&lt;&gt;"Net Operating Revenue",D307&lt;&gt;"Net Other Revenue",D307&lt;&gt;"Net Revenue"),1,0)</f>
        <v>0</v>
      </c>
      <c r="H307" s="36" t="str">
        <f aca="false">IF(G307=1,IF(AND(LEN(D307)&gt;7,ISNUMBER(VALUE(LEFT(D307,6))),MID(D307,7,1)=" "),LEFT(D307,6),D307),"")</f>
        <v/>
      </c>
      <c r="I307" s="36" t="str">
        <f aca="false">IF(G307=1,IF(COUNTIF('Forecast Detail'!$C$8:$C$400,H307)=0,"UNMAPPED","OK"),"")</f>
        <v/>
      </c>
    </row>
    <row r="308" customFormat="false" ht="15" hidden="false" customHeight="false" outlineLevel="0" collapsed="false">
      <c r="D308" s="36" t="str">
        <f aca="false">TRIM(A308)</f>
        <v/>
      </c>
      <c r="E308" s="36" t="str">
        <f aca="false">IF(D308="Revenue","Revenue",IF(D308="Cost of Goods Sold","COGS",IF(D308="Expenditures","Expense",IF(D308="Other Revenue","Other Revenue",IF(D308="Other Expenditures","Other Expense",E307)))))</f>
        <v>Other Expense</v>
      </c>
      <c r="F308" s="36" t="str">
        <f aca="false">IF(OR(D308="Revenue",D308="Cost of Goods Sold",D308="Expenditures",D308="Other Revenue",D308="Other Expenditures"),E308,IF(AND(LEN(D308)&gt;2,MID(D308,2,1)=" ",ISNUMBER(VALUE(LEFT(D308,1)))),D308,F307))</f>
        <v>Other Expense</v>
      </c>
      <c r="G308" s="36" t="n">
        <f aca="false">IF(AND(D308&lt;&gt;"",ISNUMBER(B308),LEFT(D308,9)&lt;&gt;"Total for",D308&lt;&gt;"Gross Profit",D308&lt;&gt;"Net Operating Revenue",D308&lt;&gt;"Net Other Revenue",D308&lt;&gt;"Net Revenue"),1,0)</f>
        <v>0</v>
      </c>
      <c r="H308" s="36" t="str">
        <f aca="false">IF(G308=1,IF(AND(LEN(D308)&gt;7,ISNUMBER(VALUE(LEFT(D308,6))),MID(D308,7,1)=" "),LEFT(D308,6),D308),"")</f>
        <v/>
      </c>
      <c r="I308" s="36" t="str">
        <f aca="false">IF(G308=1,IF(COUNTIF('Forecast Detail'!$C$8:$C$400,H308)=0,"UNMAPPED","OK"),"")</f>
        <v/>
      </c>
    </row>
    <row r="309" customFormat="false" ht="15" hidden="false" customHeight="false" outlineLevel="0" collapsed="false">
      <c r="D309" s="36" t="str">
        <f aca="false">TRIM(A309)</f>
        <v/>
      </c>
      <c r="E309" s="36" t="str">
        <f aca="false">IF(D309="Revenue","Revenue",IF(D309="Cost of Goods Sold","COGS",IF(D309="Expenditures","Expense",IF(D309="Other Revenue","Other Revenue",IF(D309="Other Expenditures","Other Expense",E308)))))</f>
        <v>Other Expense</v>
      </c>
      <c r="F309" s="36" t="str">
        <f aca="false">IF(OR(D309="Revenue",D309="Cost of Goods Sold",D309="Expenditures",D309="Other Revenue",D309="Other Expenditures"),E309,IF(AND(LEN(D309)&gt;2,MID(D309,2,1)=" ",ISNUMBER(VALUE(LEFT(D309,1)))),D309,F308))</f>
        <v>Other Expense</v>
      </c>
      <c r="G309" s="36" t="n">
        <f aca="false">IF(AND(D309&lt;&gt;"",ISNUMBER(B309),LEFT(D309,9)&lt;&gt;"Total for",D309&lt;&gt;"Gross Profit",D309&lt;&gt;"Net Operating Revenue",D309&lt;&gt;"Net Other Revenue",D309&lt;&gt;"Net Revenue"),1,0)</f>
        <v>0</v>
      </c>
      <c r="H309" s="36" t="str">
        <f aca="false">IF(G309=1,IF(AND(LEN(D309)&gt;7,ISNUMBER(VALUE(LEFT(D309,6))),MID(D309,7,1)=" "),LEFT(D309,6),D309),"")</f>
        <v/>
      </c>
      <c r="I309" s="36" t="str">
        <f aca="false">IF(G309=1,IF(COUNTIF('Forecast Detail'!$C$8:$C$400,H309)=0,"UNMAPPED","OK"),"")</f>
        <v/>
      </c>
    </row>
    <row r="310" customFormat="false" ht="15" hidden="false" customHeight="false" outlineLevel="0" collapsed="false">
      <c r="D310" s="36" t="str">
        <f aca="false">TRIM(A310)</f>
        <v/>
      </c>
      <c r="E310" s="36" t="str">
        <f aca="false">IF(D310="Revenue","Revenue",IF(D310="Cost of Goods Sold","COGS",IF(D310="Expenditures","Expense",IF(D310="Other Revenue","Other Revenue",IF(D310="Other Expenditures","Other Expense",E309)))))</f>
        <v>Other Expense</v>
      </c>
      <c r="F310" s="36" t="str">
        <f aca="false">IF(OR(D310="Revenue",D310="Cost of Goods Sold",D310="Expenditures",D310="Other Revenue",D310="Other Expenditures"),E310,IF(AND(LEN(D310)&gt;2,MID(D310,2,1)=" ",ISNUMBER(VALUE(LEFT(D310,1)))),D310,F309))</f>
        <v>Other Expense</v>
      </c>
      <c r="G310" s="36" t="n">
        <f aca="false">IF(AND(D310&lt;&gt;"",ISNUMBER(B310),LEFT(D310,9)&lt;&gt;"Total for",D310&lt;&gt;"Gross Profit",D310&lt;&gt;"Net Operating Revenue",D310&lt;&gt;"Net Other Revenue",D310&lt;&gt;"Net Revenue"),1,0)</f>
        <v>0</v>
      </c>
      <c r="H310" s="36" t="str">
        <f aca="false">IF(G310=1,IF(AND(LEN(D310)&gt;7,ISNUMBER(VALUE(LEFT(D310,6))),MID(D310,7,1)=" "),LEFT(D310,6),D310),"")</f>
        <v/>
      </c>
      <c r="I310" s="36" t="str">
        <f aca="false">IF(G310=1,IF(COUNTIF('Forecast Detail'!$C$8:$C$400,H310)=0,"UNMAPPED","OK"),"")</f>
        <v/>
      </c>
    </row>
    <row r="311" customFormat="false" ht="15" hidden="false" customHeight="false" outlineLevel="0" collapsed="false">
      <c r="D311" s="36" t="str">
        <f aca="false">TRIM(A311)</f>
        <v/>
      </c>
      <c r="E311" s="36" t="str">
        <f aca="false">IF(D311="Revenue","Revenue",IF(D311="Cost of Goods Sold","COGS",IF(D311="Expenditures","Expense",IF(D311="Other Revenue","Other Revenue",IF(D311="Other Expenditures","Other Expense",E310)))))</f>
        <v>Other Expense</v>
      </c>
      <c r="F311" s="36" t="str">
        <f aca="false">IF(OR(D311="Revenue",D311="Cost of Goods Sold",D311="Expenditures",D311="Other Revenue",D311="Other Expenditures"),E311,IF(AND(LEN(D311)&gt;2,MID(D311,2,1)=" ",ISNUMBER(VALUE(LEFT(D311,1)))),D311,F310))</f>
        <v>Other Expense</v>
      </c>
      <c r="G311" s="36" t="n">
        <f aca="false">IF(AND(D311&lt;&gt;"",ISNUMBER(B311),LEFT(D311,9)&lt;&gt;"Total for",D311&lt;&gt;"Gross Profit",D311&lt;&gt;"Net Operating Revenue",D311&lt;&gt;"Net Other Revenue",D311&lt;&gt;"Net Revenue"),1,0)</f>
        <v>0</v>
      </c>
      <c r="H311" s="36" t="str">
        <f aca="false">IF(G311=1,IF(AND(LEN(D311)&gt;7,ISNUMBER(VALUE(LEFT(D311,6))),MID(D311,7,1)=" "),LEFT(D311,6),D311),"")</f>
        <v/>
      </c>
      <c r="I311" s="36" t="str">
        <f aca="false">IF(G311=1,IF(COUNTIF('Forecast Detail'!$C$8:$C$400,H311)=0,"UNMAPPED","OK"),"")</f>
        <v/>
      </c>
    </row>
    <row r="312" customFormat="false" ht="15" hidden="false" customHeight="false" outlineLevel="0" collapsed="false">
      <c r="D312" s="36" t="str">
        <f aca="false">TRIM(A312)</f>
        <v/>
      </c>
      <c r="E312" s="36" t="str">
        <f aca="false">IF(D312="Revenue","Revenue",IF(D312="Cost of Goods Sold","COGS",IF(D312="Expenditures","Expense",IF(D312="Other Revenue","Other Revenue",IF(D312="Other Expenditures","Other Expense",E311)))))</f>
        <v>Other Expense</v>
      </c>
      <c r="F312" s="36" t="str">
        <f aca="false">IF(OR(D312="Revenue",D312="Cost of Goods Sold",D312="Expenditures",D312="Other Revenue",D312="Other Expenditures"),E312,IF(AND(LEN(D312)&gt;2,MID(D312,2,1)=" ",ISNUMBER(VALUE(LEFT(D312,1)))),D312,F311))</f>
        <v>Other Expense</v>
      </c>
      <c r="G312" s="36" t="n">
        <f aca="false">IF(AND(D312&lt;&gt;"",ISNUMBER(B312),LEFT(D312,9)&lt;&gt;"Total for",D312&lt;&gt;"Gross Profit",D312&lt;&gt;"Net Operating Revenue",D312&lt;&gt;"Net Other Revenue",D312&lt;&gt;"Net Revenue"),1,0)</f>
        <v>0</v>
      </c>
      <c r="H312" s="36" t="str">
        <f aca="false">IF(G312=1,IF(AND(LEN(D312)&gt;7,ISNUMBER(VALUE(LEFT(D312,6))),MID(D312,7,1)=" "),LEFT(D312,6),D312),"")</f>
        <v/>
      </c>
      <c r="I312" s="36" t="str">
        <f aca="false">IF(G312=1,IF(COUNTIF('Forecast Detail'!$C$8:$C$400,H312)=0,"UNMAPPED","OK"),"")</f>
        <v/>
      </c>
    </row>
    <row r="313" customFormat="false" ht="15" hidden="false" customHeight="false" outlineLevel="0" collapsed="false">
      <c r="D313" s="36" t="str">
        <f aca="false">TRIM(A313)</f>
        <v/>
      </c>
      <c r="E313" s="36" t="str">
        <f aca="false">IF(D313="Revenue","Revenue",IF(D313="Cost of Goods Sold","COGS",IF(D313="Expenditures","Expense",IF(D313="Other Revenue","Other Revenue",IF(D313="Other Expenditures","Other Expense",E312)))))</f>
        <v>Other Expense</v>
      </c>
      <c r="F313" s="36" t="str">
        <f aca="false">IF(OR(D313="Revenue",D313="Cost of Goods Sold",D313="Expenditures",D313="Other Revenue",D313="Other Expenditures"),E313,IF(AND(LEN(D313)&gt;2,MID(D313,2,1)=" ",ISNUMBER(VALUE(LEFT(D313,1)))),D313,F312))</f>
        <v>Other Expense</v>
      </c>
      <c r="G313" s="36" t="n">
        <f aca="false">IF(AND(D313&lt;&gt;"",ISNUMBER(B313),LEFT(D313,9)&lt;&gt;"Total for",D313&lt;&gt;"Gross Profit",D313&lt;&gt;"Net Operating Revenue",D313&lt;&gt;"Net Other Revenue",D313&lt;&gt;"Net Revenue"),1,0)</f>
        <v>0</v>
      </c>
      <c r="H313" s="36" t="str">
        <f aca="false">IF(G313=1,IF(AND(LEN(D313)&gt;7,ISNUMBER(VALUE(LEFT(D313,6))),MID(D313,7,1)=" "),LEFT(D313,6),D313),"")</f>
        <v/>
      </c>
      <c r="I313" s="36" t="str">
        <f aca="false">IF(G313=1,IF(COUNTIF('Forecast Detail'!$C$8:$C$400,H313)=0,"UNMAPPED","OK"),"")</f>
        <v/>
      </c>
    </row>
    <row r="314" customFormat="false" ht="15" hidden="false" customHeight="false" outlineLevel="0" collapsed="false">
      <c r="D314" s="36" t="str">
        <f aca="false">TRIM(A314)</f>
        <v/>
      </c>
      <c r="E314" s="36" t="str">
        <f aca="false">IF(D314="Revenue","Revenue",IF(D314="Cost of Goods Sold","COGS",IF(D314="Expenditures","Expense",IF(D314="Other Revenue","Other Revenue",IF(D314="Other Expenditures","Other Expense",E313)))))</f>
        <v>Other Expense</v>
      </c>
      <c r="F314" s="36" t="str">
        <f aca="false">IF(OR(D314="Revenue",D314="Cost of Goods Sold",D314="Expenditures",D314="Other Revenue",D314="Other Expenditures"),E314,IF(AND(LEN(D314)&gt;2,MID(D314,2,1)=" ",ISNUMBER(VALUE(LEFT(D314,1)))),D314,F313))</f>
        <v>Other Expense</v>
      </c>
      <c r="G314" s="36" t="n">
        <f aca="false">IF(AND(D314&lt;&gt;"",ISNUMBER(B314),LEFT(D314,9)&lt;&gt;"Total for",D314&lt;&gt;"Gross Profit",D314&lt;&gt;"Net Operating Revenue",D314&lt;&gt;"Net Other Revenue",D314&lt;&gt;"Net Revenue"),1,0)</f>
        <v>0</v>
      </c>
      <c r="H314" s="36" t="str">
        <f aca="false">IF(G314=1,IF(AND(LEN(D314)&gt;7,ISNUMBER(VALUE(LEFT(D314,6))),MID(D314,7,1)=" "),LEFT(D314,6),D314),"")</f>
        <v/>
      </c>
      <c r="I314" s="36" t="str">
        <f aca="false">IF(G314=1,IF(COUNTIF('Forecast Detail'!$C$8:$C$400,H314)=0,"UNMAPPED","OK"),"")</f>
        <v/>
      </c>
    </row>
    <row r="315" customFormat="false" ht="15" hidden="false" customHeight="false" outlineLevel="0" collapsed="false">
      <c r="D315" s="36" t="str">
        <f aca="false">TRIM(A315)</f>
        <v/>
      </c>
      <c r="E315" s="36" t="str">
        <f aca="false">IF(D315="Revenue","Revenue",IF(D315="Cost of Goods Sold","COGS",IF(D315="Expenditures","Expense",IF(D315="Other Revenue","Other Revenue",IF(D315="Other Expenditures","Other Expense",E314)))))</f>
        <v>Other Expense</v>
      </c>
      <c r="F315" s="36" t="str">
        <f aca="false">IF(OR(D315="Revenue",D315="Cost of Goods Sold",D315="Expenditures",D315="Other Revenue",D315="Other Expenditures"),E315,IF(AND(LEN(D315)&gt;2,MID(D315,2,1)=" ",ISNUMBER(VALUE(LEFT(D315,1)))),D315,F314))</f>
        <v>Other Expense</v>
      </c>
      <c r="G315" s="36" t="n">
        <f aca="false">IF(AND(D315&lt;&gt;"",ISNUMBER(B315),LEFT(D315,9)&lt;&gt;"Total for",D315&lt;&gt;"Gross Profit",D315&lt;&gt;"Net Operating Revenue",D315&lt;&gt;"Net Other Revenue",D315&lt;&gt;"Net Revenue"),1,0)</f>
        <v>0</v>
      </c>
      <c r="H315" s="36" t="str">
        <f aca="false">IF(G315=1,IF(AND(LEN(D315)&gt;7,ISNUMBER(VALUE(LEFT(D315,6))),MID(D315,7,1)=" "),LEFT(D315,6),D315),"")</f>
        <v/>
      </c>
      <c r="I315" s="36" t="str">
        <f aca="false">IF(G315=1,IF(COUNTIF('Forecast Detail'!$C$8:$C$400,H315)=0,"UNMAPPED","OK"),"")</f>
        <v/>
      </c>
    </row>
    <row r="316" customFormat="false" ht="15" hidden="false" customHeight="false" outlineLevel="0" collapsed="false">
      <c r="D316" s="36" t="str">
        <f aca="false">TRIM(A316)</f>
        <v/>
      </c>
      <c r="E316" s="36" t="str">
        <f aca="false">IF(D316="Revenue","Revenue",IF(D316="Cost of Goods Sold","COGS",IF(D316="Expenditures","Expense",IF(D316="Other Revenue","Other Revenue",IF(D316="Other Expenditures","Other Expense",E315)))))</f>
        <v>Other Expense</v>
      </c>
      <c r="F316" s="36" t="str">
        <f aca="false">IF(OR(D316="Revenue",D316="Cost of Goods Sold",D316="Expenditures",D316="Other Revenue",D316="Other Expenditures"),E316,IF(AND(LEN(D316)&gt;2,MID(D316,2,1)=" ",ISNUMBER(VALUE(LEFT(D316,1)))),D316,F315))</f>
        <v>Other Expense</v>
      </c>
      <c r="G316" s="36" t="n">
        <f aca="false">IF(AND(D316&lt;&gt;"",ISNUMBER(B316),LEFT(D316,9)&lt;&gt;"Total for",D316&lt;&gt;"Gross Profit",D316&lt;&gt;"Net Operating Revenue",D316&lt;&gt;"Net Other Revenue",D316&lt;&gt;"Net Revenue"),1,0)</f>
        <v>0</v>
      </c>
      <c r="H316" s="36" t="str">
        <f aca="false">IF(G316=1,IF(AND(LEN(D316)&gt;7,ISNUMBER(VALUE(LEFT(D316,6))),MID(D316,7,1)=" "),LEFT(D316,6),D316),"")</f>
        <v/>
      </c>
      <c r="I316" s="36" t="str">
        <f aca="false">IF(G316=1,IF(COUNTIF('Forecast Detail'!$C$8:$C$400,H316)=0,"UNMAPPED","OK"),"")</f>
        <v/>
      </c>
    </row>
    <row r="317" customFormat="false" ht="15" hidden="false" customHeight="false" outlineLevel="0" collapsed="false">
      <c r="D317" s="36" t="str">
        <f aca="false">TRIM(A317)</f>
        <v/>
      </c>
      <c r="E317" s="36" t="str">
        <f aca="false">IF(D317="Revenue","Revenue",IF(D317="Cost of Goods Sold","COGS",IF(D317="Expenditures","Expense",IF(D317="Other Revenue","Other Revenue",IF(D317="Other Expenditures","Other Expense",E316)))))</f>
        <v>Other Expense</v>
      </c>
      <c r="F317" s="36" t="str">
        <f aca="false">IF(OR(D317="Revenue",D317="Cost of Goods Sold",D317="Expenditures",D317="Other Revenue",D317="Other Expenditures"),E317,IF(AND(LEN(D317)&gt;2,MID(D317,2,1)=" ",ISNUMBER(VALUE(LEFT(D317,1)))),D317,F316))</f>
        <v>Other Expense</v>
      </c>
      <c r="G317" s="36" t="n">
        <f aca="false">IF(AND(D317&lt;&gt;"",ISNUMBER(B317),LEFT(D317,9)&lt;&gt;"Total for",D317&lt;&gt;"Gross Profit",D317&lt;&gt;"Net Operating Revenue",D317&lt;&gt;"Net Other Revenue",D317&lt;&gt;"Net Revenue"),1,0)</f>
        <v>0</v>
      </c>
      <c r="H317" s="36" t="str">
        <f aca="false">IF(G317=1,IF(AND(LEN(D317)&gt;7,ISNUMBER(VALUE(LEFT(D317,6))),MID(D317,7,1)=" "),LEFT(D317,6),D317),"")</f>
        <v/>
      </c>
      <c r="I317" s="36" t="str">
        <f aca="false">IF(G317=1,IF(COUNTIF('Forecast Detail'!$C$8:$C$400,H317)=0,"UNMAPPED","OK"),"")</f>
        <v/>
      </c>
    </row>
    <row r="318" customFormat="false" ht="15" hidden="false" customHeight="false" outlineLevel="0" collapsed="false">
      <c r="D318" s="36" t="str">
        <f aca="false">TRIM(A318)</f>
        <v/>
      </c>
      <c r="E318" s="36" t="str">
        <f aca="false">IF(D318="Revenue","Revenue",IF(D318="Cost of Goods Sold","COGS",IF(D318="Expenditures","Expense",IF(D318="Other Revenue","Other Revenue",IF(D318="Other Expenditures","Other Expense",E317)))))</f>
        <v>Other Expense</v>
      </c>
      <c r="F318" s="36" t="str">
        <f aca="false">IF(OR(D318="Revenue",D318="Cost of Goods Sold",D318="Expenditures",D318="Other Revenue",D318="Other Expenditures"),E318,IF(AND(LEN(D318)&gt;2,MID(D318,2,1)=" ",ISNUMBER(VALUE(LEFT(D318,1)))),D318,F317))</f>
        <v>Other Expense</v>
      </c>
      <c r="G318" s="36" t="n">
        <f aca="false">IF(AND(D318&lt;&gt;"",ISNUMBER(B318),LEFT(D318,9)&lt;&gt;"Total for",D318&lt;&gt;"Gross Profit",D318&lt;&gt;"Net Operating Revenue",D318&lt;&gt;"Net Other Revenue",D318&lt;&gt;"Net Revenue"),1,0)</f>
        <v>0</v>
      </c>
      <c r="H318" s="36" t="str">
        <f aca="false">IF(G318=1,IF(AND(LEN(D318)&gt;7,ISNUMBER(VALUE(LEFT(D318,6))),MID(D318,7,1)=" "),LEFT(D318,6),D318),"")</f>
        <v/>
      </c>
      <c r="I318" s="36" t="str">
        <f aca="false">IF(G318=1,IF(COUNTIF('Forecast Detail'!$C$8:$C$400,H318)=0,"UNMAPPED","OK"),"")</f>
        <v/>
      </c>
    </row>
    <row r="319" customFormat="false" ht="15" hidden="false" customHeight="false" outlineLevel="0" collapsed="false">
      <c r="D319" s="36" t="str">
        <f aca="false">TRIM(A319)</f>
        <v/>
      </c>
      <c r="E319" s="36" t="str">
        <f aca="false">IF(D319="Revenue","Revenue",IF(D319="Cost of Goods Sold","COGS",IF(D319="Expenditures","Expense",IF(D319="Other Revenue","Other Revenue",IF(D319="Other Expenditures","Other Expense",E318)))))</f>
        <v>Other Expense</v>
      </c>
      <c r="F319" s="36" t="str">
        <f aca="false">IF(OR(D319="Revenue",D319="Cost of Goods Sold",D319="Expenditures",D319="Other Revenue",D319="Other Expenditures"),E319,IF(AND(LEN(D319)&gt;2,MID(D319,2,1)=" ",ISNUMBER(VALUE(LEFT(D319,1)))),D319,F318))</f>
        <v>Other Expense</v>
      </c>
      <c r="G319" s="36" t="n">
        <f aca="false">IF(AND(D319&lt;&gt;"",ISNUMBER(B319),LEFT(D319,9)&lt;&gt;"Total for",D319&lt;&gt;"Gross Profit",D319&lt;&gt;"Net Operating Revenue",D319&lt;&gt;"Net Other Revenue",D319&lt;&gt;"Net Revenue"),1,0)</f>
        <v>0</v>
      </c>
      <c r="H319" s="36" t="str">
        <f aca="false">IF(G319=1,IF(AND(LEN(D319)&gt;7,ISNUMBER(VALUE(LEFT(D319,6))),MID(D319,7,1)=" "),LEFT(D319,6),D319),"")</f>
        <v/>
      </c>
      <c r="I319" s="36" t="str">
        <f aca="false">IF(G319=1,IF(COUNTIF('Forecast Detail'!$C$8:$C$400,H319)=0,"UNMAPPED","OK"),"")</f>
        <v/>
      </c>
    </row>
    <row r="320" customFormat="false" ht="15" hidden="false" customHeight="false" outlineLevel="0" collapsed="false">
      <c r="D320" s="36" t="str">
        <f aca="false">TRIM(A320)</f>
        <v/>
      </c>
      <c r="E320" s="36" t="str">
        <f aca="false">IF(D320="Revenue","Revenue",IF(D320="Cost of Goods Sold","COGS",IF(D320="Expenditures","Expense",IF(D320="Other Revenue","Other Revenue",IF(D320="Other Expenditures","Other Expense",E319)))))</f>
        <v>Other Expense</v>
      </c>
      <c r="F320" s="36" t="str">
        <f aca="false">IF(OR(D320="Revenue",D320="Cost of Goods Sold",D320="Expenditures",D320="Other Revenue",D320="Other Expenditures"),E320,IF(AND(LEN(D320)&gt;2,MID(D320,2,1)=" ",ISNUMBER(VALUE(LEFT(D320,1)))),D320,F319))</f>
        <v>Other Expense</v>
      </c>
      <c r="G320" s="36" t="n">
        <f aca="false">IF(AND(D320&lt;&gt;"",ISNUMBER(B320),LEFT(D320,9)&lt;&gt;"Total for",D320&lt;&gt;"Gross Profit",D320&lt;&gt;"Net Operating Revenue",D320&lt;&gt;"Net Other Revenue",D320&lt;&gt;"Net Revenue"),1,0)</f>
        <v>0</v>
      </c>
      <c r="H320" s="36" t="str">
        <f aca="false">IF(G320=1,IF(AND(LEN(D320)&gt;7,ISNUMBER(VALUE(LEFT(D320,6))),MID(D320,7,1)=" "),LEFT(D320,6),D320),"")</f>
        <v/>
      </c>
      <c r="I320" s="36" t="str">
        <f aca="false">IF(G320=1,IF(COUNTIF('Forecast Detail'!$C$8:$C$400,H320)=0,"UNMAPPED","OK"),"")</f>
        <v/>
      </c>
    </row>
    <row r="321" customFormat="false" ht="15" hidden="false" customHeight="false" outlineLevel="0" collapsed="false">
      <c r="D321" s="36" t="str">
        <f aca="false">TRIM(A321)</f>
        <v/>
      </c>
      <c r="E321" s="36" t="str">
        <f aca="false">IF(D321="Revenue","Revenue",IF(D321="Cost of Goods Sold","COGS",IF(D321="Expenditures","Expense",IF(D321="Other Revenue","Other Revenue",IF(D321="Other Expenditures","Other Expense",E320)))))</f>
        <v>Other Expense</v>
      </c>
      <c r="F321" s="36" t="str">
        <f aca="false">IF(OR(D321="Revenue",D321="Cost of Goods Sold",D321="Expenditures",D321="Other Revenue",D321="Other Expenditures"),E321,IF(AND(LEN(D321)&gt;2,MID(D321,2,1)=" ",ISNUMBER(VALUE(LEFT(D321,1)))),D321,F320))</f>
        <v>Other Expense</v>
      </c>
      <c r="G321" s="36" t="n">
        <f aca="false">IF(AND(D321&lt;&gt;"",ISNUMBER(B321),LEFT(D321,9)&lt;&gt;"Total for",D321&lt;&gt;"Gross Profit",D321&lt;&gt;"Net Operating Revenue",D321&lt;&gt;"Net Other Revenue",D321&lt;&gt;"Net Revenue"),1,0)</f>
        <v>0</v>
      </c>
      <c r="H321" s="36" t="str">
        <f aca="false">IF(G321=1,IF(AND(LEN(D321)&gt;7,ISNUMBER(VALUE(LEFT(D321,6))),MID(D321,7,1)=" "),LEFT(D321,6),D321),"")</f>
        <v/>
      </c>
      <c r="I321" s="36" t="str">
        <f aca="false">IF(G321=1,IF(COUNTIF('Forecast Detail'!$C$8:$C$400,H321)=0,"UNMAPPED","OK"),"")</f>
        <v/>
      </c>
    </row>
    <row r="322" customFormat="false" ht="15" hidden="false" customHeight="false" outlineLevel="0" collapsed="false">
      <c r="D322" s="36" t="str">
        <f aca="false">TRIM(A322)</f>
        <v/>
      </c>
      <c r="E322" s="36" t="str">
        <f aca="false">IF(D322="Revenue","Revenue",IF(D322="Cost of Goods Sold","COGS",IF(D322="Expenditures","Expense",IF(D322="Other Revenue","Other Revenue",IF(D322="Other Expenditures","Other Expense",E321)))))</f>
        <v>Other Expense</v>
      </c>
      <c r="F322" s="36" t="str">
        <f aca="false">IF(OR(D322="Revenue",D322="Cost of Goods Sold",D322="Expenditures",D322="Other Revenue",D322="Other Expenditures"),E322,IF(AND(LEN(D322)&gt;2,MID(D322,2,1)=" ",ISNUMBER(VALUE(LEFT(D322,1)))),D322,F321))</f>
        <v>Other Expense</v>
      </c>
      <c r="G322" s="36" t="n">
        <f aca="false">IF(AND(D322&lt;&gt;"",ISNUMBER(B322),LEFT(D322,9)&lt;&gt;"Total for",D322&lt;&gt;"Gross Profit",D322&lt;&gt;"Net Operating Revenue",D322&lt;&gt;"Net Other Revenue",D322&lt;&gt;"Net Revenue"),1,0)</f>
        <v>0</v>
      </c>
      <c r="H322" s="36" t="str">
        <f aca="false">IF(G322=1,IF(AND(LEN(D322)&gt;7,ISNUMBER(VALUE(LEFT(D322,6))),MID(D322,7,1)=" "),LEFT(D322,6),D322),"")</f>
        <v/>
      </c>
      <c r="I322" s="36" t="str">
        <f aca="false">IF(G322=1,IF(COUNTIF('Forecast Detail'!$C$8:$C$400,H322)=0,"UNMAPPED","OK"),"")</f>
        <v/>
      </c>
    </row>
    <row r="323" customFormat="false" ht="15" hidden="false" customHeight="false" outlineLevel="0" collapsed="false">
      <c r="D323" s="36" t="str">
        <f aca="false">TRIM(A323)</f>
        <v/>
      </c>
      <c r="E323" s="36" t="str">
        <f aca="false">IF(D323="Revenue","Revenue",IF(D323="Cost of Goods Sold","COGS",IF(D323="Expenditures","Expense",IF(D323="Other Revenue","Other Revenue",IF(D323="Other Expenditures","Other Expense",E322)))))</f>
        <v>Other Expense</v>
      </c>
      <c r="F323" s="36" t="str">
        <f aca="false">IF(OR(D323="Revenue",D323="Cost of Goods Sold",D323="Expenditures",D323="Other Revenue",D323="Other Expenditures"),E323,IF(AND(LEN(D323)&gt;2,MID(D323,2,1)=" ",ISNUMBER(VALUE(LEFT(D323,1)))),D323,F322))</f>
        <v>Other Expense</v>
      </c>
      <c r="G323" s="36" t="n">
        <f aca="false">IF(AND(D323&lt;&gt;"",ISNUMBER(B323),LEFT(D323,9)&lt;&gt;"Total for",D323&lt;&gt;"Gross Profit",D323&lt;&gt;"Net Operating Revenue",D323&lt;&gt;"Net Other Revenue",D323&lt;&gt;"Net Revenue"),1,0)</f>
        <v>0</v>
      </c>
      <c r="H323" s="36" t="str">
        <f aca="false">IF(G323=1,IF(AND(LEN(D323)&gt;7,ISNUMBER(VALUE(LEFT(D323,6))),MID(D323,7,1)=" "),LEFT(D323,6),D323),"")</f>
        <v/>
      </c>
      <c r="I323" s="36" t="str">
        <f aca="false">IF(G323=1,IF(COUNTIF('Forecast Detail'!$C$8:$C$400,H323)=0,"UNMAPPED","OK"),"")</f>
        <v/>
      </c>
    </row>
    <row r="324" customFormat="false" ht="15" hidden="false" customHeight="false" outlineLevel="0" collapsed="false">
      <c r="D324" s="36" t="str">
        <f aca="false">TRIM(A324)</f>
        <v/>
      </c>
      <c r="E324" s="36" t="str">
        <f aca="false">IF(D324="Revenue","Revenue",IF(D324="Cost of Goods Sold","COGS",IF(D324="Expenditures","Expense",IF(D324="Other Revenue","Other Revenue",IF(D324="Other Expenditures","Other Expense",E323)))))</f>
        <v>Other Expense</v>
      </c>
      <c r="F324" s="36" t="str">
        <f aca="false">IF(OR(D324="Revenue",D324="Cost of Goods Sold",D324="Expenditures",D324="Other Revenue",D324="Other Expenditures"),E324,IF(AND(LEN(D324)&gt;2,MID(D324,2,1)=" ",ISNUMBER(VALUE(LEFT(D324,1)))),D324,F323))</f>
        <v>Other Expense</v>
      </c>
      <c r="G324" s="36" t="n">
        <f aca="false">IF(AND(D324&lt;&gt;"",ISNUMBER(B324),LEFT(D324,9)&lt;&gt;"Total for",D324&lt;&gt;"Gross Profit",D324&lt;&gt;"Net Operating Revenue",D324&lt;&gt;"Net Other Revenue",D324&lt;&gt;"Net Revenue"),1,0)</f>
        <v>0</v>
      </c>
      <c r="H324" s="36" t="str">
        <f aca="false">IF(G324=1,IF(AND(LEN(D324)&gt;7,ISNUMBER(VALUE(LEFT(D324,6))),MID(D324,7,1)=" "),LEFT(D324,6),D324),"")</f>
        <v/>
      </c>
      <c r="I324" s="36" t="str">
        <f aca="false">IF(G324=1,IF(COUNTIF('Forecast Detail'!$C$8:$C$400,H324)=0,"UNMAPPED","OK"),"")</f>
        <v/>
      </c>
    </row>
    <row r="325" customFormat="false" ht="15" hidden="false" customHeight="false" outlineLevel="0" collapsed="false">
      <c r="D325" s="36" t="str">
        <f aca="false">TRIM(A325)</f>
        <v/>
      </c>
      <c r="E325" s="36" t="str">
        <f aca="false">IF(D325="Revenue","Revenue",IF(D325="Cost of Goods Sold","COGS",IF(D325="Expenditures","Expense",IF(D325="Other Revenue","Other Revenue",IF(D325="Other Expenditures","Other Expense",E324)))))</f>
        <v>Other Expense</v>
      </c>
      <c r="F325" s="36" t="str">
        <f aca="false">IF(OR(D325="Revenue",D325="Cost of Goods Sold",D325="Expenditures",D325="Other Revenue",D325="Other Expenditures"),E325,IF(AND(LEN(D325)&gt;2,MID(D325,2,1)=" ",ISNUMBER(VALUE(LEFT(D325,1)))),D325,F324))</f>
        <v>Other Expense</v>
      </c>
      <c r="G325" s="36" t="n">
        <f aca="false">IF(AND(D325&lt;&gt;"",ISNUMBER(B325),LEFT(D325,9)&lt;&gt;"Total for",D325&lt;&gt;"Gross Profit",D325&lt;&gt;"Net Operating Revenue",D325&lt;&gt;"Net Other Revenue",D325&lt;&gt;"Net Revenue"),1,0)</f>
        <v>0</v>
      </c>
      <c r="H325" s="36" t="str">
        <f aca="false">IF(G325=1,IF(AND(LEN(D325)&gt;7,ISNUMBER(VALUE(LEFT(D325,6))),MID(D325,7,1)=" "),LEFT(D325,6),D325),"")</f>
        <v/>
      </c>
      <c r="I325" s="36" t="str">
        <f aca="false">IF(G325=1,IF(COUNTIF('Forecast Detail'!$C$8:$C$400,H325)=0,"UNMAPPED","OK"),"")</f>
        <v/>
      </c>
    </row>
    <row r="326" customFormat="false" ht="15" hidden="false" customHeight="false" outlineLevel="0" collapsed="false">
      <c r="D326" s="36" t="str">
        <f aca="false">TRIM(A326)</f>
        <v/>
      </c>
      <c r="E326" s="36" t="str">
        <f aca="false">IF(D326="Revenue","Revenue",IF(D326="Cost of Goods Sold","COGS",IF(D326="Expenditures","Expense",IF(D326="Other Revenue","Other Revenue",IF(D326="Other Expenditures","Other Expense",E325)))))</f>
        <v>Other Expense</v>
      </c>
      <c r="F326" s="36" t="str">
        <f aca="false">IF(OR(D326="Revenue",D326="Cost of Goods Sold",D326="Expenditures",D326="Other Revenue",D326="Other Expenditures"),E326,IF(AND(LEN(D326)&gt;2,MID(D326,2,1)=" ",ISNUMBER(VALUE(LEFT(D326,1)))),D326,F325))</f>
        <v>Other Expense</v>
      </c>
      <c r="G326" s="36" t="n">
        <f aca="false">IF(AND(D326&lt;&gt;"",ISNUMBER(B326),LEFT(D326,9)&lt;&gt;"Total for",D326&lt;&gt;"Gross Profit",D326&lt;&gt;"Net Operating Revenue",D326&lt;&gt;"Net Other Revenue",D326&lt;&gt;"Net Revenue"),1,0)</f>
        <v>0</v>
      </c>
      <c r="H326" s="36" t="str">
        <f aca="false">IF(G326=1,IF(AND(LEN(D326)&gt;7,ISNUMBER(VALUE(LEFT(D326,6))),MID(D326,7,1)=" "),LEFT(D326,6),D326),"")</f>
        <v/>
      </c>
      <c r="I326" s="36" t="str">
        <f aca="false">IF(G326=1,IF(COUNTIF('Forecast Detail'!$C$8:$C$400,H326)=0,"UNMAPPED","OK"),"")</f>
        <v/>
      </c>
    </row>
    <row r="327" customFormat="false" ht="15" hidden="false" customHeight="false" outlineLevel="0" collapsed="false">
      <c r="D327" s="36" t="str">
        <f aca="false">TRIM(A327)</f>
        <v/>
      </c>
      <c r="E327" s="36" t="str">
        <f aca="false">IF(D327="Revenue","Revenue",IF(D327="Cost of Goods Sold","COGS",IF(D327="Expenditures","Expense",IF(D327="Other Revenue","Other Revenue",IF(D327="Other Expenditures","Other Expense",E326)))))</f>
        <v>Other Expense</v>
      </c>
      <c r="F327" s="36" t="str">
        <f aca="false">IF(OR(D327="Revenue",D327="Cost of Goods Sold",D327="Expenditures",D327="Other Revenue",D327="Other Expenditures"),E327,IF(AND(LEN(D327)&gt;2,MID(D327,2,1)=" ",ISNUMBER(VALUE(LEFT(D327,1)))),D327,F326))</f>
        <v>Other Expense</v>
      </c>
      <c r="G327" s="36" t="n">
        <f aca="false">IF(AND(D327&lt;&gt;"",ISNUMBER(B327),LEFT(D327,9)&lt;&gt;"Total for",D327&lt;&gt;"Gross Profit",D327&lt;&gt;"Net Operating Revenue",D327&lt;&gt;"Net Other Revenue",D327&lt;&gt;"Net Revenue"),1,0)</f>
        <v>0</v>
      </c>
      <c r="H327" s="36" t="str">
        <f aca="false">IF(G327=1,IF(AND(LEN(D327)&gt;7,ISNUMBER(VALUE(LEFT(D327,6))),MID(D327,7,1)=" "),LEFT(D327,6),D327),"")</f>
        <v/>
      </c>
      <c r="I327" s="36" t="str">
        <f aca="false">IF(G327=1,IF(COUNTIF('Forecast Detail'!$C$8:$C$400,H327)=0,"UNMAPPED","OK"),"")</f>
        <v/>
      </c>
    </row>
    <row r="328" customFormat="false" ht="15" hidden="false" customHeight="false" outlineLevel="0" collapsed="false">
      <c r="D328" s="36" t="str">
        <f aca="false">TRIM(A328)</f>
        <v/>
      </c>
      <c r="E328" s="36" t="str">
        <f aca="false">IF(D328="Revenue","Revenue",IF(D328="Cost of Goods Sold","COGS",IF(D328="Expenditures","Expense",IF(D328="Other Revenue","Other Revenue",IF(D328="Other Expenditures","Other Expense",E327)))))</f>
        <v>Other Expense</v>
      </c>
      <c r="F328" s="36" t="str">
        <f aca="false">IF(OR(D328="Revenue",D328="Cost of Goods Sold",D328="Expenditures",D328="Other Revenue",D328="Other Expenditures"),E328,IF(AND(LEN(D328)&gt;2,MID(D328,2,1)=" ",ISNUMBER(VALUE(LEFT(D328,1)))),D328,F327))</f>
        <v>Other Expense</v>
      </c>
      <c r="G328" s="36" t="n">
        <f aca="false">IF(AND(D328&lt;&gt;"",ISNUMBER(B328),LEFT(D328,9)&lt;&gt;"Total for",D328&lt;&gt;"Gross Profit",D328&lt;&gt;"Net Operating Revenue",D328&lt;&gt;"Net Other Revenue",D328&lt;&gt;"Net Revenue"),1,0)</f>
        <v>0</v>
      </c>
      <c r="H328" s="36" t="str">
        <f aca="false">IF(G328=1,IF(AND(LEN(D328)&gt;7,ISNUMBER(VALUE(LEFT(D328,6))),MID(D328,7,1)=" "),LEFT(D328,6),D328),"")</f>
        <v/>
      </c>
      <c r="I328" s="36" t="str">
        <f aca="false">IF(G328=1,IF(COUNTIF('Forecast Detail'!$C$8:$C$400,H328)=0,"UNMAPPED","OK"),"")</f>
        <v/>
      </c>
    </row>
    <row r="329" customFormat="false" ht="15" hidden="false" customHeight="false" outlineLevel="0" collapsed="false">
      <c r="D329" s="36" t="str">
        <f aca="false">TRIM(A329)</f>
        <v/>
      </c>
      <c r="E329" s="36" t="str">
        <f aca="false">IF(D329="Revenue","Revenue",IF(D329="Cost of Goods Sold","COGS",IF(D329="Expenditures","Expense",IF(D329="Other Revenue","Other Revenue",IF(D329="Other Expenditures","Other Expense",E328)))))</f>
        <v>Other Expense</v>
      </c>
      <c r="F329" s="36" t="str">
        <f aca="false">IF(OR(D329="Revenue",D329="Cost of Goods Sold",D329="Expenditures",D329="Other Revenue",D329="Other Expenditures"),E329,IF(AND(LEN(D329)&gt;2,MID(D329,2,1)=" ",ISNUMBER(VALUE(LEFT(D329,1)))),D329,F328))</f>
        <v>Other Expense</v>
      </c>
      <c r="G329" s="36" t="n">
        <f aca="false">IF(AND(D329&lt;&gt;"",ISNUMBER(B329),LEFT(D329,9)&lt;&gt;"Total for",D329&lt;&gt;"Gross Profit",D329&lt;&gt;"Net Operating Revenue",D329&lt;&gt;"Net Other Revenue",D329&lt;&gt;"Net Revenue"),1,0)</f>
        <v>0</v>
      </c>
      <c r="H329" s="36" t="str">
        <f aca="false">IF(G329=1,IF(AND(LEN(D329)&gt;7,ISNUMBER(VALUE(LEFT(D329,6))),MID(D329,7,1)=" "),LEFT(D329,6),D329),"")</f>
        <v/>
      </c>
      <c r="I329" s="36" t="str">
        <f aca="false">IF(G329=1,IF(COUNTIF('Forecast Detail'!$C$8:$C$400,H329)=0,"UNMAPPED","OK"),"")</f>
        <v/>
      </c>
    </row>
    <row r="330" customFormat="false" ht="15" hidden="false" customHeight="false" outlineLevel="0" collapsed="false">
      <c r="D330" s="36" t="str">
        <f aca="false">TRIM(A330)</f>
        <v/>
      </c>
      <c r="E330" s="36" t="str">
        <f aca="false">IF(D330="Revenue","Revenue",IF(D330="Cost of Goods Sold","COGS",IF(D330="Expenditures","Expense",IF(D330="Other Revenue","Other Revenue",IF(D330="Other Expenditures","Other Expense",E329)))))</f>
        <v>Other Expense</v>
      </c>
      <c r="F330" s="36" t="str">
        <f aca="false">IF(OR(D330="Revenue",D330="Cost of Goods Sold",D330="Expenditures",D330="Other Revenue",D330="Other Expenditures"),E330,IF(AND(LEN(D330)&gt;2,MID(D330,2,1)=" ",ISNUMBER(VALUE(LEFT(D330,1)))),D330,F329))</f>
        <v>Other Expense</v>
      </c>
      <c r="G330" s="36" t="n">
        <f aca="false">IF(AND(D330&lt;&gt;"",ISNUMBER(B330),LEFT(D330,9)&lt;&gt;"Total for",D330&lt;&gt;"Gross Profit",D330&lt;&gt;"Net Operating Revenue",D330&lt;&gt;"Net Other Revenue",D330&lt;&gt;"Net Revenue"),1,0)</f>
        <v>0</v>
      </c>
      <c r="H330" s="36" t="str">
        <f aca="false">IF(G330=1,IF(AND(LEN(D330)&gt;7,ISNUMBER(VALUE(LEFT(D330,6))),MID(D330,7,1)=" "),LEFT(D330,6),D330),"")</f>
        <v/>
      </c>
      <c r="I330" s="36" t="str">
        <f aca="false">IF(G330=1,IF(COUNTIF('Forecast Detail'!$C$8:$C$400,H330)=0,"UNMAPPED","OK"),"")</f>
        <v/>
      </c>
    </row>
    <row r="331" customFormat="false" ht="15" hidden="false" customHeight="false" outlineLevel="0" collapsed="false">
      <c r="D331" s="36" t="str">
        <f aca="false">TRIM(A331)</f>
        <v/>
      </c>
      <c r="E331" s="36" t="str">
        <f aca="false">IF(D331="Revenue","Revenue",IF(D331="Cost of Goods Sold","COGS",IF(D331="Expenditures","Expense",IF(D331="Other Revenue","Other Revenue",IF(D331="Other Expenditures","Other Expense",E330)))))</f>
        <v>Other Expense</v>
      </c>
      <c r="F331" s="36" t="str">
        <f aca="false">IF(OR(D331="Revenue",D331="Cost of Goods Sold",D331="Expenditures",D331="Other Revenue",D331="Other Expenditures"),E331,IF(AND(LEN(D331)&gt;2,MID(D331,2,1)=" ",ISNUMBER(VALUE(LEFT(D331,1)))),D331,F330))</f>
        <v>Other Expense</v>
      </c>
      <c r="G331" s="36" t="n">
        <f aca="false">IF(AND(D331&lt;&gt;"",ISNUMBER(B331),LEFT(D331,9)&lt;&gt;"Total for",D331&lt;&gt;"Gross Profit",D331&lt;&gt;"Net Operating Revenue",D331&lt;&gt;"Net Other Revenue",D331&lt;&gt;"Net Revenue"),1,0)</f>
        <v>0</v>
      </c>
      <c r="H331" s="36" t="str">
        <f aca="false">IF(G331=1,IF(AND(LEN(D331)&gt;7,ISNUMBER(VALUE(LEFT(D331,6))),MID(D331,7,1)=" "),LEFT(D331,6),D331),"")</f>
        <v/>
      </c>
      <c r="I331" s="36" t="str">
        <f aca="false">IF(G331=1,IF(COUNTIF('Forecast Detail'!$C$8:$C$400,H331)=0,"UNMAPPED","OK"),"")</f>
        <v/>
      </c>
    </row>
    <row r="332" customFormat="false" ht="15" hidden="false" customHeight="false" outlineLevel="0" collapsed="false">
      <c r="D332" s="36" t="str">
        <f aca="false">TRIM(A332)</f>
        <v/>
      </c>
      <c r="E332" s="36" t="str">
        <f aca="false">IF(D332="Revenue","Revenue",IF(D332="Cost of Goods Sold","COGS",IF(D332="Expenditures","Expense",IF(D332="Other Revenue","Other Revenue",IF(D332="Other Expenditures","Other Expense",E331)))))</f>
        <v>Other Expense</v>
      </c>
      <c r="F332" s="36" t="str">
        <f aca="false">IF(OR(D332="Revenue",D332="Cost of Goods Sold",D332="Expenditures",D332="Other Revenue",D332="Other Expenditures"),E332,IF(AND(LEN(D332)&gt;2,MID(D332,2,1)=" ",ISNUMBER(VALUE(LEFT(D332,1)))),D332,F331))</f>
        <v>Other Expense</v>
      </c>
      <c r="G332" s="36" t="n">
        <f aca="false">IF(AND(D332&lt;&gt;"",ISNUMBER(B332),LEFT(D332,9)&lt;&gt;"Total for",D332&lt;&gt;"Gross Profit",D332&lt;&gt;"Net Operating Revenue",D332&lt;&gt;"Net Other Revenue",D332&lt;&gt;"Net Revenue"),1,0)</f>
        <v>0</v>
      </c>
      <c r="H332" s="36" t="str">
        <f aca="false">IF(G332=1,IF(AND(LEN(D332)&gt;7,ISNUMBER(VALUE(LEFT(D332,6))),MID(D332,7,1)=" "),LEFT(D332,6),D332),"")</f>
        <v/>
      </c>
      <c r="I332" s="36" t="str">
        <f aca="false">IF(G332=1,IF(COUNTIF('Forecast Detail'!$C$8:$C$400,H332)=0,"UNMAPPED","OK"),"")</f>
        <v/>
      </c>
    </row>
    <row r="333" customFormat="false" ht="15" hidden="false" customHeight="false" outlineLevel="0" collapsed="false">
      <c r="D333" s="36" t="str">
        <f aca="false">TRIM(A333)</f>
        <v/>
      </c>
      <c r="E333" s="36" t="str">
        <f aca="false">IF(D333="Revenue","Revenue",IF(D333="Cost of Goods Sold","COGS",IF(D333="Expenditures","Expense",IF(D333="Other Revenue","Other Revenue",IF(D333="Other Expenditures","Other Expense",E332)))))</f>
        <v>Other Expense</v>
      </c>
      <c r="F333" s="36" t="str">
        <f aca="false">IF(OR(D333="Revenue",D333="Cost of Goods Sold",D333="Expenditures",D333="Other Revenue",D333="Other Expenditures"),E333,IF(AND(LEN(D333)&gt;2,MID(D333,2,1)=" ",ISNUMBER(VALUE(LEFT(D333,1)))),D333,F332))</f>
        <v>Other Expense</v>
      </c>
      <c r="G333" s="36" t="n">
        <f aca="false">IF(AND(D333&lt;&gt;"",ISNUMBER(B333),LEFT(D333,9)&lt;&gt;"Total for",D333&lt;&gt;"Gross Profit",D333&lt;&gt;"Net Operating Revenue",D333&lt;&gt;"Net Other Revenue",D333&lt;&gt;"Net Revenue"),1,0)</f>
        <v>0</v>
      </c>
      <c r="H333" s="36" t="str">
        <f aca="false">IF(G333=1,IF(AND(LEN(D333)&gt;7,ISNUMBER(VALUE(LEFT(D333,6))),MID(D333,7,1)=" "),LEFT(D333,6),D333),"")</f>
        <v/>
      </c>
      <c r="I333" s="36" t="str">
        <f aca="false">IF(G333=1,IF(COUNTIF('Forecast Detail'!$C$8:$C$400,H333)=0,"UNMAPPED","OK"),"")</f>
        <v/>
      </c>
    </row>
    <row r="334" customFormat="false" ht="15" hidden="false" customHeight="false" outlineLevel="0" collapsed="false">
      <c r="D334" s="36" t="str">
        <f aca="false">TRIM(A334)</f>
        <v/>
      </c>
      <c r="E334" s="36" t="str">
        <f aca="false">IF(D334="Revenue","Revenue",IF(D334="Cost of Goods Sold","COGS",IF(D334="Expenditures","Expense",IF(D334="Other Revenue","Other Revenue",IF(D334="Other Expenditures","Other Expense",E333)))))</f>
        <v>Other Expense</v>
      </c>
      <c r="F334" s="36" t="str">
        <f aca="false">IF(OR(D334="Revenue",D334="Cost of Goods Sold",D334="Expenditures",D334="Other Revenue",D334="Other Expenditures"),E334,IF(AND(LEN(D334)&gt;2,MID(D334,2,1)=" ",ISNUMBER(VALUE(LEFT(D334,1)))),D334,F333))</f>
        <v>Other Expense</v>
      </c>
      <c r="G334" s="36" t="n">
        <f aca="false">IF(AND(D334&lt;&gt;"",ISNUMBER(B334),LEFT(D334,9)&lt;&gt;"Total for",D334&lt;&gt;"Gross Profit",D334&lt;&gt;"Net Operating Revenue",D334&lt;&gt;"Net Other Revenue",D334&lt;&gt;"Net Revenue"),1,0)</f>
        <v>0</v>
      </c>
      <c r="H334" s="36" t="str">
        <f aca="false">IF(G334=1,IF(AND(LEN(D334)&gt;7,ISNUMBER(VALUE(LEFT(D334,6))),MID(D334,7,1)=" "),LEFT(D334,6),D334),"")</f>
        <v/>
      </c>
      <c r="I334" s="36" t="str">
        <f aca="false">IF(G334=1,IF(COUNTIF('Forecast Detail'!$C$8:$C$400,H334)=0,"UNMAPPED","OK"),"")</f>
        <v/>
      </c>
    </row>
    <row r="335" customFormat="false" ht="15" hidden="false" customHeight="false" outlineLevel="0" collapsed="false">
      <c r="D335" s="36" t="str">
        <f aca="false">TRIM(A335)</f>
        <v/>
      </c>
      <c r="E335" s="36" t="str">
        <f aca="false">IF(D335="Revenue","Revenue",IF(D335="Cost of Goods Sold","COGS",IF(D335="Expenditures","Expense",IF(D335="Other Revenue","Other Revenue",IF(D335="Other Expenditures","Other Expense",E334)))))</f>
        <v>Other Expense</v>
      </c>
      <c r="F335" s="36" t="str">
        <f aca="false">IF(OR(D335="Revenue",D335="Cost of Goods Sold",D335="Expenditures",D335="Other Revenue",D335="Other Expenditures"),E335,IF(AND(LEN(D335)&gt;2,MID(D335,2,1)=" ",ISNUMBER(VALUE(LEFT(D335,1)))),D335,F334))</f>
        <v>Other Expense</v>
      </c>
      <c r="G335" s="36" t="n">
        <f aca="false">IF(AND(D335&lt;&gt;"",ISNUMBER(B335),LEFT(D335,9)&lt;&gt;"Total for",D335&lt;&gt;"Gross Profit",D335&lt;&gt;"Net Operating Revenue",D335&lt;&gt;"Net Other Revenue",D335&lt;&gt;"Net Revenue"),1,0)</f>
        <v>0</v>
      </c>
      <c r="H335" s="36" t="str">
        <f aca="false">IF(G335=1,IF(AND(LEN(D335)&gt;7,ISNUMBER(VALUE(LEFT(D335,6))),MID(D335,7,1)=" "),LEFT(D335,6),D335),"")</f>
        <v/>
      </c>
      <c r="I335" s="36" t="str">
        <f aca="false">IF(G335=1,IF(COUNTIF('Forecast Detail'!$C$8:$C$400,H335)=0,"UNMAPPED","OK"),"")</f>
        <v/>
      </c>
    </row>
    <row r="336" customFormat="false" ht="15" hidden="false" customHeight="false" outlineLevel="0" collapsed="false">
      <c r="D336" s="36" t="str">
        <f aca="false">TRIM(A336)</f>
        <v/>
      </c>
      <c r="E336" s="36" t="str">
        <f aca="false">IF(D336="Revenue","Revenue",IF(D336="Cost of Goods Sold","COGS",IF(D336="Expenditures","Expense",IF(D336="Other Revenue","Other Revenue",IF(D336="Other Expenditures","Other Expense",E335)))))</f>
        <v>Other Expense</v>
      </c>
      <c r="F336" s="36" t="str">
        <f aca="false">IF(OR(D336="Revenue",D336="Cost of Goods Sold",D336="Expenditures",D336="Other Revenue",D336="Other Expenditures"),E336,IF(AND(LEN(D336)&gt;2,MID(D336,2,1)=" ",ISNUMBER(VALUE(LEFT(D336,1)))),D336,F335))</f>
        <v>Other Expense</v>
      </c>
      <c r="G336" s="36" t="n">
        <f aca="false">IF(AND(D336&lt;&gt;"",ISNUMBER(B336),LEFT(D336,9)&lt;&gt;"Total for",D336&lt;&gt;"Gross Profit",D336&lt;&gt;"Net Operating Revenue",D336&lt;&gt;"Net Other Revenue",D336&lt;&gt;"Net Revenue"),1,0)</f>
        <v>0</v>
      </c>
      <c r="H336" s="36" t="str">
        <f aca="false">IF(G336=1,IF(AND(LEN(D336)&gt;7,ISNUMBER(VALUE(LEFT(D336,6))),MID(D336,7,1)=" "),LEFT(D336,6),D336),"")</f>
        <v/>
      </c>
      <c r="I336" s="36" t="str">
        <f aca="false">IF(G336=1,IF(COUNTIF('Forecast Detail'!$C$8:$C$400,H336)=0,"UNMAPPED","OK"),"")</f>
        <v/>
      </c>
    </row>
    <row r="337" customFormat="false" ht="15" hidden="false" customHeight="false" outlineLevel="0" collapsed="false">
      <c r="D337" s="36" t="str">
        <f aca="false">TRIM(A337)</f>
        <v/>
      </c>
      <c r="E337" s="36" t="str">
        <f aca="false">IF(D337="Revenue","Revenue",IF(D337="Cost of Goods Sold","COGS",IF(D337="Expenditures","Expense",IF(D337="Other Revenue","Other Revenue",IF(D337="Other Expenditures","Other Expense",E336)))))</f>
        <v>Other Expense</v>
      </c>
      <c r="F337" s="36" t="str">
        <f aca="false">IF(OR(D337="Revenue",D337="Cost of Goods Sold",D337="Expenditures",D337="Other Revenue",D337="Other Expenditures"),E337,IF(AND(LEN(D337)&gt;2,MID(D337,2,1)=" ",ISNUMBER(VALUE(LEFT(D337,1)))),D337,F336))</f>
        <v>Other Expense</v>
      </c>
      <c r="G337" s="36" t="n">
        <f aca="false">IF(AND(D337&lt;&gt;"",ISNUMBER(B337),LEFT(D337,9)&lt;&gt;"Total for",D337&lt;&gt;"Gross Profit",D337&lt;&gt;"Net Operating Revenue",D337&lt;&gt;"Net Other Revenue",D337&lt;&gt;"Net Revenue"),1,0)</f>
        <v>0</v>
      </c>
      <c r="H337" s="36" t="str">
        <f aca="false">IF(G337=1,IF(AND(LEN(D337)&gt;7,ISNUMBER(VALUE(LEFT(D337,6))),MID(D337,7,1)=" "),LEFT(D337,6),D337),"")</f>
        <v/>
      </c>
      <c r="I337" s="36" t="str">
        <f aca="false">IF(G337=1,IF(COUNTIF('Forecast Detail'!$C$8:$C$400,H337)=0,"UNMAPPED","OK"),"")</f>
        <v/>
      </c>
    </row>
    <row r="338" customFormat="false" ht="15" hidden="false" customHeight="false" outlineLevel="0" collapsed="false">
      <c r="D338" s="36" t="str">
        <f aca="false">TRIM(A338)</f>
        <v/>
      </c>
      <c r="E338" s="36" t="str">
        <f aca="false">IF(D338="Revenue","Revenue",IF(D338="Cost of Goods Sold","COGS",IF(D338="Expenditures","Expense",IF(D338="Other Revenue","Other Revenue",IF(D338="Other Expenditures","Other Expense",E337)))))</f>
        <v>Other Expense</v>
      </c>
      <c r="F338" s="36" t="str">
        <f aca="false">IF(OR(D338="Revenue",D338="Cost of Goods Sold",D338="Expenditures",D338="Other Revenue",D338="Other Expenditures"),E338,IF(AND(LEN(D338)&gt;2,MID(D338,2,1)=" ",ISNUMBER(VALUE(LEFT(D338,1)))),D338,F337))</f>
        <v>Other Expense</v>
      </c>
      <c r="G338" s="36" t="n">
        <f aca="false">IF(AND(D338&lt;&gt;"",ISNUMBER(B338),LEFT(D338,9)&lt;&gt;"Total for",D338&lt;&gt;"Gross Profit",D338&lt;&gt;"Net Operating Revenue",D338&lt;&gt;"Net Other Revenue",D338&lt;&gt;"Net Revenue"),1,0)</f>
        <v>0</v>
      </c>
      <c r="H338" s="36" t="str">
        <f aca="false">IF(G338=1,IF(AND(LEN(D338)&gt;7,ISNUMBER(VALUE(LEFT(D338,6))),MID(D338,7,1)=" "),LEFT(D338,6),D338),"")</f>
        <v/>
      </c>
      <c r="I338" s="36" t="str">
        <f aca="false">IF(G338=1,IF(COUNTIF('Forecast Detail'!$C$8:$C$400,H338)=0,"UNMAPPED","OK"),"")</f>
        <v/>
      </c>
    </row>
    <row r="339" customFormat="false" ht="15" hidden="false" customHeight="false" outlineLevel="0" collapsed="false">
      <c r="D339" s="36" t="str">
        <f aca="false">TRIM(A339)</f>
        <v/>
      </c>
      <c r="E339" s="36" t="str">
        <f aca="false">IF(D339="Revenue","Revenue",IF(D339="Cost of Goods Sold","COGS",IF(D339="Expenditures","Expense",IF(D339="Other Revenue","Other Revenue",IF(D339="Other Expenditures","Other Expense",E338)))))</f>
        <v>Other Expense</v>
      </c>
      <c r="F339" s="36" t="str">
        <f aca="false">IF(OR(D339="Revenue",D339="Cost of Goods Sold",D339="Expenditures",D339="Other Revenue",D339="Other Expenditures"),E339,IF(AND(LEN(D339)&gt;2,MID(D339,2,1)=" ",ISNUMBER(VALUE(LEFT(D339,1)))),D339,F338))</f>
        <v>Other Expense</v>
      </c>
      <c r="G339" s="36" t="n">
        <f aca="false">IF(AND(D339&lt;&gt;"",ISNUMBER(B339),LEFT(D339,9)&lt;&gt;"Total for",D339&lt;&gt;"Gross Profit",D339&lt;&gt;"Net Operating Revenue",D339&lt;&gt;"Net Other Revenue",D339&lt;&gt;"Net Revenue"),1,0)</f>
        <v>0</v>
      </c>
      <c r="H339" s="36" t="str">
        <f aca="false">IF(G339=1,IF(AND(LEN(D339)&gt;7,ISNUMBER(VALUE(LEFT(D339,6))),MID(D339,7,1)=" "),LEFT(D339,6),D339),"")</f>
        <v/>
      </c>
      <c r="I339" s="36" t="str">
        <f aca="false">IF(G339=1,IF(COUNTIF('Forecast Detail'!$C$8:$C$400,H339)=0,"UNMAPPED","OK"),"")</f>
        <v/>
      </c>
    </row>
    <row r="340" customFormat="false" ht="15" hidden="false" customHeight="false" outlineLevel="0" collapsed="false">
      <c r="D340" s="36" t="str">
        <f aca="false">TRIM(A340)</f>
        <v/>
      </c>
      <c r="E340" s="36" t="str">
        <f aca="false">IF(D340="Revenue","Revenue",IF(D340="Cost of Goods Sold","COGS",IF(D340="Expenditures","Expense",IF(D340="Other Revenue","Other Revenue",IF(D340="Other Expenditures","Other Expense",E339)))))</f>
        <v>Other Expense</v>
      </c>
      <c r="F340" s="36" t="str">
        <f aca="false">IF(OR(D340="Revenue",D340="Cost of Goods Sold",D340="Expenditures",D340="Other Revenue",D340="Other Expenditures"),E340,IF(AND(LEN(D340)&gt;2,MID(D340,2,1)=" ",ISNUMBER(VALUE(LEFT(D340,1)))),D340,F339))</f>
        <v>Other Expense</v>
      </c>
      <c r="G340" s="36" t="n">
        <f aca="false">IF(AND(D340&lt;&gt;"",ISNUMBER(B340),LEFT(D340,9)&lt;&gt;"Total for",D340&lt;&gt;"Gross Profit",D340&lt;&gt;"Net Operating Revenue",D340&lt;&gt;"Net Other Revenue",D340&lt;&gt;"Net Revenue"),1,0)</f>
        <v>0</v>
      </c>
      <c r="H340" s="36" t="str">
        <f aca="false">IF(G340=1,IF(AND(LEN(D340)&gt;7,ISNUMBER(VALUE(LEFT(D340,6))),MID(D340,7,1)=" "),LEFT(D340,6),D340),"")</f>
        <v/>
      </c>
      <c r="I340" s="36" t="str">
        <f aca="false">IF(G340=1,IF(COUNTIF('Forecast Detail'!$C$8:$C$400,H340)=0,"UNMAPPED","OK"),"")</f>
        <v/>
      </c>
    </row>
    <row r="341" customFormat="false" ht="15" hidden="false" customHeight="false" outlineLevel="0" collapsed="false">
      <c r="D341" s="36" t="str">
        <f aca="false">TRIM(A341)</f>
        <v/>
      </c>
      <c r="E341" s="36" t="str">
        <f aca="false">IF(D341="Revenue","Revenue",IF(D341="Cost of Goods Sold","COGS",IF(D341="Expenditures","Expense",IF(D341="Other Revenue","Other Revenue",IF(D341="Other Expenditures","Other Expense",E340)))))</f>
        <v>Other Expense</v>
      </c>
      <c r="F341" s="36" t="str">
        <f aca="false">IF(OR(D341="Revenue",D341="Cost of Goods Sold",D341="Expenditures",D341="Other Revenue",D341="Other Expenditures"),E341,IF(AND(LEN(D341)&gt;2,MID(D341,2,1)=" ",ISNUMBER(VALUE(LEFT(D341,1)))),D341,F340))</f>
        <v>Other Expense</v>
      </c>
      <c r="G341" s="36" t="n">
        <f aca="false">IF(AND(D341&lt;&gt;"",ISNUMBER(B341),LEFT(D341,9)&lt;&gt;"Total for",D341&lt;&gt;"Gross Profit",D341&lt;&gt;"Net Operating Revenue",D341&lt;&gt;"Net Other Revenue",D341&lt;&gt;"Net Revenue"),1,0)</f>
        <v>0</v>
      </c>
      <c r="H341" s="36" t="str">
        <f aca="false">IF(G341=1,IF(AND(LEN(D341)&gt;7,ISNUMBER(VALUE(LEFT(D341,6))),MID(D341,7,1)=" "),LEFT(D341,6),D341),"")</f>
        <v/>
      </c>
      <c r="I341" s="36" t="str">
        <f aca="false">IF(G341=1,IF(COUNTIF('Forecast Detail'!$C$8:$C$400,H341)=0,"UNMAPPED","OK"),"")</f>
        <v/>
      </c>
    </row>
    <row r="342" customFormat="false" ht="15" hidden="false" customHeight="false" outlineLevel="0" collapsed="false">
      <c r="D342" s="36" t="str">
        <f aca="false">TRIM(A342)</f>
        <v/>
      </c>
      <c r="E342" s="36" t="str">
        <f aca="false">IF(D342="Revenue","Revenue",IF(D342="Cost of Goods Sold","COGS",IF(D342="Expenditures","Expense",IF(D342="Other Revenue","Other Revenue",IF(D342="Other Expenditures","Other Expense",E341)))))</f>
        <v>Other Expense</v>
      </c>
      <c r="F342" s="36" t="str">
        <f aca="false">IF(OR(D342="Revenue",D342="Cost of Goods Sold",D342="Expenditures",D342="Other Revenue",D342="Other Expenditures"),E342,IF(AND(LEN(D342)&gt;2,MID(D342,2,1)=" ",ISNUMBER(VALUE(LEFT(D342,1)))),D342,F341))</f>
        <v>Other Expense</v>
      </c>
      <c r="G342" s="36" t="n">
        <f aca="false">IF(AND(D342&lt;&gt;"",ISNUMBER(B342),LEFT(D342,9)&lt;&gt;"Total for",D342&lt;&gt;"Gross Profit",D342&lt;&gt;"Net Operating Revenue",D342&lt;&gt;"Net Other Revenue",D342&lt;&gt;"Net Revenue"),1,0)</f>
        <v>0</v>
      </c>
      <c r="H342" s="36" t="str">
        <f aca="false">IF(G342=1,IF(AND(LEN(D342)&gt;7,ISNUMBER(VALUE(LEFT(D342,6))),MID(D342,7,1)=" "),LEFT(D342,6),D342),"")</f>
        <v/>
      </c>
      <c r="I342" s="36" t="str">
        <f aca="false">IF(G342=1,IF(COUNTIF('Forecast Detail'!$C$8:$C$400,H342)=0,"UNMAPPED","OK"),"")</f>
        <v/>
      </c>
    </row>
    <row r="343" customFormat="false" ht="15" hidden="false" customHeight="false" outlineLevel="0" collapsed="false">
      <c r="D343" s="36" t="str">
        <f aca="false">TRIM(A343)</f>
        <v/>
      </c>
      <c r="E343" s="36" t="str">
        <f aca="false">IF(D343="Revenue","Revenue",IF(D343="Cost of Goods Sold","COGS",IF(D343="Expenditures","Expense",IF(D343="Other Revenue","Other Revenue",IF(D343="Other Expenditures","Other Expense",E342)))))</f>
        <v>Other Expense</v>
      </c>
      <c r="F343" s="36" t="str">
        <f aca="false">IF(OR(D343="Revenue",D343="Cost of Goods Sold",D343="Expenditures",D343="Other Revenue",D343="Other Expenditures"),E343,IF(AND(LEN(D343)&gt;2,MID(D343,2,1)=" ",ISNUMBER(VALUE(LEFT(D343,1)))),D343,F342))</f>
        <v>Other Expense</v>
      </c>
      <c r="G343" s="36" t="n">
        <f aca="false">IF(AND(D343&lt;&gt;"",ISNUMBER(B343),LEFT(D343,9)&lt;&gt;"Total for",D343&lt;&gt;"Gross Profit",D343&lt;&gt;"Net Operating Revenue",D343&lt;&gt;"Net Other Revenue",D343&lt;&gt;"Net Revenue"),1,0)</f>
        <v>0</v>
      </c>
      <c r="H343" s="36" t="str">
        <f aca="false">IF(G343=1,IF(AND(LEN(D343)&gt;7,ISNUMBER(VALUE(LEFT(D343,6))),MID(D343,7,1)=" "),LEFT(D343,6),D343),"")</f>
        <v/>
      </c>
      <c r="I343" s="36" t="str">
        <f aca="false">IF(G343=1,IF(COUNTIF('Forecast Detail'!$C$8:$C$400,H343)=0,"UNMAPPED","OK"),"")</f>
        <v/>
      </c>
    </row>
    <row r="344" customFormat="false" ht="15" hidden="false" customHeight="false" outlineLevel="0" collapsed="false">
      <c r="D344" s="36" t="str">
        <f aca="false">TRIM(A344)</f>
        <v/>
      </c>
      <c r="E344" s="36" t="str">
        <f aca="false">IF(D344="Revenue","Revenue",IF(D344="Cost of Goods Sold","COGS",IF(D344="Expenditures","Expense",IF(D344="Other Revenue","Other Revenue",IF(D344="Other Expenditures","Other Expense",E343)))))</f>
        <v>Other Expense</v>
      </c>
      <c r="F344" s="36" t="str">
        <f aca="false">IF(OR(D344="Revenue",D344="Cost of Goods Sold",D344="Expenditures",D344="Other Revenue",D344="Other Expenditures"),E344,IF(AND(LEN(D344)&gt;2,MID(D344,2,1)=" ",ISNUMBER(VALUE(LEFT(D344,1)))),D344,F343))</f>
        <v>Other Expense</v>
      </c>
      <c r="G344" s="36" t="n">
        <f aca="false">IF(AND(D344&lt;&gt;"",ISNUMBER(B344),LEFT(D344,9)&lt;&gt;"Total for",D344&lt;&gt;"Gross Profit",D344&lt;&gt;"Net Operating Revenue",D344&lt;&gt;"Net Other Revenue",D344&lt;&gt;"Net Revenue"),1,0)</f>
        <v>0</v>
      </c>
      <c r="H344" s="36" t="str">
        <f aca="false">IF(G344=1,IF(AND(LEN(D344)&gt;7,ISNUMBER(VALUE(LEFT(D344,6))),MID(D344,7,1)=" "),LEFT(D344,6),D344),"")</f>
        <v/>
      </c>
      <c r="I344" s="36" t="str">
        <f aca="false">IF(G344=1,IF(COUNTIF('Forecast Detail'!$C$8:$C$400,H344)=0,"UNMAPPED","OK"),"")</f>
        <v/>
      </c>
    </row>
    <row r="345" customFormat="false" ht="15" hidden="false" customHeight="false" outlineLevel="0" collapsed="false">
      <c r="D345" s="36" t="str">
        <f aca="false">TRIM(A345)</f>
        <v/>
      </c>
      <c r="E345" s="36" t="str">
        <f aca="false">IF(D345="Revenue","Revenue",IF(D345="Cost of Goods Sold","COGS",IF(D345="Expenditures","Expense",IF(D345="Other Revenue","Other Revenue",IF(D345="Other Expenditures","Other Expense",E344)))))</f>
        <v>Other Expense</v>
      </c>
      <c r="F345" s="36" t="str">
        <f aca="false">IF(OR(D345="Revenue",D345="Cost of Goods Sold",D345="Expenditures",D345="Other Revenue",D345="Other Expenditures"),E345,IF(AND(LEN(D345)&gt;2,MID(D345,2,1)=" ",ISNUMBER(VALUE(LEFT(D345,1)))),D345,F344))</f>
        <v>Other Expense</v>
      </c>
      <c r="G345" s="36" t="n">
        <f aca="false">IF(AND(D345&lt;&gt;"",ISNUMBER(B345),LEFT(D345,9)&lt;&gt;"Total for",D345&lt;&gt;"Gross Profit",D345&lt;&gt;"Net Operating Revenue",D345&lt;&gt;"Net Other Revenue",D345&lt;&gt;"Net Revenue"),1,0)</f>
        <v>0</v>
      </c>
      <c r="H345" s="36" t="str">
        <f aca="false">IF(G345=1,IF(AND(LEN(D345)&gt;7,ISNUMBER(VALUE(LEFT(D345,6))),MID(D345,7,1)=" "),LEFT(D345,6),D345),"")</f>
        <v/>
      </c>
      <c r="I345" s="36" t="str">
        <f aca="false">IF(G345=1,IF(COUNTIF('Forecast Detail'!$C$8:$C$400,H345)=0,"UNMAPPED","OK"),"")</f>
        <v/>
      </c>
    </row>
    <row r="346" customFormat="false" ht="15" hidden="false" customHeight="false" outlineLevel="0" collapsed="false">
      <c r="D346" s="36" t="str">
        <f aca="false">TRIM(A346)</f>
        <v/>
      </c>
      <c r="E346" s="36" t="str">
        <f aca="false">IF(D346="Revenue","Revenue",IF(D346="Cost of Goods Sold","COGS",IF(D346="Expenditures","Expense",IF(D346="Other Revenue","Other Revenue",IF(D346="Other Expenditures","Other Expense",E345)))))</f>
        <v>Other Expense</v>
      </c>
      <c r="F346" s="36" t="str">
        <f aca="false">IF(OR(D346="Revenue",D346="Cost of Goods Sold",D346="Expenditures",D346="Other Revenue",D346="Other Expenditures"),E346,IF(AND(LEN(D346)&gt;2,MID(D346,2,1)=" ",ISNUMBER(VALUE(LEFT(D346,1)))),D346,F345))</f>
        <v>Other Expense</v>
      </c>
      <c r="G346" s="36" t="n">
        <f aca="false">IF(AND(D346&lt;&gt;"",ISNUMBER(B346),LEFT(D346,9)&lt;&gt;"Total for",D346&lt;&gt;"Gross Profit",D346&lt;&gt;"Net Operating Revenue",D346&lt;&gt;"Net Other Revenue",D346&lt;&gt;"Net Revenue"),1,0)</f>
        <v>0</v>
      </c>
      <c r="H346" s="36" t="str">
        <f aca="false">IF(G346=1,IF(AND(LEN(D346)&gt;7,ISNUMBER(VALUE(LEFT(D346,6))),MID(D346,7,1)=" "),LEFT(D346,6),D346),"")</f>
        <v/>
      </c>
      <c r="I346" s="36" t="str">
        <f aca="false">IF(G346=1,IF(COUNTIF('Forecast Detail'!$C$8:$C$400,H346)=0,"UNMAPPED","OK"),"")</f>
        <v/>
      </c>
    </row>
    <row r="347" customFormat="false" ht="15" hidden="false" customHeight="false" outlineLevel="0" collapsed="false">
      <c r="D347" s="36" t="str">
        <f aca="false">TRIM(A347)</f>
        <v/>
      </c>
      <c r="E347" s="36" t="str">
        <f aca="false">IF(D347="Revenue","Revenue",IF(D347="Cost of Goods Sold","COGS",IF(D347="Expenditures","Expense",IF(D347="Other Revenue","Other Revenue",IF(D347="Other Expenditures","Other Expense",E346)))))</f>
        <v>Other Expense</v>
      </c>
      <c r="F347" s="36" t="str">
        <f aca="false">IF(OR(D347="Revenue",D347="Cost of Goods Sold",D347="Expenditures",D347="Other Revenue",D347="Other Expenditures"),E347,IF(AND(LEN(D347)&gt;2,MID(D347,2,1)=" ",ISNUMBER(VALUE(LEFT(D347,1)))),D347,F346))</f>
        <v>Other Expense</v>
      </c>
      <c r="G347" s="36" t="n">
        <f aca="false">IF(AND(D347&lt;&gt;"",ISNUMBER(B347),LEFT(D347,9)&lt;&gt;"Total for",D347&lt;&gt;"Gross Profit",D347&lt;&gt;"Net Operating Revenue",D347&lt;&gt;"Net Other Revenue",D347&lt;&gt;"Net Revenue"),1,0)</f>
        <v>0</v>
      </c>
      <c r="H347" s="36" t="str">
        <f aca="false">IF(G347=1,IF(AND(LEN(D347)&gt;7,ISNUMBER(VALUE(LEFT(D347,6))),MID(D347,7,1)=" "),LEFT(D347,6),D347),"")</f>
        <v/>
      </c>
      <c r="I347" s="36" t="str">
        <f aca="false">IF(G347=1,IF(COUNTIF('Forecast Detail'!$C$8:$C$400,H347)=0,"UNMAPPED","OK"),"")</f>
        <v/>
      </c>
    </row>
    <row r="348" customFormat="false" ht="15" hidden="false" customHeight="false" outlineLevel="0" collapsed="false">
      <c r="D348" s="36" t="str">
        <f aca="false">TRIM(A348)</f>
        <v/>
      </c>
      <c r="E348" s="36" t="str">
        <f aca="false">IF(D348="Revenue","Revenue",IF(D348="Cost of Goods Sold","COGS",IF(D348="Expenditures","Expense",IF(D348="Other Revenue","Other Revenue",IF(D348="Other Expenditures","Other Expense",E347)))))</f>
        <v>Other Expense</v>
      </c>
      <c r="F348" s="36" t="str">
        <f aca="false">IF(OR(D348="Revenue",D348="Cost of Goods Sold",D348="Expenditures",D348="Other Revenue",D348="Other Expenditures"),E348,IF(AND(LEN(D348)&gt;2,MID(D348,2,1)=" ",ISNUMBER(VALUE(LEFT(D348,1)))),D348,F347))</f>
        <v>Other Expense</v>
      </c>
      <c r="G348" s="36" t="n">
        <f aca="false">IF(AND(D348&lt;&gt;"",ISNUMBER(B348),LEFT(D348,9)&lt;&gt;"Total for",D348&lt;&gt;"Gross Profit",D348&lt;&gt;"Net Operating Revenue",D348&lt;&gt;"Net Other Revenue",D348&lt;&gt;"Net Revenue"),1,0)</f>
        <v>0</v>
      </c>
      <c r="H348" s="36" t="str">
        <f aca="false">IF(G348=1,IF(AND(LEN(D348)&gt;7,ISNUMBER(VALUE(LEFT(D348,6))),MID(D348,7,1)=" "),LEFT(D348,6),D348),"")</f>
        <v/>
      </c>
      <c r="I348" s="36" t="str">
        <f aca="false">IF(G348=1,IF(COUNTIF('Forecast Detail'!$C$8:$C$400,H348)=0,"UNMAPPED","OK"),"")</f>
        <v/>
      </c>
    </row>
    <row r="349" customFormat="false" ht="15" hidden="false" customHeight="false" outlineLevel="0" collapsed="false">
      <c r="D349" s="36" t="str">
        <f aca="false">TRIM(A349)</f>
        <v/>
      </c>
      <c r="E349" s="36" t="str">
        <f aca="false">IF(D349="Revenue","Revenue",IF(D349="Cost of Goods Sold","COGS",IF(D349="Expenditures","Expense",IF(D349="Other Revenue","Other Revenue",IF(D349="Other Expenditures","Other Expense",E348)))))</f>
        <v>Other Expense</v>
      </c>
      <c r="F349" s="36" t="str">
        <f aca="false">IF(OR(D349="Revenue",D349="Cost of Goods Sold",D349="Expenditures",D349="Other Revenue",D349="Other Expenditures"),E349,IF(AND(LEN(D349)&gt;2,MID(D349,2,1)=" ",ISNUMBER(VALUE(LEFT(D349,1)))),D349,F348))</f>
        <v>Other Expense</v>
      </c>
      <c r="G349" s="36" t="n">
        <f aca="false">IF(AND(D349&lt;&gt;"",ISNUMBER(B349),LEFT(D349,9)&lt;&gt;"Total for",D349&lt;&gt;"Gross Profit",D349&lt;&gt;"Net Operating Revenue",D349&lt;&gt;"Net Other Revenue",D349&lt;&gt;"Net Revenue"),1,0)</f>
        <v>0</v>
      </c>
      <c r="H349" s="36" t="str">
        <f aca="false">IF(G349=1,IF(AND(LEN(D349)&gt;7,ISNUMBER(VALUE(LEFT(D349,6))),MID(D349,7,1)=" "),LEFT(D349,6),D349),"")</f>
        <v/>
      </c>
      <c r="I349" s="36" t="str">
        <f aca="false">IF(G349=1,IF(COUNTIF('Forecast Detail'!$C$8:$C$400,H349)=0,"UNMAPPED","OK"),"")</f>
        <v/>
      </c>
    </row>
    <row r="350" customFormat="false" ht="15" hidden="false" customHeight="false" outlineLevel="0" collapsed="false">
      <c r="D350" s="36" t="str">
        <f aca="false">TRIM(A350)</f>
        <v/>
      </c>
      <c r="E350" s="36" t="str">
        <f aca="false">IF(D350="Revenue","Revenue",IF(D350="Cost of Goods Sold","COGS",IF(D350="Expenditures","Expense",IF(D350="Other Revenue","Other Revenue",IF(D350="Other Expenditures","Other Expense",E349)))))</f>
        <v>Other Expense</v>
      </c>
      <c r="F350" s="36" t="str">
        <f aca="false">IF(OR(D350="Revenue",D350="Cost of Goods Sold",D350="Expenditures",D350="Other Revenue",D350="Other Expenditures"),E350,IF(AND(LEN(D350)&gt;2,MID(D350,2,1)=" ",ISNUMBER(VALUE(LEFT(D350,1)))),D350,F349))</f>
        <v>Other Expense</v>
      </c>
      <c r="G350" s="36" t="n">
        <f aca="false">IF(AND(D350&lt;&gt;"",ISNUMBER(B350),LEFT(D350,9)&lt;&gt;"Total for",D350&lt;&gt;"Gross Profit",D350&lt;&gt;"Net Operating Revenue",D350&lt;&gt;"Net Other Revenue",D350&lt;&gt;"Net Revenue"),1,0)</f>
        <v>0</v>
      </c>
      <c r="H350" s="36" t="str">
        <f aca="false">IF(G350=1,IF(AND(LEN(D350)&gt;7,ISNUMBER(VALUE(LEFT(D350,6))),MID(D350,7,1)=" "),LEFT(D350,6),D350),"")</f>
        <v/>
      </c>
      <c r="I350" s="36" t="str">
        <f aca="false">IF(G350=1,IF(COUNTIF('Forecast Detail'!$C$8:$C$400,H350)=0,"UNMAPPED","OK"),"")</f>
        <v/>
      </c>
    </row>
    <row r="351" customFormat="false" ht="15" hidden="false" customHeight="false" outlineLevel="0" collapsed="false">
      <c r="D351" s="36" t="str">
        <f aca="false">TRIM(A351)</f>
        <v/>
      </c>
      <c r="E351" s="36" t="str">
        <f aca="false">IF(D351="Revenue","Revenue",IF(D351="Cost of Goods Sold","COGS",IF(D351="Expenditures","Expense",IF(D351="Other Revenue","Other Revenue",IF(D351="Other Expenditures","Other Expense",E350)))))</f>
        <v>Other Expense</v>
      </c>
      <c r="F351" s="36" t="str">
        <f aca="false">IF(OR(D351="Revenue",D351="Cost of Goods Sold",D351="Expenditures",D351="Other Revenue",D351="Other Expenditures"),E351,IF(AND(LEN(D351)&gt;2,MID(D351,2,1)=" ",ISNUMBER(VALUE(LEFT(D351,1)))),D351,F350))</f>
        <v>Other Expense</v>
      </c>
      <c r="G351" s="36" t="n">
        <f aca="false">IF(AND(D351&lt;&gt;"",ISNUMBER(B351),LEFT(D351,9)&lt;&gt;"Total for",D351&lt;&gt;"Gross Profit",D351&lt;&gt;"Net Operating Revenue",D351&lt;&gt;"Net Other Revenue",D351&lt;&gt;"Net Revenue"),1,0)</f>
        <v>0</v>
      </c>
      <c r="H351" s="36" t="str">
        <f aca="false">IF(G351=1,IF(AND(LEN(D351)&gt;7,ISNUMBER(VALUE(LEFT(D351,6))),MID(D351,7,1)=" "),LEFT(D351,6),D351),"")</f>
        <v/>
      </c>
      <c r="I351" s="36" t="str">
        <f aca="false">IF(G351=1,IF(COUNTIF('Forecast Detail'!$C$8:$C$400,H351)=0,"UNMAPPED","OK"),"")</f>
        <v/>
      </c>
    </row>
    <row r="352" customFormat="false" ht="15" hidden="false" customHeight="false" outlineLevel="0" collapsed="false">
      <c r="D352" s="36" t="str">
        <f aca="false">TRIM(A352)</f>
        <v/>
      </c>
      <c r="E352" s="36" t="str">
        <f aca="false">IF(D352="Revenue","Revenue",IF(D352="Cost of Goods Sold","COGS",IF(D352="Expenditures","Expense",IF(D352="Other Revenue","Other Revenue",IF(D352="Other Expenditures","Other Expense",E351)))))</f>
        <v>Other Expense</v>
      </c>
      <c r="F352" s="36" t="str">
        <f aca="false">IF(OR(D352="Revenue",D352="Cost of Goods Sold",D352="Expenditures",D352="Other Revenue",D352="Other Expenditures"),E352,IF(AND(LEN(D352)&gt;2,MID(D352,2,1)=" ",ISNUMBER(VALUE(LEFT(D352,1)))),D352,F351))</f>
        <v>Other Expense</v>
      </c>
      <c r="G352" s="36" t="n">
        <f aca="false">IF(AND(D352&lt;&gt;"",ISNUMBER(B352),LEFT(D352,9)&lt;&gt;"Total for",D352&lt;&gt;"Gross Profit",D352&lt;&gt;"Net Operating Revenue",D352&lt;&gt;"Net Other Revenue",D352&lt;&gt;"Net Revenue"),1,0)</f>
        <v>0</v>
      </c>
      <c r="H352" s="36" t="str">
        <f aca="false">IF(G352=1,IF(AND(LEN(D352)&gt;7,ISNUMBER(VALUE(LEFT(D352,6))),MID(D352,7,1)=" "),LEFT(D352,6),D352),"")</f>
        <v/>
      </c>
      <c r="I352" s="36" t="str">
        <f aca="false">IF(G352=1,IF(COUNTIF('Forecast Detail'!$C$8:$C$400,H352)=0,"UNMAPPED","OK"),"")</f>
        <v/>
      </c>
    </row>
    <row r="353" customFormat="false" ht="15" hidden="false" customHeight="false" outlineLevel="0" collapsed="false">
      <c r="D353" s="36" t="str">
        <f aca="false">TRIM(A353)</f>
        <v/>
      </c>
      <c r="E353" s="36" t="str">
        <f aca="false">IF(D353="Revenue","Revenue",IF(D353="Cost of Goods Sold","COGS",IF(D353="Expenditures","Expense",IF(D353="Other Revenue","Other Revenue",IF(D353="Other Expenditures","Other Expense",E352)))))</f>
        <v>Other Expense</v>
      </c>
      <c r="F353" s="36" t="str">
        <f aca="false">IF(OR(D353="Revenue",D353="Cost of Goods Sold",D353="Expenditures",D353="Other Revenue",D353="Other Expenditures"),E353,IF(AND(LEN(D353)&gt;2,MID(D353,2,1)=" ",ISNUMBER(VALUE(LEFT(D353,1)))),D353,F352))</f>
        <v>Other Expense</v>
      </c>
      <c r="G353" s="36" t="n">
        <f aca="false">IF(AND(D353&lt;&gt;"",ISNUMBER(B353),LEFT(D353,9)&lt;&gt;"Total for",D353&lt;&gt;"Gross Profit",D353&lt;&gt;"Net Operating Revenue",D353&lt;&gt;"Net Other Revenue",D353&lt;&gt;"Net Revenue"),1,0)</f>
        <v>0</v>
      </c>
      <c r="H353" s="36" t="str">
        <f aca="false">IF(G353=1,IF(AND(LEN(D353)&gt;7,ISNUMBER(VALUE(LEFT(D353,6))),MID(D353,7,1)=" "),LEFT(D353,6),D353),"")</f>
        <v/>
      </c>
      <c r="I353" s="36" t="str">
        <f aca="false">IF(G353=1,IF(COUNTIF('Forecast Detail'!$C$8:$C$400,H353)=0,"UNMAPPED","OK"),"")</f>
        <v/>
      </c>
    </row>
    <row r="354" customFormat="false" ht="15" hidden="false" customHeight="false" outlineLevel="0" collapsed="false">
      <c r="D354" s="36" t="str">
        <f aca="false">TRIM(A354)</f>
        <v/>
      </c>
      <c r="E354" s="36" t="str">
        <f aca="false">IF(D354="Revenue","Revenue",IF(D354="Cost of Goods Sold","COGS",IF(D354="Expenditures","Expense",IF(D354="Other Revenue","Other Revenue",IF(D354="Other Expenditures","Other Expense",E353)))))</f>
        <v>Other Expense</v>
      </c>
      <c r="F354" s="36" t="str">
        <f aca="false">IF(OR(D354="Revenue",D354="Cost of Goods Sold",D354="Expenditures",D354="Other Revenue",D354="Other Expenditures"),E354,IF(AND(LEN(D354)&gt;2,MID(D354,2,1)=" ",ISNUMBER(VALUE(LEFT(D354,1)))),D354,F353))</f>
        <v>Other Expense</v>
      </c>
      <c r="G354" s="36" t="n">
        <f aca="false">IF(AND(D354&lt;&gt;"",ISNUMBER(B354),LEFT(D354,9)&lt;&gt;"Total for",D354&lt;&gt;"Gross Profit",D354&lt;&gt;"Net Operating Revenue",D354&lt;&gt;"Net Other Revenue",D354&lt;&gt;"Net Revenue"),1,0)</f>
        <v>0</v>
      </c>
      <c r="H354" s="36" t="str">
        <f aca="false">IF(G354=1,IF(AND(LEN(D354)&gt;7,ISNUMBER(VALUE(LEFT(D354,6))),MID(D354,7,1)=" "),LEFT(D354,6),D354),"")</f>
        <v/>
      </c>
      <c r="I354" s="36" t="str">
        <f aca="false">IF(G354=1,IF(COUNTIF('Forecast Detail'!$C$8:$C$400,H354)=0,"UNMAPPED","OK"),"")</f>
        <v/>
      </c>
    </row>
    <row r="355" customFormat="false" ht="15" hidden="false" customHeight="false" outlineLevel="0" collapsed="false">
      <c r="D355" s="36" t="str">
        <f aca="false">TRIM(A355)</f>
        <v/>
      </c>
      <c r="E355" s="36" t="str">
        <f aca="false">IF(D355="Revenue","Revenue",IF(D355="Cost of Goods Sold","COGS",IF(D355="Expenditures","Expense",IF(D355="Other Revenue","Other Revenue",IF(D355="Other Expenditures","Other Expense",E354)))))</f>
        <v>Other Expense</v>
      </c>
      <c r="F355" s="36" t="str">
        <f aca="false">IF(OR(D355="Revenue",D355="Cost of Goods Sold",D355="Expenditures",D355="Other Revenue",D355="Other Expenditures"),E355,IF(AND(LEN(D355)&gt;2,MID(D355,2,1)=" ",ISNUMBER(VALUE(LEFT(D355,1)))),D355,F354))</f>
        <v>Other Expense</v>
      </c>
      <c r="G355" s="36" t="n">
        <f aca="false">IF(AND(D355&lt;&gt;"",ISNUMBER(B355),LEFT(D355,9)&lt;&gt;"Total for",D355&lt;&gt;"Gross Profit",D355&lt;&gt;"Net Operating Revenue",D355&lt;&gt;"Net Other Revenue",D355&lt;&gt;"Net Revenue"),1,0)</f>
        <v>0</v>
      </c>
      <c r="H355" s="36" t="str">
        <f aca="false">IF(G355=1,IF(AND(LEN(D355)&gt;7,ISNUMBER(VALUE(LEFT(D355,6))),MID(D355,7,1)=" "),LEFT(D355,6),D355),"")</f>
        <v/>
      </c>
      <c r="I355" s="36" t="str">
        <f aca="false">IF(G355=1,IF(COUNTIF('Forecast Detail'!$C$8:$C$400,H355)=0,"UNMAPPED","OK"),"")</f>
        <v/>
      </c>
    </row>
    <row r="356" customFormat="false" ht="15" hidden="false" customHeight="false" outlineLevel="0" collapsed="false">
      <c r="D356" s="36" t="str">
        <f aca="false">TRIM(A356)</f>
        <v/>
      </c>
      <c r="E356" s="36" t="str">
        <f aca="false">IF(D356="Revenue","Revenue",IF(D356="Cost of Goods Sold","COGS",IF(D356="Expenditures","Expense",IF(D356="Other Revenue","Other Revenue",IF(D356="Other Expenditures","Other Expense",E355)))))</f>
        <v>Other Expense</v>
      </c>
      <c r="F356" s="36" t="str">
        <f aca="false">IF(OR(D356="Revenue",D356="Cost of Goods Sold",D356="Expenditures",D356="Other Revenue",D356="Other Expenditures"),E356,IF(AND(LEN(D356)&gt;2,MID(D356,2,1)=" ",ISNUMBER(VALUE(LEFT(D356,1)))),D356,F355))</f>
        <v>Other Expense</v>
      </c>
      <c r="G356" s="36" t="n">
        <f aca="false">IF(AND(D356&lt;&gt;"",ISNUMBER(B356),LEFT(D356,9)&lt;&gt;"Total for",D356&lt;&gt;"Gross Profit",D356&lt;&gt;"Net Operating Revenue",D356&lt;&gt;"Net Other Revenue",D356&lt;&gt;"Net Revenue"),1,0)</f>
        <v>0</v>
      </c>
      <c r="H356" s="36" t="str">
        <f aca="false">IF(G356=1,IF(AND(LEN(D356)&gt;7,ISNUMBER(VALUE(LEFT(D356,6))),MID(D356,7,1)=" "),LEFT(D356,6),D356),"")</f>
        <v/>
      </c>
      <c r="I356" s="36" t="str">
        <f aca="false">IF(G356=1,IF(COUNTIF('Forecast Detail'!$C$8:$C$400,H356)=0,"UNMAPPED","OK"),"")</f>
        <v/>
      </c>
    </row>
    <row r="357" customFormat="false" ht="15" hidden="false" customHeight="false" outlineLevel="0" collapsed="false">
      <c r="D357" s="36" t="str">
        <f aca="false">TRIM(A357)</f>
        <v/>
      </c>
      <c r="E357" s="36" t="str">
        <f aca="false">IF(D357="Revenue","Revenue",IF(D357="Cost of Goods Sold","COGS",IF(D357="Expenditures","Expense",IF(D357="Other Revenue","Other Revenue",IF(D357="Other Expenditures","Other Expense",E356)))))</f>
        <v>Other Expense</v>
      </c>
      <c r="F357" s="36" t="str">
        <f aca="false">IF(OR(D357="Revenue",D357="Cost of Goods Sold",D357="Expenditures",D357="Other Revenue",D357="Other Expenditures"),E357,IF(AND(LEN(D357)&gt;2,MID(D357,2,1)=" ",ISNUMBER(VALUE(LEFT(D357,1)))),D357,F356))</f>
        <v>Other Expense</v>
      </c>
      <c r="G357" s="36" t="n">
        <f aca="false">IF(AND(D357&lt;&gt;"",ISNUMBER(B357),LEFT(D357,9)&lt;&gt;"Total for",D357&lt;&gt;"Gross Profit",D357&lt;&gt;"Net Operating Revenue",D357&lt;&gt;"Net Other Revenue",D357&lt;&gt;"Net Revenue"),1,0)</f>
        <v>0</v>
      </c>
      <c r="H357" s="36" t="str">
        <f aca="false">IF(G357=1,IF(AND(LEN(D357)&gt;7,ISNUMBER(VALUE(LEFT(D357,6))),MID(D357,7,1)=" "),LEFT(D357,6),D357),"")</f>
        <v/>
      </c>
      <c r="I357" s="36" t="str">
        <f aca="false">IF(G357=1,IF(COUNTIF('Forecast Detail'!$C$8:$C$400,H357)=0,"UNMAPPED","OK"),"")</f>
        <v/>
      </c>
    </row>
    <row r="358" customFormat="false" ht="15" hidden="false" customHeight="false" outlineLevel="0" collapsed="false">
      <c r="D358" s="36" t="str">
        <f aca="false">TRIM(A358)</f>
        <v/>
      </c>
      <c r="E358" s="36" t="str">
        <f aca="false">IF(D358="Revenue","Revenue",IF(D358="Cost of Goods Sold","COGS",IF(D358="Expenditures","Expense",IF(D358="Other Revenue","Other Revenue",IF(D358="Other Expenditures","Other Expense",E357)))))</f>
        <v>Other Expense</v>
      </c>
      <c r="F358" s="36" t="str">
        <f aca="false">IF(OR(D358="Revenue",D358="Cost of Goods Sold",D358="Expenditures",D358="Other Revenue",D358="Other Expenditures"),E358,IF(AND(LEN(D358)&gt;2,MID(D358,2,1)=" ",ISNUMBER(VALUE(LEFT(D358,1)))),D358,F357))</f>
        <v>Other Expense</v>
      </c>
      <c r="G358" s="36" t="n">
        <f aca="false">IF(AND(D358&lt;&gt;"",ISNUMBER(B358),LEFT(D358,9)&lt;&gt;"Total for",D358&lt;&gt;"Gross Profit",D358&lt;&gt;"Net Operating Revenue",D358&lt;&gt;"Net Other Revenue",D358&lt;&gt;"Net Revenue"),1,0)</f>
        <v>0</v>
      </c>
      <c r="H358" s="36" t="str">
        <f aca="false">IF(G358=1,IF(AND(LEN(D358)&gt;7,ISNUMBER(VALUE(LEFT(D358,6))),MID(D358,7,1)=" "),LEFT(D358,6),D358),"")</f>
        <v/>
      </c>
      <c r="I358" s="36" t="str">
        <f aca="false">IF(G358=1,IF(COUNTIF('Forecast Detail'!$C$8:$C$400,H358)=0,"UNMAPPED","OK"),"")</f>
        <v/>
      </c>
    </row>
    <row r="359" customFormat="false" ht="15" hidden="false" customHeight="false" outlineLevel="0" collapsed="false">
      <c r="D359" s="36" t="str">
        <f aca="false">TRIM(A359)</f>
        <v/>
      </c>
      <c r="E359" s="36" t="str">
        <f aca="false">IF(D359="Revenue","Revenue",IF(D359="Cost of Goods Sold","COGS",IF(D359="Expenditures","Expense",IF(D359="Other Revenue","Other Revenue",IF(D359="Other Expenditures","Other Expense",E358)))))</f>
        <v>Other Expense</v>
      </c>
      <c r="F359" s="36" t="str">
        <f aca="false">IF(OR(D359="Revenue",D359="Cost of Goods Sold",D359="Expenditures",D359="Other Revenue",D359="Other Expenditures"),E359,IF(AND(LEN(D359)&gt;2,MID(D359,2,1)=" ",ISNUMBER(VALUE(LEFT(D359,1)))),D359,F358))</f>
        <v>Other Expense</v>
      </c>
      <c r="G359" s="36" t="n">
        <f aca="false">IF(AND(D359&lt;&gt;"",ISNUMBER(B359),LEFT(D359,9)&lt;&gt;"Total for",D359&lt;&gt;"Gross Profit",D359&lt;&gt;"Net Operating Revenue",D359&lt;&gt;"Net Other Revenue",D359&lt;&gt;"Net Revenue"),1,0)</f>
        <v>0</v>
      </c>
      <c r="H359" s="36" t="str">
        <f aca="false">IF(G359=1,IF(AND(LEN(D359)&gt;7,ISNUMBER(VALUE(LEFT(D359,6))),MID(D359,7,1)=" "),LEFT(D359,6),D359),"")</f>
        <v/>
      </c>
      <c r="I359" s="36" t="str">
        <f aca="false">IF(G359=1,IF(COUNTIF('Forecast Detail'!$C$8:$C$400,H359)=0,"UNMAPPED","OK"),"")</f>
        <v/>
      </c>
    </row>
    <row r="360" customFormat="false" ht="15" hidden="false" customHeight="false" outlineLevel="0" collapsed="false">
      <c r="D360" s="36" t="str">
        <f aca="false">TRIM(A360)</f>
        <v/>
      </c>
      <c r="E360" s="36" t="str">
        <f aca="false">IF(D360="Revenue","Revenue",IF(D360="Cost of Goods Sold","COGS",IF(D360="Expenditures","Expense",IF(D360="Other Revenue","Other Revenue",IF(D360="Other Expenditures","Other Expense",E359)))))</f>
        <v>Other Expense</v>
      </c>
      <c r="F360" s="36" t="str">
        <f aca="false">IF(OR(D360="Revenue",D360="Cost of Goods Sold",D360="Expenditures",D360="Other Revenue",D360="Other Expenditures"),E360,IF(AND(LEN(D360)&gt;2,MID(D360,2,1)=" ",ISNUMBER(VALUE(LEFT(D360,1)))),D360,F359))</f>
        <v>Other Expense</v>
      </c>
      <c r="G360" s="36" t="n">
        <f aca="false">IF(AND(D360&lt;&gt;"",ISNUMBER(B360),LEFT(D360,9)&lt;&gt;"Total for",D360&lt;&gt;"Gross Profit",D360&lt;&gt;"Net Operating Revenue",D360&lt;&gt;"Net Other Revenue",D360&lt;&gt;"Net Revenue"),1,0)</f>
        <v>0</v>
      </c>
      <c r="H360" s="36" t="str">
        <f aca="false">IF(G360=1,IF(AND(LEN(D360)&gt;7,ISNUMBER(VALUE(LEFT(D360,6))),MID(D360,7,1)=" "),LEFT(D360,6),D360),"")</f>
        <v/>
      </c>
      <c r="I360" s="36" t="str">
        <f aca="false">IF(G360=1,IF(COUNTIF('Forecast Detail'!$C$8:$C$400,H360)=0,"UNMAPPED","OK"),"")</f>
        <v/>
      </c>
    </row>
    <row r="361" customFormat="false" ht="15" hidden="false" customHeight="false" outlineLevel="0" collapsed="false">
      <c r="D361" s="36" t="str">
        <f aca="false">TRIM(A361)</f>
        <v/>
      </c>
      <c r="E361" s="36" t="str">
        <f aca="false">IF(D361="Revenue","Revenue",IF(D361="Cost of Goods Sold","COGS",IF(D361="Expenditures","Expense",IF(D361="Other Revenue","Other Revenue",IF(D361="Other Expenditures","Other Expense",E360)))))</f>
        <v>Other Expense</v>
      </c>
      <c r="F361" s="36" t="str">
        <f aca="false">IF(OR(D361="Revenue",D361="Cost of Goods Sold",D361="Expenditures",D361="Other Revenue",D361="Other Expenditures"),E361,IF(AND(LEN(D361)&gt;2,MID(D361,2,1)=" ",ISNUMBER(VALUE(LEFT(D361,1)))),D361,F360))</f>
        <v>Other Expense</v>
      </c>
      <c r="G361" s="36" t="n">
        <f aca="false">IF(AND(D361&lt;&gt;"",ISNUMBER(B361),LEFT(D361,9)&lt;&gt;"Total for",D361&lt;&gt;"Gross Profit",D361&lt;&gt;"Net Operating Revenue",D361&lt;&gt;"Net Other Revenue",D361&lt;&gt;"Net Revenue"),1,0)</f>
        <v>0</v>
      </c>
      <c r="H361" s="36" t="str">
        <f aca="false">IF(G361=1,IF(AND(LEN(D361)&gt;7,ISNUMBER(VALUE(LEFT(D361,6))),MID(D361,7,1)=" "),LEFT(D361,6),D361),"")</f>
        <v/>
      </c>
      <c r="I361" s="36" t="str">
        <f aca="false">IF(G361=1,IF(COUNTIF('Forecast Detail'!$C$8:$C$400,H361)=0,"UNMAPPED","OK"),"")</f>
        <v/>
      </c>
    </row>
    <row r="362" customFormat="false" ht="15" hidden="false" customHeight="false" outlineLevel="0" collapsed="false">
      <c r="D362" s="36" t="str">
        <f aca="false">TRIM(A362)</f>
        <v/>
      </c>
      <c r="E362" s="36" t="str">
        <f aca="false">IF(D362="Revenue","Revenue",IF(D362="Cost of Goods Sold","COGS",IF(D362="Expenditures","Expense",IF(D362="Other Revenue","Other Revenue",IF(D362="Other Expenditures","Other Expense",E361)))))</f>
        <v>Other Expense</v>
      </c>
      <c r="F362" s="36" t="str">
        <f aca="false">IF(OR(D362="Revenue",D362="Cost of Goods Sold",D362="Expenditures",D362="Other Revenue",D362="Other Expenditures"),E362,IF(AND(LEN(D362)&gt;2,MID(D362,2,1)=" ",ISNUMBER(VALUE(LEFT(D362,1)))),D362,F361))</f>
        <v>Other Expense</v>
      </c>
      <c r="G362" s="36" t="n">
        <f aca="false">IF(AND(D362&lt;&gt;"",ISNUMBER(B362),LEFT(D362,9)&lt;&gt;"Total for",D362&lt;&gt;"Gross Profit",D362&lt;&gt;"Net Operating Revenue",D362&lt;&gt;"Net Other Revenue",D362&lt;&gt;"Net Revenue"),1,0)</f>
        <v>0</v>
      </c>
      <c r="H362" s="36" t="str">
        <f aca="false">IF(G362=1,IF(AND(LEN(D362)&gt;7,ISNUMBER(VALUE(LEFT(D362,6))),MID(D362,7,1)=" "),LEFT(D362,6),D362),"")</f>
        <v/>
      </c>
      <c r="I362" s="36" t="str">
        <f aca="false">IF(G362=1,IF(COUNTIF('Forecast Detail'!$C$8:$C$400,H362)=0,"UNMAPPED","OK"),"")</f>
        <v/>
      </c>
    </row>
    <row r="363" customFormat="false" ht="15" hidden="false" customHeight="false" outlineLevel="0" collapsed="false">
      <c r="D363" s="36" t="str">
        <f aca="false">TRIM(A363)</f>
        <v/>
      </c>
      <c r="E363" s="36" t="str">
        <f aca="false">IF(D363="Revenue","Revenue",IF(D363="Cost of Goods Sold","COGS",IF(D363="Expenditures","Expense",IF(D363="Other Revenue","Other Revenue",IF(D363="Other Expenditures","Other Expense",E362)))))</f>
        <v>Other Expense</v>
      </c>
      <c r="F363" s="36" t="str">
        <f aca="false">IF(OR(D363="Revenue",D363="Cost of Goods Sold",D363="Expenditures",D363="Other Revenue",D363="Other Expenditures"),E363,IF(AND(LEN(D363)&gt;2,MID(D363,2,1)=" ",ISNUMBER(VALUE(LEFT(D363,1)))),D363,F362))</f>
        <v>Other Expense</v>
      </c>
      <c r="G363" s="36" t="n">
        <f aca="false">IF(AND(D363&lt;&gt;"",ISNUMBER(B363),LEFT(D363,9)&lt;&gt;"Total for",D363&lt;&gt;"Gross Profit",D363&lt;&gt;"Net Operating Revenue",D363&lt;&gt;"Net Other Revenue",D363&lt;&gt;"Net Revenue"),1,0)</f>
        <v>0</v>
      </c>
      <c r="H363" s="36" t="str">
        <f aca="false">IF(G363=1,IF(AND(LEN(D363)&gt;7,ISNUMBER(VALUE(LEFT(D363,6))),MID(D363,7,1)=" "),LEFT(D363,6),D363),"")</f>
        <v/>
      </c>
      <c r="I363" s="36" t="str">
        <f aca="false">IF(G363=1,IF(COUNTIF('Forecast Detail'!$C$8:$C$400,H363)=0,"UNMAPPED","OK"),"")</f>
        <v/>
      </c>
    </row>
    <row r="364" customFormat="false" ht="15" hidden="false" customHeight="false" outlineLevel="0" collapsed="false">
      <c r="D364" s="36" t="str">
        <f aca="false">TRIM(A364)</f>
        <v/>
      </c>
      <c r="E364" s="36" t="str">
        <f aca="false">IF(D364="Revenue","Revenue",IF(D364="Cost of Goods Sold","COGS",IF(D364="Expenditures","Expense",IF(D364="Other Revenue","Other Revenue",IF(D364="Other Expenditures","Other Expense",E363)))))</f>
        <v>Other Expense</v>
      </c>
      <c r="F364" s="36" t="str">
        <f aca="false">IF(OR(D364="Revenue",D364="Cost of Goods Sold",D364="Expenditures",D364="Other Revenue",D364="Other Expenditures"),E364,IF(AND(LEN(D364)&gt;2,MID(D364,2,1)=" ",ISNUMBER(VALUE(LEFT(D364,1)))),D364,F363))</f>
        <v>Other Expense</v>
      </c>
      <c r="G364" s="36" t="n">
        <f aca="false">IF(AND(D364&lt;&gt;"",ISNUMBER(B364),LEFT(D364,9)&lt;&gt;"Total for",D364&lt;&gt;"Gross Profit",D364&lt;&gt;"Net Operating Revenue",D364&lt;&gt;"Net Other Revenue",D364&lt;&gt;"Net Revenue"),1,0)</f>
        <v>0</v>
      </c>
      <c r="H364" s="36" t="str">
        <f aca="false">IF(G364=1,IF(AND(LEN(D364)&gt;7,ISNUMBER(VALUE(LEFT(D364,6))),MID(D364,7,1)=" "),LEFT(D364,6),D364),"")</f>
        <v/>
      </c>
      <c r="I364" s="36" t="str">
        <f aca="false">IF(G364=1,IF(COUNTIF('Forecast Detail'!$C$8:$C$400,H364)=0,"UNMAPPED","OK"),"")</f>
        <v/>
      </c>
    </row>
    <row r="365" customFormat="false" ht="15" hidden="false" customHeight="false" outlineLevel="0" collapsed="false">
      <c r="D365" s="36" t="str">
        <f aca="false">TRIM(A365)</f>
        <v/>
      </c>
      <c r="E365" s="36" t="str">
        <f aca="false">IF(D365="Revenue","Revenue",IF(D365="Cost of Goods Sold","COGS",IF(D365="Expenditures","Expense",IF(D365="Other Revenue","Other Revenue",IF(D365="Other Expenditures","Other Expense",E364)))))</f>
        <v>Other Expense</v>
      </c>
      <c r="F365" s="36" t="str">
        <f aca="false">IF(OR(D365="Revenue",D365="Cost of Goods Sold",D365="Expenditures",D365="Other Revenue",D365="Other Expenditures"),E365,IF(AND(LEN(D365)&gt;2,MID(D365,2,1)=" ",ISNUMBER(VALUE(LEFT(D365,1)))),D365,F364))</f>
        <v>Other Expense</v>
      </c>
      <c r="G365" s="36" t="n">
        <f aca="false">IF(AND(D365&lt;&gt;"",ISNUMBER(B365),LEFT(D365,9)&lt;&gt;"Total for",D365&lt;&gt;"Gross Profit",D365&lt;&gt;"Net Operating Revenue",D365&lt;&gt;"Net Other Revenue",D365&lt;&gt;"Net Revenue"),1,0)</f>
        <v>0</v>
      </c>
      <c r="H365" s="36" t="str">
        <f aca="false">IF(G365=1,IF(AND(LEN(D365)&gt;7,ISNUMBER(VALUE(LEFT(D365,6))),MID(D365,7,1)=" "),LEFT(D365,6),D365),"")</f>
        <v/>
      </c>
      <c r="I365" s="36" t="str">
        <f aca="false">IF(G365=1,IF(COUNTIF('Forecast Detail'!$C$8:$C$400,H365)=0,"UNMAPPED","OK"),"")</f>
        <v/>
      </c>
    </row>
    <row r="366" customFormat="false" ht="15" hidden="false" customHeight="false" outlineLevel="0" collapsed="false">
      <c r="D366" s="36" t="str">
        <f aca="false">TRIM(A366)</f>
        <v/>
      </c>
      <c r="E366" s="36" t="str">
        <f aca="false">IF(D366="Revenue","Revenue",IF(D366="Cost of Goods Sold","COGS",IF(D366="Expenditures","Expense",IF(D366="Other Revenue","Other Revenue",IF(D366="Other Expenditures","Other Expense",E365)))))</f>
        <v>Other Expense</v>
      </c>
      <c r="F366" s="36" t="str">
        <f aca="false">IF(OR(D366="Revenue",D366="Cost of Goods Sold",D366="Expenditures",D366="Other Revenue",D366="Other Expenditures"),E366,IF(AND(LEN(D366)&gt;2,MID(D366,2,1)=" ",ISNUMBER(VALUE(LEFT(D366,1)))),D366,F365))</f>
        <v>Other Expense</v>
      </c>
      <c r="G366" s="36" t="n">
        <f aca="false">IF(AND(D366&lt;&gt;"",ISNUMBER(B366),LEFT(D366,9)&lt;&gt;"Total for",D366&lt;&gt;"Gross Profit",D366&lt;&gt;"Net Operating Revenue",D366&lt;&gt;"Net Other Revenue",D366&lt;&gt;"Net Revenue"),1,0)</f>
        <v>0</v>
      </c>
      <c r="H366" s="36" t="str">
        <f aca="false">IF(G366=1,IF(AND(LEN(D366)&gt;7,ISNUMBER(VALUE(LEFT(D366,6))),MID(D366,7,1)=" "),LEFT(D366,6),D366),"")</f>
        <v/>
      </c>
      <c r="I366" s="36" t="str">
        <f aca="false">IF(G366=1,IF(COUNTIF('Forecast Detail'!$C$8:$C$400,H366)=0,"UNMAPPED","OK"),"")</f>
        <v/>
      </c>
    </row>
    <row r="367" customFormat="false" ht="15" hidden="false" customHeight="false" outlineLevel="0" collapsed="false">
      <c r="D367" s="36" t="str">
        <f aca="false">TRIM(A367)</f>
        <v/>
      </c>
      <c r="E367" s="36" t="str">
        <f aca="false">IF(D367="Revenue","Revenue",IF(D367="Cost of Goods Sold","COGS",IF(D367="Expenditures","Expense",IF(D367="Other Revenue","Other Revenue",IF(D367="Other Expenditures","Other Expense",E366)))))</f>
        <v>Other Expense</v>
      </c>
      <c r="F367" s="36" t="str">
        <f aca="false">IF(OR(D367="Revenue",D367="Cost of Goods Sold",D367="Expenditures",D367="Other Revenue",D367="Other Expenditures"),E367,IF(AND(LEN(D367)&gt;2,MID(D367,2,1)=" ",ISNUMBER(VALUE(LEFT(D367,1)))),D367,F366))</f>
        <v>Other Expense</v>
      </c>
      <c r="G367" s="36" t="n">
        <f aca="false">IF(AND(D367&lt;&gt;"",ISNUMBER(B367),LEFT(D367,9)&lt;&gt;"Total for",D367&lt;&gt;"Gross Profit",D367&lt;&gt;"Net Operating Revenue",D367&lt;&gt;"Net Other Revenue",D367&lt;&gt;"Net Revenue"),1,0)</f>
        <v>0</v>
      </c>
      <c r="H367" s="36" t="str">
        <f aca="false">IF(G367=1,IF(AND(LEN(D367)&gt;7,ISNUMBER(VALUE(LEFT(D367,6))),MID(D367,7,1)=" "),LEFT(D367,6),D367),"")</f>
        <v/>
      </c>
      <c r="I367" s="36" t="str">
        <f aca="false">IF(G367=1,IF(COUNTIF('Forecast Detail'!$C$8:$C$400,H367)=0,"UNMAPPED","OK"),"")</f>
        <v/>
      </c>
    </row>
    <row r="368" customFormat="false" ht="15" hidden="false" customHeight="false" outlineLevel="0" collapsed="false">
      <c r="D368" s="36" t="str">
        <f aca="false">TRIM(A368)</f>
        <v/>
      </c>
      <c r="E368" s="36" t="str">
        <f aca="false">IF(D368="Revenue","Revenue",IF(D368="Cost of Goods Sold","COGS",IF(D368="Expenditures","Expense",IF(D368="Other Revenue","Other Revenue",IF(D368="Other Expenditures","Other Expense",E367)))))</f>
        <v>Other Expense</v>
      </c>
      <c r="F368" s="36" t="str">
        <f aca="false">IF(OR(D368="Revenue",D368="Cost of Goods Sold",D368="Expenditures",D368="Other Revenue",D368="Other Expenditures"),E368,IF(AND(LEN(D368)&gt;2,MID(D368,2,1)=" ",ISNUMBER(VALUE(LEFT(D368,1)))),D368,F367))</f>
        <v>Other Expense</v>
      </c>
      <c r="G368" s="36" t="n">
        <f aca="false">IF(AND(D368&lt;&gt;"",ISNUMBER(B368),LEFT(D368,9)&lt;&gt;"Total for",D368&lt;&gt;"Gross Profit",D368&lt;&gt;"Net Operating Revenue",D368&lt;&gt;"Net Other Revenue",D368&lt;&gt;"Net Revenue"),1,0)</f>
        <v>0</v>
      </c>
      <c r="H368" s="36" t="str">
        <f aca="false">IF(G368=1,IF(AND(LEN(D368)&gt;7,ISNUMBER(VALUE(LEFT(D368,6))),MID(D368,7,1)=" "),LEFT(D368,6),D368),"")</f>
        <v/>
      </c>
      <c r="I368" s="36" t="str">
        <f aca="false">IF(G368=1,IF(COUNTIF('Forecast Detail'!$C$8:$C$400,H368)=0,"UNMAPPED","OK"),"")</f>
        <v/>
      </c>
    </row>
    <row r="369" customFormat="false" ht="15" hidden="false" customHeight="false" outlineLevel="0" collapsed="false">
      <c r="D369" s="36" t="str">
        <f aca="false">TRIM(A369)</f>
        <v/>
      </c>
      <c r="E369" s="36" t="str">
        <f aca="false">IF(D369="Revenue","Revenue",IF(D369="Cost of Goods Sold","COGS",IF(D369="Expenditures","Expense",IF(D369="Other Revenue","Other Revenue",IF(D369="Other Expenditures","Other Expense",E368)))))</f>
        <v>Other Expense</v>
      </c>
      <c r="F369" s="36" t="str">
        <f aca="false">IF(OR(D369="Revenue",D369="Cost of Goods Sold",D369="Expenditures",D369="Other Revenue",D369="Other Expenditures"),E369,IF(AND(LEN(D369)&gt;2,MID(D369,2,1)=" ",ISNUMBER(VALUE(LEFT(D369,1)))),D369,F368))</f>
        <v>Other Expense</v>
      </c>
      <c r="G369" s="36" t="n">
        <f aca="false">IF(AND(D369&lt;&gt;"",ISNUMBER(B369),LEFT(D369,9)&lt;&gt;"Total for",D369&lt;&gt;"Gross Profit",D369&lt;&gt;"Net Operating Revenue",D369&lt;&gt;"Net Other Revenue",D369&lt;&gt;"Net Revenue"),1,0)</f>
        <v>0</v>
      </c>
      <c r="H369" s="36" t="str">
        <f aca="false">IF(G369=1,IF(AND(LEN(D369)&gt;7,ISNUMBER(VALUE(LEFT(D369,6))),MID(D369,7,1)=" "),LEFT(D369,6),D369),"")</f>
        <v/>
      </c>
      <c r="I369" s="36" t="str">
        <f aca="false">IF(G369=1,IF(COUNTIF('Forecast Detail'!$C$8:$C$400,H369)=0,"UNMAPPED","OK"),"")</f>
        <v/>
      </c>
    </row>
    <row r="370" customFormat="false" ht="15" hidden="false" customHeight="false" outlineLevel="0" collapsed="false">
      <c r="D370" s="36" t="str">
        <f aca="false">TRIM(A370)</f>
        <v/>
      </c>
      <c r="E370" s="36" t="str">
        <f aca="false">IF(D370="Revenue","Revenue",IF(D370="Cost of Goods Sold","COGS",IF(D370="Expenditures","Expense",IF(D370="Other Revenue","Other Revenue",IF(D370="Other Expenditures","Other Expense",E369)))))</f>
        <v>Other Expense</v>
      </c>
      <c r="F370" s="36" t="str">
        <f aca="false">IF(OR(D370="Revenue",D370="Cost of Goods Sold",D370="Expenditures",D370="Other Revenue",D370="Other Expenditures"),E370,IF(AND(LEN(D370)&gt;2,MID(D370,2,1)=" ",ISNUMBER(VALUE(LEFT(D370,1)))),D370,F369))</f>
        <v>Other Expense</v>
      </c>
      <c r="G370" s="36" t="n">
        <f aca="false">IF(AND(D370&lt;&gt;"",ISNUMBER(B370),LEFT(D370,9)&lt;&gt;"Total for",D370&lt;&gt;"Gross Profit",D370&lt;&gt;"Net Operating Revenue",D370&lt;&gt;"Net Other Revenue",D370&lt;&gt;"Net Revenue"),1,0)</f>
        <v>0</v>
      </c>
      <c r="H370" s="36" t="str">
        <f aca="false">IF(G370=1,IF(AND(LEN(D370)&gt;7,ISNUMBER(VALUE(LEFT(D370,6))),MID(D370,7,1)=" "),LEFT(D370,6),D370),"")</f>
        <v/>
      </c>
      <c r="I370" s="36" t="str">
        <f aca="false">IF(G370=1,IF(COUNTIF('Forecast Detail'!$C$8:$C$400,H370)=0,"UNMAPPED","OK"),"")</f>
        <v/>
      </c>
    </row>
    <row r="371" customFormat="false" ht="15" hidden="false" customHeight="false" outlineLevel="0" collapsed="false">
      <c r="D371" s="36" t="str">
        <f aca="false">TRIM(A371)</f>
        <v/>
      </c>
      <c r="E371" s="36" t="str">
        <f aca="false">IF(D371="Revenue","Revenue",IF(D371="Cost of Goods Sold","COGS",IF(D371="Expenditures","Expense",IF(D371="Other Revenue","Other Revenue",IF(D371="Other Expenditures","Other Expense",E370)))))</f>
        <v>Other Expense</v>
      </c>
      <c r="F371" s="36" t="str">
        <f aca="false">IF(OR(D371="Revenue",D371="Cost of Goods Sold",D371="Expenditures",D371="Other Revenue",D371="Other Expenditures"),E371,IF(AND(LEN(D371)&gt;2,MID(D371,2,1)=" ",ISNUMBER(VALUE(LEFT(D371,1)))),D371,F370))</f>
        <v>Other Expense</v>
      </c>
      <c r="G371" s="36" t="n">
        <f aca="false">IF(AND(D371&lt;&gt;"",ISNUMBER(B371),LEFT(D371,9)&lt;&gt;"Total for",D371&lt;&gt;"Gross Profit",D371&lt;&gt;"Net Operating Revenue",D371&lt;&gt;"Net Other Revenue",D371&lt;&gt;"Net Revenue"),1,0)</f>
        <v>0</v>
      </c>
      <c r="H371" s="36" t="str">
        <f aca="false">IF(G371=1,IF(AND(LEN(D371)&gt;7,ISNUMBER(VALUE(LEFT(D371,6))),MID(D371,7,1)=" "),LEFT(D371,6),D371),"")</f>
        <v/>
      </c>
      <c r="I371" s="36" t="str">
        <f aca="false">IF(G371=1,IF(COUNTIF('Forecast Detail'!$C$8:$C$400,H371)=0,"UNMAPPED","OK"),"")</f>
        <v/>
      </c>
    </row>
    <row r="372" customFormat="false" ht="15" hidden="false" customHeight="false" outlineLevel="0" collapsed="false">
      <c r="D372" s="36" t="str">
        <f aca="false">TRIM(A372)</f>
        <v/>
      </c>
      <c r="E372" s="36" t="str">
        <f aca="false">IF(D372="Revenue","Revenue",IF(D372="Cost of Goods Sold","COGS",IF(D372="Expenditures","Expense",IF(D372="Other Revenue","Other Revenue",IF(D372="Other Expenditures","Other Expense",E371)))))</f>
        <v>Other Expense</v>
      </c>
      <c r="F372" s="36" t="str">
        <f aca="false">IF(OR(D372="Revenue",D372="Cost of Goods Sold",D372="Expenditures",D372="Other Revenue",D372="Other Expenditures"),E372,IF(AND(LEN(D372)&gt;2,MID(D372,2,1)=" ",ISNUMBER(VALUE(LEFT(D372,1)))),D372,F371))</f>
        <v>Other Expense</v>
      </c>
      <c r="G372" s="36" t="n">
        <f aca="false">IF(AND(D372&lt;&gt;"",ISNUMBER(B372),LEFT(D372,9)&lt;&gt;"Total for",D372&lt;&gt;"Gross Profit",D372&lt;&gt;"Net Operating Revenue",D372&lt;&gt;"Net Other Revenue",D372&lt;&gt;"Net Revenue"),1,0)</f>
        <v>0</v>
      </c>
      <c r="H372" s="36" t="str">
        <f aca="false">IF(G372=1,IF(AND(LEN(D372)&gt;7,ISNUMBER(VALUE(LEFT(D372,6))),MID(D372,7,1)=" "),LEFT(D372,6),D372),"")</f>
        <v/>
      </c>
      <c r="I372" s="36" t="str">
        <f aca="false">IF(G372=1,IF(COUNTIF('Forecast Detail'!$C$8:$C$400,H372)=0,"UNMAPPED","OK"),"")</f>
        <v/>
      </c>
    </row>
    <row r="373" customFormat="false" ht="15" hidden="false" customHeight="false" outlineLevel="0" collapsed="false">
      <c r="D373" s="36" t="str">
        <f aca="false">TRIM(A373)</f>
        <v/>
      </c>
      <c r="E373" s="36" t="str">
        <f aca="false">IF(D373="Revenue","Revenue",IF(D373="Cost of Goods Sold","COGS",IF(D373="Expenditures","Expense",IF(D373="Other Revenue","Other Revenue",IF(D373="Other Expenditures","Other Expense",E372)))))</f>
        <v>Other Expense</v>
      </c>
      <c r="F373" s="36" t="str">
        <f aca="false">IF(OR(D373="Revenue",D373="Cost of Goods Sold",D373="Expenditures",D373="Other Revenue",D373="Other Expenditures"),E373,IF(AND(LEN(D373)&gt;2,MID(D373,2,1)=" ",ISNUMBER(VALUE(LEFT(D373,1)))),D373,F372))</f>
        <v>Other Expense</v>
      </c>
      <c r="G373" s="36" t="n">
        <f aca="false">IF(AND(D373&lt;&gt;"",ISNUMBER(B373),LEFT(D373,9)&lt;&gt;"Total for",D373&lt;&gt;"Gross Profit",D373&lt;&gt;"Net Operating Revenue",D373&lt;&gt;"Net Other Revenue",D373&lt;&gt;"Net Revenue"),1,0)</f>
        <v>0</v>
      </c>
      <c r="H373" s="36" t="str">
        <f aca="false">IF(G373=1,IF(AND(LEN(D373)&gt;7,ISNUMBER(VALUE(LEFT(D373,6))),MID(D373,7,1)=" "),LEFT(D373,6),D373),"")</f>
        <v/>
      </c>
      <c r="I373" s="36" t="str">
        <f aca="false">IF(G373=1,IF(COUNTIF('Forecast Detail'!$C$8:$C$400,H373)=0,"UNMAPPED","OK"),"")</f>
        <v/>
      </c>
    </row>
    <row r="374" customFormat="false" ht="15" hidden="false" customHeight="false" outlineLevel="0" collapsed="false">
      <c r="D374" s="36" t="str">
        <f aca="false">TRIM(A374)</f>
        <v/>
      </c>
      <c r="E374" s="36" t="str">
        <f aca="false">IF(D374="Revenue","Revenue",IF(D374="Cost of Goods Sold","COGS",IF(D374="Expenditures","Expense",IF(D374="Other Revenue","Other Revenue",IF(D374="Other Expenditures","Other Expense",E373)))))</f>
        <v>Other Expense</v>
      </c>
      <c r="F374" s="36" t="str">
        <f aca="false">IF(OR(D374="Revenue",D374="Cost of Goods Sold",D374="Expenditures",D374="Other Revenue",D374="Other Expenditures"),E374,IF(AND(LEN(D374)&gt;2,MID(D374,2,1)=" ",ISNUMBER(VALUE(LEFT(D374,1)))),D374,F373))</f>
        <v>Other Expense</v>
      </c>
      <c r="G374" s="36" t="n">
        <f aca="false">IF(AND(D374&lt;&gt;"",ISNUMBER(B374),LEFT(D374,9)&lt;&gt;"Total for",D374&lt;&gt;"Gross Profit",D374&lt;&gt;"Net Operating Revenue",D374&lt;&gt;"Net Other Revenue",D374&lt;&gt;"Net Revenue"),1,0)</f>
        <v>0</v>
      </c>
      <c r="H374" s="36" t="str">
        <f aca="false">IF(G374=1,IF(AND(LEN(D374)&gt;7,ISNUMBER(VALUE(LEFT(D374,6))),MID(D374,7,1)=" "),LEFT(D374,6),D374),"")</f>
        <v/>
      </c>
      <c r="I374" s="36" t="str">
        <f aca="false">IF(G374=1,IF(COUNTIF('Forecast Detail'!$C$8:$C$400,H374)=0,"UNMAPPED","OK"),"")</f>
        <v/>
      </c>
    </row>
    <row r="375" customFormat="false" ht="15" hidden="false" customHeight="false" outlineLevel="0" collapsed="false">
      <c r="D375" s="36" t="str">
        <f aca="false">TRIM(A375)</f>
        <v/>
      </c>
      <c r="E375" s="36" t="str">
        <f aca="false">IF(D375="Revenue","Revenue",IF(D375="Cost of Goods Sold","COGS",IF(D375="Expenditures","Expense",IF(D375="Other Revenue","Other Revenue",IF(D375="Other Expenditures","Other Expense",E374)))))</f>
        <v>Other Expense</v>
      </c>
      <c r="F375" s="36" t="str">
        <f aca="false">IF(OR(D375="Revenue",D375="Cost of Goods Sold",D375="Expenditures",D375="Other Revenue",D375="Other Expenditures"),E375,IF(AND(LEN(D375)&gt;2,MID(D375,2,1)=" ",ISNUMBER(VALUE(LEFT(D375,1)))),D375,F374))</f>
        <v>Other Expense</v>
      </c>
      <c r="G375" s="36" t="n">
        <f aca="false">IF(AND(D375&lt;&gt;"",ISNUMBER(B375),LEFT(D375,9)&lt;&gt;"Total for",D375&lt;&gt;"Gross Profit",D375&lt;&gt;"Net Operating Revenue",D375&lt;&gt;"Net Other Revenue",D375&lt;&gt;"Net Revenue"),1,0)</f>
        <v>0</v>
      </c>
      <c r="H375" s="36" t="str">
        <f aca="false">IF(G375=1,IF(AND(LEN(D375)&gt;7,ISNUMBER(VALUE(LEFT(D375,6))),MID(D375,7,1)=" "),LEFT(D375,6),D375),"")</f>
        <v/>
      </c>
      <c r="I375" s="36" t="str">
        <f aca="false">IF(G375=1,IF(COUNTIF('Forecast Detail'!$C$8:$C$400,H375)=0,"UNMAPPED","OK"),"")</f>
        <v/>
      </c>
    </row>
    <row r="376" customFormat="false" ht="15" hidden="false" customHeight="false" outlineLevel="0" collapsed="false">
      <c r="D376" s="36" t="str">
        <f aca="false">TRIM(A376)</f>
        <v/>
      </c>
      <c r="E376" s="36" t="str">
        <f aca="false">IF(D376="Revenue","Revenue",IF(D376="Cost of Goods Sold","COGS",IF(D376="Expenditures","Expense",IF(D376="Other Revenue","Other Revenue",IF(D376="Other Expenditures","Other Expense",E375)))))</f>
        <v>Other Expense</v>
      </c>
      <c r="F376" s="36" t="str">
        <f aca="false">IF(OR(D376="Revenue",D376="Cost of Goods Sold",D376="Expenditures",D376="Other Revenue",D376="Other Expenditures"),E376,IF(AND(LEN(D376)&gt;2,MID(D376,2,1)=" ",ISNUMBER(VALUE(LEFT(D376,1)))),D376,F375))</f>
        <v>Other Expense</v>
      </c>
      <c r="G376" s="36" t="n">
        <f aca="false">IF(AND(D376&lt;&gt;"",ISNUMBER(B376),LEFT(D376,9)&lt;&gt;"Total for",D376&lt;&gt;"Gross Profit",D376&lt;&gt;"Net Operating Revenue",D376&lt;&gt;"Net Other Revenue",D376&lt;&gt;"Net Revenue"),1,0)</f>
        <v>0</v>
      </c>
      <c r="H376" s="36" t="str">
        <f aca="false">IF(G376=1,IF(AND(LEN(D376)&gt;7,ISNUMBER(VALUE(LEFT(D376,6))),MID(D376,7,1)=" "),LEFT(D376,6),D376),"")</f>
        <v/>
      </c>
      <c r="I376" s="36" t="str">
        <f aca="false">IF(G376=1,IF(COUNTIF('Forecast Detail'!$C$8:$C$400,H376)=0,"UNMAPPED","OK"),"")</f>
        <v/>
      </c>
    </row>
    <row r="377" customFormat="false" ht="15" hidden="false" customHeight="false" outlineLevel="0" collapsed="false">
      <c r="D377" s="36" t="str">
        <f aca="false">TRIM(A377)</f>
        <v/>
      </c>
      <c r="E377" s="36" t="str">
        <f aca="false">IF(D377="Revenue","Revenue",IF(D377="Cost of Goods Sold","COGS",IF(D377="Expenditures","Expense",IF(D377="Other Revenue","Other Revenue",IF(D377="Other Expenditures","Other Expense",E376)))))</f>
        <v>Other Expense</v>
      </c>
      <c r="F377" s="36" t="str">
        <f aca="false">IF(OR(D377="Revenue",D377="Cost of Goods Sold",D377="Expenditures",D377="Other Revenue",D377="Other Expenditures"),E377,IF(AND(LEN(D377)&gt;2,MID(D377,2,1)=" ",ISNUMBER(VALUE(LEFT(D377,1)))),D377,F376))</f>
        <v>Other Expense</v>
      </c>
      <c r="G377" s="36" t="n">
        <f aca="false">IF(AND(D377&lt;&gt;"",ISNUMBER(B377),LEFT(D377,9)&lt;&gt;"Total for",D377&lt;&gt;"Gross Profit",D377&lt;&gt;"Net Operating Revenue",D377&lt;&gt;"Net Other Revenue",D377&lt;&gt;"Net Revenue"),1,0)</f>
        <v>0</v>
      </c>
      <c r="H377" s="36" t="str">
        <f aca="false">IF(G377=1,IF(AND(LEN(D377)&gt;7,ISNUMBER(VALUE(LEFT(D377,6))),MID(D377,7,1)=" "),LEFT(D377,6),D377),"")</f>
        <v/>
      </c>
      <c r="I377" s="36" t="str">
        <f aca="false">IF(G377=1,IF(COUNTIF('Forecast Detail'!$C$8:$C$400,H377)=0,"UNMAPPED","OK"),"")</f>
        <v/>
      </c>
    </row>
    <row r="378" customFormat="false" ht="15" hidden="false" customHeight="false" outlineLevel="0" collapsed="false">
      <c r="D378" s="36" t="str">
        <f aca="false">TRIM(A378)</f>
        <v/>
      </c>
      <c r="E378" s="36" t="str">
        <f aca="false">IF(D378="Revenue","Revenue",IF(D378="Cost of Goods Sold","COGS",IF(D378="Expenditures","Expense",IF(D378="Other Revenue","Other Revenue",IF(D378="Other Expenditures","Other Expense",E377)))))</f>
        <v>Other Expense</v>
      </c>
      <c r="F378" s="36" t="str">
        <f aca="false">IF(OR(D378="Revenue",D378="Cost of Goods Sold",D378="Expenditures",D378="Other Revenue",D378="Other Expenditures"),E378,IF(AND(LEN(D378)&gt;2,MID(D378,2,1)=" ",ISNUMBER(VALUE(LEFT(D378,1)))),D378,F377))</f>
        <v>Other Expense</v>
      </c>
      <c r="G378" s="36" t="n">
        <f aca="false">IF(AND(D378&lt;&gt;"",ISNUMBER(B378),LEFT(D378,9)&lt;&gt;"Total for",D378&lt;&gt;"Gross Profit",D378&lt;&gt;"Net Operating Revenue",D378&lt;&gt;"Net Other Revenue",D378&lt;&gt;"Net Revenue"),1,0)</f>
        <v>0</v>
      </c>
      <c r="H378" s="36" t="str">
        <f aca="false">IF(G378=1,IF(AND(LEN(D378)&gt;7,ISNUMBER(VALUE(LEFT(D378,6))),MID(D378,7,1)=" "),LEFT(D378,6),D378),"")</f>
        <v/>
      </c>
      <c r="I378" s="36" t="str">
        <f aca="false">IF(G378=1,IF(COUNTIF('Forecast Detail'!$C$8:$C$400,H378)=0,"UNMAPPED","OK"),"")</f>
        <v/>
      </c>
    </row>
    <row r="379" customFormat="false" ht="15" hidden="false" customHeight="false" outlineLevel="0" collapsed="false">
      <c r="D379" s="36" t="str">
        <f aca="false">TRIM(A379)</f>
        <v/>
      </c>
      <c r="E379" s="36" t="str">
        <f aca="false">IF(D379="Revenue","Revenue",IF(D379="Cost of Goods Sold","COGS",IF(D379="Expenditures","Expense",IF(D379="Other Revenue","Other Revenue",IF(D379="Other Expenditures","Other Expense",E378)))))</f>
        <v>Other Expense</v>
      </c>
      <c r="F379" s="36" t="str">
        <f aca="false">IF(OR(D379="Revenue",D379="Cost of Goods Sold",D379="Expenditures",D379="Other Revenue",D379="Other Expenditures"),E379,IF(AND(LEN(D379)&gt;2,MID(D379,2,1)=" ",ISNUMBER(VALUE(LEFT(D379,1)))),D379,F378))</f>
        <v>Other Expense</v>
      </c>
      <c r="G379" s="36" t="n">
        <f aca="false">IF(AND(D379&lt;&gt;"",ISNUMBER(B379),LEFT(D379,9)&lt;&gt;"Total for",D379&lt;&gt;"Gross Profit",D379&lt;&gt;"Net Operating Revenue",D379&lt;&gt;"Net Other Revenue",D379&lt;&gt;"Net Revenue"),1,0)</f>
        <v>0</v>
      </c>
      <c r="H379" s="36" t="str">
        <f aca="false">IF(G379=1,IF(AND(LEN(D379)&gt;7,ISNUMBER(VALUE(LEFT(D379,6))),MID(D379,7,1)=" "),LEFT(D379,6),D379),"")</f>
        <v/>
      </c>
      <c r="I379" s="36" t="str">
        <f aca="false">IF(G379=1,IF(COUNTIF('Forecast Detail'!$C$8:$C$400,H379)=0,"UNMAPPED","OK"),"")</f>
        <v/>
      </c>
    </row>
    <row r="380" customFormat="false" ht="15" hidden="false" customHeight="false" outlineLevel="0" collapsed="false">
      <c r="D380" s="36" t="str">
        <f aca="false">TRIM(A380)</f>
        <v/>
      </c>
      <c r="E380" s="36" t="str">
        <f aca="false">IF(D380="Revenue","Revenue",IF(D380="Cost of Goods Sold","COGS",IF(D380="Expenditures","Expense",IF(D380="Other Revenue","Other Revenue",IF(D380="Other Expenditures","Other Expense",E379)))))</f>
        <v>Other Expense</v>
      </c>
      <c r="F380" s="36" t="str">
        <f aca="false">IF(OR(D380="Revenue",D380="Cost of Goods Sold",D380="Expenditures",D380="Other Revenue",D380="Other Expenditures"),E380,IF(AND(LEN(D380)&gt;2,MID(D380,2,1)=" ",ISNUMBER(VALUE(LEFT(D380,1)))),D380,F379))</f>
        <v>Other Expense</v>
      </c>
      <c r="G380" s="36" t="n">
        <f aca="false">IF(AND(D380&lt;&gt;"",ISNUMBER(B380),LEFT(D380,9)&lt;&gt;"Total for",D380&lt;&gt;"Gross Profit",D380&lt;&gt;"Net Operating Revenue",D380&lt;&gt;"Net Other Revenue",D380&lt;&gt;"Net Revenue"),1,0)</f>
        <v>0</v>
      </c>
      <c r="H380" s="36" t="str">
        <f aca="false">IF(G380=1,IF(AND(LEN(D380)&gt;7,ISNUMBER(VALUE(LEFT(D380,6))),MID(D380,7,1)=" "),LEFT(D380,6),D380),"")</f>
        <v/>
      </c>
      <c r="I380" s="36" t="str">
        <f aca="false">IF(G380=1,IF(COUNTIF('Forecast Detail'!$C$8:$C$400,H380)=0,"UNMAPPED","OK"),"")</f>
        <v/>
      </c>
    </row>
    <row r="381" customFormat="false" ht="15" hidden="false" customHeight="false" outlineLevel="0" collapsed="false">
      <c r="D381" s="36" t="str">
        <f aca="false">TRIM(A381)</f>
        <v/>
      </c>
      <c r="E381" s="36" t="str">
        <f aca="false">IF(D381="Revenue","Revenue",IF(D381="Cost of Goods Sold","COGS",IF(D381="Expenditures","Expense",IF(D381="Other Revenue","Other Revenue",IF(D381="Other Expenditures","Other Expense",E380)))))</f>
        <v>Other Expense</v>
      </c>
      <c r="F381" s="36" t="str">
        <f aca="false">IF(OR(D381="Revenue",D381="Cost of Goods Sold",D381="Expenditures",D381="Other Revenue",D381="Other Expenditures"),E381,IF(AND(LEN(D381)&gt;2,MID(D381,2,1)=" ",ISNUMBER(VALUE(LEFT(D381,1)))),D381,F380))</f>
        <v>Other Expense</v>
      </c>
      <c r="G381" s="36" t="n">
        <f aca="false">IF(AND(D381&lt;&gt;"",ISNUMBER(B381),LEFT(D381,9)&lt;&gt;"Total for",D381&lt;&gt;"Gross Profit",D381&lt;&gt;"Net Operating Revenue",D381&lt;&gt;"Net Other Revenue",D381&lt;&gt;"Net Revenue"),1,0)</f>
        <v>0</v>
      </c>
      <c r="H381" s="36" t="str">
        <f aca="false">IF(G381=1,IF(AND(LEN(D381)&gt;7,ISNUMBER(VALUE(LEFT(D381,6))),MID(D381,7,1)=" "),LEFT(D381,6),D381),"")</f>
        <v/>
      </c>
      <c r="I381" s="36" t="str">
        <f aca="false">IF(G381=1,IF(COUNTIF('Forecast Detail'!$C$8:$C$400,H381)=0,"UNMAPPED","OK"),"")</f>
        <v/>
      </c>
    </row>
    <row r="382" customFormat="false" ht="15" hidden="false" customHeight="false" outlineLevel="0" collapsed="false">
      <c r="D382" s="36" t="str">
        <f aca="false">TRIM(A382)</f>
        <v/>
      </c>
      <c r="E382" s="36" t="str">
        <f aca="false">IF(D382="Revenue","Revenue",IF(D382="Cost of Goods Sold","COGS",IF(D382="Expenditures","Expense",IF(D382="Other Revenue","Other Revenue",IF(D382="Other Expenditures","Other Expense",E381)))))</f>
        <v>Other Expense</v>
      </c>
      <c r="F382" s="36" t="str">
        <f aca="false">IF(OR(D382="Revenue",D382="Cost of Goods Sold",D382="Expenditures",D382="Other Revenue",D382="Other Expenditures"),E382,IF(AND(LEN(D382)&gt;2,MID(D382,2,1)=" ",ISNUMBER(VALUE(LEFT(D382,1)))),D382,F381))</f>
        <v>Other Expense</v>
      </c>
      <c r="G382" s="36" t="n">
        <f aca="false">IF(AND(D382&lt;&gt;"",ISNUMBER(B382),LEFT(D382,9)&lt;&gt;"Total for",D382&lt;&gt;"Gross Profit",D382&lt;&gt;"Net Operating Revenue",D382&lt;&gt;"Net Other Revenue",D382&lt;&gt;"Net Revenue"),1,0)</f>
        <v>0</v>
      </c>
      <c r="H382" s="36" t="str">
        <f aca="false">IF(G382=1,IF(AND(LEN(D382)&gt;7,ISNUMBER(VALUE(LEFT(D382,6))),MID(D382,7,1)=" "),LEFT(D382,6),D382),"")</f>
        <v/>
      </c>
      <c r="I382" s="36" t="str">
        <f aca="false">IF(G382=1,IF(COUNTIF('Forecast Detail'!$C$8:$C$400,H382)=0,"UNMAPPED","OK"),"")</f>
        <v/>
      </c>
    </row>
    <row r="383" customFormat="false" ht="15" hidden="false" customHeight="false" outlineLevel="0" collapsed="false">
      <c r="D383" s="36" t="str">
        <f aca="false">TRIM(A383)</f>
        <v/>
      </c>
      <c r="E383" s="36" t="str">
        <f aca="false">IF(D383="Revenue","Revenue",IF(D383="Cost of Goods Sold","COGS",IF(D383="Expenditures","Expense",IF(D383="Other Revenue","Other Revenue",IF(D383="Other Expenditures","Other Expense",E382)))))</f>
        <v>Other Expense</v>
      </c>
      <c r="F383" s="36" t="str">
        <f aca="false">IF(OR(D383="Revenue",D383="Cost of Goods Sold",D383="Expenditures",D383="Other Revenue",D383="Other Expenditures"),E383,IF(AND(LEN(D383)&gt;2,MID(D383,2,1)=" ",ISNUMBER(VALUE(LEFT(D383,1)))),D383,F382))</f>
        <v>Other Expense</v>
      </c>
      <c r="G383" s="36" t="n">
        <f aca="false">IF(AND(D383&lt;&gt;"",ISNUMBER(B383),LEFT(D383,9)&lt;&gt;"Total for",D383&lt;&gt;"Gross Profit",D383&lt;&gt;"Net Operating Revenue",D383&lt;&gt;"Net Other Revenue",D383&lt;&gt;"Net Revenue"),1,0)</f>
        <v>0</v>
      </c>
      <c r="H383" s="36" t="str">
        <f aca="false">IF(G383=1,IF(AND(LEN(D383)&gt;7,ISNUMBER(VALUE(LEFT(D383,6))),MID(D383,7,1)=" "),LEFT(D383,6),D383),"")</f>
        <v/>
      </c>
      <c r="I383" s="36" t="str">
        <f aca="false">IF(G383=1,IF(COUNTIF('Forecast Detail'!$C$8:$C$400,H383)=0,"UNMAPPED","OK"),"")</f>
        <v/>
      </c>
    </row>
    <row r="384" customFormat="false" ht="15" hidden="false" customHeight="false" outlineLevel="0" collapsed="false">
      <c r="D384" s="36" t="str">
        <f aca="false">TRIM(A384)</f>
        <v/>
      </c>
      <c r="E384" s="36" t="str">
        <f aca="false">IF(D384="Revenue","Revenue",IF(D384="Cost of Goods Sold","COGS",IF(D384="Expenditures","Expense",IF(D384="Other Revenue","Other Revenue",IF(D384="Other Expenditures","Other Expense",E383)))))</f>
        <v>Other Expense</v>
      </c>
      <c r="F384" s="36" t="str">
        <f aca="false">IF(OR(D384="Revenue",D384="Cost of Goods Sold",D384="Expenditures",D384="Other Revenue",D384="Other Expenditures"),E384,IF(AND(LEN(D384)&gt;2,MID(D384,2,1)=" ",ISNUMBER(VALUE(LEFT(D384,1)))),D384,F383))</f>
        <v>Other Expense</v>
      </c>
      <c r="G384" s="36" t="n">
        <f aca="false">IF(AND(D384&lt;&gt;"",ISNUMBER(B384),LEFT(D384,9)&lt;&gt;"Total for",D384&lt;&gt;"Gross Profit",D384&lt;&gt;"Net Operating Revenue",D384&lt;&gt;"Net Other Revenue",D384&lt;&gt;"Net Revenue"),1,0)</f>
        <v>0</v>
      </c>
      <c r="H384" s="36" t="str">
        <f aca="false">IF(G384=1,IF(AND(LEN(D384)&gt;7,ISNUMBER(VALUE(LEFT(D384,6))),MID(D384,7,1)=" "),LEFT(D384,6),D384),"")</f>
        <v/>
      </c>
      <c r="I384" s="36" t="str">
        <f aca="false">IF(G384=1,IF(COUNTIF('Forecast Detail'!$C$8:$C$400,H384)=0,"UNMAPPED","OK"),"")</f>
        <v/>
      </c>
    </row>
    <row r="385" customFormat="false" ht="15" hidden="false" customHeight="false" outlineLevel="0" collapsed="false">
      <c r="D385" s="36" t="str">
        <f aca="false">TRIM(A385)</f>
        <v/>
      </c>
      <c r="E385" s="36" t="str">
        <f aca="false">IF(D385="Revenue","Revenue",IF(D385="Cost of Goods Sold","COGS",IF(D385="Expenditures","Expense",IF(D385="Other Revenue","Other Revenue",IF(D385="Other Expenditures","Other Expense",E384)))))</f>
        <v>Other Expense</v>
      </c>
      <c r="F385" s="36" t="str">
        <f aca="false">IF(OR(D385="Revenue",D385="Cost of Goods Sold",D385="Expenditures",D385="Other Revenue",D385="Other Expenditures"),E385,IF(AND(LEN(D385)&gt;2,MID(D385,2,1)=" ",ISNUMBER(VALUE(LEFT(D385,1)))),D385,F384))</f>
        <v>Other Expense</v>
      </c>
      <c r="G385" s="36" t="n">
        <f aca="false">IF(AND(D385&lt;&gt;"",ISNUMBER(B385),LEFT(D385,9)&lt;&gt;"Total for",D385&lt;&gt;"Gross Profit",D385&lt;&gt;"Net Operating Revenue",D385&lt;&gt;"Net Other Revenue",D385&lt;&gt;"Net Revenue"),1,0)</f>
        <v>0</v>
      </c>
      <c r="H385" s="36" t="str">
        <f aca="false">IF(G385=1,IF(AND(LEN(D385)&gt;7,ISNUMBER(VALUE(LEFT(D385,6))),MID(D385,7,1)=" "),LEFT(D385,6),D385),"")</f>
        <v/>
      </c>
      <c r="I385" s="36" t="str">
        <f aca="false">IF(G385=1,IF(COUNTIF('Forecast Detail'!$C$8:$C$400,H385)=0,"UNMAPPED","OK"),"")</f>
        <v/>
      </c>
    </row>
    <row r="386" customFormat="false" ht="15" hidden="false" customHeight="false" outlineLevel="0" collapsed="false">
      <c r="D386" s="36" t="str">
        <f aca="false">TRIM(A386)</f>
        <v/>
      </c>
      <c r="E386" s="36" t="str">
        <f aca="false">IF(D386="Revenue","Revenue",IF(D386="Cost of Goods Sold","COGS",IF(D386="Expenditures","Expense",IF(D386="Other Revenue","Other Revenue",IF(D386="Other Expenditures","Other Expense",E385)))))</f>
        <v>Other Expense</v>
      </c>
      <c r="F386" s="36" t="str">
        <f aca="false">IF(OR(D386="Revenue",D386="Cost of Goods Sold",D386="Expenditures",D386="Other Revenue",D386="Other Expenditures"),E386,IF(AND(LEN(D386)&gt;2,MID(D386,2,1)=" ",ISNUMBER(VALUE(LEFT(D386,1)))),D386,F385))</f>
        <v>Other Expense</v>
      </c>
      <c r="G386" s="36" t="n">
        <f aca="false">IF(AND(D386&lt;&gt;"",ISNUMBER(B386),LEFT(D386,9)&lt;&gt;"Total for",D386&lt;&gt;"Gross Profit",D386&lt;&gt;"Net Operating Revenue",D386&lt;&gt;"Net Other Revenue",D386&lt;&gt;"Net Revenue"),1,0)</f>
        <v>0</v>
      </c>
      <c r="H386" s="36" t="str">
        <f aca="false">IF(G386=1,IF(AND(LEN(D386)&gt;7,ISNUMBER(VALUE(LEFT(D386,6))),MID(D386,7,1)=" "),LEFT(D386,6),D386),"")</f>
        <v/>
      </c>
      <c r="I386" s="36" t="str">
        <f aca="false">IF(G386=1,IF(COUNTIF('Forecast Detail'!$C$8:$C$400,H386)=0,"UNMAPPED","OK"),"")</f>
        <v/>
      </c>
    </row>
    <row r="387" customFormat="false" ht="15" hidden="false" customHeight="false" outlineLevel="0" collapsed="false">
      <c r="D387" s="36" t="str">
        <f aca="false">TRIM(A387)</f>
        <v/>
      </c>
      <c r="E387" s="36" t="str">
        <f aca="false">IF(D387="Revenue","Revenue",IF(D387="Cost of Goods Sold","COGS",IF(D387="Expenditures","Expense",IF(D387="Other Revenue","Other Revenue",IF(D387="Other Expenditures","Other Expense",E386)))))</f>
        <v>Other Expense</v>
      </c>
      <c r="F387" s="36" t="str">
        <f aca="false">IF(OR(D387="Revenue",D387="Cost of Goods Sold",D387="Expenditures",D387="Other Revenue",D387="Other Expenditures"),E387,IF(AND(LEN(D387)&gt;2,MID(D387,2,1)=" ",ISNUMBER(VALUE(LEFT(D387,1)))),D387,F386))</f>
        <v>Other Expense</v>
      </c>
      <c r="G387" s="36" t="n">
        <f aca="false">IF(AND(D387&lt;&gt;"",ISNUMBER(B387),LEFT(D387,9)&lt;&gt;"Total for",D387&lt;&gt;"Gross Profit",D387&lt;&gt;"Net Operating Revenue",D387&lt;&gt;"Net Other Revenue",D387&lt;&gt;"Net Revenue"),1,0)</f>
        <v>0</v>
      </c>
      <c r="H387" s="36" t="str">
        <f aca="false">IF(G387=1,IF(AND(LEN(D387)&gt;7,ISNUMBER(VALUE(LEFT(D387,6))),MID(D387,7,1)=" "),LEFT(D387,6),D387),"")</f>
        <v/>
      </c>
      <c r="I387" s="36" t="str">
        <f aca="false">IF(G387=1,IF(COUNTIF('Forecast Detail'!$C$8:$C$400,H387)=0,"UNMAPPED","OK"),"")</f>
        <v/>
      </c>
    </row>
    <row r="388" customFormat="false" ht="15" hidden="false" customHeight="false" outlineLevel="0" collapsed="false">
      <c r="D388" s="36" t="str">
        <f aca="false">TRIM(A388)</f>
        <v/>
      </c>
      <c r="E388" s="36" t="str">
        <f aca="false">IF(D388="Revenue","Revenue",IF(D388="Cost of Goods Sold","COGS",IF(D388="Expenditures","Expense",IF(D388="Other Revenue","Other Revenue",IF(D388="Other Expenditures","Other Expense",E387)))))</f>
        <v>Other Expense</v>
      </c>
      <c r="F388" s="36" t="str">
        <f aca="false">IF(OR(D388="Revenue",D388="Cost of Goods Sold",D388="Expenditures",D388="Other Revenue",D388="Other Expenditures"),E388,IF(AND(LEN(D388)&gt;2,MID(D388,2,1)=" ",ISNUMBER(VALUE(LEFT(D388,1)))),D388,F387))</f>
        <v>Other Expense</v>
      </c>
      <c r="G388" s="36" t="n">
        <f aca="false">IF(AND(D388&lt;&gt;"",ISNUMBER(B388),LEFT(D388,9)&lt;&gt;"Total for",D388&lt;&gt;"Gross Profit",D388&lt;&gt;"Net Operating Revenue",D388&lt;&gt;"Net Other Revenue",D388&lt;&gt;"Net Revenue"),1,0)</f>
        <v>0</v>
      </c>
      <c r="H388" s="36" t="str">
        <f aca="false">IF(G388=1,IF(AND(LEN(D388)&gt;7,ISNUMBER(VALUE(LEFT(D388,6))),MID(D388,7,1)=" "),LEFT(D388,6),D388),"")</f>
        <v/>
      </c>
      <c r="I388" s="36" t="str">
        <f aca="false">IF(G388=1,IF(COUNTIF('Forecast Detail'!$C$8:$C$400,H388)=0,"UNMAPPED","OK"),"")</f>
        <v/>
      </c>
    </row>
    <row r="389" customFormat="false" ht="15" hidden="false" customHeight="false" outlineLevel="0" collapsed="false">
      <c r="D389" s="36" t="str">
        <f aca="false">TRIM(A389)</f>
        <v/>
      </c>
      <c r="E389" s="36" t="str">
        <f aca="false">IF(D389="Revenue","Revenue",IF(D389="Cost of Goods Sold","COGS",IF(D389="Expenditures","Expense",IF(D389="Other Revenue","Other Revenue",IF(D389="Other Expenditures","Other Expense",E388)))))</f>
        <v>Other Expense</v>
      </c>
      <c r="F389" s="36" t="str">
        <f aca="false">IF(OR(D389="Revenue",D389="Cost of Goods Sold",D389="Expenditures",D389="Other Revenue",D389="Other Expenditures"),E389,IF(AND(LEN(D389)&gt;2,MID(D389,2,1)=" ",ISNUMBER(VALUE(LEFT(D389,1)))),D389,F388))</f>
        <v>Other Expense</v>
      </c>
      <c r="G389" s="36" t="n">
        <f aca="false">IF(AND(D389&lt;&gt;"",ISNUMBER(B389),LEFT(D389,9)&lt;&gt;"Total for",D389&lt;&gt;"Gross Profit",D389&lt;&gt;"Net Operating Revenue",D389&lt;&gt;"Net Other Revenue",D389&lt;&gt;"Net Revenue"),1,0)</f>
        <v>0</v>
      </c>
      <c r="H389" s="36" t="str">
        <f aca="false">IF(G389=1,IF(AND(LEN(D389)&gt;7,ISNUMBER(VALUE(LEFT(D389,6))),MID(D389,7,1)=" "),LEFT(D389,6),D389),"")</f>
        <v/>
      </c>
      <c r="I389" s="36" t="str">
        <f aca="false">IF(G389=1,IF(COUNTIF('Forecast Detail'!$C$8:$C$400,H389)=0,"UNMAPPED","OK"),"")</f>
        <v/>
      </c>
    </row>
    <row r="390" customFormat="false" ht="15" hidden="false" customHeight="false" outlineLevel="0" collapsed="false">
      <c r="D390" s="36" t="str">
        <f aca="false">TRIM(A390)</f>
        <v/>
      </c>
      <c r="E390" s="36" t="str">
        <f aca="false">IF(D390="Revenue","Revenue",IF(D390="Cost of Goods Sold","COGS",IF(D390="Expenditures","Expense",IF(D390="Other Revenue","Other Revenue",IF(D390="Other Expenditures","Other Expense",E389)))))</f>
        <v>Other Expense</v>
      </c>
      <c r="F390" s="36" t="str">
        <f aca="false">IF(OR(D390="Revenue",D390="Cost of Goods Sold",D390="Expenditures",D390="Other Revenue",D390="Other Expenditures"),E390,IF(AND(LEN(D390)&gt;2,MID(D390,2,1)=" ",ISNUMBER(VALUE(LEFT(D390,1)))),D390,F389))</f>
        <v>Other Expense</v>
      </c>
      <c r="G390" s="36" t="n">
        <f aca="false">IF(AND(D390&lt;&gt;"",ISNUMBER(B390),LEFT(D390,9)&lt;&gt;"Total for",D390&lt;&gt;"Gross Profit",D390&lt;&gt;"Net Operating Revenue",D390&lt;&gt;"Net Other Revenue",D390&lt;&gt;"Net Revenue"),1,0)</f>
        <v>0</v>
      </c>
      <c r="H390" s="36" t="str">
        <f aca="false">IF(G390=1,IF(AND(LEN(D390)&gt;7,ISNUMBER(VALUE(LEFT(D390,6))),MID(D390,7,1)=" "),LEFT(D390,6),D390),"")</f>
        <v/>
      </c>
      <c r="I390" s="36" t="str">
        <f aca="false">IF(G390=1,IF(COUNTIF('Forecast Detail'!$C$8:$C$400,H390)=0,"UNMAPPED","OK"),"")</f>
        <v/>
      </c>
    </row>
    <row r="391" customFormat="false" ht="15" hidden="false" customHeight="false" outlineLevel="0" collapsed="false">
      <c r="D391" s="36" t="str">
        <f aca="false">TRIM(A391)</f>
        <v/>
      </c>
      <c r="E391" s="36" t="str">
        <f aca="false">IF(D391="Revenue","Revenue",IF(D391="Cost of Goods Sold","COGS",IF(D391="Expenditures","Expense",IF(D391="Other Revenue","Other Revenue",IF(D391="Other Expenditures","Other Expense",E390)))))</f>
        <v>Other Expense</v>
      </c>
      <c r="F391" s="36" t="str">
        <f aca="false">IF(OR(D391="Revenue",D391="Cost of Goods Sold",D391="Expenditures",D391="Other Revenue",D391="Other Expenditures"),E391,IF(AND(LEN(D391)&gt;2,MID(D391,2,1)=" ",ISNUMBER(VALUE(LEFT(D391,1)))),D391,F390))</f>
        <v>Other Expense</v>
      </c>
      <c r="G391" s="36" t="n">
        <f aca="false">IF(AND(D391&lt;&gt;"",ISNUMBER(B391),LEFT(D391,9)&lt;&gt;"Total for",D391&lt;&gt;"Gross Profit",D391&lt;&gt;"Net Operating Revenue",D391&lt;&gt;"Net Other Revenue",D391&lt;&gt;"Net Revenue"),1,0)</f>
        <v>0</v>
      </c>
      <c r="H391" s="36" t="str">
        <f aca="false">IF(G391=1,IF(AND(LEN(D391)&gt;7,ISNUMBER(VALUE(LEFT(D391,6))),MID(D391,7,1)=" "),LEFT(D391,6),D391),"")</f>
        <v/>
      </c>
      <c r="I391" s="36" t="str">
        <f aca="false">IF(G391=1,IF(COUNTIF('Forecast Detail'!$C$8:$C$400,H391)=0,"UNMAPPED","OK"),"")</f>
        <v/>
      </c>
    </row>
    <row r="392" customFormat="false" ht="15" hidden="false" customHeight="false" outlineLevel="0" collapsed="false">
      <c r="D392" s="36" t="str">
        <f aca="false">TRIM(A392)</f>
        <v/>
      </c>
      <c r="E392" s="36" t="str">
        <f aca="false">IF(D392="Revenue","Revenue",IF(D392="Cost of Goods Sold","COGS",IF(D392="Expenditures","Expense",IF(D392="Other Revenue","Other Revenue",IF(D392="Other Expenditures","Other Expense",E391)))))</f>
        <v>Other Expense</v>
      </c>
      <c r="F392" s="36" t="str">
        <f aca="false">IF(OR(D392="Revenue",D392="Cost of Goods Sold",D392="Expenditures",D392="Other Revenue",D392="Other Expenditures"),E392,IF(AND(LEN(D392)&gt;2,MID(D392,2,1)=" ",ISNUMBER(VALUE(LEFT(D392,1)))),D392,F391))</f>
        <v>Other Expense</v>
      </c>
      <c r="G392" s="36" t="n">
        <f aca="false">IF(AND(D392&lt;&gt;"",ISNUMBER(B392),LEFT(D392,9)&lt;&gt;"Total for",D392&lt;&gt;"Gross Profit",D392&lt;&gt;"Net Operating Revenue",D392&lt;&gt;"Net Other Revenue",D392&lt;&gt;"Net Revenue"),1,0)</f>
        <v>0</v>
      </c>
      <c r="H392" s="36" t="str">
        <f aca="false">IF(G392=1,IF(AND(LEN(D392)&gt;7,ISNUMBER(VALUE(LEFT(D392,6))),MID(D392,7,1)=" "),LEFT(D392,6),D392),"")</f>
        <v/>
      </c>
      <c r="I392" s="36" t="str">
        <f aca="false">IF(G392=1,IF(COUNTIF('Forecast Detail'!$C$8:$C$400,H392)=0,"UNMAPPED","OK"),"")</f>
        <v/>
      </c>
    </row>
    <row r="393" customFormat="false" ht="15" hidden="false" customHeight="false" outlineLevel="0" collapsed="false">
      <c r="D393" s="36" t="str">
        <f aca="false">TRIM(A393)</f>
        <v/>
      </c>
      <c r="E393" s="36" t="str">
        <f aca="false">IF(D393="Revenue","Revenue",IF(D393="Cost of Goods Sold","COGS",IF(D393="Expenditures","Expense",IF(D393="Other Revenue","Other Revenue",IF(D393="Other Expenditures","Other Expense",E392)))))</f>
        <v>Other Expense</v>
      </c>
      <c r="F393" s="36" t="str">
        <f aca="false">IF(OR(D393="Revenue",D393="Cost of Goods Sold",D393="Expenditures",D393="Other Revenue",D393="Other Expenditures"),E393,IF(AND(LEN(D393)&gt;2,MID(D393,2,1)=" ",ISNUMBER(VALUE(LEFT(D393,1)))),D393,F392))</f>
        <v>Other Expense</v>
      </c>
      <c r="G393" s="36" t="n">
        <f aca="false">IF(AND(D393&lt;&gt;"",ISNUMBER(B393),LEFT(D393,9)&lt;&gt;"Total for",D393&lt;&gt;"Gross Profit",D393&lt;&gt;"Net Operating Revenue",D393&lt;&gt;"Net Other Revenue",D393&lt;&gt;"Net Revenue"),1,0)</f>
        <v>0</v>
      </c>
      <c r="H393" s="36" t="str">
        <f aca="false">IF(G393=1,IF(AND(LEN(D393)&gt;7,ISNUMBER(VALUE(LEFT(D393,6))),MID(D393,7,1)=" "),LEFT(D393,6),D393),"")</f>
        <v/>
      </c>
      <c r="I393" s="36" t="str">
        <f aca="false">IF(G393=1,IF(COUNTIF('Forecast Detail'!$C$8:$C$400,H393)=0,"UNMAPPED","OK"),"")</f>
        <v/>
      </c>
    </row>
    <row r="394" customFormat="false" ht="15" hidden="false" customHeight="false" outlineLevel="0" collapsed="false">
      <c r="D394" s="36" t="str">
        <f aca="false">TRIM(A394)</f>
        <v/>
      </c>
      <c r="E394" s="36" t="str">
        <f aca="false">IF(D394="Revenue","Revenue",IF(D394="Cost of Goods Sold","COGS",IF(D394="Expenditures","Expense",IF(D394="Other Revenue","Other Revenue",IF(D394="Other Expenditures","Other Expense",E393)))))</f>
        <v>Other Expense</v>
      </c>
      <c r="F394" s="36" t="str">
        <f aca="false">IF(OR(D394="Revenue",D394="Cost of Goods Sold",D394="Expenditures",D394="Other Revenue",D394="Other Expenditures"),E394,IF(AND(LEN(D394)&gt;2,MID(D394,2,1)=" ",ISNUMBER(VALUE(LEFT(D394,1)))),D394,F393))</f>
        <v>Other Expense</v>
      </c>
      <c r="G394" s="36" t="n">
        <f aca="false">IF(AND(D394&lt;&gt;"",ISNUMBER(B394),LEFT(D394,9)&lt;&gt;"Total for",D394&lt;&gt;"Gross Profit",D394&lt;&gt;"Net Operating Revenue",D394&lt;&gt;"Net Other Revenue",D394&lt;&gt;"Net Revenue"),1,0)</f>
        <v>0</v>
      </c>
      <c r="H394" s="36" t="str">
        <f aca="false">IF(G394=1,IF(AND(LEN(D394)&gt;7,ISNUMBER(VALUE(LEFT(D394,6))),MID(D394,7,1)=" "),LEFT(D394,6),D394),"")</f>
        <v/>
      </c>
      <c r="I394" s="36" t="str">
        <f aca="false">IF(G394=1,IF(COUNTIF('Forecast Detail'!$C$8:$C$400,H394)=0,"UNMAPPED","OK"),"")</f>
        <v/>
      </c>
    </row>
    <row r="395" customFormat="false" ht="15" hidden="false" customHeight="false" outlineLevel="0" collapsed="false">
      <c r="D395" s="36" t="str">
        <f aca="false">TRIM(A395)</f>
        <v/>
      </c>
      <c r="E395" s="36" t="str">
        <f aca="false">IF(D395="Revenue","Revenue",IF(D395="Cost of Goods Sold","COGS",IF(D395="Expenditures","Expense",IF(D395="Other Revenue","Other Revenue",IF(D395="Other Expenditures","Other Expense",E394)))))</f>
        <v>Other Expense</v>
      </c>
      <c r="F395" s="36" t="str">
        <f aca="false">IF(OR(D395="Revenue",D395="Cost of Goods Sold",D395="Expenditures",D395="Other Revenue",D395="Other Expenditures"),E395,IF(AND(LEN(D395)&gt;2,MID(D395,2,1)=" ",ISNUMBER(VALUE(LEFT(D395,1)))),D395,F394))</f>
        <v>Other Expense</v>
      </c>
      <c r="G395" s="36" t="n">
        <f aca="false">IF(AND(D395&lt;&gt;"",ISNUMBER(B395),LEFT(D395,9)&lt;&gt;"Total for",D395&lt;&gt;"Gross Profit",D395&lt;&gt;"Net Operating Revenue",D395&lt;&gt;"Net Other Revenue",D395&lt;&gt;"Net Revenue"),1,0)</f>
        <v>0</v>
      </c>
      <c r="H395" s="36" t="str">
        <f aca="false">IF(G395=1,IF(AND(LEN(D395)&gt;7,ISNUMBER(VALUE(LEFT(D395,6))),MID(D395,7,1)=" "),LEFT(D395,6),D395),"")</f>
        <v/>
      </c>
      <c r="I395" s="36" t="str">
        <f aca="false">IF(G395=1,IF(COUNTIF('Forecast Detail'!$C$8:$C$400,H395)=0,"UNMAPPED","OK"),"")</f>
        <v/>
      </c>
    </row>
    <row r="396" customFormat="false" ht="15" hidden="false" customHeight="false" outlineLevel="0" collapsed="false">
      <c r="D396" s="36" t="str">
        <f aca="false">TRIM(A396)</f>
        <v/>
      </c>
      <c r="E396" s="36" t="str">
        <f aca="false">IF(D396="Revenue","Revenue",IF(D396="Cost of Goods Sold","COGS",IF(D396="Expenditures","Expense",IF(D396="Other Revenue","Other Revenue",IF(D396="Other Expenditures","Other Expense",E395)))))</f>
        <v>Other Expense</v>
      </c>
      <c r="F396" s="36" t="str">
        <f aca="false">IF(OR(D396="Revenue",D396="Cost of Goods Sold",D396="Expenditures",D396="Other Revenue",D396="Other Expenditures"),E396,IF(AND(LEN(D396)&gt;2,MID(D396,2,1)=" ",ISNUMBER(VALUE(LEFT(D396,1)))),D396,F395))</f>
        <v>Other Expense</v>
      </c>
      <c r="G396" s="36" t="n">
        <f aca="false">IF(AND(D396&lt;&gt;"",ISNUMBER(B396),LEFT(D396,9)&lt;&gt;"Total for",D396&lt;&gt;"Gross Profit",D396&lt;&gt;"Net Operating Revenue",D396&lt;&gt;"Net Other Revenue",D396&lt;&gt;"Net Revenue"),1,0)</f>
        <v>0</v>
      </c>
      <c r="H396" s="36" t="str">
        <f aca="false">IF(G396=1,IF(AND(LEN(D396)&gt;7,ISNUMBER(VALUE(LEFT(D396,6))),MID(D396,7,1)=" "),LEFT(D396,6),D396),"")</f>
        <v/>
      </c>
      <c r="I396" s="36" t="str">
        <f aca="false">IF(G396=1,IF(COUNTIF('Forecast Detail'!$C$8:$C$400,H396)=0,"UNMAPPED","OK"),"")</f>
        <v/>
      </c>
    </row>
    <row r="397" customFormat="false" ht="15" hidden="false" customHeight="false" outlineLevel="0" collapsed="false">
      <c r="D397" s="36" t="str">
        <f aca="false">TRIM(A397)</f>
        <v/>
      </c>
      <c r="E397" s="36" t="str">
        <f aca="false">IF(D397="Revenue","Revenue",IF(D397="Cost of Goods Sold","COGS",IF(D397="Expenditures","Expense",IF(D397="Other Revenue","Other Revenue",IF(D397="Other Expenditures","Other Expense",E396)))))</f>
        <v>Other Expense</v>
      </c>
      <c r="F397" s="36" t="str">
        <f aca="false">IF(OR(D397="Revenue",D397="Cost of Goods Sold",D397="Expenditures",D397="Other Revenue",D397="Other Expenditures"),E397,IF(AND(LEN(D397)&gt;2,MID(D397,2,1)=" ",ISNUMBER(VALUE(LEFT(D397,1)))),D397,F396))</f>
        <v>Other Expense</v>
      </c>
      <c r="G397" s="36" t="n">
        <f aca="false">IF(AND(D397&lt;&gt;"",ISNUMBER(B397),LEFT(D397,9)&lt;&gt;"Total for",D397&lt;&gt;"Gross Profit",D397&lt;&gt;"Net Operating Revenue",D397&lt;&gt;"Net Other Revenue",D397&lt;&gt;"Net Revenue"),1,0)</f>
        <v>0</v>
      </c>
      <c r="H397" s="36" t="str">
        <f aca="false">IF(G397=1,IF(AND(LEN(D397)&gt;7,ISNUMBER(VALUE(LEFT(D397,6))),MID(D397,7,1)=" "),LEFT(D397,6),D397),"")</f>
        <v/>
      </c>
      <c r="I397" s="36" t="str">
        <f aca="false">IF(G397=1,IF(COUNTIF('Forecast Detail'!$C$8:$C$400,H397)=0,"UNMAPPED","OK"),"")</f>
        <v/>
      </c>
    </row>
    <row r="398" customFormat="false" ht="15" hidden="false" customHeight="false" outlineLevel="0" collapsed="false">
      <c r="D398" s="36" t="str">
        <f aca="false">TRIM(A398)</f>
        <v/>
      </c>
      <c r="E398" s="36" t="str">
        <f aca="false">IF(D398="Revenue","Revenue",IF(D398="Cost of Goods Sold","COGS",IF(D398="Expenditures","Expense",IF(D398="Other Revenue","Other Revenue",IF(D398="Other Expenditures","Other Expense",E397)))))</f>
        <v>Other Expense</v>
      </c>
      <c r="F398" s="36" t="str">
        <f aca="false">IF(OR(D398="Revenue",D398="Cost of Goods Sold",D398="Expenditures",D398="Other Revenue",D398="Other Expenditures"),E398,IF(AND(LEN(D398)&gt;2,MID(D398,2,1)=" ",ISNUMBER(VALUE(LEFT(D398,1)))),D398,F397))</f>
        <v>Other Expense</v>
      </c>
      <c r="G398" s="36" t="n">
        <f aca="false">IF(AND(D398&lt;&gt;"",ISNUMBER(B398),LEFT(D398,9)&lt;&gt;"Total for",D398&lt;&gt;"Gross Profit",D398&lt;&gt;"Net Operating Revenue",D398&lt;&gt;"Net Other Revenue",D398&lt;&gt;"Net Revenue"),1,0)</f>
        <v>0</v>
      </c>
      <c r="H398" s="36" t="str">
        <f aca="false">IF(G398=1,IF(AND(LEN(D398)&gt;7,ISNUMBER(VALUE(LEFT(D398,6))),MID(D398,7,1)=" "),LEFT(D398,6),D398),"")</f>
        <v/>
      </c>
      <c r="I398" s="36" t="str">
        <f aca="false">IF(G398=1,IF(COUNTIF('Forecast Detail'!$C$8:$C$400,H398)=0,"UNMAPPED","OK"),"")</f>
        <v/>
      </c>
    </row>
    <row r="399" customFormat="false" ht="15" hidden="false" customHeight="false" outlineLevel="0" collapsed="false">
      <c r="D399" s="36" t="str">
        <f aca="false">TRIM(A399)</f>
        <v/>
      </c>
      <c r="E399" s="36" t="str">
        <f aca="false">IF(D399="Revenue","Revenue",IF(D399="Cost of Goods Sold","COGS",IF(D399="Expenditures","Expense",IF(D399="Other Revenue","Other Revenue",IF(D399="Other Expenditures","Other Expense",E398)))))</f>
        <v>Other Expense</v>
      </c>
      <c r="F399" s="36" t="str">
        <f aca="false">IF(OR(D399="Revenue",D399="Cost of Goods Sold",D399="Expenditures",D399="Other Revenue",D399="Other Expenditures"),E399,IF(AND(LEN(D399)&gt;2,MID(D399,2,1)=" ",ISNUMBER(VALUE(LEFT(D399,1)))),D399,F398))</f>
        <v>Other Expense</v>
      </c>
      <c r="G399" s="36" t="n">
        <f aca="false">IF(AND(D399&lt;&gt;"",ISNUMBER(B399),LEFT(D399,9)&lt;&gt;"Total for",D399&lt;&gt;"Gross Profit",D399&lt;&gt;"Net Operating Revenue",D399&lt;&gt;"Net Other Revenue",D399&lt;&gt;"Net Revenue"),1,0)</f>
        <v>0</v>
      </c>
      <c r="H399" s="36" t="str">
        <f aca="false">IF(G399=1,IF(AND(LEN(D399)&gt;7,ISNUMBER(VALUE(LEFT(D399,6))),MID(D399,7,1)=" "),LEFT(D399,6),D399),"")</f>
        <v/>
      </c>
      <c r="I399" s="36" t="str">
        <f aca="false">IF(G399=1,IF(COUNTIF('Forecast Detail'!$C$8:$C$400,H399)=0,"UNMAPPED","OK"),"")</f>
        <v/>
      </c>
    </row>
    <row r="400" customFormat="false" ht="15" hidden="false" customHeight="false" outlineLevel="0" collapsed="false">
      <c r="D400" s="36" t="str">
        <f aca="false">TRIM(A400)</f>
        <v/>
      </c>
      <c r="E400" s="36" t="str">
        <f aca="false">IF(D400="Revenue","Revenue",IF(D400="Cost of Goods Sold","COGS",IF(D400="Expenditures","Expense",IF(D400="Other Revenue","Other Revenue",IF(D400="Other Expenditures","Other Expense",E399)))))</f>
        <v>Other Expense</v>
      </c>
      <c r="F400" s="36" t="str">
        <f aca="false">IF(OR(D400="Revenue",D400="Cost of Goods Sold",D400="Expenditures",D400="Other Revenue",D400="Other Expenditures"),E400,IF(AND(LEN(D400)&gt;2,MID(D400,2,1)=" ",ISNUMBER(VALUE(LEFT(D400,1)))),D400,F399))</f>
        <v>Other Expense</v>
      </c>
      <c r="G400" s="36" t="n">
        <f aca="false">IF(AND(D400&lt;&gt;"",ISNUMBER(B400),LEFT(D400,9)&lt;&gt;"Total for",D400&lt;&gt;"Gross Profit",D400&lt;&gt;"Net Operating Revenue",D400&lt;&gt;"Net Other Revenue",D400&lt;&gt;"Net Revenue"),1,0)</f>
        <v>0</v>
      </c>
      <c r="H400" s="36" t="str">
        <f aca="false">IF(G400=1,IF(AND(LEN(D400)&gt;7,ISNUMBER(VALUE(LEFT(D400,6))),MID(D400,7,1)=" "),LEFT(D400,6),D400),"")</f>
        <v/>
      </c>
      <c r="I400" s="36" t="str">
        <f aca="false">IF(G400=1,IF(COUNTIF('Forecast Detail'!$C$8:$C$400,H400)=0,"UNMAPPED","OK"),"")</f>
        <v/>
      </c>
    </row>
    <row r="401" customFormat="false" ht="15" hidden="false" customHeight="false" outlineLevel="0" collapsed="false">
      <c r="D401" s="36" t="str">
        <f aca="false">TRIM(A401)</f>
        <v/>
      </c>
      <c r="E401" s="36" t="str">
        <f aca="false">IF(D401="Revenue","Revenue",IF(D401="Cost of Goods Sold","COGS",IF(D401="Expenditures","Expense",IF(D401="Other Revenue","Other Revenue",IF(D401="Other Expenditures","Other Expense",E400)))))</f>
        <v>Other Expense</v>
      </c>
      <c r="F401" s="36" t="str">
        <f aca="false">IF(OR(D401="Revenue",D401="Cost of Goods Sold",D401="Expenditures",D401="Other Revenue",D401="Other Expenditures"),E401,IF(AND(LEN(D401)&gt;2,MID(D401,2,1)=" ",ISNUMBER(VALUE(LEFT(D401,1)))),D401,F400))</f>
        <v>Other Expense</v>
      </c>
      <c r="G401" s="36" t="n">
        <f aca="false">IF(AND(D401&lt;&gt;"",ISNUMBER(B401),LEFT(D401,9)&lt;&gt;"Total for",D401&lt;&gt;"Gross Profit",D401&lt;&gt;"Net Operating Revenue",D401&lt;&gt;"Net Other Revenue",D401&lt;&gt;"Net Revenue"),1,0)</f>
        <v>0</v>
      </c>
      <c r="H401" s="36" t="str">
        <f aca="false">IF(G401=1,IF(AND(LEN(D401)&gt;7,ISNUMBER(VALUE(LEFT(D401,6))),MID(D401,7,1)=" "),LEFT(D401,6),D401),"")</f>
        <v/>
      </c>
      <c r="I401" s="36" t="str">
        <f aca="false">IF(G401=1,IF(COUNTIF('Forecast Detail'!$C$8:$C$400,H401)=0,"UNMAPPED","OK"),"")</f>
        <v/>
      </c>
    </row>
    <row r="402" customFormat="false" ht="15" hidden="false" customHeight="false" outlineLevel="0" collapsed="false">
      <c r="D402" s="36" t="str">
        <f aca="false">TRIM(A402)</f>
        <v/>
      </c>
      <c r="E402" s="36" t="str">
        <f aca="false">IF(D402="Revenue","Revenue",IF(D402="Cost of Goods Sold","COGS",IF(D402="Expenditures","Expense",IF(D402="Other Revenue","Other Revenue",IF(D402="Other Expenditures","Other Expense",E401)))))</f>
        <v>Other Expense</v>
      </c>
      <c r="F402" s="36" t="str">
        <f aca="false">IF(OR(D402="Revenue",D402="Cost of Goods Sold",D402="Expenditures",D402="Other Revenue",D402="Other Expenditures"),E402,IF(AND(LEN(D402)&gt;2,MID(D402,2,1)=" ",ISNUMBER(VALUE(LEFT(D402,1)))),D402,F401))</f>
        <v>Other Expense</v>
      </c>
      <c r="G402" s="36" t="n">
        <f aca="false">IF(AND(D402&lt;&gt;"",ISNUMBER(B402),LEFT(D402,9)&lt;&gt;"Total for",D402&lt;&gt;"Gross Profit",D402&lt;&gt;"Net Operating Revenue",D402&lt;&gt;"Net Other Revenue",D402&lt;&gt;"Net Revenue"),1,0)</f>
        <v>0</v>
      </c>
      <c r="H402" s="36" t="str">
        <f aca="false">IF(G402=1,IF(AND(LEN(D402)&gt;7,ISNUMBER(VALUE(LEFT(D402,6))),MID(D402,7,1)=" "),LEFT(D402,6),D402),"")</f>
        <v/>
      </c>
      <c r="I402" s="36" t="str">
        <f aca="false">IF(G402=1,IF(COUNTIF('Forecast Detail'!$C$8:$C$400,H402)=0,"UNMAPPED","OK"),"")</f>
        <v/>
      </c>
    </row>
    <row r="403" customFormat="false" ht="15" hidden="false" customHeight="false" outlineLevel="0" collapsed="false">
      <c r="D403" s="36" t="str">
        <f aca="false">TRIM(A403)</f>
        <v/>
      </c>
      <c r="E403" s="36" t="str">
        <f aca="false">IF(D403="Revenue","Revenue",IF(D403="Cost of Goods Sold","COGS",IF(D403="Expenditures","Expense",IF(D403="Other Revenue","Other Revenue",IF(D403="Other Expenditures","Other Expense",E402)))))</f>
        <v>Other Expense</v>
      </c>
      <c r="F403" s="36" t="str">
        <f aca="false">IF(OR(D403="Revenue",D403="Cost of Goods Sold",D403="Expenditures",D403="Other Revenue",D403="Other Expenditures"),E403,IF(AND(LEN(D403)&gt;2,MID(D403,2,1)=" ",ISNUMBER(VALUE(LEFT(D403,1)))),D403,F402))</f>
        <v>Other Expense</v>
      </c>
      <c r="G403" s="36" t="n">
        <f aca="false">IF(AND(D403&lt;&gt;"",ISNUMBER(B403),LEFT(D403,9)&lt;&gt;"Total for",D403&lt;&gt;"Gross Profit",D403&lt;&gt;"Net Operating Revenue",D403&lt;&gt;"Net Other Revenue",D403&lt;&gt;"Net Revenue"),1,0)</f>
        <v>0</v>
      </c>
      <c r="H403" s="36" t="str">
        <f aca="false">IF(G403=1,IF(AND(LEN(D403)&gt;7,ISNUMBER(VALUE(LEFT(D403,6))),MID(D403,7,1)=" "),LEFT(D403,6),D403),"")</f>
        <v/>
      </c>
      <c r="I403" s="36" t="str">
        <f aca="false">IF(G403=1,IF(COUNTIF('Forecast Detail'!$C$8:$C$400,H403)=0,"UNMAPPED","OK"),"")</f>
        <v/>
      </c>
    </row>
    <row r="404" customFormat="false" ht="15" hidden="false" customHeight="false" outlineLevel="0" collapsed="false">
      <c r="D404" s="36" t="str">
        <f aca="false">TRIM(A404)</f>
        <v/>
      </c>
      <c r="E404" s="36" t="str">
        <f aca="false">IF(D404="Revenue","Revenue",IF(D404="Cost of Goods Sold","COGS",IF(D404="Expenditures","Expense",IF(D404="Other Revenue","Other Revenue",IF(D404="Other Expenditures","Other Expense",E403)))))</f>
        <v>Other Expense</v>
      </c>
      <c r="F404" s="36" t="str">
        <f aca="false">IF(OR(D404="Revenue",D404="Cost of Goods Sold",D404="Expenditures",D404="Other Revenue",D404="Other Expenditures"),E404,IF(AND(LEN(D404)&gt;2,MID(D404,2,1)=" ",ISNUMBER(VALUE(LEFT(D404,1)))),D404,F403))</f>
        <v>Other Expense</v>
      </c>
      <c r="G404" s="36" t="n">
        <f aca="false">IF(AND(D404&lt;&gt;"",ISNUMBER(B404),LEFT(D404,9)&lt;&gt;"Total for",D404&lt;&gt;"Gross Profit",D404&lt;&gt;"Net Operating Revenue",D404&lt;&gt;"Net Other Revenue",D404&lt;&gt;"Net Revenue"),1,0)</f>
        <v>0</v>
      </c>
      <c r="H404" s="36" t="str">
        <f aca="false">IF(G404=1,IF(AND(LEN(D404)&gt;7,ISNUMBER(VALUE(LEFT(D404,6))),MID(D404,7,1)=" "),LEFT(D404,6),D404),"")</f>
        <v/>
      </c>
      <c r="I404" s="36" t="str">
        <f aca="false">IF(G404=1,IF(COUNTIF('Forecast Detail'!$C$8:$C$400,H404)=0,"UNMAPPED","OK"),"")</f>
        <v/>
      </c>
    </row>
    <row r="405" customFormat="false" ht="15" hidden="false" customHeight="false" outlineLevel="0" collapsed="false">
      <c r="D405" s="36" t="str">
        <f aca="false">TRIM(A405)</f>
        <v/>
      </c>
      <c r="E405" s="36" t="str">
        <f aca="false">IF(D405="Revenue","Revenue",IF(D405="Cost of Goods Sold","COGS",IF(D405="Expenditures","Expense",IF(D405="Other Revenue","Other Revenue",IF(D405="Other Expenditures","Other Expense",E404)))))</f>
        <v>Other Expense</v>
      </c>
      <c r="F405" s="36" t="str">
        <f aca="false">IF(OR(D405="Revenue",D405="Cost of Goods Sold",D405="Expenditures",D405="Other Revenue",D405="Other Expenditures"),E405,IF(AND(LEN(D405)&gt;2,MID(D405,2,1)=" ",ISNUMBER(VALUE(LEFT(D405,1)))),D405,F404))</f>
        <v>Other Expense</v>
      </c>
      <c r="G405" s="36" t="n">
        <f aca="false">IF(AND(D405&lt;&gt;"",ISNUMBER(B405),LEFT(D405,9)&lt;&gt;"Total for",D405&lt;&gt;"Gross Profit",D405&lt;&gt;"Net Operating Revenue",D405&lt;&gt;"Net Other Revenue",D405&lt;&gt;"Net Revenue"),1,0)</f>
        <v>0</v>
      </c>
      <c r="H405" s="36" t="str">
        <f aca="false">IF(G405=1,IF(AND(LEN(D405)&gt;7,ISNUMBER(VALUE(LEFT(D405,6))),MID(D405,7,1)=" "),LEFT(D405,6),D405),"")</f>
        <v/>
      </c>
      <c r="I405" s="36" t="str">
        <f aca="false">IF(G405=1,IF(COUNTIF('Forecast Detail'!$C$8:$C$400,H405)=0,"UNMAPPED","OK"),"")</f>
        <v/>
      </c>
    </row>
    <row r="406" customFormat="false" ht="15" hidden="false" customHeight="false" outlineLevel="0" collapsed="false">
      <c r="D406" s="36" t="str">
        <f aca="false">TRIM(A406)</f>
        <v/>
      </c>
      <c r="E406" s="36" t="str">
        <f aca="false">IF(D406="Revenue","Revenue",IF(D406="Cost of Goods Sold","COGS",IF(D406="Expenditures","Expense",IF(D406="Other Revenue","Other Revenue",IF(D406="Other Expenditures","Other Expense",E405)))))</f>
        <v>Other Expense</v>
      </c>
      <c r="F406" s="36" t="str">
        <f aca="false">IF(OR(D406="Revenue",D406="Cost of Goods Sold",D406="Expenditures",D406="Other Revenue",D406="Other Expenditures"),E406,IF(AND(LEN(D406)&gt;2,MID(D406,2,1)=" ",ISNUMBER(VALUE(LEFT(D406,1)))),D406,F405))</f>
        <v>Other Expense</v>
      </c>
      <c r="G406" s="36" t="n">
        <f aca="false">IF(AND(D406&lt;&gt;"",ISNUMBER(B406),LEFT(D406,9)&lt;&gt;"Total for",D406&lt;&gt;"Gross Profit",D406&lt;&gt;"Net Operating Revenue",D406&lt;&gt;"Net Other Revenue",D406&lt;&gt;"Net Revenue"),1,0)</f>
        <v>0</v>
      </c>
      <c r="H406" s="36" t="str">
        <f aca="false">IF(G406=1,IF(AND(LEN(D406)&gt;7,ISNUMBER(VALUE(LEFT(D406,6))),MID(D406,7,1)=" "),LEFT(D406,6),D406),"")</f>
        <v/>
      </c>
      <c r="I406" s="36" t="str">
        <f aca="false">IF(G406=1,IF(COUNTIF('Forecast Detail'!$C$8:$C$400,H406)=0,"UNMAPPED","OK"),"")</f>
        <v/>
      </c>
    </row>
    <row r="407" customFormat="false" ht="15" hidden="false" customHeight="false" outlineLevel="0" collapsed="false">
      <c r="D407" s="36" t="str">
        <f aca="false">TRIM(A407)</f>
        <v/>
      </c>
      <c r="E407" s="36" t="str">
        <f aca="false">IF(D407="Revenue","Revenue",IF(D407="Cost of Goods Sold","COGS",IF(D407="Expenditures","Expense",IF(D407="Other Revenue","Other Revenue",IF(D407="Other Expenditures","Other Expense",E406)))))</f>
        <v>Other Expense</v>
      </c>
      <c r="F407" s="36" t="str">
        <f aca="false">IF(OR(D407="Revenue",D407="Cost of Goods Sold",D407="Expenditures",D407="Other Revenue",D407="Other Expenditures"),E407,IF(AND(LEN(D407)&gt;2,MID(D407,2,1)=" ",ISNUMBER(VALUE(LEFT(D407,1)))),D407,F406))</f>
        <v>Other Expense</v>
      </c>
      <c r="G407" s="36" t="n">
        <f aca="false">IF(AND(D407&lt;&gt;"",ISNUMBER(B407),LEFT(D407,9)&lt;&gt;"Total for",D407&lt;&gt;"Gross Profit",D407&lt;&gt;"Net Operating Revenue",D407&lt;&gt;"Net Other Revenue",D407&lt;&gt;"Net Revenue"),1,0)</f>
        <v>0</v>
      </c>
      <c r="H407" s="36" t="str">
        <f aca="false">IF(G407=1,IF(AND(LEN(D407)&gt;7,ISNUMBER(VALUE(LEFT(D407,6))),MID(D407,7,1)=" "),LEFT(D407,6),D407),"")</f>
        <v/>
      </c>
      <c r="I407" s="36" t="str">
        <f aca="false">IF(G407=1,IF(COUNTIF('Forecast Detail'!$C$8:$C$400,H407)=0,"UNMAPPED","OK"),"")</f>
        <v/>
      </c>
    </row>
    <row r="408" customFormat="false" ht="15" hidden="false" customHeight="false" outlineLevel="0" collapsed="false">
      <c r="D408" s="36" t="str">
        <f aca="false">TRIM(A408)</f>
        <v/>
      </c>
      <c r="E408" s="36" t="str">
        <f aca="false">IF(D408="Revenue","Revenue",IF(D408="Cost of Goods Sold","COGS",IF(D408="Expenditures","Expense",IF(D408="Other Revenue","Other Revenue",IF(D408="Other Expenditures","Other Expense",E407)))))</f>
        <v>Other Expense</v>
      </c>
      <c r="F408" s="36" t="str">
        <f aca="false">IF(OR(D408="Revenue",D408="Cost of Goods Sold",D408="Expenditures",D408="Other Revenue",D408="Other Expenditures"),E408,IF(AND(LEN(D408)&gt;2,MID(D408,2,1)=" ",ISNUMBER(VALUE(LEFT(D408,1)))),D408,F407))</f>
        <v>Other Expense</v>
      </c>
      <c r="G408" s="36" t="n">
        <f aca="false">IF(AND(D408&lt;&gt;"",ISNUMBER(B408),LEFT(D408,9)&lt;&gt;"Total for",D408&lt;&gt;"Gross Profit",D408&lt;&gt;"Net Operating Revenue",D408&lt;&gt;"Net Other Revenue",D408&lt;&gt;"Net Revenue"),1,0)</f>
        <v>0</v>
      </c>
      <c r="H408" s="36" t="str">
        <f aca="false">IF(G408=1,IF(AND(LEN(D408)&gt;7,ISNUMBER(VALUE(LEFT(D408,6))),MID(D408,7,1)=" "),LEFT(D408,6),D408),"")</f>
        <v/>
      </c>
      <c r="I408" s="36" t="str">
        <f aca="false">IF(G408=1,IF(COUNTIF('Forecast Detail'!$C$8:$C$400,H408)=0,"UNMAPPED","OK"),"")</f>
        <v/>
      </c>
    </row>
    <row r="409" customFormat="false" ht="15" hidden="false" customHeight="false" outlineLevel="0" collapsed="false">
      <c r="D409" s="36" t="str">
        <f aca="false">TRIM(A409)</f>
        <v/>
      </c>
      <c r="E409" s="36" t="str">
        <f aca="false">IF(D409="Revenue","Revenue",IF(D409="Cost of Goods Sold","COGS",IF(D409="Expenditures","Expense",IF(D409="Other Revenue","Other Revenue",IF(D409="Other Expenditures","Other Expense",E408)))))</f>
        <v>Other Expense</v>
      </c>
      <c r="F409" s="36" t="str">
        <f aca="false">IF(OR(D409="Revenue",D409="Cost of Goods Sold",D409="Expenditures",D409="Other Revenue",D409="Other Expenditures"),E409,IF(AND(LEN(D409)&gt;2,MID(D409,2,1)=" ",ISNUMBER(VALUE(LEFT(D409,1)))),D409,F408))</f>
        <v>Other Expense</v>
      </c>
      <c r="G409" s="36" t="n">
        <f aca="false">IF(AND(D409&lt;&gt;"",ISNUMBER(B409),LEFT(D409,9)&lt;&gt;"Total for",D409&lt;&gt;"Gross Profit",D409&lt;&gt;"Net Operating Revenue",D409&lt;&gt;"Net Other Revenue",D409&lt;&gt;"Net Revenue"),1,0)</f>
        <v>0</v>
      </c>
      <c r="H409" s="36" t="str">
        <f aca="false">IF(G409=1,IF(AND(LEN(D409)&gt;7,ISNUMBER(VALUE(LEFT(D409,6))),MID(D409,7,1)=" "),LEFT(D409,6),D409),"")</f>
        <v/>
      </c>
      <c r="I409" s="36" t="str">
        <f aca="false">IF(G409=1,IF(COUNTIF('Forecast Detail'!$C$8:$C$400,H409)=0,"UNMAPPED","OK"),"")</f>
        <v/>
      </c>
    </row>
    <row r="410" customFormat="false" ht="15" hidden="false" customHeight="false" outlineLevel="0" collapsed="false">
      <c r="D410" s="36" t="str">
        <f aca="false">TRIM(A410)</f>
        <v/>
      </c>
      <c r="E410" s="36" t="str">
        <f aca="false">IF(D410="Revenue","Revenue",IF(D410="Cost of Goods Sold","COGS",IF(D410="Expenditures","Expense",IF(D410="Other Revenue","Other Revenue",IF(D410="Other Expenditures","Other Expense",E409)))))</f>
        <v>Other Expense</v>
      </c>
      <c r="F410" s="36" t="str">
        <f aca="false">IF(OR(D410="Revenue",D410="Cost of Goods Sold",D410="Expenditures",D410="Other Revenue",D410="Other Expenditures"),E410,IF(AND(LEN(D410)&gt;2,MID(D410,2,1)=" ",ISNUMBER(VALUE(LEFT(D410,1)))),D410,F409))</f>
        <v>Other Expense</v>
      </c>
      <c r="G410" s="36" t="n">
        <f aca="false">IF(AND(D410&lt;&gt;"",ISNUMBER(B410),LEFT(D410,9)&lt;&gt;"Total for",D410&lt;&gt;"Gross Profit",D410&lt;&gt;"Net Operating Revenue",D410&lt;&gt;"Net Other Revenue",D410&lt;&gt;"Net Revenue"),1,0)</f>
        <v>0</v>
      </c>
      <c r="H410" s="36" t="str">
        <f aca="false">IF(G410=1,IF(AND(LEN(D410)&gt;7,ISNUMBER(VALUE(LEFT(D410,6))),MID(D410,7,1)=" "),LEFT(D410,6),D410),"")</f>
        <v/>
      </c>
      <c r="I410" s="36" t="str">
        <f aca="false">IF(G410=1,IF(COUNTIF('Forecast Detail'!$C$8:$C$400,H410)=0,"UNMAPPED","OK"),"")</f>
        <v/>
      </c>
    </row>
    <row r="411" customFormat="false" ht="15" hidden="false" customHeight="false" outlineLevel="0" collapsed="false">
      <c r="D411" s="36" t="str">
        <f aca="false">TRIM(A411)</f>
        <v/>
      </c>
      <c r="E411" s="36" t="str">
        <f aca="false">IF(D411="Revenue","Revenue",IF(D411="Cost of Goods Sold","COGS",IF(D411="Expenditures","Expense",IF(D411="Other Revenue","Other Revenue",IF(D411="Other Expenditures","Other Expense",E410)))))</f>
        <v>Other Expense</v>
      </c>
      <c r="F411" s="36" t="str">
        <f aca="false">IF(OR(D411="Revenue",D411="Cost of Goods Sold",D411="Expenditures",D411="Other Revenue",D411="Other Expenditures"),E411,IF(AND(LEN(D411)&gt;2,MID(D411,2,1)=" ",ISNUMBER(VALUE(LEFT(D411,1)))),D411,F410))</f>
        <v>Other Expense</v>
      </c>
      <c r="G411" s="36" t="n">
        <f aca="false">IF(AND(D411&lt;&gt;"",ISNUMBER(B411),LEFT(D411,9)&lt;&gt;"Total for",D411&lt;&gt;"Gross Profit",D411&lt;&gt;"Net Operating Revenue",D411&lt;&gt;"Net Other Revenue",D411&lt;&gt;"Net Revenue"),1,0)</f>
        <v>0</v>
      </c>
      <c r="H411" s="36" t="str">
        <f aca="false">IF(G411=1,IF(AND(LEN(D411)&gt;7,ISNUMBER(VALUE(LEFT(D411,6))),MID(D411,7,1)=" "),LEFT(D411,6),D411),"")</f>
        <v/>
      </c>
      <c r="I411" s="36" t="str">
        <f aca="false">IF(G411=1,IF(COUNTIF('Forecast Detail'!$C$8:$C$400,H411)=0,"UNMAPPED","OK"),"")</f>
        <v/>
      </c>
    </row>
    <row r="412" customFormat="false" ht="15" hidden="false" customHeight="false" outlineLevel="0" collapsed="false">
      <c r="D412" s="36" t="str">
        <f aca="false">TRIM(A412)</f>
        <v/>
      </c>
      <c r="E412" s="36" t="str">
        <f aca="false">IF(D412="Revenue","Revenue",IF(D412="Cost of Goods Sold","COGS",IF(D412="Expenditures","Expense",IF(D412="Other Revenue","Other Revenue",IF(D412="Other Expenditures","Other Expense",E411)))))</f>
        <v>Other Expense</v>
      </c>
      <c r="F412" s="36" t="str">
        <f aca="false">IF(OR(D412="Revenue",D412="Cost of Goods Sold",D412="Expenditures",D412="Other Revenue",D412="Other Expenditures"),E412,IF(AND(LEN(D412)&gt;2,MID(D412,2,1)=" ",ISNUMBER(VALUE(LEFT(D412,1)))),D412,F411))</f>
        <v>Other Expense</v>
      </c>
      <c r="G412" s="36" t="n">
        <f aca="false">IF(AND(D412&lt;&gt;"",ISNUMBER(B412),LEFT(D412,9)&lt;&gt;"Total for",D412&lt;&gt;"Gross Profit",D412&lt;&gt;"Net Operating Revenue",D412&lt;&gt;"Net Other Revenue",D412&lt;&gt;"Net Revenue"),1,0)</f>
        <v>0</v>
      </c>
      <c r="H412" s="36" t="str">
        <f aca="false">IF(G412=1,IF(AND(LEN(D412)&gt;7,ISNUMBER(VALUE(LEFT(D412,6))),MID(D412,7,1)=" "),LEFT(D412,6),D412),"")</f>
        <v/>
      </c>
      <c r="I412" s="36" t="str">
        <f aca="false">IF(G412=1,IF(COUNTIF('Forecast Detail'!$C$8:$C$400,H412)=0,"UNMAPPED","OK"),"")</f>
        <v/>
      </c>
    </row>
    <row r="413" customFormat="false" ht="15" hidden="false" customHeight="false" outlineLevel="0" collapsed="false">
      <c r="D413" s="36" t="str">
        <f aca="false">TRIM(A413)</f>
        <v/>
      </c>
      <c r="E413" s="36" t="str">
        <f aca="false">IF(D413="Revenue","Revenue",IF(D413="Cost of Goods Sold","COGS",IF(D413="Expenditures","Expense",IF(D413="Other Revenue","Other Revenue",IF(D413="Other Expenditures","Other Expense",E412)))))</f>
        <v>Other Expense</v>
      </c>
      <c r="F413" s="36" t="str">
        <f aca="false">IF(OR(D413="Revenue",D413="Cost of Goods Sold",D413="Expenditures",D413="Other Revenue",D413="Other Expenditures"),E413,IF(AND(LEN(D413)&gt;2,MID(D413,2,1)=" ",ISNUMBER(VALUE(LEFT(D413,1)))),D413,F412))</f>
        <v>Other Expense</v>
      </c>
      <c r="G413" s="36" t="n">
        <f aca="false">IF(AND(D413&lt;&gt;"",ISNUMBER(B413),LEFT(D413,9)&lt;&gt;"Total for",D413&lt;&gt;"Gross Profit",D413&lt;&gt;"Net Operating Revenue",D413&lt;&gt;"Net Other Revenue",D413&lt;&gt;"Net Revenue"),1,0)</f>
        <v>0</v>
      </c>
      <c r="H413" s="36" t="str">
        <f aca="false">IF(G413=1,IF(AND(LEN(D413)&gt;7,ISNUMBER(VALUE(LEFT(D413,6))),MID(D413,7,1)=" "),LEFT(D413,6),D413),"")</f>
        <v/>
      </c>
      <c r="I413" s="36" t="str">
        <f aca="false">IF(G413=1,IF(COUNTIF('Forecast Detail'!$C$8:$C$400,H413)=0,"UNMAPPED","OK"),"")</f>
        <v/>
      </c>
    </row>
    <row r="414" customFormat="false" ht="15" hidden="false" customHeight="false" outlineLevel="0" collapsed="false">
      <c r="D414" s="36" t="str">
        <f aca="false">TRIM(A414)</f>
        <v/>
      </c>
      <c r="E414" s="36" t="str">
        <f aca="false">IF(D414="Revenue","Revenue",IF(D414="Cost of Goods Sold","COGS",IF(D414="Expenditures","Expense",IF(D414="Other Revenue","Other Revenue",IF(D414="Other Expenditures","Other Expense",E413)))))</f>
        <v>Other Expense</v>
      </c>
      <c r="F414" s="36" t="str">
        <f aca="false">IF(OR(D414="Revenue",D414="Cost of Goods Sold",D414="Expenditures",D414="Other Revenue",D414="Other Expenditures"),E414,IF(AND(LEN(D414)&gt;2,MID(D414,2,1)=" ",ISNUMBER(VALUE(LEFT(D414,1)))),D414,F413))</f>
        <v>Other Expense</v>
      </c>
      <c r="G414" s="36" t="n">
        <f aca="false">IF(AND(D414&lt;&gt;"",ISNUMBER(B414),LEFT(D414,9)&lt;&gt;"Total for",D414&lt;&gt;"Gross Profit",D414&lt;&gt;"Net Operating Revenue",D414&lt;&gt;"Net Other Revenue",D414&lt;&gt;"Net Revenue"),1,0)</f>
        <v>0</v>
      </c>
      <c r="H414" s="36" t="str">
        <f aca="false">IF(G414=1,IF(AND(LEN(D414)&gt;7,ISNUMBER(VALUE(LEFT(D414,6))),MID(D414,7,1)=" "),LEFT(D414,6),D414),"")</f>
        <v/>
      </c>
      <c r="I414" s="36" t="str">
        <f aca="false">IF(G414=1,IF(COUNTIF('Forecast Detail'!$C$8:$C$400,H414)=0,"UNMAPPED","OK"),"")</f>
        <v/>
      </c>
    </row>
    <row r="415" customFormat="false" ht="15" hidden="false" customHeight="false" outlineLevel="0" collapsed="false">
      <c r="D415" s="36" t="str">
        <f aca="false">TRIM(A415)</f>
        <v/>
      </c>
      <c r="E415" s="36" t="str">
        <f aca="false">IF(D415="Revenue","Revenue",IF(D415="Cost of Goods Sold","COGS",IF(D415="Expenditures","Expense",IF(D415="Other Revenue","Other Revenue",IF(D415="Other Expenditures","Other Expense",E414)))))</f>
        <v>Other Expense</v>
      </c>
      <c r="F415" s="36" t="str">
        <f aca="false">IF(OR(D415="Revenue",D415="Cost of Goods Sold",D415="Expenditures",D415="Other Revenue",D415="Other Expenditures"),E415,IF(AND(LEN(D415)&gt;2,MID(D415,2,1)=" ",ISNUMBER(VALUE(LEFT(D415,1)))),D415,F414))</f>
        <v>Other Expense</v>
      </c>
      <c r="G415" s="36" t="n">
        <f aca="false">IF(AND(D415&lt;&gt;"",ISNUMBER(B415),LEFT(D415,9)&lt;&gt;"Total for",D415&lt;&gt;"Gross Profit",D415&lt;&gt;"Net Operating Revenue",D415&lt;&gt;"Net Other Revenue",D415&lt;&gt;"Net Revenue"),1,0)</f>
        <v>0</v>
      </c>
      <c r="H415" s="36" t="str">
        <f aca="false">IF(G415=1,IF(AND(LEN(D415)&gt;7,ISNUMBER(VALUE(LEFT(D415,6))),MID(D415,7,1)=" "),LEFT(D415,6),D415),"")</f>
        <v/>
      </c>
      <c r="I415" s="36" t="str">
        <f aca="false">IF(G415=1,IF(COUNTIF('Forecast Detail'!$C$8:$C$400,H415)=0,"UNMAPPED","OK"),"")</f>
        <v/>
      </c>
    </row>
    <row r="416" customFormat="false" ht="15" hidden="false" customHeight="false" outlineLevel="0" collapsed="false">
      <c r="D416" s="36" t="str">
        <f aca="false">TRIM(A416)</f>
        <v/>
      </c>
      <c r="E416" s="36" t="str">
        <f aca="false">IF(D416="Revenue","Revenue",IF(D416="Cost of Goods Sold","COGS",IF(D416="Expenditures","Expense",IF(D416="Other Revenue","Other Revenue",IF(D416="Other Expenditures","Other Expense",E415)))))</f>
        <v>Other Expense</v>
      </c>
      <c r="F416" s="36" t="str">
        <f aca="false">IF(OR(D416="Revenue",D416="Cost of Goods Sold",D416="Expenditures",D416="Other Revenue",D416="Other Expenditures"),E416,IF(AND(LEN(D416)&gt;2,MID(D416,2,1)=" ",ISNUMBER(VALUE(LEFT(D416,1)))),D416,F415))</f>
        <v>Other Expense</v>
      </c>
      <c r="G416" s="36" t="n">
        <f aca="false">IF(AND(D416&lt;&gt;"",ISNUMBER(B416),LEFT(D416,9)&lt;&gt;"Total for",D416&lt;&gt;"Gross Profit",D416&lt;&gt;"Net Operating Revenue",D416&lt;&gt;"Net Other Revenue",D416&lt;&gt;"Net Revenue"),1,0)</f>
        <v>0</v>
      </c>
      <c r="H416" s="36" t="str">
        <f aca="false">IF(G416=1,IF(AND(LEN(D416)&gt;7,ISNUMBER(VALUE(LEFT(D416,6))),MID(D416,7,1)=" "),LEFT(D416,6),D416),"")</f>
        <v/>
      </c>
      <c r="I416" s="36" t="str">
        <f aca="false">IF(G416=1,IF(COUNTIF('Forecast Detail'!$C$8:$C$400,H416)=0,"UNMAPPED","OK"),"")</f>
        <v/>
      </c>
    </row>
    <row r="417" customFormat="false" ht="15" hidden="false" customHeight="false" outlineLevel="0" collapsed="false">
      <c r="D417" s="36" t="str">
        <f aca="false">TRIM(A417)</f>
        <v/>
      </c>
      <c r="E417" s="36" t="str">
        <f aca="false">IF(D417="Revenue","Revenue",IF(D417="Cost of Goods Sold","COGS",IF(D417="Expenditures","Expense",IF(D417="Other Revenue","Other Revenue",IF(D417="Other Expenditures","Other Expense",E416)))))</f>
        <v>Other Expense</v>
      </c>
      <c r="F417" s="36" t="str">
        <f aca="false">IF(OR(D417="Revenue",D417="Cost of Goods Sold",D417="Expenditures",D417="Other Revenue",D417="Other Expenditures"),E417,IF(AND(LEN(D417)&gt;2,MID(D417,2,1)=" ",ISNUMBER(VALUE(LEFT(D417,1)))),D417,F416))</f>
        <v>Other Expense</v>
      </c>
      <c r="G417" s="36" t="n">
        <f aca="false">IF(AND(D417&lt;&gt;"",ISNUMBER(B417),LEFT(D417,9)&lt;&gt;"Total for",D417&lt;&gt;"Gross Profit",D417&lt;&gt;"Net Operating Revenue",D417&lt;&gt;"Net Other Revenue",D417&lt;&gt;"Net Revenue"),1,0)</f>
        <v>0</v>
      </c>
      <c r="H417" s="36" t="str">
        <f aca="false">IF(G417=1,IF(AND(LEN(D417)&gt;7,ISNUMBER(VALUE(LEFT(D417,6))),MID(D417,7,1)=" "),LEFT(D417,6),D417),"")</f>
        <v/>
      </c>
      <c r="I417" s="36" t="str">
        <f aca="false">IF(G417=1,IF(COUNTIF('Forecast Detail'!$C$8:$C$400,H417)=0,"UNMAPPED","OK"),"")</f>
        <v/>
      </c>
    </row>
    <row r="418" customFormat="false" ht="15" hidden="false" customHeight="false" outlineLevel="0" collapsed="false">
      <c r="D418" s="36" t="str">
        <f aca="false">TRIM(A418)</f>
        <v/>
      </c>
      <c r="E418" s="36" t="str">
        <f aca="false">IF(D418="Revenue","Revenue",IF(D418="Cost of Goods Sold","COGS",IF(D418="Expenditures","Expense",IF(D418="Other Revenue","Other Revenue",IF(D418="Other Expenditures","Other Expense",E417)))))</f>
        <v>Other Expense</v>
      </c>
      <c r="F418" s="36" t="str">
        <f aca="false">IF(OR(D418="Revenue",D418="Cost of Goods Sold",D418="Expenditures",D418="Other Revenue",D418="Other Expenditures"),E418,IF(AND(LEN(D418)&gt;2,MID(D418,2,1)=" ",ISNUMBER(VALUE(LEFT(D418,1)))),D418,F417))</f>
        <v>Other Expense</v>
      </c>
      <c r="G418" s="36" t="n">
        <f aca="false">IF(AND(D418&lt;&gt;"",ISNUMBER(B418),LEFT(D418,9)&lt;&gt;"Total for",D418&lt;&gt;"Gross Profit",D418&lt;&gt;"Net Operating Revenue",D418&lt;&gt;"Net Other Revenue",D418&lt;&gt;"Net Revenue"),1,0)</f>
        <v>0</v>
      </c>
      <c r="H418" s="36" t="str">
        <f aca="false">IF(G418=1,IF(AND(LEN(D418)&gt;7,ISNUMBER(VALUE(LEFT(D418,6))),MID(D418,7,1)=" "),LEFT(D418,6),D418),"")</f>
        <v/>
      </c>
      <c r="I418" s="36" t="str">
        <f aca="false">IF(G418=1,IF(COUNTIF('Forecast Detail'!$C$8:$C$400,H418)=0,"UNMAPPED","OK"),"")</f>
        <v/>
      </c>
    </row>
    <row r="419" customFormat="false" ht="15" hidden="false" customHeight="false" outlineLevel="0" collapsed="false">
      <c r="D419" s="36" t="str">
        <f aca="false">TRIM(A419)</f>
        <v/>
      </c>
      <c r="E419" s="36" t="str">
        <f aca="false">IF(D419="Revenue","Revenue",IF(D419="Cost of Goods Sold","COGS",IF(D419="Expenditures","Expense",IF(D419="Other Revenue","Other Revenue",IF(D419="Other Expenditures","Other Expense",E418)))))</f>
        <v>Other Expense</v>
      </c>
      <c r="F419" s="36" t="str">
        <f aca="false">IF(OR(D419="Revenue",D419="Cost of Goods Sold",D419="Expenditures",D419="Other Revenue",D419="Other Expenditures"),E419,IF(AND(LEN(D419)&gt;2,MID(D419,2,1)=" ",ISNUMBER(VALUE(LEFT(D419,1)))),D419,F418))</f>
        <v>Other Expense</v>
      </c>
      <c r="G419" s="36" t="n">
        <f aca="false">IF(AND(D419&lt;&gt;"",ISNUMBER(B419),LEFT(D419,9)&lt;&gt;"Total for",D419&lt;&gt;"Gross Profit",D419&lt;&gt;"Net Operating Revenue",D419&lt;&gt;"Net Other Revenue",D419&lt;&gt;"Net Revenue"),1,0)</f>
        <v>0</v>
      </c>
      <c r="H419" s="36" t="str">
        <f aca="false">IF(G419=1,IF(AND(LEN(D419)&gt;7,ISNUMBER(VALUE(LEFT(D419,6))),MID(D419,7,1)=" "),LEFT(D419,6),D419),"")</f>
        <v/>
      </c>
      <c r="I419" s="36" t="str">
        <f aca="false">IF(G419=1,IF(COUNTIF('Forecast Detail'!$C$8:$C$400,H419)=0,"UNMAPPED","OK"),"")</f>
        <v/>
      </c>
    </row>
    <row r="420" customFormat="false" ht="15" hidden="false" customHeight="false" outlineLevel="0" collapsed="false">
      <c r="D420" s="36" t="str">
        <f aca="false">TRIM(A420)</f>
        <v/>
      </c>
      <c r="E420" s="36" t="str">
        <f aca="false">IF(D420="Revenue","Revenue",IF(D420="Cost of Goods Sold","COGS",IF(D420="Expenditures","Expense",IF(D420="Other Revenue","Other Revenue",IF(D420="Other Expenditures","Other Expense",E419)))))</f>
        <v>Other Expense</v>
      </c>
      <c r="F420" s="36" t="str">
        <f aca="false">IF(OR(D420="Revenue",D420="Cost of Goods Sold",D420="Expenditures",D420="Other Revenue",D420="Other Expenditures"),E420,IF(AND(LEN(D420)&gt;2,MID(D420,2,1)=" ",ISNUMBER(VALUE(LEFT(D420,1)))),D420,F419))</f>
        <v>Other Expense</v>
      </c>
      <c r="G420" s="36" t="n">
        <f aca="false">IF(AND(D420&lt;&gt;"",ISNUMBER(B420),LEFT(D420,9)&lt;&gt;"Total for",D420&lt;&gt;"Gross Profit",D420&lt;&gt;"Net Operating Revenue",D420&lt;&gt;"Net Other Revenue",D420&lt;&gt;"Net Revenue"),1,0)</f>
        <v>0</v>
      </c>
      <c r="H420" s="36" t="str">
        <f aca="false">IF(G420=1,IF(AND(LEN(D420)&gt;7,ISNUMBER(VALUE(LEFT(D420,6))),MID(D420,7,1)=" "),LEFT(D420,6),D420),"")</f>
        <v/>
      </c>
      <c r="I420" s="36" t="str">
        <f aca="false">IF(G420=1,IF(COUNTIF('Forecast Detail'!$C$8:$C$400,H420)=0,"UNMAPPED","OK"),"")</f>
        <v/>
      </c>
    </row>
    <row r="421" customFormat="false" ht="15" hidden="false" customHeight="false" outlineLevel="0" collapsed="false">
      <c r="D421" s="36" t="str">
        <f aca="false">TRIM(A421)</f>
        <v/>
      </c>
      <c r="E421" s="36" t="str">
        <f aca="false">IF(D421="Revenue","Revenue",IF(D421="Cost of Goods Sold","COGS",IF(D421="Expenditures","Expense",IF(D421="Other Revenue","Other Revenue",IF(D421="Other Expenditures","Other Expense",E420)))))</f>
        <v>Other Expense</v>
      </c>
      <c r="F421" s="36" t="str">
        <f aca="false">IF(OR(D421="Revenue",D421="Cost of Goods Sold",D421="Expenditures",D421="Other Revenue",D421="Other Expenditures"),E421,IF(AND(LEN(D421)&gt;2,MID(D421,2,1)=" ",ISNUMBER(VALUE(LEFT(D421,1)))),D421,F420))</f>
        <v>Other Expense</v>
      </c>
      <c r="G421" s="36" t="n">
        <f aca="false">IF(AND(D421&lt;&gt;"",ISNUMBER(B421),LEFT(D421,9)&lt;&gt;"Total for",D421&lt;&gt;"Gross Profit",D421&lt;&gt;"Net Operating Revenue",D421&lt;&gt;"Net Other Revenue",D421&lt;&gt;"Net Revenue"),1,0)</f>
        <v>0</v>
      </c>
      <c r="H421" s="36" t="str">
        <f aca="false">IF(G421=1,IF(AND(LEN(D421)&gt;7,ISNUMBER(VALUE(LEFT(D421,6))),MID(D421,7,1)=" "),LEFT(D421,6),D421),"")</f>
        <v/>
      </c>
      <c r="I421" s="36" t="str">
        <f aca="false">IF(G421=1,IF(COUNTIF('Forecast Detail'!$C$8:$C$400,H421)=0,"UNMAPPED","OK"),"")</f>
        <v/>
      </c>
    </row>
    <row r="422" customFormat="false" ht="15" hidden="false" customHeight="false" outlineLevel="0" collapsed="false">
      <c r="D422" s="36" t="str">
        <f aca="false">TRIM(A422)</f>
        <v/>
      </c>
      <c r="E422" s="36" t="str">
        <f aca="false">IF(D422="Revenue","Revenue",IF(D422="Cost of Goods Sold","COGS",IF(D422="Expenditures","Expense",IF(D422="Other Revenue","Other Revenue",IF(D422="Other Expenditures","Other Expense",E421)))))</f>
        <v>Other Expense</v>
      </c>
      <c r="F422" s="36" t="str">
        <f aca="false">IF(OR(D422="Revenue",D422="Cost of Goods Sold",D422="Expenditures",D422="Other Revenue",D422="Other Expenditures"),E422,IF(AND(LEN(D422)&gt;2,MID(D422,2,1)=" ",ISNUMBER(VALUE(LEFT(D422,1)))),D422,F421))</f>
        <v>Other Expense</v>
      </c>
      <c r="G422" s="36" t="n">
        <f aca="false">IF(AND(D422&lt;&gt;"",ISNUMBER(B422),LEFT(D422,9)&lt;&gt;"Total for",D422&lt;&gt;"Gross Profit",D422&lt;&gt;"Net Operating Revenue",D422&lt;&gt;"Net Other Revenue",D422&lt;&gt;"Net Revenue"),1,0)</f>
        <v>0</v>
      </c>
      <c r="H422" s="36" t="str">
        <f aca="false">IF(G422=1,IF(AND(LEN(D422)&gt;7,ISNUMBER(VALUE(LEFT(D422,6))),MID(D422,7,1)=" "),LEFT(D422,6),D422),"")</f>
        <v/>
      </c>
      <c r="I422" s="36" t="str">
        <f aca="false">IF(G422=1,IF(COUNTIF('Forecast Detail'!$C$8:$C$400,H422)=0,"UNMAPPED","OK"),"")</f>
        <v/>
      </c>
    </row>
    <row r="423" customFormat="false" ht="15" hidden="false" customHeight="false" outlineLevel="0" collapsed="false">
      <c r="D423" s="36" t="str">
        <f aca="false">TRIM(A423)</f>
        <v/>
      </c>
      <c r="E423" s="36" t="str">
        <f aca="false">IF(D423="Revenue","Revenue",IF(D423="Cost of Goods Sold","COGS",IF(D423="Expenditures","Expense",IF(D423="Other Revenue","Other Revenue",IF(D423="Other Expenditures","Other Expense",E422)))))</f>
        <v>Other Expense</v>
      </c>
      <c r="F423" s="36" t="str">
        <f aca="false">IF(OR(D423="Revenue",D423="Cost of Goods Sold",D423="Expenditures",D423="Other Revenue",D423="Other Expenditures"),E423,IF(AND(LEN(D423)&gt;2,MID(D423,2,1)=" ",ISNUMBER(VALUE(LEFT(D423,1)))),D423,F422))</f>
        <v>Other Expense</v>
      </c>
      <c r="G423" s="36" t="n">
        <f aca="false">IF(AND(D423&lt;&gt;"",ISNUMBER(B423),LEFT(D423,9)&lt;&gt;"Total for",D423&lt;&gt;"Gross Profit",D423&lt;&gt;"Net Operating Revenue",D423&lt;&gt;"Net Other Revenue",D423&lt;&gt;"Net Revenue"),1,0)</f>
        <v>0</v>
      </c>
      <c r="H423" s="36" t="str">
        <f aca="false">IF(G423=1,IF(AND(LEN(D423)&gt;7,ISNUMBER(VALUE(LEFT(D423,6))),MID(D423,7,1)=" "),LEFT(D423,6),D423),"")</f>
        <v/>
      </c>
      <c r="I423" s="36" t="str">
        <f aca="false">IF(G423=1,IF(COUNTIF('Forecast Detail'!$C$8:$C$400,H423)=0,"UNMAPPED","OK"),"")</f>
        <v/>
      </c>
    </row>
    <row r="424" customFormat="false" ht="15" hidden="false" customHeight="false" outlineLevel="0" collapsed="false">
      <c r="D424" s="36" t="str">
        <f aca="false">TRIM(A424)</f>
        <v/>
      </c>
      <c r="E424" s="36" t="str">
        <f aca="false">IF(D424="Revenue","Revenue",IF(D424="Cost of Goods Sold","COGS",IF(D424="Expenditures","Expense",IF(D424="Other Revenue","Other Revenue",IF(D424="Other Expenditures","Other Expense",E423)))))</f>
        <v>Other Expense</v>
      </c>
      <c r="F424" s="36" t="str">
        <f aca="false">IF(OR(D424="Revenue",D424="Cost of Goods Sold",D424="Expenditures",D424="Other Revenue",D424="Other Expenditures"),E424,IF(AND(LEN(D424)&gt;2,MID(D424,2,1)=" ",ISNUMBER(VALUE(LEFT(D424,1)))),D424,F423))</f>
        <v>Other Expense</v>
      </c>
      <c r="G424" s="36" t="n">
        <f aca="false">IF(AND(D424&lt;&gt;"",ISNUMBER(B424),LEFT(D424,9)&lt;&gt;"Total for",D424&lt;&gt;"Gross Profit",D424&lt;&gt;"Net Operating Revenue",D424&lt;&gt;"Net Other Revenue",D424&lt;&gt;"Net Revenue"),1,0)</f>
        <v>0</v>
      </c>
      <c r="H424" s="36" t="str">
        <f aca="false">IF(G424=1,IF(AND(LEN(D424)&gt;7,ISNUMBER(VALUE(LEFT(D424,6))),MID(D424,7,1)=" "),LEFT(D424,6),D424),"")</f>
        <v/>
      </c>
      <c r="I424" s="36" t="str">
        <f aca="false">IF(G424=1,IF(COUNTIF('Forecast Detail'!$C$8:$C$400,H424)=0,"UNMAPPED","OK"),"")</f>
        <v/>
      </c>
    </row>
    <row r="425" customFormat="false" ht="15" hidden="false" customHeight="false" outlineLevel="0" collapsed="false">
      <c r="D425" s="36" t="str">
        <f aca="false">TRIM(A425)</f>
        <v/>
      </c>
      <c r="E425" s="36" t="str">
        <f aca="false">IF(D425="Revenue","Revenue",IF(D425="Cost of Goods Sold","COGS",IF(D425="Expenditures","Expense",IF(D425="Other Revenue","Other Revenue",IF(D425="Other Expenditures","Other Expense",E424)))))</f>
        <v>Other Expense</v>
      </c>
      <c r="F425" s="36" t="str">
        <f aca="false">IF(OR(D425="Revenue",D425="Cost of Goods Sold",D425="Expenditures",D425="Other Revenue",D425="Other Expenditures"),E425,IF(AND(LEN(D425)&gt;2,MID(D425,2,1)=" ",ISNUMBER(VALUE(LEFT(D425,1)))),D425,F424))</f>
        <v>Other Expense</v>
      </c>
      <c r="G425" s="36" t="n">
        <f aca="false">IF(AND(D425&lt;&gt;"",ISNUMBER(B425),LEFT(D425,9)&lt;&gt;"Total for",D425&lt;&gt;"Gross Profit",D425&lt;&gt;"Net Operating Revenue",D425&lt;&gt;"Net Other Revenue",D425&lt;&gt;"Net Revenue"),1,0)</f>
        <v>0</v>
      </c>
      <c r="H425" s="36" t="str">
        <f aca="false">IF(G425=1,IF(AND(LEN(D425)&gt;7,ISNUMBER(VALUE(LEFT(D425,6))),MID(D425,7,1)=" "),LEFT(D425,6),D425),"")</f>
        <v/>
      </c>
      <c r="I425" s="36" t="str">
        <f aca="false">IF(G425=1,IF(COUNTIF('Forecast Detail'!$C$8:$C$400,H425)=0,"UNMAPPED","OK"),"")</f>
        <v/>
      </c>
    </row>
    <row r="426" customFormat="false" ht="15" hidden="false" customHeight="false" outlineLevel="0" collapsed="false">
      <c r="D426" s="36" t="str">
        <f aca="false">TRIM(A426)</f>
        <v/>
      </c>
      <c r="E426" s="36" t="str">
        <f aca="false">IF(D426="Revenue","Revenue",IF(D426="Cost of Goods Sold","COGS",IF(D426="Expenditures","Expense",IF(D426="Other Revenue","Other Revenue",IF(D426="Other Expenditures","Other Expense",E425)))))</f>
        <v>Other Expense</v>
      </c>
      <c r="F426" s="36" t="str">
        <f aca="false">IF(OR(D426="Revenue",D426="Cost of Goods Sold",D426="Expenditures",D426="Other Revenue",D426="Other Expenditures"),E426,IF(AND(LEN(D426)&gt;2,MID(D426,2,1)=" ",ISNUMBER(VALUE(LEFT(D426,1)))),D426,F425))</f>
        <v>Other Expense</v>
      </c>
      <c r="G426" s="36" t="n">
        <f aca="false">IF(AND(D426&lt;&gt;"",ISNUMBER(B426),LEFT(D426,9)&lt;&gt;"Total for",D426&lt;&gt;"Gross Profit",D426&lt;&gt;"Net Operating Revenue",D426&lt;&gt;"Net Other Revenue",D426&lt;&gt;"Net Revenue"),1,0)</f>
        <v>0</v>
      </c>
      <c r="H426" s="36" t="str">
        <f aca="false">IF(G426=1,IF(AND(LEN(D426)&gt;7,ISNUMBER(VALUE(LEFT(D426,6))),MID(D426,7,1)=" "),LEFT(D426,6),D426),"")</f>
        <v/>
      </c>
      <c r="I426" s="36" t="str">
        <f aca="false">IF(G426=1,IF(COUNTIF('Forecast Detail'!$C$8:$C$400,H426)=0,"UNMAPPED","OK"),"")</f>
        <v/>
      </c>
    </row>
    <row r="427" customFormat="false" ht="15" hidden="false" customHeight="false" outlineLevel="0" collapsed="false">
      <c r="D427" s="36" t="str">
        <f aca="false">TRIM(A427)</f>
        <v/>
      </c>
      <c r="E427" s="36" t="str">
        <f aca="false">IF(D427="Revenue","Revenue",IF(D427="Cost of Goods Sold","COGS",IF(D427="Expenditures","Expense",IF(D427="Other Revenue","Other Revenue",IF(D427="Other Expenditures","Other Expense",E426)))))</f>
        <v>Other Expense</v>
      </c>
      <c r="F427" s="36" t="str">
        <f aca="false">IF(OR(D427="Revenue",D427="Cost of Goods Sold",D427="Expenditures",D427="Other Revenue",D427="Other Expenditures"),E427,IF(AND(LEN(D427)&gt;2,MID(D427,2,1)=" ",ISNUMBER(VALUE(LEFT(D427,1)))),D427,F426))</f>
        <v>Other Expense</v>
      </c>
      <c r="G427" s="36" t="n">
        <f aca="false">IF(AND(D427&lt;&gt;"",ISNUMBER(B427),LEFT(D427,9)&lt;&gt;"Total for",D427&lt;&gt;"Gross Profit",D427&lt;&gt;"Net Operating Revenue",D427&lt;&gt;"Net Other Revenue",D427&lt;&gt;"Net Revenue"),1,0)</f>
        <v>0</v>
      </c>
      <c r="H427" s="36" t="str">
        <f aca="false">IF(G427=1,IF(AND(LEN(D427)&gt;7,ISNUMBER(VALUE(LEFT(D427,6))),MID(D427,7,1)=" "),LEFT(D427,6),D427),"")</f>
        <v/>
      </c>
      <c r="I427" s="36" t="str">
        <f aca="false">IF(G427=1,IF(COUNTIF('Forecast Detail'!$C$8:$C$400,H427)=0,"UNMAPPED","OK"),"")</f>
        <v/>
      </c>
    </row>
    <row r="428" customFormat="false" ht="15" hidden="false" customHeight="false" outlineLevel="0" collapsed="false">
      <c r="D428" s="36" t="str">
        <f aca="false">TRIM(A428)</f>
        <v/>
      </c>
      <c r="E428" s="36" t="str">
        <f aca="false">IF(D428="Revenue","Revenue",IF(D428="Cost of Goods Sold","COGS",IF(D428="Expenditures","Expense",IF(D428="Other Revenue","Other Revenue",IF(D428="Other Expenditures","Other Expense",E427)))))</f>
        <v>Other Expense</v>
      </c>
      <c r="F428" s="36" t="str">
        <f aca="false">IF(OR(D428="Revenue",D428="Cost of Goods Sold",D428="Expenditures",D428="Other Revenue",D428="Other Expenditures"),E428,IF(AND(LEN(D428)&gt;2,MID(D428,2,1)=" ",ISNUMBER(VALUE(LEFT(D428,1)))),D428,F427))</f>
        <v>Other Expense</v>
      </c>
      <c r="G428" s="36" t="n">
        <f aca="false">IF(AND(D428&lt;&gt;"",ISNUMBER(B428),LEFT(D428,9)&lt;&gt;"Total for",D428&lt;&gt;"Gross Profit",D428&lt;&gt;"Net Operating Revenue",D428&lt;&gt;"Net Other Revenue",D428&lt;&gt;"Net Revenue"),1,0)</f>
        <v>0</v>
      </c>
      <c r="H428" s="36" t="str">
        <f aca="false">IF(G428=1,IF(AND(LEN(D428)&gt;7,ISNUMBER(VALUE(LEFT(D428,6))),MID(D428,7,1)=" "),LEFT(D428,6),D428),"")</f>
        <v/>
      </c>
      <c r="I428" s="36" t="str">
        <f aca="false">IF(G428=1,IF(COUNTIF('Forecast Detail'!$C$8:$C$400,H428)=0,"UNMAPPED","OK"),"")</f>
        <v/>
      </c>
    </row>
    <row r="429" customFormat="false" ht="15" hidden="false" customHeight="false" outlineLevel="0" collapsed="false">
      <c r="D429" s="36" t="str">
        <f aca="false">TRIM(A429)</f>
        <v/>
      </c>
      <c r="E429" s="36" t="str">
        <f aca="false">IF(D429="Revenue","Revenue",IF(D429="Cost of Goods Sold","COGS",IF(D429="Expenditures","Expense",IF(D429="Other Revenue","Other Revenue",IF(D429="Other Expenditures","Other Expense",E428)))))</f>
        <v>Other Expense</v>
      </c>
      <c r="F429" s="36" t="str">
        <f aca="false">IF(OR(D429="Revenue",D429="Cost of Goods Sold",D429="Expenditures",D429="Other Revenue",D429="Other Expenditures"),E429,IF(AND(LEN(D429)&gt;2,MID(D429,2,1)=" ",ISNUMBER(VALUE(LEFT(D429,1)))),D429,F428))</f>
        <v>Other Expense</v>
      </c>
      <c r="G429" s="36" t="n">
        <f aca="false">IF(AND(D429&lt;&gt;"",ISNUMBER(B429),LEFT(D429,9)&lt;&gt;"Total for",D429&lt;&gt;"Gross Profit",D429&lt;&gt;"Net Operating Revenue",D429&lt;&gt;"Net Other Revenue",D429&lt;&gt;"Net Revenue"),1,0)</f>
        <v>0</v>
      </c>
      <c r="H429" s="36" t="str">
        <f aca="false">IF(G429=1,IF(AND(LEN(D429)&gt;7,ISNUMBER(VALUE(LEFT(D429,6))),MID(D429,7,1)=" "),LEFT(D429,6),D429),"")</f>
        <v/>
      </c>
      <c r="I429" s="36" t="str">
        <f aca="false">IF(G429=1,IF(COUNTIF('Forecast Detail'!$C$8:$C$400,H429)=0,"UNMAPPED","OK"),"")</f>
        <v/>
      </c>
    </row>
    <row r="430" customFormat="false" ht="15" hidden="false" customHeight="false" outlineLevel="0" collapsed="false">
      <c r="D430" s="36" t="str">
        <f aca="false">TRIM(A430)</f>
        <v/>
      </c>
      <c r="E430" s="36" t="str">
        <f aca="false">IF(D430="Revenue","Revenue",IF(D430="Cost of Goods Sold","COGS",IF(D430="Expenditures","Expense",IF(D430="Other Revenue","Other Revenue",IF(D430="Other Expenditures","Other Expense",E429)))))</f>
        <v>Other Expense</v>
      </c>
      <c r="F430" s="36" t="str">
        <f aca="false">IF(OR(D430="Revenue",D430="Cost of Goods Sold",D430="Expenditures",D430="Other Revenue",D430="Other Expenditures"),E430,IF(AND(LEN(D430)&gt;2,MID(D430,2,1)=" ",ISNUMBER(VALUE(LEFT(D430,1)))),D430,F429))</f>
        <v>Other Expense</v>
      </c>
      <c r="G430" s="36" t="n">
        <f aca="false">IF(AND(D430&lt;&gt;"",ISNUMBER(B430),LEFT(D430,9)&lt;&gt;"Total for",D430&lt;&gt;"Gross Profit",D430&lt;&gt;"Net Operating Revenue",D430&lt;&gt;"Net Other Revenue",D430&lt;&gt;"Net Revenue"),1,0)</f>
        <v>0</v>
      </c>
      <c r="H430" s="36" t="str">
        <f aca="false">IF(G430=1,IF(AND(LEN(D430)&gt;7,ISNUMBER(VALUE(LEFT(D430,6))),MID(D430,7,1)=" "),LEFT(D430,6),D430),"")</f>
        <v/>
      </c>
      <c r="I430" s="36" t="str">
        <f aca="false">IF(G430=1,IF(COUNTIF('Forecast Detail'!$C$8:$C$400,H430)=0,"UNMAPPED","OK"),"")</f>
        <v/>
      </c>
    </row>
    <row r="431" customFormat="false" ht="15" hidden="false" customHeight="false" outlineLevel="0" collapsed="false">
      <c r="D431" s="36" t="str">
        <f aca="false">TRIM(A431)</f>
        <v/>
      </c>
      <c r="E431" s="36" t="str">
        <f aca="false">IF(D431="Revenue","Revenue",IF(D431="Cost of Goods Sold","COGS",IF(D431="Expenditures","Expense",IF(D431="Other Revenue","Other Revenue",IF(D431="Other Expenditures","Other Expense",E430)))))</f>
        <v>Other Expense</v>
      </c>
      <c r="F431" s="36" t="str">
        <f aca="false">IF(OR(D431="Revenue",D431="Cost of Goods Sold",D431="Expenditures",D431="Other Revenue",D431="Other Expenditures"),E431,IF(AND(LEN(D431)&gt;2,MID(D431,2,1)=" ",ISNUMBER(VALUE(LEFT(D431,1)))),D431,F430))</f>
        <v>Other Expense</v>
      </c>
      <c r="G431" s="36" t="n">
        <f aca="false">IF(AND(D431&lt;&gt;"",ISNUMBER(B431),LEFT(D431,9)&lt;&gt;"Total for",D431&lt;&gt;"Gross Profit",D431&lt;&gt;"Net Operating Revenue",D431&lt;&gt;"Net Other Revenue",D431&lt;&gt;"Net Revenue"),1,0)</f>
        <v>0</v>
      </c>
      <c r="H431" s="36" t="str">
        <f aca="false">IF(G431=1,IF(AND(LEN(D431)&gt;7,ISNUMBER(VALUE(LEFT(D431,6))),MID(D431,7,1)=" "),LEFT(D431,6),D431),"")</f>
        <v/>
      </c>
      <c r="I431" s="36" t="str">
        <f aca="false">IF(G431=1,IF(COUNTIF('Forecast Detail'!$C$8:$C$400,H431)=0,"UNMAPPED","OK"),"")</f>
        <v/>
      </c>
    </row>
    <row r="432" customFormat="false" ht="15" hidden="false" customHeight="false" outlineLevel="0" collapsed="false">
      <c r="D432" s="36" t="str">
        <f aca="false">TRIM(A432)</f>
        <v/>
      </c>
      <c r="E432" s="36" t="str">
        <f aca="false">IF(D432="Revenue","Revenue",IF(D432="Cost of Goods Sold","COGS",IF(D432="Expenditures","Expense",IF(D432="Other Revenue","Other Revenue",IF(D432="Other Expenditures","Other Expense",E431)))))</f>
        <v>Other Expense</v>
      </c>
      <c r="F432" s="36" t="str">
        <f aca="false">IF(OR(D432="Revenue",D432="Cost of Goods Sold",D432="Expenditures",D432="Other Revenue",D432="Other Expenditures"),E432,IF(AND(LEN(D432)&gt;2,MID(D432,2,1)=" ",ISNUMBER(VALUE(LEFT(D432,1)))),D432,F431))</f>
        <v>Other Expense</v>
      </c>
      <c r="G432" s="36" t="n">
        <f aca="false">IF(AND(D432&lt;&gt;"",ISNUMBER(B432),LEFT(D432,9)&lt;&gt;"Total for",D432&lt;&gt;"Gross Profit",D432&lt;&gt;"Net Operating Revenue",D432&lt;&gt;"Net Other Revenue",D432&lt;&gt;"Net Revenue"),1,0)</f>
        <v>0</v>
      </c>
      <c r="H432" s="36" t="str">
        <f aca="false">IF(G432=1,IF(AND(LEN(D432)&gt;7,ISNUMBER(VALUE(LEFT(D432,6))),MID(D432,7,1)=" "),LEFT(D432,6),D432),"")</f>
        <v/>
      </c>
      <c r="I432" s="36" t="str">
        <f aca="false">IF(G432=1,IF(COUNTIF('Forecast Detail'!$C$8:$C$400,H432)=0,"UNMAPPED","OK"),"")</f>
        <v/>
      </c>
    </row>
    <row r="433" customFormat="false" ht="15" hidden="false" customHeight="false" outlineLevel="0" collapsed="false">
      <c r="D433" s="36" t="str">
        <f aca="false">TRIM(A433)</f>
        <v/>
      </c>
      <c r="E433" s="36" t="str">
        <f aca="false">IF(D433="Revenue","Revenue",IF(D433="Cost of Goods Sold","COGS",IF(D433="Expenditures","Expense",IF(D433="Other Revenue","Other Revenue",IF(D433="Other Expenditures","Other Expense",E432)))))</f>
        <v>Other Expense</v>
      </c>
      <c r="F433" s="36" t="str">
        <f aca="false">IF(OR(D433="Revenue",D433="Cost of Goods Sold",D433="Expenditures",D433="Other Revenue",D433="Other Expenditures"),E433,IF(AND(LEN(D433)&gt;2,MID(D433,2,1)=" ",ISNUMBER(VALUE(LEFT(D433,1)))),D433,F432))</f>
        <v>Other Expense</v>
      </c>
      <c r="G433" s="36" t="n">
        <f aca="false">IF(AND(D433&lt;&gt;"",ISNUMBER(B433),LEFT(D433,9)&lt;&gt;"Total for",D433&lt;&gt;"Gross Profit",D433&lt;&gt;"Net Operating Revenue",D433&lt;&gt;"Net Other Revenue",D433&lt;&gt;"Net Revenue"),1,0)</f>
        <v>0</v>
      </c>
      <c r="H433" s="36" t="str">
        <f aca="false">IF(G433=1,IF(AND(LEN(D433)&gt;7,ISNUMBER(VALUE(LEFT(D433,6))),MID(D433,7,1)=" "),LEFT(D433,6),D433),"")</f>
        <v/>
      </c>
      <c r="I433" s="36" t="str">
        <f aca="false">IF(G433=1,IF(COUNTIF('Forecast Detail'!$C$8:$C$400,H433)=0,"UNMAPPED","OK"),"")</f>
        <v/>
      </c>
    </row>
    <row r="434" customFormat="false" ht="15" hidden="false" customHeight="false" outlineLevel="0" collapsed="false">
      <c r="D434" s="36" t="str">
        <f aca="false">TRIM(A434)</f>
        <v/>
      </c>
      <c r="E434" s="36" t="str">
        <f aca="false">IF(D434="Revenue","Revenue",IF(D434="Cost of Goods Sold","COGS",IF(D434="Expenditures","Expense",IF(D434="Other Revenue","Other Revenue",IF(D434="Other Expenditures","Other Expense",E433)))))</f>
        <v>Other Expense</v>
      </c>
      <c r="F434" s="36" t="str">
        <f aca="false">IF(OR(D434="Revenue",D434="Cost of Goods Sold",D434="Expenditures",D434="Other Revenue",D434="Other Expenditures"),E434,IF(AND(LEN(D434)&gt;2,MID(D434,2,1)=" ",ISNUMBER(VALUE(LEFT(D434,1)))),D434,F433))</f>
        <v>Other Expense</v>
      </c>
      <c r="G434" s="36" t="n">
        <f aca="false">IF(AND(D434&lt;&gt;"",ISNUMBER(B434),LEFT(D434,9)&lt;&gt;"Total for",D434&lt;&gt;"Gross Profit",D434&lt;&gt;"Net Operating Revenue",D434&lt;&gt;"Net Other Revenue",D434&lt;&gt;"Net Revenue"),1,0)</f>
        <v>0</v>
      </c>
      <c r="H434" s="36" t="str">
        <f aca="false">IF(G434=1,IF(AND(LEN(D434)&gt;7,ISNUMBER(VALUE(LEFT(D434,6))),MID(D434,7,1)=" "),LEFT(D434,6),D434),"")</f>
        <v/>
      </c>
      <c r="I434" s="36" t="str">
        <f aca="false">IF(G434=1,IF(COUNTIF('Forecast Detail'!$C$8:$C$400,H434)=0,"UNMAPPED","OK"),"")</f>
        <v/>
      </c>
    </row>
    <row r="435" customFormat="false" ht="15" hidden="false" customHeight="false" outlineLevel="0" collapsed="false">
      <c r="D435" s="36" t="str">
        <f aca="false">TRIM(A435)</f>
        <v/>
      </c>
      <c r="E435" s="36" t="str">
        <f aca="false">IF(D435="Revenue","Revenue",IF(D435="Cost of Goods Sold","COGS",IF(D435="Expenditures","Expense",IF(D435="Other Revenue","Other Revenue",IF(D435="Other Expenditures","Other Expense",E434)))))</f>
        <v>Other Expense</v>
      </c>
      <c r="F435" s="36" t="str">
        <f aca="false">IF(OR(D435="Revenue",D435="Cost of Goods Sold",D435="Expenditures",D435="Other Revenue",D435="Other Expenditures"),E435,IF(AND(LEN(D435)&gt;2,MID(D435,2,1)=" ",ISNUMBER(VALUE(LEFT(D435,1)))),D435,F434))</f>
        <v>Other Expense</v>
      </c>
      <c r="G435" s="36" t="n">
        <f aca="false">IF(AND(D435&lt;&gt;"",ISNUMBER(B435),LEFT(D435,9)&lt;&gt;"Total for",D435&lt;&gt;"Gross Profit",D435&lt;&gt;"Net Operating Revenue",D435&lt;&gt;"Net Other Revenue",D435&lt;&gt;"Net Revenue"),1,0)</f>
        <v>0</v>
      </c>
      <c r="H435" s="36" t="str">
        <f aca="false">IF(G435=1,IF(AND(LEN(D435)&gt;7,ISNUMBER(VALUE(LEFT(D435,6))),MID(D435,7,1)=" "),LEFT(D435,6),D435),"")</f>
        <v/>
      </c>
      <c r="I435" s="36" t="str">
        <f aca="false">IF(G435=1,IF(COUNTIF('Forecast Detail'!$C$8:$C$400,H435)=0,"UNMAPPED","OK"),"")</f>
        <v/>
      </c>
    </row>
    <row r="436" customFormat="false" ht="15" hidden="false" customHeight="false" outlineLevel="0" collapsed="false">
      <c r="D436" s="36" t="str">
        <f aca="false">TRIM(A436)</f>
        <v/>
      </c>
      <c r="E436" s="36" t="str">
        <f aca="false">IF(D436="Revenue","Revenue",IF(D436="Cost of Goods Sold","COGS",IF(D436="Expenditures","Expense",IF(D436="Other Revenue","Other Revenue",IF(D436="Other Expenditures","Other Expense",E435)))))</f>
        <v>Other Expense</v>
      </c>
      <c r="F436" s="36" t="str">
        <f aca="false">IF(OR(D436="Revenue",D436="Cost of Goods Sold",D436="Expenditures",D436="Other Revenue",D436="Other Expenditures"),E436,IF(AND(LEN(D436)&gt;2,MID(D436,2,1)=" ",ISNUMBER(VALUE(LEFT(D436,1)))),D436,F435))</f>
        <v>Other Expense</v>
      </c>
      <c r="G436" s="36" t="n">
        <f aca="false">IF(AND(D436&lt;&gt;"",ISNUMBER(B436),LEFT(D436,9)&lt;&gt;"Total for",D436&lt;&gt;"Gross Profit",D436&lt;&gt;"Net Operating Revenue",D436&lt;&gt;"Net Other Revenue",D436&lt;&gt;"Net Revenue"),1,0)</f>
        <v>0</v>
      </c>
      <c r="H436" s="36" t="str">
        <f aca="false">IF(G436=1,IF(AND(LEN(D436)&gt;7,ISNUMBER(VALUE(LEFT(D436,6))),MID(D436,7,1)=" "),LEFT(D436,6),D436),"")</f>
        <v/>
      </c>
      <c r="I436" s="36" t="str">
        <f aca="false">IF(G436=1,IF(COUNTIF('Forecast Detail'!$C$8:$C$400,H436)=0,"UNMAPPED","OK"),"")</f>
        <v/>
      </c>
    </row>
    <row r="437" customFormat="false" ht="15" hidden="false" customHeight="false" outlineLevel="0" collapsed="false">
      <c r="D437" s="36" t="str">
        <f aca="false">TRIM(A437)</f>
        <v/>
      </c>
      <c r="E437" s="36" t="str">
        <f aca="false">IF(D437="Revenue","Revenue",IF(D437="Cost of Goods Sold","COGS",IF(D437="Expenditures","Expense",IF(D437="Other Revenue","Other Revenue",IF(D437="Other Expenditures","Other Expense",E436)))))</f>
        <v>Other Expense</v>
      </c>
      <c r="F437" s="36" t="str">
        <f aca="false">IF(OR(D437="Revenue",D437="Cost of Goods Sold",D437="Expenditures",D437="Other Revenue",D437="Other Expenditures"),E437,IF(AND(LEN(D437)&gt;2,MID(D437,2,1)=" ",ISNUMBER(VALUE(LEFT(D437,1)))),D437,F436))</f>
        <v>Other Expense</v>
      </c>
      <c r="G437" s="36" t="n">
        <f aca="false">IF(AND(D437&lt;&gt;"",ISNUMBER(B437),LEFT(D437,9)&lt;&gt;"Total for",D437&lt;&gt;"Gross Profit",D437&lt;&gt;"Net Operating Revenue",D437&lt;&gt;"Net Other Revenue",D437&lt;&gt;"Net Revenue"),1,0)</f>
        <v>0</v>
      </c>
      <c r="H437" s="36" t="str">
        <f aca="false">IF(G437=1,IF(AND(LEN(D437)&gt;7,ISNUMBER(VALUE(LEFT(D437,6))),MID(D437,7,1)=" "),LEFT(D437,6),D437),"")</f>
        <v/>
      </c>
      <c r="I437" s="36" t="str">
        <f aca="false">IF(G437=1,IF(COUNTIF('Forecast Detail'!$C$8:$C$400,H437)=0,"UNMAPPED","OK"),"")</f>
        <v/>
      </c>
    </row>
    <row r="438" customFormat="false" ht="15" hidden="false" customHeight="false" outlineLevel="0" collapsed="false">
      <c r="D438" s="36" t="str">
        <f aca="false">TRIM(A438)</f>
        <v/>
      </c>
      <c r="E438" s="36" t="str">
        <f aca="false">IF(D438="Revenue","Revenue",IF(D438="Cost of Goods Sold","COGS",IF(D438="Expenditures","Expense",IF(D438="Other Revenue","Other Revenue",IF(D438="Other Expenditures","Other Expense",E437)))))</f>
        <v>Other Expense</v>
      </c>
      <c r="F438" s="36" t="str">
        <f aca="false">IF(OR(D438="Revenue",D438="Cost of Goods Sold",D438="Expenditures",D438="Other Revenue",D438="Other Expenditures"),E438,IF(AND(LEN(D438)&gt;2,MID(D438,2,1)=" ",ISNUMBER(VALUE(LEFT(D438,1)))),D438,F437))</f>
        <v>Other Expense</v>
      </c>
      <c r="G438" s="36" t="n">
        <f aca="false">IF(AND(D438&lt;&gt;"",ISNUMBER(B438),LEFT(D438,9)&lt;&gt;"Total for",D438&lt;&gt;"Gross Profit",D438&lt;&gt;"Net Operating Revenue",D438&lt;&gt;"Net Other Revenue",D438&lt;&gt;"Net Revenue"),1,0)</f>
        <v>0</v>
      </c>
      <c r="H438" s="36" t="str">
        <f aca="false">IF(G438=1,IF(AND(LEN(D438)&gt;7,ISNUMBER(VALUE(LEFT(D438,6))),MID(D438,7,1)=" "),LEFT(D438,6),D438),"")</f>
        <v/>
      </c>
      <c r="I438" s="36" t="str">
        <f aca="false">IF(G438=1,IF(COUNTIF('Forecast Detail'!$C$8:$C$400,H438)=0,"UNMAPPED","OK"),"")</f>
        <v/>
      </c>
    </row>
    <row r="439" customFormat="false" ht="15" hidden="false" customHeight="false" outlineLevel="0" collapsed="false">
      <c r="D439" s="36" t="str">
        <f aca="false">TRIM(A439)</f>
        <v/>
      </c>
      <c r="E439" s="36" t="str">
        <f aca="false">IF(D439="Revenue","Revenue",IF(D439="Cost of Goods Sold","COGS",IF(D439="Expenditures","Expense",IF(D439="Other Revenue","Other Revenue",IF(D439="Other Expenditures","Other Expense",E438)))))</f>
        <v>Other Expense</v>
      </c>
      <c r="F439" s="36" t="str">
        <f aca="false">IF(OR(D439="Revenue",D439="Cost of Goods Sold",D439="Expenditures",D439="Other Revenue",D439="Other Expenditures"),E439,IF(AND(LEN(D439)&gt;2,MID(D439,2,1)=" ",ISNUMBER(VALUE(LEFT(D439,1)))),D439,F438))</f>
        <v>Other Expense</v>
      </c>
      <c r="G439" s="36" t="n">
        <f aca="false">IF(AND(D439&lt;&gt;"",ISNUMBER(B439),LEFT(D439,9)&lt;&gt;"Total for",D439&lt;&gt;"Gross Profit",D439&lt;&gt;"Net Operating Revenue",D439&lt;&gt;"Net Other Revenue",D439&lt;&gt;"Net Revenue"),1,0)</f>
        <v>0</v>
      </c>
      <c r="H439" s="36" t="str">
        <f aca="false">IF(G439=1,IF(AND(LEN(D439)&gt;7,ISNUMBER(VALUE(LEFT(D439,6))),MID(D439,7,1)=" "),LEFT(D439,6),D439),"")</f>
        <v/>
      </c>
      <c r="I439" s="36" t="str">
        <f aca="false">IF(G439=1,IF(COUNTIF('Forecast Detail'!$C$8:$C$400,H439)=0,"UNMAPPED","OK"),"")</f>
        <v/>
      </c>
    </row>
    <row r="440" customFormat="false" ht="15" hidden="false" customHeight="false" outlineLevel="0" collapsed="false">
      <c r="D440" s="36" t="str">
        <f aca="false">TRIM(A440)</f>
        <v/>
      </c>
      <c r="E440" s="36" t="str">
        <f aca="false">IF(D440="Revenue","Revenue",IF(D440="Cost of Goods Sold","COGS",IF(D440="Expenditures","Expense",IF(D440="Other Revenue","Other Revenue",IF(D440="Other Expenditures","Other Expense",E439)))))</f>
        <v>Other Expense</v>
      </c>
      <c r="F440" s="36" t="str">
        <f aca="false">IF(OR(D440="Revenue",D440="Cost of Goods Sold",D440="Expenditures",D440="Other Revenue",D440="Other Expenditures"),E440,IF(AND(LEN(D440)&gt;2,MID(D440,2,1)=" ",ISNUMBER(VALUE(LEFT(D440,1)))),D440,F439))</f>
        <v>Other Expense</v>
      </c>
      <c r="G440" s="36" t="n">
        <f aca="false">IF(AND(D440&lt;&gt;"",ISNUMBER(B440),LEFT(D440,9)&lt;&gt;"Total for",D440&lt;&gt;"Gross Profit",D440&lt;&gt;"Net Operating Revenue",D440&lt;&gt;"Net Other Revenue",D440&lt;&gt;"Net Revenue"),1,0)</f>
        <v>0</v>
      </c>
      <c r="H440" s="36" t="str">
        <f aca="false">IF(G440=1,IF(AND(LEN(D440)&gt;7,ISNUMBER(VALUE(LEFT(D440,6))),MID(D440,7,1)=" "),LEFT(D440,6),D440),"")</f>
        <v/>
      </c>
      <c r="I440" s="36" t="str">
        <f aca="false">IF(G440=1,IF(COUNTIF('Forecast Detail'!$C$8:$C$400,H440)=0,"UNMAPPED","OK"),"")</f>
        <v/>
      </c>
    </row>
    <row r="441" customFormat="false" ht="15" hidden="false" customHeight="false" outlineLevel="0" collapsed="false">
      <c r="D441" s="36" t="str">
        <f aca="false">TRIM(A441)</f>
        <v/>
      </c>
      <c r="E441" s="36" t="str">
        <f aca="false">IF(D441="Revenue","Revenue",IF(D441="Cost of Goods Sold","COGS",IF(D441="Expenditures","Expense",IF(D441="Other Revenue","Other Revenue",IF(D441="Other Expenditures","Other Expense",E440)))))</f>
        <v>Other Expense</v>
      </c>
      <c r="F441" s="36" t="str">
        <f aca="false">IF(OR(D441="Revenue",D441="Cost of Goods Sold",D441="Expenditures",D441="Other Revenue",D441="Other Expenditures"),E441,IF(AND(LEN(D441)&gt;2,MID(D441,2,1)=" ",ISNUMBER(VALUE(LEFT(D441,1)))),D441,F440))</f>
        <v>Other Expense</v>
      </c>
      <c r="G441" s="36" t="n">
        <f aca="false">IF(AND(D441&lt;&gt;"",ISNUMBER(B441),LEFT(D441,9)&lt;&gt;"Total for",D441&lt;&gt;"Gross Profit",D441&lt;&gt;"Net Operating Revenue",D441&lt;&gt;"Net Other Revenue",D441&lt;&gt;"Net Revenue"),1,0)</f>
        <v>0</v>
      </c>
      <c r="H441" s="36" t="str">
        <f aca="false">IF(G441=1,IF(AND(LEN(D441)&gt;7,ISNUMBER(VALUE(LEFT(D441,6))),MID(D441,7,1)=" "),LEFT(D441,6),D441),"")</f>
        <v/>
      </c>
      <c r="I441" s="36" t="str">
        <f aca="false">IF(G441=1,IF(COUNTIF('Forecast Detail'!$C$8:$C$400,H441)=0,"UNMAPPED","OK"),"")</f>
        <v/>
      </c>
    </row>
    <row r="442" customFormat="false" ht="15" hidden="false" customHeight="false" outlineLevel="0" collapsed="false">
      <c r="D442" s="36" t="str">
        <f aca="false">TRIM(A442)</f>
        <v/>
      </c>
      <c r="E442" s="36" t="str">
        <f aca="false">IF(D442="Revenue","Revenue",IF(D442="Cost of Goods Sold","COGS",IF(D442="Expenditures","Expense",IF(D442="Other Revenue","Other Revenue",IF(D442="Other Expenditures","Other Expense",E441)))))</f>
        <v>Other Expense</v>
      </c>
      <c r="F442" s="36" t="str">
        <f aca="false">IF(OR(D442="Revenue",D442="Cost of Goods Sold",D442="Expenditures",D442="Other Revenue",D442="Other Expenditures"),E442,IF(AND(LEN(D442)&gt;2,MID(D442,2,1)=" ",ISNUMBER(VALUE(LEFT(D442,1)))),D442,F441))</f>
        <v>Other Expense</v>
      </c>
      <c r="G442" s="36" t="n">
        <f aca="false">IF(AND(D442&lt;&gt;"",ISNUMBER(B442),LEFT(D442,9)&lt;&gt;"Total for",D442&lt;&gt;"Gross Profit",D442&lt;&gt;"Net Operating Revenue",D442&lt;&gt;"Net Other Revenue",D442&lt;&gt;"Net Revenue"),1,0)</f>
        <v>0</v>
      </c>
      <c r="H442" s="36" t="str">
        <f aca="false">IF(G442=1,IF(AND(LEN(D442)&gt;7,ISNUMBER(VALUE(LEFT(D442,6))),MID(D442,7,1)=" "),LEFT(D442,6),D442),"")</f>
        <v/>
      </c>
      <c r="I442" s="36" t="str">
        <f aca="false">IF(G442=1,IF(COUNTIF('Forecast Detail'!$C$8:$C$400,H442)=0,"UNMAPPED","OK"),"")</f>
        <v/>
      </c>
    </row>
    <row r="443" customFormat="false" ht="15" hidden="false" customHeight="false" outlineLevel="0" collapsed="false">
      <c r="D443" s="36" t="str">
        <f aca="false">TRIM(A443)</f>
        <v/>
      </c>
      <c r="E443" s="36" t="str">
        <f aca="false">IF(D443="Revenue","Revenue",IF(D443="Cost of Goods Sold","COGS",IF(D443="Expenditures","Expense",IF(D443="Other Revenue","Other Revenue",IF(D443="Other Expenditures","Other Expense",E442)))))</f>
        <v>Other Expense</v>
      </c>
      <c r="F443" s="36" t="str">
        <f aca="false">IF(OR(D443="Revenue",D443="Cost of Goods Sold",D443="Expenditures",D443="Other Revenue",D443="Other Expenditures"),E443,IF(AND(LEN(D443)&gt;2,MID(D443,2,1)=" ",ISNUMBER(VALUE(LEFT(D443,1)))),D443,F442))</f>
        <v>Other Expense</v>
      </c>
      <c r="G443" s="36" t="n">
        <f aca="false">IF(AND(D443&lt;&gt;"",ISNUMBER(B443),LEFT(D443,9)&lt;&gt;"Total for",D443&lt;&gt;"Gross Profit",D443&lt;&gt;"Net Operating Revenue",D443&lt;&gt;"Net Other Revenue",D443&lt;&gt;"Net Revenue"),1,0)</f>
        <v>0</v>
      </c>
      <c r="H443" s="36" t="str">
        <f aca="false">IF(G443=1,IF(AND(LEN(D443)&gt;7,ISNUMBER(VALUE(LEFT(D443,6))),MID(D443,7,1)=" "),LEFT(D443,6),D443),"")</f>
        <v/>
      </c>
      <c r="I443" s="36" t="str">
        <f aca="false">IF(G443=1,IF(COUNTIF('Forecast Detail'!$C$8:$C$400,H443)=0,"UNMAPPED","OK"),"")</f>
        <v/>
      </c>
    </row>
    <row r="444" customFormat="false" ht="15" hidden="false" customHeight="false" outlineLevel="0" collapsed="false">
      <c r="D444" s="36" t="str">
        <f aca="false">TRIM(A444)</f>
        <v/>
      </c>
      <c r="E444" s="36" t="str">
        <f aca="false">IF(D444="Revenue","Revenue",IF(D444="Cost of Goods Sold","COGS",IF(D444="Expenditures","Expense",IF(D444="Other Revenue","Other Revenue",IF(D444="Other Expenditures","Other Expense",E443)))))</f>
        <v>Other Expense</v>
      </c>
      <c r="F444" s="36" t="str">
        <f aca="false">IF(OR(D444="Revenue",D444="Cost of Goods Sold",D444="Expenditures",D444="Other Revenue",D444="Other Expenditures"),E444,IF(AND(LEN(D444)&gt;2,MID(D444,2,1)=" ",ISNUMBER(VALUE(LEFT(D444,1)))),D444,F443))</f>
        <v>Other Expense</v>
      </c>
      <c r="G444" s="36" t="n">
        <f aca="false">IF(AND(D444&lt;&gt;"",ISNUMBER(B444),LEFT(D444,9)&lt;&gt;"Total for",D444&lt;&gt;"Gross Profit",D444&lt;&gt;"Net Operating Revenue",D444&lt;&gt;"Net Other Revenue",D444&lt;&gt;"Net Revenue"),1,0)</f>
        <v>0</v>
      </c>
      <c r="H444" s="36" t="str">
        <f aca="false">IF(G444=1,IF(AND(LEN(D444)&gt;7,ISNUMBER(VALUE(LEFT(D444,6))),MID(D444,7,1)=" "),LEFT(D444,6),D444),"")</f>
        <v/>
      </c>
      <c r="I444" s="36" t="str">
        <f aca="false">IF(G444=1,IF(COUNTIF('Forecast Detail'!$C$8:$C$400,H444)=0,"UNMAPPED","OK"),"")</f>
        <v/>
      </c>
    </row>
    <row r="445" customFormat="false" ht="15" hidden="false" customHeight="false" outlineLevel="0" collapsed="false">
      <c r="D445" s="36" t="str">
        <f aca="false">TRIM(A445)</f>
        <v/>
      </c>
      <c r="E445" s="36" t="str">
        <f aca="false">IF(D445="Revenue","Revenue",IF(D445="Cost of Goods Sold","COGS",IF(D445="Expenditures","Expense",IF(D445="Other Revenue","Other Revenue",IF(D445="Other Expenditures","Other Expense",E444)))))</f>
        <v>Other Expense</v>
      </c>
      <c r="F445" s="36" t="str">
        <f aca="false">IF(OR(D445="Revenue",D445="Cost of Goods Sold",D445="Expenditures",D445="Other Revenue",D445="Other Expenditures"),E445,IF(AND(LEN(D445)&gt;2,MID(D445,2,1)=" ",ISNUMBER(VALUE(LEFT(D445,1)))),D445,F444))</f>
        <v>Other Expense</v>
      </c>
      <c r="G445" s="36" t="n">
        <f aca="false">IF(AND(D445&lt;&gt;"",ISNUMBER(B445),LEFT(D445,9)&lt;&gt;"Total for",D445&lt;&gt;"Gross Profit",D445&lt;&gt;"Net Operating Revenue",D445&lt;&gt;"Net Other Revenue",D445&lt;&gt;"Net Revenue"),1,0)</f>
        <v>0</v>
      </c>
      <c r="H445" s="36" t="str">
        <f aca="false">IF(G445=1,IF(AND(LEN(D445)&gt;7,ISNUMBER(VALUE(LEFT(D445,6))),MID(D445,7,1)=" "),LEFT(D445,6),D445),"")</f>
        <v/>
      </c>
      <c r="I445" s="36" t="str">
        <f aca="false">IF(G445=1,IF(COUNTIF('Forecast Detail'!$C$8:$C$400,H445)=0,"UNMAPPED","OK"),"")</f>
        <v/>
      </c>
    </row>
    <row r="446" customFormat="false" ht="15" hidden="false" customHeight="false" outlineLevel="0" collapsed="false">
      <c r="D446" s="36" t="str">
        <f aca="false">TRIM(A446)</f>
        <v/>
      </c>
      <c r="E446" s="36" t="str">
        <f aca="false">IF(D446="Revenue","Revenue",IF(D446="Cost of Goods Sold","COGS",IF(D446="Expenditures","Expense",IF(D446="Other Revenue","Other Revenue",IF(D446="Other Expenditures","Other Expense",E445)))))</f>
        <v>Other Expense</v>
      </c>
      <c r="F446" s="36" t="str">
        <f aca="false">IF(OR(D446="Revenue",D446="Cost of Goods Sold",D446="Expenditures",D446="Other Revenue",D446="Other Expenditures"),E446,IF(AND(LEN(D446)&gt;2,MID(D446,2,1)=" ",ISNUMBER(VALUE(LEFT(D446,1)))),D446,F445))</f>
        <v>Other Expense</v>
      </c>
      <c r="G446" s="36" t="n">
        <f aca="false">IF(AND(D446&lt;&gt;"",ISNUMBER(B446),LEFT(D446,9)&lt;&gt;"Total for",D446&lt;&gt;"Gross Profit",D446&lt;&gt;"Net Operating Revenue",D446&lt;&gt;"Net Other Revenue",D446&lt;&gt;"Net Revenue"),1,0)</f>
        <v>0</v>
      </c>
      <c r="H446" s="36" t="str">
        <f aca="false">IF(G446=1,IF(AND(LEN(D446)&gt;7,ISNUMBER(VALUE(LEFT(D446,6))),MID(D446,7,1)=" "),LEFT(D446,6),D446),"")</f>
        <v/>
      </c>
      <c r="I446" s="36" t="str">
        <f aca="false">IF(G446=1,IF(COUNTIF('Forecast Detail'!$C$8:$C$400,H446)=0,"UNMAPPED","OK"),"")</f>
        <v/>
      </c>
    </row>
    <row r="447" customFormat="false" ht="15" hidden="false" customHeight="false" outlineLevel="0" collapsed="false">
      <c r="D447" s="36" t="str">
        <f aca="false">TRIM(A447)</f>
        <v/>
      </c>
      <c r="E447" s="36" t="str">
        <f aca="false">IF(D447="Revenue","Revenue",IF(D447="Cost of Goods Sold","COGS",IF(D447="Expenditures","Expense",IF(D447="Other Revenue","Other Revenue",IF(D447="Other Expenditures","Other Expense",E446)))))</f>
        <v>Other Expense</v>
      </c>
      <c r="F447" s="36" t="str">
        <f aca="false">IF(OR(D447="Revenue",D447="Cost of Goods Sold",D447="Expenditures",D447="Other Revenue",D447="Other Expenditures"),E447,IF(AND(LEN(D447)&gt;2,MID(D447,2,1)=" ",ISNUMBER(VALUE(LEFT(D447,1)))),D447,F446))</f>
        <v>Other Expense</v>
      </c>
      <c r="G447" s="36" t="n">
        <f aca="false">IF(AND(D447&lt;&gt;"",ISNUMBER(B447),LEFT(D447,9)&lt;&gt;"Total for",D447&lt;&gt;"Gross Profit",D447&lt;&gt;"Net Operating Revenue",D447&lt;&gt;"Net Other Revenue",D447&lt;&gt;"Net Revenue"),1,0)</f>
        <v>0</v>
      </c>
      <c r="H447" s="36" t="str">
        <f aca="false">IF(G447=1,IF(AND(LEN(D447)&gt;7,ISNUMBER(VALUE(LEFT(D447,6))),MID(D447,7,1)=" "),LEFT(D447,6),D447),"")</f>
        <v/>
      </c>
      <c r="I447" s="36" t="str">
        <f aca="false">IF(G447=1,IF(COUNTIF('Forecast Detail'!$C$8:$C$400,H447)=0,"UNMAPPED","OK"),"")</f>
        <v/>
      </c>
    </row>
    <row r="448" customFormat="false" ht="15" hidden="false" customHeight="false" outlineLevel="0" collapsed="false">
      <c r="D448" s="36" t="str">
        <f aca="false">TRIM(A448)</f>
        <v/>
      </c>
      <c r="E448" s="36" t="str">
        <f aca="false">IF(D448="Revenue","Revenue",IF(D448="Cost of Goods Sold","COGS",IF(D448="Expenditures","Expense",IF(D448="Other Revenue","Other Revenue",IF(D448="Other Expenditures","Other Expense",E447)))))</f>
        <v>Other Expense</v>
      </c>
      <c r="F448" s="36" t="str">
        <f aca="false">IF(OR(D448="Revenue",D448="Cost of Goods Sold",D448="Expenditures",D448="Other Revenue",D448="Other Expenditures"),E448,IF(AND(LEN(D448)&gt;2,MID(D448,2,1)=" ",ISNUMBER(VALUE(LEFT(D448,1)))),D448,F447))</f>
        <v>Other Expense</v>
      </c>
      <c r="G448" s="36" t="n">
        <f aca="false">IF(AND(D448&lt;&gt;"",ISNUMBER(B448),LEFT(D448,9)&lt;&gt;"Total for",D448&lt;&gt;"Gross Profit",D448&lt;&gt;"Net Operating Revenue",D448&lt;&gt;"Net Other Revenue",D448&lt;&gt;"Net Revenue"),1,0)</f>
        <v>0</v>
      </c>
      <c r="H448" s="36" t="str">
        <f aca="false">IF(G448=1,IF(AND(LEN(D448)&gt;7,ISNUMBER(VALUE(LEFT(D448,6))),MID(D448,7,1)=" "),LEFT(D448,6),D448),"")</f>
        <v/>
      </c>
      <c r="I448" s="36" t="str">
        <f aca="false">IF(G448=1,IF(COUNTIF('Forecast Detail'!$C$8:$C$400,H448)=0,"UNMAPPED","OK"),"")</f>
        <v/>
      </c>
    </row>
    <row r="449" customFormat="false" ht="15" hidden="false" customHeight="false" outlineLevel="0" collapsed="false">
      <c r="D449" s="36" t="str">
        <f aca="false">TRIM(A449)</f>
        <v/>
      </c>
      <c r="E449" s="36" t="str">
        <f aca="false">IF(D449="Revenue","Revenue",IF(D449="Cost of Goods Sold","COGS",IF(D449="Expenditures","Expense",IF(D449="Other Revenue","Other Revenue",IF(D449="Other Expenditures","Other Expense",E448)))))</f>
        <v>Other Expense</v>
      </c>
      <c r="F449" s="36" t="str">
        <f aca="false">IF(OR(D449="Revenue",D449="Cost of Goods Sold",D449="Expenditures",D449="Other Revenue",D449="Other Expenditures"),E449,IF(AND(LEN(D449)&gt;2,MID(D449,2,1)=" ",ISNUMBER(VALUE(LEFT(D449,1)))),D449,F448))</f>
        <v>Other Expense</v>
      </c>
      <c r="G449" s="36" t="n">
        <f aca="false">IF(AND(D449&lt;&gt;"",ISNUMBER(B449),LEFT(D449,9)&lt;&gt;"Total for",D449&lt;&gt;"Gross Profit",D449&lt;&gt;"Net Operating Revenue",D449&lt;&gt;"Net Other Revenue",D449&lt;&gt;"Net Revenue"),1,0)</f>
        <v>0</v>
      </c>
      <c r="H449" s="36" t="str">
        <f aca="false">IF(G449=1,IF(AND(LEN(D449)&gt;7,ISNUMBER(VALUE(LEFT(D449,6))),MID(D449,7,1)=" "),LEFT(D449,6),D449),"")</f>
        <v/>
      </c>
      <c r="I449" s="36" t="str">
        <f aca="false">IF(G449=1,IF(COUNTIF('Forecast Detail'!$C$8:$C$400,H449)=0,"UNMAPPED","OK"),"")</f>
        <v/>
      </c>
    </row>
    <row r="450" customFormat="false" ht="15" hidden="false" customHeight="false" outlineLevel="0" collapsed="false">
      <c r="D450" s="36" t="str">
        <f aca="false">TRIM(A450)</f>
        <v/>
      </c>
      <c r="E450" s="36" t="str">
        <f aca="false">IF(D450="Revenue","Revenue",IF(D450="Cost of Goods Sold","COGS",IF(D450="Expenditures","Expense",IF(D450="Other Revenue","Other Revenue",IF(D450="Other Expenditures","Other Expense",E449)))))</f>
        <v>Other Expense</v>
      </c>
      <c r="F450" s="36" t="str">
        <f aca="false">IF(OR(D450="Revenue",D450="Cost of Goods Sold",D450="Expenditures",D450="Other Revenue",D450="Other Expenditures"),E450,IF(AND(LEN(D450)&gt;2,MID(D450,2,1)=" ",ISNUMBER(VALUE(LEFT(D450,1)))),D450,F449))</f>
        <v>Other Expense</v>
      </c>
      <c r="G450" s="36" t="n">
        <f aca="false">IF(AND(D450&lt;&gt;"",ISNUMBER(B450),LEFT(D450,9)&lt;&gt;"Total for",D450&lt;&gt;"Gross Profit",D450&lt;&gt;"Net Operating Revenue",D450&lt;&gt;"Net Other Revenue",D450&lt;&gt;"Net Revenue"),1,0)</f>
        <v>0</v>
      </c>
      <c r="H450" s="36" t="str">
        <f aca="false">IF(G450=1,IF(AND(LEN(D450)&gt;7,ISNUMBER(VALUE(LEFT(D450,6))),MID(D450,7,1)=" "),LEFT(D450,6),D450),"")</f>
        <v/>
      </c>
      <c r="I450" s="36" t="str">
        <f aca="false">IF(G450=1,IF(COUNTIF('Forecast Detail'!$C$8:$C$400,H450)=0,"UNMAPPED","OK"),"")</f>
        <v/>
      </c>
    </row>
    <row r="451" customFormat="false" ht="15" hidden="false" customHeight="false" outlineLevel="0" collapsed="false">
      <c r="D451" s="36" t="str">
        <f aca="false">TRIM(A451)</f>
        <v/>
      </c>
      <c r="E451" s="36" t="str">
        <f aca="false">IF(D451="Revenue","Revenue",IF(D451="Cost of Goods Sold","COGS",IF(D451="Expenditures","Expense",IF(D451="Other Revenue","Other Revenue",IF(D451="Other Expenditures","Other Expense",E450)))))</f>
        <v>Other Expense</v>
      </c>
      <c r="F451" s="36" t="str">
        <f aca="false">IF(OR(D451="Revenue",D451="Cost of Goods Sold",D451="Expenditures",D451="Other Revenue",D451="Other Expenditures"),E451,IF(AND(LEN(D451)&gt;2,MID(D451,2,1)=" ",ISNUMBER(VALUE(LEFT(D451,1)))),D451,F450))</f>
        <v>Other Expense</v>
      </c>
      <c r="G451" s="36" t="n">
        <f aca="false">IF(AND(D451&lt;&gt;"",ISNUMBER(B451),LEFT(D451,9)&lt;&gt;"Total for",D451&lt;&gt;"Gross Profit",D451&lt;&gt;"Net Operating Revenue",D451&lt;&gt;"Net Other Revenue",D451&lt;&gt;"Net Revenue"),1,0)</f>
        <v>0</v>
      </c>
      <c r="H451" s="36" t="str">
        <f aca="false">IF(G451=1,IF(AND(LEN(D451)&gt;7,ISNUMBER(VALUE(LEFT(D451,6))),MID(D451,7,1)=" "),LEFT(D451,6),D451),"")</f>
        <v/>
      </c>
      <c r="I451" s="36" t="str">
        <f aca="false">IF(G451=1,IF(COUNTIF('Forecast Detail'!$C$8:$C$400,H451)=0,"UNMAPPED","OK"),"")</f>
        <v/>
      </c>
    </row>
    <row r="452" customFormat="false" ht="15" hidden="false" customHeight="false" outlineLevel="0" collapsed="false">
      <c r="D452" s="36" t="str">
        <f aca="false">TRIM(A452)</f>
        <v/>
      </c>
      <c r="E452" s="36" t="str">
        <f aca="false">IF(D452="Revenue","Revenue",IF(D452="Cost of Goods Sold","COGS",IF(D452="Expenditures","Expense",IF(D452="Other Revenue","Other Revenue",IF(D452="Other Expenditures","Other Expense",E451)))))</f>
        <v>Other Expense</v>
      </c>
      <c r="F452" s="36" t="str">
        <f aca="false">IF(OR(D452="Revenue",D452="Cost of Goods Sold",D452="Expenditures",D452="Other Revenue",D452="Other Expenditures"),E452,IF(AND(LEN(D452)&gt;2,MID(D452,2,1)=" ",ISNUMBER(VALUE(LEFT(D452,1)))),D452,F451))</f>
        <v>Other Expense</v>
      </c>
      <c r="G452" s="36" t="n">
        <f aca="false">IF(AND(D452&lt;&gt;"",ISNUMBER(B452),LEFT(D452,9)&lt;&gt;"Total for",D452&lt;&gt;"Gross Profit",D452&lt;&gt;"Net Operating Revenue",D452&lt;&gt;"Net Other Revenue",D452&lt;&gt;"Net Revenue"),1,0)</f>
        <v>0</v>
      </c>
      <c r="H452" s="36" t="str">
        <f aca="false">IF(G452=1,IF(AND(LEN(D452)&gt;7,ISNUMBER(VALUE(LEFT(D452,6))),MID(D452,7,1)=" "),LEFT(D452,6),D452),"")</f>
        <v/>
      </c>
      <c r="I452" s="36" t="str">
        <f aca="false">IF(G452=1,IF(COUNTIF('Forecast Detail'!$C$8:$C$400,H452)=0,"UNMAPPED","OK"),"")</f>
        <v/>
      </c>
    </row>
    <row r="453" customFormat="false" ht="15" hidden="false" customHeight="false" outlineLevel="0" collapsed="false">
      <c r="D453" s="36" t="str">
        <f aca="false">TRIM(A453)</f>
        <v/>
      </c>
      <c r="E453" s="36" t="str">
        <f aca="false">IF(D453="Revenue","Revenue",IF(D453="Cost of Goods Sold","COGS",IF(D453="Expenditures","Expense",IF(D453="Other Revenue","Other Revenue",IF(D453="Other Expenditures","Other Expense",E452)))))</f>
        <v>Other Expense</v>
      </c>
      <c r="F453" s="36" t="str">
        <f aca="false">IF(OR(D453="Revenue",D453="Cost of Goods Sold",D453="Expenditures",D453="Other Revenue",D453="Other Expenditures"),E453,IF(AND(LEN(D453)&gt;2,MID(D453,2,1)=" ",ISNUMBER(VALUE(LEFT(D453,1)))),D453,F452))</f>
        <v>Other Expense</v>
      </c>
      <c r="G453" s="36" t="n">
        <f aca="false">IF(AND(D453&lt;&gt;"",ISNUMBER(B453),LEFT(D453,9)&lt;&gt;"Total for",D453&lt;&gt;"Gross Profit",D453&lt;&gt;"Net Operating Revenue",D453&lt;&gt;"Net Other Revenue",D453&lt;&gt;"Net Revenue"),1,0)</f>
        <v>0</v>
      </c>
      <c r="H453" s="36" t="str">
        <f aca="false">IF(G453=1,IF(AND(LEN(D453)&gt;7,ISNUMBER(VALUE(LEFT(D453,6))),MID(D453,7,1)=" "),LEFT(D453,6),D453),"")</f>
        <v/>
      </c>
      <c r="I453" s="36" t="str">
        <f aca="false">IF(G453=1,IF(COUNTIF('Forecast Detail'!$C$8:$C$400,H453)=0,"UNMAPPED","OK"),"")</f>
        <v/>
      </c>
    </row>
    <row r="454" customFormat="false" ht="15" hidden="false" customHeight="false" outlineLevel="0" collapsed="false">
      <c r="D454" s="36" t="str">
        <f aca="false">TRIM(A454)</f>
        <v/>
      </c>
      <c r="E454" s="36" t="str">
        <f aca="false">IF(D454="Revenue","Revenue",IF(D454="Cost of Goods Sold","COGS",IF(D454="Expenditures","Expense",IF(D454="Other Revenue","Other Revenue",IF(D454="Other Expenditures","Other Expense",E453)))))</f>
        <v>Other Expense</v>
      </c>
      <c r="F454" s="36" t="str">
        <f aca="false">IF(OR(D454="Revenue",D454="Cost of Goods Sold",D454="Expenditures",D454="Other Revenue",D454="Other Expenditures"),E454,IF(AND(LEN(D454)&gt;2,MID(D454,2,1)=" ",ISNUMBER(VALUE(LEFT(D454,1)))),D454,F453))</f>
        <v>Other Expense</v>
      </c>
      <c r="G454" s="36" t="n">
        <f aca="false">IF(AND(D454&lt;&gt;"",ISNUMBER(B454),LEFT(D454,9)&lt;&gt;"Total for",D454&lt;&gt;"Gross Profit",D454&lt;&gt;"Net Operating Revenue",D454&lt;&gt;"Net Other Revenue",D454&lt;&gt;"Net Revenue"),1,0)</f>
        <v>0</v>
      </c>
      <c r="H454" s="36" t="str">
        <f aca="false">IF(G454=1,IF(AND(LEN(D454)&gt;7,ISNUMBER(VALUE(LEFT(D454,6))),MID(D454,7,1)=" "),LEFT(D454,6),D454),"")</f>
        <v/>
      </c>
      <c r="I454" s="36" t="str">
        <f aca="false">IF(G454=1,IF(COUNTIF('Forecast Detail'!$C$8:$C$400,H454)=0,"UNMAPPED","OK"),"")</f>
        <v/>
      </c>
    </row>
    <row r="455" customFormat="false" ht="15" hidden="false" customHeight="false" outlineLevel="0" collapsed="false">
      <c r="D455" s="36" t="str">
        <f aca="false">TRIM(A455)</f>
        <v/>
      </c>
      <c r="E455" s="36" t="str">
        <f aca="false">IF(D455="Revenue","Revenue",IF(D455="Cost of Goods Sold","COGS",IF(D455="Expenditures","Expense",IF(D455="Other Revenue","Other Revenue",IF(D455="Other Expenditures","Other Expense",E454)))))</f>
        <v>Other Expense</v>
      </c>
      <c r="F455" s="36" t="str">
        <f aca="false">IF(OR(D455="Revenue",D455="Cost of Goods Sold",D455="Expenditures",D455="Other Revenue",D455="Other Expenditures"),E455,IF(AND(LEN(D455)&gt;2,MID(D455,2,1)=" ",ISNUMBER(VALUE(LEFT(D455,1)))),D455,F454))</f>
        <v>Other Expense</v>
      </c>
      <c r="G455" s="36" t="n">
        <f aca="false">IF(AND(D455&lt;&gt;"",ISNUMBER(B455),LEFT(D455,9)&lt;&gt;"Total for",D455&lt;&gt;"Gross Profit",D455&lt;&gt;"Net Operating Revenue",D455&lt;&gt;"Net Other Revenue",D455&lt;&gt;"Net Revenue"),1,0)</f>
        <v>0</v>
      </c>
      <c r="H455" s="36" t="str">
        <f aca="false">IF(G455=1,IF(AND(LEN(D455)&gt;7,ISNUMBER(VALUE(LEFT(D455,6))),MID(D455,7,1)=" "),LEFT(D455,6),D455),"")</f>
        <v/>
      </c>
      <c r="I455" s="36" t="str">
        <f aca="false">IF(G455=1,IF(COUNTIF('Forecast Detail'!$C$8:$C$400,H455)=0,"UNMAPPED","OK"),"")</f>
        <v/>
      </c>
    </row>
    <row r="456" customFormat="false" ht="15" hidden="false" customHeight="false" outlineLevel="0" collapsed="false">
      <c r="D456" s="36" t="str">
        <f aca="false">TRIM(A456)</f>
        <v/>
      </c>
      <c r="E456" s="36" t="str">
        <f aca="false">IF(D456="Revenue","Revenue",IF(D456="Cost of Goods Sold","COGS",IF(D456="Expenditures","Expense",IF(D456="Other Revenue","Other Revenue",IF(D456="Other Expenditures","Other Expense",E455)))))</f>
        <v>Other Expense</v>
      </c>
      <c r="F456" s="36" t="str">
        <f aca="false">IF(OR(D456="Revenue",D456="Cost of Goods Sold",D456="Expenditures",D456="Other Revenue",D456="Other Expenditures"),E456,IF(AND(LEN(D456)&gt;2,MID(D456,2,1)=" ",ISNUMBER(VALUE(LEFT(D456,1)))),D456,F455))</f>
        <v>Other Expense</v>
      </c>
      <c r="G456" s="36" t="n">
        <f aca="false">IF(AND(D456&lt;&gt;"",ISNUMBER(B456),LEFT(D456,9)&lt;&gt;"Total for",D456&lt;&gt;"Gross Profit",D456&lt;&gt;"Net Operating Revenue",D456&lt;&gt;"Net Other Revenue",D456&lt;&gt;"Net Revenue"),1,0)</f>
        <v>0</v>
      </c>
      <c r="H456" s="36" t="str">
        <f aca="false">IF(G456=1,IF(AND(LEN(D456)&gt;7,ISNUMBER(VALUE(LEFT(D456,6))),MID(D456,7,1)=" "),LEFT(D456,6),D456),"")</f>
        <v/>
      </c>
      <c r="I456" s="36" t="str">
        <f aca="false">IF(G456=1,IF(COUNTIF('Forecast Detail'!$C$8:$C$400,H456)=0,"UNMAPPED","OK"),"")</f>
        <v/>
      </c>
    </row>
    <row r="457" customFormat="false" ht="15" hidden="false" customHeight="false" outlineLevel="0" collapsed="false">
      <c r="D457" s="36" t="str">
        <f aca="false">TRIM(A457)</f>
        <v/>
      </c>
      <c r="E457" s="36" t="str">
        <f aca="false">IF(D457="Revenue","Revenue",IF(D457="Cost of Goods Sold","COGS",IF(D457="Expenditures","Expense",IF(D457="Other Revenue","Other Revenue",IF(D457="Other Expenditures","Other Expense",E456)))))</f>
        <v>Other Expense</v>
      </c>
      <c r="F457" s="36" t="str">
        <f aca="false">IF(OR(D457="Revenue",D457="Cost of Goods Sold",D457="Expenditures",D457="Other Revenue",D457="Other Expenditures"),E457,IF(AND(LEN(D457)&gt;2,MID(D457,2,1)=" ",ISNUMBER(VALUE(LEFT(D457,1)))),D457,F456))</f>
        <v>Other Expense</v>
      </c>
      <c r="G457" s="36" t="n">
        <f aca="false">IF(AND(D457&lt;&gt;"",ISNUMBER(B457),LEFT(D457,9)&lt;&gt;"Total for",D457&lt;&gt;"Gross Profit",D457&lt;&gt;"Net Operating Revenue",D457&lt;&gt;"Net Other Revenue",D457&lt;&gt;"Net Revenue"),1,0)</f>
        <v>0</v>
      </c>
      <c r="H457" s="36" t="str">
        <f aca="false">IF(G457=1,IF(AND(LEN(D457)&gt;7,ISNUMBER(VALUE(LEFT(D457,6))),MID(D457,7,1)=" "),LEFT(D457,6),D457),"")</f>
        <v/>
      </c>
      <c r="I457" s="36" t="str">
        <f aca="false">IF(G457=1,IF(COUNTIF('Forecast Detail'!$C$8:$C$400,H457)=0,"UNMAPPED","OK"),"")</f>
        <v/>
      </c>
    </row>
    <row r="458" customFormat="false" ht="15" hidden="false" customHeight="false" outlineLevel="0" collapsed="false">
      <c r="D458" s="36" t="str">
        <f aca="false">TRIM(A458)</f>
        <v/>
      </c>
      <c r="E458" s="36" t="str">
        <f aca="false">IF(D458="Revenue","Revenue",IF(D458="Cost of Goods Sold","COGS",IF(D458="Expenditures","Expense",IF(D458="Other Revenue","Other Revenue",IF(D458="Other Expenditures","Other Expense",E457)))))</f>
        <v>Other Expense</v>
      </c>
      <c r="F458" s="36" t="str">
        <f aca="false">IF(OR(D458="Revenue",D458="Cost of Goods Sold",D458="Expenditures",D458="Other Revenue",D458="Other Expenditures"),E458,IF(AND(LEN(D458)&gt;2,MID(D458,2,1)=" ",ISNUMBER(VALUE(LEFT(D458,1)))),D458,F457))</f>
        <v>Other Expense</v>
      </c>
      <c r="G458" s="36" t="n">
        <f aca="false">IF(AND(D458&lt;&gt;"",ISNUMBER(B458),LEFT(D458,9)&lt;&gt;"Total for",D458&lt;&gt;"Gross Profit",D458&lt;&gt;"Net Operating Revenue",D458&lt;&gt;"Net Other Revenue",D458&lt;&gt;"Net Revenue"),1,0)</f>
        <v>0</v>
      </c>
      <c r="H458" s="36" t="str">
        <f aca="false">IF(G458=1,IF(AND(LEN(D458)&gt;7,ISNUMBER(VALUE(LEFT(D458,6))),MID(D458,7,1)=" "),LEFT(D458,6),D458),"")</f>
        <v/>
      </c>
      <c r="I458" s="36" t="str">
        <f aca="false">IF(G458=1,IF(COUNTIF('Forecast Detail'!$C$8:$C$400,H458)=0,"UNMAPPED","OK"),"")</f>
        <v/>
      </c>
    </row>
    <row r="459" customFormat="false" ht="15" hidden="false" customHeight="false" outlineLevel="0" collapsed="false">
      <c r="D459" s="36" t="str">
        <f aca="false">TRIM(A459)</f>
        <v/>
      </c>
      <c r="E459" s="36" t="str">
        <f aca="false">IF(D459="Revenue","Revenue",IF(D459="Cost of Goods Sold","COGS",IF(D459="Expenditures","Expense",IF(D459="Other Revenue","Other Revenue",IF(D459="Other Expenditures","Other Expense",E458)))))</f>
        <v>Other Expense</v>
      </c>
      <c r="F459" s="36" t="str">
        <f aca="false">IF(OR(D459="Revenue",D459="Cost of Goods Sold",D459="Expenditures",D459="Other Revenue",D459="Other Expenditures"),E459,IF(AND(LEN(D459)&gt;2,MID(D459,2,1)=" ",ISNUMBER(VALUE(LEFT(D459,1)))),D459,F458))</f>
        <v>Other Expense</v>
      </c>
      <c r="G459" s="36" t="n">
        <f aca="false">IF(AND(D459&lt;&gt;"",ISNUMBER(B459),LEFT(D459,9)&lt;&gt;"Total for",D459&lt;&gt;"Gross Profit",D459&lt;&gt;"Net Operating Revenue",D459&lt;&gt;"Net Other Revenue",D459&lt;&gt;"Net Revenue"),1,0)</f>
        <v>0</v>
      </c>
      <c r="H459" s="36" t="str">
        <f aca="false">IF(G459=1,IF(AND(LEN(D459)&gt;7,ISNUMBER(VALUE(LEFT(D459,6))),MID(D459,7,1)=" "),LEFT(D459,6),D459),"")</f>
        <v/>
      </c>
      <c r="I459" s="36" t="str">
        <f aca="false">IF(G459=1,IF(COUNTIF('Forecast Detail'!$C$8:$C$400,H459)=0,"UNMAPPED","OK"),"")</f>
        <v/>
      </c>
    </row>
    <row r="460" customFormat="false" ht="15" hidden="false" customHeight="false" outlineLevel="0" collapsed="false">
      <c r="D460" s="36" t="str">
        <f aca="false">TRIM(A460)</f>
        <v/>
      </c>
      <c r="E460" s="36" t="str">
        <f aca="false">IF(D460="Revenue","Revenue",IF(D460="Cost of Goods Sold","COGS",IF(D460="Expenditures","Expense",IF(D460="Other Revenue","Other Revenue",IF(D460="Other Expenditures","Other Expense",E459)))))</f>
        <v>Other Expense</v>
      </c>
      <c r="F460" s="36" t="str">
        <f aca="false">IF(OR(D460="Revenue",D460="Cost of Goods Sold",D460="Expenditures",D460="Other Revenue",D460="Other Expenditures"),E460,IF(AND(LEN(D460)&gt;2,MID(D460,2,1)=" ",ISNUMBER(VALUE(LEFT(D460,1)))),D460,F459))</f>
        <v>Other Expense</v>
      </c>
      <c r="G460" s="36" t="n">
        <f aca="false">IF(AND(D460&lt;&gt;"",ISNUMBER(B460),LEFT(D460,9)&lt;&gt;"Total for",D460&lt;&gt;"Gross Profit",D460&lt;&gt;"Net Operating Revenue",D460&lt;&gt;"Net Other Revenue",D460&lt;&gt;"Net Revenue"),1,0)</f>
        <v>0</v>
      </c>
      <c r="H460" s="36" t="str">
        <f aca="false">IF(G460=1,IF(AND(LEN(D460)&gt;7,ISNUMBER(VALUE(LEFT(D460,6))),MID(D460,7,1)=" "),LEFT(D460,6),D460),"")</f>
        <v/>
      </c>
      <c r="I460" s="36" t="str">
        <f aca="false">IF(G460=1,IF(COUNTIF('Forecast Detail'!$C$8:$C$400,H460)=0,"UNMAPPED","OK"),"")</f>
        <v/>
      </c>
    </row>
    <row r="461" customFormat="false" ht="15" hidden="false" customHeight="false" outlineLevel="0" collapsed="false">
      <c r="D461" s="36" t="str">
        <f aca="false">TRIM(A461)</f>
        <v/>
      </c>
      <c r="E461" s="36" t="str">
        <f aca="false">IF(D461="Revenue","Revenue",IF(D461="Cost of Goods Sold","COGS",IF(D461="Expenditures","Expense",IF(D461="Other Revenue","Other Revenue",IF(D461="Other Expenditures","Other Expense",E460)))))</f>
        <v>Other Expense</v>
      </c>
      <c r="F461" s="36" t="str">
        <f aca="false">IF(OR(D461="Revenue",D461="Cost of Goods Sold",D461="Expenditures",D461="Other Revenue",D461="Other Expenditures"),E461,IF(AND(LEN(D461)&gt;2,MID(D461,2,1)=" ",ISNUMBER(VALUE(LEFT(D461,1)))),D461,F460))</f>
        <v>Other Expense</v>
      </c>
      <c r="G461" s="36" t="n">
        <f aca="false">IF(AND(D461&lt;&gt;"",ISNUMBER(B461),LEFT(D461,9)&lt;&gt;"Total for",D461&lt;&gt;"Gross Profit",D461&lt;&gt;"Net Operating Revenue",D461&lt;&gt;"Net Other Revenue",D461&lt;&gt;"Net Revenue"),1,0)</f>
        <v>0</v>
      </c>
      <c r="H461" s="36" t="str">
        <f aca="false">IF(G461=1,IF(AND(LEN(D461)&gt;7,ISNUMBER(VALUE(LEFT(D461,6))),MID(D461,7,1)=" "),LEFT(D461,6),D461),"")</f>
        <v/>
      </c>
      <c r="I461" s="36" t="str">
        <f aca="false">IF(G461=1,IF(COUNTIF('Forecast Detail'!$C$8:$C$400,H461)=0,"UNMAPPED","OK"),"")</f>
        <v/>
      </c>
    </row>
    <row r="462" customFormat="false" ht="15" hidden="false" customHeight="false" outlineLevel="0" collapsed="false">
      <c r="D462" s="36" t="str">
        <f aca="false">TRIM(A462)</f>
        <v/>
      </c>
      <c r="E462" s="36" t="str">
        <f aca="false">IF(D462="Revenue","Revenue",IF(D462="Cost of Goods Sold","COGS",IF(D462="Expenditures","Expense",IF(D462="Other Revenue","Other Revenue",IF(D462="Other Expenditures","Other Expense",E461)))))</f>
        <v>Other Expense</v>
      </c>
      <c r="F462" s="36" t="str">
        <f aca="false">IF(OR(D462="Revenue",D462="Cost of Goods Sold",D462="Expenditures",D462="Other Revenue",D462="Other Expenditures"),E462,IF(AND(LEN(D462)&gt;2,MID(D462,2,1)=" ",ISNUMBER(VALUE(LEFT(D462,1)))),D462,F461))</f>
        <v>Other Expense</v>
      </c>
      <c r="G462" s="36" t="n">
        <f aca="false">IF(AND(D462&lt;&gt;"",ISNUMBER(B462),LEFT(D462,9)&lt;&gt;"Total for",D462&lt;&gt;"Gross Profit",D462&lt;&gt;"Net Operating Revenue",D462&lt;&gt;"Net Other Revenue",D462&lt;&gt;"Net Revenue"),1,0)</f>
        <v>0</v>
      </c>
      <c r="H462" s="36" t="str">
        <f aca="false">IF(G462=1,IF(AND(LEN(D462)&gt;7,ISNUMBER(VALUE(LEFT(D462,6))),MID(D462,7,1)=" "),LEFT(D462,6),D462),"")</f>
        <v/>
      </c>
      <c r="I462" s="36" t="str">
        <f aca="false">IF(G462=1,IF(COUNTIF('Forecast Detail'!$C$8:$C$400,H462)=0,"UNMAPPED","OK"),"")</f>
        <v/>
      </c>
    </row>
    <row r="463" customFormat="false" ht="15" hidden="false" customHeight="false" outlineLevel="0" collapsed="false">
      <c r="D463" s="36" t="str">
        <f aca="false">TRIM(A463)</f>
        <v/>
      </c>
      <c r="E463" s="36" t="str">
        <f aca="false">IF(D463="Revenue","Revenue",IF(D463="Cost of Goods Sold","COGS",IF(D463="Expenditures","Expense",IF(D463="Other Revenue","Other Revenue",IF(D463="Other Expenditures","Other Expense",E462)))))</f>
        <v>Other Expense</v>
      </c>
      <c r="F463" s="36" t="str">
        <f aca="false">IF(OR(D463="Revenue",D463="Cost of Goods Sold",D463="Expenditures",D463="Other Revenue",D463="Other Expenditures"),E463,IF(AND(LEN(D463)&gt;2,MID(D463,2,1)=" ",ISNUMBER(VALUE(LEFT(D463,1)))),D463,F462))</f>
        <v>Other Expense</v>
      </c>
      <c r="G463" s="36" t="n">
        <f aca="false">IF(AND(D463&lt;&gt;"",ISNUMBER(B463),LEFT(D463,9)&lt;&gt;"Total for",D463&lt;&gt;"Gross Profit",D463&lt;&gt;"Net Operating Revenue",D463&lt;&gt;"Net Other Revenue",D463&lt;&gt;"Net Revenue"),1,0)</f>
        <v>0</v>
      </c>
      <c r="H463" s="36" t="str">
        <f aca="false">IF(G463=1,IF(AND(LEN(D463)&gt;7,ISNUMBER(VALUE(LEFT(D463,6))),MID(D463,7,1)=" "),LEFT(D463,6),D463),"")</f>
        <v/>
      </c>
      <c r="I463" s="36" t="str">
        <f aca="false">IF(G463=1,IF(COUNTIF('Forecast Detail'!$C$8:$C$400,H463)=0,"UNMAPPED","OK"),"")</f>
        <v/>
      </c>
    </row>
    <row r="464" customFormat="false" ht="15" hidden="false" customHeight="false" outlineLevel="0" collapsed="false">
      <c r="D464" s="36" t="str">
        <f aca="false">TRIM(A464)</f>
        <v/>
      </c>
      <c r="E464" s="36" t="str">
        <f aca="false">IF(D464="Revenue","Revenue",IF(D464="Cost of Goods Sold","COGS",IF(D464="Expenditures","Expense",IF(D464="Other Revenue","Other Revenue",IF(D464="Other Expenditures","Other Expense",E463)))))</f>
        <v>Other Expense</v>
      </c>
      <c r="F464" s="36" t="str">
        <f aca="false">IF(OR(D464="Revenue",D464="Cost of Goods Sold",D464="Expenditures",D464="Other Revenue",D464="Other Expenditures"),E464,IF(AND(LEN(D464)&gt;2,MID(D464,2,1)=" ",ISNUMBER(VALUE(LEFT(D464,1)))),D464,F463))</f>
        <v>Other Expense</v>
      </c>
      <c r="G464" s="36" t="n">
        <f aca="false">IF(AND(D464&lt;&gt;"",ISNUMBER(B464),LEFT(D464,9)&lt;&gt;"Total for",D464&lt;&gt;"Gross Profit",D464&lt;&gt;"Net Operating Revenue",D464&lt;&gt;"Net Other Revenue",D464&lt;&gt;"Net Revenue"),1,0)</f>
        <v>0</v>
      </c>
      <c r="H464" s="36" t="str">
        <f aca="false">IF(G464=1,IF(AND(LEN(D464)&gt;7,ISNUMBER(VALUE(LEFT(D464,6))),MID(D464,7,1)=" "),LEFT(D464,6),D464),"")</f>
        <v/>
      </c>
      <c r="I464" s="36" t="str">
        <f aca="false">IF(G464=1,IF(COUNTIF('Forecast Detail'!$C$8:$C$400,H464)=0,"UNMAPPED","OK"),"")</f>
        <v/>
      </c>
    </row>
    <row r="465" customFormat="false" ht="15" hidden="false" customHeight="false" outlineLevel="0" collapsed="false">
      <c r="D465" s="36" t="str">
        <f aca="false">TRIM(A465)</f>
        <v/>
      </c>
      <c r="E465" s="36" t="str">
        <f aca="false">IF(D465="Revenue","Revenue",IF(D465="Cost of Goods Sold","COGS",IF(D465="Expenditures","Expense",IF(D465="Other Revenue","Other Revenue",IF(D465="Other Expenditures","Other Expense",E464)))))</f>
        <v>Other Expense</v>
      </c>
      <c r="F465" s="36" t="str">
        <f aca="false">IF(OR(D465="Revenue",D465="Cost of Goods Sold",D465="Expenditures",D465="Other Revenue",D465="Other Expenditures"),E465,IF(AND(LEN(D465)&gt;2,MID(D465,2,1)=" ",ISNUMBER(VALUE(LEFT(D465,1)))),D465,F464))</f>
        <v>Other Expense</v>
      </c>
      <c r="G465" s="36" t="n">
        <f aca="false">IF(AND(D465&lt;&gt;"",ISNUMBER(B465),LEFT(D465,9)&lt;&gt;"Total for",D465&lt;&gt;"Gross Profit",D465&lt;&gt;"Net Operating Revenue",D465&lt;&gt;"Net Other Revenue",D465&lt;&gt;"Net Revenue"),1,0)</f>
        <v>0</v>
      </c>
      <c r="H465" s="36" t="str">
        <f aca="false">IF(G465=1,IF(AND(LEN(D465)&gt;7,ISNUMBER(VALUE(LEFT(D465,6))),MID(D465,7,1)=" "),LEFT(D465,6),D465),"")</f>
        <v/>
      </c>
      <c r="I465" s="36" t="str">
        <f aca="false">IF(G465=1,IF(COUNTIF('Forecast Detail'!$C$8:$C$400,H465)=0,"UNMAPPED","OK"),"")</f>
        <v/>
      </c>
    </row>
    <row r="466" customFormat="false" ht="15" hidden="false" customHeight="false" outlineLevel="0" collapsed="false">
      <c r="D466" s="36" t="str">
        <f aca="false">TRIM(A466)</f>
        <v/>
      </c>
      <c r="E466" s="36" t="str">
        <f aca="false">IF(D466="Revenue","Revenue",IF(D466="Cost of Goods Sold","COGS",IF(D466="Expenditures","Expense",IF(D466="Other Revenue","Other Revenue",IF(D466="Other Expenditures","Other Expense",E465)))))</f>
        <v>Other Expense</v>
      </c>
      <c r="F466" s="36" t="str">
        <f aca="false">IF(OR(D466="Revenue",D466="Cost of Goods Sold",D466="Expenditures",D466="Other Revenue",D466="Other Expenditures"),E466,IF(AND(LEN(D466)&gt;2,MID(D466,2,1)=" ",ISNUMBER(VALUE(LEFT(D466,1)))),D466,F465))</f>
        <v>Other Expense</v>
      </c>
      <c r="G466" s="36" t="n">
        <f aca="false">IF(AND(D466&lt;&gt;"",ISNUMBER(B466),LEFT(D466,9)&lt;&gt;"Total for",D466&lt;&gt;"Gross Profit",D466&lt;&gt;"Net Operating Revenue",D466&lt;&gt;"Net Other Revenue",D466&lt;&gt;"Net Revenue"),1,0)</f>
        <v>0</v>
      </c>
      <c r="H466" s="36" t="str">
        <f aca="false">IF(G466=1,IF(AND(LEN(D466)&gt;7,ISNUMBER(VALUE(LEFT(D466,6))),MID(D466,7,1)=" "),LEFT(D466,6),D466),"")</f>
        <v/>
      </c>
      <c r="I466" s="36" t="str">
        <f aca="false">IF(G466=1,IF(COUNTIF('Forecast Detail'!$C$8:$C$400,H466)=0,"UNMAPPED","OK"),"")</f>
        <v/>
      </c>
    </row>
    <row r="467" customFormat="false" ht="15" hidden="false" customHeight="false" outlineLevel="0" collapsed="false">
      <c r="D467" s="36" t="str">
        <f aca="false">TRIM(A467)</f>
        <v/>
      </c>
      <c r="E467" s="36" t="str">
        <f aca="false">IF(D467="Revenue","Revenue",IF(D467="Cost of Goods Sold","COGS",IF(D467="Expenditures","Expense",IF(D467="Other Revenue","Other Revenue",IF(D467="Other Expenditures","Other Expense",E466)))))</f>
        <v>Other Expense</v>
      </c>
      <c r="F467" s="36" t="str">
        <f aca="false">IF(OR(D467="Revenue",D467="Cost of Goods Sold",D467="Expenditures",D467="Other Revenue",D467="Other Expenditures"),E467,IF(AND(LEN(D467)&gt;2,MID(D467,2,1)=" ",ISNUMBER(VALUE(LEFT(D467,1)))),D467,F466))</f>
        <v>Other Expense</v>
      </c>
      <c r="G467" s="36" t="n">
        <f aca="false">IF(AND(D467&lt;&gt;"",ISNUMBER(B467),LEFT(D467,9)&lt;&gt;"Total for",D467&lt;&gt;"Gross Profit",D467&lt;&gt;"Net Operating Revenue",D467&lt;&gt;"Net Other Revenue",D467&lt;&gt;"Net Revenue"),1,0)</f>
        <v>0</v>
      </c>
      <c r="H467" s="36" t="str">
        <f aca="false">IF(G467=1,IF(AND(LEN(D467)&gt;7,ISNUMBER(VALUE(LEFT(D467,6))),MID(D467,7,1)=" "),LEFT(D467,6),D467),"")</f>
        <v/>
      </c>
      <c r="I467" s="36" t="str">
        <f aca="false">IF(G467=1,IF(COUNTIF('Forecast Detail'!$C$8:$C$400,H467)=0,"UNMAPPED","OK"),"")</f>
        <v/>
      </c>
    </row>
    <row r="468" customFormat="false" ht="15" hidden="false" customHeight="false" outlineLevel="0" collapsed="false">
      <c r="D468" s="36" t="str">
        <f aca="false">TRIM(A468)</f>
        <v/>
      </c>
      <c r="E468" s="36" t="str">
        <f aca="false">IF(D468="Revenue","Revenue",IF(D468="Cost of Goods Sold","COGS",IF(D468="Expenditures","Expense",IF(D468="Other Revenue","Other Revenue",IF(D468="Other Expenditures","Other Expense",E467)))))</f>
        <v>Other Expense</v>
      </c>
      <c r="F468" s="36" t="str">
        <f aca="false">IF(OR(D468="Revenue",D468="Cost of Goods Sold",D468="Expenditures",D468="Other Revenue",D468="Other Expenditures"),E468,IF(AND(LEN(D468)&gt;2,MID(D468,2,1)=" ",ISNUMBER(VALUE(LEFT(D468,1)))),D468,F467))</f>
        <v>Other Expense</v>
      </c>
      <c r="G468" s="36" t="n">
        <f aca="false">IF(AND(D468&lt;&gt;"",ISNUMBER(B468),LEFT(D468,9)&lt;&gt;"Total for",D468&lt;&gt;"Gross Profit",D468&lt;&gt;"Net Operating Revenue",D468&lt;&gt;"Net Other Revenue",D468&lt;&gt;"Net Revenue"),1,0)</f>
        <v>0</v>
      </c>
      <c r="H468" s="36" t="str">
        <f aca="false">IF(G468=1,IF(AND(LEN(D468)&gt;7,ISNUMBER(VALUE(LEFT(D468,6))),MID(D468,7,1)=" "),LEFT(D468,6),D468),"")</f>
        <v/>
      </c>
      <c r="I468" s="36" t="str">
        <f aca="false">IF(G468=1,IF(COUNTIF('Forecast Detail'!$C$8:$C$400,H468)=0,"UNMAPPED","OK"),"")</f>
        <v/>
      </c>
    </row>
    <row r="469" customFormat="false" ht="15" hidden="false" customHeight="false" outlineLevel="0" collapsed="false">
      <c r="D469" s="36" t="str">
        <f aca="false">TRIM(A469)</f>
        <v/>
      </c>
      <c r="E469" s="36" t="str">
        <f aca="false">IF(D469="Revenue","Revenue",IF(D469="Cost of Goods Sold","COGS",IF(D469="Expenditures","Expense",IF(D469="Other Revenue","Other Revenue",IF(D469="Other Expenditures","Other Expense",E468)))))</f>
        <v>Other Expense</v>
      </c>
      <c r="F469" s="36" t="str">
        <f aca="false">IF(OR(D469="Revenue",D469="Cost of Goods Sold",D469="Expenditures",D469="Other Revenue",D469="Other Expenditures"),E469,IF(AND(LEN(D469)&gt;2,MID(D469,2,1)=" ",ISNUMBER(VALUE(LEFT(D469,1)))),D469,F468))</f>
        <v>Other Expense</v>
      </c>
      <c r="G469" s="36" t="n">
        <f aca="false">IF(AND(D469&lt;&gt;"",ISNUMBER(B469),LEFT(D469,9)&lt;&gt;"Total for",D469&lt;&gt;"Gross Profit",D469&lt;&gt;"Net Operating Revenue",D469&lt;&gt;"Net Other Revenue",D469&lt;&gt;"Net Revenue"),1,0)</f>
        <v>0</v>
      </c>
      <c r="H469" s="36" t="str">
        <f aca="false">IF(G469=1,IF(AND(LEN(D469)&gt;7,ISNUMBER(VALUE(LEFT(D469,6))),MID(D469,7,1)=" "),LEFT(D469,6),D469),"")</f>
        <v/>
      </c>
      <c r="I469" s="36" t="str">
        <f aca="false">IF(G469=1,IF(COUNTIF('Forecast Detail'!$C$8:$C$400,H469)=0,"UNMAPPED","OK"),"")</f>
        <v/>
      </c>
    </row>
    <row r="470" customFormat="false" ht="15" hidden="false" customHeight="false" outlineLevel="0" collapsed="false">
      <c r="D470" s="36" t="str">
        <f aca="false">TRIM(A470)</f>
        <v/>
      </c>
      <c r="E470" s="36" t="str">
        <f aca="false">IF(D470="Revenue","Revenue",IF(D470="Cost of Goods Sold","COGS",IF(D470="Expenditures","Expense",IF(D470="Other Revenue","Other Revenue",IF(D470="Other Expenditures","Other Expense",E469)))))</f>
        <v>Other Expense</v>
      </c>
      <c r="F470" s="36" t="str">
        <f aca="false">IF(OR(D470="Revenue",D470="Cost of Goods Sold",D470="Expenditures",D470="Other Revenue",D470="Other Expenditures"),E470,IF(AND(LEN(D470)&gt;2,MID(D470,2,1)=" ",ISNUMBER(VALUE(LEFT(D470,1)))),D470,F469))</f>
        <v>Other Expense</v>
      </c>
      <c r="G470" s="36" t="n">
        <f aca="false">IF(AND(D470&lt;&gt;"",ISNUMBER(B470),LEFT(D470,9)&lt;&gt;"Total for",D470&lt;&gt;"Gross Profit",D470&lt;&gt;"Net Operating Revenue",D470&lt;&gt;"Net Other Revenue",D470&lt;&gt;"Net Revenue"),1,0)</f>
        <v>0</v>
      </c>
      <c r="H470" s="36" t="str">
        <f aca="false">IF(G470=1,IF(AND(LEN(D470)&gt;7,ISNUMBER(VALUE(LEFT(D470,6))),MID(D470,7,1)=" "),LEFT(D470,6),D470),"")</f>
        <v/>
      </c>
      <c r="I470" s="36" t="str">
        <f aca="false">IF(G470=1,IF(COUNTIF('Forecast Detail'!$C$8:$C$400,H470)=0,"UNMAPPED","OK"),"")</f>
        <v/>
      </c>
    </row>
    <row r="471" customFormat="false" ht="15" hidden="false" customHeight="false" outlineLevel="0" collapsed="false">
      <c r="D471" s="36" t="str">
        <f aca="false">TRIM(A471)</f>
        <v/>
      </c>
      <c r="E471" s="36" t="str">
        <f aca="false">IF(D471="Revenue","Revenue",IF(D471="Cost of Goods Sold","COGS",IF(D471="Expenditures","Expense",IF(D471="Other Revenue","Other Revenue",IF(D471="Other Expenditures","Other Expense",E470)))))</f>
        <v>Other Expense</v>
      </c>
      <c r="F471" s="36" t="str">
        <f aca="false">IF(OR(D471="Revenue",D471="Cost of Goods Sold",D471="Expenditures",D471="Other Revenue",D471="Other Expenditures"),E471,IF(AND(LEN(D471)&gt;2,MID(D471,2,1)=" ",ISNUMBER(VALUE(LEFT(D471,1)))),D471,F470))</f>
        <v>Other Expense</v>
      </c>
      <c r="G471" s="36" t="n">
        <f aca="false">IF(AND(D471&lt;&gt;"",ISNUMBER(B471),LEFT(D471,9)&lt;&gt;"Total for",D471&lt;&gt;"Gross Profit",D471&lt;&gt;"Net Operating Revenue",D471&lt;&gt;"Net Other Revenue",D471&lt;&gt;"Net Revenue"),1,0)</f>
        <v>0</v>
      </c>
      <c r="H471" s="36" t="str">
        <f aca="false">IF(G471=1,IF(AND(LEN(D471)&gt;7,ISNUMBER(VALUE(LEFT(D471,6))),MID(D471,7,1)=" "),LEFT(D471,6),D471),"")</f>
        <v/>
      </c>
      <c r="I471" s="36" t="str">
        <f aca="false">IF(G471=1,IF(COUNTIF('Forecast Detail'!$C$8:$C$400,H471)=0,"UNMAPPED","OK"),"")</f>
        <v/>
      </c>
    </row>
    <row r="472" customFormat="false" ht="15" hidden="false" customHeight="false" outlineLevel="0" collapsed="false">
      <c r="D472" s="36" t="str">
        <f aca="false">TRIM(A472)</f>
        <v/>
      </c>
      <c r="E472" s="36" t="str">
        <f aca="false">IF(D472="Revenue","Revenue",IF(D472="Cost of Goods Sold","COGS",IF(D472="Expenditures","Expense",IF(D472="Other Revenue","Other Revenue",IF(D472="Other Expenditures","Other Expense",E471)))))</f>
        <v>Other Expense</v>
      </c>
      <c r="F472" s="36" t="str">
        <f aca="false">IF(OR(D472="Revenue",D472="Cost of Goods Sold",D472="Expenditures",D472="Other Revenue",D472="Other Expenditures"),E472,IF(AND(LEN(D472)&gt;2,MID(D472,2,1)=" ",ISNUMBER(VALUE(LEFT(D472,1)))),D472,F471))</f>
        <v>Other Expense</v>
      </c>
      <c r="G472" s="36" t="n">
        <f aca="false">IF(AND(D472&lt;&gt;"",ISNUMBER(B472),LEFT(D472,9)&lt;&gt;"Total for",D472&lt;&gt;"Gross Profit",D472&lt;&gt;"Net Operating Revenue",D472&lt;&gt;"Net Other Revenue",D472&lt;&gt;"Net Revenue"),1,0)</f>
        <v>0</v>
      </c>
      <c r="H472" s="36" t="str">
        <f aca="false">IF(G472=1,IF(AND(LEN(D472)&gt;7,ISNUMBER(VALUE(LEFT(D472,6))),MID(D472,7,1)=" "),LEFT(D472,6),D472),"")</f>
        <v/>
      </c>
      <c r="I472" s="36" t="str">
        <f aca="false">IF(G472=1,IF(COUNTIF('Forecast Detail'!$C$8:$C$400,H472)=0,"UNMAPPED","OK"),"")</f>
        <v/>
      </c>
    </row>
    <row r="473" customFormat="false" ht="15" hidden="false" customHeight="false" outlineLevel="0" collapsed="false">
      <c r="D473" s="36" t="str">
        <f aca="false">TRIM(A473)</f>
        <v/>
      </c>
      <c r="E473" s="36" t="str">
        <f aca="false">IF(D473="Revenue","Revenue",IF(D473="Cost of Goods Sold","COGS",IF(D473="Expenditures","Expense",IF(D473="Other Revenue","Other Revenue",IF(D473="Other Expenditures","Other Expense",E472)))))</f>
        <v>Other Expense</v>
      </c>
      <c r="F473" s="36" t="str">
        <f aca="false">IF(OR(D473="Revenue",D473="Cost of Goods Sold",D473="Expenditures",D473="Other Revenue",D473="Other Expenditures"),E473,IF(AND(LEN(D473)&gt;2,MID(D473,2,1)=" ",ISNUMBER(VALUE(LEFT(D473,1)))),D473,F472))</f>
        <v>Other Expense</v>
      </c>
      <c r="G473" s="36" t="n">
        <f aca="false">IF(AND(D473&lt;&gt;"",ISNUMBER(B473),LEFT(D473,9)&lt;&gt;"Total for",D473&lt;&gt;"Gross Profit",D473&lt;&gt;"Net Operating Revenue",D473&lt;&gt;"Net Other Revenue",D473&lt;&gt;"Net Revenue"),1,0)</f>
        <v>0</v>
      </c>
      <c r="H473" s="36" t="str">
        <f aca="false">IF(G473=1,IF(AND(LEN(D473)&gt;7,ISNUMBER(VALUE(LEFT(D473,6))),MID(D473,7,1)=" "),LEFT(D473,6),D473),"")</f>
        <v/>
      </c>
      <c r="I473" s="36" t="str">
        <f aca="false">IF(G473=1,IF(COUNTIF('Forecast Detail'!$C$8:$C$400,H473)=0,"UNMAPPED","OK"),"")</f>
        <v/>
      </c>
    </row>
    <row r="474" customFormat="false" ht="15" hidden="false" customHeight="false" outlineLevel="0" collapsed="false">
      <c r="D474" s="36" t="str">
        <f aca="false">TRIM(A474)</f>
        <v/>
      </c>
      <c r="E474" s="36" t="str">
        <f aca="false">IF(D474="Revenue","Revenue",IF(D474="Cost of Goods Sold","COGS",IF(D474="Expenditures","Expense",IF(D474="Other Revenue","Other Revenue",IF(D474="Other Expenditures","Other Expense",E473)))))</f>
        <v>Other Expense</v>
      </c>
      <c r="F474" s="36" t="str">
        <f aca="false">IF(OR(D474="Revenue",D474="Cost of Goods Sold",D474="Expenditures",D474="Other Revenue",D474="Other Expenditures"),E474,IF(AND(LEN(D474)&gt;2,MID(D474,2,1)=" ",ISNUMBER(VALUE(LEFT(D474,1)))),D474,F473))</f>
        <v>Other Expense</v>
      </c>
      <c r="G474" s="36" t="n">
        <f aca="false">IF(AND(D474&lt;&gt;"",ISNUMBER(B474),LEFT(D474,9)&lt;&gt;"Total for",D474&lt;&gt;"Gross Profit",D474&lt;&gt;"Net Operating Revenue",D474&lt;&gt;"Net Other Revenue",D474&lt;&gt;"Net Revenue"),1,0)</f>
        <v>0</v>
      </c>
      <c r="H474" s="36" t="str">
        <f aca="false">IF(G474=1,IF(AND(LEN(D474)&gt;7,ISNUMBER(VALUE(LEFT(D474,6))),MID(D474,7,1)=" "),LEFT(D474,6),D474),"")</f>
        <v/>
      </c>
      <c r="I474" s="36" t="str">
        <f aca="false">IF(G474=1,IF(COUNTIF('Forecast Detail'!$C$8:$C$400,H474)=0,"UNMAPPED","OK"),"")</f>
        <v/>
      </c>
    </row>
    <row r="475" customFormat="false" ht="15" hidden="false" customHeight="false" outlineLevel="0" collapsed="false">
      <c r="D475" s="36" t="str">
        <f aca="false">TRIM(A475)</f>
        <v/>
      </c>
      <c r="E475" s="36" t="str">
        <f aca="false">IF(D475="Revenue","Revenue",IF(D475="Cost of Goods Sold","COGS",IF(D475="Expenditures","Expense",IF(D475="Other Revenue","Other Revenue",IF(D475="Other Expenditures","Other Expense",E474)))))</f>
        <v>Other Expense</v>
      </c>
      <c r="F475" s="36" t="str">
        <f aca="false">IF(OR(D475="Revenue",D475="Cost of Goods Sold",D475="Expenditures",D475="Other Revenue",D475="Other Expenditures"),E475,IF(AND(LEN(D475)&gt;2,MID(D475,2,1)=" ",ISNUMBER(VALUE(LEFT(D475,1)))),D475,F474))</f>
        <v>Other Expense</v>
      </c>
      <c r="G475" s="36" t="n">
        <f aca="false">IF(AND(D475&lt;&gt;"",ISNUMBER(B475),LEFT(D475,9)&lt;&gt;"Total for",D475&lt;&gt;"Gross Profit",D475&lt;&gt;"Net Operating Revenue",D475&lt;&gt;"Net Other Revenue",D475&lt;&gt;"Net Revenue"),1,0)</f>
        <v>0</v>
      </c>
      <c r="H475" s="36" t="str">
        <f aca="false">IF(G475=1,IF(AND(LEN(D475)&gt;7,ISNUMBER(VALUE(LEFT(D475,6))),MID(D475,7,1)=" "),LEFT(D475,6),D475),"")</f>
        <v/>
      </c>
      <c r="I475" s="36" t="str">
        <f aca="false">IF(G475=1,IF(COUNTIF('Forecast Detail'!$C$8:$C$400,H475)=0,"UNMAPPED","OK"),"")</f>
        <v/>
      </c>
    </row>
    <row r="476" customFormat="false" ht="15" hidden="false" customHeight="false" outlineLevel="0" collapsed="false">
      <c r="D476" s="36" t="str">
        <f aca="false">TRIM(A476)</f>
        <v/>
      </c>
      <c r="E476" s="36" t="str">
        <f aca="false">IF(D476="Revenue","Revenue",IF(D476="Cost of Goods Sold","COGS",IF(D476="Expenditures","Expense",IF(D476="Other Revenue","Other Revenue",IF(D476="Other Expenditures","Other Expense",E475)))))</f>
        <v>Other Expense</v>
      </c>
      <c r="F476" s="36" t="str">
        <f aca="false">IF(OR(D476="Revenue",D476="Cost of Goods Sold",D476="Expenditures",D476="Other Revenue",D476="Other Expenditures"),E476,IF(AND(LEN(D476)&gt;2,MID(D476,2,1)=" ",ISNUMBER(VALUE(LEFT(D476,1)))),D476,F475))</f>
        <v>Other Expense</v>
      </c>
      <c r="G476" s="36" t="n">
        <f aca="false">IF(AND(D476&lt;&gt;"",ISNUMBER(B476),LEFT(D476,9)&lt;&gt;"Total for",D476&lt;&gt;"Gross Profit",D476&lt;&gt;"Net Operating Revenue",D476&lt;&gt;"Net Other Revenue",D476&lt;&gt;"Net Revenue"),1,0)</f>
        <v>0</v>
      </c>
      <c r="H476" s="36" t="str">
        <f aca="false">IF(G476=1,IF(AND(LEN(D476)&gt;7,ISNUMBER(VALUE(LEFT(D476,6))),MID(D476,7,1)=" "),LEFT(D476,6),D476),"")</f>
        <v/>
      </c>
      <c r="I476" s="36" t="str">
        <f aca="false">IF(G476=1,IF(COUNTIF('Forecast Detail'!$C$8:$C$400,H476)=0,"UNMAPPED","OK"),"")</f>
        <v/>
      </c>
    </row>
    <row r="477" customFormat="false" ht="15" hidden="false" customHeight="false" outlineLevel="0" collapsed="false">
      <c r="D477" s="36" t="str">
        <f aca="false">TRIM(A477)</f>
        <v/>
      </c>
      <c r="E477" s="36" t="str">
        <f aca="false">IF(D477="Revenue","Revenue",IF(D477="Cost of Goods Sold","COGS",IF(D477="Expenditures","Expense",IF(D477="Other Revenue","Other Revenue",IF(D477="Other Expenditures","Other Expense",E476)))))</f>
        <v>Other Expense</v>
      </c>
      <c r="F477" s="36" t="str">
        <f aca="false">IF(OR(D477="Revenue",D477="Cost of Goods Sold",D477="Expenditures",D477="Other Revenue",D477="Other Expenditures"),E477,IF(AND(LEN(D477)&gt;2,MID(D477,2,1)=" ",ISNUMBER(VALUE(LEFT(D477,1)))),D477,F476))</f>
        <v>Other Expense</v>
      </c>
      <c r="G477" s="36" t="n">
        <f aca="false">IF(AND(D477&lt;&gt;"",ISNUMBER(B477),LEFT(D477,9)&lt;&gt;"Total for",D477&lt;&gt;"Gross Profit",D477&lt;&gt;"Net Operating Revenue",D477&lt;&gt;"Net Other Revenue",D477&lt;&gt;"Net Revenue"),1,0)</f>
        <v>0</v>
      </c>
      <c r="H477" s="36" t="str">
        <f aca="false">IF(G477=1,IF(AND(LEN(D477)&gt;7,ISNUMBER(VALUE(LEFT(D477,6))),MID(D477,7,1)=" "),LEFT(D477,6),D477),"")</f>
        <v/>
      </c>
      <c r="I477" s="36" t="str">
        <f aca="false">IF(G477=1,IF(COUNTIF('Forecast Detail'!$C$8:$C$400,H477)=0,"UNMAPPED","OK"),"")</f>
        <v/>
      </c>
    </row>
    <row r="478" customFormat="false" ht="15" hidden="false" customHeight="false" outlineLevel="0" collapsed="false">
      <c r="D478" s="36" t="str">
        <f aca="false">TRIM(A478)</f>
        <v/>
      </c>
      <c r="E478" s="36" t="str">
        <f aca="false">IF(D478="Revenue","Revenue",IF(D478="Cost of Goods Sold","COGS",IF(D478="Expenditures","Expense",IF(D478="Other Revenue","Other Revenue",IF(D478="Other Expenditures","Other Expense",E477)))))</f>
        <v>Other Expense</v>
      </c>
      <c r="F478" s="36" t="str">
        <f aca="false">IF(OR(D478="Revenue",D478="Cost of Goods Sold",D478="Expenditures",D478="Other Revenue",D478="Other Expenditures"),E478,IF(AND(LEN(D478)&gt;2,MID(D478,2,1)=" ",ISNUMBER(VALUE(LEFT(D478,1)))),D478,F477))</f>
        <v>Other Expense</v>
      </c>
      <c r="G478" s="36" t="n">
        <f aca="false">IF(AND(D478&lt;&gt;"",ISNUMBER(B478),LEFT(D478,9)&lt;&gt;"Total for",D478&lt;&gt;"Gross Profit",D478&lt;&gt;"Net Operating Revenue",D478&lt;&gt;"Net Other Revenue",D478&lt;&gt;"Net Revenue"),1,0)</f>
        <v>0</v>
      </c>
      <c r="H478" s="36" t="str">
        <f aca="false">IF(G478=1,IF(AND(LEN(D478)&gt;7,ISNUMBER(VALUE(LEFT(D478,6))),MID(D478,7,1)=" "),LEFT(D478,6),D478),"")</f>
        <v/>
      </c>
      <c r="I478" s="36" t="str">
        <f aca="false">IF(G478=1,IF(COUNTIF('Forecast Detail'!$C$8:$C$400,H478)=0,"UNMAPPED","OK"),"")</f>
        <v/>
      </c>
    </row>
    <row r="479" customFormat="false" ht="15" hidden="false" customHeight="false" outlineLevel="0" collapsed="false">
      <c r="D479" s="36" t="str">
        <f aca="false">TRIM(A479)</f>
        <v/>
      </c>
      <c r="E479" s="36" t="str">
        <f aca="false">IF(D479="Revenue","Revenue",IF(D479="Cost of Goods Sold","COGS",IF(D479="Expenditures","Expense",IF(D479="Other Revenue","Other Revenue",IF(D479="Other Expenditures","Other Expense",E478)))))</f>
        <v>Other Expense</v>
      </c>
      <c r="F479" s="36" t="str">
        <f aca="false">IF(OR(D479="Revenue",D479="Cost of Goods Sold",D479="Expenditures",D479="Other Revenue",D479="Other Expenditures"),E479,IF(AND(LEN(D479)&gt;2,MID(D479,2,1)=" ",ISNUMBER(VALUE(LEFT(D479,1)))),D479,F478))</f>
        <v>Other Expense</v>
      </c>
      <c r="G479" s="36" t="n">
        <f aca="false">IF(AND(D479&lt;&gt;"",ISNUMBER(B479),LEFT(D479,9)&lt;&gt;"Total for",D479&lt;&gt;"Gross Profit",D479&lt;&gt;"Net Operating Revenue",D479&lt;&gt;"Net Other Revenue",D479&lt;&gt;"Net Revenue"),1,0)</f>
        <v>0</v>
      </c>
      <c r="H479" s="36" t="str">
        <f aca="false">IF(G479=1,IF(AND(LEN(D479)&gt;7,ISNUMBER(VALUE(LEFT(D479,6))),MID(D479,7,1)=" "),LEFT(D479,6),D479),"")</f>
        <v/>
      </c>
      <c r="I479" s="36" t="str">
        <f aca="false">IF(G479=1,IF(COUNTIF('Forecast Detail'!$C$8:$C$400,H479)=0,"UNMAPPED","OK"),"")</f>
        <v/>
      </c>
    </row>
    <row r="480" customFormat="false" ht="15" hidden="false" customHeight="false" outlineLevel="0" collapsed="false">
      <c r="D480" s="36" t="str">
        <f aca="false">TRIM(A480)</f>
        <v/>
      </c>
      <c r="E480" s="36" t="str">
        <f aca="false">IF(D480="Revenue","Revenue",IF(D480="Cost of Goods Sold","COGS",IF(D480="Expenditures","Expense",IF(D480="Other Revenue","Other Revenue",IF(D480="Other Expenditures","Other Expense",E479)))))</f>
        <v>Other Expense</v>
      </c>
      <c r="F480" s="36" t="str">
        <f aca="false">IF(OR(D480="Revenue",D480="Cost of Goods Sold",D480="Expenditures",D480="Other Revenue",D480="Other Expenditures"),E480,IF(AND(LEN(D480)&gt;2,MID(D480,2,1)=" ",ISNUMBER(VALUE(LEFT(D480,1)))),D480,F479))</f>
        <v>Other Expense</v>
      </c>
      <c r="G480" s="36" t="n">
        <f aca="false">IF(AND(D480&lt;&gt;"",ISNUMBER(B480),LEFT(D480,9)&lt;&gt;"Total for",D480&lt;&gt;"Gross Profit",D480&lt;&gt;"Net Operating Revenue",D480&lt;&gt;"Net Other Revenue",D480&lt;&gt;"Net Revenue"),1,0)</f>
        <v>0</v>
      </c>
      <c r="H480" s="36" t="str">
        <f aca="false">IF(G480=1,IF(AND(LEN(D480)&gt;7,ISNUMBER(VALUE(LEFT(D480,6))),MID(D480,7,1)=" "),LEFT(D480,6),D480),"")</f>
        <v/>
      </c>
      <c r="I480" s="36" t="str">
        <f aca="false">IF(G480=1,IF(COUNTIF('Forecast Detail'!$C$8:$C$400,H480)=0,"UNMAPPED","OK"),"")</f>
        <v/>
      </c>
    </row>
    <row r="481" customFormat="false" ht="15" hidden="false" customHeight="false" outlineLevel="0" collapsed="false">
      <c r="D481" s="36" t="str">
        <f aca="false">TRIM(A481)</f>
        <v/>
      </c>
      <c r="E481" s="36" t="str">
        <f aca="false">IF(D481="Revenue","Revenue",IF(D481="Cost of Goods Sold","COGS",IF(D481="Expenditures","Expense",IF(D481="Other Revenue","Other Revenue",IF(D481="Other Expenditures","Other Expense",E480)))))</f>
        <v>Other Expense</v>
      </c>
      <c r="F481" s="36" t="str">
        <f aca="false">IF(OR(D481="Revenue",D481="Cost of Goods Sold",D481="Expenditures",D481="Other Revenue",D481="Other Expenditures"),E481,IF(AND(LEN(D481)&gt;2,MID(D481,2,1)=" ",ISNUMBER(VALUE(LEFT(D481,1)))),D481,F480))</f>
        <v>Other Expense</v>
      </c>
      <c r="G481" s="36" t="n">
        <f aca="false">IF(AND(D481&lt;&gt;"",ISNUMBER(B481),LEFT(D481,9)&lt;&gt;"Total for",D481&lt;&gt;"Gross Profit",D481&lt;&gt;"Net Operating Revenue",D481&lt;&gt;"Net Other Revenue",D481&lt;&gt;"Net Revenue"),1,0)</f>
        <v>0</v>
      </c>
      <c r="H481" s="36" t="str">
        <f aca="false">IF(G481=1,IF(AND(LEN(D481)&gt;7,ISNUMBER(VALUE(LEFT(D481,6))),MID(D481,7,1)=" "),LEFT(D481,6),D481),"")</f>
        <v/>
      </c>
      <c r="I481" s="36" t="str">
        <f aca="false">IF(G481=1,IF(COUNTIF('Forecast Detail'!$C$8:$C$400,H481)=0,"UNMAPPED","OK"),"")</f>
        <v/>
      </c>
    </row>
    <row r="482" customFormat="false" ht="15" hidden="false" customHeight="false" outlineLevel="0" collapsed="false">
      <c r="D482" s="36" t="str">
        <f aca="false">TRIM(A482)</f>
        <v/>
      </c>
      <c r="E482" s="36" t="str">
        <f aca="false">IF(D482="Revenue","Revenue",IF(D482="Cost of Goods Sold","COGS",IF(D482="Expenditures","Expense",IF(D482="Other Revenue","Other Revenue",IF(D482="Other Expenditures","Other Expense",E481)))))</f>
        <v>Other Expense</v>
      </c>
      <c r="F482" s="36" t="str">
        <f aca="false">IF(OR(D482="Revenue",D482="Cost of Goods Sold",D482="Expenditures",D482="Other Revenue",D482="Other Expenditures"),E482,IF(AND(LEN(D482)&gt;2,MID(D482,2,1)=" ",ISNUMBER(VALUE(LEFT(D482,1)))),D482,F481))</f>
        <v>Other Expense</v>
      </c>
      <c r="G482" s="36" t="n">
        <f aca="false">IF(AND(D482&lt;&gt;"",ISNUMBER(B482),LEFT(D482,9)&lt;&gt;"Total for",D482&lt;&gt;"Gross Profit",D482&lt;&gt;"Net Operating Revenue",D482&lt;&gt;"Net Other Revenue",D482&lt;&gt;"Net Revenue"),1,0)</f>
        <v>0</v>
      </c>
      <c r="H482" s="36" t="str">
        <f aca="false">IF(G482=1,IF(AND(LEN(D482)&gt;7,ISNUMBER(VALUE(LEFT(D482,6))),MID(D482,7,1)=" "),LEFT(D482,6),D482),"")</f>
        <v/>
      </c>
      <c r="I482" s="36" t="str">
        <f aca="false">IF(G482=1,IF(COUNTIF('Forecast Detail'!$C$8:$C$400,H482)=0,"UNMAPPED","OK"),"")</f>
        <v/>
      </c>
    </row>
    <row r="483" customFormat="false" ht="15" hidden="false" customHeight="false" outlineLevel="0" collapsed="false">
      <c r="D483" s="36" t="str">
        <f aca="false">TRIM(A483)</f>
        <v/>
      </c>
      <c r="E483" s="36" t="str">
        <f aca="false">IF(D483="Revenue","Revenue",IF(D483="Cost of Goods Sold","COGS",IF(D483="Expenditures","Expense",IF(D483="Other Revenue","Other Revenue",IF(D483="Other Expenditures","Other Expense",E482)))))</f>
        <v>Other Expense</v>
      </c>
      <c r="F483" s="36" t="str">
        <f aca="false">IF(OR(D483="Revenue",D483="Cost of Goods Sold",D483="Expenditures",D483="Other Revenue",D483="Other Expenditures"),E483,IF(AND(LEN(D483)&gt;2,MID(D483,2,1)=" ",ISNUMBER(VALUE(LEFT(D483,1)))),D483,F482))</f>
        <v>Other Expense</v>
      </c>
      <c r="G483" s="36" t="n">
        <f aca="false">IF(AND(D483&lt;&gt;"",ISNUMBER(B483),LEFT(D483,9)&lt;&gt;"Total for",D483&lt;&gt;"Gross Profit",D483&lt;&gt;"Net Operating Revenue",D483&lt;&gt;"Net Other Revenue",D483&lt;&gt;"Net Revenue"),1,0)</f>
        <v>0</v>
      </c>
      <c r="H483" s="36" t="str">
        <f aca="false">IF(G483=1,IF(AND(LEN(D483)&gt;7,ISNUMBER(VALUE(LEFT(D483,6))),MID(D483,7,1)=" "),LEFT(D483,6),D483),"")</f>
        <v/>
      </c>
      <c r="I483" s="36" t="str">
        <f aca="false">IF(G483=1,IF(COUNTIF('Forecast Detail'!$C$8:$C$400,H483)=0,"UNMAPPED","OK"),"")</f>
        <v/>
      </c>
    </row>
    <row r="484" customFormat="false" ht="15" hidden="false" customHeight="false" outlineLevel="0" collapsed="false">
      <c r="D484" s="36" t="str">
        <f aca="false">TRIM(A484)</f>
        <v/>
      </c>
      <c r="E484" s="36" t="str">
        <f aca="false">IF(D484="Revenue","Revenue",IF(D484="Cost of Goods Sold","COGS",IF(D484="Expenditures","Expense",IF(D484="Other Revenue","Other Revenue",IF(D484="Other Expenditures","Other Expense",E483)))))</f>
        <v>Other Expense</v>
      </c>
      <c r="F484" s="36" t="str">
        <f aca="false">IF(OR(D484="Revenue",D484="Cost of Goods Sold",D484="Expenditures",D484="Other Revenue",D484="Other Expenditures"),E484,IF(AND(LEN(D484)&gt;2,MID(D484,2,1)=" ",ISNUMBER(VALUE(LEFT(D484,1)))),D484,F483))</f>
        <v>Other Expense</v>
      </c>
      <c r="G484" s="36" t="n">
        <f aca="false">IF(AND(D484&lt;&gt;"",ISNUMBER(B484),LEFT(D484,9)&lt;&gt;"Total for",D484&lt;&gt;"Gross Profit",D484&lt;&gt;"Net Operating Revenue",D484&lt;&gt;"Net Other Revenue",D484&lt;&gt;"Net Revenue"),1,0)</f>
        <v>0</v>
      </c>
      <c r="H484" s="36" t="str">
        <f aca="false">IF(G484=1,IF(AND(LEN(D484)&gt;7,ISNUMBER(VALUE(LEFT(D484,6))),MID(D484,7,1)=" "),LEFT(D484,6),D484),"")</f>
        <v/>
      </c>
      <c r="I484" s="36" t="str">
        <f aca="false">IF(G484=1,IF(COUNTIF('Forecast Detail'!$C$8:$C$400,H484)=0,"UNMAPPED","OK"),"")</f>
        <v/>
      </c>
    </row>
    <row r="485" customFormat="false" ht="15" hidden="false" customHeight="false" outlineLevel="0" collapsed="false">
      <c r="D485" s="36" t="str">
        <f aca="false">TRIM(A485)</f>
        <v/>
      </c>
      <c r="E485" s="36" t="str">
        <f aca="false">IF(D485="Revenue","Revenue",IF(D485="Cost of Goods Sold","COGS",IF(D485="Expenditures","Expense",IF(D485="Other Revenue","Other Revenue",IF(D485="Other Expenditures","Other Expense",E484)))))</f>
        <v>Other Expense</v>
      </c>
      <c r="F485" s="36" t="str">
        <f aca="false">IF(OR(D485="Revenue",D485="Cost of Goods Sold",D485="Expenditures",D485="Other Revenue",D485="Other Expenditures"),E485,IF(AND(LEN(D485)&gt;2,MID(D485,2,1)=" ",ISNUMBER(VALUE(LEFT(D485,1)))),D485,F484))</f>
        <v>Other Expense</v>
      </c>
      <c r="G485" s="36" t="n">
        <f aca="false">IF(AND(D485&lt;&gt;"",ISNUMBER(B485),LEFT(D485,9)&lt;&gt;"Total for",D485&lt;&gt;"Gross Profit",D485&lt;&gt;"Net Operating Revenue",D485&lt;&gt;"Net Other Revenue",D485&lt;&gt;"Net Revenue"),1,0)</f>
        <v>0</v>
      </c>
      <c r="H485" s="36" t="str">
        <f aca="false">IF(G485=1,IF(AND(LEN(D485)&gt;7,ISNUMBER(VALUE(LEFT(D485,6))),MID(D485,7,1)=" "),LEFT(D485,6),D485),"")</f>
        <v/>
      </c>
      <c r="I485" s="36" t="str">
        <f aca="false">IF(G485=1,IF(COUNTIF('Forecast Detail'!$C$8:$C$400,H485)=0,"UNMAPPED","OK"),"")</f>
        <v/>
      </c>
    </row>
    <row r="486" customFormat="false" ht="15" hidden="false" customHeight="false" outlineLevel="0" collapsed="false">
      <c r="D486" s="36" t="str">
        <f aca="false">TRIM(A486)</f>
        <v/>
      </c>
      <c r="E486" s="36" t="str">
        <f aca="false">IF(D486="Revenue","Revenue",IF(D486="Cost of Goods Sold","COGS",IF(D486="Expenditures","Expense",IF(D486="Other Revenue","Other Revenue",IF(D486="Other Expenditures","Other Expense",E485)))))</f>
        <v>Other Expense</v>
      </c>
      <c r="F486" s="36" t="str">
        <f aca="false">IF(OR(D486="Revenue",D486="Cost of Goods Sold",D486="Expenditures",D486="Other Revenue",D486="Other Expenditures"),E486,IF(AND(LEN(D486)&gt;2,MID(D486,2,1)=" ",ISNUMBER(VALUE(LEFT(D486,1)))),D486,F485))</f>
        <v>Other Expense</v>
      </c>
      <c r="G486" s="36" t="n">
        <f aca="false">IF(AND(D486&lt;&gt;"",ISNUMBER(B486),LEFT(D486,9)&lt;&gt;"Total for",D486&lt;&gt;"Gross Profit",D486&lt;&gt;"Net Operating Revenue",D486&lt;&gt;"Net Other Revenue",D486&lt;&gt;"Net Revenue"),1,0)</f>
        <v>0</v>
      </c>
      <c r="H486" s="36" t="str">
        <f aca="false">IF(G486=1,IF(AND(LEN(D486)&gt;7,ISNUMBER(VALUE(LEFT(D486,6))),MID(D486,7,1)=" "),LEFT(D486,6),D486),"")</f>
        <v/>
      </c>
      <c r="I486" s="36" t="str">
        <f aca="false">IF(G486=1,IF(COUNTIF('Forecast Detail'!$C$8:$C$400,H486)=0,"UNMAPPED","OK"),"")</f>
        <v/>
      </c>
    </row>
    <row r="487" customFormat="false" ht="15" hidden="false" customHeight="false" outlineLevel="0" collapsed="false">
      <c r="D487" s="36" t="str">
        <f aca="false">TRIM(A487)</f>
        <v/>
      </c>
      <c r="E487" s="36" t="str">
        <f aca="false">IF(D487="Revenue","Revenue",IF(D487="Cost of Goods Sold","COGS",IF(D487="Expenditures","Expense",IF(D487="Other Revenue","Other Revenue",IF(D487="Other Expenditures","Other Expense",E486)))))</f>
        <v>Other Expense</v>
      </c>
      <c r="F487" s="36" t="str">
        <f aca="false">IF(OR(D487="Revenue",D487="Cost of Goods Sold",D487="Expenditures",D487="Other Revenue",D487="Other Expenditures"),E487,IF(AND(LEN(D487)&gt;2,MID(D487,2,1)=" ",ISNUMBER(VALUE(LEFT(D487,1)))),D487,F486))</f>
        <v>Other Expense</v>
      </c>
      <c r="G487" s="36" t="n">
        <f aca="false">IF(AND(D487&lt;&gt;"",ISNUMBER(B487),LEFT(D487,9)&lt;&gt;"Total for",D487&lt;&gt;"Gross Profit",D487&lt;&gt;"Net Operating Revenue",D487&lt;&gt;"Net Other Revenue",D487&lt;&gt;"Net Revenue"),1,0)</f>
        <v>0</v>
      </c>
      <c r="H487" s="36" t="str">
        <f aca="false">IF(G487=1,IF(AND(LEN(D487)&gt;7,ISNUMBER(VALUE(LEFT(D487,6))),MID(D487,7,1)=" "),LEFT(D487,6),D487),"")</f>
        <v/>
      </c>
      <c r="I487" s="36" t="str">
        <f aca="false">IF(G487=1,IF(COUNTIF('Forecast Detail'!$C$8:$C$400,H487)=0,"UNMAPPED","OK"),"")</f>
        <v/>
      </c>
    </row>
    <row r="488" customFormat="false" ht="15" hidden="false" customHeight="false" outlineLevel="0" collapsed="false">
      <c r="D488" s="36" t="str">
        <f aca="false">TRIM(A488)</f>
        <v/>
      </c>
      <c r="E488" s="36" t="str">
        <f aca="false">IF(D488="Revenue","Revenue",IF(D488="Cost of Goods Sold","COGS",IF(D488="Expenditures","Expense",IF(D488="Other Revenue","Other Revenue",IF(D488="Other Expenditures","Other Expense",E487)))))</f>
        <v>Other Expense</v>
      </c>
      <c r="F488" s="36" t="str">
        <f aca="false">IF(OR(D488="Revenue",D488="Cost of Goods Sold",D488="Expenditures",D488="Other Revenue",D488="Other Expenditures"),E488,IF(AND(LEN(D488)&gt;2,MID(D488,2,1)=" ",ISNUMBER(VALUE(LEFT(D488,1)))),D488,F487))</f>
        <v>Other Expense</v>
      </c>
      <c r="G488" s="36" t="n">
        <f aca="false">IF(AND(D488&lt;&gt;"",ISNUMBER(B488),LEFT(D488,9)&lt;&gt;"Total for",D488&lt;&gt;"Gross Profit",D488&lt;&gt;"Net Operating Revenue",D488&lt;&gt;"Net Other Revenue",D488&lt;&gt;"Net Revenue"),1,0)</f>
        <v>0</v>
      </c>
      <c r="H488" s="36" t="str">
        <f aca="false">IF(G488=1,IF(AND(LEN(D488)&gt;7,ISNUMBER(VALUE(LEFT(D488,6))),MID(D488,7,1)=" "),LEFT(D488,6),D488),"")</f>
        <v/>
      </c>
      <c r="I488" s="36" t="str">
        <f aca="false">IF(G488=1,IF(COUNTIF('Forecast Detail'!$C$8:$C$400,H488)=0,"UNMAPPED","OK"),"")</f>
        <v/>
      </c>
    </row>
    <row r="489" customFormat="false" ht="15" hidden="false" customHeight="false" outlineLevel="0" collapsed="false">
      <c r="D489" s="36" t="str">
        <f aca="false">TRIM(A489)</f>
        <v/>
      </c>
      <c r="E489" s="36" t="str">
        <f aca="false">IF(D489="Revenue","Revenue",IF(D489="Cost of Goods Sold","COGS",IF(D489="Expenditures","Expense",IF(D489="Other Revenue","Other Revenue",IF(D489="Other Expenditures","Other Expense",E488)))))</f>
        <v>Other Expense</v>
      </c>
      <c r="F489" s="36" t="str">
        <f aca="false">IF(OR(D489="Revenue",D489="Cost of Goods Sold",D489="Expenditures",D489="Other Revenue",D489="Other Expenditures"),E489,IF(AND(LEN(D489)&gt;2,MID(D489,2,1)=" ",ISNUMBER(VALUE(LEFT(D489,1)))),D489,F488))</f>
        <v>Other Expense</v>
      </c>
      <c r="G489" s="36" t="n">
        <f aca="false">IF(AND(D489&lt;&gt;"",ISNUMBER(B489),LEFT(D489,9)&lt;&gt;"Total for",D489&lt;&gt;"Gross Profit",D489&lt;&gt;"Net Operating Revenue",D489&lt;&gt;"Net Other Revenue",D489&lt;&gt;"Net Revenue"),1,0)</f>
        <v>0</v>
      </c>
      <c r="H489" s="36" t="str">
        <f aca="false">IF(G489=1,IF(AND(LEN(D489)&gt;7,ISNUMBER(VALUE(LEFT(D489,6))),MID(D489,7,1)=" "),LEFT(D489,6),D489),"")</f>
        <v/>
      </c>
      <c r="I489" s="36" t="str">
        <f aca="false">IF(G489=1,IF(COUNTIF('Forecast Detail'!$C$8:$C$400,H489)=0,"UNMAPPED","OK"),"")</f>
        <v/>
      </c>
    </row>
    <row r="490" customFormat="false" ht="15" hidden="false" customHeight="false" outlineLevel="0" collapsed="false">
      <c r="D490" s="36" t="str">
        <f aca="false">TRIM(A490)</f>
        <v/>
      </c>
      <c r="E490" s="36" t="str">
        <f aca="false">IF(D490="Revenue","Revenue",IF(D490="Cost of Goods Sold","COGS",IF(D490="Expenditures","Expense",IF(D490="Other Revenue","Other Revenue",IF(D490="Other Expenditures","Other Expense",E489)))))</f>
        <v>Other Expense</v>
      </c>
      <c r="F490" s="36" t="str">
        <f aca="false">IF(OR(D490="Revenue",D490="Cost of Goods Sold",D490="Expenditures",D490="Other Revenue",D490="Other Expenditures"),E490,IF(AND(LEN(D490)&gt;2,MID(D490,2,1)=" ",ISNUMBER(VALUE(LEFT(D490,1)))),D490,F489))</f>
        <v>Other Expense</v>
      </c>
      <c r="G490" s="36" t="n">
        <f aca="false">IF(AND(D490&lt;&gt;"",ISNUMBER(B490),LEFT(D490,9)&lt;&gt;"Total for",D490&lt;&gt;"Gross Profit",D490&lt;&gt;"Net Operating Revenue",D490&lt;&gt;"Net Other Revenue",D490&lt;&gt;"Net Revenue"),1,0)</f>
        <v>0</v>
      </c>
      <c r="H490" s="36" t="str">
        <f aca="false">IF(G490=1,IF(AND(LEN(D490)&gt;7,ISNUMBER(VALUE(LEFT(D490,6))),MID(D490,7,1)=" "),LEFT(D490,6),D490),"")</f>
        <v/>
      </c>
      <c r="I490" s="36" t="str">
        <f aca="false">IF(G490=1,IF(COUNTIF('Forecast Detail'!$C$8:$C$400,H490)=0,"UNMAPPED","OK"),"")</f>
        <v/>
      </c>
    </row>
    <row r="491" customFormat="false" ht="15" hidden="false" customHeight="false" outlineLevel="0" collapsed="false">
      <c r="D491" s="36" t="str">
        <f aca="false">TRIM(A491)</f>
        <v/>
      </c>
      <c r="E491" s="36" t="str">
        <f aca="false">IF(D491="Revenue","Revenue",IF(D491="Cost of Goods Sold","COGS",IF(D491="Expenditures","Expense",IF(D491="Other Revenue","Other Revenue",IF(D491="Other Expenditures","Other Expense",E490)))))</f>
        <v>Other Expense</v>
      </c>
      <c r="F491" s="36" t="str">
        <f aca="false">IF(OR(D491="Revenue",D491="Cost of Goods Sold",D491="Expenditures",D491="Other Revenue",D491="Other Expenditures"),E491,IF(AND(LEN(D491)&gt;2,MID(D491,2,1)=" ",ISNUMBER(VALUE(LEFT(D491,1)))),D491,F490))</f>
        <v>Other Expense</v>
      </c>
      <c r="G491" s="36" t="n">
        <f aca="false">IF(AND(D491&lt;&gt;"",ISNUMBER(B491),LEFT(D491,9)&lt;&gt;"Total for",D491&lt;&gt;"Gross Profit",D491&lt;&gt;"Net Operating Revenue",D491&lt;&gt;"Net Other Revenue",D491&lt;&gt;"Net Revenue"),1,0)</f>
        <v>0</v>
      </c>
      <c r="H491" s="36" t="str">
        <f aca="false">IF(G491=1,IF(AND(LEN(D491)&gt;7,ISNUMBER(VALUE(LEFT(D491,6))),MID(D491,7,1)=" "),LEFT(D491,6),D491),"")</f>
        <v/>
      </c>
      <c r="I491" s="36" t="str">
        <f aca="false">IF(G491=1,IF(COUNTIF('Forecast Detail'!$C$8:$C$400,H491)=0,"UNMAPPED","OK"),"")</f>
        <v/>
      </c>
    </row>
    <row r="492" customFormat="false" ht="15" hidden="false" customHeight="false" outlineLevel="0" collapsed="false">
      <c r="D492" s="36" t="str">
        <f aca="false">TRIM(A492)</f>
        <v/>
      </c>
      <c r="E492" s="36" t="str">
        <f aca="false">IF(D492="Revenue","Revenue",IF(D492="Cost of Goods Sold","COGS",IF(D492="Expenditures","Expense",IF(D492="Other Revenue","Other Revenue",IF(D492="Other Expenditures","Other Expense",E491)))))</f>
        <v>Other Expense</v>
      </c>
      <c r="F492" s="36" t="str">
        <f aca="false">IF(OR(D492="Revenue",D492="Cost of Goods Sold",D492="Expenditures",D492="Other Revenue",D492="Other Expenditures"),E492,IF(AND(LEN(D492)&gt;2,MID(D492,2,1)=" ",ISNUMBER(VALUE(LEFT(D492,1)))),D492,F491))</f>
        <v>Other Expense</v>
      </c>
      <c r="G492" s="36" t="n">
        <f aca="false">IF(AND(D492&lt;&gt;"",ISNUMBER(B492),LEFT(D492,9)&lt;&gt;"Total for",D492&lt;&gt;"Gross Profit",D492&lt;&gt;"Net Operating Revenue",D492&lt;&gt;"Net Other Revenue",D492&lt;&gt;"Net Revenue"),1,0)</f>
        <v>0</v>
      </c>
      <c r="H492" s="36" t="str">
        <f aca="false">IF(G492=1,IF(AND(LEN(D492)&gt;7,ISNUMBER(VALUE(LEFT(D492,6))),MID(D492,7,1)=" "),LEFT(D492,6),D492),"")</f>
        <v/>
      </c>
      <c r="I492" s="36" t="str">
        <f aca="false">IF(G492=1,IF(COUNTIF('Forecast Detail'!$C$8:$C$400,H492)=0,"UNMAPPED","OK"),"")</f>
        <v/>
      </c>
    </row>
    <row r="493" customFormat="false" ht="15" hidden="false" customHeight="false" outlineLevel="0" collapsed="false">
      <c r="D493" s="36" t="str">
        <f aca="false">TRIM(A493)</f>
        <v/>
      </c>
      <c r="E493" s="36" t="str">
        <f aca="false">IF(D493="Revenue","Revenue",IF(D493="Cost of Goods Sold","COGS",IF(D493="Expenditures","Expense",IF(D493="Other Revenue","Other Revenue",IF(D493="Other Expenditures","Other Expense",E492)))))</f>
        <v>Other Expense</v>
      </c>
      <c r="F493" s="36" t="str">
        <f aca="false">IF(OR(D493="Revenue",D493="Cost of Goods Sold",D493="Expenditures",D493="Other Revenue",D493="Other Expenditures"),E493,IF(AND(LEN(D493)&gt;2,MID(D493,2,1)=" ",ISNUMBER(VALUE(LEFT(D493,1)))),D493,F492))</f>
        <v>Other Expense</v>
      </c>
      <c r="G493" s="36" t="n">
        <f aca="false">IF(AND(D493&lt;&gt;"",ISNUMBER(B493),LEFT(D493,9)&lt;&gt;"Total for",D493&lt;&gt;"Gross Profit",D493&lt;&gt;"Net Operating Revenue",D493&lt;&gt;"Net Other Revenue",D493&lt;&gt;"Net Revenue"),1,0)</f>
        <v>0</v>
      </c>
      <c r="H493" s="36" t="str">
        <f aca="false">IF(G493=1,IF(AND(LEN(D493)&gt;7,ISNUMBER(VALUE(LEFT(D493,6))),MID(D493,7,1)=" "),LEFT(D493,6),D493),"")</f>
        <v/>
      </c>
      <c r="I493" s="36" t="str">
        <f aca="false">IF(G493=1,IF(COUNTIF('Forecast Detail'!$C$8:$C$400,H493)=0,"UNMAPPED","OK"),"")</f>
        <v/>
      </c>
    </row>
    <row r="494" customFormat="false" ht="15" hidden="false" customHeight="false" outlineLevel="0" collapsed="false">
      <c r="D494" s="36" t="str">
        <f aca="false">TRIM(A494)</f>
        <v/>
      </c>
      <c r="E494" s="36" t="str">
        <f aca="false">IF(D494="Revenue","Revenue",IF(D494="Cost of Goods Sold","COGS",IF(D494="Expenditures","Expense",IF(D494="Other Revenue","Other Revenue",IF(D494="Other Expenditures","Other Expense",E493)))))</f>
        <v>Other Expense</v>
      </c>
      <c r="F494" s="36" t="str">
        <f aca="false">IF(OR(D494="Revenue",D494="Cost of Goods Sold",D494="Expenditures",D494="Other Revenue",D494="Other Expenditures"),E494,IF(AND(LEN(D494)&gt;2,MID(D494,2,1)=" ",ISNUMBER(VALUE(LEFT(D494,1)))),D494,F493))</f>
        <v>Other Expense</v>
      </c>
      <c r="G494" s="36" t="n">
        <f aca="false">IF(AND(D494&lt;&gt;"",ISNUMBER(B494),LEFT(D494,9)&lt;&gt;"Total for",D494&lt;&gt;"Gross Profit",D494&lt;&gt;"Net Operating Revenue",D494&lt;&gt;"Net Other Revenue",D494&lt;&gt;"Net Revenue"),1,0)</f>
        <v>0</v>
      </c>
      <c r="H494" s="36" t="str">
        <f aca="false">IF(G494=1,IF(AND(LEN(D494)&gt;7,ISNUMBER(VALUE(LEFT(D494,6))),MID(D494,7,1)=" "),LEFT(D494,6),D494),"")</f>
        <v/>
      </c>
      <c r="I494" s="36" t="str">
        <f aca="false">IF(G494=1,IF(COUNTIF('Forecast Detail'!$C$8:$C$400,H494)=0,"UNMAPPED","OK"),"")</f>
        <v/>
      </c>
    </row>
    <row r="495" customFormat="false" ht="15" hidden="false" customHeight="false" outlineLevel="0" collapsed="false">
      <c r="D495" s="36" t="str">
        <f aca="false">TRIM(A495)</f>
        <v/>
      </c>
      <c r="E495" s="36" t="str">
        <f aca="false">IF(D495="Revenue","Revenue",IF(D495="Cost of Goods Sold","COGS",IF(D495="Expenditures","Expense",IF(D495="Other Revenue","Other Revenue",IF(D495="Other Expenditures","Other Expense",E494)))))</f>
        <v>Other Expense</v>
      </c>
      <c r="F495" s="36" t="str">
        <f aca="false">IF(OR(D495="Revenue",D495="Cost of Goods Sold",D495="Expenditures",D495="Other Revenue",D495="Other Expenditures"),E495,IF(AND(LEN(D495)&gt;2,MID(D495,2,1)=" ",ISNUMBER(VALUE(LEFT(D495,1)))),D495,F494))</f>
        <v>Other Expense</v>
      </c>
      <c r="G495" s="36" t="n">
        <f aca="false">IF(AND(D495&lt;&gt;"",ISNUMBER(B495),LEFT(D495,9)&lt;&gt;"Total for",D495&lt;&gt;"Gross Profit",D495&lt;&gt;"Net Operating Revenue",D495&lt;&gt;"Net Other Revenue",D495&lt;&gt;"Net Revenue"),1,0)</f>
        <v>0</v>
      </c>
      <c r="H495" s="36" t="str">
        <f aca="false">IF(G495=1,IF(AND(LEN(D495)&gt;7,ISNUMBER(VALUE(LEFT(D495,6))),MID(D495,7,1)=" "),LEFT(D495,6),D495),"")</f>
        <v/>
      </c>
      <c r="I495" s="36" t="str">
        <f aca="false">IF(G495=1,IF(COUNTIF('Forecast Detail'!$C$8:$C$400,H495)=0,"UNMAPPED","OK"),"")</f>
        <v/>
      </c>
    </row>
    <row r="496" customFormat="false" ht="15" hidden="false" customHeight="false" outlineLevel="0" collapsed="false">
      <c r="D496" s="36" t="str">
        <f aca="false">TRIM(A496)</f>
        <v/>
      </c>
      <c r="E496" s="36" t="str">
        <f aca="false">IF(D496="Revenue","Revenue",IF(D496="Cost of Goods Sold","COGS",IF(D496="Expenditures","Expense",IF(D496="Other Revenue","Other Revenue",IF(D496="Other Expenditures","Other Expense",E495)))))</f>
        <v>Other Expense</v>
      </c>
      <c r="F496" s="36" t="str">
        <f aca="false">IF(OR(D496="Revenue",D496="Cost of Goods Sold",D496="Expenditures",D496="Other Revenue",D496="Other Expenditures"),E496,IF(AND(LEN(D496)&gt;2,MID(D496,2,1)=" ",ISNUMBER(VALUE(LEFT(D496,1)))),D496,F495))</f>
        <v>Other Expense</v>
      </c>
      <c r="G496" s="36" t="n">
        <f aca="false">IF(AND(D496&lt;&gt;"",ISNUMBER(B496),LEFT(D496,9)&lt;&gt;"Total for",D496&lt;&gt;"Gross Profit",D496&lt;&gt;"Net Operating Revenue",D496&lt;&gt;"Net Other Revenue",D496&lt;&gt;"Net Revenue"),1,0)</f>
        <v>0</v>
      </c>
      <c r="H496" s="36" t="str">
        <f aca="false">IF(G496=1,IF(AND(LEN(D496)&gt;7,ISNUMBER(VALUE(LEFT(D496,6))),MID(D496,7,1)=" "),LEFT(D496,6),D496),"")</f>
        <v/>
      </c>
      <c r="I496" s="36" t="str">
        <f aca="false">IF(G496=1,IF(COUNTIF('Forecast Detail'!$C$8:$C$400,H496)=0,"UNMAPPED","OK"),"")</f>
        <v/>
      </c>
    </row>
    <row r="497" customFormat="false" ht="15" hidden="false" customHeight="false" outlineLevel="0" collapsed="false">
      <c r="D497" s="36" t="str">
        <f aca="false">TRIM(A497)</f>
        <v/>
      </c>
      <c r="E497" s="36" t="str">
        <f aca="false">IF(D497="Revenue","Revenue",IF(D497="Cost of Goods Sold","COGS",IF(D497="Expenditures","Expense",IF(D497="Other Revenue","Other Revenue",IF(D497="Other Expenditures","Other Expense",E496)))))</f>
        <v>Other Expense</v>
      </c>
      <c r="F497" s="36" t="str">
        <f aca="false">IF(OR(D497="Revenue",D497="Cost of Goods Sold",D497="Expenditures",D497="Other Revenue",D497="Other Expenditures"),E497,IF(AND(LEN(D497)&gt;2,MID(D497,2,1)=" ",ISNUMBER(VALUE(LEFT(D497,1)))),D497,F496))</f>
        <v>Other Expense</v>
      </c>
      <c r="G497" s="36" t="n">
        <f aca="false">IF(AND(D497&lt;&gt;"",ISNUMBER(B497),LEFT(D497,9)&lt;&gt;"Total for",D497&lt;&gt;"Gross Profit",D497&lt;&gt;"Net Operating Revenue",D497&lt;&gt;"Net Other Revenue",D497&lt;&gt;"Net Revenue"),1,0)</f>
        <v>0</v>
      </c>
      <c r="H497" s="36" t="str">
        <f aca="false">IF(G497=1,IF(AND(LEN(D497)&gt;7,ISNUMBER(VALUE(LEFT(D497,6))),MID(D497,7,1)=" "),LEFT(D497,6),D497),"")</f>
        <v/>
      </c>
      <c r="I497" s="36" t="str">
        <f aca="false">IF(G497=1,IF(COUNTIF('Forecast Detail'!$C$8:$C$400,H497)=0,"UNMAPPED","OK"),"")</f>
        <v/>
      </c>
    </row>
    <row r="498" customFormat="false" ht="15" hidden="false" customHeight="false" outlineLevel="0" collapsed="false">
      <c r="D498" s="36" t="str">
        <f aca="false">TRIM(A498)</f>
        <v/>
      </c>
      <c r="E498" s="36" t="str">
        <f aca="false">IF(D498="Revenue","Revenue",IF(D498="Cost of Goods Sold","COGS",IF(D498="Expenditures","Expense",IF(D498="Other Revenue","Other Revenue",IF(D498="Other Expenditures","Other Expense",E497)))))</f>
        <v>Other Expense</v>
      </c>
      <c r="F498" s="36" t="str">
        <f aca="false">IF(OR(D498="Revenue",D498="Cost of Goods Sold",D498="Expenditures",D498="Other Revenue",D498="Other Expenditures"),E498,IF(AND(LEN(D498)&gt;2,MID(D498,2,1)=" ",ISNUMBER(VALUE(LEFT(D498,1)))),D498,F497))</f>
        <v>Other Expense</v>
      </c>
      <c r="G498" s="36" t="n">
        <f aca="false">IF(AND(D498&lt;&gt;"",ISNUMBER(B498),LEFT(D498,9)&lt;&gt;"Total for",D498&lt;&gt;"Gross Profit",D498&lt;&gt;"Net Operating Revenue",D498&lt;&gt;"Net Other Revenue",D498&lt;&gt;"Net Revenue"),1,0)</f>
        <v>0</v>
      </c>
      <c r="H498" s="36" t="str">
        <f aca="false">IF(G498=1,IF(AND(LEN(D498)&gt;7,ISNUMBER(VALUE(LEFT(D498,6))),MID(D498,7,1)=" "),LEFT(D498,6),D498),"")</f>
        <v/>
      </c>
      <c r="I498" s="36" t="str">
        <f aca="false">IF(G498=1,IF(COUNTIF('Forecast Detail'!$C$8:$C$400,H498)=0,"UNMAPPED","OK"),"")</f>
        <v/>
      </c>
    </row>
    <row r="499" customFormat="false" ht="15" hidden="false" customHeight="false" outlineLevel="0" collapsed="false">
      <c r="D499" s="36" t="str">
        <f aca="false">TRIM(A499)</f>
        <v/>
      </c>
      <c r="E499" s="36" t="str">
        <f aca="false">IF(D499="Revenue","Revenue",IF(D499="Cost of Goods Sold","COGS",IF(D499="Expenditures","Expense",IF(D499="Other Revenue","Other Revenue",IF(D499="Other Expenditures","Other Expense",E498)))))</f>
        <v>Other Expense</v>
      </c>
      <c r="F499" s="36" t="str">
        <f aca="false">IF(OR(D499="Revenue",D499="Cost of Goods Sold",D499="Expenditures",D499="Other Revenue",D499="Other Expenditures"),E499,IF(AND(LEN(D499)&gt;2,MID(D499,2,1)=" ",ISNUMBER(VALUE(LEFT(D499,1)))),D499,F498))</f>
        <v>Other Expense</v>
      </c>
      <c r="G499" s="36" t="n">
        <f aca="false">IF(AND(D499&lt;&gt;"",ISNUMBER(B499),LEFT(D499,9)&lt;&gt;"Total for",D499&lt;&gt;"Gross Profit",D499&lt;&gt;"Net Operating Revenue",D499&lt;&gt;"Net Other Revenue",D499&lt;&gt;"Net Revenue"),1,0)</f>
        <v>0</v>
      </c>
      <c r="H499" s="36" t="str">
        <f aca="false">IF(G499=1,IF(AND(LEN(D499)&gt;7,ISNUMBER(VALUE(LEFT(D499,6))),MID(D499,7,1)=" "),LEFT(D499,6),D499),"")</f>
        <v/>
      </c>
      <c r="I499" s="36" t="str">
        <f aca="false">IF(G499=1,IF(COUNTIF('Forecast Detail'!$C$8:$C$400,H499)=0,"UNMAPPED","OK"),"")</f>
        <v/>
      </c>
    </row>
    <row r="500" customFormat="false" ht="15" hidden="false" customHeight="false" outlineLevel="0" collapsed="false">
      <c r="D500" s="36" t="str">
        <f aca="false">TRIM(A500)</f>
        <v/>
      </c>
      <c r="E500" s="36" t="str">
        <f aca="false">IF(D500="Revenue","Revenue",IF(D500="Cost of Goods Sold","COGS",IF(D500="Expenditures","Expense",IF(D500="Other Revenue","Other Revenue",IF(D500="Other Expenditures","Other Expense",E499)))))</f>
        <v>Other Expense</v>
      </c>
      <c r="F500" s="36" t="str">
        <f aca="false">IF(OR(D500="Revenue",D500="Cost of Goods Sold",D500="Expenditures",D500="Other Revenue",D500="Other Expenditures"),E500,IF(AND(LEN(D500)&gt;2,MID(D500,2,1)=" ",ISNUMBER(VALUE(LEFT(D500,1)))),D500,F499))</f>
        <v>Other Expense</v>
      </c>
      <c r="G500" s="36" t="n">
        <f aca="false">IF(AND(D500&lt;&gt;"",ISNUMBER(B500),LEFT(D500,9)&lt;&gt;"Total for",D500&lt;&gt;"Gross Profit",D500&lt;&gt;"Net Operating Revenue",D500&lt;&gt;"Net Other Revenue",D500&lt;&gt;"Net Revenue"),1,0)</f>
        <v>0</v>
      </c>
      <c r="H500" s="36" t="str">
        <f aca="false">IF(G500=1,IF(AND(LEN(D500)&gt;7,ISNUMBER(VALUE(LEFT(D500,6))),MID(D500,7,1)=" "),LEFT(D500,6),D500),"")</f>
        <v/>
      </c>
      <c r="I500" s="36" t="str">
        <f aca="false">IF(G500=1,IF(COUNTIF('Forecast Detail'!$C$8:$C$400,H500)=0,"UNMAPPED","OK"),"")</f>
        <v/>
      </c>
    </row>
    <row r="501" customFormat="false" ht="15" hidden="false" customHeight="false" outlineLevel="0" collapsed="false">
      <c r="D501" s="36" t="str">
        <f aca="false">TRIM(A501)</f>
        <v/>
      </c>
      <c r="E501" s="36" t="str">
        <f aca="false">IF(D501="Revenue","Revenue",IF(D501="Cost of Goods Sold","COGS",IF(D501="Expenditures","Expense",IF(D501="Other Revenue","Other Revenue",IF(D501="Other Expenditures","Other Expense",E500)))))</f>
        <v>Other Expense</v>
      </c>
      <c r="F501" s="36" t="str">
        <f aca="false">IF(OR(D501="Revenue",D501="Cost of Goods Sold",D501="Expenditures",D501="Other Revenue",D501="Other Expenditures"),E501,IF(AND(LEN(D501)&gt;2,MID(D501,2,1)=" ",ISNUMBER(VALUE(LEFT(D501,1)))),D501,F500))</f>
        <v>Other Expense</v>
      </c>
      <c r="G501" s="36" t="n">
        <f aca="false">IF(AND(D501&lt;&gt;"",ISNUMBER(B501),LEFT(D501,9)&lt;&gt;"Total for",D501&lt;&gt;"Gross Profit",D501&lt;&gt;"Net Operating Revenue",D501&lt;&gt;"Net Other Revenue",D501&lt;&gt;"Net Revenue"),1,0)</f>
        <v>0</v>
      </c>
      <c r="H501" s="36" t="str">
        <f aca="false">IF(G501=1,IF(AND(LEN(D501)&gt;7,ISNUMBER(VALUE(LEFT(D501,6))),MID(D501,7,1)=" "),LEFT(D501,6),D501),"")</f>
        <v/>
      </c>
      <c r="I501" s="36" t="str">
        <f aca="false">IF(G501=1,IF(COUNTIF('Forecast Detail'!$C$8:$C$400,H501)=0,"UNMAPPED","OK"),"")</f>
        <v/>
      </c>
    </row>
    <row r="502" customFormat="false" ht="15" hidden="false" customHeight="false" outlineLevel="0" collapsed="false">
      <c r="D502" s="36" t="str">
        <f aca="false">TRIM(A502)</f>
        <v/>
      </c>
      <c r="E502" s="36" t="str">
        <f aca="false">IF(D502="Revenue","Revenue",IF(D502="Cost of Goods Sold","COGS",IF(D502="Expenditures","Expense",IF(D502="Other Revenue","Other Revenue",IF(D502="Other Expenditures","Other Expense",E501)))))</f>
        <v>Other Expense</v>
      </c>
      <c r="F502" s="36" t="str">
        <f aca="false">IF(OR(D502="Revenue",D502="Cost of Goods Sold",D502="Expenditures",D502="Other Revenue",D502="Other Expenditures"),E502,IF(AND(LEN(D502)&gt;2,MID(D502,2,1)=" ",ISNUMBER(VALUE(LEFT(D502,1)))),D502,F501))</f>
        <v>Other Expense</v>
      </c>
      <c r="G502" s="36" t="n">
        <f aca="false">IF(AND(D502&lt;&gt;"",ISNUMBER(B502),LEFT(D502,9)&lt;&gt;"Total for",D502&lt;&gt;"Gross Profit",D502&lt;&gt;"Net Operating Revenue",D502&lt;&gt;"Net Other Revenue",D502&lt;&gt;"Net Revenue"),1,0)</f>
        <v>0</v>
      </c>
      <c r="H502" s="36" t="str">
        <f aca="false">IF(G502=1,IF(AND(LEN(D502)&gt;7,ISNUMBER(VALUE(LEFT(D502,6))),MID(D502,7,1)=" "),LEFT(D502,6),D502),"")</f>
        <v/>
      </c>
      <c r="I502" s="36" t="str">
        <f aca="false">IF(G502=1,IF(COUNTIF('Forecast Detail'!$C$8:$C$400,H502)=0,"UNMAPPED","OK"),"")</f>
        <v/>
      </c>
    </row>
    <row r="503" customFormat="false" ht="15" hidden="false" customHeight="false" outlineLevel="0" collapsed="false">
      <c r="D503" s="36" t="str">
        <f aca="false">TRIM(A503)</f>
        <v/>
      </c>
      <c r="E503" s="36" t="str">
        <f aca="false">IF(D503="Revenue","Revenue",IF(D503="Cost of Goods Sold","COGS",IF(D503="Expenditures","Expense",IF(D503="Other Revenue","Other Revenue",IF(D503="Other Expenditures","Other Expense",E502)))))</f>
        <v>Other Expense</v>
      </c>
      <c r="F503" s="36" t="str">
        <f aca="false">IF(OR(D503="Revenue",D503="Cost of Goods Sold",D503="Expenditures",D503="Other Revenue",D503="Other Expenditures"),E503,IF(AND(LEN(D503)&gt;2,MID(D503,2,1)=" ",ISNUMBER(VALUE(LEFT(D503,1)))),D503,F502))</f>
        <v>Other Expense</v>
      </c>
      <c r="G503" s="36" t="n">
        <f aca="false">IF(AND(D503&lt;&gt;"",ISNUMBER(B503),LEFT(D503,9)&lt;&gt;"Total for",D503&lt;&gt;"Gross Profit",D503&lt;&gt;"Net Operating Revenue",D503&lt;&gt;"Net Other Revenue",D503&lt;&gt;"Net Revenue"),1,0)</f>
        <v>0</v>
      </c>
      <c r="H503" s="36" t="str">
        <f aca="false">IF(G503=1,IF(AND(LEN(D503)&gt;7,ISNUMBER(VALUE(LEFT(D503,6))),MID(D503,7,1)=" "),LEFT(D503,6),D503),"")</f>
        <v/>
      </c>
      <c r="I503" s="36" t="str">
        <f aca="false">IF(G503=1,IF(COUNTIF('Forecast Detail'!$C$8:$C$400,H503)=0,"UNMAPPED","OK"),"")</f>
        <v/>
      </c>
    </row>
    <row r="504" customFormat="false" ht="15" hidden="false" customHeight="false" outlineLevel="0" collapsed="false">
      <c r="D504" s="36" t="str">
        <f aca="false">TRIM(A504)</f>
        <v/>
      </c>
      <c r="E504" s="36" t="str">
        <f aca="false">IF(D504="Revenue","Revenue",IF(D504="Cost of Goods Sold","COGS",IF(D504="Expenditures","Expense",IF(D504="Other Revenue","Other Revenue",IF(D504="Other Expenditures","Other Expense",E503)))))</f>
        <v>Other Expense</v>
      </c>
      <c r="F504" s="36" t="str">
        <f aca="false">IF(OR(D504="Revenue",D504="Cost of Goods Sold",D504="Expenditures",D504="Other Revenue",D504="Other Expenditures"),E504,IF(AND(LEN(D504)&gt;2,MID(D504,2,1)=" ",ISNUMBER(VALUE(LEFT(D504,1)))),D504,F503))</f>
        <v>Other Expense</v>
      </c>
      <c r="G504" s="36" t="n">
        <f aca="false">IF(AND(D504&lt;&gt;"",ISNUMBER(B504),LEFT(D504,9)&lt;&gt;"Total for",D504&lt;&gt;"Gross Profit",D504&lt;&gt;"Net Operating Revenue",D504&lt;&gt;"Net Other Revenue",D504&lt;&gt;"Net Revenue"),1,0)</f>
        <v>0</v>
      </c>
      <c r="H504" s="36" t="str">
        <f aca="false">IF(G504=1,IF(AND(LEN(D504)&gt;7,ISNUMBER(VALUE(LEFT(D504,6))),MID(D504,7,1)=" "),LEFT(D504,6),D504),"")</f>
        <v/>
      </c>
      <c r="I504" s="36" t="str">
        <f aca="false">IF(G504=1,IF(COUNTIF('Forecast Detail'!$C$8:$C$400,H504)=0,"UNMAPPED","OK"),"")</f>
        <v/>
      </c>
    </row>
    <row r="505" customFormat="false" ht="15" hidden="false" customHeight="false" outlineLevel="0" collapsed="false">
      <c r="D505" s="36" t="str">
        <f aca="false">TRIM(A505)</f>
        <v/>
      </c>
      <c r="E505" s="36" t="str">
        <f aca="false">IF(D505="Revenue","Revenue",IF(D505="Cost of Goods Sold","COGS",IF(D505="Expenditures","Expense",IF(D505="Other Revenue","Other Revenue",IF(D505="Other Expenditures","Other Expense",E504)))))</f>
        <v>Other Expense</v>
      </c>
      <c r="F505" s="36" t="str">
        <f aca="false">IF(OR(D505="Revenue",D505="Cost of Goods Sold",D505="Expenditures",D505="Other Revenue",D505="Other Expenditures"),E505,IF(AND(LEN(D505)&gt;2,MID(D505,2,1)=" ",ISNUMBER(VALUE(LEFT(D505,1)))),D505,F504))</f>
        <v>Other Expense</v>
      </c>
      <c r="G505" s="36" t="n">
        <f aca="false">IF(AND(D505&lt;&gt;"",ISNUMBER(B505),LEFT(D505,9)&lt;&gt;"Total for",D505&lt;&gt;"Gross Profit",D505&lt;&gt;"Net Operating Revenue",D505&lt;&gt;"Net Other Revenue",D505&lt;&gt;"Net Revenue"),1,0)</f>
        <v>0</v>
      </c>
      <c r="H505" s="36" t="str">
        <f aca="false">IF(G505=1,IF(AND(LEN(D505)&gt;7,ISNUMBER(VALUE(LEFT(D505,6))),MID(D505,7,1)=" "),LEFT(D505,6),D505),"")</f>
        <v/>
      </c>
      <c r="I505" s="36" t="str">
        <f aca="false">IF(G505=1,IF(COUNTIF('Forecast Detail'!$C$8:$C$400,H505)=0,"UNMAPPED","OK"),"")</f>
        <v/>
      </c>
    </row>
    <row r="506" customFormat="false" ht="15" hidden="false" customHeight="false" outlineLevel="0" collapsed="false">
      <c r="D506" s="36" t="str">
        <f aca="false">TRIM(A506)</f>
        <v/>
      </c>
      <c r="E506" s="36" t="str">
        <f aca="false">IF(D506="Revenue","Revenue",IF(D506="Cost of Goods Sold","COGS",IF(D506="Expenditures","Expense",IF(D506="Other Revenue","Other Revenue",IF(D506="Other Expenditures","Other Expense",E505)))))</f>
        <v>Other Expense</v>
      </c>
      <c r="F506" s="36" t="str">
        <f aca="false">IF(OR(D506="Revenue",D506="Cost of Goods Sold",D506="Expenditures",D506="Other Revenue",D506="Other Expenditures"),E506,IF(AND(LEN(D506)&gt;2,MID(D506,2,1)=" ",ISNUMBER(VALUE(LEFT(D506,1)))),D506,F505))</f>
        <v>Other Expense</v>
      </c>
      <c r="G506" s="36" t="n">
        <f aca="false">IF(AND(D506&lt;&gt;"",ISNUMBER(B506),LEFT(D506,9)&lt;&gt;"Total for",D506&lt;&gt;"Gross Profit",D506&lt;&gt;"Net Operating Revenue",D506&lt;&gt;"Net Other Revenue",D506&lt;&gt;"Net Revenue"),1,0)</f>
        <v>0</v>
      </c>
      <c r="H506" s="36" t="str">
        <f aca="false">IF(G506=1,IF(AND(LEN(D506)&gt;7,ISNUMBER(VALUE(LEFT(D506,6))),MID(D506,7,1)=" "),LEFT(D506,6),D506),"")</f>
        <v/>
      </c>
      <c r="I506" s="36" t="str">
        <f aca="false">IF(G506=1,IF(COUNTIF('Forecast Detail'!$C$8:$C$400,H506)=0,"UNMAPPED","OK"),"")</f>
        <v/>
      </c>
    </row>
    <row r="507" customFormat="false" ht="15" hidden="false" customHeight="false" outlineLevel="0" collapsed="false">
      <c r="D507" s="36" t="str">
        <f aca="false">TRIM(A507)</f>
        <v/>
      </c>
      <c r="E507" s="36" t="str">
        <f aca="false">IF(D507="Revenue","Revenue",IF(D507="Cost of Goods Sold","COGS",IF(D507="Expenditures","Expense",IF(D507="Other Revenue","Other Revenue",IF(D507="Other Expenditures","Other Expense",E506)))))</f>
        <v>Other Expense</v>
      </c>
      <c r="F507" s="36" t="str">
        <f aca="false">IF(OR(D507="Revenue",D507="Cost of Goods Sold",D507="Expenditures",D507="Other Revenue",D507="Other Expenditures"),E507,IF(AND(LEN(D507)&gt;2,MID(D507,2,1)=" ",ISNUMBER(VALUE(LEFT(D507,1)))),D507,F506))</f>
        <v>Other Expense</v>
      </c>
      <c r="G507" s="36" t="n">
        <f aca="false">IF(AND(D507&lt;&gt;"",ISNUMBER(B507),LEFT(D507,9)&lt;&gt;"Total for",D507&lt;&gt;"Gross Profit",D507&lt;&gt;"Net Operating Revenue",D507&lt;&gt;"Net Other Revenue",D507&lt;&gt;"Net Revenue"),1,0)</f>
        <v>0</v>
      </c>
      <c r="H507" s="36" t="str">
        <f aca="false">IF(G507=1,IF(AND(LEN(D507)&gt;7,ISNUMBER(VALUE(LEFT(D507,6))),MID(D507,7,1)=" "),LEFT(D507,6),D507),"")</f>
        <v/>
      </c>
      <c r="I507" s="36" t="str">
        <f aca="false">IF(G507=1,IF(COUNTIF('Forecast Detail'!$C$8:$C$400,H507)=0,"UNMAPPED","OK"),"")</f>
        <v/>
      </c>
    </row>
    <row r="508" customFormat="false" ht="15" hidden="false" customHeight="false" outlineLevel="0" collapsed="false">
      <c r="D508" s="36" t="str">
        <f aca="false">TRIM(A508)</f>
        <v/>
      </c>
      <c r="E508" s="36" t="str">
        <f aca="false">IF(D508="Revenue","Revenue",IF(D508="Cost of Goods Sold","COGS",IF(D508="Expenditures","Expense",IF(D508="Other Revenue","Other Revenue",IF(D508="Other Expenditures","Other Expense",E507)))))</f>
        <v>Other Expense</v>
      </c>
      <c r="F508" s="36" t="str">
        <f aca="false">IF(OR(D508="Revenue",D508="Cost of Goods Sold",D508="Expenditures",D508="Other Revenue",D508="Other Expenditures"),E508,IF(AND(LEN(D508)&gt;2,MID(D508,2,1)=" ",ISNUMBER(VALUE(LEFT(D508,1)))),D508,F507))</f>
        <v>Other Expense</v>
      </c>
      <c r="G508" s="36" t="n">
        <f aca="false">IF(AND(D508&lt;&gt;"",ISNUMBER(B508),LEFT(D508,9)&lt;&gt;"Total for",D508&lt;&gt;"Gross Profit",D508&lt;&gt;"Net Operating Revenue",D508&lt;&gt;"Net Other Revenue",D508&lt;&gt;"Net Revenue"),1,0)</f>
        <v>0</v>
      </c>
      <c r="H508" s="36" t="str">
        <f aca="false">IF(G508=1,IF(AND(LEN(D508)&gt;7,ISNUMBER(VALUE(LEFT(D508,6))),MID(D508,7,1)=" "),LEFT(D508,6),D508),"")</f>
        <v/>
      </c>
      <c r="I508" s="36" t="str">
        <f aca="false">IF(G508=1,IF(COUNTIF('Forecast Detail'!$C$8:$C$400,H508)=0,"UNMAPPED","OK"),"")</f>
        <v/>
      </c>
    </row>
    <row r="509" customFormat="false" ht="15" hidden="false" customHeight="false" outlineLevel="0" collapsed="false">
      <c r="D509" s="36" t="str">
        <f aca="false">TRIM(A509)</f>
        <v/>
      </c>
      <c r="E509" s="36" t="str">
        <f aca="false">IF(D509="Revenue","Revenue",IF(D509="Cost of Goods Sold","COGS",IF(D509="Expenditures","Expense",IF(D509="Other Revenue","Other Revenue",IF(D509="Other Expenditures","Other Expense",E508)))))</f>
        <v>Other Expense</v>
      </c>
      <c r="F509" s="36" t="str">
        <f aca="false">IF(OR(D509="Revenue",D509="Cost of Goods Sold",D509="Expenditures",D509="Other Revenue",D509="Other Expenditures"),E509,IF(AND(LEN(D509)&gt;2,MID(D509,2,1)=" ",ISNUMBER(VALUE(LEFT(D509,1)))),D509,F508))</f>
        <v>Other Expense</v>
      </c>
      <c r="G509" s="36" t="n">
        <f aca="false">IF(AND(D509&lt;&gt;"",ISNUMBER(B509),LEFT(D509,9)&lt;&gt;"Total for",D509&lt;&gt;"Gross Profit",D509&lt;&gt;"Net Operating Revenue",D509&lt;&gt;"Net Other Revenue",D509&lt;&gt;"Net Revenue"),1,0)</f>
        <v>0</v>
      </c>
      <c r="H509" s="36" t="str">
        <f aca="false">IF(G509=1,IF(AND(LEN(D509)&gt;7,ISNUMBER(VALUE(LEFT(D509,6))),MID(D509,7,1)=" "),LEFT(D509,6),D509),"")</f>
        <v/>
      </c>
      <c r="I509" s="36" t="str">
        <f aca="false">IF(G509=1,IF(COUNTIF('Forecast Detail'!$C$8:$C$400,H509)=0,"UNMAPPED","OK"),"")</f>
        <v/>
      </c>
    </row>
    <row r="510" customFormat="false" ht="15" hidden="false" customHeight="false" outlineLevel="0" collapsed="false">
      <c r="D510" s="36" t="str">
        <f aca="false">TRIM(A510)</f>
        <v/>
      </c>
      <c r="E510" s="36" t="str">
        <f aca="false">IF(D510="Revenue","Revenue",IF(D510="Cost of Goods Sold","COGS",IF(D510="Expenditures","Expense",IF(D510="Other Revenue","Other Revenue",IF(D510="Other Expenditures","Other Expense",E509)))))</f>
        <v>Other Expense</v>
      </c>
      <c r="F510" s="36" t="str">
        <f aca="false">IF(OR(D510="Revenue",D510="Cost of Goods Sold",D510="Expenditures",D510="Other Revenue",D510="Other Expenditures"),E510,IF(AND(LEN(D510)&gt;2,MID(D510,2,1)=" ",ISNUMBER(VALUE(LEFT(D510,1)))),D510,F509))</f>
        <v>Other Expense</v>
      </c>
      <c r="G510" s="36" t="n">
        <f aca="false">IF(AND(D510&lt;&gt;"",ISNUMBER(B510),LEFT(D510,9)&lt;&gt;"Total for",D510&lt;&gt;"Gross Profit",D510&lt;&gt;"Net Operating Revenue",D510&lt;&gt;"Net Other Revenue",D510&lt;&gt;"Net Revenue"),1,0)</f>
        <v>0</v>
      </c>
      <c r="H510" s="36" t="str">
        <f aca="false">IF(G510=1,IF(AND(LEN(D510)&gt;7,ISNUMBER(VALUE(LEFT(D510,6))),MID(D510,7,1)=" "),LEFT(D510,6),D510),"")</f>
        <v/>
      </c>
      <c r="I510" s="36" t="str">
        <f aca="false">IF(G510=1,IF(COUNTIF('Forecast Detail'!$C$8:$C$400,H510)=0,"UNMAPPED","OK"),"")</f>
        <v/>
      </c>
    </row>
    <row r="511" customFormat="false" ht="15" hidden="false" customHeight="false" outlineLevel="0" collapsed="false">
      <c r="D511" s="36" t="str">
        <f aca="false">TRIM(A511)</f>
        <v/>
      </c>
      <c r="E511" s="36" t="str">
        <f aca="false">IF(D511="Revenue","Revenue",IF(D511="Cost of Goods Sold","COGS",IF(D511="Expenditures","Expense",IF(D511="Other Revenue","Other Revenue",IF(D511="Other Expenditures","Other Expense",E510)))))</f>
        <v>Other Expense</v>
      </c>
      <c r="F511" s="36" t="str">
        <f aca="false">IF(OR(D511="Revenue",D511="Cost of Goods Sold",D511="Expenditures",D511="Other Revenue",D511="Other Expenditures"),E511,IF(AND(LEN(D511)&gt;2,MID(D511,2,1)=" ",ISNUMBER(VALUE(LEFT(D511,1)))),D511,F510))</f>
        <v>Other Expense</v>
      </c>
      <c r="G511" s="36" t="n">
        <f aca="false">IF(AND(D511&lt;&gt;"",ISNUMBER(B511),LEFT(D511,9)&lt;&gt;"Total for",D511&lt;&gt;"Gross Profit",D511&lt;&gt;"Net Operating Revenue",D511&lt;&gt;"Net Other Revenue",D511&lt;&gt;"Net Revenue"),1,0)</f>
        <v>0</v>
      </c>
      <c r="H511" s="36" t="str">
        <f aca="false">IF(G511=1,IF(AND(LEN(D511)&gt;7,ISNUMBER(VALUE(LEFT(D511,6))),MID(D511,7,1)=" "),LEFT(D511,6),D511),"")</f>
        <v/>
      </c>
      <c r="I511" s="36" t="str">
        <f aca="false">IF(G511=1,IF(COUNTIF('Forecast Detail'!$C$8:$C$400,H511)=0,"UNMAPPED","OK"),"")</f>
        <v/>
      </c>
    </row>
    <row r="512" customFormat="false" ht="15" hidden="false" customHeight="false" outlineLevel="0" collapsed="false">
      <c r="D512" s="36" t="str">
        <f aca="false">TRIM(A512)</f>
        <v/>
      </c>
      <c r="E512" s="36" t="str">
        <f aca="false">IF(D512="Revenue","Revenue",IF(D512="Cost of Goods Sold","COGS",IF(D512="Expenditures","Expense",IF(D512="Other Revenue","Other Revenue",IF(D512="Other Expenditures","Other Expense",E511)))))</f>
        <v>Other Expense</v>
      </c>
      <c r="F512" s="36" t="str">
        <f aca="false">IF(OR(D512="Revenue",D512="Cost of Goods Sold",D512="Expenditures",D512="Other Revenue",D512="Other Expenditures"),E512,IF(AND(LEN(D512)&gt;2,MID(D512,2,1)=" ",ISNUMBER(VALUE(LEFT(D512,1)))),D512,F511))</f>
        <v>Other Expense</v>
      </c>
      <c r="G512" s="36" t="n">
        <f aca="false">IF(AND(D512&lt;&gt;"",ISNUMBER(B512),LEFT(D512,9)&lt;&gt;"Total for",D512&lt;&gt;"Gross Profit",D512&lt;&gt;"Net Operating Revenue",D512&lt;&gt;"Net Other Revenue",D512&lt;&gt;"Net Revenue"),1,0)</f>
        <v>0</v>
      </c>
      <c r="H512" s="36" t="str">
        <f aca="false">IF(G512=1,IF(AND(LEN(D512)&gt;7,ISNUMBER(VALUE(LEFT(D512,6))),MID(D512,7,1)=" "),LEFT(D512,6),D512),"")</f>
        <v/>
      </c>
      <c r="I512" s="36" t="str">
        <f aca="false">IF(G512=1,IF(COUNTIF('Forecast Detail'!$C$8:$C$400,H512)=0,"UNMAPPED","OK"),"")</f>
        <v/>
      </c>
    </row>
    <row r="513" customFormat="false" ht="15" hidden="false" customHeight="false" outlineLevel="0" collapsed="false">
      <c r="D513" s="36" t="str">
        <f aca="false">TRIM(A513)</f>
        <v/>
      </c>
      <c r="E513" s="36" t="str">
        <f aca="false">IF(D513="Revenue","Revenue",IF(D513="Cost of Goods Sold","COGS",IF(D513="Expenditures","Expense",IF(D513="Other Revenue","Other Revenue",IF(D513="Other Expenditures","Other Expense",E512)))))</f>
        <v>Other Expense</v>
      </c>
      <c r="F513" s="36" t="str">
        <f aca="false">IF(OR(D513="Revenue",D513="Cost of Goods Sold",D513="Expenditures",D513="Other Revenue",D513="Other Expenditures"),E513,IF(AND(LEN(D513)&gt;2,MID(D513,2,1)=" ",ISNUMBER(VALUE(LEFT(D513,1)))),D513,F512))</f>
        <v>Other Expense</v>
      </c>
      <c r="G513" s="36" t="n">
        <f aca="false">IF(AND(D513&lt;&gt;"",ISNUMBER(B513),LEFT(D513,9)&lt;&gt;"Total for",D513&lt;&gt;"Gross Profit",D513&lt;&gt;"Net Operating Revenue",D513&lt;&gt;"Net Other Revenue",D513&lt;&gt;"Net Revenue"),1,0)</f>
        <v>0</v>
      </c>
      <c r="H513" s="36" t="str">
        <f aca="false">IF(G513=1,IF(AND(LEN(D513)&gt;7,ISNUMBER(VALUE(LEFT(D513,6))),MID(D513,7,1)=" "),LEFT(D513,6),D513),"")</f>
        <v/>
      </c>
      <c r="I513" s="36" t="str">
        <f aca="false">IF(G513=1,IF(COUNTIF('Forecast Detail'!$C$8:$C$400,H513)=0,"UNMAPPED","OK"),"")</f>
        <v/>
      </c>
    </row>
    <row r="514" customFormat="false" ht="15" hidden="false" customHeight="false" outlineLevel="0" collapsed="false">
      <c r="D514" s="36" t="str">
        <f aca="false">TRIM(A514)</f>
        <v/>
      </c>
      <c r="E514" s="36" t="str">
        <f aca="false">IF(D514="Revenue","Revenue",IF(D514="Cost of Goods Sold","COGS",IF(D514="Expenditures","Expense",IF(D514="Other Revenue","Other Revenue",IF(D514="Other Expenditures","Other Expense",E513)))))</f>
        <v>Other Expense</v>
      </c>
      <c r="F514" s="36" t="str">
        <f aca="false">IF(OR(D514="Revenue",D514="Cost of Goods Sold",D514="Expenditures",D514="Other Revenue",D514="Other Expenditures"),E514,IF(AND(LEN(D514)&gt;2,MID(D514,2,1)=" ",ISNUMBER(VALUE(LEFT(D514,1)))),D514,F513))</f>
        <v>Other Expense</v>
      </c>
      <c r="G514" s="36" t="n">
        <f aca="false">IF(AND(D514&lt;&gt;"",ISNUMBER(B514),LEFT(D514,9)&lt;&gt;"Total for",D514&lt;&gt;"Gross Profit",D514&lt;&gt;"Net Operating Revenue",D514&lt;&gt;"Net Other Revenue",D514&lt;&gt;"Net Revenue"),1,0)</f>
        <v>0</v>
      </c>
      <c r="H514" s="36" t="str">
        <f aca="false">IF(G514=1,IF(AND(LEN(D514)&gt;7,ISNUMBER(VALUE(LEFT(D514,6))),MID(D514,7,1)=" "),LEFT(D514,6),D514),"")</f>
        <v/>
      </c>
      <c r="I514" s="36" t="str">
        <f aca="false">IF(G514=1,IF(COUNTIF('Forecast Detail'!$C$8:$C$400,H514)=0,"UNMAPPED","OK"),"")</f>
        <v/>
      </c>
    </row>
    <row r="515" customFormat="false" ht="15" hidden="false" customHeight="false" outlineLevel="0" collapsed="false">
      <c r="D515" s="36" t="str">
        <f aca="false">TRIM(A515)</f>
        <v/>
      </c>
      <c r="E515" s="36" t="str">
        <f aca="false">IF(D515="Revenue","Revenue",IF(D515="Cost of Goods Sold","COGS",IF(D515="Expenditures","Expense",IF(D515="Other Revenue","Other Revenue",IF(D515="Other Expenditures","Other Expense",E514)))))</f>
        <v>Other Expense</v>
      </c>
      <c r="F515" s="36" t="str">
        <f aca="false">IF(OR(D515="Revenue",D515="Cost of Goods Sold",D515="Expenditures",D515="Other Revenue",D515="Other Expenditures"),E515,IF(AND(LEN(D515)&gt;2,MID(D515,2,1)=" ",ISNUMBER(VALUE(LEFT(D515,1)))),D515,F514))</f>
        <v>Other Expense</v>
      </c>
      <c r="G515" s="36" t="n">
        <f aca="false">IF(AND(D515&lt;&gt;"",ISNUMBER(B515),LEFT(D515,9)&lt;&gt;"Total for",D515&lt;&gt;"Gross Profit",D515&lt;&gt;"Net Operating Revenue",D515&lt;&gt;"Net Other Revenue",D515&lt;&gt;"Net Revenue"),1,0)</f>
        <v>0</v>
      </c>
      <c r="H515" s="36" t="str">
        <f aca="false">IF(G515=1,IF(AND(LEN(D515)&gt;7,ISNUMBER(VALUE(LEFT(D515,6))),MID(D515,7,1)=" "),LEFT(D515,6),D515),"")</f>
        <v/>
      </c>
      <c r="I515" s="36" t="str">
        <f aca="false">IF(G515=1,IF(COUNTIF('Forecast Detail'!$C$8:$C$400,H515)=0,"UNMAPPED","OK"),"")</f>
        <v/>
      </c>
    </row>
    <row r="516" customFormat="false" ht="15" hidden="false" customHeight="false" outlineLevel="0" collapsed="false">
      <c r="D516" s="36" t="str">
        <f aca="false">TRIM(A516)</f>
        <v/>
      </c>
      <c r="E516" s="36" t="str">
        <f aca="false">IF(D516="Revenue","Revenue",IF(D516="Cost of Goods Sold","COGS",IF(D516="Expenditures","Expense",IF(D516="Other Revenue","Other Revenue",IF(D516="Other Expenditures","Other Expense",E515)))))</f>
        <v>Other Expense</v>
      </c>
      <c r="F516" s="36" t="str">
        <f aca="false">IF(OR(D516="Revenue",D516="Cost of Goods Sold",D516="Expenditures",D516="Other Revenue",D516="Other Expenditures"),E516,IF(AND(LEN(D516)&gt;2,MID(D516,2,1)=" ",ISNUMBER(VALUE(LEFT(D516,1)))),D516,F515))</f>
        <v>Other Expense</v>
      </c>
      <c r="G516" s="36" t="n">
        <f aca="false">IF(AND(D516&lt;&gt;"",ISNUMBER(B516),LEFT(D516,9)&lt;&gt;"Total for",D516&lt;&gt;"Gross Profit",D516&lt;&gt;"Net Operating Revenue",D516&lt;&gt;"Net Other Revenue",D516&lt;&gt;"Net Revenue"),1,0)</f>
        <v>0</v>
      </c>
      <c r="H516" s="36" t="str">
        <f aca="false">IF(G516=1,IF(AND(LEN(D516)&gt;7,ISNUMBER(VALUE(LEFT(D516,6))),MID(D516,7,1)=" "),LEFT(D516,6),D516),"")</f>
        <v/>
      </c>
      <c r="I516" s="36" t="str">
        <f aca="false">IF(G516=1,IF(COUNTIF('Forecast Detail'!$C$8:$C$400,H516)=0,"UNMAPPED","OK"),"")</f>
        <v/>
      </c>
    </row>
    <row r="517" customFormat="false" ht="15" hidden="false" customHeight="false" outlineLevel="0" collapsed="false">
      <c r="D517" s="36" t="str">
        <f aca="false">TRIM(A517)</f>
        <v/>
      </c>
      <c r="E517" s="36" t="str">
        <f aca="false">IF(D517="Revenue","Revenue",IF(D517="Cost of Goods Sold","COGS",IF(D517="Expenditures","Expense",IF(D517="Other Revenue","Other Revenue",IF(D517="Other Expenditures","Other Expense",E516)))))</f>
        <v>Other Expense</v>
      </c>
      <c r="F517" s="36" t="str">
        <f aca="false">IF(OR(D517="Revenue",D517="Cost of Goods Sold",D517="Expenditures",D517="Other Revenue",D517="Other Expenditures"),E517,IF(AND(LEN(D517)&gt;2,MID(D517,2,1)=" ",ISNUMBER(VALUE(LEFT(D517,1)))),D517,F516))</f>
        <v>Other Expense</v>
      </c>
      <c r="G517" s="36" t="n">
        <f aca="false">IF(AND(D517&lt;&gt;"",ISNUMBER(B517),LEFT(D517,9)&lt;&gt;"Total for",D517&lt;&gt;"Gross Profit",D517&lt;&gt;"Net Operating Revenue",D517&lt;&gt;"Net Other Revenue",D517&lt;&gt;"Net Revenue"),1,0)</f>
        <v>0</v>
      </c>
      <c r="H517" s="36" t="str">
        <f aca="false">IF(G517=1,IF(AND(LEN(D517)&gt;7,ISNUMBER(VALUE(LEFT(D517,6))),MID(D517,7,1)=" "),LEFT(D517,6),D517),"")</f>
        <v/>
      </c>
      <c r="I517" s="36" t="str">
        <f aca="false">IF(G517=1,IF(COUNTIF('Forecast Detail'!$C$8:$C$400,H517)=0,"UNMAPPED","OK"),"")</f>
        <v/>
      </c>
    </row>
    <row r="518" customFormat="false" ht="15" hidden="false" customHeight="false" outlineLevel="0" collapsed="false">
      <c r="D518" s="36" t="str">
        <f aca="false">TRIM(A518)</f>
        <v/>
      </c>
      <c r="E518" s="36" t="str">
        <f aca="false">IF(D518="Revenue","Revenue",IF(D518="Cost of Goods Sold","COGS",IF(D518="Expenditures","Expense",IF(D518="Other Revenue","Other Revenue",IF(D518="Other Expenditures","Other Expense",E517)))))</f>
        <v>Other Expense</v>
      </c>
      <c r="F518" s="36" t="str">
        <f aca="false">IF(OR(D518="Revenue",D518="Cost of Goods Sold",D518="Expenditures",D518="Other Revenue",D518="Other Expenditures"),E518,IF(AND(LEN(D518)&gt;2,MID(D518,2,1)=" ",ISNUMBER(VALUE(LEFT(D518,1)))),D518,F517))</f>
        <v>Other Expense</v>
      </c>
      <c r="G518" s="36" t="n">
        <f aca="false">IF(AND(D518&lt;&gt;"",ISNUMBER(B518),LEFT(D518,9)&lt;&gt;"Total for",D518&lt;&gt;"Gross Profit",D518&lt;&gt;"Net Operating Revenue",D518&lt;&gt;"Net Other Revenue",D518&lt;&gt;"Net Revenue"),1,0)</f>
        <v>0</v>
      </c>
      <c r="H518" s="36" t="str">
        <f aca="false">IF(G518=1,IF(AND(LEN(D518)&gt;7,ISNUMBER(VALUE(LEFT(D518,6))),MID(D518,7,1)=" "),LEFT(D518,6),D518),"")</f>
        <v/>
      </c>
      <c r="I518" s="36" t="str">
        <f aca="false">IF(G518=1,IF(COUNTIF('Forecast Detail'!$C$8:$C$400,H518)=0,"UNMAPPED","OK"),"")</f>
        <v/>
      </c>
    </row>
    <row r="519" customFormat="false" ht="15" hidden="false" customHeight="false" outlineLevel="0" collapsed="false">
      <c r="D519" s="36" t="str">
        <f aca="false">TRIM(A519)</f>
        <v/>
      </c>
      <c r="E519" s="36" t="str">
        <f aca="false">IF(D519="Revenue","Revenue",IF(D519="Cost of Goods Sold","COGS",IF(D519="Expenditures","Expense",IF(D519="Other Revenue","Other Revenue",IF(D519="Other Expenditures","Other Expense",E518)))))</f>
        <v>Other Expense</v>
      </c>
      <c r="F519" s="36" t="str">
        <f aca="false">IF(OR(D519="Revenue",D519="Cost of Goods Sold",D519="Expenditures",D519="Other Revenue",D519="Other Expenditures"),E519,IF(AND(LEN(D519)&gt;2,MID(D519,2,1)=" ",ISNUMBER(VALUE(LEFT(D519,1)))),D519,F518))</f>
        <v>Other Expense</v>
      </c>
      <c r="G519" s="36" t="n">
        <f aca="false">IF(AND(D519&lt;&gt;"",ISNUMBER(B519),LEFT(D519,9)&lt;&gt;"Total for",D519&lt;&gt;"Gross Profit",D519&lt;&gt;"Net Operating Revenue",D519&lt;&gt;"Net Other Revenue",D519&lt;&gt;"Net Revenue"),1,0)</f>
        <v>0</v>
      </c>
      <c r="H519" s="36" t="str">
        <f aca="false">IF(G519=1,IF(AND(LEN(D519)&gt;7,ISNUMBER(VALUE(LEFT(D519,6))),MID(D519,7,1)=" "),LEFT(D519,6),D519),"")</f>
        <v/>
      </c>
      <c r="I519" s="36" t="str">
        <f aca="false">IF(G519=1,IF(COUNTIF('Forecast Detail'!$C$8:$C$400,H519)=0,"UNMAPPED","OK"),"")</f>
        <v/>
      </c>
    </row>
    <row r="520" customFormat="false" ht="15" hidden="false" customHeight="false" outlineLevel="0" collapsed="false">
      <c r="D520" s="36" t="str">
        <f aca="false">TRIM(A520)</f>
        <v/>
      </c>
      <c r="E520" s="36" t="str">
        <f aca="false">IF(D520="Revenue","Revenue",IF(D520="Cost of Goods Sold","COGS",IF(D520="Expenditures","Expense",IF(D520="Other Revenue","Other Revenue",IF(D520="Other Expenditures","Other Expense",E519)))))</f>
        <v>Other Expense</v>
      </c>
      <c r="F520" s="36" t="str">
        <f aca="false">IF(OR(D520="Revenue",D520="Cost of Goods Sold",D520="Expenditures",D520="Other Revenue",D520="Other Expenditures"),E520,IF(AND(LEN(D520)&gt;2,MID(D520,2,1)=" ",ISNUMBER(VALUE(LEFT(D520,1)))),D520,F519))</f>
        <v>Other Expense</v>
      </c>
      <c r="G520" s="36" t="n">
        <f aca="false">IF(AND(D520&lt;&gt;"",ISNUMBER(B520),LEFT(D520,9)&lt;&gt;"Total for",D520&lt;&gt;"Gross Profit",D520&lt;&gt;"Net Operating Revenue",D520&lt;&gt;"Net Other Revenue",D520&lt;&gt;"Net Revenue"),1,0)</f>
        <v>0</v>
      </c>
      <c r="H520" s="36" t="str">
        <f aca="false">IF(G520=1,IF(AND(LEN(D520)&gt;7,ISNUMBER(VALUE(LEFT(D520,6))),MID(D520,7,1)=" "),LEFT(D520,6),D520),"")</f>
        <v/>
      </c>
      <c r="I520" s="36" t="str">
        <f aca="false">IF(G520=1,IF(COUNTIF('Forecast Detail'!$C$8:$C$400,H520)=0,"UNMAPPED","OK"),"")</f>
        <v/>
      </c>
    </row>
    <row r="521" customFormat="false" ht="15" hidden="false" customHeight="false" outlineLevel="0" collapsed="false">
      <c r="D521" s="36" t="str">
        <f aca="false">TRIM(A521)</f>
        <v/>
      </c>
      <c r="E521" s="36" t="str">
        <f aca="false">IF(D521="Revenue","Revenue",IF(D521="Cost of Goods Sold","COGS",IF(D521="Expenditures","Expense",IF(D521="Other Revenue","Other Revenue",IF(D521="Other Expenditures","Other Expense",E520)))))</f>
        <v>Other Expense</v>
      </c>
      <c r="F521" s="36" t="str">
        <f aca="false">IF(OR(D521="Revenue",D521="Cost of Goods Sold",D521="Expenditures",D521="Other Revenue",D521="Other Expenditures"),E521,IF(AND(LEN(D521)&gt;2,MID(D521,2,1)=" ",ISNUMBER(VALUE(LEFT(D521,1)))),D521,F520))</f>
        <v>Other Expense</v>
      </c>
      <c r="G521" s="36" t="n">
        <f aca="false">IF(AND(D521&lt;&gt;"",ISNUMBER(B521),LEFT(D521,9)&lt;&gt;"Total for",D521&lt;&gt;"Gross Profit",D521&lt;&gt;"Net Operating Revenue",D521&lt;&gt;"Net Other Revenue",D521&lt;&gt;"Net Revenue"),1,0)</f>
        <v>0</v>
      </c>
      <c r="H521" s="36" t="str">
        <f aca="false">IF(G521=1,IF(AND(LEN(D521)&gt;7,ISNUMBER(VALUE(LEFT(D521,6))),MID(D521,7,1)=" "),LEFT(D521,6),D521),"")</f>
        <v/>
      </c>
      <c r="I521" s="36" t="str">
        <f aca="false">IF(G521=1,IF(COUNTIF('Forecast Detail'!$C$8:$C$400,H521)=0,"UNMAPPED","OK"),"")</f>
        <v/>
      </c>
    </row>
    <row r="522" customFormat="false" ht="15" hidden="false" customHeight="false" outlineLevel="0" collapsed="false">
      <c r="D522" s="36" t="str">
        <f aca="false">TRIM(A522)</f>
        <v/>
      </c>
      <c r="E522" s="36" t="str">
        <f aca="false">IF(D522="Revenue","Revenue",IF(D522="Cost of Goods Sold","COGS",IF(D522="Expenditures","Expense",IF(D522="Other Revenue","Other Revenue",IF(D522="Other Expenditures","Other Expense",E521)))))</f>
        <v>Other Expense</v>
      </c>
      <c r="F522" s="36" t="str">
        <f aca="false">IF(OR(D522="Revenue",D522="Cost of Goods Sold",D522="Expenditures",D522="Other Revenue",D522="Other Expenditures"),E522,IF(AND(LEN(D522)&gt;2,MID(D522,2,1)=" ",ISNUMBER(VALUE(LEFT(D522,1)))),D522,F521))</f>
        <v>Other Expense</v>
      </c>
      <c r="G522" s="36" t="n">
        <f aca="false">IF(AND(D522&lt;&gt;"",ISNUMBER(B522),LEFT(D522,9)&lt;&gt;"Total for",D522&lt;&gt;"Gross Profit",D522&lt;&gt;"Net Operating Revenue",D522&lt;&gt;"Net Other Revenue",D522&lt;&gt;"Net Revenue"),1,0)</f>
        <v>0</v>
      </c>
      <c r="H522" s="36" t="str">
        <f aca="false">IF(G522=1,IF(AND(LEN(D522)&gt;7,ISNUMBER(VALUE(LEFT(D522,6))),MID(D522,7,1)=" "),LEFT(D522,6),D522),"")</f>
        <v/>
      </c>
      <c r="I522" s="36" t="str">
        <f aca="false">IF(G522=1,IF(COUNTIF('Forecast Detail'!$C$8:$C$400,H522)=0,"UNMAPPED","OK"),"")</f>
        <v/>
      </c>
    </row>
    <row r="523" customFormat="false" ht="15" hidden="false" customHeight="false" outlineLevel="0" collapsed="false">
      <c r="D523" s="36" t="str">
        <f aca="false">TRIM(A523)</f>
        <v/>
      </c>
      <c r="E523" s="36" t="str">
        <f aca="false">IF(D523="Revenue","Revenue",IF(D523="Cost of Goods Sold","COGS",IF(D523="Expenditures","Expense",IF(D523="Other Revenue","Other Revenue",IF(D523="Other Expenditures","Other Expense",E522)))))</f>
        <v>Other Expense</v>
      </c>
      <c r="F523" s="36" t="str">
        <f aca="false">IF(OR(D523="Revenue",D523="Cost of Goods Sold",D523="Expenditures",D523="Other Revenue",D523="Other Expenditures"),E523,IF(AND(LEN(D523)&gt;2,MID(D523,2,1)=" ",ISNUMBER(VALUE(LEFT(D523,1)))),D523,F522))</f>
        <v>Other Expense</v>
      </c>
      <c r="G523" s="36" t="n">
        <f aca="false">IF(AND(D523&lt;&gt;"",ISNUMBER(B523),LEFT(D523,9)&lt;&gt;"Total for",D523&lt;&gt;"Gross Profit",D523&lt;&gt;"Net Operating Revenue",D523&lt;&gt;"Net Other Revenue",D523&lt;&gt;"Net Revenue"),1,0)</f>
        <v>0</v>
      </c>
      <c r="H523" s="36" t="str">
        <f aca="false">IF(G523=1,IF(AND(LEN(D523)&gt;7,ISNUMBER(VALUE(LEFT(D523,6))),MID(D523,7,1)=" "),LEFT(D523,6),D523),"")</f>
        <v/>
      </c>
      <c r="I523" s="36" t="str">
        <f aca="false">IF(G523=1,IF(COUNTIF('Forecast Detail'!$C$8:$C$400,H523)=0,"UNMAPPED","OK"),"")</f>
        <v/>
      </c>
    </row>
    <row r="524" customFormat="false" ht="15" hidden="false" customHeight="false" outlineLevel="0" collapsed="false">
      <c r="D524" s="36" t="str">
        <f aca="false">TRIM(A524)</f>
        <v/>
      </c>
      <c r="E524" s="36" t="str">
        <f aca="false">IF(D524="Revenue","Revenue",IF(D524="Cost of Goods Sold","COGS",IF(D524="Expenditures","Expense",IF(D524="Other Revenue","Other Revenue",IF(D524="Other Expenditures","Other Expense",E523)))))</f>
        <v>Other Expense</v>
      </c>
      <c r="F524" s="36" t="str">
        <f aca="false">IF(OR(D524="Revenue",D524="Cost of Goods Sold",D524="Expenditures",D524="Other Revenue",D524="Other Expenditures"),E524,IF(AND(LEN(D524)&gt;2,MID(D524,2,1)=" ",ISNUMBER(VALUE(LEFT(D524,1)))),D524,F523))</f>
        <v>Other Expense</v>
      </c>
      <c r="G524" s="36" t="n">
        <f aca="false">IF(AND(D524&lt;&gt;"",ISNUMBER(B524),LEFT(D524,9)&lt;&gt;"Total for",D524&lt;&gt;"Gross Profit",D524&lt;&gt;"Net Operating Revenue",D524&lt;&gt;"Net Other Revenue",D524&lt;&gt;"Net Revenue"),1,0)</f>
        <v>0</v>
      </c>
      <c r="H524" s="36" t="str">
        <f aca="false">IF(G524=1,IF(AND(LEN(D524)&gt;7,ISNUMBER(VALUE(LEFT(D524,6))),MID(D524,7,1)=" "),LEFT(D524,6),D524),"")</f>
        <v/>
      </c>
      <c r="I524" s="36" t="str">
        <f aca="false">IF(G524=1,IF(COUNTIF('Forecast Detail'!$C$8:$C$400,H524)=0,"UNMAPPED","OK"),"")</f>
        <v/>
      </c>
    </row>
    <row r="525" customFormat="false" ht="15" hidden="false" customHeight="false" outlineLevel="0" collapsed="false">
      <c r="D525" s="36" t="str">
        <f aca="false">TRIM(A525)</f>
        <v/>
      </c>
      <c r="E525" s="36" t="str">
        <f aca="false">IF(D525="Revenue","Revenue",IF(D525="Cost of Goods Sold","COGS",IF(D525="Expenditures","Expense",IF(D525="Other Revenue","Other Revenue",IF(D525="Other Expenditures","Other Expense",E524)))))</f>
        <v>Other Expense</v>
      </c>
      <c r="F525" s="36" t="str">
        <f aca="false">IF(OR(D525="Revenue",D525="Cost of Goods Sold",D525="Expenditures",D525="Other Revenue",D525="Other Expenditures"),E525,IF(AND(LEN(D525)&gt;2,MID(D525,2,1)=" ",ISNUMBER(VALUE(LEFT(D525,1)))),D525,F524))</f>
        <v>Other Expense</v>
      </c>
      <c r="G525" s="36" t="n">
        <f aca="false">IF(AND(D525&lt;&gt;"",ISNUMBER(B525),LEFT(D525,9)&lt;&gt;"Total for",D525&lt;&gt;"Gross Profit",D525&lt;&gt;"Net Operating Revenue",D525&lt;&gt;"Net Other Revenue",D525&lt;&gt;"Net Revenue"),1,0)</f>
        <v>0</v>
      </c>
      <c r="H525" s="36" t="str">
        <f aca="false">IF(G525=1,IF(AND(LEN(D525)&gt;7,ISNUMBER(VALUE(LEFT(D525,6))),MID(D525,7,1)=" "),LEFT(D525,6),D525),"")</f>
        <v/>
      </c>
      <c r="I525" s="36" t="str">
        <f aca="false">IF(G525=1,IF(COUNTIF('Forecast Detail'!$C$8:$C$400,H525)=0,"UNMAPPED","OK"),"")</f>
        <v/>
      </c>
    </row>
    <row r="526" customFormat="false" ht="15" hidden="false" customHeight="false" outlineLevel="0" collapsed="false">
      <c r="D526" s="36" t="str">
        <f aca="false">TRIM(A526)</f>
        <v/>
      </c>
      <c r="E526" s="36" t="str">
        <f aca="false">IF(D526="Revenue","Revenue",IF(D526="Cost of Goods Sold","COGS",IF(D526="Expenditures","Expense",IF(D526="Other Revenue","Other Revenue",IF(D526="Other Expenditures","Other Expense",E525)))))</f>
        <v>Other Expense</v>
      </c>
      <c r="F526" s="36" t="str">
        <f aca="false">IF(OR(D526="Revenue",D526="Cost of Goods Sold",D526="Expenditures",D526="Other Revenue",D526="Other Expenditures"),E526,IF(AND(LEN(D526)&gt;2,MID(D526,2,1)=" ",ISNUMBER(VALUE(LEFT(D526,1)))),D526,F525))</f>
        <v>Other Expense</v>
      </c>
      <c r="G526" s="36" t="n">
        <f aca="false">IF(AND(D526&lt;&gt;"",ISNUMBER(B526),LEFT(D526,9)&lt;&gt;"Total for",D526&lt;&gt;"Gross Profit",D526&lt;&gt;"Net Operating Revenue",D526&lt;&gt;"Net Other Revenue",D526&lt;&gt;"Net Revenue"),1,0)</f>
        <v>0</v>
      </c>
      <c r="H526" s="36" t="str">
        <f aca="false">IF(G526=1,IF(AND(LEN(D526)&gt;7,ISNUMBER(VALUE(LEFT(D526,6))),MID(D526,7,1)=" "),LEFT(D526,6),D526),"")</f>
        <v/>
      </c>
      <c r="I526" s="36" t="str">
        <f aca="false">IF(G526=1,IF(COUNTIF('Forecast Detail'!$C$8:$C$400,H526)=0,"UNMAPPED","OK"),"")</f>
        <v/>
      </c>
    </row>
    <row r="527" customFormat="false" ht="15" hidden="false" customHeight="false" outlineLevel="0" collapsed="false">
      <c r="D527" s="36" t="str">
        <f aca="false">TRIM(A527)</f>
        <v/>
      </c>
      <c r="E527" s="36" t="str">
        <f aca="false">IF(D527="Revenue","Revenue",IF(D527="Cost of Goods Sold","COGS",IF(D527="Expenditures","Expense",IF(D527="Other Revenue","Other Revenue",IF(D527="Other Expenditures","Other Expense",E526)))))</f>
        <v>Other Expense</v>
      </c>
      <c r="F527" s="36" t="str">
        <f aca="false">IF(OR(D527="Revenue",D527="Cost of Goods Sold",D527="Expenditures",D527="Other Revenue",D527="Other Expenditures"),E527,IF(AND(LEN(D527)&gt;2,MID(D527,2,1)=" ",ISNUMBER(VALUE(LEFT(D527,1)))),D527,F526))</f>
        <v>Other Expense</v>
      </c>
      <c r="G527" s="36" t="n">
        <f aca="false">IF(AND(D527&lt;&gt;"",ISNUMBER(B527),LEFT(D527,9)&lt;&gt;"Total for",D527&lt;&gt;"Gross Profit",D527&lt;&gt;"Net Operating Revenue",D527&lt;&gt;"Net Other Revenue",D527&lt;&gt;"Net Revenue"),1,0)</f>
        <v>0</v>
      </c>
      <c r="H527" s="36" t="str">
        <f aca="false">IF(G527=1,IF(AND(LEN(D527)&gt;7,ISNUMBER(VALUE(LEFT(D527,6))),MID(D527,7,1)=" "),LEFT(D527,6),D527),"")</f>
        <v/>
      </c>
      <c r="I527" s="36" t="str">
        <f aca="false">IF(G527=1,IF(COUNTIF('Forecast Detail'!$C$8:$C$400,H527)=0,"UNMAPPED","OK"),"")</f>
        <v/>
      </c>
    </row>
    <row r="528" customFormat="false" ht="15" hidden="false" customHeight="false" outlineLevel="0" collapsed="false">
      <c r="D528" s="36" t="str">
        <f aca="false">TRIM(A528)</f>
        <v/>
      </c>
      <c r="E528" s="36" t="str">
        <f aca="false">IF(D528="Revenue","Revenue",IF(D528="Cost of Goods Sold","COGS",IF(D528="Expenditures","Expense",IF(D528="Other Revenue","Other Revenue",IF(D528="Other Expenditures","Other Expense",E527)))))</f>
        <v>Other Expense</v>
      </c>
      <c r="F528" s="36" t="str">
        <f aca="false">IF(OR(D528="Revenue",D528="Cost of Goods Sold",D528="Expenditures",D528="Other Revenue",D528="Other Expenditures"),E528,IF(AND(LEN(D528)&gt;2,MID(D528,2,1)=" ",ISNUMBER(VALUE(LEFT(D528,1)))),D528,F527))</f>
        <v>Other Expense</v>
      </c>
      <c r="G528" s="36" t="n">
        <f aca="false">IF(AND(D528&lt;&gt;"",ISNUMBER(B528),LEFT(D528,9)&lt;&gt;"Total for",D528&lt;&gt;"Gross Profit",D528&lt;&gt;"Net Operating Revenue",D528&lt;&gt;"Net Other Revenue",D528&lt;&gt;"Net Revenue"),1,0)</f>
        <v>0</v>
      </c>
      <c r="H528" s="36" t="str">
        <f aca="false">IF(G528=1,IF(AND(LEN(D528)&gt;7,ISNUMBER(VALUE(LEFT(D528,6))),MID(D528,7,1)=" "),LEFT(D528,6),D528),"")</f>
        <v/>
      </c>
      <c r="I528" s="36" t="str">
        <f aca="false">IF(G528=1,IF(COUNTIF('Forecast Detail'!$C$8:$C$400,H528)=0,"UNMAPPED","OK"),"")</f>
        <v/>
      </c>
    </row>
    <row r="529" customFormat="false" ht="15" hidden="false" customHeight="false" outlineLevel="0" collapsed="false">
      <c r="D529" s="36" t="str">
        <f aca="false">TRIM(A529)</f>
        <v/>
      </c>
      <c r="E529" s="36" t="str">
        <f aca="false">IF(D529="Revenue","Revenue",IF(D529="Cost of Goods Sold","COGS",IF(D529="Expenditures","Expense",IF(D529="Other Revenue","Other Revenue",IF(D529="Other Expenditures","Other Expense",E528)))))</f>
        <v>Other Expense</v>
      </c>
      <c r="F529" s="36" t="str">
        <f aca="false">IF(OR(D529="Revenue",D529="Cost of Goods Sold",D529="Expenditures",D529="Other Revenue",D529="Other Expenditures"),E529,IF(AND(LEN(D529)&gt;2,MID(D529,2,1)=" ",ISNUMBER(VALUE(LEFT(D529,1)))),D529,F528))</f>
        <v>Other Expense</v>
      </c>
      <c r="G529" s="36" t="n">
        <f aca="false">IF(AND(D529&lt;&gt;"",ISNUMBER(B529),LEFT(D529,9)&lt;&gt;"Total for",D529&lt;&gt;"Gross Profit",D529&lt;&gt;"Net Operating Revenue",D529&lt;&gt;"Net Other Revenue",D529&lt;&gt;"Net Revenue"),1,0)</f>
        <v>0</v>
      </c>
      <c r="H529" s="36" t="str">
        <f aca="false">IF(G529=1,IF(AND(LEN(D529)&gt;7,ISNUMBER(VALUE(LEFT(D529,6))),MID(D529,7,1)=" "),LEFT(D529,6),D529),"")</f>
        <v/>
      </c>
      <c r="I529" s="36" t="str">
        <f aca="false">IF(G529=1,IF(COUNTIF('Forecast Detail'!$C$8:$C$400,H529)=0,"UNMAPPED","OK"),"")</f>
        <v/>
      </c>
    </row>
    <row r="530" customFormat="false" ht="15" hidden="false" customHeight="false" outlineLevel="0" collapsed="false">
      <c r="D530" s="36" t="str">
        <f aca="false">TRIM(A530)</f>
        <v/>
      </c>
      <c r="E530" s="36" t="str">
        <f aca="false">IF(D530="Revenue","Revenue",IF(D530="Cost of Goods Sold","COGS",IF(D530="Expenditures","Expense",IF(D530="Other Revenue","Other Revenue",IF(D530="Other Expenditures","Other Expense",E529)))))</f>
        <v>Other Expense</v>
      </c>
      <c r="F530" s="36" t="str">
        <f aca="false">IF(OR(D530="Revenue",D530="Cost of Goods Sold",D530="Expenditures",D530="Other Revenue",D530="Other Expenditures"),E530,IF(AND(LEN(D530)&gt;2,MID(D530,2,1)=" ",ISNUMBER(VALUE(LEFT(D530,1)))),D530,F529))</f>
        <v>Other Expense</v>
      </c>
      <c r="G530" s="36" t="n">
        <f aca="false">IF(AND(D530&lt;&gt;"",ISNUMBER(B530),LEFT(D530,9)&lt;&gt;"Total for",D530&lt;&gt;"Gross Profit",D530&lt;&gt;"Net Operating Revenue",D530&lt;&gt;"Net Other Revenue",D530&lt;&gt;"Net Revenue"),1,0)</f>
        <v>0</v>
      </c>
      <c r="H530" s="36" t="str">
        <f aca="false">IF(G530=1,IF(AND(LEN(D530)&gt;7,ISNUMBER(VALUE(LEFT(D530,6))),MID(D530,7,1)=" "),LEFT(D530,6),D530),"")</f>
        <v/>
      </c>
      <c r="I530" s="36" t="str">
        <f aca="false">IF(G530=1,IF(COUNTIF('Forecast Detail'!$C$8:$C$400,H530)=0,"UNMAPPED","OK"),"")</f>
        <v/>
      </c>
    </row>
    <row r="531" customFormat="false" ht="15" hidden="false" customHeight="false" outlineLevel="0" collapsed="false">
      <c r="D531" s="36" t="str">
        <f aca="false">TRIM(A531)</f>
        <v/>
      </c>
      <c r="E531" s="36" t="str">
        <f aca="false">IF(D531="Revenue","Revenue",IF(D531="Cost of Goods Sold","COGS",IF(D531="Expenditures","Expense",IF(D531="Other Revenue","Other Revenue",IF(D531="Other Expenditures","Other Expense",E530)))))</f>
        <v>Other Expense</v>
      </c>
      <c r="F531" s="36" t="str">
        <f aca="false">IF(OR(D531="Revenue",D531="Cost of Goods Sold",D531="Expenditures",D531="Other Revenue",D531="Other Expenditures"),E531,IF(AND(LEN(D531)&gt;2,MID(D531,2,1)=" ",ISNUMBER(VALUE(LEFT(D531,1)))),D531,F530))</f>
        <v>Other Expense</v>
      </c>
      <c r="G531" s="36" t="n">
        <f aca="false">IF(AND(D531&lt;&gt;"",ISNUMBER(B531),LEFT(D531,9)&lt;&gt;"Total for",D531&lt;&gt;"Gross Profit",D531&lt;&gt;"Net Operating Revenue",D531&lt;&gt;"Net Other Revenue",D531&lt;&gt;"Net Revenue"),1,0)</f>
        <v>0</v>
      </c>
      <c r="H531" s="36" t="str">
        <f aca="false">IF(G531=1,IF(AND(LEN(D531)&gt;7,ISNUMBER(VALUE(LEFT(D531,6))),MID(D531,7,1)=" "),LEFT(D531,6),D531),"")</f>
        <v/>
      </c>
      <c r="I531" s="36" t="str">
        <f aca="false">IF(G531=1,IF(COUNTIF('Forecast Detail'!$C$8:$C$400,H531)=0,"UNMAPPED","OK"),"")</f>
        <v/>
      </c>
    </row>
    <row r="532" customFormat="false" ht="15" hidden="false" customHeight="false" outlineLevel="0" collapsed="false">
      <c r="D532" s="36" t="str">
        <f aca="false">TRIM(A532)</f>
        <v/>
      </c>
      <c r="E532" s="36" t="str">
        <f aca="false">IF(D532="Revenue","Revenue",IF(D532="Cost of Goods Sold","COGS",IF(D532="Expenditures","Expense",IF(D532="Other Revenue","Other Revenue",IF(D532="Other Expenditures","Other Expense",E531)))))</f>
        <v>Other Expense</v>
      </c>
      <c r="F532" s="36" t="str">
        <f aca="false">IF(OR(D532="Revenue",D532="Cost of Goods Sold",D532="Expenditures",D532="Other Revenue",D532="Other Expenditures"),E532,IF(AND(LEN(D532)&gt;2,MID(D532,2,1)=" ",ISNUMBER(VALUE(LEFT(D532,1)))),D532,F531))</f>
        <v>Other Expense</v>
      </c>
      <c r="G532" s="36" t="n">
        <f aca="false">IF(AND(D532&lt;&gt;"",ISNUMBER(B532),LEFT(D532,9)&lt;&gt;"Total for",D532&lt;&gt;"Gross Profit",D532&lt;&gt;"Net Operating Revenue",D532&lt;&gt;"Net Other Revenue",D532&lt;&gt;"Net Revenue"),1,0)</f>
        <v>0</v>
      </c>
      <c r="H532" s="36" t="str">
        <f aca="false">IF(G532=1,IF(AND(LEN(D532)&gt;7,ISNUMBER(VALUE(LEFT(D532,6))),MID(D532,7,1)=" "),LEFT(D532,6),D532),"")</f>
        <v/>
      </c>
      <c r="I532" s="36" t="str">
        <f aca="false">IF(G532=1,IF(COUNTIF('Forecast Detail'!$C$8:$C$400,H532)=0,"UNMAPPED","OK"),"")</f>
        <v/>
      </c>
    </row>
    <row r="533" customFormat="false" ht="15" hidden="false" customHeight="false" outlineLevel="0" collapsed="false">
      <c r="D533" s="36" t="str">
        <f aca="false">TRIM(A533)</f>
        <v/>
      </c>
      <c r="E533" s="36" t="str">
        <f aca="false">IF(D533="Revenue","Revenue",IF(D533="Cost of Goods Sold","COGS",IF(D533="Expenditures","Expense",IF(D533="Other Revenue","Other Revenue",IF(D533="Other Expenditures","Other Expense",E532)))))</f>
        <v>Other Expense</v>
      </c>
      <c r="F533" s="36" t="str">
        <f aca="false">IF(OR(D533="Revenue",D533="Cost of Goods Sold",D533="Expenditures",D533="Other Revenue",D533="Other Expenditures"),E533,IF(AND(LEN(D533)&gt;2,MID(D533,2,1)=" ",ISNUMBER(VALUE(LEFT(D533,1)))),D533,F532))</f>
        <v>Other Expense</v>
      </c>
      <c r="G533" s="36" t="n">
        <f aca="false">IF(AND(D533&lt;&gt;"",ISNUMBER(B533),LEFT(D533,9)&lt;&gt;"Total for",D533&lt;&gt;"Gross Profit",D533&lt;&gt;"Net Operating Revenue",D533&lt;&gt;"Net Other Revenue",D533&lt;&gt;"Net Revenue"),1,0)</f>
        <v>0</v>
      </c>
      <c r="H533" s="36" t="str">
        <f aca="false">IF(G533=1,IF(AND(LEN(D533)&gt;7,ISNUMBER(VALUE(LEFT(D533,6))),MID(D533,7,1)=" "),LEFT(D533,6),D533),"")</f>
        <v/>
      </c>
      <c r="I533" s="36" t="str">
        <f aca="false">IF(G533=1,IF(COUNTIF('Forecast Detail'!$C$8:$C$400,H533)=0,"UNMAPPED","OK"),"")</f>
        <v/>
      </c>
    </row>
    <row r="534" customFormat="false" ht="15" hidden="false" customHeight="false" outlineLevel="0" collapsed="false">
      <c r="D534" s="36" t="str">
        <f aca="false">TRIM(A534)</f>
        <v/>
      </c>
      <c r="E534" s="36" t="str">
        <f aca="false">IF(D534="Revenue","Revenue",IF(D534="Cost of Goods Sold","COGS",IF(D534="Expenditures","Expense",IF(D534="Other Revenue","Other Revenue",IF(D534="Other Expenditures","Other Expense",E533)))))</f>
        <v>Other Expense</v>
      </c>
      <c r="F534" s="36" t="str">
        <f aca="false">IF(OR(D534="Revenue",D534="Cost of Goods Sold",D534="Expenditures",D534="Other Revenue",D534="Other Expenditures"),E534,IF(AND(LEN(D534)&gt;2,MID(D534,2,1)=" ",ISNUMBER(VALUE(LEFT(D534,1)))),D534,F533))</f>
        <v>Other Expense</v>
      </c>
      <c r="G534" s="36" t="n">
        <f aca="false">IF(AND(D534&lt;&gt;"",ISNUMBER(B534),LEFT(D534,9)&lt;&gt;"Total for",D534&lt;&gt;"Gross Profit",D534&lt;&gt;"Net Operating Revenue",D534&lt;&gt;"Net Other Revenue",D534&lt;&gt;"Net Revenue"),1,0)</f>
        <v>0</v>
      </c>
      <c r="H534" s="36" t="str">
        <f aca="false">IF(G534=1,IF(AND(LEN(D534)&gt;7,ISNUMBER(VALUE(LEFT(D534,6))),MID(D534,7,1)=" "),LEFT(D534,6),D534),"")</f>
        <v/>
      </c>
      <c r="I534" s="36" t="str">
        <f aca="false">IF(G534=1,IF(COUNTIF('Forecast Detail'!$C$8:$C$400,H534)=0,"UNMAPPED","OK"),"")</f>
        <v/>
      </c>
    </row>
    <row r="535" customFormat="false" ht="15" hidden="false" customHeight="false" outlineLevel="0" collapsed="false">
      <c r="D535" s="36" t="str">
        <f aca="false">TRIM(A535)</f>
        <v/>
      </c>
      <c r="E535" s="36" t="str">
        <f aca="false">IF(D535="Revenue","Revenue",IF(D535="Cost of Goods Sold","COGS",IF(D535="Expenditures","Expense",IF(D535="Other Revenue","Other Revenue",IF(D535="Other Expenditures","Other Expense",E534)))))</f>
        <v>Other Expense</v>
      </c>
      <c r="F535" s="36" t="str">
        <f aca="false">IF(OR(D535="Revenue",D535="Cost of Goods Sold",D535="Expenditures",D535="Other Revenue",D535="Other Expenditures"),E535,IF(AND(LEN(D535)&gt;2,MID(D535,2,1)=" ",ISNUMBER(VALUE(LEFT(D535,1)))),D535,F534))</f>
        <v>Other Expense</v>
      </c>
      <c r="G535" s="36" t="n">
        <f aca="false">IF(AND(D535&lt;&gt;"",ISNUMBER(B535),LEFT(D535,9)&lt;&gt;"Total for",D535&lt;&gt;"Gross Profit",D535&lt;&gt;"Net Operating Revenue",D535&lt;&gt;"Net Other Revenue",D535&lt;&gt;"Net Revenue"),1,0)</f>
        <v>0</v>
      </c>
      <c r="H535" s="36" t="str">
        <f aca="false">IF(G535=1,IF(AND(LEN(D535)&gt;7,ISNUMBER(VALUE(LEFT(D535,6))),MID(D535,7,1)=" "),LEFT(D535,6),D535),"")</f>
        <v/>
      </c>
      <c r="I535" s="36" t="str">
        <f aca="false">IF(G535=1,IF(COUNTIF('Forecast Detail'!$C$8:$C$400,H535)=0,"UNMAPPED","OK"),"")</f>
        <v/>
      </c>
    </row>
    <row r="536" customFormat="false" ht="15" hidden="false" customHeight="false" outlineLevel="0" collapsed="false">
      <c r="D536" s="36" t="str">
        <f aca="false">TRIM(A536)</f>
        <v/>
      </c>
      <c r="E536" s="36" t="str">
        <f aca="false">IF(D536="Revenue","Revenue",IF(D536="Cost of Goods Sold","COGS",IF(D536="Expenditures","Expense",IF(D536="Other Revenue","Other Revenue",IF(D536="Other Expenditures","Other Expense",E535)))))</f>
        <v>Other Expense</v>
      </c>
      <c r="F536" s="36" t="str">
        <f aca="false">IF(OR(D536="Revenue",D536="Cost of Goods Sold",D536="Expenditures",D536="Other Revenue",D536="Other Expenditures"),E536,IF(AND(LEN(D536)&gt;2,MID(D536,2,1)=" ",ISNUMBER(VALUE(LEFT(D536,1)))),D536,F535))</f>
        <v>Other Expense</v>
      </c>
      <c r="G536" s="36" t="n">
        <f aca="false">IF(AND(D536&lt;&gt;"",ISNUMBER(B536),LEFT(D536,9)&lt;&gt;"Total for",D536&lt;&gt;"Gross Profit",D536&lt;&gt;"Net Operating Revenue",D536&lt;&gt;"Net Other Revenue",D536&lt;&gt;"Net Revenue"),1,0)</f>
        <v>0</v>
      </c>
      <c r="H536" s="36" t="str">
        <f aca="false">IF(G536=1,IF(AND(LEN(D536)&gt;7,ISNUMBER(VALUE(LEFT(D536,6))),MID(D536,7,1)=" "),LEFT(D536,6),D536),"")</f>
        <v/>
      </c>
      <c r="I536" s="36" t="str">
        <f aca="false">IF(G536=1,IF(COUNTIF('Forecast Detail'!$C$8:$C$400,H536)=0,"UNMAPPED","OK"),"")</f>
        <v/>
      </c>
    </row>
    <row r="537" customFormat="false" ht="15" hidden="false" customHeight="false" outlineLevel="0" collapsed="false">
      <c r="D537" s="36" t="str">
        <f aca="false">TRIM(A537)</f>
        <v/>
      </c>
      <c r="E537" s="36" t="str">
        <f aca="false">IF(D537="Revenue","Revenue",IF(D537="Cost of Goods Sold","COGS",IF(D537="Expenditures","Expense",IF(D537="Other Revenue","Other Revenue",IF(D537="Other Expenditures","Other Expense",E536)))))</f>
        <v>Other Expense</v>
      </c>
      <c r="F537" s="36" t="str">
        <f aca="false">IF(OR(D537="Revenue",D537="Cost of Goods Sold",D537="Expenditures",D537="Other Revenue",D537="Other Expenditures"),E537,IF(AND(LEN(D537)&gt;2,MID(D537,2,1)=" ",ISNUMBER(VALUE(LEFT(D537,1)))),D537,F536))</f>
        <v>Other Expense</v>
      </c>
      <c r="G537" s="36" t="n">
        <f aca="false">IF(AND(D537&lt;&gt;"",ISNUMBER(B537),LEFT(D537,9)&lt;&gt;"Total for",D537&lt;&gt;"Gross Profit",D537&lt;&gt;"Net Operating Revenue",D537&lt;&gt;"Net Other Revenue",D537&lt;&gt;"Net Revenue"),1,0)</f>
        <v>0</v>
      </c>
      <c r="H537" s="36" t="str">
        <f aca="false">IF(G537=1,IF(AND(LEN(D537)&gt;7,ISNUMBER(VALUE(LEFT(D537,6))),MID(D537,7,1)=" "),LEFT(D537,6),D537),"")</f>
        <v/>
      </c>
      <c r="I537" s="36" t="str">
        <f aca="false">IF(G537=1,IF(COUNTIF('Forecast Detail'!$C$8:$C$400,H537)=0,"UNMAPPED","OK"),"")</f>
        <v/>
      </c>
    </row>
    <row r="538" customFormat="false" ht="15" hidden="false" customHeight="false" outlineLevel="0" collapsed="false">
      <c r="D538" s="36" t="str">
        <f aca="false">TRIM(A538)</f>
        <v/>
      </c>
      <c r="E538" s="36" t="str">
        <f aca="false">IF(D538="Revenue","Revenue",IF(D538="Cost of Goods Sold","COGS",IF(D538="Expenditures","Expense",IF(D538="Other Revenue","Other Revenue",IF(D538="Other Expenditures","Other Expense",E537)))))</f>
        <v>Other Expense</v>
      </c>
      <c r="F538" s="36" t="str">
        <f aca="false">IF(OR(D538="Revenue",D538="Cost of Goods Sold",D538="Expenditures",D538="Other Revenue",D538="Other Expenditures"),E538,IF(AND(LEN(D538)&gt;2,MID(D538,2,1)=" ",ISNUMBER(VALUE(LEFT(D538,1)))),D538,F537))</f>
        <v>Other Expense</v>
      </c>
      <c r="G538" s="36" t="n">
        <f aca="false">IF(AND(D538&lt;&gt;"",ISNUMBER(B538),LEFT(D538,9)&lt;&gt;"Total for",D538&lt;&gt;"Gross Profit",D538&lt;&gt;"Net Operating Revenue",D538&lt;&gt;"Net Other Revenue",D538&lt;&gt;"Net Revenue"),1,0)</f>
        <v>0</v>
      </c>
      <c r="H538" s="36" t="str">
        <f aca="false">IF(G538=1,IF(AND(LEN(D538)&gt;7,ISNUMBER(VALUE(LEFT(D538,6))),MID(D538,7,1)=" "),LEFT(D538,6),D538),"")</f>
        <v/>
      </c>
      <c r="I538" s="36" t="str">
        <f aca="false">IF(G538=1,IF(COUNTIF('Forecast Detail'!$C$8:$C$400,H538)=0,"UNMAPPED","OK"),"")</f>
        <v/>
      </c>
    </row>
    <row r="539" customFormat="false" ht="15" hidden="false" customHeight="false" outlineLevel="0" collapsed="false">
      <c r="D539" s="36" t="str">
        <f aca="false">TRIM(A539)</f>
        <v/>
      </c>
      <c r="E539" s="36" t="str">
        <f aca="false">IF(D539="Revenue","Revenue",IF(D539="Cost of Goods Sold","COGS",IF(D539="Expenditures","Expense",IF(D539="Other Revenue","Other Revenue",IF(D539="Other Expenditures","Other Expense",E538)))))</f>
        <v>Other Expense</v>
      </c>
      <c r="F539" s="36" t="str">
        <f aca="false">IF(OR(D539="Revenue",D539="Cost of Goods Sold",D539="Expenditures",D539="Other Revenue",D539="Other Expenditures"),E539,IF(AND(LEN(D539)&gt;2,MID(D539,2,1)=" ",ISNUMBER(VALUE(LEFT(D539,1)))),D539,F538))</f>
        <v>Other Expense</v>
      </c>
      <c r="G539" s="36" t="n">
        <f aca="false">IF(AND(D539&lt;&gt;"",ISNUMBER(B539),LEFT(D539,9)&lt;&gt;"Total for",D539&lt;&gt;"Gross Profit",D539&lt;&gt;"Net Operating Revenue",D539&lt;&gt;"Net Other Revenue",D539&lt;&gt;"Net Revenue"),1,0)</f>
        <v>0</v>
      </c>
      <c r="H539" s="36" t="str">
        <f aca="false">IF(G539=1,IF(AND(LEN(D539)&gt;7,ISNUMBER(VALUE(LEFT(D539,6))),MID(D539,7,1)=" "),LEFT(D539,6),D539),"")</f>
        <v/>
      </c>
      <c r="I539" s="36" t="str">
        <f aca="false">IF(G539=1,IF(COUNTIF('Forecast Detail'!$C$8:$C$400,H539)=0,"UNMAPPED","OK"),"")</f>
        <v/>
      </c>
    </row>
    <row r="540" customFormat="false" ht="15" hidden="false" customHeight="false" outlineLevel="0" collapsed="false">
      <c r="D540" s="36" t="str">
        <f aca="false">TRIM(A540)</f>
        <v/>
      </c>
      <c r="E540" s="36" t="str">
        <f aca="false">IF(D540="Revenue","Revenue",IF(D540="Cost of Goods Sold","COGS",IF(D540="Expenditures","Expense",IF(D540="Other Revenue","Other Revenue",IF(D540="Other Expenditures","Other Expense",E539)))))</f>
        <v>Other Expense</v>
      </c>
      <c r="F540" s="36" t="str">
        <f aca="false">IF(OR(D540="Revenue",D540="Cost of Goods Sold",D540="Expenditures",D540="Other Revenue",D540="Other Expenditures"),E540,IF(AND(LEN(D540)&gt;2,MID(D540,2,1)=" ",ISNUMBER(VALUE(LEFT(D540,1)))),D540,F539))</f>
        <v>Other Expense</v>
      </c>
      <c r="G540" s="36" t="n">
        <f aca="false">IF(AND(D540&lt;&gt;"",ISNUMBER(B540),LEFT(D540,9)&lt;&gt;"Total for",D540&lt;&gt;"Gross Profit",D540&lt;&gt;"Net Operating Revenue",D540&lt;&gt;"Net Other Revenue",D540&lt;&gt;"Net Revenue"),1,0)</f>
        <v>0</v>
      </c>
      <c r="H540" s="36" t="str">
        <f aca="false">IF(G540=1,IF(AND(LEN(D540)&gt;7,ISNUMBER(VALUE(LEFT(D540,6))),MID(D540,7,1)=" "),LEFT(D540,6),D540),"")</f>
        <v/>
      </c>
      <c r="I540" s="36" t="str">
        <f aca="false">IF(G540=1,IF(COUNTIF('Forecast Detail'!$C$8:$C$400,H540)=0,"UNMAPPED","OK"),"")</f>
        <v/>
      </c>
    </row>
    <row r="541" customFormat="false" ht="15" hidden="false" customHeight="false" outlineLevel="0" collapsed="false">
      <c r="D541" s="36" t="str">
        <f aca="false">TRIM(A541)</f>
        <v/>
      </c>
      <c r="E541" s="36" t="str">
        <f aca="false">IF(D541="Revenue","Revenue",IF(D541="Cost of Goods Sold","COGS",IF(D541="Expenditures","Expense",IF(D541="Other Revenue","Other Revenue",IF(D541="Other Expenditures","Other Expense",E540)))))</f>
        <v>Other Expense</v>
      </c>
      <c r="F541" s="36" t="str">
        <f aca="false">IF(OR(D541="Revenue",D541="Cost of Goods Sold",D541="Expenditures",D541="Other Revenue",D541="Other Expenditures"),E541,IF(AND(LEN(D541)&gt;2,MID(D541,2,1)=" ",ISNUMBER(VALUE(LEFT(D541,1)))),D541,F540))</f>
        <v>Other Expense</v>
      </c>
      <c r="G541" s="36" t="n">
        <f aca="false">IF(AND(D541&lt;&gt;"",ISNUMBER(B541),LEFT(D541,9)&lt;&gt;"Total for",D541&lt;&gt;"Gross Profit",D541&lt;&gt;"Net Operating Revenue",D541&lt;&gt;"Net Other Revenue",D541&lt;&gt;"Net Revenue"),1,0)</f>
        <v>0</v>
      </c>
      <c r="H541" s="36" t="str">
        <f aca="false">IF(G541=1,IF(AND(LEN(D541)&gt;7,ISNUMBER(VALUE(LEFT(D541,6))),MID(D541,7,1)=" "),LEFT(D541,6),D541),"")</f>
        <v/>
      </c>
      <c r="I541" s="36" t="str">
        <f aca="false">IF(G541=1,IF(COUNTIF('Forecast Detail'!$C$8:$C$400,H541)=0,"UNMAPPED","OK"),"")</f>
        <v/>
      </c>
    </row>
    <row r="542" customFormat="false" ht="15" hidden="false" customHeight="false" outlineLevel="0" collapsed="false">
      <c r="D542" s="36" t="str">
        <f aca="false">TRIM(A542)</f>
        <v/>
      </c>
      <c r="E542" s="36" t="str">
        <f aca="false">IF(D542="Revenue","Revenue",IF(D542="Cost of Goods Sold","COGS",IF(D542="Expenditures","Expense",IF(D542="Other Revenue","Other Revenue",IF(D542="Other Expenditures","Other Expense",E541)))))</f>
        <v>Other Expense</v>
      </c>
      <c r="F542" s="36" t="str">
        <f aca="false">IF(OR(D542="Revenue",D542="Cost of Goods Sold",D542="Expenditures",D542="Other Revenue",D542="Other Expenditures"),E542,IF(AND(LEN(D542)&gt;2,MID(D542,2,1)=" ",ISNUMBER(VALUE(LEFT(D542,1)))),D542,F541))</f>
        <v>Other Expense</v>
      </c>
      <c r="G542" s="36" t="n">
        <f aca="false">IF(AND(D542&lt;&gt;"",ISNUMBER(B542),LEFT(D542,9)&lt;&gt;"Total for",D542&lt;&gt;"Gross Profit",D542&lt;&gt;"Net Operating Revenue",D542&lt;&gt;"Net Other Revenue",D542&lt;&gt;"Net Revenue"),1,0)</f>
        <v>0</v>
      </c>
      <c r="H542" s="36" t="str">
        <f aca="false">IF(G542=1,IF(AND(LEN(D542)&gt;7,ISNUMBER(VALUE(LEFT(D542,6))),MID(D542,7,1)=" "),LEFT(D542,6),D542),"")</f>
        <v/>
      </c>
      <c r="I542" s="36" t="str">
        <f aca="false">IF(G542=1,IF(COUNTIF('Forecast Detail'!$C$8:$C$400,H542)=0,"UNMAPPED","OK"),"")</f>
        <v/>
      </c>
    </row>
    <row r="543" customFormat="false" ht="15" hidden="false" customHeight="false" outlineLevel="0" collapsed="false">
      <c r="D543" s="36" t="str">
        <f aca="false">TRIM(A543)</f>
        <v/>
      </c>
      <c r="E543" s="36" t="str">
        <f aca="false">IF(D543="Revenue","Revenue",IF(D543="Cost of Goods Sold","COGS",IF(D543="Expenditures","Expense",IF(D543="Other Revenue","Other Revenue",IF(D543="Other Expenditures","Other Expense",E542)))))</f>
        <v>Other Expense</v>
      </c>
      <c r="F543" s="36" t="str">
        <f aca="false">IF(OR(D543="Revenue",D543="Cost of Goods Sold",D543="Expenditures",D543="Other Revenue",D543="Other Expenditures"),E543,IF(AND(LEN(D543)&gt;2,MID(D543,2,1)=" ",ISNUMBER(VALUE(LEFT(D543,1)))),D543,F542))</f>
        <v>Other Expense</v>
      </c>
      <c r="G543" s="36" t="n">
        <f aca="false">IF(AND(D543&lt;&gt;"",ISNUMBER(B543),LEFT(D543,9)&lt;&gt;"Total for",D543&lt;&gt;"Gross Profit",D543&lt;&gt;"Net Operating Revenue",D543&lt;&gt;"Net Other Revenue",D543&lt;&gt;"Net Revenue"),1,0)</f>
        <v>0</v>
      </c>
      <c r="H543" s="36" t="str">
        <f aca="false">IF(G543=1,IF(AND(LEN(D543)&gt;7,ISNUMBER(VALUE(LEFT(D543,6))),MID(D543,7,1)=" "),LEFT(D543,6),D543),"")</f>
        <v/>
      </c>
      <c r="I543" s="36" t="str">
        <f aca="false">IF(G543=1,IF(COUNTIF('Forecast Detail'!$C$8:$C$400,H543)=0,"UNMAPPED","OK"),"")</f>
        <v/>
      </c>
    </row>
    <row r="544" customFormat="false" ht="15" hidden="false" customHeight="false" outlineLevel="0" collapsed="false">
      <c r="D544" s="36" t="str">
        <f aca="false">TRIM(A544)</f>
        <v/>
      </c>
      <c r="E544" s="36" t="str">
        <f aca="false">IF(D544="Revenue","Revenue",IF(D544="Cost of Goods Sold","COGS",IF(D544="Expenditures","Expense",IF(D544="Other Revenue","Other Revenue",IF(D544="Other Expenditures","Other Expense",E543)))))</f>
        <v>Other Expense</v>
      </c>
      <c r="F544" s="36" t="str">
        <f aca="false">IF(OR(D544="Revenue",D544="Cost of Goods Sold",D544="Expenditures",D544="Other Revenue",D544="Other Expenditures"),E544,IF(AND(LEN(D544)&gt;2,MID(D544,2,1)=" ",ISNUMBER(VALUE(LEFT(D544,1)))),D544,F543))</f>
        <v>Other Expense</v>
      </c>
      <c r="G544" s="36" t="n">
        <f aca="false">IF(AND(D544&lt;&gt;"",ISNUMBER(B544),LEFT(D544,9)&lt;&gt;"Total for",D544&lt;&gt;"Gross Profit",D544&lt;&gt;"Net Operating Revenue",D544&lt;&gt;"Net Other Revenue",D544&lt;&gt;"Net Revenue"),1,0)</f>
        <v>0</v>
      </c>
      <c r="H544" s="36" t="str">
        <f aca="false">IF(G544=1,IF(AND(LEN(D544)&gt;7,ISNUMBER(VALUE(LEFT(D544,6))),MID(D544,7,1)=" "),LEFT(D544,6),D544),"")</f>
        <v/>
      </c>
      <c r="I544" s="36" t="str">
        <f aca="false">IF(G544=1,IF(COUNTIF('Forecast Detail'!$C$8:$C$400,H544)=0,"UNMAPPED","OK"),"")</f>
        <v/>
      </c>
    </row>
    <row r="545" customFormat="false" ht="15" hidden="false" customHeight="false" outlineLevel="0" collapsed="false">
      <c r="D545" s="36" t="str">
        <f aca="false">TRIM(A545)</f>
        <v/>
      </c>
      <c r="E545" s="36" t="str">
        <f aca="false">IF(D545="Revenue","Revenue",IF(D545="Cost of Goods Sold","COGS",IF(D545="Expenditures","Expense",IF(D545="Other Revenue","Other Revenue",IF(D545="Other Expenditures","Other Expense",E544)))))</f>
        <v>Other Expense</v>
      </c>
      <c r="F545" s="36" t="str">
        <f aca="false">IF(OR(D545="Revenue",D545="Cost of Goods Sold",D545="Expenditures",D545="Other Revenue",D545="Other Expenditures"),E545,IF(AND(LEN(D545)&gt;2,MID(D545,2,1)=" ",ISNUMBER(VALUE(LEFT(D545,1)))),D545,F544))</f>
        <v>Other Expense</v>
      </c>
      <c r="G545" s="36" t="n">
        <f aca="false">IF(AND(D545&lt;&gt;"",ISNUMBER(B545),LEFT(D545,9)&lt;&gt;"Total for",D545&lt;&gt;"Gross Profit",D545&lt;&gt;"Net Operating Revenue",D545&lt;&gt;"Net Other Revenue",D545&lt;&gt;"Net Revenue"),1,0)</f>
        <v>0</v>
      </c>
      <c r="H545" s="36" t="str">
        <f aca="false">IF(G545=1,IF(AND(LEN(D545)&gt;7,ISNUMBER(VALUE(LEFT(D545,6))),MID(D545,7,1)=" "),LEFT(D545,6),D545),"")</f>
        <v/>
      </c>
      <c r="I545" s="36" t="str">
        <f aca="false">IF(G545=1,IF(COUNTIF('Forecast Detail'!$C$8:$C$400,H545)=0,"UNMAPPED","OK"),"")</f>
        <v/>
      </c>
    </row>
    <row r="546" customFormat="false" ht="15" hidden="false" customHeight="false" outlineLevel="0" collapsed="false">
      <c r="D546" s="36" t="str">
        <f aca="false">TRIM(A546)</f>
        <v/>
      </c>
      <c r="E546" s="36" t="str">
        <f aca="false">IF(D546="Revenue","Revenue",IF(D546="Cost of Goods Sold","COGS",IF(D546="Expenditures","Expense",IF(D546="Other Revenue","Other Revenue",IF(D546="Other Expenditures","Other Expense",E545)))))</f>
        <v>Other Expense</v>
      </c>
      <c r="F546" s="36" t="str">
        <f aca="false">IF(OR(D546="Revenue",D546="Cost of Goods Sold",D546="Expenditures",D546="Other Revenue",D546="Other Expenditures"),E546,IF(AND(LEN(D546)&gt;2,MID(D546,2,1)=" ",ISNUMBER(VALUE(LEFT(D546,1)))),D546,F545))</f>
        <v>Other Expense</v>
      </c>
      <c r="G546" s="36" t="n">
        <f aca="false">IF(AND(D546&lt;&gt;"",ISNUMBER(B546),LEFT(D546,9)&lt;&gt;"Total for",D546&lt;&gt;"Gross Profit",D546&lt;&gt;"Net Operating Revenue",D546&lt;&gt;"Net Other Revenue",D546&lt;&gt;"Net Revenue"),1,0)</f>
        <v>0</v>
      </c>
      <c r="H546" s="36" t="str">
        <f aca="false">IF(G546=1,IF(AND(LEN(D546)&gt;7,ISNUMBER(VALUE(LEFT(D546,6))),MID(D546,7,1)=" "),LEFT(D546,6),D546),"")</f>
        <v/>
      </c>
      <c r="I546" s="36" t="str">
        <f aca="false">IF(G546=1,IF(COUNTIF('Forecast Detail'!$C$8:$C$400,H546)=0,"UNMAPPED","OK"),"")</f>
        <v/>
      </c>
    </row>
    <row r="547" customFormat="false" ht="15" hidden="false" customHeight="false" outlineLevel="0" collapsed="false">
      <c r="D547" s="36" t="str">
        <f aca="false">TRIM(A547)</f>
        <v/>
      </c>
      <c r="E547" s="36" t="str">
        <f aca="false">IF(D547="Revenue","Revenue",IF(D547="Cost of Goods Sold","COGS",IF(D547="Expenditures","Expense",IF(D547="Other Revenue","Other Revenue",IF(D547="Other Expenditures","Other Expense",E546)))))</f>
        <v>Other Expense</v>
      </c>
      <c r="F547" s="36" t="str">
        <f aca="false">IF(OR(D547="Revenue",D547="Cost of Goods Sold",D547="Expenditures",D547="Other Revenue",D547="Other Expenditures"),E547,IF(AND(LEN(D547)&gt;2,MID(D547,2,1)=" ",ISNUMBER(VALUE(LEFT(D547,1)))),D547,F546))</f>
        <v>Other Expense</v>
      </c>
      <c r="G547" s="36" t="n">
        <f aca="false">IF(AND(D547&lt;&gt;"",ISNUMBER(B547),LEFT(D547,9)&lt;&gt;"Total for",D547&lt;&gt;"Gross Profit",D547&lt;&gt;"Net Operating Revenue",D547&lt;&gt;"Net Other Revenue",D547&lt;&gt;"Net Revenue"),1,0)</f>
        <v>0</v>
      </c>
      <c r="H547" s="36" t="str">
        <f aca="false">IF(G547=1,IF(AND(LEN(D547)&gt;7,ISNUMBER(VALUE(LEFT(D547,6))),MID(D547,7,1)=" "),LEFT(D547,6),D547),"")</f>
        <v/>
      </c>
      <c r="I547" s="36" t="str">
        <f aca="false">IF(G547=1,IF(COUNTIF('Forecast Detail'!$C$8:$C$400,H547)=0,"UNMAPPED","OK"),"")</f>
        <v/>
      </c>
    </row>
    <row r="548" customFormat="false" ht="15" hidden="false" customHeight="false" outlineLevel="0" collapsed="false">
      <c r="D548" s="36" t="str">
        <f aca="false">TRIM(A548)</f>
        <v/>
      </c>
      <c r="E548" s="36" t="str">
        <f aca="false">IF(D548="Revenue","Revenue",IF(D548="Cost of Goods Sold","COGS",IF(D548="Expenditures","Expense",IF(D548="Other Revenue","Other Revenue",IF(D548="Other Expenditures","Other Expense",E547)))))</f>
        <v>Other Expense</v>
      </c>
      <c r="F548" s="36" t="str">
        <f aca="false">IF(OR(D548="Revenue",D548="Cost of Goods Sold",D548="Expenditures",D548="Other Revenue",D548="Other Expenditures"),E548,IF(AND(LEN(D548)&gt;2,MID(D548,2,1)=" ",ISNUMBER(VALUE(LEFT(D548,1)))),D548,F547))</f>
        <v>Other Expense</v>
      </c>
      <c r="G548" s="36" t="n">
        <f aca="false">IF(AND(D548&lt;&gt;"",ISNUMBER(B548),LEFT(D548,9)&lt;&gt;"Total for",D548&lt;&gt;"Gross Profit",D548&lt;&gt;"Net Operating Revenue",D548&lt;&gt;"Net Other Revenue",D548&lt;&gt;"Net Revenue"),1,0)</f>
        <v>0</v>
      </c>
      <c r="H548" s="36" t="str">
        <f aca="false">IF(G548=1,IF(AND(LEN(D548)&gt;7,ISNUMBER(VALUE(LEFT(D548,6))),MID(D548,7,1)=" "),LEFT(D548,6),D548),"")</f>
        <v/>
      </c>
      <c r="I548" s="36" t="str">
        <f aca="false">IF(G548=1,IF(COUNTIF('Forecast Detail'!$C$8:$C$400,H548)=0,"UNMAPPED","OK"),"")</f>
        <v/>
      </c>
    </row>
    <row r="549" customFormat="false" ht="15" hidden="false" customHeight="false" outlineLevel="0" collapsed="false">
      <c r="D549" s="36" t="str">
        <f aca="false">TRIM(A549)</f>
        <v/>
      </c>
      <c r="E549" s="36" t="str">
        <f aca="false">IF(D549="Revenue","Revenue",IF(D549="Cost of Goods Sold","COGS",IF(D549="Expenditures","Expense",IF(D549="Other Revenue","Other Revenue",IF(D549="Other Expenditures","Other Expense",E548)))))</f>
        <v>Other Expense</v>
      </c>
      <c r="F549" s="36" t="str">
        <f aca="false">IF(OR(D549="Revenue",D549="Cost of Goods Sold",D549="Expenditures",D549="Other Revenue",D549="Other Expenditures"),E549,IF(AND(LEN(D549)&gt;2,MID(D549,2,1)=" ",ISNUMBER(VALUE(LEFT(D549,1)))),D549,F548))</f>
        <v>Other Expense</v>
      </c>
      <c r="G549" s="36" t="n">
        <f aca="false">IF(AND(D549&lt;&gt;"",ISNUMBER(B549),LEFT(D549,9)&lt;&gt;"Total for",D549&lt;&gt;"Gross Profit",D549&lt;&gt;"Net Operating Revenue",D549&lt;&gt;"Net Other Revenue",D549&lt;&gt;"Net Revenue"),1,0)</f>
        <v>0</v>
      </c>
      <c r="H549" s="36" t="str">
        <f aca="false">IF(G549=1,IF(AND(LEN(D549)&gt;7,ISNUMBER(VALUE(LEFT(D549,6))),MID(D549,7,1)=" "),LEFT(D549,6),D549),"")</f>
        <v/>
      </c>
      <c r="I549" s="36" t="str">
        <f aca="false">IF(G549=1,IF(COUNTIF('Forecast Detail'!$C$8:$C$400,H549)=0,"UNMAPPED","OK"),"")</f>
        <v/>
      </c>
    </row>
    <row r="550" customFormat="false" ht="15" hidden="false" customHeight="false" outlineLevel="0" collapsed="false">
      <c r="D550" s="36" t="str">
        <f aca="false">TRIM(A550)</f>
        <v/>
      </c>
      <c r="E550" s="36" t="str">
        <f aca="false">IF(D550="Revenue","Revenue",IF(D550="Cost of Goods Sold","COGS",IF(D550="Expenditures","Expense",IF(D550="Other Revenue","Other Revenue",IF(D550="Other Expenditures","Other Expense",E549)))))</f>
        <v>Other Expense</v>
      </c>
      <c r="F550" s="36" t="str">
        <f aca="false">IF(OR(D550="Revenue",D550="Cost of Goods Sold",D550="Expenditures",D550="Other Revenue",D550="Other Expenditures"),E550,IF(AND(LEN(D550)&gt;2,MID(D550,2,1)=" ",ISNUMBER(VALUE(LEFT(D550,1)))),D550,F549))</f>
        <v>Other Expense</v>
      </c>
      <c r="G550" s="36" t="n">
        <f aca="false">IF(AND(D550&lt;&gt;"",ISNUMBER(B550),LEFT(D550,9)&lt;&gt;"Total for",D550&lt;&gt;"Gross Profit",D550&lt;&gt;"Net Operating Revenue",D550&lt;&gt;"Net Other Revenue",D550&lt;&gt;"Net Revenue"),1,0)</f>
        <v>0</v>
      </c>
      <c r="H550" s="36" t="str">
        <f aca="false">IF(G550=1,IF(AND(LEN(D550)&gt;7,ISNUMBER(VALUE(LEFT(D550,6))),MID(D550,7,1)=" "),LEFT(D550,6),D550),"")</f>
        <v/>
      </c>
      <c r="I550" s="36" t="str">
        <f aca="false">IF(G550=1,IF(COUNTIF('Forecast Detail'!$C$8:$C$400,H550)=0,"UNMAPPED","OK"),"")</f>
        <v/>
      </c>
    </row>
    <row r="551" customFormat="false" ht="15" hidden="false" customHeight="false" outlineLevel="0" collapsed="false">
      <c r="D551" s="36" t="str">
        <f aca="false">TRIM(A551)</f>
        <v/>
      </c>
      <c r="E551" s="36" t="str">
        <f aca="false">IF(D551="Revenue","Revenue",IF(D551="Cost of Goods Sold","COGS",IF(D551="Expenditures","Expense",IF(D551="Other Revenue","Other Revenue",IF(D551="Other Expenditures","Other Expense",E550)))))</f>
        <v>Other Expense</v>
      </c>
      <c r="F551" s="36" t="str">
        <f aca="false">IF(OR(D551="Revenue",D551="Cost of Goods Sold",D551="Expenditures",D551="Other Revenue",D551="Other Expenditures"),E551,IF(AND(LEN(D551)&gt;2,MID(D551,2,1)=" ",ISNUMBER(VALUE(LEFT(D551,1)))),D551,F550))</f>
        <v>Other Expense</v>
      </c>
      <c r="G551" s="36" t="n">
        <f aca="false">IF(AND(D551&lt;&gt;"",ISNUMBER(B551),LEFT(D551,9)&lt;&gt;"Total for",D551&lt;&gt;"Gross Profit",D551&lt;&gt;"Net Operating Revenue",D551&lt;&gt;"Net Other Revenue",D551&lt;&gt;"Net Revenue"),1,0)</f>
        <v>0</v>
      </c>
      <c r="H551" s="36" t="str">
        <f aca="false">IF(G551=1,IF(AND(LEN(D551)&gt;7,ISNUMBER(VALUE(LEFT(D551,6))),MID(D551,7,1)=" "),LEFT(D551,6),D551),"")</f>
        <v/>
      </c>
      <c r="I551" s="36" t="str">
        <f aca="false">IF(G551=1,IF(COUNTIF('Forecast Detail'!$C$8:$C$400,H551)=0,"UNMAPPED","OK"),"")</f>
        <v/>
      </c>
    </row>
    <row r="552" customFormat="false" ht="15" hidden="false" customHeight="false" outlineLevel="0" collapsed="false">
      <c r="D552" s="36" t="str">
        <f aca="false">TRIM(A552)</f>
        <v/>
      </c>
      <c r="E552" s="36" t="str">
        <f aca="false">IF(D552="Revenue","Revenue",IF(D552="Cost of Goods Sold","COGS",IF(D552="Expenditures","Expense",IF(D552="Other Revenue","Other Revenue",IF(D552="Other Expenditures","Other Expense",E551)))))</f>
        <v>Other Expense</v>
      </c>
      <c r="F552" s="36" t="str">
        <f aca="false">IF(OR(D552="Revenue",D552="Cost of Goods Sold",D552="Expenditures",D552="Other Revenue",D552="Other Expenditures"),E552,IF(AND(LEN(D552)&gt;2,MID(D552,2,1)=" ",ISNUMBER(VALUE(LEFT(D552,1)))),D552,F551))</f>
        <v>Other Expense</v>
      </c>
      <c r="G552" s="36" t="n">
        <f aca="false">IF(AND(D552&lt;&gt;"",ISNUMBER(B552),LEFT(D552,9)&lt;&gt;"Total for",D552&lt;&gt;"Gross Profit",D552&lt;&gt;"Net Operating Revenue",D552&lt;&gt;"Net Other Revenue",D552&lt;&gt;"Net Revenue"),1,0)</f>
        <v>0</v>
      </c>
      <c r="H552" s="36" t="str">
        <f aca="false">IF(G552=1,IF(AND(LEN(D552)&gt;7,ISNUMBER(VALUE(LEFT(D552,6))),MID(D552,7,1)=" "),LEFT(D552,6),D552),"")</f>
        <v/>
      </c>
      <c r="I552" s="36" t="str">
        <f aca="false">IF(G552=1,IF(COUNTIF('Forecast Detail'!$C$8:$C$400,H552)=0,"UNMAPPED","OK"),"")</f>
        <v/>
      </c>
    </row>
    <row r="553" customFormat="false" ht="15" hidden="false" customHeight="false" outlineLevel="0" collapsed="false">
      <c r="D553" s="36" t="str">
        <f aca="false">TRIM(A553)</f>
        <v/>
      </c>
      <c r="E553" s="36" t="str">
        <f aca="false">IF(D553="Revenue","Revenue",IF(D553="Cost of Goods Sold","COGS",IF(D553="Expenditures","Expense",IF(D553="Other Revenue","Other Revenue",IF(D553="Other Expenditures","Other Expense",E552)))))</f>
        <v>Other Expense</v>
      </c>
      <c r="F553" s="36" t="str">
        <f aca="false">IF(OR(D553="Revenue",D553="Cost of Goods Sold",D553="Expenditures",D553="Other Revenue",D553="Other Expenditures"),E553,IF(AND(LEN(D553)&gt;2,MID(D553,2,1)=" ",ISNUMBER(VALUE(LEFT(D553,1)))),D553,F552))</f>
        <v>Other Expense</v>
      </c>
      <c r="G553" s="36" t="n">
        <f aca="false">IF(AND(D553&lt;&gt;"",ISNUMBER(B553),LEFT(D553,9)&lt;&gt;"Total for",D553&lt;&gt;"Gross Profit",D553&lt;&gt;"Net Operating Revenue",D553&lt;&gt;"Net Other Revenue",D553&lt;&gt;"Net Revenue"),1,0)</f>
        <v>0</v>
      </c>
      <c r="H553" s="36" t="str">
        <f aca="false">IF(G553=1,IF(AND(LEN(D553)&gt;7,ISNUMBER(VALUE(LEFT(D553,6))),MID(D553,7,1)=" "),LEFT(D553,6),D553),"")</f>
        <v/>
      </c>
      <c r="I553" s="36" t="str">
        <f aca="false">IF(G553=1,IF(COUNTIF('Forecast Detail'!$C$8:$C$400,H553)=0,"UNMAPPED","OK"),"")</f>
        <v/>
      </c>
    </row>
    <row r="554" customFormat="false" ht="15" hidden="false" customHeight="false" outlineLevel="0" collapsed="false">
      <c r="D554" s="36" t="str">
        <f aca="false">TRIM(A554)</f>
        <v/>
      </c>
      <c r="E554" s="36" t="str">
        <f aca="false">IF(D554="Revenue","Revenue",IF(D554="Cost of Goods Sold","COGS",IF(D554="Expenditures","Expense",IF(D554="Other Revenue","Other Revenue",IF(D554="Other Expenditures","Other Expense",E553)))))</f>
        <v>Other Expense</v>
      </c>
      <c r="F554" s="36" t="str">
        <f aca="false">IF(OR(D554="Revenue",D554="Cost of Goods Sold",D554="Expenditures",D554="Other Revenue",D554="Other Expenditures"),E554,IF(AND(LEN(D554)&gt;2,MID(D554,2,1)=" ",ISNUMBER(VALUE(LEFT(D554,1)))),D554,F553))</f>
        <v>Other Expense</v>
      </c>
      <c r="G554" s="36" t="n">
        <f aca="false">IF(AND(D554&lt;&gt;"",ISNUMBER(B554),LEFT(D554,9)&lt;&gt;"Total for",D554&lt;&gt;"Gross Profit",D554&lt;&gt;"Net Operating Revenue",D554&lt;&gt;"Net Other Revenue",D554&lt;&gt;"Net Revenue"),1,0)</f>
        <v>0</v>
      </c>
      <c r="H554" s="36" t="str">
        <f aca="false">IF(G554=1,IF(AND(LEN(D554)&gt;7,ISNUMBER(VALUE(LEFT(D554,6))),MID(D554,7,1)=" "),LEFT(D554,6),D554),"")</f>
        <v/>
      </c>
      <c r="I554" s="36" t="str">
        <f aca="false">IF(G554=1,IF(COUNTIF('Forecast Detail'!$C$8:$C$400,H554)=0,"UNMAPPED","OK"),"")</f>
        <v/>
      </c>
    </row>
    <row r="555" customFormat="false" ht="15" hidden="false" customHeight="false" outlineLevel="0" collapsed="false">
      <c r="D555" s="36" t="str">
        <f aca="false">TRIM(A555)</f>
        <v/>
      </c>
      <c r="E555" s="36" t="str">
        <f aca="false">IF(D555="Revenue","Revenue",IF(D555="Cost of Goods Sold","COGS",IF(D555="Expenditures","Expense",IF(D555="Other Revenue","Other Revenue",IF(D555="Other Expenditures","Other Expense",E554)))))</f>
        <v>Other Expense</v>
      </c>
      <c r="F555" s="36" t="str">
        <f aca="false">IF(OR(D555="Revenue",D555="Cost of Goods Sold",D555="Expenditures",D555="Other Revenue",D555="Other Expenditures"),E555,IF(AND(LEN(D555)&gt;2,MID(D555,2,1)=" ",ISNUMBER(VALUE(LEFT(D555,1)))),D555,F554))</f>
        <v>Other Expense</v>
      </c>
      <c r="G555" s="36" t="n">
        <f aca="false">IF(AND(D555&lt;&gt;"",ISNUMBER(B555),LEFT(D555,9)&lt;&gt;"Total for",D555&lt;&gt;"Gross Profit",D555&lt;&gt;"Net Operating Revenue",D555&lt;&gt;"Net Other Revenue",D555&lt;&gt;"Net Revenue"),1,0)</f>
        <v>0</v>
      </c>
      <c r="H555" s="36" t="str">
        <f aca="false">IF(G555=1,IF(AND(LEN(D555)&gt;7,ISNUMBER(VALUE(LEFT(D555,6))),MID(D555,7,1)=" "),LEFT(D555,6),D555),"")</f>
        <v/>
      </c>
      <c r="I555" s="36" t="str">
        <f aca="false">IF(G555=1,IF(COUNTIF('Forecast Detail'!$C$8:$C$400,H555)=0,"UNMAPPED","OK"),"")</f>
        <v/>
      </c>
    </row>
    <row r="556" customFormat="false" ht="15" hidden="false" customHeight="false" outlineLevel="0" collapsed="false">
      <c r="D556" s="36" t="str">
        <f aca="false">TRIM(A556)</f>
        <v/>
      </c>
      <c r="E556" s="36" t="str">
        <f aca="false">IF(D556="Revenue","Revenue",IF(D556="Cost of Goods Sold","COGS",IF(D556="Expenditures","Expense",IF(D556="Other Revenue","Other Revenue",IF(D556="Other Expenditures","Other Expense",E555)))))</f>
        <v>Other Expense</v>
      </c>
      <c r="F556" s="36" t="str">
        <f aca="false">IF(OR(D556="Revenue",D556="Cost of Goods Sold",D556="Expenditures",D556="Other Revenue",D556="Other Expenditures"),E556,IF(AND(LEN(D556)&gt;2,MID(D556,2,1)=" ",ISNUMBER(VALUE(LEFT(D556,1)))),D556,F555))</f>
        <v>Other Expense</v>
      </c>
      <c r="G556" s="36" t="n">
        <f aca="false">IF(AND(D556&lt;&gt;"",ISNUMBER(B556),LEFT(D556,9)&lt;&gt;"Total for",D556&lt;&gt;"Gross Profit",D556&lt;&gt;"Net Operating Revenue",D556&lt;&gt;"Net Other Revenue",D556&lt;&gt;"Net Revenue"),1,0)</f>
        <v>0</v>
      </c>
      <c r="H556" s="36" t="str">
        <f aca="false">IF(G556=1,IF(AND(LEN(D556)&gt;7,ISNUMBER(VALUE(LEFT(D556,6))),MID(D556,7,1)=" "),LEFT(D556,6),D556),"")</f>
        <v/>
      </c>
      <c r="I556" s="36" t="str">
        <f aca="false">IF(G556=1,IF(COUNTIF('Forecast Detail'!$C$8:$C$400,H556)=0,"UNMAPPED","OK"),"")</f>
        <v/>
      </c>
    </row>
    <row r="557" customFormat="false" ht="15" hidden="false" customHeight="false" outlineLevel="0" collapsed="false">
      <c r="D557" s="36" t="str">
        <f aca="false">TRIM(A557)</f>
        <v/>
      </c>
      <c r="E557" s="36" t="str">
        <f aca="false">IF(D557="Revenue","Revenue",IF(D557="Cost of Goods Sold","COGS",IF(D557="Expenditures","Expense",IF(D557="Other Revenue","Other Revenue",IF(D557="Other Expenditures","Other Expense",E556)))))</f>
        <v>Other Expense</v>
      </c>
      <c r="F557" s="36" t="str">
        <f aca="false">IF(OR(D557="Revenue",D557="Cost of Goods Sold",D557="Expenditures",D557="Other Revenue",D557="Other Expenditures"),E557,IF(AND(LEN(D557)&gt;2,MID(D557,2,1)=" ",ISNUMBER(VALUE(LEFT(D557,1)))),D557,F556))</f>
        <v>Other Expense</v>
      </c>
      <c r="G557" s="36" t="n">
        <f aca="false">IF(AND(D557&lt;&gt;"",ISNUMBER(B557),LEFT(D557,9)&lt;&gt;"Total for",D557&lt;&gt;"Gross Profit",D557&lt;&gt;"Net Operating Revenue",D557&lt;&gt;"Net Other Revenue",D557&lt;&gt;"Net Revenue"),1,0)</f>
        <v>0</v>
      </c>
      <c r="H557" s="36" t="str">
        <f aca="false">IF(G557=1,IF(AND(LEN(D557)&gt;7,ISNUMBER(VALUE(LEFT(D557,6))),MID(D557,7,1)=" "),LEFT(D557,6),D557),"")</f>
        <v/>
      </c>
      <c r="I557" s="36" t="str">
        <f aca="false">IF(G557=1,IF(COUNTIF('Forecast Detail'!$C$8:$C$400,H557)=0,"UNMAPPED","OK"),"")</f>
        <v/>
      </c>
    </row>
    <row r="558" customFormat="false" ht="15" hidden="false" customHeight="false" outlineLevel="0" collapsed="false">
      <c r="D558" s="36" t="str">
        <f aca="false">TRIM(A558)</f>
        <v/>
      </c>
      <c r="E558" s="36" t="str">
        <f aca="false">IF(D558="Revenue","Revenue",IF(D558="Cost of Goods Sold","COGS",IF(D558="Expenditures","Expense",IF(D558="Other Revenue","Other Revenue",IF(D558="Other Expenditures","Other Expense",E557)))))</f>
        <v>Other Expense</v>
      </c>
      <c r="F558" s="36" t="str">
        <f aca="false">IF(OR(D558="Revenue",D558="Cost of Goods Sold",D558="Expenditures",D558="Other Revenue",D558="Other Expenditures"),E558,IF(AND(LEN(D558)&gt;2,MID(D558,2,1)=" ",ISNUMBER(VALUE(LEFT(D558,1)))),D558,F557))</f>
        <v>Other Expense</v>
      </c>
      <c r="G558" s="36" t="n">
        <f aca="false">IF(AND(D558&lt;&gt;"",ISNUMBER(B558),LEFT(D558,9)&lt;&gt;"Total for",D558&lt;&gt;"Gross Profit",D558&lt;&gt;"Net Operating Revenue",D558&lt;&gt;"Net Other Revenue",D558&lt;&gt;"Net Revenue"),1,0)</f>
        <v>0</v>
      </c>
      <c r="H558" s="36" t="str">
        <f aca="false">IF(G558=1,IF(AND(LEN(D558)&gt;7,ISNUMBER(VALUE(LEFT(D558,6))),MID(D558,7,1)=" "),LEFT(D558,6),D558),"")</f>
        <v/>
      </c>
      <c r="I558" s="36" t="str">
        <f aca="false">IF(G558=1,IF(COUNTIF('Forecast Detail'!$C$8:$C$400,H558)=0,"UNMAPPED","OK"),"")</f>
        <v/>
      </c>
    </row>
    <row r="559" customFormat="false" ht="15" hidden="false" customHeight="false" outlineLevel="0" collapsed="false">
      <c r="D559" s="36" t="str">
        <f aca="false">TRIM(A559)</f>
        <v/>
      </c>
      <c r="E559" s="36" t="str">
        <f aca="false">IF(D559="Revenue","Revenue",IF(D559="Cost of Goods Sold","COGS",IF(D559="Expenditures","Expense",IF(D559="Other Revenue","Other Revenue",IF(D559="Other Expenditures","Other Expense",E558)))))</f>
        <v>Other Expense</v>
      </c>
      <c r="F559" s="36" t="str">
        <f aca="false">IF(OR(D559="Revenue",D559="Cost of Goods Sold",D559="Expenditures",D559="Other Revenue",D559="Other Expenditures"),E559,IF(AND(LEN(D559)&gt;2,MID(D559,2,1)=" ",ISNUMBER(VALUE(LEFT(D559,1)))),D559,F558))</f>
        <v>Other Expense</v>
      </c>
      <c r="G559" s="36" t="n">
        <f aca="false">IF(AND(D559&lt;&gt;"",ISNUMBER(B559),LEFT(D559,9)&lt;&gt;"Total for",D559&lt;&gt;"Gross Profit",D559&lt;&gt;"Net Operating Revenue",D559&lt;&gt;"Net Other Revenue",D559&lt;&gt;"Net Revenue"),1,0)</f>
        <v>0</v>
      </c>
      <c r="H559" s="36" t="str">
        <f aca="false">IF(G559=1,IF(AND(LEN(D559)&gt;7,ISNUMBER(VALUE(LEFT(D559,6))),MID(D559,7,1)=" "),LEFT(D559,6),D559),"")</f>
        <v/>
      </c>
      <c r="I559" s="36" t="str">
        <f aca="false">IF(G559=1,IF(COUNTIF('Forecast Detail'!$C$8:$C$400,H559)=0,"UNMAPPED","OK"),"")</f>
        <v/>
      </c>
    </row>
    <row r="560" customFormat="false" ht="15" hidden="false" customHeight="false" outlineLevel="0" collapsed="false">
      <c r="D560" s="36" t="str">
        <f aca="false">TRIM(A560)</f>
        <v/>
      </c>
      <c r="E560" s="36" t="str">
        <f aca="false">IF(D560="Revenue","Revenue",IF(D560="Cost of Goods Sold","COGS",IF(D560="Expenditures","Expense",IF(D560="Other Revenue","Other Revenue",IF(D560="Other Expenditures","Other Expense",E559)))))</f>
        <v>Other Expense</v>
      </c>
      <c r="F560" s="36" t="str">
        <f aca="false">IF(OR(D560="Revenue",D560="Cost of Goods Sold",D560="Expenditures",D560="Other Revenue",D560="Other Expenditures"),E560,IF(AND(LEN(D560)&gt;2,MID(D560,2,1)=" ",ISNUMBER(VALUE(LEFT(D560,1)))),D560,F559))</f>
        <v>Other Expense</v>
      </c>
      <c r="G560" s="36" t="n">
        <f aca="false">IF(AND(D560&lt;&gt;"",ISNUMBER(B560),LEFT(D560,9)&lt;&gt;"Total for",D560&lt;&gt;"Gross Profit",D560&lt;&gt;"Net Operating Revenue",D560&lt;&gt;"Net Other Revenue",D560&lt;&gt;"Net Revenue"),1,0)</f>
        <v>0</v>
      </c>
      <c r="H560" s="36" t="str">
        <f aca="false">IF(G560=1,IF(AND(LEN(D560)&gt;7,ISNUMBER(VALUE(LEFT(D560,6))),MID(D560,7,1)=" "),LEFT(D560,6),D560),"")</f>
        <v/>
      </c>
      <c r="I560" s="36" t="str">
        <f aca="false">IF(G560=1,IF(COUNTIF('Forecast Detail'!$C$8:$C$400,H560)=0,"UNMAPPED","OK"),"")</f>
        <v/>
      </c>
    </row>
    <row r="561" customFormat="false" ht="15" hidden="false" customHeight="false" outlineLevel="0" collapsed="false">
      <c r="D561" s="36" t="str">
        <f aca="false">TRIM(A561)</f>
        <v/>
      </c>
      <c r="E561" s="36" t="str">
        <f aca="false">IF(D561="Revenue","Revenue",IF(D561="Cost of Goods Sold","COGS",IF(D561="Expenditures","Expense",IF(D561="Other Revenue","Other Revenue",IF(D561="Other Expenditures","Other Expense",E560)))))</f>
        <v>Other Expense</v>
      </c>
      <c r="F561" s="36" t="str">
        <f aca="false">IF(OR(D561="Revenue",D561="Cost of Goods Sold",D561="Expenditures",D561="Other Revenue",D561="Other Expenditures"),E561,IF(AND(LEN(D561)&gt;2,MID(D561,2,1)=" ",ISNUMBER(VALUE(LEFT(D561,1)))),D561,F560))</f>
        <v>Other Expense</v>
      </c>
      <c r="G561" s="36" t="n">
        <f aca="false">IF(AND(D561&lt;&gt;"",ISNUMBER(B561),LEFT(D561,9)&lt;&gt;"Total for",D561&lt;&gt;"Gross Profit",D561&lt;&gt;"Net Operating Revenue",D561&lt;&gt;"Net Other Revenue",D561&lt;&gt;"Net Revenue"),1,0)</f>
        <v>0</v>
      </c>
      <c r="H561" s="36" t="str">
        <f aca="false">IF(G561=1,IF(AND(LEN(D561)&gt;7,ISNUMBER(VALUE(LEFT(D561,6))),MID(D561,7,1)=" "),LEFT(D561,6),D561),"")</f>
        <v/>
      </c>
      <c r="I561" s="36" t="str">
        <f aca="false">IF(G561=1,IF(COUNTIF('Forecast Detail'!$C$8:$C$400,H561)=0,"UNMAPPED","OK"),"")</f>
        <v/>
      </c>
    </row>
    <row r="562" customFormat="false" ht="15" hidden="false" customHeight="false" outlineLevel="0" collapsed="false">
      <c r="D562" s="36" t="str">
        <f aca="false">TRIM(A562)</f>
        <v/>
      </c>
      <c r="E562" s="36" t="str">
        <f aca="false">IF(D562="Revenue","Revenue",IF(D562="Cost of Goods Sold","COGS",IF(D562="Expenditures","Expense",IF(D562="Other Revenue","Other Revenue",IF(D562="Other Expenditures","Other Expense",E561)))))</f>
        <v>Other Expense</v>
      </c>
      <c r="F562" s="36" t="str">
        <f aca="false">IF(OR(D562="Revenue",D562="Cost of Goods Sold",D562="Expenditures",D562="Other Revenue",D562="Other Expenditures"),E562,IF(AND(LEN(D562)&gt;2,MID(D562,2,1)=" ",ISNUMBER(VALUE(LEFT(D562,1)))),D562,F561))</f>
        <v>Other Expense</v>
      </c>
      <c r="G562" s="36" t="n">
        <f aca="false">IF(AND(D562&lt;&gt;"",ISNUMBER(B562),LEFT(D562,9)&lt;&gt;"Total for",D562&lt;&gt;"Gross Profit",D562&lt;&gt;"Net Operating Revenue",D562&lt;&gt;"Net Other Revenue",D562&lt;&gt;"Net Revenue"),1,0)</f>
        <v>0</v>
      </c>
      <c r="H562" s="36" t="str">
        <f aca="false">IF(G562=1,IF(AND(LEN(D562)&gt;7,ISNUMBER(VALUE(LEFT(D562,6))),MID(D562,7,1)=" "),LEFT(D562,6),D562),"")</f>
        <v/>
      </c>
      <c r="I562" s="36" t="str">
        <f aca="false">IF(G562=1,IF(COUNTIF('Forecast Detail'!$C$8:$C$400,H562)=0,"UNMAPPED","OK"),"")</f>
        <v/>
      </c>
    </row>
    <row r="563" customFormat="false" ht="15" hidden="false" customHeight="false" outlineLevel="0" collapsed="false">
      <c r="D563" s="36" t="str">
        <f aca="false">TRIM(A563)</f>
        <v/>
      </c>
      <c r="E563" s="36" t="str">
        <f aca="false">IF(D563="Revenue","Revenue",IF(D563="Cost of Goods Sold","COGS",IF(D563="Expenditures","Expense",IF(D563="Other Revenue","Other Revenue",IF(D563="Other Expenditures","Other Expense",E562)))))</f>
        <v>Other Expense</v>
      </c>
      <c r="F563" s="36" t="str">
        <f aca="false">IF(OR(D563="Revenue",D563="Cost of Goods Sold",D563="Expenditures",D563="Other Revenue",D563="Other Expenditures"),E563,IF(AND(LEN(D563)&gt;2,MID(D563,2,1)=" ",ISNUMBER(VALUE(LEFT(D563,1)))),D563,F562))</f>
        <v>Other Expense</v>
      </c>
      <c r="G563" s="36" t="n">
        <f aca="false">IF(AND(D563&lt;&gt;"",ISNUMBER(B563),LEFT(D563,9)&lt;&gt;"Total for",D563&lt;&gt;"Gross Profit",D563&lt;&gt;"Net Operating Revenue",D563&lt;&gt;"Net Other Revenue",D563&lt;&gt;"Net Revenue"),1,0)</f>
        <v>0</v>
      </c>
      <c r="H563" s="36" t="str">
        <f aca="false">IF(G563=1,IF(AND(LEN(D563)&gt;7,ISNUMBER(VALUE(LEFT(D563,6))),MID(D563,7,1)=" "),LEFT(D563,6),D563),"")</f>
        <v/>
      </c>
      <c r="I563" s="36" t="str">
        <f aca="false">IF(G563=1,IF(COUNTIF('Forecast Detail'!$C$8:$C$400,H563)=0,"UNMAPPED","OK"),"")</f>
        <v/>
      </c>
    </row>
    <row r="564" customFormat="false" ht="15" hidden="false" customHeight="false" outlineLevel="0" collapsed="false">
      <c r="D564" s="36" t="str">
        <f aca="false">TRIM(A564)</f>
        <v/>
      </c>
      <c r="E564" s="36" t="str">
        <f aca="false">IF(D564="Revenue","Revenue",IF(D564="Cost of Goods Sold","COGS",IF(D564="Expenditures","Expense",IF(D564="Other Revenue","Other Revenue",IF(D564="Other Expenditures","Other Expense",E563)))))</f>
        <v>Other Expense</v>
      </c>
      <c r="F564" s="36" t="str">
        <f aca="false">IF(OR(D564="Revenue",D564="Cost of Goods Sold",D564="Expenditures",D564="Other Revenue",D564="Other Expenditures"),E564,IF(AND(LEN(D564)&gt;2,MID(D564,2,1)=" ",ISNUMBER(VALUE(LEFT(D564,1)))),D564,F563))</f>
        <v>Other Expense</v>
      </c>
      <c r="G564" s="36" t="n">
        <f aca="false">IF(AND(D564&lt;&gt;"",ISNUMBER(B564),LEFT(D564,9)&lt;&gt;"Total for",D564&lt;&gt;"Gross Profit",D564&lt;&gt;"Net Operating Revenue",D564&lt;&gt;"Net Other Revenue",D564&lt;&gt;"Net Revenue"),1,0)</f>
        <v>0</v>
      </c>
      <c r="H564" s="36" t="str">
        <f aca="false">IF(G564=1,IF(AND(LEN(D564)&gt;7,ISNUMBER(VALUE(LEFT(D564,6))),MID(D564,7,1)=" "),LEFT(D564,6),D564),"")</f>
        <v/>
      </c>
      <c r="I564" s="36" t="str">
        <f aca="false">IF(G564=1,IF(COUNTIF('Forecast Detail'!$C$8:$C$400,H564)=0,"UNMAPPED","OK"),"")</f>
        <v/>
      </c>
    </row>
    <row r="565" customFormat="false" ht="15" hidden="false" customHeight="false" outlineLevel="0" collapsed="false">
      <c r="D565" s="36" t="str">
        <f aca="false">TRIM(A565)</f>
        <v/>
      </c>
      <c r="E565" s="36" t="str">
        <f aca="false">IF(D565="Revenue","Revenue",IF(D565="Cost of Goods Sold","COGS",IF(D565="Expenditures","Expense",IF(D565="Other Revenue","Other Revenue",IF(D565="Other Expenditures","Other Expense",E564)))))</f>
        <v>Other Expense</v>
      </c>
      <c r="F565" s="36" t="str">
        <f aca="false">IF(OR(D565="Revenue",D565="Cost of Goods Sold",D565="Expenditures",D565="Other Revenue",D565="Other Expenditures"),E565,IF(AND(LEN(D565)&gt;2,MID(D565,2,1)=" ",ISNUMBER(VALUE(LEFT(D565,1)))),D565,F564))</f>
        <v>Other Expense</v>
      </c>
      <c r="G565" s="36" t="n">
        <f aca="false">IF(AND(D565&lt;&gt;"",ISNUMBER(B565),LEFT(D565,9)&lt;&gt;"Total for",D565&lt;&gt;"Gross Profit",D565&lt;&gt;"Net Operating Revenue",D565&lt;&gt;"Net Other Revenue",D565&lt;&gt;"Net Revenue"),1,0)</f>
        <v>0</v>
      </c>
      <c r="H565" s="36" t="str">
        <f aca="false">IF(G565=1,IF(AND(LEN(D565)&gt;7,ISNUMBER(VALUE(LEFT(D565,6))),MID(D565,7,1)=" "),LEFT(D565,6),D565),"")</f>
        <v/>
      </c>
      <c r="I565" s="36" t="str">
        <f aca="false">IF(G565=1,IF(COUNTIF('Forecast Detail'!$C$8:$C$400,H565)=0,"UNMAPPED","OK"),"")</f>
        <v/>
      </c>
    </row>
    <row r="566" customFormat="false" ht="15" hidden="false" customHeight="false" outlineLevel="0" collapsed="false">
      <c r="D566" s="36" t="str">
        <f aca="false">TRIM(A566)</f>
        <v/>
      </c>
      <c r="E566" s="36" t="str">
        <f aca="false">IF(D566="Revenue","Revenue",IF(D566="Cost of Goods Sold","COGS",IF(D566="Expenditures","Expense",IF(D566="Other Revenue","Other Revenue",IF(D566="Other Expenditures","Other Expense",E565)))))</f>
        <v>Other Expense</v>
      </c>
      <c r="F566" s="36" t="str">
        <f aca="false">IF(OR(D566="Revenue",D566="Cost of Goods Sold",D566="Expenditures",D566="Other Revenue",D566="Other Expenditures"),E566,IF(AND(LEN(D566)&gt;2,MID(D566,2,1)=" ",ISNUMBER(VALUE(LEFT(D566,1)))),D566,F565))</f>
        <v>Other Expense</v>
      </c>
      <c r="G566" s="36" t="n">
        <f aca="false">IF(AND(D566&lt;&gt;"",ISNUMBER(B566),LEFT(D566,9)&lt;&gt;"Total for",D566&lt;&gt;"Gross Profit",D566&lt;&gt;"Net Operating Revenue",D566&lt;&gt;"Net Other Revenue",D566&lt;&gt;"Net Revenue"),1,0)</f>
        <v>0</v>
      </c>
      <c r="H566" s="36" t="str">
        <f aca="false">IF(G566=1,IF(AND(LEN(D566)&gt;7,ISNUMBER(VALUE(LEFT(D566,6))),MID(D566,7,1)=" "),LEFT(D566,6),D566),"")</f>
        <v/>
      </c>
      <c r="I566" s="36" t="str">
        <f aca="false">IF(G566=1,IF(COUNTIF('Forecast Detail'!$C$8:$C$400,H566)=0,"UNMAPPED","OK"),"")</f>
        <v/>
      </c>
    </row>
    <row r="567" customFormat="false" ht="15" hidden="false" customHeight="false" outlineLevel="0" collapsed="false">
      <c r="D567" s="36" t="str">
        <f aca="false">TRIM(A567)</f>
        <v/>
      </c>
      <c r="E567" s="36" t="str">
        <f aca="false">IF(D567="Revenue","Revenue",IF(D567="Cost of Goods Sold","COGS",IF(D567="Expenditures","Expense",IF(D567="Other Revenue","Other Revenue",IF(D567="Other Expenditures","Other Expense",E566)))))</f>
        <v>Other Expense</v>
      </c>
      <c r="F567" s="36" t="str">
        <f aca="false">IF(OR(D567="Revenue",D567="Cost of Goods Sold",D567="Expenditures",D567="Other Revenue",D567="Other Expenditures"),E567,IF(AND(LEN(D567)&gt;2,MID(D567,2,1)=" ",ISNUMBER(VALUE(LEFT(D567,1)))),D567,F566))</f>
        <v>Other Expense</v>
      </c>
      <c r="G567" s="36" t="n">
        <f aca="false">IF(AND(D567&lt;&gt;"",ISNUMBER(B567),LEFT(D567,9)&lt;&gt;"Total for",D567&lt;&gt;"Gross Profit",D567&lt;&gt;"Net Operating Revenue",D567&lt;&gt;"Net Other Revenue",D567&lt;&gt;"Net Revenue"),1,0)</f>
        <v>0</v>
      </c>
      <c r="H567" s="36" t="str">
        <f aca="false">IF(G567=1,IF(AND(LEN(D567)&gt;7,ISNUMBER(VALUE(LEFT(D567,6))),MID(D567,7,1)=" "),LEFT(D567,6),D567),"")</f>
        <v/>
      </c>
      <c r="I567" s="36" t="str">
        <f aca="false">IF(G567=1,IF(COUNTIF('Forecast Detail'!$C$8:$C$400,H567)=0,"UNMAPPED","OK"),"")</f>
        <v/>
      </c>
    </row>
    <row r="568" customFormat="false" ht="15" hidden="false" customHeight="false" outlineLevel="0" collapsed="false">
      <c r="D568" s="36" t="str">
        <f aca="false">TRIM(A568)</f>
        <v/>
      </c>
      <c r="E568" s="36" t="str">
        <f aca="false">IF(D568="Revenue","Revenue",IF(D568="Cost of Goods Sold","COGS",IF(D568="Expenditures","Expense",IF(D568="Other Revenue","Other Revenue",IF(D568="Other Expenditures","Other Expense",E567)))))</f>
        <v>Other Expense</v>
      </c>
      <c r="F568" s="36" t="str">
        <f aca="false">IF(OR(D568="Revenue",D568="Cost of Goods Sold",D568="Expenditures",D568="Other Revenue",D568="Other Expenditures"),E568,IF(AND(LEN(D568)&gt;2,MID(D568,2,1)=" ",ISNUMBER(VALUE(LEFT(D568,1)))),D568,F567))</f>
        <v>Other Expense</v>
      </c>
      <c r="G568" s="36" t="n">
        <f aca="false">IF(AND(D568&lt;&gt;"",ISNUMBER(B568),LEFT(D568,9)&lt;&gt;"Total for",D568&lt;&gt;"Gross Profit",D568&lt;&gt;"Net Operating Revenue",D568&lt;&gt;"Net Other Revenue",D568&lt;&gt;"Net Revenue"),1,0)</f>
        <v>0</v>
      </c>
      <c r="H568" s="36" t="str">
        <f aca="false">IF(G568=1,IF(AND(LEN(D568)&gt;7,ISNUMBER(VALUE(LEFT(D568,6))),MID(D568,7,1)=" "),LEFT(D568,6),D568),"")</f>
        <v/>
      </c>
      <c r="I568" s="36" t="str">
        <f aca="false">IF(G568=1,IF(COUNTIF('Forecast Detail'!$C$8:$C$400,H568)=0,"UNMAPPED","OK"),"")</f>
        <v/>
      </c>
    </row>
    <row r="569" customFormat="false" ht="15" hidden="false" customHeight="false" outlineLevel="0" collapsed="false">
      <c r="D569" s="36" t="str">
        <f aca="false">TRIM(A569)</f>
        <v/>
      </c>
      <c r="E569" s="36" t="str">
        <f aca="false">IF(D569="Revenue","Revenue",IF(D569="Cost of Goods Sold","COGS",IF(D569="Expenditures","Expense",IF(D569="Other Revenue","Other Revenue",IF(D569="Other Expenditures","Other Expense",E568)))))</f>
        <v>Other Expense</v>
      </c>
      <c r="F569" s="36" t="str">
        <f aca="false">IF(OR(D569="Revenue",D569="Cost of Goods Sold",D569="Expenditures",D569="Other Revenue",D569="Other Expenditures"),E569,IF(AND(LEN(D569)&gt;2,MID(D569,2,1)=" ",ISNUMBER(VALUE(LEFT(D569,1)))),D569,F568))</f>
        <v>Other Expense</v>
      </c>
      <c r="G569" s="36" t="n">
        <f aca="false">IF(AND(D569&lt;&gt;"",ISNUMBER(B569),LEFT(D569,9)&lt;&gt;"Total for",D569&lt;&gt;"Gross Profit",D569&lt;&gt;"Net Operating Revenue",D569&lt;&gt;"Net Other Revenue",D569&lt;&gt;"Net Revenue"),1,0)</f>
        <v>0</v>
      </c>
      <c r="H569" s="36" t="str">
        <f aca="false">IF(G569=1,IF(AND(LEN(D569)&gt;7,ISNUMBER(VALUE(LEFT(D569,6))),MID(D569,7,1)=" "),LEFT(D569,6),D569),"")</f>
        <v/>
      </c>
      <c r="I569" s="36" t="str">
        <f aca="false">IF(G569=1,IF(COUNTIF('Forecast Detail'!$C$8:$C$400,H569)=0,"UNMAPPED","OK"),"")</f>
        <v/>
      </c>
    </row>
    <row r="570" customFormat="false" ht="15" hidden="false" customHeight="false" outlineLevel="0" collapsed="false">
      <c r="D570" s="36" t="str">
        <f aca="false">TRIM(A570)</f>
        <v/>
      </c>
      <c r="E570" s="36" t="str">
        <f aca="false">IF(D570="Revenue","Revenue",IF(D570="Cost of Goods Sold","COGS",IF(D570="Expenditures","Expense",IF(D570="Other Revenue","Other Revenue",IF(D570="Other Expenditures","Other Expense",E569)))))</f>
        <v>Other Expense</v>
      </c>
      <c r="F570" s="36" t="str">
        <f aca="false">IF(OR(D570="Revenue",D570="Cost of Goods Sold",D570="Expenditures",D570="Other Revenue",D570="Other Expenditures"),E570,IF(AND(LEN(D570)&gt;2,MID(D570,2,1)=" ",ISNUMBER(VALUE(LEFT(D570,1)))),D570,F569))</f>
        <v>Other Expense</v>
      </c>
      <c r="G570" s="36" t="n">
        <f aca="false">IF(AND(D570&lt;&gt;"",ISNUMBER(B570),LEFT(D570,9)&lt;&gt;"Total for",D570&lt;&gt;"Gross Profit",D570&lt;&gt;"Net Operating Revenue",D570&lt;&gt;"Net Other Revenue",D570&lt;&gt;"Net Revenue"),1,0)</f>
        <v>0</v>
      </c>
      <c r="H570" s="36" t="str">
        <f aca="false">IF(G570=1,IF(AND(LEN(D570)&gt;7,ISNUMBER(VALUE(LEFT(D570,6))),MID(D570,7,1)=" "),LEFT(D570,6),D570),"")</f>
        <v/>
      </c>
      <c r="I570" s="36" t="str">
        <f aca="false">IF(G570=1,IF(COUNTIF('Forecast Detail'!$C$8:$C$400,H570)=0,"UNMAPPED","OK"),"")</f>
        <v/>
      </c>
    </row>
    <row r="571" customFormat="false" ht="15" hidden="false" customHeight="false" outlineLevel="0" collapsed="false">
      <c r="D571" s="36" t="str">
        <f aca="false">TRIM(A571)</f>
        <v/>
      </c>
      <c r="E571" s="36" t="str">
        <f aca="false">IF(D571="Revenue","Revenue",IF(D571="Cost of Goods Sold","COGS",IF(D571="Expenditures","Expense",IF(D571="Other Revenue","Other Revenue",IF(D571="Other Expenditures","Other Expense",E570)))))</f>
        <v>Other Expense</v>
      </c>
      <c r="F571" s="36" t="str">
        <f aca="false">IF(OR(D571="Revenue",D571="Cost of Goods Sold",D571="Expenditures",D571="Other Revenue",D571="Other Expenditures"),E571,IF(AND(LEN(D571)&gt;2,MID(D571,2,1)=" ",ISNUMBER(VALUE(LEFT(D571,1)))),D571,F570))</f>
        <v>Other Expense</v>
      </c>
      <c r="G571" s="36" t="n">
        <f aca="false">IF(AND(D571&lt;&gt;"",ISNUMBER(B571),LEFT(D571,9)&lt;&gt;"Total for",D571&lt;&gt;"Gross Profit",D571&lt;&gt;"Net Operating Revenue",D571&lt;&gt;"Net Other Revenue",D571&lt;&gt;"Net Revenue"),1,0)</f>
        <v>0</v>
      </c>
      <c r="H571" s="36" t="str">
        <f aca="false">IF(G571=1,IF(AND(LEN(D571)&gt;7,ISNUMBER(VALUE(LEFT(D571,6))),MID(D571,7,1)=" "),LEFT(D571,6),D571),"")</f>
        <v/>
      </c>
      <c r="I571" s="36" t="str">
        <f aca="false">IF(G571=1,IF(COUNTIF('Forecast Detail'!$C$8:$C$400,H571)=0,"UNMAPPED","OK"),"")</f>
        <v/>
      </c>
    </row>
    <row r="572" customFormat="false" ht="15" hidden="false" customHeight="false" outlineLevel="0" collapsed="false">
      <c r="D572" s="36" t="str">
        <f aca="false">TRIM(A572)</f>
        <v/>
      </c>
      <c r="E572" s="36" t="str">
        <f aca="false">IF(D572="Revenue","Revenue",IF(D572="Cost of Goods Sold","COGS",IF(D572="Expenditures","Expense",IF(D572="Other Revenue","Other Revenue",IF(D572="Other Expenditures","Other Expense",E571)))))</f>
        <v>Other Expense</v>
      </c>
      <c r="F572" s="36" t="str">
        <f aca="false">IF(OR(D572="Revenue",D572="Cost of Goods Sold",D572="Expenditures",D572="Other Revenue",D572="Other Expenditures"),E572,IF(AND(LEN(D572)&gt;2,MID(D572,2,1)=" ",ISNUMBER(VALUE(LEFT(D572,1)))),D572,F571))</f>
        <v>Other Expense</v>
      </c>
      <c r="G572" s="36" t="n">
        <f aca="false">IF(AND(D572&lt;&gt;"",ISNUMBER(B572),LEFT(D572,9)&lt;&gt;"Total for",D572&lt;&gt;"Gross Profit",D572&lt;&gt;"Net Operating Revenue",D572&lt;&gt;"Net Other Revenue",D572&lt;&gt;"Net Revenue"),1,0)</f>
        <v>0</v>
      </c>
      <c r="H572" s="36" t="str">
        <f aca="false">IF(G572=1,IF(AND(LEN(D572)&gt;7,ISNUMBER(VALUE(LEFT(D572,6))),MID(D572,7,1)=" "),LEFT(D572,6),D572),"")</f>
        <v/>
      </c>
      <c r="I572" s="36" t="str">
        <f aca="false">IF(G572=1,IF(COUNTIF('Forecast Detail'!$C$8:$C$400,H572)=0,"UNMAPPED","OK"),"")</f>
        <v/>
      </c>
    </row>
    <row r="573" customFormat="false" ht="15" hidden="false" customHeight="false" outlineLevel="0" collapsed="false">
      <c r="D573" s="36" t="str">
        <f aca="false">TRIM(A573)</f>
        <v/>
      </c>
      <c r="E573" s="36" t="str">
        <f aca="false">IF(D573="Revenue","Revenue",IF(D573="Cost of Goods Sold","COGS",IF(D573="Expenditures","Expense",IF(D573="Other Revenue","Other Revenue",IF(D573="Other Expenditures","Other Expense",E572)))))</f>
        <v>Other Expense</v>
      </c>
      <c r="F573" s="36" t="str">
        <f aca="false">IF(OR(D573="Revenue",D573="Cost of Goods Sold",D573="Expenditures",D573="Other Revenue",D573="Other Expenditures"),E573,IF(AND(LEN(D573)&gt;2,MID(D573,2,1)=" ",ISNUMBER(VALUE(LEFT(D573,1)))),D573,F572))</f>
        <v>Other Expense</v>
      </c>
      <c r="G573" s="36" t="n">
        <f aca="false">IF(AND(D573&lt;&gt;"",ISNUMBER(B573),LEFT(D573,9)&lt;&gt;"Total for",D573&lt;&gt;"Gross Profit",D573&lt;&gt;"Net Operating Revenue",D573&lt;&gt;"Net Other Revenue",D573&lt;&gt;"Net Revenue"),1,0)</f>
        <v>0</v>
      </c>
      <c r="H573" s="36" t="str">
        <f aca="false">IF(G573=1,IF(AND(LEN(D573)&gt;7,ISNUMBER(VALUE(LEFT(D573,6))),MID(D573,7,1)=" "),LEFT(D573,6),D573),"")</f>
        <v/>
      </c>
      <c r="I573" s="36" t="str">
        <f aca="false">IF(G573=1,IF(COUNTIF('Forecast Detail'!$C$8:$C$400,H573)=0,"UNMAPPED","OK"),"")</f>
        <v/>
      </c>
    </row>
    <row r="574" customFormat="false" ht="15" hidden="false" customHeight="false" outlineLevel="0" collapsed="false">
      <c r="D574" s="36" t="str">
        <f aca="false">TRIM(A574)</f>
        <v/>
      </c>
      <c r="E574" s="36" t="str">
        <f aca="false">IF(D574="Revenue","Revenue",IF(D574="Cost of Goods Sold","COGS",IF(D574="Expenditures","Expense",IF(D574="Other Revenue","Other Revenue",IF(D574="Other Expenditures","Other Expense",E573)))))</f>
        <v>Other Expense</v>
      </c>
      <c r="F574" s="36" t="str">
        <f aca="false">IF(OR(D574="Revenue",D574="Cost of Goods Sold",D574="Expenditures",D574="Other Revenue",D574="Other Expenditures"),E574,IF(AND(LEN(D574)&gt;2,MID(D574,2,1)=" ",ISNUMBER(VALUE(LEFT(D574,1)))),D574,F573))</f>
        <v>Other Expense</v>
      </c>
      <c r="G574" s="36" t="n">
        <f aca="false">IF(AND(D574&lt;&gt;"",ISNUMBER(B574),LEFT(D574,9)&lt;&gt;"Total for",D574&lt;&gt;"Gross Profit",D574&lt;&gt;"Net Operating Revenue",D574&lt;&gt;"Net Other Revenue",D574&lt;&gt;"Net Revenue"),1,0)</f>
        <v>0</v>
      </c>
      <c r="H574" s="36" t="str">
        <f aca="false">IF(G574=1,IF(AND(LEN(D574)&gt;7,ISNUMBER(VALUE(LEFT(D574,6))),MID(D574,7,1)=" "),LEFT(D574,6),D574),"")</f>
        <v/>
      </c>
      <c r="I574" s="36" t="str">
        <f aca="false">IF(G574=1,IF(COUNTIF('Forecast Detail'!$C$8:$C$400,H574)=0,"UNMAPPED","OK"),"")</f>
        <v/>
      </c>
    </row>
    <row r="575" customFormat="false" ht="15" hidden="false" customHeight="false" outlineLevel="0" collapsed="false">
      <c r="D575" s="36" t="str">
        <f aca="false">TRIM(A575)</f>
        <v/>
      </c>
      <c r="E575" s="36" t="str">
        <f aca="false">IF(D575="Revenue","Revenue",IF(D575="Cost of Goods Sold","COGS",IF(D575="Expenditures","Expense",IF(D575="Other Revenue","Other Revenue",IF(D575="Other Expenditures","Other Expense",E574)))))</f>
        <v>Other Expense</v>
      </c>
      <c r="F575" s="36" t="str">
        <f aca="false">IF(OR(D575="Revenue",D575="Cost of Goods Sold",D575="Expenditures",D575="Other Revenue",D575="Other Expenditures"),E575,IF(AND(LEN(D575)&gt;2,MID(D575,2,1)=" ",ISNUMBER(VALUE(LEFT(D575,1)))),D575,F574))</f>
        <v>Other Expense</v>
      </c>
      <c r="G575" s="36" t="n">
        <f aca="false">IF(AND(D575&lt;&gt;"",ISNUMBER(B575),LEFT(D575,9)&lt;&gt;"Total for",D575&lt;&gt;"Gross Profit",D575&lt;&gt;"Net Operating Revenue",D575&lt;&gt;"Net Other Revenue",D575&lt;&gt;"Net Revenue"),1,0)</f>
        <v>0</v>
      </c>
      <c r="H575" s="36" t="str">
        <f aca="false">IF(G575=1,IF(AND(LEN(D575)&gt;7,ISNUMBER(VALUE(LEFT(D575,6))),MID(D575,7,1)=" "),LEFT(D575,6),D575),"")</f>
        <v/>
      </c>
      <c r="I575" s="36" t="str">
        <f aca="false">IF(G575=1,IF(COUNTIF('Forecast Detail'!$C$8:$C$400,H575)=0,"UNMAPPED","OK"),"")</f>
        <v/>
      </c>
    </row>
    <row r="576" customFormat="false" ht="15" hidden="false" customHeight="false" outlineLevel="0" collapsed="false">
      <c r="D576" s="36" t="str">
        <f aca="false">TRIM(A576)</f>
        <v/>
      </c>
      <c r="E576" s="36" t="str">
        <f aca="false">IF(D576="Revenue","Revenue",IF(D576="Cost of Goods Sold","COGS",IF(D576="Expenditures","Expense",IF(D576="Other Revenue","Other Revenue",IF(D576="Other Expenditures","Other Expense",E575)))))</f>
        <v>Other Expense</v>
      </c>
      <c r="F576" s="36" t="str">
        <f aca="false">IF(OR(D576="Revenue",D576="Cost of Goods Sold",D576="Expenditures",D576="Other Revenue",D576="Other Expenditures"),E576,IF(AND(LEN(D576)&gt;2,MID(D576,2,1)=" ",ISNUMBER(VALUE(LEFT(D576,1)))),D576,F575))</f>
        <v>Other Expense</v>
      </c>
      <c r="G576" s="36" t="n">
        <f aca="false">IF(AND(D576&lt;&gt;"",ISNUMBER(B576),LEFT(D576,9)&lt;&gt;"Total for",D576&lt;&gt;"Gross Profit",D576&lt;&gt;"Net Operating Revenue",D576&lt;&gt;"Net Other Revenue",D576&lt;&gt;"Net Revenue"),1,0)</f>
        <v>0</v>
      </c>
      <c r="H576" s="36" t="str">
        <f aca="false">IF(G576=1,IF(AND(LEN(D576)&gt;7,ISNUMBER(VALUE(LEFT(D576,6))),MID(D576,7,1)=" "),LEFT(D576,6),D576),"")</f>
        <v/>
      </c>
      <c r="I576" s="36" t="str">
        <f aca="false">IF(G576=1,IF(COUNTIF('Forecast Detail'!$C$8:$C$400,H576)=0,"UNMAPPED","OK"),"")</f>
        <v/>
      </c>
    </row>
    <row r="577" customFormat="false" ht="15" hidden="false" customHeight="false" outlineLevel="0" collapsed="false">
      <c r="D577" s="36" t="str">
        <f aca="false">TRIM(A577)</f>
        <v/>
      </c>
      <c r="E577" s="36" t="str">
        <f aca="false">IF(D577="Revenue","Revenue",IF(D577="Cost of Goods Sold","COGS",IF(D577="Expenditures","Expense",IF(D577="Other Revenue","Other Revenue",IF(D577="Other Expenditures","Other Expense",E576)))))</f>
        <v>Other Expense</v>
      </c>
      <c r="F577" s="36" t="str">
        <f aca="false">IF(OR(D577="Revenue",D577="Cost of Goods Sold",D577="Expenditures",D577="Other Revenue",D577="Other Expenditures"),E577,IF(AND(LEN(D577)&gt;2,MID(D577,2,1)=" ",ISNUMBER(VALUE(LEFT(D577,1)))),D577,F576))</f>
        <v>Other Expense</v>
      </c>
      <c r="G577" s="36" t="n">
        <f aca="false">IF(AND(D577&lt;&gt;"",ISNUMBER(B577),LEFT(D577,9)&lt;&gt;"Total for",D577&lt;&gt;"Gross Profit",D577&lt;&gt;"Net Operating Revenue",D577&lt;&gt;"Net Other Revenue",D577&lt;&gt;"Net Revenue"),1,0)</f>
        <v>0</v>
      </c>
      <c r="H577" s="36" t="str">
        <f aca="false">IF(G577=1,IF(AND(LEN(D577)&gt;7,ISNUMBER(VALUE(LEFT(D577,6))),MID(D577,7,1)=" "),LEFT(D577,6),D577),"")</f>
        <v/>
      </c>
      <c r="I577" s="36" t="str">
        <f aca="false">IF(G577=1,IF(COUNTIF('Forecast Detail'!$C$8:$C$400,H577)=0,"UNMAPPED","OK"),"")</f>
        <v/>
      </c>
    </row>
    <row r="578" customFormat="false" ht="15" hidden="false" customHeight="false" outlineLevel="0" collapsed="false">
      <c r="D578" s="36" t="str">
        <f aca="false">TRIM(A578)</f>
        <v/>
      </c>
      <c r="E578" s="36" t="str">
        <f aca="false">IF(D578="Revenue","Revenue",IF(D578="Cost of Goods Sold","COGS",IF(D578="Expenditures","Expense",IF(D578="Other Revenue","Other Revenue",IF(D578="Other Expenditures","Other Expense",E577)))))</f>
        <v>Other Expense</v>
      </c>
      <c r="F578" s="36" t="str">
        <f aca="false">IF(OR(D578="Revenue",D578="Cost of Goods Sold",D578="Expenditures",D578="Other Revenue",D578="Other Expenditures"),E578,IF(AND(LEN(D578)&gt;2,MID(D578,2,1)=" ",ISNUMBER(VALUE(LEFT(D578,1)))),D578,F577))</f>
        <v>Other Expense</v>
      </c>
      <c r="G578" s="36" t="n">
        <f aca="false">IF(AND(D578&lt;&gt;"",ISNUMBER(B578),LEFT(D578,9)&lt;&gt;"Total for",D578&lt;&gt;"Gross Profit",D578&lt;&gt;"Net Operating Revenue",D578&lt;&gt;"Net Other Revenue",D578&lt;&gt;"Net Revenue"),1,0)</f>
        <v>0</v>
      </c>
      <c r="H578" s="36" t="str">
        <f aca="false">IF(G578=1,IF(AND(LEN(D578)&gt;7,ISNUMBER(VALUE(LEFT(D578,6))),MID(D578,7,1)=" "),LEFT(D578,6),D578),"")</f>
        <v/>
      </c>
      <c r="I578" s="36" t="str">
        <f aca="false">IF(G578=1,IF(COUNTIF('Forecast Detail'!$C$8:$C$400,H578)=0,"UNMAPPED","OK"),"")</f>
        <v/>
      </c>
    </row>
    <row r="579" customFormat="false" ht="15" hidden="false" customHeight="false" outlineLevel="0" collapsed="false">
      <c r="D579" s="36" t="str">
        <f aca="false">TRIM(A579)</f>
        <v/>
      </c>
      <c r="E579" s="36" t="str">
        <f aca="false">IF(D579="Revenue","Revenue",IF(D579="Cost of Goods Sold","COGS",IF(D579="Expenditures","Expense",IF(D579="Other Revenue","Other Revenue",IF(D579="Other Expenditures","Other Expense",E578)))))</f>
        <v>Other Expense</v>
      </c>
      <c r="F579" s="36" t="str">
        <f aca="false">IF(OR(D579="Revenue",D579="Cost of Goods Sold",D579="Expenditures",D579="Other Revenue",D579="Other Expenditures"),E579,IF(AND(LEN(D579)&gt;2,MID(D579,2,1)=" ",ISNUMBER(VALUE(LEFT(D579,1)))),D579,F578))</f>
        <v>Other Expense</v>
      </c>
      <c r="G579" s="36" t="n">
        <f aca="false">IF(AND(D579&lt;&gt;"",ISNUMBER(B579),LEFT(D579,9)&lt;&gt;"Total for",D579&lt;&gt;"Gross Profit",D579&lt;&gt;"Net Operating Revenue",D579&lt;&gt;"Net Other Revenue",D579&lt;&gt;"Net Revenue"),1,0)</f>
        <v>0</v>
      </c>
      <c r="H579" s="36" t="str">
        <f aca="false">IF(G579=1,IF(AND(LEN(D579)&gt;7,ISNUMBER(VALUE(LEFT(D579,6))),MID(D579,7,1)=" "),LEFT(D579,6),D579),"")</f>
        <v/>
      </c>
      <c r="I579" s="36" t="str">
        <f aca="false">IF(G579=1,IF(COUNTIF('Forecast Detail'!$C$8:$C$400,H579)=0,"UNMAPPED","OK"),"")</f>
        <v/>
      </c>
    </row>
    <row r="580" customFormat="false" ht="15" hidden="false" customHeight="false" outlineLevel="0" collapsed="false">
      <c r="D580" s="36" t="str">
        <f aca="false">TRIM(A580)</f>
        <v/>
      </c>
      <c r="E580" s="36" t="str">
        <f aca="false">IF(D580="Revenue","Revenue",IF(D580="Cost of Goods Sold","COGS",IF(D580="Expenditures","Expense",IF(D580="Other Revenue","Other Revenue",IF(D580="Other Expenditures","Other Expense",E579)))))</f>
        <v>Other Expense</v>
      </c>
      <c r="F580" s="36" t="str">
        <f aca="false">IF(OR(D580="Revenue",D580="Cost of Goods Sold",D580="Expenditures",D580="Other Revenue",D580="Other Expenditures"),E580,IF(AND(LEN(D580)&gt;2,MID(D580,2,1)=" ",ISNUMBER(VALUE(LEFT(D580,1)))),D580,F579))</f>
        <v>Other Expense</v>
      </c>
      <c r="G580" s="36" t="n">
        <f aca="false">IF(AND(D580&lt;&gt;"",ISNUMBER(B580),LEFT(D580,9)&lt;&gt;"Total for",D580&lt;&gt;"Gross Profit",D580&lt;&gt;"Net Operating Revenue",D580&lt;&gt;"Net Other Revenue",D580&lt;&gt;"Net Revenue"),1,0)</f>
        <v>0</v>
      </c>
      <c r="H580" s="36" t="str">
        <f aca="false">IF(G580=1,IF(AND(LEN(D580)&gt;7,ISNUMBER(VALUE(LEFT(D580,6))),MID(D580,7,1)=" "),LEFT(D580,6),D580),"")</f>
        <v/>
      </c>
      <c r="I580" s="36" t="str">
        <f aca="false">IF(G580=1,IF(COUNTIF('Forecast Detail'!$C$8:$C$400,H580)=0,"UNMAPPED","OK"),"")</f>
        <v/>
      </c>
    </row>
    <row r="581" customFormat="false" ht="15" hidden="false" customHeight="false" outlineLevel="0" collapsed="false">
      <c r="D581" s="36" t="str">
        <f aca="false">TRIM(A581)</f>
        <v/>
      </c>
      <c r="E581" s="36" t="str">
        <f aca="false">IF(D581="Revenue","Revenue",IF(D581="Cost of Goods Sold","COGS",IF(D581="Expenditures","Expense",IF(D581="Other Revenue","Other Revenue",IF(D581="Other Expenditures","Other Expense",E580)))))</f>
        <v>Other Expense</v>
      </c>
      <c r="F581" s="36" t="str">
        <f aca="false">IF(OR(D581="Revenue",D581="Cost of Goods Sold",D581="Expenditures",D581="Other Revenue",D581="Other Expenditures"),E581,IF(AND(LEN(D581)&gt;2,MID(D581,2,1)=" ",ISNUMBER(VALUE(LEFT(D581,1)))),D581,F580))</f>
        <v>Other Expense</v>
      </c>
      <c r="G581" s="36" t="n">
        <f aca="false">IF(AND(D581&lt;&gt;"",ISNUMBER(B581),LEFT(D581,9)&lt;&gt;"Total for",D581&lt;&gt;"Gross Profit",D581&lt;&gt;"Net Operating Revenue",D581&lt;&gt;"Net Other Revenue",D581&lt;&gt;"Net Revenue"),1,0)</f>
        <v>0</v>
      </c>
      <c r="H581" s="36" t="str">
        <f aca="false">IF(G581=1,IF(AND(LEN(D581)&gt;7,ISNUMBER(VALUE(LEFT(D581,6))),MID(D581,7,1)=" "),LEFT(D581,6),D581),"")</f>
        <v/>
      </c>
      <c r="I581" s="36" t="str">
        <f aca="false">IF(G581=1,IF(COUNTIF('Forecast Detail'!$C$8:$C$400,H581)=0,"UNMAPPED","OK"),"")</f>
        <v/>
      </c>
    </row>
    <row r="582" customFormat="false" ht="15" hidden="false" customHeight="false" outlineLevel="0" collapsed="false">
      <c r="D582" s="36" t="str">
        <f aca="false">TRIM(A582)</f>
        <v/>
      </c>
      <c r="E582" s="36" t="str">
        <f aca="false">IF(D582="Revenue","Revenue",IF(D582="Cost of Goods Sold","COGS",IF(D582="Expenditures","Expense",IF(D582="Other Revenue","Other Revenue",IF(D582="Other Expenditures","Other Expense",E581)))))</f>
        <v>Other Expense</v>
      </c>
      <c r="F582" s="36" t="str">
        <f aca="false">IF(OR(D582="Revenue",D582="Cost of Goods Sold",D582="Expenditures",D582="Other Revenue",D582="Other Expenditures"),E582,IF(AND(LEN(D582)&gt;2,MID(D582,2,1)=" ",ISNUMBER(VALUE(LEFT(D582,1)))),D582,F581))</f>
        <v>Other Expense</v>
      </c>
      <c r="G582" s="36" t="n">
        <f aca="false">IF(AND(D582&lt;&gt;"",ISNUMBER(B582),LEFT(D582,9)&lt;&gt;"Total for",D582&lt;&gt;"Gross Profit",D582&lt;&gt;"Net Operating Revenue",D582&lt;&gt;"Net Other Revenue",D582&lt;&gt;"Net Revenue"),1,0)</f>
        <v>0</v>
      </c>
      <c r="H582" s="36" t="str">
        <f aca="false">IF(G582=1,IF(AND(LEN(D582)&gt;7,ISNUMBER(VALUE(LEFT(D582,6))),MID(D582,7,1)=" "),LEFT(D582,6),D582),"")</f>
        <v/>
      </c>
      <c r="I582" s="36" t="str">
        <f aca="false">IF(G582=1,IF(COUNTIF('Forecast Detail'!$C$8:$C$400,H582)=0,"UNMAPPED","OK"),"")</f>
        <v/>
      </c>
    </row>
    <row r="583" customFormat="false" ht="15" hidden="false" customHeight="false" outlineLevel="0" collapsed="false">
      <c r="D583" s="36" t="str">
        <f aca="false">TRIM(A583)</f>
        <v/>
      </c>
      <c r="E583" s="36" t="str">
        <f aca="false">IF(D583="Revenue","Revenue",IF(D583="Cost of Goods Sold","COGS",IF(D583="Expenditures","Expense",IF(D583="Other Revenue","Other Revenue",IF(D583="Other Expenditures","Other Expense",E582)))))</f>
        <v>Other Expense</v>
      </c>
      <c r="F583" s="36" t="str">
        <f aca="false">IF(OR(D583="Revenue",D583="Cost of Goods Sold",D583="Expenditures",D583="Other Revenue",D583="Other Expenditures"),E583,IF(AND(LEN(D583)&gt;2,MID(D583,2,1)=" ",ISNUMBER(VALUE(LEFT(D583,1)))),D583,F582))</f>
        <v>Other Expense</v>
      </c>
      <c r="G583" s="36" t="n">
        <f aca="false">IF(AND(D583&lt;&gt;"",ISNUMBER(B583),LEFT(D583,9)&lt;&gt;"Total for",D583&lt;&gt;"Gross Profit",D583&lt;&gt;"Net Operating Revenue",D583&lt;&gt;"Net Other Revenue",D583&lt;&gt;"Net Revenue"),1,0)</f>
        <v>0</v>
      </c>
      <c r="H583" s="36" t="str">
        <f aca="false">IF(G583=1,IF(AND(LEN(D583)&gt;7,ISNUMBER(VALUE(LEFT(D583,6))),MID(D583,7,1)=" "),LEFT(D583,6),D583),"")</f>
        <v/>
      </c>
      <c r="I583" s="36" t="str">
        <f aca="false">IF(G583=1,IF(COUNTIF('Forecast Detail'!$C$8:$C$400,H583)=0,"UNMAPPED","OK"),"")</f>
        <v/>
      </c>
    </row>
    <row r="584" customFormat="false" ht="15" hidden="false" customHeight="false" outlineLevel="0" collapsed="false">
      <c r="D584" s="36" t="str">
        <f aca="false">TRIM(A584)</f>
        <v/>
      </c>
      <c r="E584" s="36" t="str">
        <f aca="false">IF(D584="Revenue","Revenue",IF(D584="Cost of Goods Sold","COGS",IF(D584="Expenditures","Expense",IF(D584="Other Revenue","Other Revenue",IF(D584="Other Expenditures","Other Expense",E583)))))</f>
        <v>Other Expense</v>
      </c>
      <c r="F584" s="36" t="str">
        <f aca="false">IF(OR(D584="Revenue",D584="Cost of Goods Sold",D584="Expenditures",D584="Other Revenue",D584="Other Expenditures"),E584,IF(AND(LEN(D584)&gt;2,MID(D584,2,1)=" ",ISNUMBER(VALUE(LEFT(D584,1)))),D584,F583))</f>
        <v>Other Expense</v>
      </c>
      <c r="G584" s="36" t="n">
        <f aca="false">IF(AND(D584&lt;&gt;"",ISNUMBER(B584),LEFT(D584,9)&lt;&gt;"Total for",D584&lt;&gt;"Gross Profit",D584&lt;&gt;"Net Operating Revenue",D584&lt;&gt;"Net Other Revenue",D584&lt;&gt;"Net Revenue"),1,0)</f>
        <v>0</v>
      </c>
      <c r="H584" s="36" t="str">
        <f aca="false">IF(G584=1,IF(AND(LEN(D584)&gt;7,ISNUMBER(VALUE(LEFT(D584,6))),MID(D584,7,1)=" "),LEFT(D584,6),D584),"")</f>
        <v/>
      </c>
      <c r="I584" s="36" t="str">
        <f aca="false">IF(G584=1,IF(COUNTIF('Forecast Detail'!$C$8:$C$400,H584)=0,"UNMAPPED","OK"),"")</f>
        <v/>
      </c>
    </row>
    <row r="585" customFormat="false" ht="15" hidden="false" customHeight="false" outlineLevel="0" collapsed="false">
      <c r="D585" s="36" t="str">
        <f aca="false">TRIM(A585)</f>
        <v/>
      </c>
      <c r="E585" s="36" t="str">
        <f aca="false">IF(D585="Revenue","Revenue",IF(D585="Cost of Goods Sold","COGS",IF(D585="Expenditures","Expense",IF(D585="Other Revenue","Other Revenue",IF(D585="Other Expenditures","Other Expense",E584)))))</f>
        <v>Other Expense</v>
      </c>
      <c r="F585" s="36" t="str">
        <f aca="false">IF(OR(D585="Revenue",D585="Cost of Goods Sold",D585="Expenditures",D585="Other Revenue",D585="Other Expenditures"),E585,IF(AND(LEN(D585)&gt;2,MID(D585,2,1)=" ",ISNUMBER(VALUE(LEFT(D585,1)))),D585,F584))</f>
        <v>Other Expense</v>
      </c>
      <c r="G585" s="36" t="n">
        <f aca="false">IF(AND(D585&lt;&gt;"",ISNUMBER(B585),LEFT(D585,9)&lt;&gt;"Total for",D585&lt;&gt;"Gross Profit",D585&lt;&gt;"Net Operating Revenue",D585&lt;&gt;"Net Other Revenue",D585&lt;&gt;"Net Revenue"),1,0)</f>
        <v>0</v>
      </c>
      <c r="H585" s="36" t="str">
        <f aca="false">IF(G585=1,IF(AND(LEN(D585)&gt;7,ISNUMBER(VALUE(LEFT(D585,6))),MID(D585,7,1)=" "),LEFT(D585,6),D585),"")</f>
        <v/>
      </c>
      <c r="I585" s="36" t="str">
        <f aca="false">IF(G585=1,IF(COUNTIF('Forecast Detail'!$C$8:$C$400,H585)=0,"UNMAPPED","OK"),"")</f>
        <v/>
      </c>
    </row>
    <row r="586" customFormat="false" ht="15" hidden="false" customHeight="false" outlineLevel="0" collapsed="false">
      <c r="D586" s="36" t="str">
        <f aca="false">TRIM(A586)</f>
        <v/>
      </c>
      <c r="E586" s="36" t="str">
        <f aca="false">IF(D586="Revenue","Revenue",IF(D586="Cost of Goods Sold","COGS",IF(D586="Expenditures","Expense",IF(D586="Other Revenue","Other Revenue",IF(D586="Other Expenditures","Other Expense",E585)))))</f>
        <v>Other Expense</v>
      </c>
      <c r="F586" s="36" t="str">
        <f aca="false">IF(OR(D586="Revenue",D586="Cost of Goods Sold",D586="Expenditures",D586="Other Revenue",D586="Other Expenditures"),E586,IF(AND(LEN(D586)&gt;2,MID(D586,2,1)=" ",ISNUMBER(VALUE(LEFT(D586,1)))),D586,F585))</f>
        <v>Other Expense</v>
      </c>
      <c r="G586" s="36" t="n">
        <f aca="false">IF(AND(D586&lt;&gt;"",ISNUMBER(B586),LEFT(D586,9)&lt;&gt;"Total for",D586&lt;&gt;"Gross Profit",D586&lt;&gt;"Net Operating Revenue",D586&lt;&gt;"Net Other Revenue",D586&lt;&gt;"Net Revenue"),1,0)</f>
        <v>0</v>
      </c>
      <c r="H586" s="36" t="str">
        <f aca="false">IF(G586=1,IF(AND(LEN(D586)&gt;7,ISNUMBER(VALUE(LEFT(D586,6))),MID(D586,7,1)=" "),LEFT(D586,6),D586),"")</f>
        <v/>
      </c>
      <c r="I586" s="36" t="str">
        <f aca="false">IF(G586=1,IF(COUNTIF('Forecast Detail'!$C$8:$C$400,H586)=0,"UNMAPPED","OK"),"")</f>
        <v/>
      </c>
    </row>
    <row r="587" customFormat="false" ht="15" hidden="false" customHeight="false" outlineLevel="0" collapsed="false">
      <c r="D587" s="36" t="str">
        <f aca="false">TRIM(A587)</f>
        <v/>
      </c>
      <c r="E587" s="36" t="str">
        <f aca="false">IF(D587="Revenue","Revenue",IF(D587="Cost of Goods Sold","COGS",IF(D587="Expenditures","Expense",IF(D587="Other Revenue","Other Revenue",IF(D587="Other Expenditures","Other Expense",E586)))))</f>
        <v>Other Expense</v>
      </c>
      <c r="F587" s="36" t="str">
        <f aca="false">IF(OR(D587="Revenue",D587="Cost of Goods Sold",D587="Expenditures",D587="Other Revenue",D587="Other Expenditures"),E587,IF(AND(LEN(D587)&gt;2,MID(D587,2,1)=" ",ISNUMBER(VALUE(LEFT(D587,1)))),D587,F586))</f>
        <v>Other Expense</v>
      </c>
      <c r="G587" s="36" t="n">
        <f aca="false">IF(AND(D587&lt;&gt;"",ISNUMBER(B587),LEFT(D587,9)&lt;&gt;"Total for",D587&lt;&gt;"Gross Profit",D587&lt;&gt;"Net Operating Revenue",D587&lt;&gt;"Net Other Revenue",D587&lt;&gt;"Net Revenue"),1,0)</f>
        <v>0</v>
      </c>
      <c r="H587" s="36" t="str">
        <f aca="false">IF(G587=1,IF(AND(LEN(D587)&gt;7,ISNUMBER(VALUE(LEFT(D587,6))),MID(D587,7,1)=" "),LEFT(D587,6),D587),"")</f>
        <v/>
      </c>
      <c r="I587" s="36" t="str">
        <f aca="false">IF(G587=1,IF(COUNTIF('Forecast Detail'!$C$8:$C$400,H587)=0,"UNMAPPED","OK"),"")</f>
        <v/>
      </c>
    </row>
    <row r="588" customFormat="false" ht="15" hidden="false" customHeight="false" outlineLevel="0" collapsed="false">
      <c r="D588" s="36" t="str">
        <f aca="false">TRIM(A588)</f>
        <v/>
      </c>
      <c r="E588" s="36" t="str">
        <f aca="false">IF(D588="Revenue","Revenue",IF(D588="Cost of Goods Sold","COGS",IF(D588="Expenditures","Expense",IF(D588="Other Revenue","Other Revenue",IF(D588="Other Expenditures","Other Expense",E587)))))</f>
        <v>Other Expense</v>
      </c>
      <c r="F588" s="36" t="str">
        <f aca="false">IF(OR(D588="Revenue",D588="Cost of Goods Sold",D588="Expenditures",D588="Other Revenue",D588="Other Expenditures"),E588,IF(AND(LEN(D588)&gt;2,MID(D588,2,1)=" ",ISNUMBER(VALUE(LEFT(D588,1)))),D588,F587))</f>
        <v>Other Expense</v>
      </c>
      <c r="G588" s="36" t="n">
        <f aca="false">IF(AND(D588&lt;&gt;"",ISNUMBER(B588),LEFT(D588,9)&lt;&gt;"Total for",D588&lt;&gt;"Gross Profit",D588&lt;&gt;"Net Operating Revenue",D588&lt;&gt;"Net Other Revenue",D588&lt;&gt;"Net Revenue"),1,0)</f>
        <v>0</v>
      </c>
      <c r="H588" s="36" t="str">
        <f aca="false">IF(G588=1,IF(AND(LEN(D588)&gt;7,ISNUMBER(VALUE(LEFT(D588,6))),MID(D588,7,1)=" "),LEFT(D588,6),D588),"")</f>
        <v/>
      </c>
      <c r="I588" s="36" t="str">
        <f aca="false">IF(G588=1,IF(COUNTIF('Forecast Detail'!$C$8:$C$400,H588)=0,"UNMAPPED","OK"),"")</f>
        <v/>
      </c>
    </row>
    <row r="589" customFormat="false" ht="15" hidden="false" customHeight="false" outlineLevel="0" collapsed="false">
      <c r="D589" s="36" t="str">
        <f aca="false">TRIM(A589)</f>
        <v/>
      </c>
      <c r="E589" s="36" t="str">
        <f aca="false">IF(D589="Revenue","Revenue",IF(D589="Cost of Goods Sold","COGS",IF(D589="Expenditures","Expense",IF(D589="Other Revenue","Other Revenue",IF(D589="Other Expenditures","Other Expense",E588)))))</f>
        <v>Other Expense</v>
      </c>
      <c r="F589" s="36" t="str">
        <f aca="false">IF(OR(D589="Revenue",D589="Cost of Goods Sold",D589="Expenditures",D589="Other Revenue",D589="Other Expenditures"),E589,IF(AND(LEN(D589)&gt;2,MID(D589,2,1)=" ",ISNUMBER(VALUE(LEFT(D589,1)))),D589,F588))</f>
        <v>Other Expense</v>
      </c>
      <c r="G589" s="36" t="n">
        <f aca="false">IF(AND(D589&lt;&gt;"",ISNUMBER(B589),LEFT(D589,9)&lt;&gt;"Total for",D589&lt;&gt;"Gross Profit",D589&lt;&gt;"Net Operating Revenue",D589&lt;&gt;"Net Other Revenue",D589&lt;&gt;"Net Revenue"),1,0)</f>
        <v>0</v>
      </c>
      <c r="H589" s="36" t="str">
        <f aca="false">IF(G589=1,IF(AND(LEN(D589)&gt;7,ISNUMBER(VALUE(LEFT(D589,6))),MID(D589,7,1)=" "),LEFT(D589,6),D589),"")</f>
        <v/>
      </c>
      <c r="I589" s="36" t="str">
        <f aca="false">IF(G589=1,IF(COUNTIF('Forecast Detail'!$C$8:$C$400,H589)=0,"UNMAPPED","OK"),"")</f>
        <v/>
      </c>
    </row>
    <row r="590" customFormat="false" ht="15" hidden="false" customHeight="false" outlineLevel="0" collapsed="false">
      <c r="D590" s="36" t="str">
        <f aca="false">TRIM(A590)</f>
        <v/>
      </c>
      <c r="E590" s="36" t="str">
        <f aca="false">IF(D590="Revenue","Revenue",IF(D590="Cost of Goods Sold","COGS",IF(D590="Expenditures","Expense",IF(D590="Other Revenue","Other Revenue",IF(D590="Other Expenditures","Other Expense",E589)))))</f>
        <v>Other Expense</v>
      </c>
      <c r="F590" s="36" t="str">
        <f aca="false">IF(OR(D590="Revenue",D590="Cost of Goods Sold",D590="Expenditures",D590="Other Revenue",D590="Other Expenditures"),E590,IF(AND(LEN(D590)&gt;2,MID(D590,2,1)=" ",ISNUMBER(VALUE(LEFT(D590,1)))),D590,F589))</f>
        <v>Other Expense</v>
      </c>
      <c r="G590" s="36" t="n">
        <f aca="false">IF(AND(D590&lt;&gt;"",ISNUMBER(B590),LEFT(D590,9)&lt;&gt;"Total for",D590&lt;&gt;"Gross Profit",D590&lt;&gt;"Net Operating Revenue",D590&lt;&gt;"Net Other Revenue",D590&lt;&gt;"Net Revenue"),1,0)</f>
        <v>0</v>
      </c>
      <c r="H590" s="36" t="str">
        <f aca="false">IF(G590=1,IF(AND(LEN(D590)&gt;7,ISNUMBER(VALUE(LEFT(D590,6))),MID(D590,7,1)=" "),LEFT(D590,6),D590),"")</f>
        <v/>
      </c>
      <c r="I590" s="36" t="str">
        <f aca="false">IF(G590=1,IF(COUNTIF('Forecast Detail'!$C$8:$C$400,H590)=0,"UNMAPPED","OK"),"")</f>
        <v/>
      </c>
    </row>
    <row r="591" customFormat="false" ht="15" hidden="false" customHeight="false" outlineLevel="0" collapsed="false">
      <c r="D591" s="36" t="str">
        <f aca="false">TRIM(A591)</f>
        <v/>
      </c>
      <c r="E591" s="36" t="str">
        <f aca="false">IF(D591="Revenue","Revenue",IF(D591="Cost of Goods Sold","COGS",IF(D591="Expenditures","Expense",IF(D591="Other Revenue","Other Revenue",IF(D591="Other Expenditures","Other Expense",E590)))))</f>
        <v>Other Expense</v>
      </c>
      <c r="F591" s="36" t="str">
        <f aca="false">IF(OR(D591="Revenue",D591="Cost of Goods Sold",D591="Expenditures",D591="Other Revenue",D591="Other Expenditures"),E591,IF(AND(LEN(D591)&gt;2,MID(D591,2,1)=" ",ISNUMBER(VALUE(LEFT(D591,1)))),D591,F590))</f>
        <v>Other Expense</v>
      </c>
      <c r="G591" s="36" t="n">
        <f aca="false">IF(AND(D591&lt;&gt;"",ISNUMBER(B591),LEFT(D591,9)&lt;&gt;"Total for",D591&lt;&gt;"Gross Profit",D591&lt;&gt;"Net Operating Revenue",D591&lt;&gt;"Net Other Revenue",D591&lt;&gt;"Net Revenue"),1,0)</f>
        <v>0</v>
      </c>
      <c r="H591" s="36" t="str">
        <f aca="false">IF(G591=1,IF(AND(LEN(D591)&gt;7,ISNUMBER(VALUE(LEFT(D591,6))),MID(D591,7,1)=" "),LEFT(D591,6),D591),"")</f>
        <v/>
      </c>
      <c r="I591" s="36" t="str">
        <f aca="false">IF(G591=1,IF(COUNTIF('Forecast Detail'!$C$8:$C$400,H591)=0,"UNMAPPED","OK"),"")</f>
        <v/>
      </c>
    </row>
    <row r="592" customFormat="false" ht="15" hidden="false" customHeight="false" outlineLevel="0" collapsed="false">
      <c r="D592" s="36" t="str">
        <f aca="false">TRIM(A592)</f>
        <v/>
      </c>
      <c r="E592" s="36" t="str">
        <f aca="false">IF(D592="Revenue","Revenue",IF(D592="Cost of Goods Sold","COGS",IF(D592="Expenditures","Expense",IF(D592="Other Revenue","Other Revenue",IF(D592="Other Expenditures","Other Expense",E591)))))</f>
        <v>Other Expense</v>
      </c>
      <c r="F592" s="36" t="str">
        <f aca="false">IF(OR(D592="Revenue",D592="Cost of Goods Sold",D592="Expenditures",D592="Other Revenue",D592="Other Expenditures"),E592,IF(AND(LEN(D592)&gt;2,MID(D592,2,1)=" ",ISNUMBER(VALUE(LEFT(D592,1)))),D592,F591))</f>
        <v>Other Expense</v>
      </c>
      <c r="G592" s="36" t="n">
        <f aca="false">IF(AND(D592&lt;&gt;"",ISNUMBER(B592),LEFT(D592,9)&lt;&gt;"Total for",D592&lt;&gt;"Gross Profit",D592&lt;&gt;"Net Operating Revenue",D592&lt;&gt;"Net Other Revenue",D592&lt;&gt;"Net Revenue"),1,0)</f>
        <v>0</v>
      </c>
      <c r="H592" s="36" t="str">
        <f aca="false">IF(G592=1,IF(AND(LEN(D592)&gt;7,ISNUMBER(VALUE(LEFT(D592,6))),MID(D592,7,1)=" "),LEFT(D592,6),D592),"")</f>
        <v/>
      </c>
      <c r="I592" s="36" t="str">
        <f aca="false">IF(G592=1,IF(COUNTIF('Forecast Detail'!$C$8:$C$400,H592)=0,"UNMAPPED","OK"),"")</f>
        <v/>
      </c>
    </row>
    <row r="593" customFormat="false" ht="15" hidden="false" customHeight="false" outlineLevel="0" collapsed="false">
      <c r="D593" s="36" t="str">
        <f aca="false">TRIM(A593)</f>
        <v/>
      </c>
      <c r="E593" s="36" t="str">
        <f aca="false">IF(D593="Revenue","Revenue",IF(D593="Cost of Goods Sold","COGS",IF(D593="Expenditures","Expense",IF(D593="Other Revenue","Other Revenue",IF(D593="Other Expenditures","Other Expense",E592)))))</f>
        <v>Other Expense</v>
      </c>
      <c r="F593" s="36" t="str">
        <f aca="false">IF(OR(D593="Revenue",D593="Cost of Goods Sold",D593="Expenditures",D593="Other Revenue",D593="Other Expenditures"),E593,IF(AND(LEN(D593)&gt;2,MID(D593,2,1)=" ",ISNUMBER(VALUE(LEFT(D593,1)))),D593,F592))</f>
        <v>Other Expense</v>
      </c>
      <c r="G593" s="36" t="n">
        <f aca="false">IF(AND(D593&lt;&gt;"",ISNUMBER(B593),LEFT(D593,9)&lt;&gt;"Total for",D593&lt;&gt;"Gross Profit",D593&lt;&gt;"Net Operating Revenue",D593&lt;&gt;"Net Other Revenue",D593&lt;&gt;"Net Revenue"),1,0)</f>
        <v>0</v>
      </c>
      <c r="H593" s="36" t="str">
        <f aca="false">IF(G593=1,IF(AND(LEN(D593)&gt;7,ISNUMBER(VALUE(LEFT(D593,6))),MID(D593,7,1)=" "),LEFT(D593,6),D593),"")</f>
        <v/>
      </c>
      <c r="I593" s="36" t="str">
        <f aca="false">IF(G593=1,IF(COUNTIF('Forecast Detail'!$C$8:$C$400,H593)=0,"UNMAPPED","OK"),"")</f>
        <v/>
      </c>
    </row>
    <row r="594" customFormat="false" ht="15" hidden="false" customHeight="false" outlineLevel="0" collapsed="false">
      <c r="D594" s="36" t="str">
        <f aca="false">TRIM(A594)</f>
        <v/>
      </c>
      <c r="E594" s="36" t="str">
        <f aca="false">IF(D594="Revenue","Revenue",IF(D594="Cost of Goods Sold","COGS",IF(D594="Expenditures","Expense",IF(D594="Other Revenue","Other Revenue",IF(D594="Other Expenditures","Other Expense",E593)))))</f>
        <v>Other Expense</v>
      </c>
      <c r="F594" s="36" t="str">
        <f aca="false">IF(OR(D594="Revenue",D594="Cost of Goods Sold",D594="Expenditures",D594="Other Revenue",D594="Other Expenditures"),E594,IF(AND(LEN(D594)&gt;2,MID(D594,2,1)=" ",ISNUMBER(VALUE(LEFT(D594,1)))),D594,F593))</f>
        <v>Other Expense</v>
      </c>
      <c r="G594" s="36" t="n">
        <f aca="false">IF(AND(D594&lt;&gt;"",ISNUMBER(B594),LEFT(D594,9)&lt;&gt;"Total for",D594&lt;&gt;"Gross Profit",D594&lt;&gt;"Net Operating Revenue",D594&lt;&gt;"Net Other Revenue",D594&lt;&gt;"Net Revenue"),1,0)</f>
        <v>0</v>
      </c>
      <c r="H594" s="36" t="str">
        <f aca="false">IF(G594=1,IF(AND(LEN(D594)&gt;7,ISNUMBER(VALUE(LEFT(D594,6))),MID(D594,7,1)=" "),LEFT(D594,6),D594),"")</f>
        <v/>
      </c>
      <c r="I594" s="36" t="str">
        <f aca="false">IF(G594=1,IF(COUNTIF('Forecast Detail'!$C$8:$C$400,H594)=0,"UNMAPPED","OK"),"")</f>
        <v/>
      </c>
    </row>
    <row r="595" customFormat="false" ht="15" hidden="false" customHeight="false" outlineLevel="0" collapsed="false">
      <c r="D595" s="36" t="str">
        <f aca="false">TRIM(A595)</f>
        <v/>
      </c>
      <c r="E595" s="36" t="str">
        <f aca="false">IF(D595="Revenue","Revenue",IF(D595="Cost of Goods Sold","COGS",IF(D595="Expenditures","Expense",IF(D595="Other Revenue","Other Revenue",IF(D595="Other Expenditures","Other Expense",E594)))))</f>
        <v>Other Expense</v>
      </c>
      <c r="F595" s="36" t="str">
        <f aca="false">IF(OR(D595="Revenue",D595="Cost of Goods Sold",D595="Expenditures",D595="Other Revenue",D595="Other Expenditures"),E595,IF(AND(LEN(D595)&gt;2,MID(D595,2,1)=" ",ISNUMBER(VALUE(LEFT(D595,1)))),D595,F594))</f>
        <v>Other Expense</v>
      </c>
      <c r="G595" s="36" t="n">
        <f aca="false">IF(AND(D595&lt;&gt;"",ISNUMBER(B595),LEFT(D595,9)&lt;&gt;"Total for",D595&lt;&gt;"Gross Profit",D595&lt;&gt;"Net Operating Revenue",D595&lt;&gt;"Net Other Revenue",D595&lt;&gt;"Net Revenue"),1,0)</f>
        <v>0</v>
      </c>
      <c r="H595" s="36" t="str">
        <f aca="false">IF(G595=1,IF(AND(LEN(D595)&gt;7,ISNUMBER(VALUE(LEFT(D595,6))),MID(D595,7,1)=" "),LEFT(D595,6),D595),"")</f>
        <v/>
      </c>
      <c r="I595" s="36" t="str">
        <f aca="false">IF(G595=1,IF(COUNTIF('Forecast Detail'!$C$8:$C$400,H595)=0,"UNMAPPED","OK"),"")</f>
        <v/>
      </c>
    </row>
    <row r="596" customFormat="false" ht="15" hidden="false" customHeight="false" outlineLevel="0" collapsed="false">
      <c r="D596" s="36" t="str">
        <f aca="false">TRIM(A596)</f>
        <v/>
      </c>
      <c r="E596" s="36" t="str">
        <f aca="false">IF(D596="Revenue","Revenue",IF(D596="Cost of Goods Sold","COGS",IF(D596="Expenditures","Expense",IF(D596="Other Revenue","Other Revenue",IF(D596="Other Expenditures","Other Expense",E595)))))</f>
        <v>Other Expense</v>
      </c>
      <c r="F596" s="36" t="str">
        <f aca="false">IF(OR(D596="Revenue",D596="Cost of Goods Sold",D596="Expenditures",D596="Other Revenue",D596="Other Expenditures"),E596,IF(AND(LEN(D596)&gt;2,MID(D596,2,1)=" ",ISNUMBER(VALUE(LEFT(D596,1)))),D596,F595))</f>
        <v>Other Expense</v>
      </c>
      <c r="G596" s="36" t="n">
        <f aca="false">IF(AND(D596&lt;&gt;"",ISNUMBER(B596),LEFT(D596,9)&lt;&gt;"Total for",D596&lt;&gt;"Gross Profit",D596&lt;&gt;"Net Operating Revenue",D596&lt;&gt;"Net Other Revenue",D596&lt;&gt;"Net Revenue"),1,0)</f>
        <v>0</v>
      </c>
      <c r="H596" s="36" t="str">
        <f aca="false">IF(G596=1,IF(AND(LEN(D596)&gt;7,ISNUMBER(VALUE(LEFT(D596,6))),MID(D596,7,1)=" "),LEFT(D596,6),D596),"")</f>
        <v/>
      </c>
      <c r="I596" s="36" t="str">
        <f aca="false">IF(G596=1,IF(COUNTIF('Forecast Detail'!$C$8:$C$400,H596)=0,"UNMAPPED","OK"),"")</f>
        <v/>
      </c>
    </row>
    <row r="597" customFormat="false" ht="15" hidden="false" customHeight="false" outlineLevel="0" collapsed="false">
      <c r="D597" s="36" t="str">
        <f aca="false">TRIM(A597)</f>
        <v/>
      </c>
      <c r="E597" s="36" t="str">
        <f aca="false">IF(D597="Revenue","Revenue",IF(D597="Cost of Goods Sold","COGS",IF(D597="Expenditures","Expense",IF(D597="Other Revenue","Other Revenue",IF(D597="Other Expenditures","Other Expense",E596)))))</f>
        <v>Other Expense</v>
      </c>
      <c r="F597" s="36" t="str">
        <f aca="false">IF(OR(D597="Revenue",D597="Cost of Goods Sold",D597="Expenditures",D597="Other Revenue",D597="Other Expenditures"),E597,IF(AND(LEN(D597)&gt;2,MID(D597,2,1)=" ",ISNUMBER(VALUE(LEFT(D597,1)))),D597,F596))</f>
        <v>Other Expense</v>
      </c>
      <c r="G597" s="36" t="n">
        <f aca="false">IF(AND(D597&lt;&gt;"",ISNUMBER(B597),LEFT(D597,9)&lt;&gt;"Total for",D597&lt;&gt;"Gross Profit",D597&lt;&gt;"Net Operating Revenue",D597&lt;&gt;"Net Other Revenue",D597&lt;&gt;"Net Revenue"),1,0)</f>
        <v>0</v>
      </c>
      <c r="H597" s="36" t="str">
        <f aca="false">IF(G597=1,IF(AND(LEN(D597)&gt;7,ISNUMBER(VALUE(LEFT(D597,6))),MID(D597,7,1)=" "),LEFT(D597,6),D597),"")</f>
        <v/>
      </c>
      <c r="I597" s="36" t="str">
        <f aca="false">IF(G597=1,IF(COUNTIF('Forecast Detail'!$C$8:$C$400,H597)=0,"UNMAPPED","OK"),"")</f>
        <v/>
      </c>
    </row>
    <row r="598" customFormat="false" ht="15" hidden="false" customHeight="false" outlineLevel="0" collapsed="false">
      <c r="D598" s="36" t="str">
        <f aca="false">TRIM(A598)</f>
        <v/>
      </c>
      <c r="E598" s="36" t="str">
        <f aca="false">IF(D598="Revenue","Revenue",IF(D598="Cost of Goods Sold","COGS",IF(D598="Expenditures","Expense",IF(D598="Other Revenue","Other Revenue",IF(D598="Other Expenditures","Other Expense",E597)))))</f>
        <v>Other Expense</v>
      </c>
      <c r="F598" s="36" t="str">
        <f aca="false">IF(OR(D598="Revenue",D598="Cost of Goods Sold",D598="Expenditures",D598="Other Revenue",D598="Other Expenditures"),E598,IF(AND(LEN(D598)&gt;2,MID(D598,2,1)=" ",ISNUMBER(VALUE(LEFT(D598,1)))),D598,F597))</f>
        <v>Other Expense</v>
      </c>
      <c r="G598" s="36" t="n">
        <f aca="false">IF(AND(D598&lt;&gt;"",ISNUMBER(B598),LEFT(D598,9)&lt;&gt;"Total for",D598&lt;&gt;"Gross Profit",D598&lt;&gt;"Net Operating Revenue",D598&lt;&gt;"Net Other Revenue",D598&lt;&gt;"Net Revenue"),1,0)</f>
        <v>0</v>
      </c>
      <c r="H598" s="36" t="str">
        <f aca="false">IF(G598=1,IF(AND(LEN(D598)&gt;7,ISNUMBER(VALUE(LEFT(D598,6))),MID(D598,7,1)=" "),LEFT(D598,6),D598),"")</f>
        <v/>
      </c>
      <c r="I598" s="36" t="str">
        <f aca="false">IF(G598=1,IF(COUNTIF('Forecast Detail'!$C$8:$C$400,H598)=0,"UNMAPPED","OK"),"")</f>
        <v/>
      </c>
    </row>
    <row r="599" customFormat="false" ht="15" hidden="false" customHeight="false" outlineLevel="0" collapsed="false">
      <c r="D599" s="36" t="str">
        <f aca="false">TRIM(A599)</f>
        <v/>
      </c>
      <c r="E599" s="36" t="str">
        <f aca="false">IF(D599="Revenue","Revenue",IF(D599="Cost of Goods Sold","COGS",IF(D599="Expenditures","Expense",IF(D599="Other Revenue","Other Revenue",IF(D599="Other Expenditures","Other Expense",E598)))))</f>
        <v>Other Expense</v>
      </c>
      <c r="F599" s="36" t="str">
        <f aca="false">IF(OR(D599="Revenue",D599="Cost of Goods Sold",D599="Expenditures",D599="Other Revenue",D599="Other Expenditures"),E599,IF(AND(LEN(D599)&gt;2,MID(D599,2,1)=" ",ISNUMBER(VALUE(LEFT(D599,1)))),D599,F598))</f>
        <v>Other Expense</v>
      </c>
      <c r="G599" s="36" t="n">
        <f aca="false">IF(AND(D599&lt;&gt;"",ISNUMBER(B599),LEFT(D599,9)&lt;&gt;"Total for",D599&lt;&gt;"Gross Profit",D599&lt;&gt;"Net Operating Revenue",D599&lt;&gt;"Net Other Revenue",D599&lt;&gt;"Net Revenue"),1,0)</f>
        <v>0</v>
      </c>
      <c r="H599" s="36" t="str">
        <f aca="false">IF(G599=1,IF(AND(LEN(D599)&gt;7,ISNUMBER(VALUE(LEFT(D599,6))),MID(D599,7,1)=" "),LEFT(D599,6),D599),"")</f>
        <v/>
      </c>
      <c r="I599" s="36" t="str">
        <f aca="false">IF(G599=1,IF(COUNTIF('Forecast Detail'!$C$8:$C$400,H599)=0,"UNMAPPED","OK"),"")</f>
        <v/>
      </c>
    </row>
    <row r="600" customFormat="false" ht="15" hidden="false" customHeight="false" outlineLevel="0" collapsed="false">
      <c r="D600" s="36" t="str">
        <f aca="false">TRIM(A600)</f>
        <v/>
      </c>
      <c r="E600" s="36" t="str">
        <f aca="false">IF(D600="Revenue","Revenue",IF(D600="Cost of Goods Sold","COGS",IF(D600="Expenditures","Expense",IF(D600="Other Revenue","Other Revenue",IF(D600="Other Expenditures","Other Expense",E599)))))</f>
        <v>Other Expense</v>
      </c>
      <c r="F600" s="36" t="str">
        <f aca="false">IF(OR(D600="Revenue",D600="Cost of Goods Sold",D600="Expenditures",D600="Other Revenue",D600="Other Expenditures"),E600,IF(AND(LEN(D600)&gt;2,MID(D600,2,1)=" ",ISNUMBER(VALUE(LEFT(D600,1)))),D600,F599))</f>
        <v>Other Expense</v>
      </c>
      <c r="G600" s="36" t="n">
        <f aca="false">IF(AND(D600&lt;&gt;"",ISNUMBER(B600),LEFT(D600,9)&lt;&gt;"Total for",D600&lt;&gt;"Gross Profit",D600&lt;&gt;"Net Operating Revenue",D600&lt;&gt;"Net Other Revenue",D600&lt;&gt;"Net Revenue"),1,0)</f>
        <v>0</v>
      </c>
      <c r="H600" s="36" t="str">
        <f aca="false">IF(G600=1,IF(AND(LEN(D600)&gt;7,ISNUMBER(VALUE(LEFT(D600,6))),MID(D600,7,1)=" "),LEFT(D600,6),D600),"")</f>
        <v/>
      </c>
      <c r="I600" s="36" t="str">
        <f aca="false">IF(G600=1,IF(COUNTIF('Forecast Detail'!$C$8:$C$400,H600)=0,"UNMAPPED","OK"),"")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AU6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8"/>
    <col collapsed="false" customWidth="true" hidden="false" outlineLevel="0" max="8" min="8" style="0" width="30"/>
    <col collapsed="false" customWidth="true" hidden="false" outlineLevel="0" max="9" min="9" style="0" width="3"/>
    <col collapsed="false" customWidth="true" hidden="false" outlineLevel="0" max="10" min="10" style="0" width="4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4"/>
    <col collapsed="false" customWidth="true" hidden="false" outlineLevel="0" max="14" min="14" style="0" width="12"/>
    <col collapsed="false" customWidth="true" hidden="false" outlineLevel="0" max="15" min="15" style="0" width="26"/>
    <col collapsed="false" customWidth="true" hidden="false" outlineLevel="0" max="16" min="16" style="0" width="8"/>
    <col collapsed="false" customWidth="true" hidden="false" outlineLevel="0" max="17" min="17" style="0" width="30"/>
    <col collapsed="false" customWidth="true" hidden="false" outlineLevel="0" max="18" min="18" style="0" width="3"/>
    <col collapsed="false" customWidth="true" hidden="false" outlineLevel="0" max="19" min="19" style="0" width="40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4"/>
    <col collapsed="false" customWidth="true" hidden="false" outlineLevel="0" max="23" min="23" style="0" width="12"/>
    <col collapsed="false" customWidth="true" hidden="false" outlineLevel="0" max="24" min="24" style="0" width="26"/>
    <col collapsed="false" customWidth="true" hidden="false" outlineLevel="0" max="25" min="25" style="0" width="8"/>
    <col collapsed="false" customWidth="true" hidden="false" outlineLevel="0" max="26" min="26" style="0" width="30"/>
    <col collapsed="false" customWidth="true" hidden="false" outlineLevel="0" max="27" min="27" style="0" width="3"/>
    <col collapsed="false" customWidth="true" hidden="false" outlineLevel="0" max="28" min="28" style="0" width="40"/>
    <col collapsed="false" customWidth="true" hidden="false" outlineLevel="0" max="29" min="29" style="0" width="14"/>
    <col collapsed="false" customWidth="true" hidden="false" outlineLevel="0" max="30" min="30" style="0" width="12"/>
    <col collapsed="false" customWidth="true" hidden="false" outlineLevel="0" max="31" min="31" style="0" width="4"/>
    <col collapsed="false" customWidth="true" hidden="false" outlineLevel="0" max="32" min="32" style="0" width="12"/>
    <col collapsed="false" customWidth="true" hidden="false" outlineLevel="0" max="33" min="33" style="0" width="26"/>
    <col collapsed="false" customWidth="true" hidden="false" outlineLevel="0" max="34" min="34" style="0" width="8"/>
    <col collapsed="false" customWidth="true" hidden="false" outlineLevel="0" max="35" min="35" style="0" width="30"/>
    <col collapsed="false" customWidth="true" hidden="false" outlineLevel="0" max="36" min="36" style="0" width="3"/>
    <col collapsed="false" customWidth="true" hidden="false" outlineLevel="0" max="37" min="37" style="0" width="40"/>
    <col collapsed="false" customWidth="true" hidden="false" outlineLevel="0" max="38" min="38" style="0" width="14"/>
    <col collapsed="false" customWidth="true" hidden="false" outlineLevel="0" max="39" min="39" style="0" width="12"/>
    <col collapsed="false" customWidth="true" hidden="false" outlineLevel="0" max="40" min="40" style="0" width="4"/>
    <col collapsed="false" customWidth="true" hidden="false" outlineLevel="0" max="41" min="41" style="0" width="12"/>
    <col collapsed="false" customWidth="true" hidden="false" outlineLevel="0" max="42" min="42" style="0" width="26"/>
    <col collapsed="false" customWidth="true" hidden="false" outlineLevel="0" max="43" min="43" style="0" width="8"/>
    <col collapsed="false" customWidth="true" hidden="false" outlineLevel="0" max="44" min="44" style="0" width="30"/>
    <col collapsed="false" customWidth="true" hidden="false" outlineLevel="0" max="45" min="45" style="0" width="3"/>
    <col collapsed="false" customWidth="true" hidden="false" outlineLevel="0" max="47" min="47" style="0" width="90"/>
  </cols>
  <sheetData>
    <row r="1" customFormat="false" ht="15" hidden="false" customHeight="false" outlineLevel="0" collapsed="false">
      <c r="D1" s="36" t="str">
        <f aca="false">TRIM(A1)</f>
        <v/>
      </c>
      <c r="E1" s="36" t="str">
        <f aca="false">IF(D1="Revenue","Revenue",IF(D1="Cost of Goods Sold","COGS",IF(D1="Expenditures","Expense",IF(D1="Other Revenue","Other Revenue",IF(D1="Other Expenditures","Other Expense","")))))</f>
        <v/>
      </c>
      <c r="F1" s="36" t="str">
        <f aca="false">IF(OR(D1="Revenue",D1="Cost of Goods Sold",D1="Expenditures",D1="Other Revenue",D1="Other Expenditures"),E1,IF(AND(LEN(D1)&gt;2,MID(D1,2,1)=" ",ISNUMBER(VALUE(LEFT(D1,1)))),D1,""))</f>
        <v/>
      </c>
      <c r="G1" s="36" t="n">
        <f aca="false">IF(AND(D1&lt;&gt;"",ISNUMBER(B1),LEFT(D1,9)&lt;&gt;"Total for",D1&lt;&gt;"Gross Profit",D1&lt;&gt;"Net Operating Revenue",D1&lt;&gt;"Net Other Revenue",D1&lt;&gt;"Net Revenue"),1,0)</f>
        <v>0</v>
      </c>
      <c r="H1" s="36" t="str">
        <f aca="false">IF(G1=1,IF(AND(LEN(D1)&gt;7,ISNUMBER(VALUE(LEFT(D1,6))),MID(D1,7,1)=" "),LEFT(D1,6),D1),"")</f>
        <v/>
      </c>
      <c r="M1" s="36" t="str">
        <f aca="false">TRIM(J1)</f>
        <v/>
      </c>
      <c r="N1" s="36" t="str">
        <f aca="false">IF(M1="Revenue","Revenue",IF(M1="Cost of Goods Sold","COGS",IF(M1="Expenditures","Expense",IF(M1="Other Revenue","Other Revenue",IF(M1="Other Expenditures","Other Expense","")))))</f>
        <v/>
      </c>
      <c r="O1" s="36" t="str">
        <f aca="false">IF(OR(M1="Revenue",M1="Cost of Goods Sold",M1="Expenditures",M1="Other Revenue",M1="Other Expenditures"),N1,IF(AND(LEN(M1)&gt;2,MID(M1,2,1)=" ",ISNUMBER(VALUE(LEFT(M1,1)))),M1,""))</f>
        <v/>
      </c>
      <c r="P1" s="36" t="n">
        <f aca="false">IF(AND(M1&lt;&gt;"",ISNUMBER(K1),LEFT(M1,9)&lt;&gt;"Total for",M1&lt;&gt;"Gross Profit",M1&lt;&gt;"Net Operating Revenue",M1&lt;&gt;"Net Other Revenue",M1&lt;&gt;"Net Revenue"),1,0)</f>
        <v>0</v>
      </c>
      <c r="Q1" s="36" t="str">
        <f aca="false">IF(P1=1,IF(AND(LEN(M1)&gt;7,ISNUMBER(VALUE(LEFT(M1,6))),MID(M1,7,1)=" "),LEFT(M1,6),M1),"")</f>
        <v/>
      </c>
      <c r="V1" s="36" t="str">
        <f aca="false">TRIM(S1)</f>
        <v/>
      </c>
      <c r="W1" s="36" t="str">
        <f aca="false">IF(V1="Revenue","Revenue",IF(V1="Cost of Goods Sold","COGS",IF(V1="Expenditures","Expense",IF(V1="Other Revenue","Other Revenue",IF(V1="Other Expenditures","Other Expense","")))))</f>
        <v/>
      </c>
      <c r="X1" s="36" t="str">
        <f aca="false">IF(OR(V1="Revenue",V1="Cost of Goods Sold",V1="Expenditures",V1="Other Revenue",V1="Other Expenditures"),W1,IF(AND(LEN(V1)&gt;2,MID(V1,2,1)=" ",ISNUMBER(VALUE(LEFT(V1,1)))),V1,""))</f>
        <v/>
      </c>
      <c r="Y1" s="36" t="n">
        <f aca="false">IF(AND(V1&lt;&gt;"",ISNUMBER(T1),LEFT(V1,9)&lt;&gt;"Total for",V1&lt;&gt;"Gross Profit",V1&lt;&gt;"Net Operating Revenue",V1&lt;&gt;"Net Other Revenue",V1&lt;&gt;"Net Revenue"),1,0)</f>
        <v>0</v>
      </c>
      <c r="Z1" s="36" t="str">
        <f aca="false">IF(Y1=1,IF(AND(LEN(V1)&gt;7,ISNUMBER(VALUE(LEFT(V1,6))),MID(V1,7,1)=" "),LEFT(V1,6),V1),"")</f>
        <v/>
      </c>
      <c r="AE1" s="36" t="str">
        <f aca="false">TRIM(AB1)</f>
        <v/>
      </c>
      <c r="AF1" s="36" t="str">
        <f aca="false">IF(AE1="Revenue","Revenue",IF(AE1="Cost of Goods Sold","COGS",IF(AE1="Expenditures","Expense",IF(AE1="Other Revenue","Other Revenue",IF(AE1="Other Expenditures","Other Expense","")))))</f>
        <v/>
      </c>
      <c r="AG1" s="36" t="str">
        <f aca="false">IF(OR(AE1="Revenue",AE1="Cost of Goods Sold",AE1="Expenditures",AE1="Other Revenue",AE1="Other Expenditures"),AF1,IF(AND(LEN(AE1)&gt;2,MID(AE1,2,1)=" ",ISNUMBER(VALUE(LEFT(AE1,1)))),AE1,""))</f>
        <v/>
      </c>
      <c r="AH1" s="36" t="n">
        <f aca="false">IF(AND(AE1&lt;&gt;"",ISNUMBER(AC1),LEFT(AE1,9)&lt;&gt;"Total for",AE1&lt;&gt;"Gross Profit",AE1&lt;&gt;"Net Operating Revenue",AE1&lt;&gt;"Net Other Revenue",AE1&lt;&gt;"Net Revenue"),1,0)</f>
        <v>0</v>
      </c>
      <c r="AI1" s="36" t="str">
        <f aca="false">IF(AH1=1,IF(AND(LEN(AE1)&gt;7,ISNUMBER(VALUE(LEFT(AE1,6))),MID(AE1,7,1)=" "),LEFT(AE1,6),AE1),"")</f>
        <v/>
      </c>
      <c r="AN1" s="36" t="str">
        <f aca="false">TRIM(AK1)</f>
        <v/>
      </c>
      <c r="AO1" s="36" t="str">
        <f aca="false">IF(AN1="Revenue","Revenue",IF(AN1="Cost of Goods Sold","COGS",IF(AN1="Expenditures","Expense",IF(AN1="Other Revenue","Other Revenue",IF(AN1="Other Expenditures","Other Expense","")))))</f>
        <v/>
      </c>
      <c r="AP1" s="36" t="str">
        <f aca="false">IF(OR(AN1="Revenue",AN1="Cost of Goods Sold",AN1="Expenditures",AN1="Other Revenue",AN1="Other Expenditures"),AO1,IF(AND(LEN(AN1)&gt;2,MID(AN1,2,1)=" ",ISNUMBER(VALUE(LEFT(AN1,1)))),AN1,""))</f>
        <v/>
      </c>
      <c r="AQ1" s="36" t="n">
        <f aca="false">IF(AND(AN1&lt;&gt;"",ISNUMBER(AL1),LEFT(AN1,9)&lt;&gt;"Total for",AN1&lt;&gt;"Gross Profit",AN1&lt;&gt;"Net Operating Revenue",AN1&lt;&gt;"Net Other Revenue",AN1&lt;&gt;"Net Revenue"),1,0)</f>
        <v>0</v>
      </c>
      <c r="AR1" s="36" t="str">
        <f aca="false">IF(AQ1=1,IF(AND(LEN(AN1)&gt;7,ISNUMBER(VALUE(LEFT(AN1,6))),MID(AN1,7,1)=" "),LEFT(AN1,6),AN1),"")</f>
        <v/>
      </c>
      <c r="AU1" s="12" t="s">
        <v>679</v>
      </c>
    </row>
    <row r="2" customFormat="false" ht="15" hidden="false" customHeight="false" outlineLevel="0" collapsed="false">
      <c r="D2" s="36" t="str">
        <f aca="false">TRIM(A2)</f>
        <v/>
      </c>
      <c r="E2" s="36" t="str">
        <f aca="false">IF(D2="Revenue","Revenue",IF(D2="Cost of Goods Sold","COGS",IF(D2="Expenditures","Expense",IF(D2="Other Revenue","Other Revenue",IF(D2="Other Expenditures","Other Expense",E1)))))</f>
        <v/>
      </c>
      <c r="F2" s="36" t="str">
        <f aca="false">IF(OR(D2="Revenue",D2="Cost of Goods Sold",D2="Expenditures",D2="Other Revenue",D2="Other Expenditures"),E2,IF(AND(LEN(D2)&gt;2,MID(D2,2,1)=" ",ISNUMBER(VALUE(LEFT(D2,1)))),D2,F1))</f>
        <v/>
      </c>
      <c r="G2" s="36" t="n">
        <f aca="false">IF(AND(D2&lt;&gt;"",ISNUMBER(B2),LEFT(D2,9)&lt;&gt;"Total for",D2&lt;&gt;"Gross Profit",D2&lt;&gt;"Net Operating Revenue",D2&lt;&gt;"Net Other Revenue",D2&lt;&gt;"Net Revenue"),1,0)</f>
        <v>0</v>
      </c>
      <c r="H2" s="36" t="str">
        <f aca="false">IF(G2=1,IF(AND(LEN(D2)&gt;7,ISNUMBER(VALUE(LEFT(D2,6))),MID(D2,7,1)=" "),LEFT(D2,6),D2),"")</f>
        <v/>
      </c>
      <c r="M2" s="36" t="str">
        <f aca="false">TRIM(J2)</f>
        <v/>
      </c>
      <c r="N2" s="36" t="str">
        <f aca="false">IF(M2="Revenue","Revenue",IF(M2="Cost of Goods Sold","COGS",IF(M2="Expenditures","Expense",IF(M2="Other Revenue","Other Revenue",IF(M2="Other Expenditures","Other Expense",N1)))))</f>
        <v/>
      </c>
      <c r="O2" s="36" t="str">
        <f aca="false">IF(OR(M2="Revenue",M2="Cost of Goods Sold",M2="Expenditures",M2="Other Revenue",M2="Other Expenditures"),N2,IF(AND(LEN(M2)&gt;2,MID(M2,2,1)=" ",ISNUMBER(VALUE(LEFT(M2,1)))),M2,O1))</f>
        <v/>
      </c>
      <c r="P2" s="36" t="n">
        <f aca="false">IF(AND(M2&lt;&gt;"",ISNUMBER(K2),LEFT(M2,9)&lt;&gt;"Total for",M2&lt;&gt;"Gross Profit",M2&lt;&gt;"Net Operating Revenue",M2&lt;&gt;"Net Other Revenue",M2&lt;&gt;"Net Revenue"),1,0)</f>
        <v>0</v>
      </c>
      <c r="Q2" s="36" t="str">
        <f aca="false">IF(P2=1,IF(AND(LEN(M2)&gt;7,ISNUMBER(VALUE(LEFT(M2,6))),MID(M2,7,1)=" "),LEFT(M2,6),M2),"")</f>
        <v/>
      </c>
      <c r="V2" s="36" t="str">
        <f aca="false">TRIM(S2)</f>
        <v/>
      </c>
      <c r="W2" s="36" t="str">
        <f aca="false">IF(V2="Revenue","Revenue",IF(V2="Cost of Goods Sold","COGS",IF(V2="Expenditures","Expense",IF(V2="Other Revenue","Other Revenue",IF(V2="Other Expenditures","Other Expense",W1)))))</f>
        <v/>
      </c>
      <c r="X2" s="36" t="str">
        <f aca="false">IF(OR(V2="Revenue",V2="Cost of Goods Sold",V2="Expenditures",V2="Other Revenue",V2="Other Expenditures"),W2,IF(AND(LEN(V2)&gt;2,MID(V2,2,1)=" ",ISNUMBER(VALUE(LEFT(V2,1)))),V2,X1))</f>
        <v/>
      </c>
      <c r="Y2" s="36" t="n">
        <f aca="false">IF(AND(V2&lt;&gt;"",ISNUMBER(T2),LEFT(V2,9)&lt;&gt;"Total for",V2&lt;&gt;"Gross Profit",V2&lt;&gt;"Net Operating Revenue",V2&lt;&gt;"Net Other Revenue",V2&lt;&gt;"Net Revenue"),1,0)</f>
        <v>0</v>
      </c>
      <c r="Z2" s="36" t="str">
        <f aca="false">IF(Y2=1,IF(AND(LEN(V2)&gt;7,ISNUMBER(VALUE(LEFT(V2,6))),MID(V2,7,1)=" "),LEFT(V2,6),V2),"")</f>
        <v/>
      </c>
      <c r="AE2" s="36" t="str">
        <f aca="false">TRIM(AB2)</f>
        <v/>
      </c>
      <c r="AF2" s="36" t="str">
        <f aca="false">IF(AE2="Revenue","Revenue",IF(AE2="Cost of Goods Sold","COGS",IF(AE2="Expenditures","Expense",IF(AE2="Other Revenue","Other Revenue",IF(AE2="Other Expenditures","Other Expense",AF1)))))</f>
        <v/>
      </c>
      <c r="AG2" s="36" t="str">
        <f aca="false">IF(OR(AE2="Revenue",AE2="Cost of Goods Sold",AE2="Expenditures",AE2="Other Revenue",AE2="Other Expenditures"),AF2,IF(AND(LEN(AE2)&gt;2,MID(AE2,2,1)=" ",ISNUMBER(VALUE(LEFT(AE2,1)))),AE2,AG1))</f>
        <v/>
      </c>
      <c r="AH2" s="36" t="n">
        <f aca="false">IF(AND(AE2&lt;&gt;"",ISNUMBER(AC2),LEFT(AE2,9)&lt;&gt;"Total for",AE2&lt;&gt;"Gross Profit",AE2&lt;&gt;"Net Operating Revenue",AE2&lt;&gt;"Net Other Revenue",AE2&lt;&gt;"Net Revenue"),1,0)</f>
        <v>0</v>
      </c>
      <c r="AI2" s="36" t="str">
        <f aca="false">IF(AH2=1,IF(AND(LEN(AE2)&gt;7,ISNUMBER(VALUE(LEFT(AE2,6))),MID(AE2,7,1)=" "),LEFT(AE2,6),AE2),"")</f>
        <v/>
      </c>
      <c r="AN2" s="36" t="str">
        <f aca="false">TRIM(AK2)</f>
        <v/>
      </c>
      <c r="AO2" s="36" t="str">
        <f aca="false">IF(AN2="Revenue","Revenue",IF(AN2="Cost of Goods Sold","COGS",IF(AN2="Expenditures","Expense",IF(AN2="Other Revenue","Other Revenue",IF(AN2="Other Expenditures","Other Expense",AO1)))))</f>
        <v/>
      </c>
      <c r="AP2" s="36" t="str">
        <f aca="false">IF(OR(AN2="Revenue",AN2="Cost of Goods Sold",AN2="Expenditures",AN2="Other Revenue",AN2="Other Expenditures"),AO2,IF(AND(LEN(AN2)&gt;2,MID(AN2,2,1)=" ",ISNUMBER(VALUE(LEFT(AN2,1)))),AN2,AP1))</f>
        <v/>
      </c>
      <c r="AQ2" s="36" t="n">
        <f aca="false">IF(AND(AN2&lt;&gt;"",ISNUMBER(AL2),LEFT(AN2,9)&lt;&gt;"Total for",AN2&lt;&gt;"Gross Profit",AN2&lt;&gt;"Net Operating Revenue",AN2&lt;&gt;"Net Other Revenue",AN2&lt;&gt;"Net Revenue"),1,0)</f>
        <v>0</v>
      </c>
      <c r="AR2" s="36" t="str">
        <f aca="false">IF(AQ2=1,IF(AND(LEN(AN2)&gt;7,ISNUMBER(VALUE(LEFT(AN2,6))),MID(AN2,7,1)=" "),LEFT(AN2,6),AN2),"")</f>
        <v/>
      </c>
      <c r="AU2" s="6" t="s">
        <v>680</v>
      </c>
    </row>
    <row r="3" customFormat="false" ht="15" hidden="false" customHeight="false" outlineLevel="0" collapsed="false">
      <c r="D3" s="36" t="str">
        <f aca="false">TRIM(A3)</f>
        <v/>
      </c>
      <c r="E3" s="36" t="str">
        <f aca="false">IF(D3="Revenue","Revenue",IF(D3="Cost of Goods Sold","COGS",IF(D3="Expenditures","Expense",IF(D3="Other Revenue","Other Revenue",IF(D3="Other Expenditures","Other Expense",E2)))))</f>
        <v/>
      </c>
      <c r="F3" s="36" t="str">
        <f aca="false">IF(OR(D3="Revenue",D3="Cost of Goods Sold",D3="Expenditures",D3="Other Revenue",D3="Other Expenditures"),E3,IF(AND(LEN(D3)&gt;2,MID(D3,2,1)=" ",ISNUMBER(VALUE(LEFT(D3,1)))),D3,F2))</f>
        <v/>
      </c>
      <c r="G3" s="36" t="n">
        <f aca="false">IF(AND(D3&lt;&gt;"",ISNUMBER(B3),LEFT(D3,9)&lt;&gt;"Total for",D3&lt;&gt;"Gross Profit",D3&lt;&gt;"Net Operating Revenue",D3&lt;&gt;"Net Other Revenue",D3&lt;&gt;"Net Revenue"),1,0)</f>
        <v>0</v>
      </c>
      <c r="H3" s="36" t="str">
        <f aca="false">IF(G3=1,IF(AND(LEN(D3)&gt;7,ISNUMBER(VALUE(LEFT(D3,6))),MID(D3,7,1)=" "),LEFT(D3,6),D3),"")</f>
        <v/>
      </c>
      <c r="M3" s="36" t="str">
        <f aca="false">TRIM(J3)</f>
        <v/>
      </c>
      <c r="N3" s="36" t="str">
        <f aca="false">IF(M3="Revenue","Revenue",IF(M3="Cost of Goods Sold","COGS",IF(M3="Expenditures","Expense",IF(M3="Other Revenue","Other Revenue",IF(M3="Other Expenditures","Other Expense",N2)))))</f>
        <v/>
      </c>
      <c r="O3" s="36" t="str">
        <f aca="false">IF(OR(M3="Revenue",M3="Cost of Goods Sold",M3="Expenditures",M3="Other Revenue",M3="Other Expenditures"),N3,IF(AND(LEN(M3)&gt;2,MID(M3,2,1)=" ",ISNUMBER(VALUE(LEFT(M3,1)))),M3,O2))</f>
        <v/>
      </c>
      <c r="P3" s="36" t="n">
        <f aca="false">IF(AND(M3&lt;&gt;"",ISNUMBER(K3),LEFT(M3,9)&lt;&gt;"Total for",M3&lt;&gt;"Gross Profit",M3&lt;&gt;"Net Operating Revenue",M3&lt;&gt;"Net Other Revenue",M3&lt;&gt;"Net Revenue"),1,0)</f>
        <v>0</v>
      </c>
      <c r="Q3" s="36" t="str">
        <f aca="false">IF(P3=1,IF(AND(LEN(M3)&gt;7,ISNUMBER(VALUE(LEFT(M3,6))),MID(M3,7,1)=" "),LEFT(M3,6),M3),"")</f>
        <v/>
      </c>
      <c r="V3" s="36" t="str">
        <f aca="false">TRIM(S3)</f>
        <v/>
      </c>
      <c r="W3" s="36" t="str">
        <f aca="false">IF(V3="Revenue","Revenue",IF(V3="Cost of Goods Sold","COGS",IF(V3="Expenditures","Expense",IF(V3="Other Revenue","Other Revenue",IF(V3="Other Expenditures","Other Expense",W2)))))</f>
        <v/>
      </c>
      <c r="X3" s="36" t="str">
        <f aca="false">IF(OR(V3="Revenue",V3="Cost of Goods Sold",V3="Expenditures",V3="Other Revenue",V3="Other Expenditures"),W3,IF(AND(LEN(V3)&gt;2,MID(V3,2,1)=" ",ISNUMBER(VALUE(LEFT(V3,1)))),V3,X2))</f>
        <v/>
      </c>
      <c r="Y3" s="36" t="n">
        <f aca="false">IF(AND(V3&lt;&gt;"",ISNUMBER(T3),LEFT(V3,9)&lt;&gt;"Total for",V3&lt;&gt;"Gross Profit",V3&lt;&gt;"Net Operating Revenue",V3&lt;&gt;"Net Other Revenue",V3&lt;&gt;"Net Revenue"),1,0)</f>
        <v>0</v>
      </c>
      <c r="Z3" s="36" t="str">
        <f aca="false">IF(Y3=1,IF(AND(LEN(V3)&gt;7,ISNUMBER(VALUE(LEFT(V3,6))),MID(V3,7,1)=" "),LEFT(V3,6),V3),"")</f>
        <v/>
      </c>
      <c r="AE3" s="36" t="str">
        <f aca="false">TRIM(AB3)</f>
        <v/>
      </c>
      <c r="AF3" s="36" t="str">
        <f aca="false">IF(AE3="Revenue","Revenue",IF(AE3="Cost of Goods Sold","COGS",IF(AE3="Expenditures","Expense",IF(AE3="Other Revenue","Other Revenue",IF(AE3="Other Expenditures","Other Expense",AF2)))))</f>
        <v/>
      </c>
      <c r="AG3" s="36" t="str">
        <f aca="false">IF(OR(AE3="Revenue",AE3="Cost of Goods Sold",AE3="Expenditures",AE3="Other Revenue",AE3="Other Expenditures"),AF3,IF(AND(LEN(AE3)&gt;2,MID(AE3,2,1)=" ",ISNUMBER(VALUE(LEFT(AE3,1)))),AE3,AG2))</f>
        <v/>
      </c>
      <c r="AH3" s="36" t="n">
        <f aca="false">IF(AND(AE3&lt;&gt;"",ISNUMBER(AC3),LEFT(AE3,9)&lt;&gt;"Total for",AE3&lt;&gt;"Gross Profit",AE3&lt;&gt;"Net Operating Revenue",AE3&lt;&gt;"Net Other Revenue",AE3&lt;&gt;"Net Revenue"),1,0)</f>
        <v>0</v>
      </c>
      <c r="AI3" s="36" t="str">
        <f aca="false">IF(AH3=1,IF(AND(LEN(AE3)&gt;7,ISNUMBER(VALUE(LEFT(AE3,6))),MID(AE3,7,1)=" "),LEFT(AE3,6),AE3),"")</f>
        <v/>
      </c>
      <c r="AN3" s="36" t="str">
        <f aca="false">TRIM(AK3)</f>
        <v/>
      </c>
      <c r="AO3" s="36" t="str">
        <f aca="false">IF(AN3="Revenue","Revenue",IF(AN3="Cost of Goods Sold","COGS",IF(AN3="Expenditures","Expense",IF(AN3="Other Revenue","Other Revenue",IF(AN3="Other Expenditures","Other Expense",AO2)))))</f>
        <v/>
      </c>
      <c r="AP3" s="36" t="str">
        <f aca="false">IF(OR(AN3="Revenue",AN3="Cost of Goods Sold",AN3="Expenditures",AN3="Other Revenue",AN3="Other Expenditures"),AO3,IF(AND(LEN(AN3)&gt;2,MID(AN3,2,1)=" ",ISNUMBER(VALUE(LEFT(AN3,1)))),AN3,AP2))</f>
        <v/>
      </c>
      <c r="AQ3" s="36" t="n">
        <f aca="false">IF(AND(AN3&lt;&gt;"",ISNUMBER(AL3),LEFT(AN3,9)&lt;&gt;"Total for",AN3&lt;&gt;"Gross Profit",AN3&lt;&gt;"Net Operating Revenue",AN3&lt;&gt;"Net Other Revenue",AN3&lt;&gt;"Net Revenue"),1,0)</f>
        <v>0</v>
      </c>
      <c r="AR3" s="36" t="str">
        <f aca="false">IF(AQ3=1,IF(AND(LEN(AN3)&gt;7,ISNUMBER(VALUE(LEFT(AN3,6))),MID(AN3,7,1)=" "),LEFT(AN3,6),AN3),"")</f>
        <v/>
      </c>
      <c r="AU3" s="6" t="s">
        <v>681</v>
      </c>
    </row>
    <row r="4" customFormat="false" ht="15" hidden="false" customHeight="false" outlineLevel="0" collapsed="false">
      <c r="D4" s="36" t="str">
        <f aca="false">TRIM(A4)</f>
        <v/>
      </c>
      <c r="E4" s="36" t="str">
        <f aca="false">IF(D4="Revenue","Revenue",IF(D4="Cost of Goods Sold","COGS",IF(D4="Expenditures","Expense",IF(D4="Other Revenue","Other Revenue",IF(D4="Other Expenditures","Other Expense",E3)))))</f>
        <v/>
      </c>
      <c r="F4" s="36" t="str">
        <f aca="false">IF(OR(D4="Revenue",D4="Cost of Goods Sold",D4="Expenditures",D4="Other Revenue",D4="Other Expenditures"),E4,IF(AND(LEN(D4)&gt;2,MID(D4,2,1)=" ",ISNUMBER(VALUE(LEFT(D4,1)))),D4,F3))</f>
        <v/>
      </c>
      <c r="G4" s="36" t="n">
        <f aca="false">IF(AND(D4&lt;&gt;"",ISNUMBER(B4),LEFT(D4,9)&lt;&gt;"Total for",D4&lt;&gt;"Gross Profit",D4&lt;&gt;"Net Operating Revenue",D4&lt;&gt;"Net Other Revenue",D4&lt;&gt;"Net Revenue"),1,0)</f>
        <v>0</v>
      </c>
      <c r="H4" s="36" t="str">
        <f aca="false">IF(G4=1,IF(AND(LEN(D4)&gt;7,ISNUMBER(VALUE(LEFT(D4,6))),MID(D4,7,1)=" "),LEFT(D4,6),D4),"")</f>
        <v/>
      </c>
      <c r="M4" s="36" t="str">
        <f aca="false">TRIM(J4)</f>
        <v/>
      </c>
      <c r="N4" s="36" t="str">
        <f aca="false">IF(M4="Revenue","Revenue",IF(M4="Cost of Goods Sold","COGS",IF(M4="Expenditures","Expense",IF(M4="Other Revenue","Other Revenue",IF(M4="Other Expenditures","Other Expense",N3)))))</f>
        <v/>
      </c>
      <c r="O4" s="36" t="str">
        <f aca="false">IF(OR(M4="Revenue",M4="Cost of Goods Sold",M4="Expenditures",M4="Other Revenue",M4="Other Expenditures"),N4,IF(AND(LEN(M4)&gt;2,MID(M4,2,1)=" ",ISNUMBER(VALUE(LEFT(M4,1)))),M4,O3))</f>
        <v/>
      </c>
      <c r="P4" s="36" t="n">
        <f aca="false">IF(AND(M4&lt;&gt;"",ISNUMBER(K4),LEFT(M4,9)&lt;&gt;"Total for",M4&lt;&gt;"Gross Profit",M4&lt;&gt;"Net Operating Revenue",M4&lt;&gt;"Net Other Revenue",M4&lt;&gt;"Net Revenue"),1,0)</f>
        <v>0</v>
      </c>
      <c r="Q4" s="36" t="str">
        <f aca="false">IF(P4=1,IF(AND(LEN(M4)&gt;7,ISNUMBER(VALUE(LEFT(M4,6))),MID(M4,7,1)=" "),LEFT(M4,6),M4),"")</f>
        <v/>
      </c>
      <c r="V4" s="36" t="str">
        <f aca="false">TRIM(S4)</f>
        <v/>
      </c>
      <c r="W4" s="36" t="str">
        <f aca="false">IF(V4="Revenue","Revenue",IF(V4="Cost of Goods Sold","COGS",IF(V4="Expenditures","Expense",IF(V4="Other Revenue","Other Revenue",IF(V4="Other Expenditures","Other Expense",W3)))))</f>
        <v/>
      </c>
      <c r="X4" s="36" t="str">
        <f aca="false">IF(OR(V4="Revenue",V4="Cost of Goods Sold",V4="Expenditures",V4="Other Revenue",V4="Other Expenditures"),W4,IF(AND(LEN(V4)&gt;2,MID(V4,2,1)=" ",ISNUMBER(VALUE(LEFT(V4,1)))),V4,X3))</f>
        <v/>
      </c>
      <c r="Y4" s="36" t="n">
        <f aca="false">IF(AND(V4&lt;&gt;"",ISNUMBER(T4),LEFT(V4,9)&lt;&gt;"Total for",V4&lt;&gt;"Gross Profit",V4&lt;&gt;"Net Operating Revenue",V4&lt;&gt;"Net Other Revenue",V4&lt;&gt;"Net Revenue"),1,0)</f>
        <v>0</v>
      </c>
      <c r="Z4" s="36" t="str">
        <f aca="false">IF(Y4=1,IF(AND(LEN(V4)&gt;7,ISNUMBER(VALUE(LEFT(V4,6))),MID(V4,7,1)=" "),LEFT(V4,6),V4),"")</f>
        <v/>
      </c>
      <c r="AE4" s="36" t="str">
        <f aca="false">TRIM(AB4)</f>
        <v/>
      </c>
      <c r="AF4" s="36" t="str">
        <f aca="false">IF(AE4="Revenue","Revenue",IF(AE4="Cost of Goods Sold","COGS",IF(AE4="Expenditures","Expense",IF(AE4="Other Revenue","Other Revenue",IF(AE4="Other Expenditures","Other Expense",AF3)))))</f>
        <v/>
      </c>
      <c r="AG4" s="36" t="str">
        <f aca="false">IF(OR(AE4="Revenue",AE4="Cost of Goods Sold",AE4="Expenditures",AE4="Other Revenue",AE4="Other Expenditures"),AF4,IF(AND(LEN(AE4)&gt;2,MID(AE4,2,1)=" ",ISNUMBER(VALUE(LEFT(AE4,1)))),AE4,AG3))</f>
        <v/>
      </c>
      <c r="AH4" s="36" t="n">
        <f aca="false">IF(AND(AE4&lt;&gt;"",ISNUMBER(AC4),LEFT(AE4,9)&lt;&gt;"Total for",AE4&lt;&gt;"Gross Profit",AE4&lt;&gt;"Net Operating Revenue",AE4&lt;&gt;"Net Other Revenue",AE4&lt;&gt;"Net Revenue"),1,0)</f>
        <v>0</v>
      </c>
      <c r="AI4" s="36" t="str">
        <f aca="false">IF(AH4=1,IF(AND(LEN(AE4)&gt;7,ISNUMBER(VALUE(LEFT(AE4,6))),MID(AE4,7,1)=" "),LEFT(AE4,6),AE4),"")</f>
        <v/>
      </c>
      <c r="AN4" s="36" t="str">
        <f aca="false">TRIM(AK4)</f>
        <v/>
      </c>
      <c r="AO4" s="36" t="str">
        <f aca="false">IF(AN4="Revenue","Revenue",IF(AN4="Cost of Goods Sold","COGS",IF(AN4="Expenditures","Expense",IF(AN4="Other Revenue","Other Revenue",IF(AN4="Other Expenditures","Other Expense",AO3)))))</f>
        <v/>
      </c>
      <c r="AP4" s="36" t="str">
        <f aca="false">IF(OR(AN4="Revenue",AN4="Cost of Goods Sold",AN4="Expenditures",AN4="Other Revenue",AN4="Other Expenditures"),AO4,IF(AND(LEN(AN4)&gt;2,MID(AN4,2,1)=" ",ISNUMBER(VALUE(LEFT(AN4,1)))),AN4,AP3))</f>
        <v/>
      </c>
      <c r="AQ4" s="36" t="n">
        <f aca="false">IF(AND(AN4&lt;&gt;"",ISNUMBER(AL4),LEFT(AN4,9)&lt;&gt;"Total for",AN4&lt;&gt;"Gross Profit",AN4&lt;&gt;"Net Operating Revenue",AN4&lt;&gt;"Net Other Revenue",AN4&lt;&gt;"Net Revenue"),1,0)</f>
        <v>0</v>
      </c>
      <c r="AR4" s="36" t="str">
        <f aca="false">IF(AQ4=1,IF(AND(LEN(AN4)&gt;7,ISNUMBER(VALUE(LEFT(AN4,6))),MID(AN4,7,1)=" "),LEFT(AN4,6),AN4),"")</f>
        <v/>
      </c>
      <c r="AU4" s="6" t="s">
        <v>682</v>
      </c>
    </row>
    <row r="5" customFormat="false" ht="15" hidden="false" customHeight="false" outlineLevel="0" collapsed="false">
      <c r="D5" s="36" t="str">
        <f aca="false">TRIM(A5)</f>
        <v/>
      </c>
      <c r="E5" s="36" t="str">
        <f aca="false">IF(D5="Revenue","Revenue",IF(D5="Cost of Goods Sold","COGS",IF(D5="Expenditures","Expense",IF(D5="Other Revenue","Other Revenue",IF(D5="Other Expenditures","Other Expense",E4)))))</f>
        <v/>
      </c>
      <c r="F5" s="36" t="str">
        <f aca="false">IF(OR(D5="Revenue",D5="Cost of Goods Sold",D5="Expenditures",D5="Other Revenue",D5="Other Expenditures"),E5,IF(AND(LEN(D5)&gt;2,MID(D5,2,1)=" ",ISNUMBER(VALUE(LEFT(D5,1)))),D5,F4))</f>
        <v/>
      </c>
      <c r="G5" s="36" t="n">
        <f aca="false">IF(AND(D5&lt;&gt;"",ISNUMBER(B5),LEFT(D5,9)&lt;&gt;"Total for",D5&lt;&gt;"Gross Profit",D5&lt;&gt;"Net Operating Revenue",D5&lt;&gt;"Net Other Revenue",D5&lt;&gt;"Net Revenue"),1,0)</f>
        <v>0</v>
      </c>
      <c r="H5" s="36" t="str">
        <f aca="false">IF(G5=1,IF(AND(LEN(D5)&gt;7,ISNUMBER(VALUE(LEFT(D5,6))),MID(D5,7,1)=" "),LEFT(D5,6),D5),"")</f>
        <v/>
      </c>
      <c r="M5" s="36" t="str">
        <f aca="false">TRIM(J5)</f>
        <v/>
      </c>
      <c r="N5" s="36" t="str">
        <f aca="false">IF(M5="Revenue","Revenue",IF(M5="Cost of Goods Sold","COGS",IF(M5="Expenditures","Expense",IF(M5="Other Revenue","Other Revenue",IF(M5="Other Expenditures","Other Expense",N4)))))</f>
        <v/>
      </c>
      <c r="O5" s="36" t="str">
        <f aca="false">IF(OR(M5="Revenue",M5="Cost of Goods Sold",M5="Expenditures",M5="Other Revenue",M5="Other Expenditures"),N5,IF(AND(LEN(M5)&gt;2,MID(M5,2,1)=" ",ISNUMBER(VALUE(LEFT(M5,1)))),M5,O4))</f>
        <v/>
      </c>
      <c r="P5" s="36" t="n">
        <f aca="false">IF(AND(M5&lt;&gt;"",ISNUMBER(K5),LEFT(M5,9)&lt;&gt;"Total for",M5&lt;&gt;"Gross Profit",M5&lt;&gt;"Net Operating Revenue",M5&lt;&gt;"Net Other Revenue",M5&lt;&gt;"Net Revenue"),1,0)</f>
        <v>0</v>
      </c>
      <c r="Q5" s="36" t="str">
        <f aca="false">IF(P5=1,IF(AND(LEN(M5)&gt;7,ISNUMBER(VALUE(LEFT(M5,6))),MID(M5,7,1)=" "),LEFT(M5,6),M5),"")</f>
        <v/>
      </c>
      <c r="V5" s="36" t="str">
        <f aca="false">TRIM(S5)</f>
        <v/>
      </c>
      <c r="W5" s="36" t="str">
        <f aca="false">IF(V5="Revenue","Revenue",IF(V5="Cost of Goods Sold","COGS",IF(V5="Expenditures","Expense",IF(V5="Other Revenue","Other Revenue",IF(V5="Other Expenditures","Other Expense",W4)))))</f>
        <v/>
      </c>
      <c r="X5" s="36" t="str">
        <f aca="false">IF(OR(V5="Revenue",V5="Cost of Goods Sold",V5="Expenditures",V5="Other Revenue",V5="Other Expenditures"),W5,IF(AND(LEN(V5)&gt;2,MID(V5,2,1)=" ",ISNUMBER(VALUE(LEFT(V5,1)))),V5,X4))</f>
        <v/>
      </c>
      <c r="Y5" s="36" t="n">
        <f aca="false">IF(AND(V5&lt;&gt;"",ISNUMBER(T5),LEFT(V5,9)&lt;&gt;"Total for",V5&lt;&gt;"Gross Profit",V5&lt;&gt;"Net Operating Revenue",V5&lt;&gt;"Net Other Revenue",V5&lt;&gt;"Net Revenue"),1,0)</f>
        <v>0</v>
      </c>
      <c r="Z5" s="36" t="str">
        <f aca="false">IF(Y5=1,IF(AND(LEN(V5)&gt;7,ISNUMBER(VALUE(LEFT(V5,6))),MID(V5,7,1)=" "),LEFT(V5,6),V5),"")</f>
        <v/>
      </c>
      <c r="AE5" s="36" t="str">
        <f aca="false">TRIM(AB5)</f>
        <v/>
      </c>
      <c r="AF5" s="36" t="str">
        <f aca="false">IF(AE5="Revenue","Revenue",IF(AE5="Cost of Goods Sold","COGS",IF(AE5="Expenditures","Expense",IF(AE5="Other Revenue","Other Revenue",IF(AE5="Other Expenditures","Other Expense",AF4)))))</f>
        <v/>
      </c>
      <c r="AG5" s="36" t="str">
        <f aca="false">IF(OR(AE5="Revenue",AE5="Cost of Goods Sold",AE5="Expenditures",AE5="Other Revenue",AE5="Other Expenditures"),AF5,IF(AND(LEN(AE5)&gt;2,MID(AE5,2,1)=" ",ISNUMBER(VALUE(LEFT(AE5,1)))),AE5,AG4))</f>
        <v/>
      </c>
      <c r="AH5" s="36" t="n">
        <f aca="false">IF(AND(AE5&lt;&gt;"",ISNUMBER(AC5),LEFT(AE5,9)&lt;&gt;"Total for",AE5&lt;&gt;"Gross Profit",AE5&lt;&gt;"Net Operating Revenue",AE5&lt;&gt;"Net Other Revenue",AE5&lt;&gt;"Net Revenue"),1,0)</f>
        <v>0</v>
      </c>
      <c r="AI5" s="36" t="str">
        <f aca="false">IF(AH5=1,IF(AND(LEN(AE5)&gt;7,ISNUMBER(VALUE(LEFT(AE5,6))),MID(AE5,7,1)=" "),LEFT(AE5,6),AE5),"")</f>
        <v/>
      </c>
      <c r="AN5" s="36" t="str">
        <f aca="false">TRIM(AK5)</f>
        <v/>
      </c>
      <c r="AO5" s="36" t="str">
        <f aca="false">IF(AN5="Revenue","Revenue",IF(AN5="Cost of Goods Sold","COGS",IF(AN5="Expenditures","Expense",IF(AN5="Other Revenue","Other Revenue",IF(AN5="Other Expenditures","Other Expense",AO4)))))</f>
        <v/>
      </c>
      <c r="AP5" s="36" t="str">
        <f aca="false">IF(OR(AN5="Revenue",AN5="Cost of Goods Sold",AN5="Expenditures",AN5="Other Revenue",AN5="Other Expenditures"),AO5,IF(AND(LEN(AN5)&gt;2,MID(AN5,2,1)=" ",ISNUMBER(VALUE(LEFT(AN5,1)))),AN5,AP4))</f>
        <v/>
      </c>
      <c r="AQ5" s="36" t="n">
        <f aca="false">IF(AND(AN5&lt;&gt;"",ISNUMBER(AL5),LEFT(AN5,9)&lt;&gt;"Total for",AN5&lt;&gt;"Gross Profit",AN5&lt;&gt;"Net Operating Revenue",AN5&lt;&gt;"Net Other Revenue",AN5&lt;&gt;"Net Revenue"),1,0)</f>
        <v>0</v>
      </c>
      <c r="AR5" s="36" t="str">
        <f aca="false">IF(AQ5=1,IF(AND(LEN(AN5)&gt;7,ISNUMBER(VALUE(LEFT(AN5,6))),MID(AN5,7,1)=" "),LEFT(AN5,6),AN5),"")</f>
        <v/>
      </c>
      <c r="AU5" s="6" t="s">
        <v>683</v>
      </c>
    </row>
    <row r="6" customFormat="false" ht="15" hidden="false" customHeight="false" outlineLevel="0" collapsed="false">
      <c r="D6" s="36" t="str">
        <f aca="false">TRIM(A6)</f>
        <v/>
      </c>
      <c r="E6" s="36" t="str">
        <f aca="false">IF(D6="Revenue","Revenue",IF(D6="Cost of Goods Sold","COGS",IF(D6="Expenditures","Expense",IF(D6="Other Revenue","Other Revenue",IF(D6="Other Expenditures","Other Expense",E5)))))</f>
        <v/>
      </c>
      <c r="F6" s="36" t="str">
        <f aca="false">IF(OR(D6="Revenue",D6="Cost of Goods Sold",D6="Expenditures",D6="Other Revenue",D6="Other Expenditures"),E6,IF(AND(LEN(D6)&gt;2,MID(D6,2,1)=" ",ISNUMBER(VALUE(LEFT(D6,1)))),D6,F5))</f>
        <v/>
      </c>
      <c r="G6" s="36" t="n">
        <f aca="false">IF(AND(D6&lt;&gt;"",ISNUMBER(B6),LEFT(D6,9)&lt;&gt;"Total for",D6&lt;&gt;"Gross Profit",D6&lt;&gt;"Net Operating Revenue",D6&lt;&gt;"Net Other Revenue",D6&lt;&gt;"Net Revenue"),1,0)</f>
        <v>0</v>
      </c>
      <c r="H6" s="36" t="str">
        <f aca="false">IF(G6=1,IF(AND(LEN(D6)&gt;7,ISNUMBER(VALUE(LEFT(D6,6))),MID(D6,7,1)=" "),LEFT(D6,6),D6),"")</f>
        <v/>
      </c>
      <c r="M6" s="36" t="str">
        <f aca="false">TRIM(J6)</f>
        <v/>
      </c>
      <c r="N6" s="36" t="str">
        <f aca="false">IF(M6="Revenue","Revenue",IF(M6="Cost of Goods Sold","COGS",IF(M6="Expenditures","Expense",IF(M6="Other Revenue","Other Revenue",IF(M6="Other Expenditures","Other Expense",N5)))))</f>
        <v/>
      </c>
      <c r="O6" s="36" t="str">
        <f aca="false">IF(OR(M6="Revenue",M6="Cost of Goods Sold",M6="Expenditures",M6="Other Revenue",M6="Other Expenditures"),N6,IF(AND(LEN(M6)&gt;2,MID(M6,2,1)=" ",ISNUMBER(VALUE(LEFT(M6,1)))),M6,O5))</f>
        <v/>
      </c>
      <c r="P6" s="36" t="n">
        <f aca="false">IF(AND(M6&lt;&gt;"",ISNUMBER(K6),LEFT(M6,9)&lt;&gt;"Total for",M6&lt;&gt;"Gross Profit",M6&lt;&gt;"Net Operating Revenue",M6&lt;&gt;"Net Other Revenue",M6&lt;&gt;"Net Revenue"),1,0)</f>
        <v>0</v>
      </c>
      <c r="Q6" s="36" t="str">
        <f aca="false">IF(P6=1,IF(AND(LEN(M6)&gt;7,ISNUMBER(VALUE(LEFT(M6,6))),MID(M6,7,1)=" "),LEFT(M6,6),M6),"")</f>
        <v/>
      </c>
      <c r="V6" s="36" t="str">
        <f aca="false">TRIM(S6)</f>
        <v/>
      </c>
      <c r="W6" s="36" t="str">
        <f aca="false">IF(V6="Revenue","Revenue",IF(V6="Cost of Goods Sold","COGS",IF(V6="Expenditures","Expense",IF(V6="Other Revenue","Other Revenue",IF(V6="Other Expenditures","Other Expense",W5)))))</f>
        <v/>
      </c>
      <c r="X6" s="36" t="str">
        <f aca="false">IF(OR(V6="Revenue",V6="Cost of Goods Sold",V6="Expenditures",V6="Other Revenue",V6="Other Expenditures"),W6,IF(AND(LEN(V6)&gt;2,MID(V6,2,1)=" ",ISNUMBER(VALUE(LEFT(V6,1)))),V6,X5))</f>
        <v/>
      </c>
      <c r="Y6" s="36" t="n">
        <f aca="false">IF(AND(V6&lt;&gt;"",ISNUMBER(T6),LEFT(V6,9)&lt;&gt;"Total for",V6&lt;&gt;"Gross Profit",V6&lt;&gt;"Net Operating Revenue",V6&lt;&gt;"Net Other Revenue",V6&lt;&gt;"Net Revenue"),1,0)</f>
        <v>0</v>
      </c>
      <c r="Z6" s="36" t="str">
        <f aca="false">IF(Y6=1,IF(AND(LEN(V6)&gt;7,ISNUMBER(VALUE(LEFT(V6,6))),MID(V6,7,1)=" "),LEFT(V6,6),V6),"")</f>
        <v/>
      </c>
      <c r="AE6" s="36" t="str">
        <f aca="false">TRIM(AB6)</f>
        <v/>
      </c>
      <c r="AF6" s="36" t="str">
        <f aca="false">IF(AE6="Revenue","Revenue",IF(AE6="Cost of Goods Sold","COGS",IF(AE6="Expenditures","Expense",IF(AE6="Other Revenue","Other Revenue",IF(AE6="Other Expenditures","Other Expense",AF5)))))</f>
        <v/>
      </c>
      <c r="AG6" s="36" t="str">
        <f aca="false">IF(OR(AE6="Revenue",AE6="Cost of Goods Sold",AE6="Expenditures",AE6="Other Revenue",AE6="Other Expenditures"),AF6,IF(AND(LEN(AE6)&gt;2,MID(AE6,2,1)=" ",ISNUMBER(VALUE(LEFT(AE6,1)))),AE6,AG5))</f>
        <v/>
      </c>
      <c r="AH6" s="36" t="n">
        <f aca="false">IF(AND(AE6&lt;&gt;"",ISNUMBER(AC6),LEFT(AE6,9)&lt;&gt;"Total for",AE6&lt;&gt;"Gross Profit",AE6&lt;&gt;"Net Operating Revenue",AE6&lt;&gt;"Net Other Revenue",AE6&lt;&gt;"Net Revenue"),1,0)</f>
        <v>0</v>
      </c>
      <c r="AI6" s="36" t="str">
        <f aca="false">IF(AH6=1,IF(AND(LEN(AE6)&gt;7,ISNUMBER(VALUE(LEFT(AE6,6))),MID(AE6,7,1)=" "),LEFT(AE6,6),AE6),"")</f>
        <v/>
      </c>
      <c r="AN6" s="36" t="str">
        <f aca="false">TRIM(AK6)</f>
        <v/>
      </c>
      <c r="AO6" s="36" t="str">
        <f aca="false">IF(AN6="Revenue","Revenue",IF(AN6="Cost of Goods Sold","COGS",IF(AN6="Expenditures","Expense",IF(AN6="Other Revenue","Other Revenue",IF(AN6="Other Expenditures","Other Expense",AO5)))))</f>
        <v/>
      </c>
      <c r="AP6" s="36" t="str">
        <f aca="false">IF(OR(AN6="Revenue",AN6="Cost of Goods Sold",AN6="Expenditures",AN6="Other Revenue",AN6="Other Expenditures"),AO6,IF(AND(LEN(AN6)&gt;2,MID(AN6,2,1)=" ",ISNUMBER(VALUE(LEFT(AN6,1)))),AN6,AP5))</f>
        <v/>
      </c>
      <c r="AQ6" s="36" t="n">
        <f aca="false">IF(AND(AN6&lt;&gt;"",ISNUMBER(AL6),LEFT(AN6,9)&lt;&gt;"Total for",AN6&lt;&gt;"Gross Profit",AN6&lt;&gt;"Net Operating Revenue",AN6&lt;&gt;"Net Other Revenue",AN6&lt;&gt;"Net Revenue"),1,0)</f>
        <v>0</v>
      </c>
      <c r="AR6" s="36" t="str">
        <f aca="false">IF(AQ6=1,IF(AND(LEN(AN6)&gt;7,ISNUMBER(VALUE(LEFT(AN6,6))),MID(AN6,7,1)=" "),LEFT(AN6,6),AN6),"")</f>
        <v/>
      </c>
      <c r="AU6" s="6" t="s">
        <v>684</v>
      </c>
    </row>
    <row r="7" customFormat="false" ht="15" hidden="false" customHeight="false" outlineLevel="0" collapsed="false">
      <c r="D7" s="36" t="str">
        <f aca="false">TRIM(A7)</f>
        <v/>
      </c>
      <c r="E7" s="36" t="str">
        <f aca="false">IF(D7="Revenue","Revenue",IF(D7="Cost of Goods Sold","COGS",IF(D7="Expenditures","Expense",IF(D7="Other Revenue","Other Revenue",IF(D7="Other Expenditures","Other Expense",E6)))))</f>
        <v/>
      </c>
      <c r="F7" s="36" t="str">
        <f aca="false">IF(OR(D7="Revenue",D7="Cost of Goods Sold",D7="Expenditures",D7="Other Revenue",D7="Other Expenditures"),E7,IF(AND(LEN(D7)&gt;2,MID(D7,2,1)=" ",ISNUMBER(VALUE(LEFT(D7,1)))),D7,F6))</f>
        <v/>
      </c>
      <c r="G7" s="36" t="n">
        <f aca="false">IF(AND(D7&lt;&gt;"",ISNUMBER(B7),LEFT(D7,9)&lt;&gt;"Total for",D7&lt;&gt;"Gross Profit",D7&lt;&gt;"Net Operating Revenue",D7&lt;&gt;"Net Other Revenue",D7&lt;&gt;"Net Revenue"),1,0)</f>
        <v>0</v>
      </c>
      <c r="H7" s="36" t="str">
        <f aca="false">IF(G7=1,IF(AND(LEN(D7)&gt;7,ISNUMBER(VALUE(LEFT(D7,6))),MID(D7,7,1)=" "),LEFT(D7,6),D7),"")</f>
        <v/>
      </c>
      <c r="M7" s="36" t="str">
        <f aca="false">TRIM(J7)</f>
        <v/>
      </c>
      <c r="N7" s="36" t="str">
        <f aca="false">IF(M7="Revenue","Revenue",IF(M7="Cost of Goods Sold","COGS",IF(M7="Expenditures","Expense",IF(M7="Other Revenue","Other Revenue",IF(M7="Other Expenditures","Other Expense",N6)))))</f>
        <v/>
      </c>
      <c r="O7" s="36" t="str">
        <f aca="false">IF(OR(M7="Revenue",M7="Cost of Goods Sold",M7="Expenditures",M7="Other Revenue",M7="Other Expenditures"),N7,IF(AND(LEN(M7)&gt;2,MID(M7,2,1)=" ",ISNUMBER(VALUE(LEFT(M7,1)))),M7,O6))</f>
        <v/>
      </c>
      <c r="P7" s="36" t="n">
        <f aca="false">IF(AND(M7&lt;&gt;"",ISNUMBER(K7),LEFT(M7,9)&lt;&gt;"Total for",M7&lt;&gt;"Gross Profit",M7&lt;&gt;"Net Operating Revenue",M7&lt;&gt;"Net Other Revenue",M7&lt;&gt;"Net Revenue"),1,0)</f>
        <v>0</v>
      </c>
      <c r="Q7" s="36" t="str">
        <f aca="false">IF(P7=1,IF(AND(LEN(M7)&gt;7,ISNUMBER(VALUE(LEFT(M7,6))),MID(M7,7,1)=" "),LEFT(M7,6),M7),"")</f>
        <v/>
      </c>
      <c r="V7" s="36" t="str">
        <f aca="false">TRIM(S7)</f>
        <v/>
      </c>
      <c r="W7" s="36" t="str">
        <f aca="false">IF(V7="Revenue","Revenue",IF(V7="Cost of Goods Sold","COGS",IF(V7="Expenditures","Expense",IF(V7="Other Revenue","Other Revenue",IF(V7="Other Expenditures","Other Expense",W6)))))</f>
        <v/>
      </c>
      <c r="X7" s="36" t="str">
        <f aca="false">IF(OR(V7="Revenue",V7="Cost of Goods Sold",V7="Expenditures",V7="Other Revenue",V7="Other Expenditures"),W7,IF(AND(LEN(V7)&gt;2,MID(V7,2,1)=" ",ISNUMBER(VALUE(LEFT(V7,1)))),V7,X6))</f>
        <v/>
      </c>
      <c r="Y7" s="36" t="n">
        <f aca="false">IF(AND(V7&lt;&gt;"",ISNUMBER(T7),LEFT(V7,9)&lt;&gt;"Total for",V7&lt;&gt;"Gross Profit",V7&lt;&gt;"Net Operating Revenue",V7&lt;&gt;"Net Other Revenue",V7&lt;&gt;"Net Revenue"),1,0)</f>
        <v>0</v>
      </c>
      <c r="Z7" s="36" t="str">
        <f aca="false">IF(Y7=1,IF(AND(LEN(V7)&gt;7,ISNUMBER(VALUE(LEFT(V7,6))),MID(V7,7,1)=" "),LEFT(V7,6),V7),"")</f>
        <v/>
      </c>
      <c r="AE7" s="36" t="str">
        <f aca="false">TRIM(AB7)</f>
        <v/>
      </c>
      <c r="AF7" s="36" t="str">
        <f aca="false">IF(AE7="Revenue","Revenue",IF(AE7="Cost of Goods Sold","COGS",IF(AE7="Expenditures","Expense",IF(AE7="Other Revenue","Other Revenue",IF(AE7="Other Expenditures","Other Expense",AF6)))))</f>
        <v/>
      </c>
      <c r="AG7" s="36" t="str">
        <f aca="false">IF(OR(AE7="Revenue",AE7="Cost of Goods Sold",AE7="Expenditures",AE7="Other Revenue",AE7="Other Expenditures"),AF7,IF(AND(LEN(AE7)&gt;2,MID(AE7,2,1)=" ",ISNUMBER(VALUE(LEFT(AE7,1)))),AE7,AG6))</f>
        <v/>
      </c>
      <c r="AH7" s="36" t="n">
        <f aca="false">IF(AND(AE7&lt;&gt;"",ISNUMBER(AC7),LEFT(AE7,9)&lt;&gt;"Total for",AE7&lt;&gt;"Gross Profit",AE7&lt;&gt;"Net Operating Revenue",AE7&lt;&gt;"Net Other Revenue",AE7&lt;&gt;"Net Revenue"),1,0)</f>
        <v>0</v>
      </c>
      <c r="AI7" s="36" t="str">
        <f aca="false">IF(AH7=1,IF(AND(LEN(AE7)&gt;7,ISNUMBER(VALUE(LEFT(AE7,6))),MID(AE7,7,1)=" "),LEFT(AE7,6),AE7),"")</f>
        <v/>
      </c>
      <c r="AN7" s="36" t="str">
        <f aca="false">TRIM(AK7)</f>
        <v/>
      </c>
      <c r="AO7" s="36" t="str">
        <f aca="false">IF(AN7="Revenue","Revenue",IF(AN7="Cost of Goods Sold","COGS",IF(AN7="Expenditures","Expense",IF(AN7="Other Revenue","Other Revenue",IF(AN7="Other Expenditures","Other Expense",AO6)))))</f>
        <v/>
      </c>
      <c r="AP7" s="36" t="str">
        <f aca="false">IF(OR(AN7="Revenue",AN7="Cost of Goods Sold",AN7="Expenditures",AN7="Other Revenue",AN7="Other Expenditures"),AO7,IF(AND(LEN(AN7)&gt;2,MID(AN7,2,1)=" ",ISNUMBER(VALUE(LEFT(AN7,1)))),AN7,AP6))</f>
        <v/>
      </c>
      <c r="AQ7" s="36" t="n">
        <f aca="false">IF(AND(AN7&lt;&gt;"",ISNUMBER(AL7),LEFT(AN7,9)&lt;&gt;"Total for",AN7&lt;&gt;"Gross Profit",AN7&lt;&gt;"Net Operating Revenue",AN7&lt;&gt;"Net Other Revenue",AN7&lt;&gt;"Net Revenue"),1,0)</f>
        <v>0</v>
      </c>
      <c r="AR7" s="36" t="str">
        <f aca="false">IF(AQ7=1,IF(AND(LEN(AN7)&gt;7,ISNUMBER(VALUE(LEFT(AN7,6))),MID(AN7,7,1)=" "),LEFT(AN7,6),AN7),"")</f>
        <v/>
      </c>
    </row>
    <row r="8" customFormat="false" ht="15" hidden="false" customHeight="false" outlineLevel="0" collapsed="false">
      <c r="D8" s="36" t="str">
        <f aca="false">TRIM(A8)</f>
        <v/>
      </c>
      <c r="E8" s="36" t="str">
        <f aca="false">IF(D8="Revenue","Revenue",IF(D8="Cost of Goods Sold","COGS",IF(D8="Expenditures","Expense",IF(D8="Other Revenue","Other Revenue",IF(D8="Other Expenditures","Other Expense",E7)))))</f>
        <v/>
      </c>
      <c r="F8" s="36" t="str">
        <f aca="false">IF(OR(D8="Revenue",D8="Cost of Goods Sold",D8="Expenditures",D8="Other Revenue",D8="Other Expenditures"),E8,IF(AND(LEN(D8)&gt;2,MID(D8,2,1)=" ",ISNUMBER(VALUE(LEFT(D8,1)))),D8,F7))</f>
        <v/>
      </c>
      <c r="G8" s="36" t="n">
        <f aca="false">IF(AND(D8&lt;&gt;"",ISNUMBER(B8),LEFT(D8,9)&lt;&gt;"Total for",D8&lt;&gt;"Gross Profit",D8&lt;&gt;"Net Operating Revenue",D8&lt;&gt;"Net Other Revenue",D8&lt;&gt;"Net Revenue"),1,0)</f>
        <v>0</v>
      </c>
      <c r="H8" s="36" t="str">
        <f aca="false">IF(G8=1,IF(AND(LEN(D8)&gt;7,ISNUMBER(VALUE(LEFT(D8,6))),MID(D8,7,1)=" "),LEFT(D8,6),D8),"")</f>
        <v/>
      </c>
      <c r="M8" s="36" t="str">
        <f aca="false">TRIM(J8)</f>
        <v/>
      </c>
      <c r="N8" s="36" t="str">
        <f aca="false">IF(M8="Revenue","Revenue",IF(M8="Cost of Goods Sold","COGS",IF(M8="Expenditures","Expense",IF(M8="Other Revenue","Other Revenue",IF(M8="Other Expenditures","Other Expense",N7)))))</f>
        <v/>
      </c>
      <c r="O8" s="36" t="str">
        <f aca="false">IF(OR(M8="Revenue",M8="Cost of Goods Sold",M8="Expenditures",M8="Other Revenue",M8="Other Expenditures"),N8,IF(AND(LEN(M8)&gt;2,MID(M8,2,1)=" ",ISNUMBER(VALUE(LEFT(M8,1)))),M8,O7))</f>
        <v/>
      </c>
      <c r="P8" s="36" t="n">
        <f aca="false">IF(AND(M8&lt;&gt;"",ISNUMBER(K8),LEFT(M8,9)&lt;&gt;"Total for",M8&lt;&gt;"Gross Profit",M8&lt;&gt;"Net Operating Revenue",M8&lt;&gt;"Net Other Revenue",M8&lt;&gt;"Net Revenue"),1,0)</f>
        <v>0</v>
      </c>
      <c r="Q8" s="36" t="str">
        <f aca="false">IF(P8=1,IF(AND(LEN(M8)&gt;7,ISNUMBER(VALUE(LEFT(M8,6))),MID(M8,7,1)=" "),LEFT(M8,6),M8),"")</f>
        <v/>
      </c>
      <c r="V8" s="36" t="str">
        <f aca="false">TRIM(S8)</f>
        <v/>
      </c>
      <c r="W8" s="36" t="str">
        <f aca="false">IF(V8="Revenue","Revenue",IF(V8="Cost of Goods Sold","COGS",IF(V8="Expenditures","Expense",IF(V8="Other Revenue","Other Revenue",IF(V8="Other Expenditures","Other Expense",W7)))))</f>
        <v/>
      </c>
      <c r="X8" s="36" t="str">
        <f aca="false">IF(OR(V8="Revenue",V8="Cost of Goods Sold",V8="Expenditures",V8="Other Revenue",V8="Other Expenditures"),W8,IF(AND(LEN(V8)&gt;2,MID(V8,2,1)=" ",ISNUMBER(VALUE(LEFT(V8,1)))),V8,X7))</f>
        <v/>
      </c>
      <c r="Y8" s="36" t="n">
        <f aca="false">IF(AND(V8&lt;&gt;"",ISNUMBER(T8),LEFT(V8,9)&lt;&gt;"Total for",V8&lt;&gt;"Gross Profit",V8&lt;&gt;"Net Operating Revenue",V8&lt;&gt;"Net Other Revenue",V8&lt;&gt;"Net Revenue"),1,0)</f>
        <v>0</v>
      </c>
      <c r="Z8" s="36" t="str">
        <f aca="false">IF(Y8=1,IF(AND(LEN(V8)&gt;7,ISNUMBER(VALUE(LEFT(V8,6))),MID(V8,7,1)=" "),LEFT(V8,6),V8),"")</f>
        <v/>
      </c>
      <c r="AE8" s="36" t="str">
        <f aca="false">TRIM(AB8)</f>
        <v/>
      </c>
      <c r="AF8" s="36" t="str">
        <f aca="false">IF(AE8="Revenue","Revenue",IF(AE8="Cost of Goods Sold","COGS",IF(AE8="Expenditures","Expense",IF(AE8="Other Revenue","Other Revenue",IF(AE8="Other Expenditures","Other Expense",AF7)))))</f>
        <v/>
      </c>
      <c r="AG8" s="36" t="str">
        <f aca="false">IF(OR(AE8="Revenue",AE8="Cost of Goods Sold",AE8="Expenditures",AE8="Other Revenue",AE8="Other Expenditures"),AF8,IF(AND(LEN(AE8)&gt;2,MID(AE8,2,1)=" ",ISNUMBER(VALUE(LEFT(AE8,1)))),AE8,AG7))</f>
        <v/>
      </c>
      <c r="AH8" s="36" t="n">
        <f aca="false">IF(AND(AE8&lt;&gt;"",ISNUMBER(AC8),LEFT(AE8,9)&lt;&gt;"Total for",AE8&lt;&gt;"Gross Profit",AE8&lt;&gt;"Net Operating Revenue",AE8&lt;&gt;"Net Other Revenue",AE8&lt;&gt;"Net Revenue"),1,0)</f>
        <v>0</v>
      </c>
      <c r="AI8" s="36" t="str">
        <f aca="false">IF(AH8=1,IF(AND(LEN(AE8)&gt;7,ISNUMBER(VALUE(LEFT(AE8,6))),MID(AE8,7,1)=" "),LEFT(AE8,6),AE8),"")</f>
        <v/>
      </c>
      <c r="AN8" s="36" t="str">
        <f aca="false">TRIM(AK8)</f>
        <v/>
      </c>
      <c r="AO8" s="36" t="str">
        <f aca="false">IF(AN8="Revenue","Revenue",IF(AN8="Cost of Goods Sold","COGS",IF(AN8="Expenditures","Expense",IF(AN8="Other Revenue","Other Revenue",IF(AN8="Other Expenditures","Other Expense",AO7)))))</f>
        <v/>
      </c>
      <c r="AP8" s="36" t="str">
        <f aca="false">IF(OR(AN8="Revenue",AN8="Cost of Goods Sold",AN8="Expenditures",AN8="Other Revenue",AN8="Other Expenditures"),AO8,IF(AND(LEN(AN8)&gt;2,MID(AN8,2,1)=" ",ISNUMBER(VALUE(LEFT(AN8,1)))),AN8,AP7))</f>
        <v/>
      </c>
      <c r="AQ8" s="36" t="n">
        <f aca="false">IF(AND(AN8&lt;&gt;"",ISNUMBER(AL8),LEFT(AN8,9)&lt;&gt;"Total for",AN8&lt;&gt;"Gross Profit",AN8&lt;&gt;"Net Operating Revenue",AN8&lt;&gt;"Net Other Revenue",AN8&lt;&gt;"Net Revenue"),1,0)</f>
        <v>0</v>
      </c>
      <c r="AR8" s="36" t="str">
        <f aca="false">IF(AQ8=1,IF(AND(LEN(AN8)&gt;7,ISNUMBER(VALUE(LEFT(AN8,6))),MID(AN8,7,1)=" "),LEFT(AN8,6),AN8),"")</f>
        <v/>
      </c>
    </row>
    <row r="9" customFormat="false" ht="15" hidden="false" customHeight="false" outlineLevel="0" collapsed="false">
      <c r="D9" s="36" t="str">
        <f aca="false">TRIM(A9)</f>
        <v/>
      </c>
      <c r="E9" s="36" t="str">
        <f aca="false">IF(D9="Revenue","Revenue",IF(D9="Cost of Goods Sold","COGS",IF(D9="Expenditures","Expense",IF(D9="Other Revenue","Other Revenue",IF(D9="Other Expenditures","Other Expense",E8)))))</f>
        <v/>
      </c>
      <c r="F9" s="36" t="str">
        <f aca="false">IF(OR(D9="Revenue",D9="Cost of Goods Sold",D9="Expenditures",D9="Other Revenue",D9="Other Expenditures"),E9,IF(AND(LEN(D9)&gt;2,MID(D9,2,1)=" ",ISNUMBER(VALUE(LEFT(D9,1)))),D9,F8))</f>
        <v/>
      </c>
      <c r="G9" s="36" t="n">
        <f aca="false">IF(AND(D9&lt;&gt;"",ISNUMBER(B9),LEFT(D9,9)&lt;&gt;"Total for",D9&lt;&gt;"Gross Profit",D9&lt;&gt;"Net Operating Revenue",D9&lt;&gt;"Net Other Revenue",D9&lt;&gt;"Net Revenue"),1,0)</f>
        <v>0</v>
      </c>
      <c r="H9" s="36" t="str">
        <f aca="false">IF(G9=1,IF(AND(LEN(D9)&gt;7,ISNUMBER(VALUE(LEFT(D9,6))),MID(D9,7,1)=" "),LEFT(D9,6),D9),"")</f>
        <v/>
      </c>
      <c r="M9" s="36" t="str">
        <f aca="false">TRIM(J9)</f>
        <v/>
      </c>
      <c r="N9" s="36" t="str">
        <f aca="false">IF(M9="Revenue","Revenue",IF(M9="Cost of Goods Sold","COGS",IF(M9="Expenditures","Expense",IF(M9="Other Revenue","Other Revenue",IF(M9="Other Expenditures","Other Expense",N8)))))</f>
        <v/>
      </c>
      <c r="O9" s="36" t="str">
        <f aca="false">IF(OR(M9="Revenue",M9="Cost of Goods Sold",M9="Expenditures",M9="Other Revenue",M9="Other Expenditures"),N9,IF(AND(LEN(M9)&gt;2,MID(M9,2,1)=" ",ISNUMBER(VALUE(LEFT(M9,1)))),M9,O8))</f>
        <v/>
      </c>
      <c r="P9" s="36" t="n">
        <f aca="false">IF(AND(M9&lt;&gt;"",ISNUMBER(K9),LEFT(M9,9)&lt;&gt;"Total for",M9&lt;&gt;"Gross Profit",M9&lt;&gt;"Net Operating Revenue",M9&lt;&gt;"Net Other Revenue",M9&lt;&gt;"Net Revenue"),1,0)</f>
        <v>0</v>
      </c>
      <c r="Q9" s="36" t="str">
        <f aca="false">IF(P9=1,IF(AND(LEN(M9)&gt;7,ISNUMBER(VALUE(LEFT(M9,6))),MID(M9,7,1)=" "),LEFT(M9,6),M9),"")</f>
        <v/>
      </c>
      <c r="V9" s="36" t="str">
        <f aca="false">TRIM(S9)</f>
        <v/>
      </c>
      <c r="W9" s="36" t="str">
        <f aca="false">IF(V9="Revenue","Revenue",IF(V9="Cost of Goods Sold","COGS",IF(V9="Expenditures","Expense",IF(V9="Other Revenue","Other Revenue",IF(V9="Other Expenditures","Other Expense",W8)))))</f>
        <v/>
      </c>
      <c r="X9" s="36" t="str">
        <f aca="false">IF(OR(V9="Revenue",V9="Cost of Goods Sold",V9="Expenditures",V9="Other Revenue",V9="Other Expenditures"),W9,IF(AND(LEN(V9)&gt;2,MID(V9,2,1)=" ",ISNUMBER(VALUE(LEFT(V9,1)))),V9,X8))</f>
        <v/>
      </c>
      <c r="Y9" s="36" t="n">
        <f aca="false">IF(AND(V9&lt;&gt;"",ISNUMBER(T9),LEFT(V9,9)&lt;&gt;"Total for",V9&lt;&gt;"Gross Profit",V9&lt;&gt;"Net Operating Revenue",V9&lt;&gt;"Net Other Revenue",V9&lt;&gt;"Net Revenue"),1,0)</f>
        <v>0</v>
      </c>
      <c r="Z9" s="36" t="str">
        <f aca="false">IF(Y9=1,IF(AND(LEN(V9)&gt;7,ISNUMBER(VALUE(LEFT(V9,6))),MID(V9,7,1)=" "),LEFT(V9,6),V9),"")</f>
        <v/>
      </c>
      <c r="AE9" s="36" t="str">
        <f aca="false">TRIM(AB9)</f>
        <v/>
      </c>
      <c r="AF9" s="36" t="str">
        <f aca="false">IF(AE9="Revenue","Revenue",IF(AE9="Cost of Goods Sold","COGS",IF(AE9="Expenditures","Expense",IF(AE9="Other Revenue","Other Revenue",IF(AE9="Other Expenditures","Other Expense",AF8)))))</f>
        <v/>
      </c>
      <c r="AG9" s="36" t="str">
        <f aca="false">IF(OR(AE9="Revenue",AE9="Cost of Goods Sold",AE9="Expenditures",AE9="Other Revenue",AE9="Other Expenditures"),AF9,IF(AND(LEN(AE9)&gt;2,MID(AE9,2,1)=" ",ISNUMBER(VALUE(LEFT(AE9,1)))),AE9,AG8))</f>
        <v/>
      </c>
      <c r="AH9" s="36" t="n">
        <f aca="false">IF(AND(AE9&lt;&gt;"",ISNUMBER(AC9),LEFT(AE9,9)&lt;&gt;"Total for",AE9&lt;&gt;"Gross Profit",AE9&lt;&gt;"Net Operating Revenue",AE9&lt;&gt;"Net Other Revenue",AE9&lt;&gt;"Net Revenue"),1,0)</f>
        <v>0</v>
      </c>
      <c r="AI9" s="36" t="str">
        <f aca="false">IF(AH9=1,IF(AND(LEN(AE9)&gt;7,ISNUMBER(VALUE(LEFT(AE9,6))),MID(AE9,7,1)=" "),LEFT(AE9,6),AE9),"")</f>
        <v/>
      </c>
      <c r="AN9" s="36" t="str">
        <f aca="false">TRIM(AK9)</f>
        <v/>
      </c>
      <c r="AO9" s="36" t="str">
        <f aca="false">IF(AN9="Revenue","Revenue",IF(AN9="Cost of Goods Sold","COGS",IF(AN9="Expenditures","Expense",IF(AN9="Other Revenue","Other Revenue",IF(AN9="Other Expenditures","Other Expense",AO8)))))</f>
        <v/>
      </c>
      <c r="AP9" s="36" t="str">
        <f aca="false">IF(OR(AN9="Revenue",AN9="Cost of Goods Sold",AN9="Expenditures",AN9="Other Revenue",AN9="Other Expenditures"),AO9,IF(AND(LEN(AN9)&gt;2,MID(AN9,2,1)=" ",ISNUMBER(VALUE(LEFT(AN9,1)))),AN9,AP8))</f>
        <v/>
      </c>
      <c r="AQ9" s="36" t="n">
        <f aca="false">IF(AND(AN9&lt;&gt;"",ISNUMBER(AL9),LEFT(AN9,9)&lt;&gt;"Total for",AN9&lt;&gt;"Gross Profit",AN9&lt;&gt;"Net Operating Revenue",AN9&lt;&gt;"Net Other Revenue",AN9&lt;&gt;"Net Revenue"),1,0)</f>
        <v>0</v>
      </c>
      <c r="AR9" s="36" t="str">
        <f aca="false">IF(AQ9=1,IF(AND(LEN(AN9)&gt;7,ISNUMBER(VALUE(LEFT(AN9,6))),MID(AN9,7,1)=" "),LEFT(AN9,6),AN9),"")</f>
        <v/>
      </c>
    </row>
    <row r="10" customFormat="false" ht="15" hidden="false" customHeight="false" outlineLevel="0" collapsed="false">
      <c r="D10" s="36" t="str">
        <f aca="false">TRIM(A10)</f>
        <v/>
      </c>
      <c r="E10" s="36" t="str">
        <f aca="false">IF(D10="Revenue","Revenue",IF(D10="Cost of Goods Sold","COGS",IF(D10="Expenditures","Expense",IF(D10="Other Revenue","Other Revenue",IF(D10="Other Expenditures","Other Expense",E9)))))</f>
        <v/>
      </c>
      <c r="F10" s="36" t="str">
        <f aca="false">IF(OR(D10="Revenue",D10="Cost of Goods Sold",D10="Expenditures",D10="Other Revenue",D10="Other Expenditures"),E10,IF(AND(LEN(D10)&gt;2,MID(D10,2,1)=" ",ISNUMBER(VALUE(LEFT(D10,1)))),D10,F9))</f>
        <v/>
      </c>
      <c r="G10" s="36" t="n">
        <f aca="false">IF(AND(D10&lt;&gt;"",ISNUMBER(B10),LEFT(D10,9)&lt;&gt;"Total for",D10&lt;&gt;"Gross Profit",D10&lt;&gt;"Net Operating Revenue",D10&lt;&gt;"Net Other Revenue",D10&lt;&gt;"Net Revenue"),1,0)</f>
        <v>0</v>
      </c>
      <c r="H10" s="36" t="str">
        <f aca="false">IF(G10=1,IF(AND(LEN(D10)&gt;7,ISNUMBER(VALUE(LEFT(D10,6))),MID(D10,7,1)=" "),LEFT(D10,6),D10),"")</f>
        <v/>
      </c>
      <c r="M10" s="36" t="str">
        <f aca="false">TRIM(J10)</f>
        <v/>
      </c>
      <c r="N10" s="36" t="str">
        <f aca="false">IF(M10="Revenue","Revenue",IF(M10="Cost of Goods Sold","COGS",IF(M10="Expenditures","Expense",IF(M10="Other Revenue","Other Revenue",IF(M10="Other Expenditures","Other Expense",N9)))))</f>
        <v/>
      </c>
      <c r="O10" s="36" t="str">
        <f aca="false">IF(OR(M10="Revenue",M10="Cost of Goods Sold",M10="Expenditures",M10="Other Revenue",M10="Other Expenditures"),N10,IF(AND(LEN(M10)&gt;2,MID(M10,2,1)=" ",ISNUMBER(VALUE(LEFT(M10,1)))),M10,O9))</f>
        <v/>
      </c>
      <c r="P10" s="36" t="n">
        <f aca="false">IF(AND(M10&lt;&gt;"",ISNUMBER(K10),LEFT(M10,9)&lt;&gt;"Total for",M10&lt;&gt;"Gross Profit",M10&lt;&gt;"Net Operating Revenue",M10&lt;&gt;"Net Other Revenue",M10&lt;&gt;"Net Revenue"),1,0)</f>
        <v>0</v>
      </c>
      <c r="Q10" s="36" t="str">
        <f aca="false">IF(P10=1,IF(AND(LEN(M10)&gt;7,ISNUMBER(VALUE(LEFT(M10,6))),MID(M10,7,1)=" "),LEFT(M10,6),M10),"")</f>
        <v/>
      </c>
      <c r="V10" s="36" t="str">
        <f aca="false">TRIM(S10)</f>
        <v/>
      </c>
      <c r="W10" s="36" t="str">
        <f aca="false">IF(V10="Revenue","Revenue",IF(V10="Cost of Goods Sold","COGS",IF(V10="Expenditures","Expense",IF(V10="Other Revenue","Other Revenue",IF(V10="Other Expenditures","Other Expense",W9)))))</f>
        <v/>
      </c>
      <c r="X10" s="36" t="str">
        <f aca="false">IF(OR(V10="Revenue",V10="Cost of Goods Sold",V10="Expenditures",V10="Other Revenue",V10="Other Expenditures"),W10,IF(AND(LEN(V10)&gt;2,MID(V10,2,1)=" ",ISNUMBER(VALUE(LEFT(V10,1)))),V10,X9))</f>
        <v/>
      </c>
      <c r="Y10" s="36" t="n">
        <f aca="false">IF(AND(V10&lt;&gt;"",ISNUMBER(T10),LEFT(V10,9)&lt;&gt;"Total for",V10&lt;&gt;"Gross Profit",V10&lt;&gt;"Net Operating Revenue",V10&lt;&gt;"Net Other Revenue",V10&lt;&gt;"Net Revenue"),1,0)</f>
        <v>0</v>
      </c>
      <c r="Z10" s="36" t="str">
        <f aca="false">IF(Y10=1,IF(AND(LEN(V10)&gt;7,ISNUMBER(VALUE(LEFT(V10,6))),MID(V10,7,1)=" "),LEFT(V10,6),V10),"")</f>
        <v/>
      </c>
      <c r="AE10" s="36" t="str">
        <f aca="false">TRIM(AB10)</f>
        <v/>
      </c>
      <c r="AF10" s="36" t="str">
        <f aca="false">IF(AE10="Revenue","Revenue",IF(AE10="Cost of Goods Sold","COGS",IF(AE10="Expenditures","Expense",IF(AE10="Other Revenue","Other Revenue",IF(AE10="Other Expenditures","Other Expense",AF9)))))</f>
        <v/>
      </c>
      <c r="AG10" s="36" t="str">
        <f aca="false">IF(OR(AE10="Revenue",AE10="Cost of Goods Sold",AE10="Expenditures",AE10="Other Revenue",AE10="Other Expenditures"),AF10,IF(AND(LEN(AE10)&gt;2,MID(AE10,2,1)=" ",ISNUMBER(VALUE(LEFT(AE10,1)))),AE10,AG9))</f>
        <v/>
      </c>
      <c r="AH10" s="36" t="n">
        <f aca="false">IF(AND(AE10&lt;&gt;"",ISNUMBER(AC10),LEFT(AE10,9)&lt;&gt;"Total for",AE10&lt;&gt;"Gross Profit",AE10&lt;&gt;"Net Operating Revenue",AE10&lt;&gt;"Net Other Revenue",AE10&lt;&gt;"Net Revenue"),1,0)</f>
        <v>0</v>
      </c>
      <c r="AI10" s="36" t="str">
        <f aca="false">IF(AH10=1,IF(AND(LEN(AE10)&gt;7,ISNUMBER(VALUE(LEFT(AE10,6))),MID(AE10,7,1)=" "),LEFT(AE10,6),AE10),"")</f>
        <v/>
      </c>
      <c r="AN10" s="36" t="str">
        <f aca="false">TRIM(AK10)</f>
        <v/>
      </c>
      <c r="AO10" s="36" t="str">
        <f aca="false">IF(AN10="Revenue","Revenue",IF(AN10="Cost of Goods Sold","COGS",IF(AN10="Expenditures","Expense",IF(AN10="Other Revenue","Other Revenue",IF(AN10="Other Expenditures","Other Expense",AO9)))))</f>
        <v/>
      </c>
      <c r="AP10" s="36" t="str">
        <f aca="false">IF(OR(AN10="Revenue",AN10="Cost of Goods Sold",AN10="Expenditures",AN10="Other Revenue",AN10="Other Expenditures"),AO10,IF(AND(LEN(AN10)&gt;2,MID(AN10,2,1)=" ",ISNUMBER(VALUE(LEFT(AN10,1)))),AN10,AP9))</f>
        <v/>
      </c>
      <c r="AQ10" s="36" t="n">
        <f aca="false">IF(AND(AN10&lt;&gt;"",ISNUMBER(AL10),LEFT(AN10,9)&lt;&gt;"Total for",AN10&lt;&gt;"Gross Profit",AN10&lt;&gt;"Net Operating Revenue",AN10&lt;&gt;"Net Other Revenue",AN10&lt;&gt;"Net Revenue"),1,0)</f>
        <v>0</v>
      </c>
      <c r="AR10" s="36" t="str">
        <f aca="false">IF(AQ10=1,IF(AND(LEN(AN10)&gt;7,ISNUMBER(VALUE(LEFT(AN10,6))),MID(AN10,7,1)=" "),LEFT(AN10,6),AN10),"")</f>
        <v/>
      </c>
    </row>
    <row r="11" customFormat="false" ht="15" hidden="false" customHeight="false" outlineLevel="0" collapsed="false">
      <c r="D11" s="36" t="str">
        <f aca="false">TRIM(A11)</f>
        <v/>
      </c>
      <c r="E11" s="36" t="str">
        <f aca="false">IF(D11="Revenue","Revenue",IF(D11="Cost of Goods Sold","COGS",IF(D11="Expenditures","Expense",IF(D11="Other Revenue","Other Revenue",IF(D11="Other Expenditures","Other Expense",E10)))))</f>
        <v/>
      </c>
      <c r="F11" s="36" t="str">
        <f aca="false">IF(OR(D11="Revenue",D11="Cost of Goods Sold",D11="Expenditures",D11="Other Revenue",D11="Other Expenditures"),E11,IF(AND(LEN(D11)&gt;2,MID(D11,2,1)=" ",ISNUMBER(VALUE(LEFT(D11,1)))),D11,F10))</f>
        <v/>
      </c>
      <c r="G11" s="36" t="n">
        <f aca="false">IF(AND(D11&lt;&gt;"",ISNUMBER(B11),LEFT(D11,9)&lt;&gt;"Total for",D11&lt;&gt;"Gross Profit",D11&lt;&gt;"Net Operating Revenue",D11&lt;&gt;"Net Other Revenue",D11&lt;&gt;"Net Revenue"),1,0)</f>
        <v>0</v>
      </c>
      <c r="H11" s="36" t="str">
        <f aca="false">IF(G11=1,IF(AND(LEN(D11)&gt;7,ISNUMBER(VALUE(LEFT(D11,6))),MID(D11,7,1)=" "),LEFT(D11,6),D11),"")</f>
        <v/>
      </c>
      <c r="M11" s="36" t="str">
        <f aca="false">TRIM(J11)</f>
        <v/>
      </c>
      <c r="N11" s="36" t="str">
        <f aca="false">IF(M11="Revenue","Revenue",IF(M11="Cost of Goods Sold","COGS",IF(M11="Expenditures","Expense",IF(M11="Other Revenue","Other Revenue",IF(M11="Other Expenditures","Other Expense",N10)))))</f>
        <v/>
      </c>
      <c r="O11" s="36" t="str">
        <f aca="false">IF(OR(M11="Revenue",M11="Cost of Goods Sold",M11="Expenditures",M11="Other Revenue",M11="Other Expenditures"),N11,IF(AND(LEN(M11)&gt;2,MID(M11,2,1)=" ",ISNUMBER(VALUE(LEFT(M11,1)))),M11,O10))</f>
        <v/>
      </c>
      <c r="P11" s="36" t="n">
        <f aca="false">IF(AND(M11&lt;&gt;"",ISNUMBER(K11),LEFT(M11,9)&lt;&gt;"Total for",M11&lt;&gt;"Gross Profit",M11&lt;&gt;"Net Operating Revenue",M11&lt;&gt;"Net Other Revenue",M11&lt;&gt;"Net Revenue"),1,0)</f>
        <v>0</v>
      </c>
      <c r="Q11" s="36" t="str">
        <f aca="false">IF(P11=1,IF(AND(LEN(M11)&gt;7,ISNUMBER(VALUE(LEFT(M11,6))),MID(M11,7,1)=" "),LEFT(M11,6),M11),"")</f>
        <v/>
      </c>
      <c r="V11" s="36" t="str">
        <f aca="false">TRIM(S11)</f>
        <v/>
      </c>
      <c r="W11" s="36" t="str">
        <f aca="false">IF(V11="Revenue","Revenue",IF(V11="Cost of Goods Sold","COGS",IF(V11="Expenditures","Expense",IF(V11="Other Revenue","Other Revenue",IF(V11="Other Expenditures","Other Expense",W10)))))</f>
        <v/>
      </c>
      <c r="X11" s="36" t="str">
        <f aca="false">IF(OR(V11="Revenue",V11="Cost of Goods Sold",V11="Expenditures",V11="Other Revenue",V11="Other Expenditures"),W11,IF(AND(LEN(V11)&gt;2,MID(V11,2,1)=" ",ISNUMBER(VALUE(LEFT(V11,1)))),V11,X10))</f>
        <v/>
      </c>
      <c r="Y11" s="36" t="n">
        <f aca="false">IF(AND(V11&lt;&gt;"",ISNUMBER(T11),LEFT(V11,9)&lt;&gt;"Total for",V11&lt;&gt;"Gross Profit",V11&lt;&gt;"Net Operating Revenue",V11&lt;&gt;"Net Other Revenue",V11&lt;&gt;"Net Revenue"),1,0)</f>
        <v>0</v>
      </c>
      <c r="Z11" s="36" t="str">
        <f aca="false">IF(Y11=1,IF(AND(LEN(V11)&gt;7,ISNUMBER(VALUE(LEFT(V11,6))),MID(V11,7,1)=" "),LEFT(V11,6),V11),"")</f>
        <v/>
      </c>
      <c r="AE11" s="36" t="str">
        <f aca="false">TRIM(AB11)</f>
        <v/>
      </c>
      <c r="AF11" s="36" t="str">
        <f aca="false">IF(AE11="Revenue","Revenue",IF(AE11="Cost of Goods Sold","COGS",IF(AE11="Expenditures","Expense",IF(AE11="Other Revenue","Other Revenue",IF(AE11="Other Expenditures","Other Expense",AF10)))))</f>
        <v/>
      </c>
      <c r="AG11" s="36" t="str">
        <f aca="false">IF(OR(AE11="Revenue",AE11="Cost of Goods Sold",AE11="Expenditures",AE11="Other Revenue",AE11="Other Expenditures"),AF11,IF(AND(LEN(AE11)&gt;2,MID(AE11,2,1)=" ",ISNUMBER(VALUE(LEFT(AE11,1)))),AE11,AG10))</f>
        <v/>
      </c>
      <c r="AH11" s="36" t="n">
        <f aca="false">IF(AND(AE11&lt;&gt;"",ISNUMBER(AC11),LEFT(AE11,9)&lt;&gt;"Total for",AE11&lt;&gt;"Gross Profit",AE11&lt;&gt;"Net Operating Revenue",AE11&lt;&gt;"Net Other Revenue",AE11&lt;&gt;"Net Revenue"),1,0)</f>
        <v>0</v>
      </c>
      <c r="AI11" s="36" t="str">
        <f aca="false">IF(AH11=1,IF(AND(LEN(AE11)&gt;7,ISNUMBER(VALUE(LEFT(AE11,6))),MID(AE11,7,1)=" "),LEFT(AE11,6),AE11),"")</f>
        <v/>
      </c>
      <c r="AN11" s="36" t="str">
        <f aca="false">TRIM(AK11)</f>
        <v/>
      </c>
      <c r="AO11" s="36" t="str">
        <f aca="false">IF(AN11="Revenue","Revenue",IF(AN11="Cost of Goods Sold","COGS",IF(AN11="Expenditures","Expense",IF(AN11="Other Revenue","Other Revenue",IF(AN11="Other Expenditures","Other Expense",AO10)))))</f>
        <v/>
      </c>
      <c r="AP11" s="36" t="str">
        <f aca="false">IF(OR(AN11="Revenue",AN11="Cost of Goods Sold",AN11="Expenditures",AN11="Other Revenue",AN11="Other Expenditures"),AO11,IF(AND(LEN(AN11)&gt;2,MID(AN11,2,1)=" ",ISNUMBER(VALUE(LEFT(AN11,1)))),AN11,AP10))</f>
        <v/>
      </c>
      <c r="AQ11" s="36" t="n">
        <f aca="false">IF(AND(AN11&lt;&gt;"",ISNUMBER(AL11),LEFT(AN11,9)&lt;&gt;"Total for",AN11&lt;&gt;"Gross Profit",AN11&lt;&gt;"Net Operating Revenue",AN11&lt;&gt;"Net Other Revenue",AN11&lt;&gt;"Net Revenue"),1,0)</f>
        <v>0</v>
      </c>
      <c r="AR11" s="36" t="str">
        <f aca="false">IF(AQ11=1,IF(AND(LEN(AN11)&gt;7,ISNUMBER(VALUE(LEFT(AN11,6))),MID(AN11,7,1)=" "),LEFT(AN11,6),AN11),"")</f>
        <v/>
      </c>
    </row>
    <row r="12" customFormat="false" ht="15" hidden="false" customHeight="false" outlineLevel="0" collapsed="false">
      <c r="D12" s="36" t="str">
        <f aca="false">TRIM(A12)</f>
        <v/>
      </c>
      <c r="E12" s="36" t="str">
        <f aca="false">IF(D12="Revenue","Revenue",IF(D12="Cost of Goods Sold","COGS",IF(D12="Expenditures","Expense",IF(D12="Other Revenue","Other Revenue",IF(D12="Other Expenditures","Other Expense",E11)))))</f>
        <v/>
      </c>
      <c r="F12" s="36" t="str">
        <f aca="false">IF(OR(D12="Revenue",D12="Cost of Goods Sold",D12="Expenditures",D12="Other Revenue",D12="Other Expenditures"),E12,IF(AND(LEN(D12)&gt;2,MID(D12,2,1)=" ",ISNUMBER(VALUE(LEFT(D12,1)))),D12,F11))</f>
        <v/>
      </c>
      <c r="G12" s="36" t="n">
        <f aca="false">IF(AND(D12&lt;&gt;"",ISNUMBER(B12),LEFT(D12,9)&lt;&gt;"Total for",D12&lt;&gt;"Gross Profit",D12&lt;&gt;"Net Operating Revenue",D12&lt;&gt;"Net Other Revenue",D12&lt;&gt;"Net Revenue"),1,0)</f>
        <v>0</v>
      </c>
      <c r="H12" s="36" t="str">
        <f aca="false">IF(G12=1,IF(AND(LEN(D12)&gt;7,ISNUMBER(VALUE(LEFT(D12,6))),MID(D12,7,1)=" "),LEFT(D12,6),D12),"")</f>
        <v/>
      </c>
      <c r="M12" s="36" t="str">
        <f aca="false">TRIM(J12)</f>
        <v/>
      </c>
      <c r="N12" s="36" t="str">
        <f aca="false">IF(M12="Revenue","Revenue",IF(M12="Cost of Goods Sold","COGS",IF(M12="Expenditures","Expense",IF(M12="Other Revenue","Other Revenue",IF(M12="Other Expenditures","Other Expense",N11)))))</f>
        <v/>
      </c>
      <c r="O12" s="36" t="str">
        <f aca="false">IF(OR(M12="Revenue",M12="Cost of Goods Sold",M12="Expenditures",M12="Other Revenue",M12="Other Expenditures"),N12,IF(AND(LEN(M12)&gt;2,MID(M12,2,1)=" ",ISNUMBER(VALUE(LEFT(M12,1)))),M12,O11))</f>
        <v/>
      </c>
      <c r="P12" s="36" t="n">
        <f aca="false">IF(AND(M12&lt;&gt;"",ISNUMBER(K12),LEFT(M12,9)&lt;&gt;"Total for",M12&lt;&gt;"Gross Profit",M12&lt;&gt;"Net Operating Revenue",M12&lt;&gt;"Net Other Revenue",M12&lt;&gt;"Net Revenue"),1,0)</f>
        <v>0</v>
      </c>
      <c r="Q12" s="36" t="str">
        <f aca="false">IF(P12=1,IF(AND(LEN(M12)&gt;7,ISNUMBER(VALUE(LEFT(M12,6))),MID(M12,7,1)=" "),LEFT(M12,6),M12),"")</f>
        <v/>
      </c>
      <c r="V12" s="36" t="str">
        <f aca="false">TRIM(S12)</f>
        <v/>
      </c>
      <c r="W12" s="36" t="str">
        <f aca="false">IF(V12="Revenue","Revenue",IF(V12="Cost of Goods Sold","COGS",IF(V12="Expenditures","Expense",IF(V12="Other Revenue","Other Revenue",IF(V12="Other Expenditures","Other Expense",W11)))))</f>
        <v/>
      </c>
      <c r="X12" s="36" t="str">
        <f aca="false">IF(OR(V12="Revenue",V12="Cost of Goods Sold",V12="Expenditures",V12="Other Revenue",V12="Other Expenditures"),W12,IF(AND(LEN(V12)&gt;2,MID(V12,2,1)=" ",ISNUMBER(VALUE(LEFT(V12,1)))),V12,X11))</f>
        <v/>
      </c>
      <c r="Y12" s="36" t="n">
        <f aca="false">IF(AND(V12&lt;&gt;"",ISNUMBER(T12),LEFT(V12,9)&lt;&gt;"Total for",V12&lt;&gt;"Gross Profit",V12&lt;&gt;"Net Operating Revenue",V12&lt;&gt;"Net Other Revenue",V12&lt;&gt;"Net Revenue"),1,0)</f>
        <v>0</v>
      </c>
      <c r="Z12" s="36" t="str">
        <f aca="false">IF(Y12=1,IF(AND(LEN(V12)&gt;7,ISNUMBER(VALUE(LEFT(V12,6))),MID(V12,7,1)=" "),LEFT(V12,6),V12),"")</f>
        <v/>
      </c>
      <c r="AE12" s="36" t="str">
        <f aca="false">TRIM(AB12)</f>
        <v/>
      </c>
      <c r="AF12" s="36" t="str">
        <f aca="false">IF(AE12="Revenue","Revenue",IF(AE12="Cost of Goods Sold","COGS",IF(AE12="Expenditures","Expense",IF(AE12="Other Revenue","Other Revenue",IF(AE12="Other Expenditures","Other Expense",AF11)))))</f>
        <v/>
      </c>
      <c r="AG12" s="36" t="str">
        <f aca="false">IF(OR(AE12="Revenue",AE12="Cost of Goods Sold",AE12="Expenditures",AE12="Other Revenue",AE12="Other Expenditures"),AF12,IF(AND(LEN(AE12)&gt;2,MID(AE12,2,1)=" ",ISNUMBER(VALUE(LEFT(AE12,1)))),AE12,AG11))</f>
        <v/>
      </c>
      <c r="AH12" s="36" t="n">
        <f aca="false">IF(AND(AE12&lt;&gt;"",ISNUMBER(AC12),LEFT(AE12,9)&lt;&gt;"Total for",AE12&lt;&gt;"Gross Profit",AE12&lt;&gt;"Net Operating Revenue",AE12&lt;&gt;"Net Other Revenue",AE12&lt;&gt;"Net Revenue"),1,0)</f>
        <v>0</v>
      </c>
      <c r="AI12" s="36" t="str">
        <f aca="false">IF(AH12=1,IF(AND(LEN(AE12)&gt;7,ISNUMBER(VALUE(LEFT(AE12,6))),MID(AE12,7,1)=" "),LEFT(AE12,6),AE12),"")</f>
        <v/>
      </c>
      <c r="AN12" s="36" t="str">
        <f aca="false">TRIM(AK12)</f>
        <v/>
      </c>
      <c r="AO12" s="36" t="str">
        <f aca="false">IF(AN12="Revenue","Revenue",IF(AN12="Cost of Goods Sold","COGS",IF(AN12="Expenditures","Expense",IF(AN12="Other Revenue","Other Revenue",IF(AN12="Other Expenditures","Other Expense",AO11)))))</f>
        <v/>
      </c>
      <c r="AP12" s="36" t="str">
        <f aca="false">IF(OR(AN12="Revenue",AN12="Cost of Goods Sold",AN12="Expenditures",AN12="Other Revenue",AN12="Other Expenditures"),AO12,IF(AND(LEN(AN12)&gt;2,MID(AN12,2,1)=" ",ISNUMBER(VALUE(LEFT(AN12,1)))),AN12,AP11))</f>
        <v/>
      </c>
      <c r="AQ12" s="36" t="n">
        <f aca="false">IF(AND(AN12&lt;&gt;"",ISNUMBER(AL12),LEFT(AN12,9)&lt;&gt;"Total for",AN12&lt;&gt;"Gross Profit",AN12&lt;&gt;"Net Operating Revenue",AN12&lt;&gt;"Net Other Revenue",AN12&lt;&gt;"Net Revenue"),1,0)</f>
        <v>0</v>
      </c>
      <c r="AR12" s="36" t="str">
        <f aca="false">IF(AQ12=1,IF(AND(LEN(AN12)&gt;7,ISNUMBER(VALUE(LEFT(AN12,6))),MID(AN12,7,1)=" "),LEFT(AN12,6),AN12),"")</f>
        <v/>
      </c>
    </row>
    <row r="13" customFormat="false" ht="15" hidden="false" customHeight="false" outlineLevel="0" collapsed="false">
      <c r="D13" s="36" t="str">
        <f aca="false">TRIM(A13)</f>
        <v/>
      </c>
      <c r="E13" s="36" t="str">
        <f aca="false">IF(D13="Revenue","Revenue",IF(D13="Cost of Goods Sold","COGS",IF(D13="Expenditures","Expense",IF(D13="Other Revenue","Other Revenue",IF(D13="Other Expenditures","Other Expense",E12)))))</f>
        <v/>
      </c>
      <c r="F13" s="36" t="str">
        <f aca="false">IF(OR(D13="Revenue",D13="Cost of Goods Sold",D13="Expenditures",D13="Other Revenue",D13="Other Expenditures"),E13,IF(AND(LEN(D13)&gt;2,MID(D13,2,1)=" ",ISNUMBER(VALUE(LEFT(D13,1)))),D13,F12))</f>
        <v/>
      </c>
      <c r="G13" s="36" t="n">
        <f aca="false">IF(AND(D13&lt;&gt;"",ISNUMBER(B13),LEFT(D13,9)&lt;&gt;"Total for",D13&lt;&gt;"Gross Profit",D13&lt;&gt;"Net Operating Revenue",D13&lt;&gt;"Net Other Revenue",D13&lt;&gt;"Net Revenue"),1,0)</f>
        <v>0</v>
      </c>
      <c r="H13" s="36" t="str">
        <f aca="false">IF(G13=1,IF(AND(LEN(D13)&gt;7,ISNUMBER(VALUE(LEFT(D13,6))),MID(D13,7,1)=" "),LEFT(D13,6),D13),"")</f>
        <v/>
      </c>
      <c r="M13" s="36" t="str">
        <f aca="false">TRIM(J13)</f>
        <v/>
      </c>
      <c r="N13" s="36" t="str">
        <f aca="false">IF(M13="Revenue","Revenue",IF(M13="Cost of Goods Sold","COGS",IF(M13="Expenditures","Expense",IF(M13="Other Revenue","Other Revenue",IF(M13="Other Expenditures","Other Expense",N12)))))</f>
        <v/>
      </c>
      <c r="O13" s="36" t="str">
        <f aca="false">IF(OR(M13="Revenue",M13="Cost of Goods Sold",M13="Expenditures",M13="Other Revenue",M13="Other Expenditures"),N13,IF(AND(LEN(M13)&gt;2,MID(M13,2,1)=" ",ISNUMBER(VALUE(LEFT(M13,1)))),M13,O12))</f>
        <v/>
      </c>
      <c r="P13" s="36" t="n">
        <f aca="false">IF(AND(M13&lt;&gt;"",ISNUMBER(K13),LEFT(M13,9)&lt;&gt;"Total for",M13&lt;&gt;"Gross Profit",M13&lt;&gt;"Net Operating Revenue",M13&lt;&gt;"Net Other Revenue",M13&lt;&gt;"Net Revenue"),1,0)</f>
        <v>0</v>
      </c>
      <c r="Q13" s="36" t="str">
        <f aca="false">IF(P13=1,IF(AND(LEN(M13)&gt;7,ISNUMBER(VALUE(LEFT(M13,6))),MID(M13,7,1)=" "),LEFT(M13,6),M13),"")</f>
        <v/>
      </c>
      <c r="V13" s="36" t="str">
        <f aca="false">TRIM(S13)</f>
        <v/>
      </c>
      <c r="W13" s="36" t="str">
        <f aca="false">IF(V13="Revenue","Revenue",IF(V13="Cost of Goods Sold","COGS",IF(V13="Expenditures","Expense",IF(V13="Other Revenue","Other Revenue",IF(V13="Other Expenditures","Other Expense",W12)))))</f>
        <v/>
      </c>
      <c r="X13" s="36" t="str">
        <f aca="false">IF(OR(V13="Revenue",V13="Cost of Goods Sold",V13="Expenditures",V13="Other Revenue",V13="Other Expenditures"),W13,IF(AND(LEN(V13)&gt;2,MID(V13,2,1)=" ",ISNUMBER(VALUE(LEFT(V13,1)))),V13,X12))</f>
        <v/>
      </c>
      <c r="Y13" s="36" t="n">
        <f aca="false">IF(AND(V13&lt;&gt;"",ISNUMBER(T13),LEFT(V13,9)&lt;&gt;"Total for",V13&lt;&gt;"Gross Profit",V13&lt;&gt;"Net Operating Revenue",V13&lt;&gt;"Net Other Revenue",V13&lt;&gt;"Net Revenue"),1,0)</f>
        <v>0</v>
      </c>
      <c r="Z13" s="36" t="str">
        <f aca="false">IF(Y13=1,IF(AND(LEN(V13)&gt;7,ISNUMBER(VALUE(LEFT(V13,6))),MID(V13,7,1)=" "),LEFT(V13,6),V13),"")</f>
        <v/>
      </c>
      <c r="AE13" s="36" t="str">
        <f aca="false">TRIM(AB13)</f>
        <v/>
      </c>
      <c r="AF13" s="36" t="str">
        <f aca="false">IF(AE13="Revenue","Revenue",IF(AE13="Cost of Goods Sold","COGS",IF(AE13="Expenditures","Expense",IF(AE13="Other Revenue","Other Revenue",IF(AE13="Other Expenditures","Other Expense",AF12)))))</f>
        <v/>
      </c>
      <c r="AG13" s="36" t="str">
        <f aca="false">IF(OR(AE13="Revenue",AE13="Cost of Goods Sold",AE13="Expenditures",AE13="Other Revenue",AE13="Other Expenditures"),AF13,IF(AND(LEN(AE13)&gt;2,MID(AE13,2,1)=" ",ISNUMBER(VALUE(LEFT(AE13,1)))),AE13,AG12))</f>
        <v/>
      </c>
      <c r="AH13" s="36" t="n">
        <f aca="false">IF(AND(AE13&lt;&gt;"",ISNUMBER(AC13),LEFT(AE13,9)&lt;&gt;"Total for",AE13&lt;&gt;"Gross Profit",AE13&lt;&gt;"Net Operating Revenue",AE13&lt;&gt;"Net Other Revenue",AE13&lt;&gt;"Net Revenue"),1,0)</f>
        <v>0</v>
      </c>
      <c r="AI13" s="36" t="str">
        <f aca="false">IF(AH13=1,IF(AND(LEN(AE13)&gt;7,ISNUMBER(VALUE(LEFT(AE13,6))),MID(AE13,7,1)=" "),LEFT(AE13,6),AE13),"")</f>
        <v/>
      </c>
      <c r="AN13" s="36" t="str">
        <f aca="false">TRIM(AK13)</f>
        <v/>
      </c>
      <c r="AO13" s="36" t="str">
        <f aca="false">IF(AN13="Revenue","Revenue",IF(AN13="Cost of Goods Sold","COGS",IF(AN13="Expenditures","Expense",IF(AN13="Other Revenue","Other Revenue",IF(AN13="Other Expenditures","Other Expense",AO12)))))</f>
        <v/>
      </c>
      <c r="AP13" s="36" t="str">
        <f aca="false">IF(OR(AN13="Revenue",AN13="Cost of Goods Sold",AN13="Expenditures",AN13="Other Revenue",AN13="Other Expenditures"),AO13,IF(AND(LEN(AN13)&gt;2,MID(AN13,2,1)=" ",ISNUMBER(VALUE(LEFT(AN13,1)))),AN13,AP12))</f>
        <v/>
      </c>
      <c r="AQ13" s="36" t="n">
        <f aca="false">IF(AND(AN13&lt;&gt;"",ISNUMBER(AL13),LEFT(AN13,9)&lt;&gt;"Total for",AN13&lt;&gt;"Gross Profit",AN13&lt;&gt;"Net Operating Revenue",AN13&lt;&gt;"Net Other Revenue",AN13&lt;&gt;"Net Revenue"),1,0)</f>
        <v>0</v>
      </c>
      <c r="AR13" s="36" t="str">
        <f aca="false">IF(AQ13=1,IF(AND(LEN(AN13)&gt;7,ISNUMBER(VALUE(LEFT(AN13,6))),MID(AN13,7,1)=" "),LEFT(AN13,6),AN13),"")</f>
        <v/>
      </c>
    </row>
    <row r="14" customFormat="false" ht="15" hidden="false" customHeight="false" outlineLevel="0" collapsed="false">
      <c r="D14" s="36" t="str">
        <f aca="false">TRIM(A14)</f>
        <v/>
      </c>
      <c r="E14" s="36" t="str">
        <f aca="false">IF(D14="Revenue","Revenue",IF(D14="Cost of Goods Sold","COGS",IF(D14="Expenditures","Expense",IF(D14="Other Revenue","Other Revenue",IF(D14="Other Expenditures","Other Expense",E13)))))</f>
        <v/>
      </c>
      <c r="F14" s="36" t="str">
        <f aca="false">IF(OR(D14="Revenue",D14="Cost of Goods Sold",D14="Expenditures",D14="Other Revenue",D14="Other Expenditures"),E14,IF(AND(LEN(D14)&gt;2,MID(D14,2,1)=" ",ISNUMBER(VALUE(LEFT(D14,1)))),D14,F13))</f>
        <v/>
      </c>
      <c r="G14" s="36" t="n">
        <f aca="false">IF(AND(D14&lt;&gt;"",ISNUMBER(B14),LEFT(D14,9)&lt;&gt;"Total for",D14&lt;&gt;"Gross Profit",D14&lt;&gt;"Net Operating Revenue",D14&lt;&gt;"Net Other Revenue",D14&lt;&gt;"Net Revenue"),1,0)</f>
        <v>0</v>
      </c>
      <c r="H14" s="36" t="str">
        <f aca="false">IF(G14=1,IF(AND(LEN(D14)&gt;7,ISNUMBER(VALUE(LEFT(D14,6))),MID(D14,7,1)=" "),LEFT(D14,6),D14),"")</f>
        <v/>
      </c>
      <c r="M14" s="36" t="str">
        <f aca="false">TRIM(J14)</f>
        <v/>
      </c>
      <c r="N14" s="36" t="str">
        <f aca="false">IF(M14="Revenue","Revenue",IF(M14="Cost of Goods Sold","COGS",IF(M14="Expenditures","Expense",IF(M14="Other Revenue","Other Revenue",IF(M14="Other Expenditures","Other Expense",N13)))))</f>
        <v/>
      </c>
      <c r="O14" s="36" t="str">
        <f aca="false">IF(OR(M14="Revenue",M14="Cost of Goods Sold",M14="Expenditures",M14="Other Revenue",M14="Other Expenditures"),N14,IF(AND(LEN(M14)&gt;2,MID(M14,2,1)=" ",ISNUMBER(VALUE(LEFT(M14,1)))),M14,O13))</f>
        <v/>
      </c>
      <c r="P14" s="36" t="n">
        <f aca="false">IF(AND(M14&lt;&gt;"",ISNUMBER(K14),LEFT(M14,9)&lt;&gt;"Total for",M14&lt;&gt;"Gross Profit",M14&lt;&gt;"Net Operating Revenue",M14&lt;&gt;"Net Other Revenue",M14&lt;&gt;"Net Revenue"),1,0)</f>
        <v>0</v>
      </c>
      <c r="Q14" s="36" t="str">
        <f aca="false">IF(P14=1,IF(AND(LEN(M14)&gt;7,ISNUMBER(VALUE(LEFT(M14,6))),MID(M14,7,1)=" "),LEFT(M14,6),M14),"")</f>
        <v/>
      </c>
      <c r="V14" s="36" t="str">
        <f aca="false">TRIM(S14)</f>
        <v/>
      </c>
      <c r="W14" s="36" t="str">
        <f aca="false">IF(V14="Revenue","Revenue",IF(V14="Cost of Goods Sold","COGS",IF(V14="Expenditures","Expense",IF(V14="Other Revenue","Other Revenue",IF(V14="Other Expenditures","Other Expense",W13)))))</f>
        <v/>
      </c>
      <c r="X14" s="36" t="str">
        <f aca="false">IF(OR(V14="Revenue",V14="Cost of Goods Sold",V14="Expenditures",V14="Other Revenue",V14="Other Expenditures"),W14,IF(AND(LEN(V14)&gt;2,MID(V14,2,1)=" ",ISNUMBER(VALUE(LEFT(V14,1)))),V14,X13))</f>
        <v/>
      </c>
      <c r="Y14" s="36" t="n">
        <f aca="false">IF(AND(V14&lt;&gt;"",ISNUMBER(T14),LEFT(V14,9)&lt;&gt;"Total for",V14&lt;&gt;"Gross Profit",V14&lt;&gt;"Net Operating Revenue",V14&lt;&gt;"Net Other Revenue",V14&lt;&gt;"Net Revenue"),1,0)</f>
        <v>0</v>
      </c>
      <c r="Z14" s="36" t="str">
        <f aca="false">IF(Y14=1,IF(AND(LEN(V14)&gt;7,ISNUMBER(VALUE(LEFT(V14,6))),MID(V14,7,1)=" "),LEFT(V14,6),V14),"")</f>
        <v/>
      </c>
      <c r="AE14" s="36" t="str">
        <f aca="false">TRIM(AB14)</f>
        <v/>
      </c>
      <c r="AF14" s="36" t="str">
        <f aca="false">IF(AE14="Revenue","Revenue",IF(AE14="Cost of Goods Sold","COGS",IF(AE14="Expenditures","Expense",IF(AE14="Other Revenue","Other Revenue",IF(AE14="Other Expenditures","Other Expense",AF13)))))</f>
        <v/>
      </c>
      <c r="AG14" s="36" t="str">
        <f aca="false">IF(OR(AE14="Revenue",AE14="Cost of Goods Sold",AE14="Expenditures",AE14="Other Revenue",AE14="Other Expenditures"),AF14,IF(AND(LEN(AE14)&gt;2,MID(AE14,2,1)=" ",ISNUMBER(VALUE(LEFT(AE14,1)))),AE14,AG13))</f>
        <v/>
      </c>
      <c r="AH14" s="36" t="n">
        <f aca="false">IF(AND(AE14&lt;&gt;"",ISNUMBER(AC14),LEFT(AE14,9)&lt;&gt;"Total for",AE14&lt;&gt;"Gross Profit",AE14&lt;&gt;"Net Operating Revenue",AE14&lt;&gt;"Net Other Revenue",AE14&lt;&gt;"Net Revenue"),1,0)</f>
        <v>0</v>
      </c>
      <c r="AI14" s="36" t="str">
        <f aca="false">IF(AH14=1,IF(AND(LEN(AE14)&gt;7,ISNUMBER(VALUE(LEFT(AE14,6))),MID(AE14,7,1)=" "),LEFT(AE14,6),AE14),"")</f>
        <v/>
      </c>
      <c r="AN14" s="36" t="str">
        <f aca="false">TRIM(AK14)</f>
        <v/>
      </c>
      <c r="AO14" s="36" t="str">
        <f aca="false">IF(AN14="Revenue","Revenue",IF(AN14="Cost of Goods Sold","COGS",IF(AN14="Expenditures","Expense",IF(AN14="Other Revenue","Other Revenue",IF(AN14="Other Expenditures","Other Expense",AO13)))))</f>
        <v/>
      </c>
      <c r="AP14" s="36" t="str">
        <f aca="false">IF(OR(AN14="Revenue",AN14="Cost of Goods Sold",AN14="Expenditures",AN14="Other Revenue",AN14="Other Expenditures"),AO14,IF(AND(LEN(AN14)&gt;2,MID(AN14,2,1)=" ",ISNUMBER(VALUE(LEFT(AN14,1)))),AN14,AP13))</f>
        <v/>
      </c>
      <c r="AQ14" s="36" t="n">
        <f aca="false">IF(AND(AN14&lt;&gt;"",ISNUMBER(AL14),LEFT(AN14,9)&lt;&gt;"Total for",AN14&lt;&gt;"Gross Profit",AN14&lt;&gt;"Net Operating Revenue",AN14&lt;&gt;"Net Other Revenue",AN14&lt;&gt;"Net Revenue"),1,0)</f>
        <v>0</v>
      </c>
      <c r="AR14" s="36" t="str">
        <f aca="false">IF(AQ14=1,IF(AND(LEN(AN14)&gt;7,ISNUMBER(VALUE(LEFT(AN14,6))),MID(AN14,7,1)=" "),LEFT(AN14,6),AN14),"")</f>
        <v/>
      </c>
    </row>
    <row r="15" customFormat="false" ht="15" hidden="false" customHeight="false" outlineLevel="0" collapsed="false">
      <c r="D15" s="36" t="str">
        <f aca="false">TRIM(A15)</f>
        <v/>
      </c>
      <c r="E15" s="36" t="str">
        <f aca="false">IF(D15="Revenue","Revenue",IF(D15="Cost of Goods Sold","COGS",IF(D15="Expenditures","Expense",IF(D15="Other Revenue","Other Revenue",IF(D15="Other Expenditures","Other Expense",E14)))))</f>
        <v/>
      </c>
      <c r="F15" s="36" t="str">
        <f aca="false">IF(OR(D15="Revenue",D15="Cost of Goods Sold",D15="Expenditures",D15="Other Revenue",D15="Other Expenditures"),E15,IF(AND(LEN(D15)&gt;2,MID(D15,2,1)=" ",ISNUMBER(VALUE(LEFT(D15,1)))),D15,F14))</f>
        <v/>
      </c>
      <c r="G15" s="36" t="n">
        <f aca="false">IF(AND(D15&lt;&gt;"",ISNUMBER(B15),LEFT(D15,9)&lt;&gt;"Total for",D15&lt;&gt;"Gross Profit",D15&lt;&gt;"Net Operating Revenue",D15&lt;&gt;"Net Other Revenue",D15&lt;&gt;"Net Revenue"),1,0)</f>
        <v>0</v>
      </c>
      <c r="H15" s="36" t="str">
        <f aca="false">IF(G15=1,IF(AND(LEN(D15)&gt;7,ISNUMBER(VALUE(LEFT(D15,6))),MID(D15,7,1)=" "),LEFT(D15,6),D15),"")</f>
        <v/>
      </c>
      <c r="M15" s="36" t="str">
        <f aca="false">TRIM(J15)</f>
        <v/>
      </c>
      <c r="N15" s="36" t="str">
        <f aca="false">IF(M15="Revenue","Revenue",IF(M15="Cost of Goods Sold","COGS",IF(M15="Expenditures","Expense",IF(M15="Other Revenue","Other Revenue",IF(M15="Other Expenditures","Other Expense",N14)))))</f>
        <v/>
      </c>
      <c r="O15" s="36" t="str">
        <f aca="false">IF(OR(M15="Revenue",M15="Cost of Goods Sold",M15="Expenditures",M15="Other Revenue",M15="Other Expenditures"),N15,IF(AND(LEN(M15)&gt;2,MID(M15,2,1)=" ",ISNUMBER(VALUE(LEFT(M15,1)))),M15,O14))</f>
        <v/>
      </c>
      <c r="P15" s="36" t="n">
        <f aca="false">IF(AND(M15&lt;&gt;"",ISNUMBER(K15),LEFT(M15,9)&lt;&gt;"Total for",M15&lt;&gt;"Gross Profit",M15&lt;&gt;"Net Operating Revenue",M15&lt;&gt;"Net Other Revenue",M15&lt;&gt;"Net Revenue"),1,0)</f>
        <v>0</v>
      </c>
      <c r="Q15" s="36" t="str">
        <f aca="false">IF(P15=1,IF(AND(LEN(M15)&gt;7,ISNUMBER(VALUE(LEFT(M15,6))),MID(M15,7,1)=" "),LEFT(M15,6),M15),"")</f>
        <v/>
      </c>
      <c r="V15" s="36" t="str">
        <f aca="false">TRIM(S15)</f>
        <v/>
      </c>
      <c r="W15" s="36" t="str">
        <f aca="false">IF(V15="Revenue","Revenue",IF(V15="Cost of Goods Sold","COGS",IF(V15="Expenditures","Expense",IF(V15="Other Revenue","Other Revenue",IF(V15="Other Expenditures","Other Expense",W14)))))</f>
        <v/>
      </c>
      <c r="X15" s="36" t="str">
        <f aca="false">IF(OR(V15="Revenue",V15="Cost of Goods Sold",V15="Expenditures",V15="Other Revenue",V15="Other Expenditures"),W15,IF(AND(LEN(V15)&gt;2,MID(V15,2,1)=" ",ISNUMBER(VALUE(LEFT(V15,1)))),V15,X14))</f>
        <v/>
      </c>
      <c r="Y15" s="36" t="n">
        <f aca="false">IF(AND(V15&lt;&gt;"",ISNUMBER(T15),LEFT(V15,9)&lt;&gt;"Total for",V15&lt;&gt;"Gross Profit",V15&lt;&gt;"Net Operating Revenue",V15&lt;&gt;"Net Other Revenue",V15&lt;&gt;"Net Revenue"),1,0)</f>
        <v>0</v>
      </c>
      <c r="Z15" s="36" t="str">
        <f aca="false">IF(Y15=1,IF(AND(LEN(V15)&gt;7,ISNUMBER(VALUE(LEFT(V15,6))),MID(V15,7,1)=" "),LEFT(V15,6),V15),"")</f>
        <v/>
      </c>
      <c r="AE15" s="36" t="str">
        <f aca="false">TRIM(AB15)</f>
        <v/>
      </c>
      <c r="AF15" s="36" t="str">
        <f aca="false">IF(AE15="Revenue","Revenue",IF(AE15="Cost of Goods Sold","COGS",IF(AE15="Expenditures","Expense",IF(AE15="Other Revenue","Other Revenue",IF(AE15="Other Expenditures","Other Expense",AF14)))))</f>
        <v/>
      </c>
      <c r="AG15" s="36" t="str">
        <f aca="false">IF(OR(AE15="Revenue",AE15="Cost of Goods Sold",AE15="Expenditures",AE15="Other Revenue",AE15="Other Expenditures"),AF15,IF(AND(LEN(AE15)&gt;2,MID(AE15,2,1)=" ",ISNUMBER(VALUE(LEFT(AE15,1)))),AE15,AG14))</f>
        <v/>
      </c>
      <c r="AH15" s="36" t="n">
        <f aca="false">IF(AND(AE15&lt;&gt;"",ISNUMBER(AC15),LEFT(AE15,9)&lt;&gt;"Total for",AE15&lt;&gt;"Gross Profit",AE15&lt;&gt;"Net Operating Revenue",AE15&lt;&gt;"Net Other Revenue",AE15&lt;&gt;"Net Revenue"),1,0)</f>
        <v>0</v>
      </c>
      <c r="AI15" s="36" t="str">
        <f aca="false">IF(AH15=1,IF(AND(LEN(AE15)&gt;7,ISNUMBER(VALUE(LEFT(AE15,6))),MID(AE15,7,1)=" "),LEFT(AE15,6),AE15),"")</f>
        <v/>
      </c>
      <c r="AN15" s="36" t="str">
        <f aca="false">TRIM(AK15)</f>
        <v/>
      </c>
      <c r="AO15" s="36" t="str">
        <f aca="false">IF(AN15="Revenue","Revenue",IF(AN15="Cost of Goods Sold","COGS",IF(AN15="Expenditures","Expense",IF(AN15="Other Revenue","Other Revenue",IF(AN15="Other Expenditures","Other Expense",AO14)))))</f>
        <v/>
      </c>
      <c r="AP15" s="36" t="str">
        <f aca="false">IF(OR(AN15="Revenue",AN15="Cost of Goods Sold",AN15="Expenditures",AN15="Other Revenue",AN15="Other Expenditures"),AO15,IF(AND(LEN(AN15)&gt;2,MID(AN15,2,1)=" ",ISNUMBER(VALUE(LEFT(AN15,1)))),AN15,AP14))</f>
        <v/>
      </c>
      <c r="AQ15" s="36" t="n">
        <f aca="false">IF(AND(AN15&lt;&gt;"",ISNUMBER(AL15),LEFT(AN15,9)&lt;&gt;"Total for",AN15&lt;&gt;"Gross Profit",AN15&lt;&gt;"Net Operating Revenue",AN15&lt;&gt;"Net Other Revenue",AN15&lt;&gt;"Net Revenue"),1,0)</f>
        <v>0</v>
      </c>
      <c r="AR15" s="36" t="str">
        <f aca="false">IF(AQ15=1,IF(AND(LEN(AN15)&gt;7,ISNUMBER(VALUE(LEFT(AN15,6))),MID(AN15,7,1)=" "),LEFT(AN15,6),AN15),"")</f>
        <v/>
      </c>
    </row>
    <row r="16" customFormat="false" ht="15" hidden="false" customHeight="false" outlineLevel="0" collapsed="false">
      <c r="D16" s="36" t="str">
        <f aca="false">TRIM(A16)</f>
        <v/>
      </c>
      <c r="E16" s="36" t="str">
        <f aca="false">IF(D16="Revenue","Revenue",IF(D16="Cost of Goods Sold","COGS",IF(D16="Expenditures","Expense",IF(D16="Other Revenue","Other Revenue",IF(D16="Other Expenditures","Other Expense",E15)))))</f>
        <v/>
      </c>
      <c r="F16" s="36" t="str">
        <f aca="false">IF(OR(D16="Revenue",D16="Cost of Goods Sold",D16="Expenditures",D16="Other Revenue",D16="Other Expenditures"),E16,IF(AND(LEN(D16)&gt;2,MID(D16,2,1)=" ",ISNUMBER(VALUE(LEFT(D16,1)))),D16,F15))</f>
        <v/>
      </c>
      <c r="G16" s="36" t="n">
        <f aca="false">IF(AND(D16&lt;&gt;"",ISNUMBER(B16),LEFT(D16,9)&lt;&gt;"Total for",D16&lt;&gt;"Gross Profit",D16&lt;&gt;"Net Operating Revenue",D16&lt;&gt;"Net Other Revenue",D16&lt;&gt;"Net Revenue"),1,0)</f>
        <v>0</v>
      </c>
      <c r="H16" s="36" t="str">
        <f aca="false">IF(G16=1,IF(AND(LEN(D16)&gt;7,ISNUMBER(VALUE(LEFT(D16,6))),MID(D16,7,1)=" "),LEFT(D16,6),D16),"")</f>
        <v/>
      </c>
      <c r="M16" s="36" t="str">
        <f aca="false">TRIM(J16)</f>
        <v/>
      </c>
      <c r="N16" s="36" t="str">
        <f aca="false">IF(M16="Revenue","Revenue",IF(M16="Cost of Goods Sold","COGS",IF(M16="Expenditures","Expense",IF(M16="Other Revenue","Other Revenue",IF(M16="Other Expenditures","Other Expense",N15)))))</f>
        <v/>
      </c>
      <c r="O16" s="36" t="str">
        <f aca="false">IF(OR(M16="Revenue",M16="Cost of Goods Sold",M16="Expenditures",M16="Other Revenue",M16="Other Expenditures"),N16,IF(AND(LEN(M16)&gt;2,MID(M16,2,1)=" ",ISNUMBER(VALUE(LEFT(M16,1)))),M16,O15))</f>
        <v/>
      </c>
      <c r="P16" s="36" t="n">
        <f aca="false">IF(AND(M16&lt;&gt;"",ISNUMBER(K16),LEFT(M16,9)&lt;&gt;"Total for",M16&lt;&gt;"Gross Profit",M16&lt;&gt;"Net Operating Revenue",M16&lt;&gt;"Net Other Revenue",M16&lt;&gt;"Net Revenue"),1,0)</f>
        <v>0</v>
      </c>
      <c r="Q16" s="36" t="str">
        <f aca="false">IF(P16=1,IF(AND(LEN(M16)&gt;7,ISNUMBER(VALUE(LEFT(M16,6))),MID(M16,7,1)=" "),LEFT(M16,6),M16),"")</f>
        <v/>
      </c>
      <c r="V16" s="36" t="str">
        <f aca="false">TRIM(S16)</f>
        <v/>
      </c>
      <c r="W16" s="36" t="str">
        <f aca="false">IF(V16="Revenue","Revenue",IF(V16="Cost of Goods Sold","COGS",IF(V16="Expenditures","Expense",IF(V16="Other Revenue","Other Revenue",IF(V16="Other Expenditures","Other Expense",W15)))))</f>
        <v/>
      </c>
      <c r="X16" s="36" t="str">
        <f aca="false">IF(OR(V16="Revenue",V16="Cost of Goods Sold",V16="Expenditures",V16="Other Revenue",V16="Other Expenditures"),W16,IF(AND(LEN(V16)&gt;2,MID(V16,2,1)=" ",ISNUMBER(VALUE(LEFT(V16,1)))),V16,X15))</f>
        <v/>
      </c>
      <c r="Y16" s="36" t="n">
        <f aca="false">IF(AND(V16&lt;&gt;"",ISNUMBER(T16),LEFT(V16,9)&lt;&gt;"Total for",V16&lt;&gt;"Gross Profit",V16&lt;&gt;"Net Operating Revenue",V16&lt;&gt;"Net Other Revenue",V16&lt;&gt;"Net Revenue"),1,0)</f>
        <v>0</v>
      </c>
      <c r="Z16" s="36" t="str">
        <f aca="false">IF(Y16=1,IF(AND(LEN(V16)&gt;7,ISNUMBER(VALUE(LEFT(V16,6))),MID(V16,7,1)=" "),LEFT(V16,6),V16),"")</f>
        <v/>
      </c>
      <c r="AE16" s="36" t="str">
        <f aca="false">TRIM(AB16)</f>
        <v/>
      </c>
      <c r="AF16" s="36" t="str">
        <f aca="false">IF(AE16="Revenue","Revenue",IF(AE16="Cost of Goods Sold","COGS",IF(AE16="Expenditures","Expense",IF(AE16="Other Revenue","Other Revenue",IF(AE16="Other Expenditures","Other Expense",AF15)))))</f>
        <v/>
      </c>
      <c r="AG16" s="36" t="str">
        <f aca="false">IF(OR(AE16="Revenue",AE16="Cost of Goods Sold",AE16="Expenditures",AE16="Other Revenue",AE16="Other Expenditures"),AF16,IF(AND(LEN(AE16)&gt;2,MID(AE16,2,1)=" ",ISNUMBER(VALUE(LEFT(AE16,1)))),AE16,AG15))</f>
        <v/>
      </c>
      <c r="AH16" s="36" t="n">
        <f aca="false">IF(AND(AE16&lt;&gt;"",ISNUMBER(AC16),LEFT(AE16,9)&lt;&gt;"Total for",AE16&lt;&gt;"Gross Profit",AE16&lt;&gt;"Net Operating Revenue",AE16&lt;&gt;"Net Other Revenue",AE16&lt;&gt;"Net Revenue"),1,0)</f>
        <v>0</v>
      </c>
      <c r="AI16" s="36" t="str">
        <f aca="false">IF(AH16=1,IF(AND(LEN(AE16)&gt;7,ISNUMBER(VALUE(LEFT(AE16,6))),MID(AE16,7,1)=" "),LEFT(AE16,6),AE16),"")</f>
        <v/>
      </c>
      <c r="AN16" s="36" t="str">
        <f aca="false">TRIM(AK16)</f>
        <v/>
      </c>
      <c r="AO16" s="36" t="str">
        <f aca="false">IF(AN16="Revenue","Revenue",IF(AN16="Cost of Goods Sold","COGS",IF(AN16="Expenditures","Expense",IF(AN16="Other Revenue","Other Revenue",IF(AN16="Other Expenditures","Other Expense",AO15)))))</f>
        <v/>
      </c>
      <c r="AP16" s="36" t="str">
        <f aca="false">IF(OR(AN16="Revenue",AN16="Cost of Goods Sold",AN16="Expenditures",AN16="Other Revenue",AN16="Other Expenditures"),AO16,IF(AND(LEN(AN16)&gt;2,MID(AN16,2,1)=" ",ISNUMBER(VALUE(LEFT(AN16,1)))),AN16,AP15))</f>
        <v/>
      </c>
      <c r="AQ16" s="36" t="n">
        <f aca="false">IF(AND(AN16&lt;&gt;"",ISNUMBER(AL16),LEFT(AN16,9)&lt;&gt;"Total for",AN16&lt;&gt;"Gross Profit",AN16&lt;&gt;"Net Operating Revenue",AN16&lt;&gt;"Net Other Revenue",AN16&lt;&gt;"Net Revenue"),1,0)</f>
        <v>0</v>
      </c>
      <c r="AR16" s="36" t="str">
        <f aca="false">IF(AQ16=1,IF(AND(LEN(AN16)&gt;7,ISNUMBER(VALUE(LEFT(AN16,6))),MID(AN16,7,1)=" "),LEFT(AN16,6),AN16),"")</f>
        <v/>
      </c>
    </row>
    <row r="17" customFormat="false" ht="15" hidden="false" customHeight="false" outlineLevel="0" collapsed="false">
      <c r="D17" s="36" t="str">
        <f aca="false">TRIM(A17)</f>
        <v/>
      </c>
      <c r="E17" s="36" t="str">
        <f aca="false">IF(D17="Revenue","Revenue",IF(D17="Cost of Goods Sold","COGS",IF(D17="Expenditures","Expense",IF(D17="Other Revenue","Other Revenue",IF(D17="Other Expenditures","Other Expense",E16)))))</f>
        <v/>
      </c>
      <c r="F17" s="36" t="str">
        <f aca="false">IF(OR(D17="Revenue",D17="Cost of Goods Sold",D17="Expenditures",D17="Other Revenue",D17="Other Expenditures"),E17,IF(AND(LEN(D17)&gt;2,MID(D17,2,1)=" ",ISNUMBER(VALUE(LEFT(D17,1)))),D17,F16))</f>
        <v/>
      </c>
      <c r="G17" s="36" t="n">
        <f aca="false">IF(AND(D17&lt;&gt;"",ISNUMBER(B17),LEFT(D17,9)&lt;&gt;"Total for",D17&lt;&gt;"Gross Profit",D17&lt;&gt;"Net Operating Revenue",D17&lt;&gt;"Net Other Revenue",D17&lt;&gt;"Net Revenue"),1,0)</f>
        <v>0</v>
      </c>
      <c r="H17" s="36" t="str">
        <f aca="false">IF(G17=1,IF(AND(LEN(D17)&gt;7,ISNUMBER(VALUE(LEFT(D17,6))),MID(D17,7,1)=" "),LEFT(D17,6),D17),"")</f>
        <v/>
      </c>
      <c r="M17" s="36" t="str">
        <f aca="false">TRIM(J17)</f>
        <v/>
      </c>
      <c r="N17" s="36" t="str">
        <f aca="false">IF(M17="Revenue","Revenue",IF(M17="Cost of Goods Sold","COGS",IF(M17="Expenditures","Expense",IF(M17="Other Revenue","Other Revenue",IF(M17="Other Expenditures","Other Expense",N16)))))</f>
        <v/>
      </c>
      <c r="O17" s="36" t="str">
        <f aca="false">IF(OR(M17="Revenue",M17="Cost of Goods Sold",M17="Expenditures",M17="Other Revenue",M17="Other Expenditures"),N17,IF(AND(LEN(M17)&gt;2,MID(M17,2,1)=" ",ISNUMBER(VALUE(LEFT(M17,1)))),M17,O16))</f>
        <v/>
      </c>
      <c r="P17" s="36" t="n">
        <f aca="false">IF(AND(M17&lt;&gt;"",ISNUMBER(K17),LEFT(M17,9)&lt;&gt;"Total for",M17&lt;&gt;"Gross Profit",M17&lt;&gt;"Net Operating Revenue",M17&lt;&gt;"Net Other Revenue",M17&lt;&gt;"Net Revenue"),1,0)</f>
        <v>0</v>
      </c>
      <c r="Q17" s="36" t="str">
        <f aca="false">IF(P17=1,IF(AND(LEN(M17)&gt;7,ISNUMBER(VALUE(LEFT(M17,6))),MID(M17,7,1)=" "),LEFT(M17,6),M17),"")</f>
        <v/>
      </c>
      <c r="V17" s="36" t="str">
        <f aca="false">TRIM(S17)</f>
        <v/>
      </c>
      <c r="W17" s="36" t="str">
        <f aca="false">IF(V17="Revenue","Revenue",IF(V17="Cost of Goods Sold","COGS",IF(V17="Expenditures","Expense",IF(V17="Other Revenue","Other Revenue",IF(V17="Other Expenditures","Other Expense",W16)))))</f>
        <v/>
      </c>
      <c r="X17" s="36" t="str">
        <f aca="false">IF(OR(V17="Revenue",V17="Cost of Goods Sold",V17="Expenditures",V17="Other Revenue",V17="Other Expenditures"),W17,IF(AND(LEN(V17)&gt;2,MID(V17,2,1)=" ",ISNUMBER(VALUE(LEFT(V17,1)))),V17,X16))</f>
        <v/>
      </c>
      <c r="Y17" s="36" t="n">
        <f aca="false">IF(AND(V17&lt;&gt;"",ISNUMBER(T17),LEFT(V17,9)&lt;&gt;"Total for",V17&lt;&gt;"Gross Profit",V17&lt;&gt;"Net Operating Revenue",V17&lt;&gt;"Net Other Revenue",V17&lt;&gt;"Net Revenue"),1,0)</f>
        <v>0</v>
      </c>
      <c r="Z17" s="36" t="str">
        <f aca="false">IF(Y17=1,IF(AND(LEN(V17)&gt;7,ISNUMBER(VALUE(LEFT(V17,6))),MID(V17,7,1)=" "),LEFT(V17,6),V17),"")</f>
        <v/>
      </c>
      <c r="AE17" s="36" t="str">
        <f aca="false">TRIM(AB17)</f>
        <v/>
      </c>
      <c r="AF17" s="36" t="str">
        <f aca="false">IF(AE17="Revenue","Revenue",IF(AE17="Cost of Goods Sold","COGS",IF(AE17="Expenditures","Expense",IF(AE17="Other Revenue","Other Revenue",IF(AE17="Other Expenditures","Other Expense",AF16)))))</f>
        <v/>
      </c>
      <c r="AG17" s="36" t="str">
        <f aca="false">IF(OR(AE17="Revenue",AE17="Cost of Goods Sold",AE17="Expenditures",AE17="Other Revenue",AE17="Other Expenditures"),AF17,IF(AND(LEN(AE17)&gt;2,MID(AE17,2,1)=" ",ISNUMBER(VALUE(LEFT(AE17,1)))),AE17,AG16))</f>
        <v/>
      </c>
      <c r="AH17" s="36" t="n">
        <f aca="false">IF(AND(AE17&lt;&gt;"",ISNUMBER(AC17),LEFT(AE17,9)&lt;&gt;"Total for",AE17&lt;&gt;"Gross Profit",AE17&lt;&gt;"Net Operating Revenue",AE17&lt;&gt;"Net Other Revenue",AE17&lt;&gt;"Net Revenue"),1,0)</f>
        <v>0</v>
      </c>
      <c r="AI17" s="36" t="str">
        <f aca="false">IF(AH17=1,IF(AND(LEN(AE17)&gt;7,ISNUMBER(VALUE(LEFT(AE17,6))),MID(AE17,7,1)=" "),LEFT(AE17,6),AE17),"")</f>
        <v/>
      </c>
      <c r="AN17" s="36" t="str">
        <f aca="false">TRIM(AK17)</f>
        <v/>
      </c>
      <c r="AO17" s="36" t="str">
        <f aca="false">IF(AN17="Revenue","Revenue",IF(AN17="Cost of Goods Sold","COGS",IF(AN17="Expenditures","Expense",IF(AN17="Other Revenue","Other Revenue",IF(AN17="Other Expenditures","Other Expense",AO16)))))</f>
        <v/>
      </c>
      <c r="AP17" s="36" t="str">
        <f aca="false">IF(OR(AN17="Revenue",AN17="Cost of Goods Sold",AN17="Expenditures",AN17="Other Revenue",AN17="Other Expenditures"),AO17,IF(AND(LEN(AN17)&gt;2,MID(AN17,2,1)=" ",ISNUMBER(VALUE(LEFT(AN17,1)))),AN17,AP16))</f>
        <v/>
      </c>
      <c r="AQ17" s="36" t="n">
        <f aca="false">IF(AND(AN17&lt;&gt;"",ISNUMBER(AL17),LEFT(AN17,9)&lt;&gt;"Total for",AN17&lt;&gt;"Gross Profit",AN17&lt;&gt;"Net Operating Revenue",AN17&lt;&gt;"Net Other Revenue",AN17&lt;&gt;"Net Revenue"),1,0)</f>
        <v>0</v>
      </c>
      <c r="AR17" s="36" t="str">
        <f aca="false">IF(AQ17=1,IF(AND(LEN(AN17)&gt;7,ISNUMBER(VALUE(LEFT(AN17,6))),MID(AN17,7,1)=" "),LEFT(AN17,6),AN17),"")</f>
        <v/>
      </c>
    </row>
    <row r="18" customFormat="false" ht="15" hidden="false" customHeight="false" outlineLevel="0" collapsed="false">
      <c r="D18" s="36" t="str">
        <f aca="false">TRIM(A18)</f>
        <v/>
      </c>
      <c r="E18" s="36" t="str">
        <f aca="false">IF(D18="Revenue","Revenue",IF(D18="Cost of Goods Sold","COGS",IF(D18="Expenditures","Expense",IF(D18="Other Revenue","Other Revenue",IF(D18="Other Expenditures","Other Expense",E17)))))</f>
        <v/>
      </c>
      <c r="F18" s="36" t="str">
        <f aca="false">IF(OR(D18="Revenue",D18="Cost of Goods Sold",D18="Expenditures",D18="Other Revenue",D18="Other Expenditures"),E18,IF(AND(LEN(D18)&gt;2,MID(D18,2,1)=" ",ISNUMBER(VALUE(LEFT(D18,1)))),D18,F17))</f>
        <v/>
      </c>
      <c r="G18" s="36" t="n">
        <f aca="false">IF(AND(D18&lt;&gt;"",ISNUMBER(B18),LEFT(D18,9)&lt;&gt;"Total for",D18&lt;&gt;"Gross Profit",D18&lt;&gt;"Net Operating Revenue",D18&lt;&gt;"Net Other Revenue",D18&lt;&gt;"Net Revenue"),1,0)</f>
        <v>0</v>
      </c>
      <c r="H18" s="36" t="str">
        <f aca="false">IF(G18=1,IF(AND(LEN(D18)&gt;7,ISNUMBER(VALUE(LEFT(D18,6))),MID(D18,7,1)=" "),LEFT(D18,6),D18),"")</f>
        <v/>
      </c>
      <c r="M18" s="36" t="str">
        <f aca="false">TRIM(J18)</f>
        <v/>
      </c>
      <c r="N18" s="36" t="str">
        <f aca="false">IF(M18="Revenue","Revenue",IF(M18="Cost of Goods Sold","COGS",IF(M18="Expenditures","Expense",IF(M18="Other Revenue","Other Revenue",IF(M18="Other Expenditures","Other Expense",N17)))))</f>
        <v/>
      </c>
      <c r="O18" s="36" t="str">
        <f aca="false">IF(OR(M18="Revenue",M18="Cost of Goods Sold",M18="Expenditures",M18="Other Revenue",M18="Other Expenditures"),N18,IF(AND(LEN(M18)&gt;2,MID(M18,2,1)=" ",ISNUMBER(VALUE(LEFT(M18,1)))),M18,O17))</f>
        <v/>
      </c>
      <c r="P18" s="36" t="n">
        <f aca="false">IF(AND(M18&lt;&gt;"",ISNUMBER(K18),LEFT(M18,9)&lt;&gt;"Total for",M18&lt;&gt;"Gross Profit",M18&lt;&gt;"Net Operating Revenue",M18&lt;&gt;"Net Other Revenue",M18&lt;&gt;"Net Revenue"),1,0)</f>
        <v>0</v>
      </c>
      <c r="Q18" s="36" t="str">
        <f aca="false">IF(P18=1,IF(AND(LEN(M18)&gt;7,ISNUMBER(VALUE(LEFT(M18,6))),MID(M18,7,1)=" "),LEFT(M18,6),M18),"")</f>
        <v/>
      </c>
      <c r="V18" s="36" t="str">
        <f aca="false">TRIM(S18)</f>
        <v/>
      </c>
      <c r="W18" s="36" t="str">
        <f aca="false">IF(V18="Revenue","Revenue",IF(V18="Cost of Goods Sold","COGS",IF(V18="Expenditures","Expense",IF(V18="Other Revenue","Other Revenue",IF(V18="Other Expenditures","Other Expense",W17)))))</f>
        <v/>
      </c>
      <c r="X18" s="36" t="str">
        <f aca="false">IF(OR(V18="Revenue",V18="Cost of Goods Sold",V18="Expenditures",V18="Other Revenue",V18="Other Expenditures"),W18,IF(AND(LEN(V18)&gt;2,MID(V18,2,1)=" ",ISNUMBER(VALUE(LEFT(V18,1)))),V18,X17))</f>
        <v/>
      </c>
      <c r="Y18" s="36" t="n">
        <f aca="false">IF(AND(V18&lt;&gt;"",ISNUMBER(T18),LEFT(V18,9)&lt;&gt;"Total for",V18&lt;&gt;"Gross Profit",V18&lt;&gt;"Net Operating Revenue",V18&lt;&gt;"Net Other Revenue",V18&lt;&gt;"Net Revenue"),1,0)</f>
        <v>0</v>
      </c>
      <c r="Z18" s="36" t="str">
        <f aca="false">IF(Y18=1,IF(AND(LEN(V18)&gt;7,ISNUMBER(VALUE(LEFT(V18,6))),MID(V18,7,1)=" "),LEFT(V18,6),V18),"")</f>
        <v/>
      </c>
      <c r="AE18" s="36" t="str">
        <f aca="false">TRIM(AB18)</f>
        <v/>
      </c>
      <c r="AF18" s="36" t="str">
        <f aca="false">IF(AE18="Revenue","Revenue",IF(AE18="Cost of Goods Sold","COGS",IF(AE18="Expenditures","Expense",IF(AE18="Other Revenue","Other Revenue",IF(AE18="Other Expenditures","Other Expense",AF17)))))</f>
        <v/>
      </c>
      <c r="AG18" s="36" t="str">
        <f aca="false">IF(OR(AE18="Revenue",AE18="Cost of Goods Sold",AE18="Expenditures",AE18="Other Revenue",AE18="Other Expenditures"),AF18,IF(AND(LEN(AE18)&gt;2,MID(AE18,2,1)=" ",ISNUMBER(VALUE(LEFT(AE18,1)))),AE18,AG17))</f>
        <v/>
      </c>
      <c r="AH18" s="36" t="n">
        <f aca="false">IF(AND(AE18&lt;&gt;"",ISNUMBER(AC18),LEFT(AE18,9)&lt;&gt;"Total for",AE18&lt;&gt;"Gross Profit",AE18&lt;&gt;"Net Operating Revenue",AE18&lt;&gt;"Net Other Revenue",AE18&lt;&gt;"Net Revenue"),1,0)</f>
        <v>0</v>
      </c>
      <c r="AI18" s="36" t="str">
        <f aca="false">IF(AH18=1,IF(AND(LEN(AE18)&gt;7,ISNUMBER(VALUE(LEFT(AE18,6))),MID(AE18,7,1)=" "),LEFT(AE18,6),AE18),"")</f>
        <v/>
      </c>
      <c r="AN18" s="36" t="str">
        <f aca="false">TRIM(AK18)</f>
        <v/>
      </c>
      <c r="AO18" s="36" t="str">
        <f aca="false">IF(AN18="Revenue","Revenue",IF(AN18="Cost of Goods Sold","COGS",IF(AN18="Expenditures","Expense",IF(AN18="Other Revenue","Other Revenue",IF(AN18="Other Expenditures","Other Expense",AO17)))))</f>
        <v/>
      </c>
      <c r="AP18" s="36" t="str">
        <f aca="false">IF(OR(AN18="Revenue",AN18="Cost of Goods Sold",AN18="Expenditures",AN18="Other Revenue",AN18="Other Expenditures"),AO18,IF(AND(LEN(AN18)&gt;2,MID(AN18,2,1)=" ",ISNUMBER(VALUE(LEFT(AN18,1)))),AN18,AP17))</f>
        <v/>
      </c>
      <c r="AQ18" s="36" t="n">
        <f aca="false">IF(AND(AN18&lt;&gt;"",ISNUMBER(AL18),LEFT(AN18,9)&lt;&gt;"Total for",AN18&lt;&gt;"Gross Profit",AN18&lt;&gt;"Net Operating Revenue",AN18&lt;&gt;"Net Other Revenue",AN18&lt;&gt;"Net Revenue"),1,0)</f>
        <v>0</v>
      </c>
      <c r="AR18" s="36" t="str">
        <f aca="false">IF(AQ18=1,IF(AND(LEN(AN18)&gt;7,ISNUMBER(VALUE(LEFT(AN18,6))),MID(AN18,7,1)=" "),LEFT(AN18,6),AN18),"")</f>
        <v/>
      </c>
    </row>
    <row r="19" customFormat="false" ht="15" hidden="false" customHeight="false" outlineLevel="0" collapsed="false">
      <c r="D19" s="36" t="str">
        <f aca="false">TRIM(A19)</f>
        <v/>
      </c>
      <c r="E19" s="36" t="str">
        <f aca="false">IF(D19="Revenue","Revenue",IF(D19="Cost of Goods Sold","COGS",IF(D19="Expenditures","Expense",IF(D19="Other Revenue","Other Revenue",IF(D19="Other Expenditures","Other Expense",E18)))))</f>
        <v/>
      </c>
      <c r="F19" s="36" t="str">
        <f aca="false">IF(OR(D19="Revenue",D19="Cost of Goods Sold",D19="Expenditures",D19="Other Revenue",D19="Other Expenditures"),E19,IF(AND(LEN(D19)&gt;2,MID(D19,2,1)=" ",ISNUMBER(VALUE(LEFT(D19,1)))),D19,F18))</f>
        <v/>
      </c>
      <c r="G19" s="36" t="n">
        <f aca="false">IF(AND(D19&lt;&gt;"",ISNUMBER(B19),LEFT(D19,9)&lt;&gt;"Total for",D19&lt;&gt;"Gross Profit",D19&lt;&gt;"Net Operating Revenue",D19&lt;&gt;"Net Other Revenue",D19&lt;&gt;"Net Revenue"),1,0)</f>
        <v>0</v>
      </c>
      <c r="H19" s="36" t="str">
        <f aca="false">IF(G19=1,IF(AND(LEN(D19)&gt;7,ISNUMBER(VALUE(LEFT(D19,6))),MID(D19,7,1)=" "),LEFT(D19,6),D19),"")</f>
        <v/>
      </c>
      <c r="M19" s="36" t="str">
        <f aca="false">TRIM(J19)</f>
        <v/>
      </c>
      <c r="N19" s="36" t="str">
        <f aca="false">IF(M19="Revenue","Revenue",IF(M19="Cost of Goods Sold","COGS",IF(M19="Expenditures","Expense",IF(M19="Other Revenue","Other Revenue",IF(M19="Other Expenditures","Other Expense",N18)))))</f>
        <v/>
      </c>
      <c r="O19" s="36" t="str">
        <f aca="false">IF(OR(M19="Revenue",M19="Cost of Goods Sold",M19="Expenditures",M19="Other Revenue",M19="Other Expenditures"),N19,IF(AND(LEN(M19)&gt;2,MID(M19,2,1)=" ",ISNUMBER(VALUE(LEFT(M19,1)))),M19,O18))</f>
        <v/>
      </c>
      <c r="P19" s="36" t="n">
        <f aca="false">IF(AND(M19&lt;&gt;"",ISNUMBER(K19),LEFT(M19,9)&lt;&gt;"Total for",M19&lt;&gt;"Gross Profit",M19&lt;&gt;"Net Operating Revenue",M19&lt;&gt;"Net Other Revenue",M19&lt;&gt;"Net Revenue"),1,0)</f>
        <v>0</v>
      </c>
      <c r="Q19" s="36" t="str">
        <f aca="false">IF(P19=1,IF(AND(LEN(M19)&gt;7,ISNUMBER(VALUE(LEFT(M19,6))),MID(M19,7,1)=" "),LEFT(M19,6),M19),"")</f>
        <v/>
      </c>
      <c r="V19" s="36" t="str">
        <f aca="false">TRIM(S19)</f>
        <v/>
      </c>
      <c r="W19" s="36" t="str">
        <f aca="false">IF(V19="Revenue","Revenue",IF(V19="Cost of Goods Sold","COGS",IF(V19="Expenditures","Expense",IF(V19="Other Revenue","Other Revenue",IF(V19="Other Expenditures","Other Expense",W18)))))</f>
        <v/>
      </c>
      <c r="X19" s="36" t="str">
        <f aca="false">IF(OR(V19="Revenue",V19="Cost of Goods Sold",V19="Expenditures",V19="Other Revenue",V19="Other Expenditures"),W19,IF(AND(LEN(V19)&gt;2,MID(V19,2,1)=" ",ISNUMBER(VALUE(LEFT(V19,1)))),V19,X18))</f>
        <v/>
      </c>
      <c r="Y19" s="36" t="n">
        <f aca="false">IF(AND(V19&lt;&gt;"",ISNUMBER(T19),LEFT(V19,9)&lt;&gt;"Total for",V19&lt;&gt;"Gross Profit",V19&lt;&gt;"Net Operating Revenue",V19&lt;&gt;"Net Other Revenue",V19&lt;&gt;"Net Revenue"),1,0)</f>
        <v>0</v>
      </c>
      <c r="Z19" s="36" t="str">
        <f aca="false">IF(Y19=1,IF(AND(LEN(V19)&gt;7,ISNUMBER(VALUE(LEFT(V19,6))),MID(V19,7,1)=" "),LEFT(V19,6),V19),"")</f>
        <v/>
      </c>
      <c r="AE19" s="36" t="str">
        <f aca="false">TRIM(AB19)</f>
        <v/>
      </c>
      <c r="AF19" s="36" t="str">
        <f aca="false">IF(AE19="Revenue","Revenue",IF(AE19="Cost of Goods Sold","COGS",IF(AE19="Expenditures","Expense",IF(AE19="Other Revenue","Other Revenue",IF(AE19="Other Expenditures","Other Expense",AF18)))))</f>
        <v/>
      </c>
      <c r="AG19" s="36" t="str">
        <f aca="false">IF(OR(AE19="Revenue",AE19="Cost of Goods Sold",AE19="Expenditures",AE19="Other Revenue",AE19="Other Expenditures"),AF19,IF(AND(LEN(AE19)&gt;2,MID(AE19,2,1)=" ",ISNUMBER(VALUE(LEFT(AE19,1)))),AE19,AG18))</f>
        <v/>
      </c>
      <c r="AH19" s="36" t="n">
        <f aca="false">IF(AND(AE19&lt;&gt;"",ISNUMBER(AC19),LEFT(AE19,9)&lt;&gt;"Total for",AE19&lt;&gt;"Gross Profit",AE19&lt;&gt;"Net Operating Revenue",AE19&lt;&gt;"Net Other Revenue",AE19&lt;&gt;"Net Revenue"),1,0)</f>
        <v>0</v>
      </c>
      <c r="AI19" s="36" t="str">
        <f aca="false">IF(AH19=1,IF(AND(LEN(AE19)&gt;7,ISNUMBER(VALUE(LEFT(AE19,6))),MID(AE19,7,1)=" "),LEFT(AE19,6),AE19),"")</f>
        <v/>
      </c>
      <c r="AN19" s="36" t="str">
        <f aca="false">TRIM(AK19)</f>
        <v/>
      </c>
      <c r="AO19" s="36" t="str">
        <f aca="false">IF(AN19="Revenue","Revenue",IF(AN19="Cost of Goods Sold","COGS",IF(AN19="Expenditures","Expense",IF(AN19="Other Revenue","Other Revenue",IF(AN19="Other Expenditures","Other Expense",AO18)))))</f>
        <v/>
      </c>
      <c r="AP19" s="36" t="str">
        <f aca="false">IF(OR(AN19="Revenue",AN19="Cost of Goods Sold",AN19="Expenditures",AN19="Other Revenue",AN19="Other Expenditures"),AO19,IF(AND(LEN(AN19)&gt;2,MID(AN19,2,1)=" ",ISNUMBER(VALUE(LEFT(AN19,1)))),AN19,AP18))</f>
        <v/>
      </c>
      <c r="AQ19" s="36" t="n">
        <f aca="false">IF(AND(AN19&lt;&gt;"",ISNUMBER(AL19),LEFT(AN19,9)&lt;&gt;"Total for",AN19&lt;&gt;"Gross Profit",AN19&lt;&gt;"Net Operating Revenue",AN19&lt;&gt;"Net Other Revenue",AN19&lt;&gt;"Net Revenue"),1,0)</f>
        <v>0</v>
      </c>
      <c r="AR19" s="36" t="str">
        <f aca="false">IF(AQ19=1,IF(AND(LEN(AN19)&gt;7,ISNUMBER(VALUE(LEFT(AN19,6))),MID(AN19,7,1)=" "),LEFT(AN19,6),AN19),"")</f>
        <v/>
      </c>
    </row>
    <row r="20" customFormat="false" ht="15" hidden="false" customHeight="false" outlineLevel="0" collapsed="false">
      <c r="D20" s="36" t="str">
        <f aca="false">TRIM(A20)</f>
        <v/>
      </c>
      <c r="E20" s="36" t="str">
        <f aca="false">IF(D20="Revenue","Revenue",IF(D20="Cost of Goods Sold","COGS",IF(D20="Expenditures","Expense",IF(D20="Other Revenue","Other Revenue",IF(D20="Other Expenditures","Other Expense",E19)))))</f>
        <v/>
      </c>
      <c r="F20" s="36" t="str">
        <f aca="false">IF(OR(D20="Revenue",D20="Cost of Goods Sold",D20="Expenditures",D20="Other Revenue",D20="Other Expenditures"),E20,IF(AND(LEN(D20)&gt;2,MID(D20,2,1)=" ",ISNUMBER(VALUE(LEFT(D20,1)))),D20,F19))</f>
        <v/>
      </c>
      <c r="G20" s="36" t="n">
        <f aca="false">IF(AND(D20&lt;&gt;"",ISNUMBER(B20),LEFT(D20,9)&lt;&gt;"Total for",D20&lt;&gt;"Gross Profit",D20&lt;&gt;"Net Operating Revenue",D20&lt;&gt;"Net Other Revenue",D20&lt;&gt;"Net Revenue"),1,0)</f>
        <v>0</v>
      </c>
      <c r="H20" s="36" t="str">
        <f aca="false">IF(G20=1,IF(AND(LEN(D20)&gt;7,ISNUMBER(VALUE(LEFT(D20,6))),MID(D20,7,1)=" "),LEFT(D20,6),D20),"")</f>
        <v/>
      </c>
      <c r="M20" s="36" t="str">
        <f aca="false">TRIM(J20)</f>
        <v/>
      </c>
      <c r="N20" s="36" t="str">
        <f aca="false">IF(M20="Revenue","Revenue",IF(M20="Cost of Goods Sold","COGS",IF(M20="Expenditures","Expense",IF(M20="Other Revenue","Other Revenue",IF(M20="Other Expenditures","Other Expense",N19)))))</f>
        <v/>
      </c>
      <c r="O20" s="36" t="str">
        <f aca="false">IF(OR(M20="Revenue",M20="Cost of Goods Sold",M20="Expenditures",M20="Other Revenue",M20="Other Expenditures"),N20,IF(AND(LEN(M20)&gt;2,MID(M20,2,1)=" ",ISNUMBER(VALUE(LEFT(M20,1)))),M20,O19))</f>
        <v/>
      </c>
      <c r="P20" s="36" t="n">
        <f aca="false">IF(AND(M20&lt;&gt;"",ISNUMBER(K20),LEFT(M20,9)&lt;&gt;"Total for",M20&lt;&gt;"Gross Profit",M20&lt;&gt;"Net Operating Revenue",M20&lt;&gt;"Net Other Revenue",M20&lt;&gt;"Net Revenue"),1,0)</f>
        <v>0</v>
      </c>
      <c r="Q20" s="36" t="str">
        <f aca="false">IF(P20=1,IF(AND(LEN(M20)&gt;7,ISNUMBER(VALUE(LEFT(M20,6))),MID(M20,7,1)=" "),LEFT(M20,6),M20),"")</f>
        <v/>
      </c>
      <c r="V20" s="36" t="str">
        <f aca="false">TRIM(S20)</f>
        <v/>
      </c>
      <c r="W20" s="36" t="str">
        <f aca="false">IF(V20="Revenue","Revenue",IF(V20="Cost of Goods Sold","COGS",IF(V20="Expenditures","Expense",IF(V20="Other Revenue","Other Revenue",IF(V20="Other Expenditures","Other Expense",W19)))))</f>
        <v/>
      </c>
      <c r="X20" s="36" t="str">
        <f aca="false">IF(OR(V20="Revenue",V20="Cost of Goods Sold",V20="Expenditures",V20="Other Revenue",V20="Other Expenditures"),W20,IF(AND(LEN(V20)&gt;2,MID(V20,2,1)=" ",ISNUMBER(VALUE(LEFT(V20,1)))),V20,X19))</f>
        <v/>
      </c>
      <c r="Y20" s="36" t="n">
        <f aca="false">IF(AND(V20&lt;&gt;"",ISNUMBER(T20),LEFT(V20,9)&lt;&gt;"Total for",V20&lt;&gt;"Gross Profit",V20&lt;&gt;"Net Operating Revenue",V20&lt;&gt;"Net Other Revenue",V20&lt;&gt;"Net Revenue"),1,0)</f>
        <v>0</v>
      </c>
      <c r="Z20" s="36" t="str">
        <f aca="false">IF(Y20=1,IF(AND(LEN(V20)&gt;7,ISNUMBER(VALUE(LEFT(V20,6))),MID(V20,7,1)=" "),LEFT(V20,6),V20),"")</f>
        <v/>
      </c>
      <c r="AE20" s="36" t="str">
        <f aca="false">TRIM(AB20)</f>
        <v/>
      </c>
      <c r="AF20" s="36" t="str">
        <f aca="false">IF(AE20="Revenue","Revenue",IF(AE20="Cost of Goods Sold","COGS",IF(AE20="Expenditures","Expense",IF(AE20="Other Revenue","Other Revenue",IF(AE20="Other Expenditures","Other Expense",AF19)))))</f>
        <v/>
      </c>
      <c r="AG20" s="36" t="str">
        <f aca="false">IF(OR(AE20="Revenue",AE20="Cost of Goods Sold",AE20="Expenditures",AE20="Other Revenue",AE20="Other Expenditures"),AF20,IF(AND(LEN(AE20)&gt;2,MID(AE20,2,1)=" ",ISNUMBER(VALUE(LEFT(AE20,1)))),AE20,AG19))</f>
        <v/>
      </c>
      <c r="AH20" s="36" t="n">
        <f aca="false">IF(AND(AE20&lt;&gt;"",ISNUMBER(AC20),LEFT(AE20,9)&lt;&gt;"Total for",AE20&lt;&gt;"Gross Profit",AE20&lt;&gt;"Net Operating Revenue",AE20&lt;&gt;"Net Other Revenue",AE20&lt;&gt;"Net Revenue"),1,0)</f>
        <v>0</v>
      </c>
      <c r="AI20" s="36" t="str">
        <f aca="false">IF(AH20=1,IF(AND(LEN(AE20)&gt;7,ISNUMBER(VALUE(LEFT(AE20,6))),MID(AE20,7,1)=" "),LEFT(AE20,6),AE20),"")</f>
        <v/>
      </c>
      <c r="AN20" s="36" t="str">
        <f aca="false">TRIM(AK20)</f>
        <v/>
      </c>
      <c r="AO20" s="36" t="str">
        <f aca="false">IF(AN20="Revenue","Revenue",IF(AN20="Cost of Goods Sold","COGS",IF(AN20="Expenditures","Expense",IF(AN20="Other Revenue","Other Revenue",IF(AN20="Other Expenditures","Other Expense",AO19)))))</f>
        <v/>
      </c>
      <c r="AP20" s="36" t="str">
        <f aca="false">IF(OR(AN20="Revenue",AN20="Cost of Goods Sold",AN20="Expenditures",AN20="Other Revenue",AN20="Other Expenditures"),AO20,IF(AND(LEN(AN20)&gt;2,MID(AN20,2,1)=" ",ISNUMBER(VALUE(LEFT(AN20,1)))),AN20,AP19))</f>
        <v/>
      </c>
      <c r="AQ20" s="36" t="n">
        <f aca="false">IF(AND(AN20&lt;&gt;"",ISNUMBER(AL20),LEFT(AN20,9)&lt;&gt;"Total for",AN20&lt;&gt;"Gross Profit",AN20&lt;&gt;"Net Operating Revenue",AN20&lt;&gt;"Net Other Revenue",AN20&lt;&gt;"Net Revenue"),1,0)</f>
        <v>0</v>
      </c>
      <c r="AR20" s="36" t="str">
        <f aca="false">IF(AQ20=1,IF(AND(LEN(AN20)&gt;7,ISNUMBER(VALUE(LEFT(AN20,6))),MID(AN20,7,1)=" "),LEFT(AN20,6),AN20),"")</f>
        <v/>
      </c>
    </row>
    <row r="21" customFormat="false" ht="15" hidden="false" customHeight="false" outlineLevel="0" collapsed="false">
      <c r="D21" s="36" t="str">
        <f aca="false">TRIM(A21)</f>
        <v/>
      </c>
      <c r="E21" s="36" t="str">
        <f aca="false">IF(D21="Revenue","Revenue",IF(D21="Cost of Goods Sold","COGS",IF(D21="Expenditures","Expense",IF(D21="Other Revenue","Other Revenue",IF(D21="Other Expenditures","Other Expense",E20)))))</f>
        <v/>
      </c>
      <c r="F21" s="36" t="str">
        <f aca="false">IF(OR(D21="Revenue",D21="Cost of Goods Sold",D21="Expenditures",D21="Other Revenue",D21="Other Expenditures"),E21,IF(AND(LEN(D21)&gt;2,MID(D21,2,1)=" ",ISNUMBER(VALUE(LEFT(D21,1)))),D21,F20))</f>
        <v/>
      </c>
      <c r="G21" s="36" t="n">
        <f aca="false">IF(AND(D21&lt;&gt;"",ISNUMBER(B21),LEFT(D21,9)&lt;&gt;"Total for",D21&lt;&gt;"Gross Profit",D21&lt;&gt;"Net Operating Revenue",D21&lt;&gt;"Net Other Revenue",D21&lt;&gt;"Net Revenue"),1,0)</f>
        <v>0</v>
      </c>
      <c r="H21" s="36" t="str">
        <f aca="false">IF(G21=1,IF(AND(LEN(D21)&gt;7,ISNUMBER(VALUE(LEFT(D21,6))),MID(D21,7,1)=" "),LEFT(D21,6),D21),"")</f>
        <v/>
      </c>
      <c r="M21" s="36" t="str">
        <f aca="false">TRIM(J21)</f>
        <v/>
      </c>
      <c r="N21" s="36" t="str">
        <f aca="false">IF(M21="Revenue","Revenue",IF(M21="Cost of Goods Sold","COGS",IF(M21="Expenditures","Expense",IF(M21="Other Revenue","Other Revenue",IF(M21="Other Expenditures","Other Expense",N20)))))</f>
        <v/>
      </c>
      <c r="O21" s="36" t="str">
        <f aca="false">IF(OR(M21="Revenue",M21="Cost of Goods Sold",M21="Expenditures",M21="Other Revenue",M21="Other Expenditures"),N21,IF(AND(LEN(M21)&gt;2,MID(M21,2,1)=" ",ISNUMBER(VALUE(LEFT(M21,1)))),M21,O20))</f>
        <v/>
      </c>
      <c r="P21" s="36" t="n">
        <f aca="false">IF(AND(M21&lt;&gt;"",ISNUMBER(K21),LEFT(M21,9)&lt;&gt;"Total for",M21&lt;&gt;"Gross Profit",M21&lt;&gt;"Net Operating Revenue",M21&lt;&gt;"Net Other Revenue",M21&lt;&gt;"Net Revenue"),1,0)</f>
        <v>0</v>
      </c>
      <c r="Q21" s="36" t="str">
        <f aca="false">IF(P21=1,IF(AND(LEN(M21)&gt;7,ISNUMBER(VALUE(LEFT(M21,6))),MID(M21,7,1)=" "),LEFT(M21,6),M21),"")</f>
        <v/>
      </c>
      <c r="V21" s="36" t="str">
        <f aca="false">TRIM(S21)</f>
        <v/>
      </c>
      <c r="W21" s="36" t="str">
        <f aca="false">IF(V21="Revenue","Revenue",IF(V21="Cost of Goods Sold","COGS",IF(V21="Expenditures","Expense",IF(V21="Other Revenue","Other Revenue",IF(V21="Other Expenditures","Other Expense",W20)))))</f>
        <v/>
      </c>
      <c r="X21" s="36" t="str">
        <f aca="false">IF(OR(V21="Revenue",V21="Cost of Goods Sold",V21="Expenditures",V21="Other Revenue",V21="Other Expenditures"),W21,IF(AND(LEN(V21)&gt;2,MID(V21,2,1)=" ",ISNUMBER(VALUE(LEFT(V21,1)))),V21,X20))</f>
        <v/>
      </c>
      <c r="Y21" s="36" t="n">
        <f aca="false">IF(AND(V21&lt;&gt;"",ISNUMBER(T21),LEFT(V21,9)&lt;&gt;"Total for",V21&lt;&gt;"Gross Profit",V21&lt;&gt;"Net Operating Revenue",V21&lt;&gt;"Net Other Revenue",V21&lt;&gt;"Net Revenue"),1,0)</f>
        <v>0</v>
      </c>
      <c r="Z21" s="36" t="str">
        <f aca="false">IF(Y21=1,IF(AND(LEN(V21)&gt;7,ISNUMBER(VALUE(LEFT(V21,6))),MID(V21,7,1)=" "),LEFT(V21,6),V21),"")</f>
        <v/>
      </c>
      <c r="AE21" s="36" t="str">
        <f aca="false">TRIM(AB21)</f>
        <v/>
      </c>
      <c r="AF21" s="36" t="str">
        <f aca="false">IF(AE21="Revenue","Revenue",IF(AE21="Cost of Goods Sold","COGS",IF(AE21="Expenditures","Expense",IF(AE21="Other Revenue","Other Revenue",IF(AE21="Other Expenditures","Other Expense",AF20)))))</f>
        <v/>
      </c>
      <c r="AG21" s="36" t="str">
        <f aca="false">IF(OR(AE21="Revenue",AE21="Cost of Goods Sold",AE21="Expenditures",AE21="Other Revenue",AE21="Other Expenditures"),AF21,IF(AND(LEN(AE21)&gt;2,MID(AE21,2,1)=" ",ISNUMBER(VALUE(LEFT(AE21,1)))),AE21,AG20))</f>
        <v/>
      </c>
      <c r="AH21" s="36" t="n">
        <f aca="false">IF(AND(AE21&lt;&gt;"",ISNUMBER(AC21),LEFT(AE21,9)&lt;&gt;"Total for",AE21&lt;&gt;"Gross Profit",AE21&lt;&gt;"Net Operating Revenue",AE21&lt;&gt;"Net Other Revenue",AE21&lt;&gt;"Net Revenue"),1,0)</f>
        <v>0</v>
      </c>
      <c r="AI21" s="36" t="str">
        <f aca="false">IF(AH21=1,IF(AND(LEN(AE21)&gt;7,ISNUMBER(VALUE(LEFT(AE21,6))),MID(AE21,7,1)=" "),LEFT(AE21,6),AE21),"")</f>
        <v/>
      </c>
      <c r="AN21" s="36" t="str">
        <f aca="false">TRIM(AK21)</f>
        <v/>
      </c>
      <c r="AO21" s="36" t="str">
        <f aca="false">IF(AN21="Revenue","Revenue",IF(AN21="Cost of Goods Sold","COGS",IF(AN21="Expenditures","Expense",IF(AN21="Other Revenue","Other Revenue",IF(AN21="Other Expenditures","Other Expense",AO20)))))</f>
        <v/>
      </c>
      <c r="AP21" s="36" t="str">
        <f aca="false">IF(OR(AN21="Revenue",AN21="Cost of Goods Sold",AN21="Expenditures",AN21="Other Revenue",AN21="Other Expenditures"),AO21,IF(AND(LEN(AN21)&gt;2,MID(AN21,2,1)=" ",ISNUMBER(VALUE(LEFT(AN21,1)))),AN21,AP20))</f>
        <v/>
      </c>
      <c r="AQ21" s="36" t="n">
        <f aca="false">IF(AND(AN21&lt;&gt;"",ISNUMBER(AL21),LEFT(AN21,9)&lt;&gt;"Total for",AN21&lt;&gt;"Gross Profit",AN21&lt;&gt;"Net Operating Revenue",AN21&lt;&gt;"Net Other Revenue",AN21&lt;&gt;"Net Revenue"),1,0)</f>
        <v>0</v>
      </c>
      <c r="AR21" s="36" t="str">
        <f aca="false">IF(AQ21=1,IF(AND(LEN(AN21)&gt;7,ISNUMBER(VALUE(LEFT(AN21,6))),MID(AN21,7,1)=" "),LEFT(AN21,6),AN21),"")</f>
        <v/>
      </c>
    </row>
    <row r="22" customFormat="false" ht="15" hidden="false" customHeight="false" outlineLevel="0" collapsed="false">
      <c r="D22" s="36" t="str">
        <f aca="false">TRIM(A22)</f>
        <v/>
      </c>
      <c r="E22" s="36" t="str">
        <f aca="false">IF(D22="Revenue","Revenue",IF(D22="Cost of Goods Sold","COGS",IF(D22="Expenditures","Expense",IF(D22="Other Revenue","Other Revenue",IF(D22="Other Expenditures","Other Expense",E21)))))</f>
        <v/>
      </c>
      <c r="F22" s="36" t="str">
        <f aca="false">IF(OR(D22="Revenue",D22="Cost of Goods Sold",D22="Expenditures",D22="Other Revenue",D22="Other Expenditures"),E22,IF(AND(LEN(D22)&gt;2,MID(D22,2,1)=" ",ISNUMBER(VALUE(LEFT(D22,1)))),D22,F21))</f>
        <v/>
      </c>
      <c r="G22" s="36" t="n">
        <f aca="false">IF(AND(D22&lt;&gt;"",ISNUMBER(B22),LEFT(D22,9)&lt;&gt;"Total for",D22&lt;&gt;"Gross Profit",D22&lt;&gt;"Net Operating Revenue",D22&lt;&gt;"Net Other Revenue",D22&lt;&gt;"Net Revenue"),1,0)</f>
        <v>0</v>
      </c>
      <c r="H22" s="36" t="str">
        <f aca="false">IF(G22=1,IF(AND(LEN(D22)&gt;7,ISNUMBER(VALUE(LEFT(D22,6))),MID(D22,7,1)=" "),LEFT(D22,6),D22),"")</f>
        <v/>
      </c>
      <c r="M22" s="36" t="str">
        <f aca="false">TRIM(J22)</f>
        <v/>
      </c>
      <c r="N22" s="36" t="str">
        <f aca="false">IF(M22="Revenue","Revenue",IF(M22="Cost of Goods Sold","COGS",IF(M22="Expenditures","Expense",IF(M22="Other Revenue","Other Revenue",IF(M22="Other Expenditures","Other Expense",N21)))))</f>
        <v/>
      </c>
      <c r="O22" s="36" t="str">
        <f aca="false">IF(OR(M22="Revenue",M22="Cost of Goods Sold",M22="Expenditures",M22="Other Revenue",M22="Other Expenditures"),N22,IF(AND(LEN(M22)&gt;2,MID(M22,2,1)=" ",ISNUMBER(VALUE(LEFT(M22,1)))),M22,O21))</f>
        <v/>
      </c>
      <c r="P22" s="36" t="n">
        <f aca="false">IF(AND(M22&lt;&gt;"",ISNUMBER(K22),LEFT(M22,9)&lt;&gt;"Total for",M22&lt;&gt;"Gross Profit",M22&lt;&gt;"Net Operating Revenue",M22&lt;&gt;"Net Other Revenue",M22&lt;&gt;"Net Revenue"),1,0)</f>
        <v>0</v>
      </c>
      <c r="Q22" s="36" t="str">
        <f aca="false">IF(P22=1,IF(AND(LEN(M22)&gt;7,ISNUMBER(VALUE(LEFT(M22,6))),MID(M22,7,1)=" "),LEFT(M22,6),M22),"")</f>
        <v/>
      </c>
      <c r="V22" s="36" t="str">
        <f aca="false">TRIM(S22)</f>
        <v/>
      </c>
      <c r="W22" s="36" t="str">
        <f aca="false">IF(V22="Revenue","Revenue",IF(V22="Cost of Goods Sold","COGS",IF(V22="Expenditures","Expense",IF(V22="Other Revenue","Other Revenue",IF(V22="Other Expenditures","Other Expense",W21)))))</f>
        <v/>
      </c>
      <c r="X22" s="36" t="str">
        <f aca="false">IF(OR(V22="Revenue",V22="Cost of Goods Sold",V22="Expenditures",V22="Other Revenue",V22="Other Expenditures"),W22,IF(AND(LEN(V22)&gt;2,MID(V22,2,1)=" ",ISNUMBER(VALUE(LEFT(V22,1)))),V22,X21))</f>
        <v/>
      </c>
      <c r="Y22" s="36" t="n">
        <f aca="false">IF(AND(V22&lt;&gt;"",ISNUMBER(T22),LEFT(V22,9)&lt;&gt;"Total for",V22&lt;&gt;"Gross Profit",V22&lt;&gt;"Net Operating Revenue",V22&lt;&gt;"Net Other Revenue",V22&lt;&gt;"Net Revenue"),1,0)</f>
        <v>0</v>
      </c>
      <c r="Z22" s="36" t="str">
        <f aca="false">IF(Y22=1,IF(AND(LEN(V22)&gt;7,ISNUMBER(VALUE(LEFT(V22,6))),MID(V22,7,1)=" "),LEFT(V22,6),V22),"")</f>
        <v/>
      </c>
      <c r="AE22" s="36" t="str">
        <f aca="false">TRIM(AB22)</f>
        <v/>
      </c>
      <c r="AF22" s="36" t="str">
        <f aca="false">IF(AE22="Revenue","Revenue",IF(AE22="Cost of Goods Sold","COGS",IF(AE22="Expenditures","Expense",IF(AE22="Other Revenue","Other Revenue",IF(AE22="Other Expenditures","Other Expense",AF21)))))</f>
        <v/>
      </c>
      <c r="AG22" s="36" t="str">
        <f aca="false">IF(OR(AE22="Revenue",AE22="Cost of Goods Sold",AE22="Expenditures",AE22="Other Revenue",AE22="Other Expenditures"),AF22,IF(AND(LEN(AE22)&gt;2,MID(AE22,2,1)=" ",ISNUMBER(VALUE(LEFT(AE22,1)))),AE22,AG21))</f>
        <v/>
      </c>
      <c r="AH22" s="36" t="n">
        <f aca="false">IF(AND(AE22&lt;&gt;"",ISNUMBER(AC22),LEFT(AE22,9)&lt;&gt;"Total for",AE22&lt;&gt;"Gross Profit",AE22&lt;&gt;"Net Operating Revenue",AE22&lt;&gt;"Net Other Revenue",AE22&lt;&gt;"Net Revenue"),1,0)</f>
        <v>0</v>
      </c>
      <c r="AI22" s="36" t="str">
        <f aca="false">IF(AH22=1,IF(AND(LEN(AE22)&gt;7,ISNUMBER(VALUE(LEFT(AE22,6))),MID(AE22,7,1)=" "),LEFT(AE22,6),AE22),"")</f>
        <v/>
      </c>
      <c r="AN22" s="36" t="str">
        <f aca="false">TRIM(AK22)</f>
        <v/>
      </c>
      <c r="AO22" s="36" t="str">
        <f aca="false">IF(AN22="Revenue","Revenue",IF(AN22="Cost of Goods Sold","COGS",IF(AN22="Expenditures","Expense",IF(AN22="Other Revenue","Other Revenue",IF(AN22="Other Expenditures","Other Expense",AO21)))))</f>
        <v/>
      </c>
      <c r="AP22" s="36" t="str">
        <f aca="false">IF(OR(AN22="Revenue",AN22="Cost of Goods Sold",AN22="Expenditures",AN22="Other Revenue",AN22="Other Expenditures"),AO22,IF(AND(LEN(AN22)&gt;2,MID(AN22,2,1)=" ",ISNUMBER(VALUE(LEFT(AN22,1)))),AN22,AP21))</f>
        <v/>
      </c>
      <c r="AQ22" s="36" t="n">
        <f aca="false">IF(AND(AN22&lt;&gt;"",ISNUMBER(AL22),LEFT(AN22,9)&lt;&gt;"Total for",AN22&lt;&gt;"Gross Profit",AN22&lt;&gt;"Net Operating Revenue",AN22&lt;&gt;"Net Other Revenue",AN22&lt;&gt;"Net Revenue"),1,0)</f>
        <v>0</v>
      </c>
      <c r="AR22" s="36" t="str">
        <f aca="false">IF(AQ22=1,IF(AND(LEN(AN22)&gt;7,ISNUMBER(VALUE(LEFT(AN22,6))),MID(AN22,7,1)=" "),LEFT(AN22,6),AN22),"")</f>
        <v/>
      </c>
    </row>
    <row r="23" customFormat="false" ht="15" hidden="false" customHeight="false" outlineLevel="0" collapsed="false">
      <c r="D23" s="36" t="str">
        <f aca="false">TRIM(A23)</f>
        <v/>
      </c>
      <c r="E23" s="36" t="str">
        <f aca="false">IF(D23="Revenue","Revenue",IF(D23="Cost of Goods Sold","COGS",IF(D23="Expenditures","Expense",IF(D23="Other Revenue","Other Revenue",IF(D23="Other Expenditures","Other Expense",E22)))))</f>
        <v/>
      </c>
      <c r="F23" s="36" t="str">
        <f aca="false">IF(OR(D23="Revenue",D23="Cost of Goods Sold",D23="Expenditures",D23="Other Revenue",D23="Other Expenditures"),E23,IF(AND(LEN(D23)&gt;2,MID(D23,2,1)=" ",ISNUMBER(VALUE(LEFT(D23,1)))),D23,F22))</f>
        <v/>
      </c>
      <c r="G23" s="36" t="n">
        <f aca="false">IF(AND(D23&lt;&gt;"",ISNUMBER(B23),LEFT(D23,9)&lt;&gt;"Total for",D23&lt;&gt;"Gross Profit",D23&lt;&gt;"Net Operating Revenue",D23&lt;&gt;"Net Other Revenue",D23&lt;&gt;"Net Revenue"),1,0)</f>
        <v>0</v>
      </c>
      <c r="H23" s="36" t="str">
        <f aca="false">IF(G23=1,IF(AND(LEN(D23)&gt;7,ISNUMBER(VALUE(LEFT(D23,6))),MID(D23,7,1)=" "),LEFT(D23,6),D23),"")</f>
        <v/>
      </c>
      <c r="M23" s="36" t="str">
        <f aca="false">TRIM(J23)</f>
        <v/>
      </c>
      <c r="N23" s="36" t="str">
        <f aca="false">IF(M23="Revenue","Revenue",IF(M23="Cost of Goods Sold","COGS",IF(M23="Expenditures","Expense",IF(M23="Other Revenue","Other Revenue",IF(M23="Other Expenditures","Other Expense",N22)))))</f>
        <v/>
      </c>
      <c r="O23" s="36" t="str">
        <f aca="false">IF(OR(M23="Revenue",M23="Cost of Goods Sold",M23="Expenditures",M23="Other Revenue",M23="Other Expenditures"),N23,IF(AND(LEN(M23)&gt;2,MID(M23,2,1)=" ",ISNUMBER(VALUE(LEFT(M23,1)))),M23,O22))</f>
        <v/>
      </c>
      <c r="P23" s="36" t="n">
        <f aca="false">IF(AND(M23&lt;&gt;"",ISNUMBER(K23),LEFT(M23,9)&lt;&gt;"Total for",M23&lt;&gt;"Gross Profit",M23&lt;&gt;"Net Operating Revenue",M23&lt;&gt;"Net Other Revenue",M23&lt;&gt;"Net Revenue"),1,0)</f>
        <v>0</v>
      </c>
      <c r="Q23" s="36" t="str">
        <f aca="false">IF(P23=1,IF(AND(LEN(M23)&gt;7,ISNUMBER(VALUE(LEFT(M23,6))),MID(M23,7,1)=" "),LEFT(M23,6),M23),"")</f>
        <v/>
      </c>
      <c r="V23" s="36" t="str">
        <f aca="false">TRIM(S23)</f>
        <v/>
      </c>
      <c r="W23" s="36" t="str">
        <f aca="false">IF(V23="Revenue","Revenue",IF(V23="Cost of Goods Sold","COGS",IF(V23="Expenditures","Expense",IF(V23="Other Revenue","Other Revenue",IF(V23="Other Expenditures","Other Expense",W22)))))</f>
        <v/>
      </c>
      <c r="X23" s="36" t="str">
        <f aca="false">IF(OR(V23="Revenue",V23="Cost of Goods Sold",V23="Expenditures",V23="Other Revenue",V23="Other Expenditures"),W23,IF(AND(LEN(V23)&gt;2,MID(V23,2,1)=" ",ISNUMBER(VALUE(LEFT(V23,1)))),V23,X22))</f>
        <v/>
      </c>
      <c r="Y23" s="36" t="n">
        <f aca="false">IF(AND(V23&lt;&gt;"",ISNUMBER(T23),LEFT(V23,9)&lt;&gt;"Total for",V23&lt;&gt;"Gross Profit",V23&lt;&gt;"Net Operating Revenue",V23&lt;&gt;"Net Other Revenue",V23&lt;&gt;"Net Revenue"),1,0)</f>
        <v>0</v>
      </c>
      <c r="Z23" s="36" t="str">
        <f aca="false">IF(Y23=1,IF(AND(LEN(V23)&gt;7,ISNUMBER(VALUE(LEFT(V23,6))),MID(V23,7,1)=" "),LEFT(V23,6),V23),"")</f>
        <v/>
      </c>
      <c r="AE23" s="36" t="str">
        <f aca="false">TRIM(AB23)</f>
        <v/>
      </c>
      <c r="AF23" s="36" t="str">
        <f aca="false">IF(AE23="Revenue","Revenue",IF(AE23="Cost of Goods Sold","COGS",IF(AE23="Expenditures","Expense",IF(AE23="Other Revenue","Other Revenue",IF(AE23="Other Expenditures","Other Expense",AF22)))))</f>
        <v/>
      </c>
      <c r="AG23" s="36" t="str">
        <f aca="false">IF(OR(AE23="Revenue",AE23="Cost of Goods Sold",AE23="Expenditures",AE23="Other Revenue",AE23="Other Expenditures"),AF23,IF(AND(LEN(AE23)&gt;2,MID(AE23,2,1)=" ",ISNUMBER(VALUE(LEFT(AE23,1)))),AE23,AG22))</f>
        <v/>
      </c>
      <c r="AH23" s="36" t="n">
        <f aca="false">IF(AND(AE23&lt;&gt;"",ISNUMBER(AC23),LEFT(AE23,9)&lt;&gt;"Total for",AE23&lt;&gt;"Gross Profit",AE23&lt;&gt;"Net Operating Revenue",AE23&lt;&gt;"Net Other Revenue",AE23&lt;&gt;"Net Revenue"),1,0)</f>
        <v>0</v>
      </c>
      <c r="AI23" s="36" t="str">
        <f aca="false">IF(AH23=1,IF(AND(LEN(AE23)&gt;7,ISNUMBER(VALUE(LEFT(AE23,6))),MID(AE23,7,1)=" "),LEFT(AE23,6),AE23),"")</f>
        <v/>
      </c>
      <c r="AN23" s="36" t="str">
        <f aca="false">TRIM(AK23)</f>
        <v/>
      </c>
      <c r="AO23" s="36" t="str">
        <f aca="false">IF(AN23="Revenue","Revenue",IF(AN23="Cost of Goods Sold","COGS",IF(AN23="Expenditures","Expense",IF(AN23="Other Revenue","Other Revenue",IF(AN23="Other Expenditures","Other Expense",AO22)))))</f>
        <v/>
      </c>
      <c r="AP23" s="36" t="str">
        <f aca="false">IF(OR(AN23="Revenue",AN23="Cost of Goods Sold",AN23="Expenditures",AN23="Other Revenue",AN23="Other Expenditures"),AO23,IF(AND(LEN(AN23)&gt;2,MID(AN23,2,1)=" ",ISNUMBER(VALUE(LEFT(AN23,1)))),AN23,AP22))</f>
        <v/>
      </c>
      <c r="AQ23" s="36" t="n">
        <f aca="false">IF(AND(AN23&lt;&gt;"",ISNUMBER(AL23),LEFT(AN23,9)&lt;&gt;"Total for",AN23&lt;&gt;"Gross Profit",AN23&lt;&gt;"Net Operating Revenue",AN23&lt;&gt;"Net Other Revenue",AN23&lt;&gt;"Net Revenue"),1,0)</f>
        <v>0</v>
      </c>
      <c r="AR23" s="36" t="str">
        <f aca="false">IF(AQ23=1,IF(AND(LEN(AN23)&gt;7,ISNUMBER(VALUE(LEFT(AN23,6))),MID(AN23,7,1)=" "),LEFT(AN23,6),AN23),"")</f>
        <v/>
      </c>
    </row>
    <row r="24" customFormat="false" ht="15" hidden="false" customHeight="false" outlineLevel="0" collapsed="false">
      <c r="D24" s="36" t="str">
        <f aca="false">TRIM(A24)</f>
        <v/>
      </c>
      <c r="E24" s="36" t="str">
        <f aca="false">IF(D24="Revenue","Revenue",IF(D24="Cost of Goods Sold","COGS",IF(D24="Expenditures","Expense",IF(D24="Other Revenue","Other Revenue",IF(D24="Other Expenditures","Other Expense",E23)))))</f>
        <v/>
      </c>
      <c r="F24" s="36" t="str">
        <f aca="false">IF(OR(D24="Revenue",D24="Cost of Goods Sold",D24="Expenditures",D24="Other Revenue",D24="Other Expenditures"),E24,IF(AND(LEN(D24)&gt;2,MID(D24,2,1)=" ",ISNUMBER(VALUE(LEFT(D24,1)))),D24,F23))</f>
        <v/>
      </c>
      <c r="G24" s="36" t="n">
        <f aca="false">IF(AND(D24&lt;&gt;"",ISNUMBER(B24),LEFT(D24,9)&lt;&gt;"Total for",D24&lt;&gt;"Gross Profit",D24&lt;&gt;"Net Operating Revenue",D24&lt;&gt;"Net Other Revenue",D24&lt;&gt;"Net Revenue"),1,0)</f>
        <v>0</v>
      </c>
      <c r="H24" s="36" t="str">
        <f aca="false">IF(G24=1,IF(AND(LEN(D24)&gt;7,ISNUMBER(VALUE(LEFT(D24,6))),MID(D24,7,1)=" "),LEFT(D24,6),D24),"")</f>
        <v/>
      </c>
      <c r="M24" s="36" t="str">
        <f aca="false">TRIM(J24)</f>
        <v/>
      </c>
      <c r="N24" s="36" t="str">
        <f aca="false">IF(M24="Revenue","Revenue",IF(M24="Cost of Goods Sold","COGS",IF(M24="Expenditures","Expense",IF(M24="Other Revenue","Other Revenue",IF(M24="Other Expenditures","Other Expense",N23)))))</f>
        <v/>
      </c>
      <c r="O24" s="36" t="str">
        <f aca="false">IF(OR(M24="Revenue",M24="Cost of Goods Sold",M24="Expenditures",M24="Other Revenue",M24="Other Expenditures"),N24,IF(AND(LEN(M24)&gt;2,MID(M24,2,1)=" ",ISNUMBER(VALUE(LEFT(M24,1)))),M24,O23))</f>
        <v/>
      </c>
      <c r="P24" s="36" t="n">
        <f aca="false">IF(AND(M24&lt;&gt;"",ISNUMBER(K24),LEFT(M24,9)&lt;&gt;"Total for",M24&lt;&gt;"Gross Profit",M24&lt;&gt;"Net Operating Revenue",M24&lt;&gt;"Net Other Revenue",M24&lt;&gt;"Net Revenue"),1,0)</f>
        <v>0</v>
      </c>
      <c r="Q24" s="36" t="str">
        <f aca="false">IF(P24=1,IF(AND(LEN(M24)&gt;7,ISNUMBER(VALUE(LEFT(M24,6))),MID(M24,7,1)=" "),LEFT(M24,6),M24),"")</f>
        <v/>
      </c>
      <c r="V24" s="36" t="str">
        <f aca="false">TRIM(S24)</f>
        <v/>
      </c>
      <c r="W24" s="36" t="str">
        <f aca="false">IF(V24="Revenue","Revenue",IF(V24="Cost of Goods Sold","COGS",IF(V24="Expenditures","Expense",IF(V24="Other Revenue","Other Revenue",IF(V24="Other Expenditures","Other Expense",W23)))))</f>
        <v/>
      </c>
      <c r="X24" s="36" t="str">
        <f aca="false">IF(OR(V24="Revenue",V24="Cost of Goods Sold",V24="Expenditures",V24="Other Revenue",V24="Other Expenditures"),W24,IF(AND(LEN(V24)&gt;2,MID(V24,2,1)=" ",ISNUMBER(VALUE(LEFT(V24,1)))),V24,X23))</f>
        <v/>
      </c>
      <c r="Y24" s="36" t="n">
        <f aca="false">IF(AND(V24&lt;&gt;"",ISNUMBER(T24),LEFT(V24,9)&lt;&gt;"Total for",V24&lt;&gt;"Gross Profit",V24&lt;&gt;"Net Operating Revenue",V24&lt;&gt;"Net Other Revenue",V24&lt;&gt;"Net Revenue"),1,0)</f>
        <v>0</v>
      </c>
      <c r="Z24" s="36" t="str">
        <f aca="false">IF(Y24=1,IF(AND(LEN(V24)&gt;7,ISNUMBER(VALUE(LEFT(V24,6))),MID(V24,7,1)=" "),LEFT(V24,6),V24),"")</f>
        <v/>
      </c>
      <c r="AE24" s="36" t="str">
        <f aca="false">TRIM(AB24)</f>
        <v/>
      </c>
      <c r="AF24" s="36" t="str">
        <f aca="false">IF(AE24="Revenue","Revenue",IF(AE24="Cost of Goods Sold","COGS",IF(AE24="Expenditures","Expense",IF(AE24="Other Revenue","Other Revenue",IF(AE24="Other Expenditures","Other Expense",AF23)))))</f>
        <v/>
      </c>
      <c r="AG24" s="36" t="str">
        <f aca="false">IF(OR(AE24="Revenue",AE24="Cost of Goods Sold",AE24="Expenditures",AE24="Other Revenue",AE24="Other Expenditures"),AF24,IF(AND(LEN(AE24)&gt;2,MID(AE24,2,1)=" ",ISNUMBER(VALUE(LEFT(AE24,1)))),AE24,AG23))</f>
        <v/>
      </c>
      <c r="AH24" s="36" t="n">
        <f aca="false">IF(AND(AE24&lt;&gt;"",ISNUMBER(AC24),LEFT(AE24,9)&lt;&gt;"Total for",AE24&lt;&gt;"Gross Profit",AE24&lt;&gt;"Net Operating Revenue",AE24&lt;&gt;"Net Other Revenue",AE24&lt;&gt;"Net Revenue"),1,0)</f>
        <v>0</v>
      </c>
      <c r="AI24" s="36" t="str">
        <f aca="false">IF(AH24=1,IF(AND(LEN(AE24)&gt;7,ISNUMBER(VALUE(LEFT(AE24,6))),MID(AE24,7,1)=" "),LEFT(AE24,6),AE24),"")</f>
        <v/>
      </c>
      <c r="AN24" s="36" t="str">
        <f aca="false">TRIM(AK24)</f>
        <v/>
      </c>
      <c r="AO24" s="36" t="str">
        <f aca="false">IF(AN24="Revenue","Revenue",IF(AN24="Cost of Goods Sold","COGS",IF(AN24="Expenditures","Expense",IF(AN24="Other Revenue","Other Revenue",IF(AN24="Other Expenditures","Other Expense",AO23)))))</f>
        <v/>
      </c>
      <c r="AP24" s="36" t="str">
        <f aca="false">IF(OR(AN24="Revenue",AN24="Cost of Goods Sold",AN24="Expenditures",AN24="Other Revenue",AN24="Other Expenditures"),AO24,IF(AND(LEN(AN24)&gt;2,MID(AN24,2,1)=" ",ISNUMBER(VALUE(LEFT(AN24,1)))),AN24,AP23))</f>
        <v/>
      </c>
      <c r="AQ24" s="36" t="n">
        <f aca="false">IF(AND(AN24&lt;&gt;"",ISNUMBER(AL24),LEFT(AN24,9)&lt;&gt;"Total for",AN24&lt;&gt;"Gross Profit",AN24&lt;&gt;"Net Operating Revenue",AN24&lt;&gt;"Net Other Revenue",AN24&lt;&gt;"Net Revenue"),1,0)</f>
        <v>0</v>
      </c>
      <c r="AR24" s="36" t="str">
        <f aca="false">IF(AQ24=1,IF(AND(LEN(AN24)&gt;7,ISNUMBER(VALUE(LEFT(AN24,6))),MID(AN24,7,1)=" "),LEFT(AN24,6),AN24),"")</f>
        <v/>
      </c>
    </row>
    <row r="25" customFormat="false" ht="15" hidden="false" customHeight="false" outlineLevel="0" collapsed="false">
      <c r="D25" s="36" t="str">
        <f aca="false">TRIM(A25)</f>
        <v/>
      </c>
      <c r="E25" s="36" t="str">
        <f aca="false">IF(D25="Revenue","Revenue",IF(D25="Cost of Goods Sold","COGS",IF(D25="Expenditures","Expense",IF(D25="Other Revenue","Other Revenue",IF(D25="Other Expenditures","Other Expense",E24)))))</f>
        <v/>
      </c>
      <c r="F25" s="36" t="str">
        <f aca="false">IF(OR(D25="Revenue",D25="Cost of Goods Sold",D25="Expenditures",D25="Other Revenue",D25="Other Expenditures"),E25,IF(AND(LEN(D25)&gt;2,MID(D25,2,1)=" ",ISNUMBER(VALUE(LEFT(D25,1)))),D25,F24))</f>
        <v/>
      </c>
      <c r="G25" s="36" t="n">
        <f aca="false">IF(AND(D25&lt;&gt;"",ISNUMBER(B25),LEFT(D25,9)&lt;&gt;"Total for",D25&lt;&gt;"Gross Profit",D25&lt;&gt;"Net Operating Revenue",D25&lt;&gt;"Net Other Revenue",D25&lt;&gt;"Net Revenue"),1,0)</f>
        <v>0</v>
      </c>
      <c r="H25" s="36" t="str">
        <f aca="false">IF(G25=1,IF(AND(LEN(D25)&gt;7,ISNUMBER(VALUE(LEFT(D25,6))),MID(D25,7,1)=" "),LEFT(D25,6),D25),"")</f>
        <v/>
      </c>
      <c r="M25" s="36" t="str">
        <f aca="false">TRIM(J25)</f>
        <v/>
      </c>
      <c r="N25" s="36" t="str">
        <f aca="false">IF(M25="Revenue","Revenue",IF(M25="Cost of Goods Sold","COGS",IF(M25="Expenditures","Expense",IF(M25="Other Revenue","Other Revenue",IF(M25="Other Expenditures","Other Expense",N24)))))</f>
        <v/>
      </c>
      <c r="O25" s="36" t="str">
        <f aca="false">IF(OR(M25="Revenue",M25="Cost of Goods Sold",M25="Expenditures",M25="Other Revenue",M25="Other Expenditures"),N25,IF(AND(LEN(M25)&gt;2,MID(M25,2,1)=" ",ISNUMBER(VALUE(LEFT(M25,1)))),M25,O24))</f>
        <v/>
      </c>
      <c r="P25" s="36" t="n">
        <f aca="false">IF(AND(M25&lt;&gt;"",ISNUMBER(K25),LEFT(M25,9)&lt;&gt;"Total for",M25&lt;&gt;"Gross Profit",M25&lt;&gt;"Net Operating Revenue",M25&lt;&gt;"Net Other Revenue",M25&lt;&gt;"Net Revenue"),1,0)</f>
        <v>0</v>
      </c>
      <c r="Q25" s="36" t="str">
        <f aca="false">IF(P25=1,IF(AND(LEN(M25)&gt;7,ISNUMBER(VALUE(LEFT(M25,6))),MID(M25,7,1)=" "),LEFT(M25,6),M25),"")</f>
        <v/>
      </c>
      <c r="V25" s="36" t="str">
        <f aca="false">TRIM(S25)</f>
        <v/>
      </c>
      <c r="W25" s="36" t="str">
        <f aca="false">IF(V25="Revenue","Revenue",IF(V25="Cost of Goods Sold","COGS",IF(V25="Expenditures","Expense",IF(V25="Other Revenue","Other Revenue",IF(V25="Other Expenditures","Other Expense",W24)))))</f>
        <v/>
      </c>
      <c r="X25" s="36" t="str">
        <f aca="false">IF(OR(V25="Revenue",V25="Cost of Goods Sold",V25="Expenditures",V25="Other Revenue",V25="Other Expenditures"),W25,IF(AND(LEN(V25)&gt;2,MID(V25,2,1)=" ",ISNUMBER(VALUE(LEFT(V25,1)))),V25,X24))</f>
        <v/>
      </c>
      <c r="Y25" s="36" t="n">
        <f aca="false">IF(AND(V25&lt;&gt;"",ISNUMBER(T25),LEFT(V25,9)&lt;&gt;"Total for",V25&lt;&gt;"Gross Profit",V25&lt;&gt;"Net Operating Revenue",V25&lt;&gt;"Net Other Revenue",V25&lt;&gt;"Net Revenue"),1,0)</f>
        <v>0</v>
      </c>
      <c r="Z25" s="36" t="str">
        <f aca="false">IF(Y25=1,IF(AND(LEN(V25)&gt;7,ISNUMBER(VALUE(LEFT(V25,6))),MID(V25,7,1)=" "),LEFT(V25,6),V25),"")</f>
        <v/>
      </c>
      <c r="AE25" s="36" t="str">
        <f aca="false">TRIM(AB25)</f>
        <v/>
      </c>
      <c r="AF25" s="36" t="str">
        <f aca="false">IF(AE25="Revenue","Revenue",IF(AE25="Cost of Goods Sold","COGS",IF(AE25="Expenditures","Expense",IF(AE25="Other Revenue","Other Revenue",IF(AE25="Other Expenditures","Other Expense",AF24)))))</f>
        <v/>
      </c>
      <c r="AG25" s="36" t="str">
        <f aca="false">IF(OR(AE25="Revenue",AE25="Cost of Goods Sold",AE25="Expenditures",AE25="Other Revenue",AE25="Other Expenditures"),AF25,IF(AND(LEN(AE25)&gt;2,MID(AE25,2,1)=" ",ISNUMBER(VALUE(LEFT(AE25,1)))),AE25,AG24))</f>
        <v/>
      </c>
      <c r="AH25" s="36" t="n">
        <f aca="false">IF(AND(AE25&lt;&gt;"",ISNUMBER(AC25),LEFT(AE25,9)&lt;&gt;"Total for",AE25&lt;&gt;"Gross Profit",AE25&lt;&gt;"Net Operating Revenue",AE25&lt;&gt;"Net Other Revenue",AE25&lt;&gt;"Net Revenue"),1,0)</f>
        <v>0</v>
      </c>
      <c r="AI25" s="36" t="str">
        <f aca="false">IF(AH25=1,IF(AND(LEN(AE25)&gt;7,ISNUMBER(VALUE(LEFT(AE25,6))),MID(AE25,7,1)=" "),LEFT(AE25,6),AE25),"")</f>
        <v/>
      </c>
      <c r="AN25" s="36" t="str">
        <f aca="false">TRIM(AK25)</f>
        <v/>
      </c>
      <c r="AO25" s="36" t="str">
        <f aca="false">IF(AN25="Revenue","Revenue",IF(AN25="Cost of Goods Sold","COGS",IF(AN25="Expenditures","Expense",IF(AN25="Other Revenue","Other Revenue",IF(AN25="Other Expenditures","Other Expense",AO24)))))</f>
        <v/>
      </c>
      <c r="AP25" s="36" t="str">
        <f aca="false">IF(OR(AN25="Revenue",AN25="Cost of Goods Sold",AN25="Expenditures",AN25="Other Revenue",AN25="Other Expenditures"),AO25,IF(AND(LEN(AN25)&gt;2,MID(AN25,2,1)=" ",ISNUMBER(VALUE(LEFT(AN25,1)))),AN25,AP24))</f>
        <v/>
      </c>
      <c r="AQ25" s="36" t="n">
        <f aca="false">IF(AND(AN25&lt;&gt;"",ISNUMBER(AL25),LEFT(AN25,9)&lt;&gt;"Total for",AN25&lt;&gt;"Gross Profit",AN25&lt;&gt;"Net Operating Revenue",AN25&lt;&gt;"Net Other Revenue",AN25&lt;&gt;"Net Revenue"),1,0)</f>
        <v>0</v>
      </c>
      <c r="AR25" s="36" t="str">
        <f aca="false">IF(AQ25=1,IF(AND(LEN(AN25)&gt;7,ISNUMBER(VALUE(LEFT(AN25,6))),MID(AN25,7,1)=" "),LEFT(AN25,6),AN25),"")</f>
        <v/>
      </c>
    </row>
    <row r="26" customFormat="false" ht="15" hidden="false" customHeight="false" outlineLevel="0" collapsed="false">
      <c r="D26" s="36" t="str">
        <f aca="false">TRIM(A26)</f>
        <v/>
      </c>
      <c r="E26" s="36" t="str">
        <f aca="false">IF(D26="Revenue","Revenue",IF(D26="Cost of Goods Sold","COGS",IF(D26="Expenditures","Expense",IF(D26="Other Revenue","Other Revenue",IF(D26="Other Expenditures","Other Expense",E25)))))</f>
        <v/>
      </c>
      <c r="F26" s="36" t="str">
        <f aca="false">IF(OR(D26="Revenue",D26="Cost of Goods Sold",D26="Expenditures",D26="Other Revenue",D26="Other Expenditures"),E26,IF(AND(LEN(D26)&gt;2,MID(D26,2,1)=" ",ISNUMBER(VALUE(LEFT(D26,1)))),D26,F25))</f>
        <v/>
      </c>
      <c r="G26" s="36" t="n">
        <f aca="false">IF(AND(D26&lt;&gt;"",ISNUMBER(B26),LEFT(D26,9)&lt;&gt;"Total for",D26&lt;&gt;"Gross Profit",D26&lt;&gt;"Net Operating Revenue",D26&lt;&gt;"Net Other Revenue",D26&lt;&gt;"Net Revenue"),1,0)</f>
        <v>0</v>
      </c>
      <c r="H26" s="36" t="str">
        <f aca="false">IF(G26=1,IF(AND(LEN(D26)&gt;7,ISNUMBER(VALUE(LEFT(D26,6))),MID(D26,7,1)=" "),LEFT(D26,6),D26),"")</f>
        <v/>
      </c>
      <c r="M26" s="36" t="str">
        <f aca="false">TRIM(J26)</f>
        <v/>
      </c>
      <c r="N26" s="36" t="str">
        <f aca="false">IF(M26="Revenue","Revenue",IF(M26="Cost of Goods Sold","COGS",IF(M26="Expenditures","Expense",IF(M26="Other Revenue","Other Revenue",IF(M26="Other Expenditures","Other Expense",N25)))))</f>
        <v/>
      </c>
      <c r="O26" s="36" t="str">
        <f aca="false">IF(OR(M26="Revenue",M26="Cost of Goods Sold",M26="Expenditures",M26="Other Revenue",M26="Other Expenditures"),N26,IF(AND(LEN(M26)&gt;2,MID(M26,2,1)=" ",ISNUMBER(VALUE(LEFT(M26,1)))),M26,O25))</f>
        <v/>
      </c>
      <c r="P26" s="36" t="n">
        <f aca="false">IF(AND(M26&lt;&gt;"",ISNUMBER(K26),LEFT(M26,9)&lt;&gt;"Total for",M26&lt;&gt;"Gross Profit",M26&lt;&gt;"Net Operating Revenue",M26&lt;&gt;"Net Other Revenue",M26&lt;&gt;"Net Revenue"),1,0)</f>
        <v>0</v>
      </c>
      <c r="Q26" s="36" t="str">
        <f aca="false">IF(P26=1,IF(AND(LEN(M26)&gt;7,ISNUMBER(VALUE(LEFT(M26,6))),MID(M26,7,1)=" "),LEFT(M26,6),M26),"")</f>
        <v/>
      </c>
      <c r="V26" s="36" t="str">
        <f aca="false">TRIM(S26)</f>
        <v/>
      </c>
      <c r="W26" s="36" t="str">
        <f aca="false">IF(V26="Revenue","Revenue",IF(V26="Cost of Goods Sold","COGS",IF(V26="Expenditures","Expense",IF(V26="Other Revenue","Other Revenue",IF(V26="Other Expenditures","Other Expense",W25)))))</f>
        <v/>
      </c>
      <c r="X26" s="36" t="str">
        <f aca="false">IF(OR(V26="Revenue",V26="Cost of Goods Sold",V26="Expenditures",V26="Other Revenue",V26="Other Expenditures"),W26,IF(AND(LEN(V26)&gt;2,MID(V26,2,1)=" ",ISNUMBER(VALUE(LEFT(V26,1)))),V26,X25))</f>
        <v/>
      </c>
      <c r="Y26" s="36" t="n">
        <f aca="false">IF(AND(V26&lt;&gt;"",ISNUMBER(T26),LEFT(V26,9)&lt;&gt;"Total for",V26&lt;&gt;"Gross Profit",V26&lt;&gt;"Net Operating Revenue",V26&lt;&gt;"Net Other Revenue",V26&lt;&gt;"Net Revenue"),1,0)</f>
        <v>0</v>
      </c>
      <c r="Z26" s="36" t="str">
        <f aca="false">IF(Y26=1,IF(AND(LEN(V26)&gt;7,ISNUMBER(VALUE(LEFT(V26,6))),MID(V26,7,1)=" "),LEFT(V26,6),V26),"")</f>
        <v/>
      </c>
      <c r="AE26" s="36" t="str">
        <f aca="false">TRIM(AB26)</f>
        <v/>
      </c>
      <c r="AF26" s="36" t="str">
        <f aca="false">IF(AE26="Revenue","Revenue",IF(AE26="Cost of Goods Sold","COGS",IF(AE26="Expenditures","Expense",IF(AE26="Other Revenue","Other Revenue",IF(AE26="Other Expenditures","Other Expense",AF25)))))</f>
        <v/>
      </c>
      <c r="AG26" s="36" t="str">
        <f aca="false">IF(OR(AE26="Revenue",AE26="Cost of Goods Sold",AE26="Expenditures",AE26="Other Revenue",AE26="Other Expenditures"),AF26,IF(AND(LEN(AE26)&gt;2,MID(AE26,2,1)=" ",ISNUMBER(VALUE(LEFT(AE26,1)))),AE26,AG25))</f>
        <v/>
      </c>
      <c r="AH26" s="36" t="n">
        <f aca="false">IF(AND(AE26&lt;&gt;"",ISNUMBER(AC26),LEFT(AE26,9)&lt;&gt;"Total for",AE26&lt;&gt;"Gross Profit",AE26&lt;&gt;"Net Operating Revenue",AE26&lt;&gt;"Net Other Revenue",AE26&lt;&gt;"Net Revenue"),1,0)</f>
        <v>0</v>
      </c>
      <c r="AI26" s="36" t="str">
        <f aca="false">IF(AH26=1,IF(AND(LEN(AE26)&gt;7,ISNUMBER(VALUE(LEFT(AE26,6))),MID(AE26,7,1)=" "),LEFT(AE26,6),AE26),"")</f>
        <v/>
      </c>
      <c r="AN26" s="36" t="str">
        <f aca="false">TRIM(AK26)</f>
        <v/>
      </c>
      <c r="AO26" s="36" t="str">
        <f aca="false">IF(AN26="Revenue","Revenue",IF(AN26="Cost of Goods Sold","COGS",IF(AN26="Expenditures","Expense",IF(AN26="Other Revenue","Other Revenue",IF(AN26="Other Expenditures","Other Expense",AO25)))))</f>
        <v/>
      </c>
      <c r="AP26" s="36" t="str">
        <f aca="false">IF(OR(AN26="Revenue",AN26="Cost of Goods Sold",AN26="Expenditures",AN26="Other Revenue",AN26="Other Expenditures"),AO26,IF(AND(LEN(AN26)&gt;2,MID(AN26,2,1)=" ",ISNUMBER(VALUE(LEFT(AN26,1)))),AN26,AP25))</f>
        <v/>
      </c>
      <c r="AQ26" s="36" t="n">
        <f aca="false">IF(AND(AN26&lt;&gt;"",ISNUMBER(AL26),LEFT(AN26,9)&lt;&gt;"Total for",AN26&lt;&gt;"Gross Profit",AN26&lt;&gt;"Net Operating Revenue",AN26&lt;&gt;"Net Other Revenue",AN26&lt;&gt;"Net Revenue"),1,0)</f>
        <v>0</v>
      </c>
      <c r="AR26" s="36" t="str">
        <f aca="false">IF(AQ26=1,IF(AND(LEN(AN26)&gt;7,ISNUMBER(VALUE(LEFT(AN26,6))),MID(AN26,7,1)=" "),LEFT(AN26,6),AN26),"")</f>
        <v/>
      </c>
    </row>
    <row r="27" customFormat="false" ht="15" hidden="false" customHeight="false" outlineLevel="0" collapsed="false">
      <c r="D27" s="36" t="str">
        <f aca="false">TRIM(A27)</f>
        <v/>
      </c>
      <c r="E27" s="36" t="str">
        <f aca="false">IF(D27="Revenue","Revenue",IF(D27="Cost of Goods Sold","COGS",IF(D27="Expenditures","Expense",IF(D27="Other Revenue","Other Revenue",IF(D27="Other Expenditures","Other Expense",E26)))))</f>
        <v/>
      </c>
      <c r="F27" s="36" t="str">
        <f aca="false">IF(OR(D27="Revenue",D27="Cost of Goods Sold",D27="Expenditures",D27="Other Revenue",D27="Other Expenditures"),E27,IF(AND(LEN(D27)&gt;2,MID(D27,2,1)=" ",ISNUMBER(VALUE(LEFT(D27,1)))),D27,F26))</f>
        <v/>
      </c>
      <c r="G27" s="36" t="n">
        <f aca="false">IF(AND(D27&lt;&gt;"",ISNUMBER(B27),LEFT(D27,9)&lt;&gt;"Total for",D27&lt;&gt;"Gross Profit",D27&lt;&gt;"Net Operating Revenue",D27&lt;&gt;"Net Other Revenue",D27&lt;&gt;"Net Revenue"),1,0)</f>
        <v>0</v>
      </c>
      <c r="H27" s="36" t="str">
        <f aca="false">IF(G27=1,IF(AND(LEN(D27)&gt;7,ISNUMBER(VALUE(LEFT(D27,6))),MID(D27,7,1)=" "),LEFT(D27,6),D27),"")</f>
        <v/>
      </c>
      <c r="M27" s="36" t="str">
        <f aca="false">TRIM(J27)</f>
        <v/>
      </c>
      <c r="N27" s="36" t="str">
        <f aca="false">IF(M27="Revenue","Revenue",IF(M27="Cost of Goods Sold","COGS",IF(M27="Expenditures","Expense",IF(M27="Other Revenue","Other Revenue",IF(M27="Other Expenditures","Other Expense",N26)))))</f>
        <v/>
      </c>
      <c r="O27" s="36" t="str">
        <f aca="false">IF(OR(M27="Revenue",M27="Cost of Goods Sold",M27="Expenditures",M27="Other Revenue",M27="Other Expenditures"),N27,IF(AND(LEN(M27)&gt;2,MID(M27,2,1)=" ",ISNUMBER(VALUE(LEFT(M27,1)))),M27,O26))</f>
        <v/>
      </c>
      <c r="P27" s="36" t="n">
        <f aca="false">IF(AND(M27&lt;&gt;"",ISNUMBER(K27),LEFT(M27,9)&lt;&gt;"Total for",M27&lt;&gt;"Gross Profit",M27&lt;&gt;"Net Operating Revenue",M27&lt;&gt;"Net Other Revenue",M27&lt;&gt;"Net Revenue"),1,0)</f>
        <v>0</v>
      </c>
      <c r="Q27" s="36" t="str">
        <f aca="false">IF(P27=1,IF(AND(LEN(M27)&gt;7,ISNUMBER(VALUE(LEFT(M27,6))),MID(M27,7,1)=" "),LEFT(M27,6),M27),"")</f>
        <v/>
      </c>
      <c r="V27" s="36" t="str">
        <f aca="false">TRIM(S27)</f>
        <v/>
      </c>
      <c r="W27" s="36" t="str">
        <f aca="false">IF(V27="Revenue","Revenue",IF(V27="Cost of Goods Sold","COGS",IF(V27="Expenditures","Expense",IF(V27="Other Revenue","Other Revenue",IF(V27="Other Expenditures","Other Expense",W26)))))</f>
        <v/>
      </c>
      <c r="X27" s="36" t="str">
        <f aca="false">IF(OR(V27="Revenue",V27="Cost of Goods Sold",V27="Expenditures",V27="Other Revenue",V27="Other Expenditures"),W27,IF(AND(LEN(V27)&gt;2,MID(V27,2,1)=" ",ISNUMBER(VALUE(LEFT(V27,1)))),V27,X26))</f>
        <v/>
      </c>
      <c r="Y27" s="36" t="n">
        <f aca="false">IF(AND(V27&lt;&gt;"",ISNUMBER(T27),LEFT(V27,9)&lt;&gt;"Total for",V27&lt;&gt;"Gross Profit",V27&lt;&gt;"Net Operating Revenue",V27&lt;&gt;"Net Other Revenue",V27&lt;&gt;"Net Revenue"),1,0)</f>
        <v>0</v>
      </c>
      <c r="Z27" s="36" t="str">
        <f aca="false">IF(Y27=1,IF(AND(LEN(V27)&gt;7,ISNUMBER(VALUE(LEFT(V27,6))),MID(V27,7,1)=" "),LEFT(V27,6),V27),"")</f>
        <v/>
      </c>
      <c r="AE27" s="36" t="str">
        <f aca="false">TRIM(AB27)</f>
        <v/>
      </c>
      <c r="AF27" s="36" t="str">
        <f aca="false">IF(AE27="Revenue","Revenue",IF(AE27="Cost of Goods Sold","COGS",IF(AE27="Expenditures","Expense",IF(AE27="Other Revenue","Other Revenue",IF(AE27="Other Expenditures","Other Expense",AF26)))))</f>
        <v/>
      </c>
      <c r="AG27" s="36" t="str">
        <f aca="false">IF(OR(AE27="Revenue",AE27="Cost of Goods Sold",AE27="Expenditures",AE27="Other Revenue",AE27="Other Expenditures"),AF27,IF(AND(LEN(AE27)&gt;2,MID(AE27,2,1)=" ",ISNUMBER(VALUE(LEFT(AE27,1)))),AE27,AG26))</f>
        <v/>
      </c>
      <c r="AH27" s="36" t="n">
        <f aca="false">IF(AND(AE27&lt;&gt;"",ISNUMBER(AC27),LEFT(AE27,9)&lt;&gt;"Total for",AE27&lt;&gt;"Gross Profit",AE27&lt;&gt;"Net Operating Revenue",AE27&lt;&gt;"Net Other Revenue",AE27&lt;&gt;"Net Revenue"),1,0)</f>
        <v>0</v>
      </c>
      <c r="AI27" s="36" t="str">
        <f aca="false">IF(AH27=1,IF(AND(LEN(AE27)&gt;7,ISNUMBER(VALUE(LEFT(AE27,6))),MID(AE27,7,1)=" "),LEFT(AE27,6),AE27),"")</f>
        <v/>
      </c>
      <c r="AN27" s="36" t="str">
        <f aca="false">TRIM(AK27)</f>
        <v/>
      </c>
      <c r="AO27" s="36" t="str">
        <f aca="false">IF(AN27="Revenue","Revenue",IF(AN27="Cost of Goods Sold","COGS",IF(AN27="Expenditures","Expense",IF(AN27="Other Revenue","Other Revenue",IF(AN27="Other Expenditures","Other Expense",AO26)))))</f>
        <v/>
      </c>
      <c r="AP27" s="36" t="str">
        <f aca="false">IF(OR(AN27="Revenue",AN27="Cost of Goods Sold",AN27="Expenditures",AN27="Other Revenue",AN27="Other Expenditures"),AO27,IF(AND(LEN(AN27)&gt;2,MID(AN27,2,1)=" ",ISNUMBER(VALUE(LEFT(AN27,1)))),AN27,AP26))</f>
        <v/>
      </c>
      <c r="AQ27" s="36" t="n">
        <f aca="false">IF(AND(AN27&lt;&gt;"",ISNUMBER(AL27),LEFT(AN27,9)&lt;&gt;"Total for",AN27&lt;&gt;"Gross Profit",AN27&lt;&gt;"Net Operating Revenue",AN27&lt;&gt;"Net Other Revenue",AN27&lt;&gt;"Net Revenue"),1,0)</f>
        <v>0</v>
      </c>
      <c r="AR27" s="36" t="str">
        <f aca="false">IF(AQ27=1,IF(AND(LEN(AN27)&gt;7,ISNUMBER(VALUE(LEFT(AN27,6))),MID(AN27,7,1)=" "),LEFT(AN27,6),AN27),"")</f>
        <v/>
      </c>
    </row>
    <row r="28" customFormat="false" ht="15" hidden="false" customHeight="false" outlineLevel="0" collapsed="false">
      <c r="D28" s="36" t="str">
        <f aca="false">TRIM(A28)</f>
        <v/>
      </c>
      <c r="E28" s="36" t="str">
        <f aca="false">IF(D28="Revenue","Revenue",IF(D28="Cost of Goods Sold","COGS",IF(D28="Expenditures","Expense",IF(D28="Other Revenue","Other Revenue",IF(D28="Other Expenditures","Other Expense",E27)))))</f>
        <v/>
      </c>
      <c r="F28" s="36" t="str">
        <f aca="false">IF(OR(D28="Revenue",D28="Cost of Goods Sold",D28="Expenditures",D28="Other Revenue",D28="Other Expenditures"),E28,IF(AND(LEN(D28)&gt;2,MID(D28,2,1)=" ",ISNUMBER(VALUE(LEFT(D28,1)))),D28,F27))</f>
        <v/>
      </c>
      <c r="G28" s="36" t="n">
        <f aca="false">IF(AND(D28&lt;&gt;"",ISNUMBER(B28),LEFT(D28,9)&lt;&gt;"Total for",D28&lt;&gt;"Gross Profit",D28&lt;&gt;"Net Operating Revenue",D28&lt;&gt;"Net Other Revenue",D28&lt;&gt;"Net Revenue"),1,0)</f>
        <v>0</v>
      </c>
      <c r="H28" s="36" t="str">
        <f aca="false">IF(G28=1,IF(AND(LEN(D28)&gt;7,ISNUMBER(VALUE(LEFT(D28,6))),MID(D28,7,1)=" "),LEFT(D28,6),D28),"")</f>
        <v/>
      </c>
      <c r="M28" s="36" t="str">
        <f aca="false">TRIM(J28)</f>
        <v/>
      </c>
      <c r="N28" s="36" t="str">
        <f aca="false">IF(M28="Revenue","Revenue",IF(M28="Cost of Goods Sold","COGS",IF(M28="Expenditures","Expense",IF(M28="Other Revenue","Other Revenue",IF(M28="Other Expenditures","Other Expense",N27)))))</f>
        <v/>
      </c>
      <c r="O28" s="36" t="str">
        <f aca="false">IF(OR(M28="Revenue",M28="Cost of Goods Sold",M28="Expenditures",M28="Other Revenue",M28="Other Expenditures"),N28,IF(AND(LEN(M28)&gt;2,MID(M28,2,1)=" ",ISNUMBER(VALUE(LEFT(M28,1)))),M28,O27))</f>
        <v/>
      </c>
      <c r="P28" s="36" t="n">
        <f aca="false">IF(AND(M28&lt;&gt;"",ISNUMBER(K28),LEFT(M28,9)&lt;&gt;"Total for",M28&lt;&gt;"Gross Profit",M28&lt;&gt;"Net Operating Revenue",M28&lt;&gt;"Net Other Revenue",M28&lt;&gt;"Net Revenue"),1,0)</f>
        <v>0</v>
      </c>
      <c r="Q28" s="36" t="str">
        <f aca="false">IF(P28=1,IF(AND(LEN(M28)&gt;7,ISNUMBER(VALUE(LEFT(M28,6))),MID(M28,7,1)=" "),LEFT(M28,6),M28),"")</f>
        <v/>
      </c>
      <c r="V28" s="36" t="str">
        <f aca="false">TRIM(S28)</f>
        <v/>
      </c>
      <c r="W28" s="36" t="str">
        <f aca="false">IF(V28="Revenue","Revenue",IF(V28="Cost of Goods Sold","COGS",IF(V28="Expenditures","Expense",IF(V28="Other Revenue","Other Revenue",IF(V28="Other Expenditures","Other Expense",W27)))))</f>
        <v/>
      </c>
      <c r="X28" s="36" t="str">
        <f aca="false">IF(OR(V28="Revenue",V28="Cost of Goods Sold",V28="Expenditures",V28="Other Revenue",V28="Other Expenditures"),W28,IF(AND(LEN(V28)&gt;2,MID(V28,2,1)=" ",ISNUMBER(VALUE(LEFT(V28,1)))),V28,X27))</f>
        <v/>
      </c>
      <c r="Y28" s="36" t="n">
        <f aca="false">IF(AND(V28&lt;&gt;"",ISNUMBER(T28),LEFT(V28,9)&lt;&gt;"Total for",V28&lt;&gt;"Gross Profit",V28&lt;&gt;"Net Operating Revenue",V28&lt;&gt;"Net Other Revenue",V28&lt;&gt;"Net Revenue"),1,0)</f>
        <v>0</v>
      </c>
      <c r="Z28" s="36" t="str">
        <f aca="false">IF(Y28=1,IF(AND(LEN(V28)&gt;7,ISNUMBER(VALUE(LEFT(V28,6))),MID(V28,7,1)=" "),LEFT(V28,6),V28),"")</f>
        <v/>
      </c>
      <c r="AE28" s="36" t="str">
        <f aca="false">TRIM(AB28)</f>
        <v/>
      </c>
      <c r="AF28" s="36" t="str">
        <f aca="false">IF(AE28="Revenue","Revenue",IF(AE28="Cost of Goods Sold","COGS",IF(AE28="Expenditures","Expense",IF(AE28="Other Revenue","Other Revenue",IF(AE28="Other Expenditures","Other Expense",AF27)))))</f>
        <v/>
      </c>
      <c r="AG28" s="36" t="str">
        <f aca="false">IF(OR(AE28="Revenue",AE28="Cost of Goods Sold",AE28="Expenditures",AE28="Other Revenue",AE28="Other Expenditures"),AF28,IF(AND(LEN(AE28)&gt;2,MID(AE28,2,1)=" ",ISNUMBER(VALUE(LEFT(AE28,1)))),AE28,AG27))</f>
        <v/>
      </c>
      <c r="AH28" s="36" t="n">
        <f aca="false">IF(AND(AE28&lt;&gt;"",ISNUMBER(AC28),LEFT(AE28,9)&lt;&gt;"Total for",AE28&lt;&gt;"Gross Profit",AE28&lt;&gt;"Net Operating Revenue",AE28&lt;&gt;"Net Other Revenue",AE28&lt;&gt;"Net Revenue"),1,0)</f>
        <v>0</v>
      </c>
      <c r="AI28" s="36" t="str">
        <f aca="false">IF(AH28=1,IF(AND(LEN(AE28)&gt;7,ISNUMBER(VALUE(LEFT(AE28,6))),MID(AE28,7,1)=" "),LEFT(AE28,6),AE28),"")</f>
        <v/>
      </c>
      <c r="AN28" s="36" t="str">
        <f aca="false">TRIM(AK28)</f>
        <v/>
      </c>
      <c r="AO28" s="36" t="str">
        <f aca="false">IF(AN28="Revenue","Revenue",IF(AN28="Cost of Goods Sold","COGS",IF(AN28="Expenditures","Expense",IF(AN28="Other Revenue","Other Revenue",IF(AN28="Other Expenditures","Other Expense",AO27)))))</f>
        <v/>
      </c>
      <c r="AP28" s="36" t="str">
        <f aca="false">IF(OR(AN28="Revenue",AN28="Cost of Goods Sold",AN28="Expenditures",AN28="Other Revenue",AN28="Other Expenditures"),AO28,IF(AND(LEN(AN28)&gt;2,MID(AN28,2,1)=" ",ISNUMBER(VALUE(LEFT(AN28,1)))),AN28,AP27))</f>
        <v/>
      </c>
      <c r="AQ28" s="36" t="n">
        <f aca="false">IF(AND(AN28&lt;&gt;"",ISNUMBER(AL28),LEFT(AN28,9)&lt;&gt;"Total for",AN28&lt;&gt;"Gross Profit",AN28&lt;&gt;"Net Operating Revenue",AN28&lt;&gt;"Net Other Revenue",AN28&lt;&gt;"Net Revenue"),1,0)</f>
        <v>0</v>
      </c>
      <c r="AR28" s="36" t="str">
        <f aca="false">IF(AQ28=1,IF(AND(LEN(AN28)&gt;7,ISNUMBER(VALUE(LEFT(AN28,6))),MID(AN28,7,1)=" "),LEFT(AN28,6),AN28),"")</f>
        <v/>
      </c>
    </row>
    <row r="29" customFormat="false" ht="15" hidden="false" customHeight="false" outlineLevel="0" collapsed="false">
      <c r="D29" s="36" t="str">
        <f aca="false">TRIM(A29)</f>
        <v/>
      </c>
      <c r="E29" s="36" t="str">
        <f aca="false">IF(D29="Revenue","Revenue",IF(D29="Cost of Goods Sold","COGS",IF(D29="Expenditures","Expense",IF(D29="Other Revenue","Other Revenue",IF(D29="Other Expenditures","Other Expense",E28)))))</f>
        <v/>
      </c>
      <c r="F29" s="36" t="str">
        <f aca="false">IF(OR(D29="Revenue",D29="Cost of Goods Sold",D29="Expenditures",D29="Other Revenue",D29="Other Expenditures"),E29,IF(AND(LEN(D29)&gt;2,MID(D29,2,1)=" ",ISNUMBER(VALUE(LEFT(D29,1)))),D29,F28))</f>
        <v/>
      </c>
      <c r="G29" s="36" t="n">
        <f aca="false">IF(AND(D29&lt;&gt;"",ISNUMBER(B29),LEFT(D29,9)&lt;&gt;"Total for",D29&lt;&gt;"Gross Profit",D29&lt;&gt;"Net Operating Revenue",D29&lt;&gt;"Net Other Revenue",D29&lt;&gt;"Net Revenue"),1,0)</f>
        <v>0</v>
      </c>
      <c r="H29" s="36" t="str">
        <f aca="false">IF(G29=1,IF(AND(LEN(D29)&gt;7,ISNUMBER(VALUE(LEFT(D29,6))),MID(D29,7,1)=" "),LEFT(D29,6),D29),"")</f>
        <v/>
      </c>
      <c r="M29" s="36" t="str">
        <f aca="false">TRIM(J29)</f>
        <v/>
      </c>
      <c r="N29" s="36" t="str">
        <f aca="false">IF(M29="Revenue","Revenue",IF(M29="Cost of Goods Sold","COGS",IF(M29="Expenditures","Expense",IF(M29="Other Revenue","Other Revenue",IF(M29="Other Expenditures","Other Expense",N28)))))</f>
        <v/>
      </c>
      <c r="O29" s="36" t="str">
        <f aca="false">IF(OR(M29="Revenue",M29="Cost of Goods Sold",M29="Expenditures",M29="Other Revenue",M29="Other Expenditures"),N29,IF(AND(LEN(M29)&gt;2,MID(M29,2,1)=" ",ISNUMBER(VALUE(LEFT(M29,1)))),M29,O28))</f>
        <v/>
      </c>
      <c r="P29" s="36" t="n">
        <f aca="false">IF(AND(M29&lt;&gt;"",ISNUMBER(K29),LEFT(M29,9)&lt;&gt;"Total for",M29&lt;&gt;"Gross Profit",M29&lt;&gt;"Net Operating Revenue",M29&lt;&gt;"Net Other Revenue",M29&lt;&gt;"Net Revenue"),1,0)</f>
        <v>0</v>
      </c>
      <c r="Q29" s="36" t="str">
        <f aca="false">IF(P29=1,IF(AND(LEN(M29)&gt;7,ISNUMBER(VALUE(LEFT(M29,6))),MID(M29,7,1)=" "),LEFT(M29,6),M29),"")</f>
        <v/>
      </c>
      <c r="V29" s="36" t="str">
        <f aca="false">TRIM(S29)</f>
        <v/>
      </c>
      <c r="W29" s="36" t="str">
        <f aca="false">IF(V29="Revenue","Revenue",IF(V29="Cost of Goods Sold","COGS",IF(V29="Expenditures","Expense",IF(V29="Other Revenue","Other Revenue",IF(V29="Other Expenditures","Other Expense",W28)))))</f>
        <v/>
      </c>
      <c r="X29" s="36" t="str">
        <f aca="false">IF(OR(V29="Revenue",V29="Cost of Goods Sold",V29="Expenditures",V29="Other Revenue",V29="Other Expenditures"),W29,IF(AND(LEN(V29)&gt;2,MID(V29,2,1)=" ",ISNUMBER(VALUE(LEFT(V29,1)))),V29,X28))</f>
        <v/>
      </c>
      <c r="Y29" s="36" t="n">
        <f aca="false">IF(AND(V29&lt;&gt;"",ISNUMBER(T29),LEFT(V29,9)&lt;&gt;"Total for",V29&lt;&gt;"Gross Profit",V29&lt;&gt;"Net Operating Revenue",V29&lt;&gt;"Net Other Revenue",V29&lt;&gt;"Net Revenue"),1,0)</f>
        <v>0</v>
      </c>
      <c r="Z29" s="36" t="str">
        <f aca="false">IF(Y29=1,IF(AND(LEN(V29)&gt;7,ISNUMBER(VALUE(LEFT(V29,6))),MID(V29,7,1)=" "),LEFT(V29,6),V29),"")</f>
        <v/>
      </c>
      <c r="AE29" s="36" t="str">
        <f aca="false">TRIM(AB29)</f>
        <v/>
      </c>
      <c r="AF29" s="36" t="str">
        <f aca="false">IF(AE29="Revenue","Revenue",IF(AE29="Cost of Goods Sold","COGS",IF(AE29="Expenditures","Expense",IF(AE29="Other Revenue","Other Revenue",IF(AE29="Other Expenditures","Other Expense",AF28)))))</f>
        <v/>
      </c>
      <c r="AG29" s="36" t="str">
        <f aca="false">IF(OR(AE29="Revenue",AE29="Cost of Goods Sold",AE29="Expenditures",AE29="Other Revenue",AE29="Other Expenditures"),AF29,IF(AND(LEN(AE29)&gt;2,MID(AE29,2,1)=" ",ISNUMBER(VALUE(LEFT(AE29,1)))),AE29,AG28))</f>
        <v/>
      </c>
      <c r="AH29" s="36" t="n">
        <f aca="false">IF(AND(AE29&lt;&gt;"",ISNUMBER(AC29),LEFT(AE29,9)&lt;&gt;"Total for",AE29&lt;&gt;"Gross Profit",AE29&lt;&gt;"Net Operating Revenue",AE29&lt;&gt;"Net Other Revenue",AE29&lt;&gt;"Net Revenue"),1,0)</f>
        <v>0</v>
      </c>
      <c r="AI29" s="36" t="str">
        <f aca="false">IF(AH29=1,IF(AND(LEN(AE29)&gt;7,ISNUMBER(VALUE(LEFT(AE29,6))),MID(AE29,7,1)=" "),LEFT(AE29,6),AE29),"")</f>
        <v/>
      </c>
      <c r="AN29" s="36" t="str">
        <f aca="false">TRIM(AK29)</f>
        <v/>
      </c>
      <c r="AO29" s="36" t="str">
        <f aca="false">IF(AN29="Revenue","Revenue",IF(AN29="Cost of Goods Sold","COGS",IF(AN29="Expenditures","Expense",IF(AN29="Other Revenue","Other Revenue",IF(AN29="Other Expenditures","Other Expense",AO28)))))</f>
        <v/>
      </c>
      <c r="AP29" s="36" t="str">
        <f aca="false">IF(OR(AN29="Revenue",AN29="Cost of Goods Sold",AN29="Expenditures",AN29="Other Revenue",AN29="Other Expenditures"),AO29,IF(AND(LEN(AN29)&gt;2,MID(AN29,2,1)=" ",ISNUMBER(VALUE(LEFT(AN29,1)))),AN29,AP28))</f>
        <v/>
      </c>
      <c r="AQ29" s="36" t="n">
        <f aca="false">IF(AND(AN29&lt;&gt;"",ISNUMBER(AL29),LEFT(AN29,9)&lt;&gt;"Total for",AN29&lt;&gt;"Gross Profit",AN29&lt;&gt;"Net Operating Revenue",AN29&lt;&gt;"Net Other Revenue",AN29&lt;&gt;"Net Revenue"),1,0)</f>
        <v>0</v>
      </c>
      <c r="AR29" s="36" t="str">
        <f aca="false">IF(AQ29=1,IF(AND(LEN(AN29)&gt;7,ISNUMBER(VALUE(LEFT(AN29,6))),MID(AN29,7,1)=" "),LEFT(AN29,6),AN29),"")</f>
        <v/>
      </c>
    </row>
    <row r="30" customFormat="false" ht="15" hidden="false" customHeight="false" outlineLevel="0" collapsed="false">
      <c r="D30" s="36" t="str">
        <f aca="false">TRIM(A30)</f>
        <v/>
      </c>
      <c r="E30" s="36" t="str">
        <f aca="false">IF(D30="Revenue","Revenue",IF(D30="Cost of Goods Sold","COGS",IF(D30="Expenditures","Expense",IF(D30="Other Revenue","Other Revenue",IF(D30="Other Expenditures","Other Expense",E29)))))</f>
        <v/>
      </c>
      <c r="F30" s="36" t="str">
        <f aca="false">IF(OR(D30="Revenue",D30="Cost of Goods Sold",D30="Expenditures",D30="Other Revenue",D30="Other Expenditures"),E30,IF(AND(LEN(D30)&gt;2,MID(D30,2,1)=" ",ISNUMBER(VALUE(LEFT(D30,1)))),D30,F29))</f>
        <v/>
      </c>
      <c r="G30" s="36" t="n">
        <f aca="false">IF(AND(D30&lt;&gt;"",ISNUMBER(B30),LEFT(D30,9)&lt;&gt;"Total for",D30&lt;&gt;"Gross Profit",D30&lt;&gt;"Net Operating Revenue",D30&lt;&gt;"Net Other Revenue",D30&lt;&gt;"Net Revenue"),1,0)</f>
        <v>0</v>
      </c>
      <c r="H30" s="36" t="str">
        <f aca="false">IF(G30=1,IF(AND(LEN(D30)&gt;7,ISNUMBER(VALUE(LEFT(D30,6))),MID(D30,7,1)=" "),LEFT(D30,6),D30),"")</f>
        <v/>
      </c>
      <c r="M30" s="36" t="str">
        <f aca="false">TRIM(J30)</f>
        <v/>
      </c>
      <c r="N30" s="36" t="str">
        <f aca="false">IF(M30="Revenue","Revenue",IF(M30="Cost of Goods Sold","COGS",IF(M30="Expenditures","Expense",IF(M30="Other Revenue","Other Revenue",IF(M30="Other Expenditures","Other Expense",N29)))))</f>
        <v/>
      </c>
      <c r="O30" s="36" t="str">
        <f aca="false">IF(OR(M30="Revenue",M30="Cost of Goods Sold",M30="Expenditures",M30="Other Revenue",M30="Other Expenditures"),N30,IF(AND(LEN(M30)&gt;2,MID(M30,2,1)=" ",ISNUMBER(VALUE(LEFT(M30,1)))),M30,O29))</f>
        <v/>
      </c>
      <c r="P30" s="36" t="n">
        <f aca="false">IF(AND(M30&lt;&gt;"",ISNUMBER(K30),LEFT(M30,9)&lt;&gt;"Total for",M30&lt;&gt;"Gross Profit",M30&lt;&gt;"Net Operating Revenue",M30&lt;&gt;"Net Other Revenue",M30&lt;&gt;"Net Revenue"),1,0)</f>
        <v>0</v>
      </c>
      <c r="Q30" s="36" t="str">
        <f aca="false">IF(P30=1,IF(AND(LEN(M30)&gt;7,ISNUMBER(VALUE(LEFT(M30,6))),MID(M30,7,1)=" "),LEFT(M30,6),M30),"")</f>
        <v/>
      </c>
      <c r="V30" s="36" t="str">
        <f aca="false">TRIM(S30)</f>
        <v/>
      </c>
      <c r="W30" s="36" t="str">
        <f aca="false">IF(V30="Revenue","Revenue",IF(V30="Cost of Goods Sold","COGS",IF(V30="Expenditures","Expense",IF(V30="Other Revenue","Other Revenue",IF(V30="Other Expenditures","Other Expense",W29)))))</f>
        <v/>
      </c>
      <c r="X30" s="36" t="str">
        <f aca="false">IF(OR(V30="Revenue",V30="Cost of Goods Sold",V30="Expenditures",V30="Other Revenue",V30="Other Expenditures"),W30,IF(AND(LEN(V30)&gt;2,MID(V30,2,1)=" ",ISNUMBER(VALUE(LEFT(V30,1)))),V30,X29))</f>
        <v/>
      </c>
      <c r="Y30" s="36" t="n">
        <f aca="false">IF(AND(V30&lt;&gt;"",ISNUMBER(T30),LEFT(V30,9)&lt;&gt;"Total for",V30&lt;&gt;"Gross Profit",V30&lt;&gt;"Net Operating Revenue",V30&lt;&gt;"Net Other Revenue",V30&lt;&gt;"Net Revenue"),1,0)</f>
        <v>0</v>
      </c>
      <c r="Z30" s="36" t="str">
        <f aca="false">IF(Y30=1,IF(AND(LEN(V30)&gt;7,ISNUMBER(VALUE(LEFT(V30,6))),MID(V30,7,1)=" "),LEFT(V30,6),V30),"")</f>
        <v/>
      </c>
      <c r="AE30" s="36" t="str">
        <f aca="false">TRIM(AB30)</f>
        <v/>
      </c>
      <c r="AF30" s="36" t="str">
        <f aca="false">IF(AE30="Revenue","Revenue",IF(AE30="Cost of Goods Sold","COGS",IF(AE30="Expenditures","Expense",IF(AE30="Other Revenue","Other Revenue",IF(AE30="Other Expenditures","Other Expense",AF29)))))</f>
        <v/>
      </c>
      <c r="AG30" s="36" t="str">
        <f aca="false">IF(OR(AE30="Revenue",AE30="Cost of Goods Sold",AE30="Expenditures",AE30="Other Revenue",AE30="Other Expenditures"),AF30,IF(AND(LEN(AE30)&gt;2,MID(AE30,2,1)=" ",ISNUMBER(VALUE(LEFT(AE30,1)))),AE30,AG29))</f>
        <v/>
      </c>
      <c r="AH30" s="36" t="n">
        <f aca="false">IF(AND(AE30&lt;&gt;"",ISNUMBER(AC30),LEFT(AE30,9)&lt;&gt;"Total for",AE30&lt;&gt;"Gross Profit",AE30&lt;&gt;"Net Operating Revenue",AE30&lt;&gt;"Net Other Revenue",AE30&lt;&gt;"Net Revenue"),1,0)</f>
        <v>0</v>
      </c>
      <c r="AI30" s="36" t="str">
        <f aca="false">IF(AH30=1,IF(AND(LEN(AE30)&gt;7,ISNUMBER(VALUE(LEFT(AE30,6))),MID(AE30,7,1)=" "),LEFT(AE30,6),AE30),"")</f>
        <v/>
      </c>
      <c r="AN30" s="36" t="str">
        <f aca="false">TRIM(AK30)</f>
        <v/>
      </c>
      <c r="AO30" s="36" t="str">
        <f aca="false">IF(AN30="Revenue","Revenue",IF(AN30="Cost of Goods Sold","COGS",IF(AN30="Expenditures","Expense",IF(AN30="Other Revenue","Other Revenue",IF(AN30="Other Expenditures","Other Expense",AO29)))))</f>
        <v/>
      </c>
      <c r="AP30" s="36" t="str">
        <f aca="false">IF(OR(AN30="Revenue",AN30="Cost of Goods Sold",AN30="Expenditures",AN30="Other Revenue",AN30="Other Expenditures"),AO30,IF(AND(LEN(AN30)&gt;2,MID(AN30,2,1)=" ",ISNUMBER(VALUE(LEFT(AN30,1)))),AN30,AP29))</f>
        <v/>
      </c>
      <c r="AQ30" s="36" t="n">
        <f aca="false">IF(AND(AN30&lt;&gt;"",ISNUMBER(AL30),LEFT(AN30,9)&lt;&gt;"Total for",AN30&lt;&gt;"Gross Profit",AN30&lt;&gt;"Net Operating Revenue",AN30&lt;&gt;"Net Other Revenue",AN30&lt;&gt;"Net Revenue"),1,0)</f>
        <v>0</v>
      </c>
      <c r="AR30" s="36" t="str">
        <f aca="false">IF(AQ30=1,IF(AND(LEN(AN30)&gt;7,ISNUMBER(VALUE(LEFT(AN30,6))),MID(AN30,7,1)=" "),LEFT(AN30,6),AN30),"")</f>
        <v/>
      </c>
    </row>
    <row r="31" customFormat="false" ht="15" hidden="false" customHeight="false" outlineLevel="0" collapsed="false">
      <c r="D31" s="36" t="str">
        <f aca="false">TRIM(A31)</f>
        <v/>
      </c>
      <c r="E31" s="36" t="str">
        <f aca="false">IF(D31="Revenue","Revenue",IF(D31="Cost of Goods Sold","COGS",IF(D31="Expenditures","Expense",IF(D31="Other Revenue","Other Revenue",IF(D31="Other Expenditures","Other Expense",E30)))))</f>
        <v/>
      </c>
      <c r="F31" s="36" t="str">
        <f aca="false">IF(OR(D31="Revenue",D31="Cost of Goods Sold",D31="Expenditures",D31="Other Revenue",D31="Other Expenditures"),E31,IF(AND(LEN(D31)&gt;2,MID(D31,2,1)=" ",ISNUMBER(VALUE(LEFT(D31,1)))),D31,F30))</f>
        <v/>
      </c>
      <c r="G31" s="36" t="n">
        <f aca="false">IF(AND(D31&lt;&gt;"",ISNUMBER(B31),LEFT(D31,9)&lt;&gt;"Total for",D31&lt;&gt;"Gross Profit",D31&lt;&gt;"Net Operating Revenue",D31&lt;&gt;"Net Other Revenue",D31&lt;&gt;"Net Revenue"),1,0)</f>
        <v>0</v>
      </c>
      <c r="H31" s="36" t="str">
        <f aca="false">IF(G31=1,IF(AND(LEN(D31)&gt;7,ISNUMBER(VALUE(LEFT(D31,6))),MID(D31,7,1)=" "),LEFT(D31,6),D31),"")</f>
        <v/>
      </c>
      <c r="M31" s="36" t="str">
        <f aca="false">TRIM(J31)</f>
        <v/>
      </c>
      <c r="N31" s="36" t="str">
        <f aca="false">IF(M31="Revenue","Revenue",IF(M31="Cost of Goods Sold","COGS",IF(M31="Expenditures","Expense",IF(M31="Other Revenue","Other Revenue",IF(M31="Other Expenditures","Other Expense",N30)))))</f>
        <v/>
      </c>
      <c r="O31" s="36" t="str">
        <f aca="false">IF(OR(M31="Revenue",M31="Cost of Goods Sold",M31="Expenditures",M31="Other Revenue",M31="Other Expenditures"),N31,IF(AND(LEN(M31)&gt;2,MID(M31,2,1)=" ",ISNUMBER(VALUE(LEFT(M31,1)))),M31,O30))</f>
        <v/>
      </c>
      <c r="P31" s="36" t="n">
        <f aca="false">IF(AND(M31&lt;&gt;"",ISNUMBER(K31),LEFT(M31,9)&lt;&gt;"Total for",M31&lt;&gt;"Gross Profit",M31&lt;&gt;"Net Operating Revenue",M31&lt;&gt;"Net Other Revenue",M31&lt;&gt;"Net Revenue"),1,0)</f>
        <v>0</v>
      </c>
      <c r="Q31" s="36" t="str">
        <f aca="false">IF(P31=1,IF(AND(LEN(M31)&gt;7,ISNUMBER(VALUE(LEFT(M31,6))),MID(M31,7,1)=" "),LEFT(M31,6),M31),"")</f>
        <v/>
      </c>
      <c r="V31" s="36" t="str">
        <f aca="false">TRIM(S31)</f>
        <v/>
      </c>
      <c r="W31" s="36" t="str">
        <f aca="false">IF(V31="Revenue","Revenue",IF(V31="Cost of Goods Sold","COGS",IF(V31="Expenditures","Expense",IF(V31="Other Revenue","Other Revenue",IF(V31="Other Expenditures","Other Expense",W30)))))</f>
        <v/>
      </c>
      <c r="X31" s="36" t="str">
        <f aca="false">IF(OR(V31="Revenue",V31="Cost of Goods Sold",V31="Expenditures",V31="Other Revenue",V31="Other Expenditures"),W31,IF(AND(LEN(V31)&gt;2,MID(V31,2,1)=" ",ISNUMBER(VALUE(LEFT(V31,1)))),V31,X30))</f>
        <v/>
      </c>
      <c r="Y31" s="36" t="n">
        <f aca="false">IF(AND(V31&lt;&gt;"",ISNUMBER(T31),LEFT(V31,9)&lt;&gt;"Total for",V31&lt;&gt;"Gross Profit",V31&lt;&gt;"Net Operating Revenue",V31&lt;&gt;"Net Other Revenue",V31&lt;&gt;"Net Revenue"),1,0)</f>
        <v>0</v>
      </c>
      <c r="Z31" s="36" t="str">
        <f aca="false">IF(Y31=1,IF(AND(LEN(V31)&gt;7,ISNUMBER(VALUE(LEFT(V31,6))),MID(V31,7,1)=" "),LEFT(V31,6),V31),"")</f>
        <v/>
      </c>
      <c r="AE31" s="36" t="str">
        <f aca="false">TRIM(AB31)</f>
        <v/>
      </c>
      <c r="AF31" s="36" t="str">
        <f aca="false">IF(AE31="Revenue","Revenue",IF(AE31="Cost of Goods Sold","COGS",IF(AE31="Expenditures","Expense",IF(AE31="Other Revenue","Other Revenue",IF(AE31="Other Expenditures","Other Expense",AF30)))))</f>
        <v/>
      </c>
      <c r="AG31" s="36" t="str">
        <f aca="false">IF(OR(AE31="Revenue",AE31="Cost of Goods Sold",AE31="Expenditures",AE31="Other Revenue",AE31="Other Expenditures"),AF31,IF(AND(LEN(AE31)&gt;2,MID(AE31,2,1)=" ",ISNUMBER(VALUE(LEFT(AE31,1)))),AE31,AG30))</f>
        <v/>
      </c>
      <c r="AH31" s="36" t="n">
        <f aca="false">IF(AND(AE31&lt;&gt;"",ISNUMBER(AC31),LEFT(AE31,9)&lt;&gt;"Total for",AE31&lt;&gt;"Gross Profit",AE31&lt;&gt;"Net Operating Revenue",AE31&lt;&gt;"Net Other Revenue",AE31&lt;&gt;"Net Revenue"),1,0)</f>
        <v>0</v>
      </c>
      <c r="AI31" s="36" t="str">
        <f aca="false">IF(AH31=1,IF(AND(LEN(AE31)&gt;7,ISNUMBER(VALUE(LEFT(AE31,6))),MID(AE31,7,1)=" "),LEFT(AE31,6),AE31),"")</f>
        <v/>
      </c>
      <c r="AN31" s="36" t="str">
        <f aca="false">TRIM(AK31)</f>
        <v/>
      </c>
      <c r="AO31" s="36" t="str">
        <f aca="false">IF(AN31="Revenue","Revenue",IF(AN31="Cost of Goods Sold","COGS",IF(AN31="Expenditures","Expense",IF(AN31="Other Revenue","Other Revenue",IF(AN31="Other Expenditures","Other Expense",AO30)))))</f>
        <v/>
      </c>
      <c r="AP31" s="36" t="str">
        <f aca="false">IF(OR(AN31="Revenue",AN31="Cost of Goods Sold",AN31="Expenditures",AN31="Other Revenue",AN31="Other Expenditures"),AO31,IF(AND(LEN(AN31)&gt;2,MID(AN31,2,1)=" ",ISNUMBER(VALUE(LEFT(AN31,1)))),AN31,AP30))</f>
        <v/>
      </c>
      <c r="AQ31" s="36" t="n">
        <f aca="false">IF(AND(AN31&lt;&gt;"",ISNUMBER(AL31),LEFT(AN31,9)&lt;&gt;"Total for",AN31&lt;&gt;"Gross Profit",AN31&lt;&gt;"Net Operating Revenue",AN31&lt;&gt;"Net Other Revenue",AN31&lt;&gt;"Net Revenue"),1,0)</f>
        <v>0</v>
      </c>
      <c r="AR31" s="36" t="str">
        <f aca="false">IF(AQ31=1,IF(AND(LEN(AN31)&gt;7,ISNUMBER(VALUE(LEFT(AN31,6))),MID(AN31,7,1)=" "),LEFT(AN31,6),AN31),"")</f>
        <v/>
      </c>
    </row>
    <row r="32" customFormat="false" ht="15" hidden="false" customHeight="false" outlineLevel="0" collapsed="false">
      <c r="D32" s="36" t="str">
        <f aca="false">TRIM(A32)</f>
        <v/>
      </c>
      <c r="E32" s="36" t="str">
        <f aca="false">IF(D32="Revenue","Revenue",IF(D32="Cost of Goods Sold","COGS",IF(D32="Expenditures","Expense",IF(D32="Other Revenue","Other Revenue",IF(D32="Other Expenditures","Other Expense",E31)))))</f>
        <v/>
      </c>
      <c r="F32" s="36" t="str">
        <f aca="false">IF(OR(D32="Revenue",D32="Cost of Goods Sold",D32="Expenditures",D32="Other Revenue",D32="Other Expenditures"),E32,IF(AND(LEN(D32)&gt;2,MID(D32,2,1)=" ",ISNUMBER(VALUE(LEFT(D32,1)))),D32,F31))</f>
        <v/>
      </c>
      <c r="G32" s="36" t="n">
        <f aca="false">IF(AND(D32&lt;&gt;"",ISNUMBER(B32),LEFT(D32,9)&lt;&gt;"Total for",D32&lt;&gt;"Gross Profit",D32&lt;&gt;"Net Operating Revenue",D32&lt;&gt;"Net Other Revenue",D32&lt;&gt;"Net Revenue"),1,0)</f>
        <v>0</v>
      </c>
      <c r="H32" s="36" t="str">
        <f aca="false">IF(G32=1,IF(AND(LEN(D32)&gt;7,ISNUMBER(VALUE(LEFT(D32,6))),MID(D32,7,1)=" "),LEFT(D32,6),D32),"")</f>
        <v/>
      </c>
      <c r="M32" s="36" t="str">
        <f aca="false">TRIM(J32)</f>
        <v/>
      </c>
      <c r="N32" s="36" t="str">
        <f aca="false">IF(M32="Revenue","Revenue",IF(M32="Cost of Goods Sold","COGS",IF(M32="Expenditures","Expense",IF(M32="Other Revenue","Other Revenue",IF(M32="Other Expenditures","Other Expense",N31)))))</f>
        <v/>
      </c>
      <c r="O32" s="36" t="str">
        <f aca="false">IF(OR(M32="Revenue",M32="Cost of Goods Sold",M32="Expenditures",M32="Other Revenue",M32="Other Expenditures"),N32,IF(AND(LEN(M32)&gt;2,MID(M32,2,1)=" ",ISNUMBER(VALUE(LEFT(M32,1)))),M32,O31))</f>
        <v/>
      </c>
      <c r="P32" s="36" t="n">
        <f aca="false">IF(AND(M32&lt;&gt;"",ISNUMBER(K32),LEFT(M32,9)&lt;&gt;"Total for",M32&lt;&gt;"Gross Profit",M32&lt;&gt;"Net Operating Revenue",M32&lt;&gt;"Net Other Revenue",M32&lt;&gt;"Net Revenue"),1,0)</f>
        <v>0</v>
      </c>
      <c r="Q32" s="36" t="str">
        <f aca="false">IF(P32=1,IF(AND(LEN(M32)&gt;7,ISNUMBER(VALUE(LEFT(M32,6))),MID(M32,7,1)=" "),LEFT(M32,6),M32),"")</f>
        <v/>
      </c>
      <c r="V32" s="36" t="str">
        <f aca="false">TRIM(S32)</f>
        <v/>
      </c>
      <c r="W32" s="36" t="str">
        <f aca="false">IF(V32="Revenue","Revenue",IF(V32="Cost of Goods Sold","COGS",IF(V32="Expenditures","Expense",IF(V32="Other Revenue","Other Revenue",IF(V32="Other Expenditures","Other Expense",W31)))))</f>
        <v/>
      </c>
      <c r="X32" s="36" t="str">
        <f aca="false">IF(OR(V32="Revenue",V32="Cost of Goods Sold",V32="Expenditures",V32="Other Revenue",V32="Other Expenditures"),W32,IF(AND(LEN(V32)&gt;2,MID(V32,2,1)=" ",ISNUMBER(VALUE(LEFT(V32,1)))),V32,X31))</f>
        <v/>
      </c>
      <c r="Y32" s="36" t="n">
        <f aca="false">IF(AND(V32&lt;&gt;"",ISNUMBER(T32),LEFT(V32,9)&lt;&gt;"Total for",V32&lt;&gt;"Gross Profit",V32&lt;&gt;"Net Operating Revenue",V32&lt;&gt;"Net Other Revenue",V32&lt;&gt;"Net Revenue"),1,0)</f>
        <v>0</v>
      </c>
      <c r="Z32" s="36" t="str">
        <f aca="false">IF(Y32=1,IF(AND(LEN(V32)&gt;7,ISNUMBER(VALUE(LEFT(V32,6))),MID(V32,7,1)=" "),LEFT(V32,6),V32),"")</f>
        <v/>
      </c>
      <c r="AE32" s="36" t="str">
        <f aca="false">TRIM(AB32)</f>
        <v/>
      </c>
      <c r="AF32" s="36" t="str">
        <f aca="false">IF(AE32="Revenue","Revenue",IF(AE32="Cost of Goods Sold","COGS",IF(AE32="Expenditures","Expense",IF(AE32="Other Revenue","Other Revenue",IF(AE32="Other Expenditures","Other Expense",AF31)))))</f>
        <v/>
      </c>
      <c r="AG32" s="36" t="str">
        <f aca="false">IF(OR(AE32="Revenue",AE32="Cost of Goods Sold",AE32="Expenditures",AE32="Other Revenue",AE32="Other Expenditures"),AF32,IF(AND(LEN(AE32)&gt;2,MID(AE32,2,1)=" ",ISNUMBER(VALUE(LEFT(AE32,1)))),AE32,AG31))</f>
        <v/>
      </c>
      <c r="AH32" s="36" t="n">
        <f aca="false">IF(AND(AE32&lt;&gt;"",ISNUMBER(AC32),LEFT(AE32,9)&lt;&gt;"Total for",AE32&lt;&gt;"Gross Profit",AE32&lt;&gt;"Net Operating Revenue",AE32&lt;&gt;"Net Other Revenue",AE32&lt;&gt;"Net Revenue"),1,0)</f>
        <v>0</v>
      </c>
      <c r="AI32" s="36" t="str">
        <f aca="false">IF(AH32=1,IF(AND(LEN(AE32)&gt;7,ISNUMBER(VALUE(LEFT(AE32,6))),MID(AE32,7,1)=" "),LEFT(AE32,6),AE32),"")</f>
        <v/>
      </c>
      <c r="AN32" s="36" t="str">
        <f aca="false">TRIM(AK32)</f>
        <v/>
      </c>
      <c r="AO32" s="36" t="str">
        <f aca="false">IF(AN32="Revenue","Revenue",IF(AN32="Cost of Goods Sold","COGS",IF(AN32="Expenditures","Expense",IF(AN32="Other Revenue","Other Revenue",IF(AN32="Other Expenditures","Other Expense",AO31)))))</f>
        <v/>
      </c>
      <c r="AP32" s="36" t="str">
        <f aca="false">IF(OR(AN32="Revenue",AN32="Cost of Goods Sold",AN32="Expenditures",AN32="Other Revenue",AN32="Other Expenditures"),AO32,IF(AND(LEN(AN32)&gt;2,MID(AN32,2,1)=" ",ISNUMBER(VALUE(LEFT(AN32,1)))),AN32,AP31))</f>
        <v/>
      </c>
      <c r="AQ32" s="36" t="n">
        <f aca="false">IF(AND(AN32&lt;&gt;"",ISNUMBER(AL32),LEFT(AN32,9)&lt;&gt;"Total for",AN32&lt;&gt;"Gross Profit",AN32&lt;&gt;"Net Operating Revenue",AN32&lt;&gt;"Net Other Revenue",AN32&lt;&gt;"Net Revenue"),1,0)</f>
        <v>0</v>
      </c>
      <c r="AR32" s="36" t="str">
        <f aca="false">IF(AQ32=1,IF(AND(LEN(AN32)&gt;7,ISNUMBER(VALUE(LEFT(AN32,6))),MID(AN32,7,1)=" "),LEFT(AN32,6),AN32),"")</f>
        <v/>
      </c>
    </row>
    <row r="33" customFormat="false" ht="15" hidden="false" customHeight="false" outlineLevel="0" collapsed="false">
      <c r="D33" s="36" t="str">
        <f aca="false">TRIM(A33)</f>
        <v/>
      </c>
      <c r="E33" s="36" t="str">
        <f aca="false">IF(D33="Revenue","Revenue",IF(D33="Cost of Goods Sold","COGS",IF(D33="Expenditures","Expense",IF(D33="Other Revenue","Other Revenue",IF(D33="Other Expenditures","Other Expense",E32)))))</f>
        <v/>
      </c>
      <c r="F33" s="36" t="str">
        <f aca="false">IF(OR(D33="Revenue",D33="Cost of Goods Sold",D33="Expenditures",D33="Other Revenue",D33="Other Expenditures"),E33,IF(AND(LEN(D33)&gt;2,MID(D33,2,1)=" ",ISNUMBER(VALUE(LEFT(D33,1)))),D33,F32))</f>
        <v/>
      </c>
      <c r="G33" s="36" t="n">
        <f aca="false">IF(AND(D33&lt;&gt;"",ISNUMBER(B33),LEFT(D33,9)&lt;&gt;"Total for",D33&lt;&gt;"Gross Profit",D33&lt;&gt;"Net Operating Revenue",D33&lt;&gt;"Net Other Revenue",D33&lt;&gt;"Net Revenue"),1,0)</f>
        <v>0</v>
      </c>
      <c r="H33" s="36" t="str">
        <f aca="false">IF(G33=1,IF(AND(LEN(D33)&gt;7,ISNUMBER(VALUE(LEFT(D33,6))),MID(D33,7,1)=" "),LEFT(D33,6),D33),"")</f>
        <v/>
      </c>
      <c r="M33" s="36" t="str">
        <f aca="false">TRIM(J33)</f>
        <v/>
      </c>
      <c r="N33" s="36" t="str">
        <f aca="false">IF(M33="Revenue","Revenue",IF(M33="Cost of Goods Sold","COGS",IF(M33="Expenditures","Expense",IF(M33="Other Revenue","Other Revenue",IF(M33="Other Expenditures","Other Expense",N32)))))</f>
        <v/>
      </c>
      <c r="O33" s="36" t="str">
        <f aca="false">IF(OR(M33="Revenue",M33="Cost of Goods Sold",M33="Expenditures",M33="Other Revenue",M33="Other Expenditures"),N33,IF(AND(LEN(M33)&gt;2,MID(M33,2,1)=" ",ISNUMBER(VALUE(LEFT(M33,1)))),M33,O32))</f>
        <v/>
      </c>
      <c r="P33" s="36" t="n">
        <f aca="false">IF(AND(M33&lt;&gt;"",ISNUMBER(K33),LEFT(M33,9)&lt;&gt;"Total for",M33&lt;&gt;"Gross Profit",M33&lt;&gt;"Net Operating Revenue",M33&lt;&gt;"Net Other Revenue",M33&lt;&gt;"Net Revenue"),1,0)</f>
        <v>0</v>
      </c>
      <c r="Q33" s="36" t="str">
        <f aca="false">IF(P33=1,IF(AND(LEN(M33)&gt;7,ISNUMBER(VALUE(LEFT(M33,6))),MID(M33,7,1)=" "),LEFT(M33,6),M33),"")</f>
        <v/>
      </c>
      <c r="V33" s="36" t="str">
        <f aca="false">TRIM(S33)</f>
        <v/>
      </c>
      <c r="W33" s="36" t="str">
        <f aca="false">IF(V33="Revenue","Revenue",IF(V33="Cost of Goods Sold","COGS",IF(V33="Expenditures","Expense",IF(V33="Other Revenue","Other Revenue",IF(V33="Other Expenditures","Other Expense",W32)))))</f>
        <v/>
      </c>
      <c r="X33" s="36" t="str">
        <f aca="false">IF(OR(V33="Revenue",V33="Cost of Goods Sold",V33="Expenditures",V33="Other Revenue",V33="Other Expenditures"),W33,IF(AND(LEN(V33)&gt;2,MID(V33,2,1)=" ",ISNUMBER(VALUE(LEFT(V33,1)))),V33,X32))</f>
        <v/>
      </c>
      <c r="Y33" s="36" t="n">
        <f aca="false">IF(AND(V33&lt;&gt;"",ISNUMBER(T33),LEFT(V33,9)&lt;&gt;"Total for",V33&lt;&gt;"Gross Profit",V33&lt;&gt;"Net Operating Revenue",V33&lt;&gt;"Net Other Revenue",V33&lt;&gt;"Net Revenue"),1,0)</f>
        <v>0</v>
      </c>
      <c r="Z33" s="36" t="str">
        <f aca="false">IF(Y33=1,IF(AND(LEN(V33)&gt;7,ISNUMBER(VALUE(LEFT(V33,6))),MID(V33,7,1)=" "),LEFT(V33,6),V33),"")</f>
        <v/>
      </c>
      <c r="AE33" s="36" t="str">
        <f aca="false">TRIM(AB33)</f>
        <v/>
      </c>
      <c r="AF33" s="36" t="str">
        <f aca="false">IF(AE33="Revenue","Revenue",IF(AE33="Cost of Goods Sold","COGS",IF(AE33="Expenditures","Expense",IF(AE33="Other Revenue","Other Revenue",IF(AE33="Other Expenditures","Other Expense",AF32)))))</f>
        <v/>
      </c>
      <c r="AG33" s="36" t="str">
        <f aca="false">IF(OR(AE33="Revenue",AE33="Cost of Goods Sold",AE33="Expenditures",AE33="Other Revenue",AE33="Other Expenditures"),AF33,IF(AND(LEN(AE33)&gt;2,MID(AE33,2,1)=" ",ISNUMBER(VALUE(LEFT(AE33,1)))),AE33,AG32))</f>
        <v/>
      </c>
      <c r="AH33" s="36" t="n">
        <f aca="false">IF(AND(AE33&lt;&gt;"",ISNUMBER(AC33),LEFT(AE33,9)&lt;&gt;"Total for",AE33&lt;&gt;"Gross Profit",AE33&lt;&gt;"Net Operating Revenue",AE33&lt;&gt;"Net Other Revenue",AE33&lt;&gt;"Net Revenue"),1,0)</f>
        <v>0</v>
      </c>
      <c r="AI33" s="36" t="str">
        <f aca="false">IF(AH33=1,IF(AND(LEN(AE33)&gt;7,ISNUMBER(VALUE(LEFT(AE33,6))),MID(AE33,7,1)=" "),LEFT(AE33,6),AE33),"")</f>
        <v/>
      </c>
      <c r="AN33" s="36" t="str">
        <f aca="false">TRIM(AK33)</f>
        <v/>
      </c>
      <c r="AO33" s="36" t="str">
        <f aca="false">IF(AN33="Revenue","Revenue",IF(AN33="Cost of Goods Sold","COGS",IF(AN33="Expenditures","Expense",IF(AN33="Other Revenue","Other Revenue",IF(AN33="Other Expenditures","Other Expense",AO32)))))</f>
        <v/>
      </c>
      <c r="AP33" s="36" t="str">
        <f aca="false">IF(OR(AN33="Revenue",AN33="Cost of Goods Sold",AN33="Expenditures",AN33="Other Revenue",AN33="Other Expenditures"),AO33,IF(AND(LEN(AN33)&gt;2,MID(AN33,2,1)=" ",ISNUMBER(VALUE(LEFT(AN33,1)))),AN33,AP32))</f>
        <v/>
      </c>
      <c r="AQ33" s="36" t="n">
        <f aca="false">IF(AND(AN33&lt;&gt;"",ISNUMBER(AL33),LEFT(AN33,9)&lt;&gt;"Total for",AN33&lt;&gt;"Gross Profit",AN33&lt;&gt;"Net Operating Revenue",AN33&lt;&gt;"Net Other Revenue",AN33&lt;&gt;"Net Revenue"),1,0)</f>
        <v>0</v>
      </c>
      <c r="AR33" s="36" t="str">
        <f aca="false">IF(AQ33=1,IF(AND(LEN(AN33)&gt;7,ISNUMBER(VALUE(LEFT(AN33,6))),MID(AN33,7,1)=" "),LEFT(AN33,6),AN33),"")</f>
        <v/>
      </c>
    </row>
    <row r="34" customFormat="false" ht="15" hidden="false" customHeight="false" outlineLevel="0" collapsed="false">
      <c r="D34" s="36" t="str">
        <f aca="false">TRIM(A34)</f>
        <v/>
      </c>
      <c r="E34" s="36" t="str">
        <f aca="false">IF(D34="Revenue","Revenue",IF(D34="Cost of Goods Sold","COGS",IF(D34="Expenditures","Expense",IF(D34="Other Revenue","Other Revenue",IF(D34="Other Expenditures","Other Expense",E33)))))</f>
        <v/>
      </c>
      <c r="F34" s="36" t="str">
        <f aca="false">IF(OR(D34="Revenue",D34="Cost of Goods Sold",D34="Expenditures",D34="Other Revenue",D34="Other Expenditures"),E34,IF(AND(LEN(D34)&gt;2,MID(D34,2,1)=" ",ISNUMBER(VALUE(LEFT(D34,1)))),D34,F33))</f>
        <v/>
      </c>
      <c r="G34" s="36" t="n">
        <f aca="false">IF(AND(D34&lt;&gt;"",ISNUMBER(B34),LEFT(D34,9)&lt;&gt;"Total for",D34&lt;&gt;"Gross Profit",D34&lt;&gt;"Net Operating Revenue",D34&lt;&gt;"Net Other Revenue",D34&lt;&gt;"Net Revenue"),1,0)</f>
        <v>0</v>
      </c>
      <c r="H34" s="36" t="str">
        <f aca="false">IF(G34=1,IF(AND(LEN(D34)&gt;7,ISNUMBER(VALUE(LEFT(D34,6))),MID(D34,7,1)=" "),LEFT(D34,6),D34),"")</f>
        <v/>
      </c>
      <c r="M34" s="36" t="str">
        <f aca="false">TRIM(J34)</f>
        <v/>
      </c>
      <c r="N34" s="36" t="str">
        <f aca="false">IF(M34="Revenue","Revenue",IF(M34="Cost of Goods Sold","COGS",IF(M34="Expenditures","Expense",IF(M34="Other Revenue","Other Revenue",IF(M34="Other Expenditures","Other Expense",N33)))))</f>
        <v/>
      </c>
      <c r="O34" s="36" t="str">
        <f aca="false">IF(OR(M34="Revenue",M34="Cost of Goods Sold",M34="Expenditures",M34="Other Revenue",M34="Other Expenditures"),N34,IF(AND(LEN(M34)&gt;2,MID(M34,2,1)=" ",ISNUMBER(VALUE(LEFT(M34,1)))),M34,O33))</f>
        <v/>
      </c>
      <c r="P34" s="36" t="n">
        <f aca="false">IF(AND(M34&lt;&gt;"",ISNUMBER(K34),LEFT(M34,9)&lt;&gt;"Total for",M34&lt;&gt;"Gross Profit",M34&lt;&gt;"Net Operating Revenue",M34&lt;&gt;"Net Other Revenue",M34&lt;&gt;"Net Revenue"),1,0)</f>
        <v>0</v>
      </c>
      <c r="Q34" s="36" t="str">
        <f aca="false">IF(P34=1,IF(AND(LEN(M34)&gt;7,ISNUMBER(VALUE(LEFT(M34,6))),MID(M34,7,1)=" "),LEFT(M34,6),M34),"")</f>
        <v/>
      </c>
      <c r="V34" s="36" t="str">
        <f aca="false">TRIM(S34)</f>
        <v/>
      </c>
      <c r="W34" s="36" t="str">
        <f aca="false">IF(V34="Revenue","Revenue",IF(V34="Cost of Goods Sold","COGS",IF(V34="Expenditures","Expense",IF(V34="Other Revenue","Other Revenue",IF(V34="Other Expenditures","Other Expense",W33)))))</f>
        <v/>
      </c>
      <c r="X34" s="36" t="str">
        <f aca="false">IF(OR(V34="Revenue",V34="Cost of Goods Sold",V34="Expenditures",V34="Other Revenue",V34="Other Expenditures"),W34,IF(AND(LEN(V34)&gt;2,MID(V34,2,1)=" ",ISNUMBER(VALUE(LEFT(V34,1)))),V34,X33))</f>
        <v/>
      </c>
      <c r="Y34" s="36" t="n">
        <f aca="false">IF(AND(V34&lt;&gt;"",ISNUMBER(T34),LEFT(V34,9)&lt;&gt;"Total for",V34&lt;&gt;"Gross Profit",V34&lt;&gt;"Net Operating Revenue",V34&lt;&gt;"Net Other Revenue",V34&lt;&gt;"Net Revenue"),1,0)</f>
        <v>0</v>
      </c>
      <c r="Z34" s="36" t="str">
        <f aca="false">IF(Y34=1,IF(AND(LEN(V34)&gt;7,ISNUMBER(VALUE(LEFT(V34,6))),MID(V34,7,1)=" "),LEFT(V34,6),V34),"")</f>
        <v/>
      </c>
      <c r="AE34" s="36" t="str">
        <f aca="false">TRIM(AB34)</f>
        <v/>
      </c>
      <c r="AF34" s="36" t="str">
        <f aca="false">IF(AE34="Revenue","Revenue",IF(AE34="Cost of Goods Sold","COGS",IF(AE34="Expenditures","Expense",IF(AE34="Other Revenue","Other Revenue",IF(AE34="Other Expenditures","Other Expense",AF33)))))</f>
        <v/>
      </c>
      <c r="AG34" s="36" t="str">
        <f aca="false">IF(OR(AE34="Revenue",AE34="Cost of Goods Sold",AE34="Expenditures",AE34="Other Revenue",AE34="Other Expenditures"),AF34,IF(AND(LEN(AE34)&gt;2,MID(AE34,2,1)=" ",ISNUMBER(VALUE(LEFT(AE34,1)))),AE34,AG33))</f>
        <v/>
      </c>
      <c r="AH34" s="36" t="n">
        <f aca="false">IF(AND(AE34&lt;&gt;"",ISNUMBER(AC34),LEFT(AE34,9)&lt;&gt;"Total for",AE34&lt;&gt;"Gross Profit",AE34&lt;&gt;"Net Operating Revenue",AE34&lt;&gt;"Net Other Revenue",AE34&lt;&gt;"Net Revenue"),1,0)</f>
        <v>0</v>
      </c>
      <c r="AI34" s="36" t="str">
        <f aca="false">IF(AH34=1,IF(AND(LEN(AE34)&gt;7,ISNUMBER(VALUE(LEFT(AE34,6))),MID(AE34,7,1)=" "),LEFT(AE34,6),AE34),"")</f>
        <v/>
      </c>
      <c r="AN34" s="36" t="str">
        <f aca="false">TRIM(AK34)</f>
        <v/>
      </c>
      <c r="AO34" s="36" t="str">
        <f aca="false">IF(AN34="Revenue","Revenue",IF(AN34="Cost of Goods Sold","COGS",IF(AN34="Expenditures","Expense",IF(AN34="Other Revenue","Other Revenue",IF(AN34="Other Expenditures","Other Expense",AO33)))))</f>
        <v/>
      </c>
      <c r="AP34" s="36" t="str">
        <f aca="false">IF(OR(AN34="Revenue",AN34="Cost of Goods Sold",AN34="Expenditures",AN34="Other Revenue",AN34="Other Expenditures"),AO34,IF(AND(LEN(AN34)&gt;2,MID(AN34,2,1)=" ",ISNUMBER(VALUE(LEFT(AN34,1)))),AN34,AP33))</f>
        <v/>
      </c>
      <c r="AQ34" s="36" t="n">
        <f aca="false">IF(AND(AN34&lt;&gt;"",ISNUMBER(AL34),LEFT(AN34,9)&lt;&gt;"Total for",AN34&lt;&gt;"Gross Profit",AN34&lt;&gt;"Net Operating Revenue",AN34&lt;&gt;"Net Other Revenue",AN34&lt;&gt;"Net Revenue"),1,0)</f>
        <v>0</v>
      </c>
      <c r="AR34" s="36" t="str">
        <f aca="false">IF(AQ34=1,IF(AND(LEN(AN34)&gt;7,ISNUMBER(VALUE(LEFT(AN34,6))),MID(AN34,7,1)=" "),LEFT(AN34,6),AN34),"")</f>
        <v/>
      </c>
    </row>
    <row r="35" customFormat="false" ht="15" hidden="false" customHeight="false" outlineLevel="0" collapsed="false">
      <c r="D35" s="36" t="str">
        <f aca="false">TRIM(A35)</f>
        <v/>
      </c>
      <c r="E35" s="36" t="str">
        <f aca="false">IF(D35="Revenue","Revenue",IF(D35="Cost of Goods Sold","COGS",IF(D35="Expenditures","Expense",IF(D35="Other Revenue","Other Revenue",IF(D35="Other Expenditures","Other Expense",E34)))))</f>
        <v/>
      </c>
      <c r="F35" s="36" t="str">
        <f aca="false">IF(OR(D35="Revenue",D35="Cost of Goods Sold",D35="Expenditures",D35="Other Revenue",D35="Other Expenditures"),E35,IF(AND(LEN(D35)&gt;2,MID(D35,2,1)=" ",ISNUMBER(VALUE(LEFT(D35,1)))),D35,F34))</f>
        <v/>
      </c>
      <c r="G35" s="36" t="n">
        <f aca="false">IF(AND(D35&lt;&gt;"",ISNUMBER(B35),LEFT(D35,9)&lt;&gt;"Total for",D35&lt;&gt;"Gross Profit",D35&lt;&gt;"Net Operating Revenue",D35&lt;&gt;"Net Other Revenue",D35&lt;&gt;"Net Revenue"),1,0)</f>
        <v>0</v>
      </c>
      <c r="H35" s="36" t="str">
        <f aca="false">IF(G35=1,IF(AND(LEN(D35)&gt;7,ISNUMBER(VALUE(LEFT(D35,6))),MID(D35,7,1)=" "),LEFT(D35,6),D35),"")</f>
        <v/>
      </c>
      <c r="M35" s="36" t="str">
        <f aca="false">TRIM(J35)</f>
        <v/>
      </c>
      <c r="N35" s="36" t="str">
        <f aca="false">IF(M35="Revenue","Revenue",IF(M35="Cost of Goods Sold","COGS",IF(M35="Expenditures","Expense",IF(M35="Other Revenue","Other Revenue",IF(M35="Other Expenditures","Other Expense",N34)))))</f>
        <v/>
      </c>
      <c r="O35" s="36" t="str">
        <f aca="false">IF(OR(M35="Revenue",M35="Cost of Goods Sold",M35="Expenditures",M35="Other Revenue",M35="Other Expenditures"),N35,IF(AND(LEN(M35)&gt;2,MID(M35,2,1)=" ",ISNUMBER(VALUE(LEFT(M35,1)))),M35,O34))</f>
        <v/>
      </c>
      <c r="P35" s="36" t="n">
        <f aca="false">IF(AND(M35&lt;&gt;"",ISNUMBER(K35),LEFT(M35,9)&lt;&gt;"Total for",M35&lt;&gt;"Gross Profit",M35&lt;&gt;"Net Operating Revenue",M35&lt;&gt;"Net Other Revenue",M35&lt;&gt;"Net Revenue"),1,0)</f>
        <v>0</v>
      </c>
      <c r="Q35" s="36" t="str">
        <f aca="false">IF(P35=1,IF(AND(LEN(M35)&gt;7,ISNUMBER(VALUE(LEFT(M35,6))),MID(M35,7,1)=" "),LEFT(M35,6),M35),"")</f>
        <v/>
      </c>
      <c r="V35" s="36" t="str">
        <f aca="false">TRIM(S35)</f>
        <v/>
      </c>
      <c r="W35" s="36" t="str">
        <f aca="false">IF(V35="Revenue","Revenue",IF(V35="Cost of Goods Sold","COGS",IF(V35="Expenditures","Expense",IF(V35="Other Revenue","Other Revenue",IF(V35="Other Expenditures","Other Expense",W34)))))</f>
        <v/>
      </c>
      <c r="X35" s="36" t="str">
        <f aca="false">IF(OR(V35="Revenue",V35="Cost of Goods Sold",V35="Expenditures",V35="Other Revenue",V35="Other Expenditures"),W35,IF(AND(LEN(V35)&gt;2,MID(V35,2,1)=" ",ISNUMBER(VALUE(LEFT(V35,1)))),V35,X34))</f>
        <v/>
      </c>
      <c r="Y35" s="36" t="n">
        <f aca="false">IF(AND(V35&lt;&gt;"",ISNUMBER(T35),LEFT(V35,9)&lt;&gt;"Total for",V35&lt;&gt;"Gross Profit",V35&lt;&gt;"Net Operating Revenue",V35&lt;&gt;"Net Other Revenue",V35&lt;&gt;"Net Revenue"),1,0)</f>
        <v>0</v>
      </c>
      <c r="Z35" s="36" t="str">
        <f aca="false">IF(Y35=1,IF(AND(LEN(V35)&gt;7,ISNUMBER(VALUE(LEFT(V35,6))),MID(V35,7,1)=" "),LEFT(V35,6),V35),"")</f>
        <v/>
      </c>
      <c r="AE35" s="36" t="str">
        <f aca="false">TRIM(AB35)</f>
        <v/>
      </c>
      <c r="AF35" s="36" t="str">
        <f aca="false">IF(AE35="Revenue","Revenue",IF(AE35="Cost of Goods Sold","COGS",IF(AE35="Expenditures","Expense",IF(AE35="Other Revenue","Other Revenue",IF(AE35="Other Expenditures","Other Expense",AF34)))))</f>
        <v/>
      </c>
      <c r="AG35" s="36" t="str">
        <f aca="false">IF(OR(AE35="Revenue",AE35="Cost of Goods Sold",AE35="Expenditures",AE35="Other Revenue",AE35="Other Expenditures"),AF35,IF(AND(LEN(AE35)&gt;2,MID(AE35,2,1)=" ",ISNUMBER(VALUE(LEFT(AE35,1)))),AE35,AG34))</f>
        <v/>
      </c>
      <c r="AH35" s="36" t="n">
        <f aca="false">IF(AND(AE35&lt;&gt;"",ISNUMBER(AC35),LEFT(AE35,9)&lt;&gt;"Total for",AE35&lt;&gt;"Gross Profit",AE35&lt;&gt;"Net Operating Revenue",AE35&lt;&gt;"Net Other Revenue",AE35&lt;&gt;"Net Revenue"),1,0)</f>
        <v>0</v>
      </c>
      <c r="AI35" s="36" t="str">
        <f aca="false">IF(AH35=1,IF(AND(LEN(AE35)&gt;7,ISNUMBER(VALUE(LEFT(AE35,6))),MID(AE35,7,1)=" "),LEFT(AE35,6),AE35),"")</f>
        <v/>
      </c>
      <c r="AN35" s="36" t="str">
        <f aca="false">TRIM(AK35)</f>
        <v/>
      </c>
      <c r="AO35" s="36" t="str">
        <f aca="false">IF(AN35="Revenue","Revenue",IF(AN35="Cost of Goods Sold","COGS",IF(AN35="Expenditures","Expense",IF(AN35="Other Revenue","Other Revenue",IF(AN35="Other Expenditures","Other Expense",AO34)))))</f>
        <v/>
      </c>
      <c r="AP35" s="36" t="str">
        <f aca="false">IF(OR(AN35="Revenue",AN35="Cost of Goods Sold",AN35="Expenditures",AN35="Other Revenue",AN35="Other Expenditures"),AO35,IF(AND(LEN(AN35)&gt;2,MID(AN35,2,1)=" ",ISNUMBER(VALUE(LEFT(AN35,1)))),AN35,AP34))</f>
        <v/>
      </c>
      <c r="AQ35" s="36" t="n">
        <f aca="false">IF(AND(AN35&lt;&gt;"",ISNUMBER(AL35),LEFT(AN35,9)&lt;&gt;"Total for",AN35&lt;&gt;"Gross Profit",AN35&lt;&gt;"Net Operating Revenue",AN35&lt;&gt;"Net Other Revenue",AN35&lt;&gt;"Net Revenue"),1,0)</f>
        <v>0</v>
      </c>
      <c r="AR35" s="36" t="str">
        <f aca="false">IF(AQ35=1,IF(AND(LEN(AN35)&gt;7,ISNUMBER(VALUE(LEFT(AN35,6))),MID(AN35,7,1)=" "),LEFT(AN35,6),AN35),"")</f>
        <v/>
      </c>
    </row>
    <row r="36" customFormat="false" ht="15" hidden="false" customHeight="false" outlineLevel="0" collapsed="false">
      <c r="D36" s="36" t="str">
        <f aca="false">TRIM(A36)</f>
        <v/>
      </c>
      <c r="E36" s="36" t="str">
        <f aca="false">IF(D36="Revenue","Revenue",IF(D36="Cost of Goods Sold","COGS",IF(D36="Expenditures","Expense",IF(D36="Other Revenue","Other Revenue",IF(D36="Other Expenditures","Other Expense",E35)))))</f>
        <v/>
      </c>
      <c r="F36" s="36" t="str">
        <f aca="false">IF(OR(D36="Revenue",D36="Cost of Goods Sold",D36="Expenditures",D36="Other Revenue",D36="Other Expenditures"),E36,IF(AND(LEN(D36)&gt;2,MID(D36,2,1)=" ",ISNUMBER(VALUE(LEFT(D36,1)))),D36,F35))</f>
        <v/>
      </c>
      <c r="G36" s="36" t="n">
        <f aca="false">IF(AND(D36&lt;&gt;"",ISNUMBER(B36),LEFT(D36,9)&lt;&gt;"Total for",D36&lt;&gt;"Gross Profit",D36&lt;&gt;"Net Operating Revenue",D36&lt;&gt;"Net Other Revenue",D36&lt;&gt;"Net Revenue"),1,0)</f>
        <v>0</v>
      </c>
      <c r="H36" s="36" t="str">
        <f aca="false">IF(G36=1,IF(AND(LEN(D36)&gt;7,ISNUMBER(VALUE(LEFT(D36,6))),MID(D36,7,1)=" "),LEFT(D36,6),D36),"")</f>
        <v/>
      </c>
      <c r="M36" s="36" t="str">
        <f aca="false">TRIM(J36)</f>
        <v/>
      </c>
      <c r="N36" s="36" t="str">
        <f aca="false">IF(M36="Revenue","Revenue",IF(M36="Cost of Goods Sold","COGS",IF(M36="Expenditures","Expense",IF(M36="Other Revenue","Other Revenue",IF(M36="Other Expenditures","Other Expense",N35)))))</f>
        <v/>
      </c>
      <c r="O36" s="36" t="str">
        <f aca="false">IF(OR(M36="Revenue",M36="Cost of Goods Sold",M36="Expenditures",M36="Other Revenue",M36="Other Expenditures"),N36,IF(AND(LEN(M36)&gt;2,MID(M36,2,1)=" ",ISNUMBER(VALUE(LEFT(M36,1)))),M36,O35))</f>
        <v/>
      </c>
      <c r="P36" s="36" t="n">
        <f aca="false">IF(AND(M36&lt;&gt;"",ISNUMBER(K36),LEFT(M36,9)&lt;&gt;"Total for",M36&lt;&gt;"Gross Profit",M36&lt;&gt;"Net Operating Revenue",M36&lt;&gt;"Net Other Revenue",M36&lt;&gt;"Net Revenue"),1,0)</f>
        <v>0</v>
      </c>
      <c r="Q36" s="36" t="str">
        <f aca="false">IF(P36=1,IF(AND(LEN(M36)&gt;7,ISNUMBER(VALUE(LEFT(M36,6))),MID(M36,7,1)=" "),LEFT(M36,6),M36),"")</f>
        <v/>
      </c>
      <c r="V36" s="36" t="str">
        <f aca="false">TRIM(S36)</f>
        <v/>
      </c>
      <c r="W36" s="36" t="str">
        <f aca="false">IF(V36="Revenue","Revenue",IF(V36="Cost of Goods Sold","COGS",IF(V36="Expenditures","Expense",IF(V36="Other Revenue","Other Revenue",IF(V36="Other Expenditures","Other Expense",W35)))))</f>
        <v/>
      </c>
      <c r="X36" s="36" t="str">
        <f aca="false">IF(OR(V36="Revenue",V36="Cost of Goods Sold",V36="Expenditures",V36="Other Revenue",V36="Other Expenditures"),W36,IF(AND(LEN(V36)&gt;2,MID(V36,2,1)=" ",ISNUMBER(VALUE(LEFT(V36,1)))),V36,X35))</f>
        <v/>
      </c>
      <c r="Y36" s="36" t="n">
        <f aca="false">IF(AND(V36&lt;&gt;"",ISNUMBER(T36),LEFT(V36,9)&lt;&gt;"Total for",V36&lt;&gt;"Gross Profit",V36&lt;&gt;"Net Operating Revenue",V36&lt;&gt;"Net Other Revenue",V36&lt;&gt;"Net Revenue"),1,0)</f>
        <v>0</v>
      </c>
      <c r="Z36" s="36" t="str">
        <f aca="false">IF(Y36=1,IF(AND(LEN(V36)&gt;7,ISNUMBER(VALUE(LEFT(V36,6))),MID(V36,7,1)=" "),LEFT(V36,6),V36),"")</f>
        <v/>
      </c>
      <c r="AE36" s="36" t="str">
        <f aca="false">TRIM(AB36)</f>
        <v/>
      </c>
      <c r="AF36" s="36" t="str">
        <f aca="false">IF(AE36="Revenue","Revenue",IF(AE36="Cost of Goods Sold","COGS",IF(AE36="Expenditures","Expense",IF(AE36="Other Revenue","Other Revenue",IF(AE36="Other Expenditures","Other Expense",AF35)))))</f>
        <v/>
      </c>
      <c r="AG36" s="36" t="str">
        <f aca="false">IF(OR(AE36="Revenue",AE36="Cost of Goods Sold",AE36="Expenditures",AE36="Other Revenue",AE36="Other Expenditures"),AF36,IF(AND(LEN(AE36)&gt;2,MID(AE36,2,1)=" ",ISNUMBER(VALUE(LEFT(AE36,1)))),AE36,AG35))</f>
        <v/>
      </c>
      <c r="AH36" s="36" t="n">
        <f aca="false">IF(AND(AE36&lt;&gt;"",ISNUMBER(AC36),LEFT(AE36,9)&lt;&gt;"Total for",AE36&lt;&gt;"Gross Profit",AE36&lt;&gt;"Net Operating Revenue",AE36&lt;&gt;"Net Other Revenue",AE36&lt;&gt;"Net Revenue"),1,0)</f>
        <v>0</v>
      </c>
      <c r="AI36" s="36" t="str">
        <f aca="false">IF(AH36=1,IF(AND(LEN(AE36)&gt;7,ISNUMBER(VALUE(LEFT(AE36,6))),MID(AE36,7,1)=" "),LEFT(AE36,6),AE36),"")</f>
        <v/>
      </c>
      <c r="AN36" s="36" t="str">
        <f aca="false">TRIM(AK36)</f>
        <v/>
      </c>
      <c r="AO36" s="36" t="str">
        <f aca="false">IF(AN36="Revenue","Revenue",IF(AN36="Cost of Goods Sold","COGS",IF(AN36="Expenditures","Expense",IF(AN36="Other Revenue","Other Revenue",IF(AN36="Other Expenditures","Other Expense",AO35)))))</f>
        <v/>
      </c>
      <c r="AP36" s="36" t="str">
        <f aca="false">IF(OR(AN36="Revenue",AN36="Cost of Goods Sold",AN36="Expenditures",AN36="Other Revenue",AN36="Other Expenditures"),AO36,IF(AND(LEN(AN36)&gt;2,MID(AN36,2,1)=" ",ISNUMBER(VALUE(LEFT(AN36,1)))),AN36,AP35))</f>
        <v/>
      </c>
      <c r="AQ36" s="36" t="n">
        <f aca="false">IF(AND(AN36&lt;&gt;"",ISNUMBER(AL36),LEFT(AN36,9)&lt;&gt;"Total for",AN36&lt;&gt;"Gross Profit",AN36&lt;&gt;"Net Operating Revenue",AN36&lt;&gt;"Net Other Revenue",AN36&lt;&gt;"Net Revenue"),1,0)</f>
        <v>0</v>
      </c>
      <c r="AR36" s="36" t="str">
        <f aca="false">IF(AQ36=1,IF(AND(LEN(AN36)&gt;7,ISNUMBER(VALUE(LEFT(AN36,6))),MID(AN36,7,1)=" "),LEFT(AN36,6),AN36),"")</f>
        <v/>
      </c>
    </row>
    <row r="37" customFormat="false" ht="15" hidden="false" customHeight="false" outlineLevel="0" collapsed="false">
      <c r="D37" s="36" t="str">
        <f aca="false">TRIM(A37)</f>
        <v/>
      </c>
      <c r="E37" s="36" t="str">
        <f aca="false">IF(D37="Revenue","Revenue",IF(D37="Cost of Goods Sold","COGS",IF(D37="Expenditures","Expense",IF(D37="Other Revenue","Other Revenue",IF(D37="Other Expenditures","Other Expense",E36)))))</f>
        <v/>
      </c>
      <c r="F37" s="36" t="str">
        <f aca="false">IF(OR(D37="Revenue",D37="Cost of Goods Sold",D37="Expenditures",D37="Other Revenue",D37="Other Expenditures"),E37,IF(AND(LEN(D37)&gt;2,MID(D37,2,1)=" ",ISNUMBER(VALUE(LEFT(D37,1)))),D37,F36))</f>
        <v/>
      </c>
      <c r="G37" s="36" t="n">
        <f aca="false">IF(AND(D37&lt;&gt;"",ISNUMBER(B37),LEFT(D37,9)&lt;&gt;"Total for",D37&lt;&gt;"Gross Profit",D37&lt;&gt;"Net Operating Revenue",D37&lt;&gt;"Net Other Revenue",D37&lt;&gt;"Net Revenue"),1,0)</f>
        <v>0</v>
      </c>
      <c r="H37" s="36" t="str">
        <f aca="false">IF(G37=1,IF(AND(LEN(D37)&gt;7,ISNUMBER(VALUE(LEFT(D37,6))),MID(D37,7,1)=" "),LEFT(D37,6),D37),"")</f>
        <v/>
      </c>
      <c r="M37" s="36" t="str">
        <f aca="false">TRIM(J37)</f>
        <v/>
      </c>
      <c r="N37" s="36" t="str">
        <f aca="false">IF(M37="Revenue","Revenue",IF(M37="Cost of Goods Sold","COGS",IF(M37="Expenditures","Expense",IF(M37="Other Revenue","Other Revenue",IF(M37="Other Expenditures","Other Expense",N36)))))</f>
        <v/>
      </c>
      <c r="O37" s="36" t="str">
        <f aca="false">IF(OR(M37="Revenue",M37="Cost of Goods Sold",M37="Expenditures",M37="Other Revenue",M37="Other Expenditures"),N37,IF(AND(LEN(M37)&gt;2,MID(M37,2,1)=" ",ISNUMBER(VALUE(LEFT(M37,1)))),M37,O36))</f>
        <v/>
      </c>
      <c r="P37" s="36" t="n">
        <f aca="false">IF(AND(M37&lt;&gt;"",ISNUMBER(K37),LEFT(M37,9)&lt;&gt;"Total for",M37&lt;&gt;"Gross Profit",M37&lt;&gt;"Net Operating Revenue",M37&lt;&gt;"Net Other Revenue",M37&lt;&gt;"Net Revenue"),1,0)</f>
        <v>0</v>
      </c>
      <c r="Q37" s="36" t="str">
        <f aca="false">IF(P37=1,IF(AND(LEN(M37)&gt;7,ISNUMBER(VALUE(LEFT(M37,6))),MID(M37,7,1)=" "),LEFT(M37,6),M37),"")</f>
        <v/>
      </c>
      <c r="V37" s="36" t="str">
        <f aca="false">TRIM(S37)</f>
        <v/>
      </c>
      <c r="W37" s="36" t="str">
        <f aca="false">IF(V37="Revenue","Revenue",IF(V37="Cost of Goods Sold","COGS",IF(V37="Expenditures","Expense",IF(V37="Other Revenue","Other Revenue",IF(V37="Other Expenditures","Other Expense",W36)))))</f>
        <v/>
      </c>
      <c r="X37" s="36" t="str">
        <f aca="false">IF(OR(V37="Revenue",V37="Cost of Goods Sold",V37="Expenditures",V37="Other Revenue",V37="Other Expenditures"),W37,IF(AND(LEN(V37)&gt;2,MID(V37,2,1)=" ",ISNUMBER(VALUE(LEFT(V37,1)))),V37,X36))</f>
        <v/>
      </c>
      <c r="Y37" s="36" t="n">
        <f aca="false">IF(AND(V37&lt;&gt;"",ISNUMBER(T37),LEFT(V37,9)&lt;&gt;"Total for",V37&lt;&gt;"Gross Profit",V37&lt;&gt;"Net Operating Revenue",V37&lt;&gt;"Net Other Revenue",V37&lt;&gt;"Net Revenue"),1,0)</f>
        <v>0</v>
      </c>
      <c r="Z37" s="36" t="str">
        <f aca="false">IF(Y37=1,IF(AND(LEN(V37)&gt;7,ISNUMBER(VALUE(LEFT(V37,6))),MID(V37,7,1)=" "),LEFT(V37,6),V37),"")</f>
        <v/>
      </c>
      <c r="AE37" s="36" t="str">
        <f aca="false">TRIM(AB37)</f>
        <v/>
      </c>
      <c r="AF37" s="36" t="str">
        <f aca="false">IF(AE37="Revenue","Revenue",IF(AE37="Cost of Goods Sold","COGS",IF(AE37="Expenditures","Expense",IF(AE37="Other Revenue","Other Revenue",IF(AE37="Other Expenditures","Other Expense",AF36)))))</f>
        <v/>
      </c>
      <c r="AG37" s="36" t="str">
        <f aca="false">IF(OR(AE37="Revenue",AE37="Cost of Goods Sold",AE37="Expenditures",AE37="Other Revenue",AE37="Other Expenditures"),AF37,IF(AND(LEN(AE37)&gt;2,MID(AE37,2,1)=" ",ISNUMBER(VALUE(LEFT(AE37,1)))),AE37,AG36))</f>
        <v/>
      </c>
      <c r="AH37" s="36" t="n">
        <f aca="false">IF(AND(AE37&lt;&gt;"",ISNUMBER(AC37),LEFT(AE37,9)&lt;&gt;"Total for",AE37&lt;&gt;"Gross Profit",AE37&lt;&gt;"Net Operating Revenue",AE37&lt;&gt;"Net Other Revenue",AE37&lt;&gt;"Net Revenue"),1,0)</f>
        <v>0</v>
      </c>
      <c r="AI37" s="36" t="str">
        <f aca="false">IF(AH37=1,IF(AND(LEN(AE37)&gt;7,ISNUMBER(VALUE(LEFT(AE37,6))),MID(AE37,7,1)=" "),LEFT(AE37,6),AE37),"")</f>
        <v/>
      </c>
      <c r="AN37" s="36" t="str">
        <f aca="false">TRIM(AK37)</f>
        <v/>
      </c>
      <c r="AO37" s="36" t="str">
        <f aca="false">IF(AN37="Revenue","Revenue",IF(AN37="Cost of Goods Sold","COGS",IF(AN37="Expenditures","Expense",IF(AN37="Other Revenue","Other Revenue",IF(AN37="Other Expenditures","Other Expense",AO36)))))</f>
        <v/>
      </c>
      <c r="AP37" s="36" t="str">
        <f aca="false">IF(OR(AN37="Revenue",AN37="Cost of Goods Sold",AN37="Expenditures",AN37="Other Revenue",AN37="Other Expenditures"),AO37,IF(AND(LEN(AN37)&gt;2,MID(AN37,2,1)=" ",ISNUMBER(VALUE(LEFT(AN37,1)))),AN37,AP36))</f>
        <v/>
      </c>
      <c r="AQ37" s="36" t="n">
        <f aca="false">IF(AND(AN37&lt;&gt;"",ISNUMBER(AL37),LEFT(AN37,9)&lt;&gt;"Total for",AN37&lt;&gt;"Gross Profit",AN37&lt;&gt;"Net Operating Revenue",AN37&lt;&gt;"Net Other Revenue",AN37&lt;&gt;"Net Revenue"),1,0)</f>
        <v>0</v>
      </c>
      <c r="AR37" s="36" t="str">
        <f aca="false">IF(AQ37=1,IF(AND(LEN(AN37)&gt;7,ISNUMBER(VALUE(LEFT(AN37,6))),MID(AN37,7,1)=" "),LEFT(AN37,6),AN37),"")</f>
        <v/>
      </c>
    </row>
    <row r="38" customFormat="false" ht="15" hidden="false" customHeight="false" outlineLevel="0" collapsed="false">
      <c r="D38" s="36" t="str">
        <f aca="false">TRIM(A38)</f>
        <v/>
      </c>
      <c r="E38" s="36" t="str">
        <f aca="false">IF(D38="Revenue","Revenue",IF(D38="Cost of Goods Sold","COGS",IF(D38="Expenditures","Expense",IF(D38="Other Revenue","Other Revenue",IF(D38="Other Expenditures","Other Expense",E37)))))</f>
        <v/>
      </c>
      <c r="F38" s="36" t="str">
        <f aca="false">IF(OR(D38="Revenue",D38="Cost of Goods Sold",D38="Expenditures",D38="Other Revenue",D38="Other Expenditures"),E38,IF(AND(LEN(D38)&gt;2,MID(D38,2,1)=" ",ISNUMBER(VALUE(LEFT(D38,1)))),D38,F37))</f>
        <v/>
      </c>
      <c r="G38" s="36" t="n">
        <f aca="false">IF(AND(D38&lt;&gt;"",ISNUMBER(B38),LEFT(D38,9)&lt;&gt;"Total for",D38&lt;&gt;"Gross Profit",D38&lt;&gt;"Net Operating Revenue",D38&lt;&gt;"Net Other Revenue",D38&lt;&gt;"Net Revenue"),1,0)</f>
        <v>0</v>
      </c>
      <c r="H38" s="36" t="str">
        <f aca="false">IF(G38=1,IF(AND(LEN(D38)&gt;7,ISNUMBER(VALUE(LEFT(D38,6))),MID(D38,7,1)=" "),LEFT(D38,6),D38),"")</f>
        <v/>
      </c>
      <c r="M38" s="36" t="str">
        <f aca="false">TRIM(J38)</f>
        <v/>
      </c>
      <c r="N38" s="36" t="str">
        <f aca="false">IF(M38="Revenue","Revenue",IF(M38="Cost of Goods Sold","COGS",IF(M38="Expenditures","Expense",IF(M38="Other Revenue","Other Revenue",IF(M38="Other Expenditures","Other Expense",N37)))))</f>
        <v/>
      </c>
      <c r="O38" s="36" t="str">
        <f aca="false">IF(OR(M38="Revenue",M38="Cost of Goods Sold",M38="Expenditures",M38="Other Revenue",M38="Other Expenditures"),N38,IF(AND(LEN(M38)&gt;2,MID(M38,2,1)=" ",ISNUMBER(VALUE(LEFT(M38,1)))),M38,O37))</f>
        <v/>
      </c>
      <c r="P38" s="36" t="n">
        <f aca="false">IF(AND(M38&lt;&gt;"",ISNUMBER(K38),LEFT(M38,9)&lt;&gt;"Total for",M38&lt;&gt;"Gross Profit",M38&lt;&gt;"Net Operating Revenue",M38&lt;&gt;"Net Other Revenue",M38&lt;&gt;"Net Revenue"),1,0)</f>
        <v>0</v>
      </c>
      <c r="Q38" s="36" t="str">
        <f aca="false">IF(P38=1,IF(AND(LEN(M38)&gt;7,ISNUMBER(VALUE(LEFT(M38,6))),MID(M38,7,1)=" "),LEFT(M38,6),M38),"")</f>
        <v/>
      </c>
      <c r="V38" s="36" t="str">
        <f aca="false">TRIM(S38)</f>
        <v/>
      </c>
      <c r="W38" s="36" t="str">
        <f aca="false">IF(V38="Revenue","Revenue",IF(V38="Cost of Goods Sold","COGS",IF(V38="Expenditures","Expense",IF(V38="Other Revenue","Other Revenue",IF(V38="Other Expenditures","Other Expense",W37)))))</f>
        <v/>
      </c>
      <c r="X38" s="36" t="str">
        <f aca="false">IF(OR(V38="Revenue",V38="Cost of Goods Sold",V38="Expenditures",V38="Other Revenue",V38="Other Expenditures"),W38,IF(AND(LEN(V38)&gt;2,MID(V38,2,1)=" ",ISNUMBER(VALUE(LEFT(V38,1)))),V38,X37))</f>
        <v/>
      </c>
      <c r="Y38" s="36" t="n">
        <f aca="false">IF(AND(V38&lt;&gt;"",ISNUMBER(T38),LEFT(V38,9)&lt;&gt;"Total for",V38&lt;&gt;"Gross Profit",V38&lt;&gt;"Net Operating Revenue",V38&lt;&gt;"Net Other Revenue",V38&lt;&gt;"Net Revenue"),1,0)</f>
        <v>0</v>
      </c>
      <c r="Z38" s="36" t="str">
        <f aca="false">IF(Y38=1,IF(AND(LEN(V38)&gt;7,ISNUMBER(VALUE(LEFT(V38,6))),MID(V38,7,1)=" "),LEFT(V38,6),V38),"")</f>
        <v/>
      </c>
      <c r="AE38" s="36" t="str">
        <f aca="false">TRIM(AB38)</f>
        <v/>
      </c>
      <c r="AF38" s="36" t="str">
        <f aca="false">IF(AE38="Revenue","Revenue",IF(AE38="Cost of Goods Sold","COGS",IF(AE38="Expenditures","Expense",IF(AE38="Other Revenue","Other Revenue",IF(AE38="Other Expenditures","Other Expense",AF37)))))</f>
        <v/>
      </c>
      <c r="AG38" s="36" t="str">
        <f aca="false">IF(OR(AE38="Revenue",AE38="Cost of Goods Sold",AE38="Expenditures",AE38="Other Revenue",AE38="Other Expenditures"),AF38,IF(AND(LEN(AE38)&gt;2,MID(AE38,2,1)=" ",ISNUMBER(VALUE(LEFT(AE38,1)))),AE38,AG37))</f>
        <v/>
      </c>
      <c r="AH38" s="36" t="n">
        <f aca="false">IF(AND(AE38&lt;&gt;"",ISNUMBER(AC38),LEFT(AE38,9)&lt;&gt;"Total for",AE38&lt;&gt;"Gross Profit",AE38&lt;&gt;"Net Operating Revenue",AE38&lt;&gt;"Net Other Revenue",AE38&lt;&gt;"Net Revenue"),1,0)</f>
        <v>0</v>
      </c>
      <c r="AI38" s="36" t="str">
        <f aca="false">IF(AH38=1,IF(AND(LEN(AE38)&gt;7,ISNUMBER(VALUE(LEFT(AE38,6))),MID(AE38,7,1)=" "),LEFT(AE38,6),AE38),"")</f>
        <v/>
      </c>
      <c r="AN38" s="36" t="str">
        <f aca="false">TRIM(AK38)</f>
        <v/>
      </c>
      <c r="AO38" s="36" t="str">
        <f aca="false">IF(AN38="Revenue","Revenue",IF(AN38="Cost of Goods Sold","COGS",IF(AN38="Expenditures","Expense",IF(AN38="Other Revenue","Other Revenue",IF(AN38="Other Expenditures","Other Expense",AO37)))))</f>
        <v/>
      </c>
      <c r="AP38" s="36" t="str">
        <f aca="false">IF(OR(AN38="Revenue",AN38="Cost of Goods Sold",AN38="Expenditures",AN38="Other Revenue",AN38="Other Expenditures"),AO38,IF(AND(LEN(AN38)&gt;2,MID(AN38,2,1)=" ",ISNUMBER(VALUE(LEFT(AN38,1)))),AN38,AP37))</f>
        <v/>
      </c>
      <c r="AQ38" s="36" t="n">
        <f aca="false">IF(AND(AN38&lt;&gt;"",ISNUMBER(AL38),LEFT(AN38,9)&lt;&gt;"Total for",AN38&lt;&gt;"Gross Profit",AN38&lt;&gt;"Net Operating Revenue",AN38&lt;&gt;"Net Other Revenue",AN38&lt;&gt;"Net Revenue"),1,0)</f>
        <v>0</v>
      </c>
      <c r="AR38" s="36" t="str">
        <f aca="false">IF(AQ38=1,IF(AND(LEN(AN38)&gt;7,ISNUMBER(VALUE(LEFT(AN38,6))),MID(AN38,7,1)=" "),LEFT(AN38,6),AN38),"")</f>
        <v/>
      </c>
    </row>
    <row r="39" customFormat="false" ht="15" hidden="false" customHeight="false" outlineLevel="0" collapsed="false">
      <c r="D39" s="36" t="str">
        <f aca="false">TRIM(A39)</f>
        <v/>
      </c>
      <c r="E39" s="36" t="str">
        <f aca="false">IF(D39="Revenue","Revenue",IF(D39="Cost of Goods Sold","COGS",IF(D39="Expenditures","Expense",IF(D39="Other Revenue","Other Revenue",IF(D39="Other Expenditures","Other Expense",E38)))))</f>
        <v/>
      </c>
      <c r="F39" s="36" t="str">
        <f aca="false">IF(OR(D39="Revenue",D39="Cost of Goods Sold",D39="Expenditures",D39="Other Revenue",D39="Other Expenditures"),E39,IF(AND(LEN(D39)&gt;2,MID(D39,2,1)=" ",ISNUMBER(VALUE(LEFT(D39,1)))),D39,F38))</f>
        <v/>
      </c>
      <c r="G39" s="36" t="n">
        <f aca="false">IF(AND(D39&lt;&gt;"",ISNUMBER(B39),LEFT(D39,9)&lt;&gt;"Total for",D39&lt;&gt;"Gross Profit",D39&lt;&gt;"Net Operating Revenue",D39&lt;&gt;"Net Other Revenue",D39&lt;&gt;"Net Revenue"),1,0)</f>
        <v>0</v>
      </c>
      <c r="H39" s="36" t="str">
        <f aca="false">IF(G39=1,IF(AND(LEN(D39)&gt;7,ISNUMBER(VALUE(LEFT(D39,6))),MID(D39,7,1)=" "),LEFT(D39,6),D39),"")</f>
        <v/>
      </c>
      <c r="M39" s="36" t="str">
        <f aca="false">TRIM(J39)</f>
        <v/>
      </c>
      <c r="N39" s="36" t="str">
        <f aca="false">IF(M39="Revenue","Revenue",IF(M39="Cost of Goods Sold","COGS",IF(M39="Expenditures","Expense",IF(M39="Other Revenue","Other Revenue",IF(M39="Other Expenditures","Other Expense",N38)))))</f>
        <v/>
      </c>
      <c r="O39" s="36" t="str">
        <f aca="false">IF(OR(M39="Revenue",M39="Cost of Goods Sold",M39="Expenditures",M39="Other Revenue",M39="Other Expenditures"),N39,IF(AND(LEN(M39)&gt;2,MID(M39,2,1)=" ",ISNUMBER(VALUE(LEFT(M39,1)))),M39,O38))</f>
        <v/>
      </c>
      <c r="P39" s="36" t="n">
        <f aca="false">IF(AND(M39&lt;&gt;"",ISNUMBER(K39),LEFT(M39,9)&lt;&gt;"Total for",M39&lt;&gt;"Gross Profit",M39&lt;&gt;"Net Operating Revenue",M39&lt;&gt;"Net Other Revenue",M39&lt;&gt;"Net Revenue"),1,0)</f>
        <v>0</v>
      </c>
      <c r="Q39" s="36" t="str">
        <f aca="false">IF(P39=1,IF(AND(LEN(M39)&gt;7,ISNUMBER(VALUE(LEFT(M39,6))),MID(M39,7,1)=" "),LEFT(M39,6),M39),"")</f>
        <v/>
      </c>
      <c r="V39" s="36" t="str">
        <f aca="false">TRIM(S39)</f>
        <v/>
      </c>
      <c r="W39" s="36" t="str">
        <f aca="false">IF(V39="Revenue","Revenue",IF(V39="Cost of Goods Sold","COGS",IF(V39="Expenditures","Expense",IF(V39="Other Revenue","Other Revenue",IF(V39="Other Expenditures","Other Expense",W38)))))</f>
        <v/>
      </c>
      <c r="X39" s="36" t="str">
        <f aca="false">IF(OR(V39="Revenue",V39="Cost of Goods Sold",V39="Expenditures",V39="Other Revenue",V39="Other Expenditures"),W39,IF(AND(LEN(V39)&gt;2,MID(V39,2,1)=" ",ISNUMBER(VALUE(LEFT(V39,1)))),V39,X38))</f>
        <v/>
      </c>
      <c r="Y39" s="36" t="n">
        <f aca="false">IF(AND(V39&lt;&gt;"",ISNUMBER(T39),LEFT(V39,9)&lt;&gt;"Total for",V39&lt;&gt;"Gross Profit",V39&lt;&gt;"Net Operating Revenue",V39&lt;&gt;"Net Other Revenue",V39&lt;&gt;"Net Revenue"),1,0)</f>
        <v>0</v>
      </c>
      <c r="Z39" s="36" t="str">
        <f aca="false">IF(Y39=1,IF(AND(LEN(V39)&gt;7,ISNUMBER(VALUE(LEFT(V39,6))),MID(V39,7,1)=" "),LEFT(V39,6),V39),"")</f>
        <v/>
      </c>
      <c r="AE39" s="36" t="str">
        <f aca="false">TRIM(AB39)</f>
        <v/>
      </c>
      <c r="AF39" s="36" t="str">
        <f aca="false">IF(AE39="Revenue","Revenue",IF(AE39="Cost of Goods Sold","COGS",IF(AE39="Expenditures","Expense",IF(AE39="Other Revenue","Other Revenue",IF(AE39="Other Expenditures","Other Expense",AF38)))))</f>
        <v/>
      </c>
      <c r="AG39" s="36" t="str">
        <f aca="false">IF(OR(AE39="Revenue",AE39="Cost of Goods Sold",AE39="Expenditures",AE39="Other Revenue",AE39="Other Expenditures"),AF39,IF(AND(LEN(AE39)&gt;2,MID(AE39,2,1)=" ",ISNUMBER(VALUE(LEFT(AE39,1)))),AE39,AG38))</f>
        <v/>
      </c>
      <c r="AH39" s="36" t="n">
        <f aca="false">IF(AND(AE39&lt;&gt;"",ISNUMBER(AC39),LEFT(AE39,9)&lt;&gt;"Total for",AE39&lt;&gt;"Gross Profit",AE39&lt;&gt;"Net Operating Revenue",AE39&lt;&gt;"Net Other Revenue",AE39&lt;&gt;"Net Revenue"),1,0)</f>
        <v>0</v>
      </c>
      <c r="AI39" s="36" t="str">
        <f aca="false">IF(AH39=1,IF(AND(LEN(AE39)&gt;7,ISNUMBER(VALUE(LEFT(AE39,6))),MID(AE39,7,1)=" "),LEFT(AE39,6),AE39),"")</f>
        <v/>
      </c>
      <c r="AN39" s="36" t="str">
        <f aca="false">TRIM(AK39)</f>
        <v/>
      </c>
      <c r="AO39" s="36" t="str">
        <f aca="false">IF(AN39="Revenue","Revenue",IF(AN39="Cost of Goods Sold","COGS",IF(AN39="Expenditures","Expense",IF(AN39="Other Revenue","Other Revenue",IF(AN39="Other Expenditures","Other Expense",AO38)))))</f>
        <v/>
      </c>
      <c r="AP39" s="36" t="str">
        <f aca="false">IF(OR(AN39="Revenue",AN39="Cost of Goods Sold",AN39="Expenditures",AN39="Other Revenue",AN39="Other Expenditures"),AO39,IF(AND(LEN(AN39)&gt;2,MID(AN39,2,1)=" ",ISNUMBER(VALUE(LEFT(AN39,1)))),AN39,AP38))</f>
        <v/>
      </c>
      <c r="AQ39" s="36" t="n">
        <f aca="false">IF(AND(AN39&lt;&gt;"",ISNUMBER(AL39),LEFT(AN39,9)&lt;&gt;"Total for",AN39&lt;&gt;"Gross Profit",AN39&lt;&gt;"Net Operating Revenue",AN39&lt;&gt;"Net Other Revenue",AN39&lt;&gt;"Net Revenue"),1,0)</f>
        <v>0</v>
      </c>
      <c r="AR39" s="36" t="str">
        <f aca="false">IF(AQ39=1,IF(AND(LEN(AN39)&gt;7,ISNUMBER(VALUE(LEFT(AN39,6))),MID(AN39,7,1)=" "),LEFT(AN39,6),AN39),"")</f>
        <v/>
      </c>
    </row>
    <row r="40" customFormat="false" ht="15" hidden="false" customHeight="false" outlineLevel="0" collapsed="false">
      <c r="D40" s="36" t="str">
        <f aca="false">TRIM(A40)</f>
        <v/>
      </c>
      <c r="E40" s="36" t="str">
        <f aca="false">IF(D40="Revenue","Revenue",IF(D40="Cost of Goods Sold","COGS",IF(D40="Expenditures","Expense",IF(D40="Other Revenue","Other Revenue",IF(D40="Other Expenditures","Other Expense",E39)))))</f>
        <v/>
      </c>
      <c r="F40" s="36" t="str">
        <f aca="false">IF(OR(D40="Revenue",D40="Cost of Goods Sold",D40="Expenditures",D40="Other Revenue",D40="Other Expenditures"),E40,IF(AND(LEN(D40)&gt;2,MID(D40,2,1)=" ",ISNUMBER(VALUE(LEFT(D40,1)))),D40,F39))</f>
        <v/>
      </c>
      <c r="G40" s="36" t="n">
        <f aca="false">IF(AND(D40&lt;&gt;"",ISNUMBER(B40),LEFT(D40,9)&lt;&gt;"Total for",D40&lt;&gt;"Gross Profit",D40&lt;&gt;"Net Operating Revenue",D40&lt;&gt;"Net Other Revenue",D40&lt;&gt;"Net Revenue"),1,0)</f>
        <v>0</v>
      </c>
      <c r="H40" s="36" t="str">
        <f aca="false">IF(G40=1,IF(AND(LEN(D40)&gt;7,ISNUMBER(VALUE(LEFT(D40,6))),MID(D40,7,1)=" "),LEFT(D40,6),D40),"")</f>
        <v/>
      </c>
      <c r="M40" s="36" t="str">
        <f aca="false">TRIM(J40)</f>
        <v/>
      </c>
      <c r="N40" s="36" t="str">
        <f aca="false">IF(M40="Revenue","Revenue",IF(M40="Cost of Goods Sold","COGS",IF(M40="Expenditures","Expense",IF(M40="Other Revenue","Other Revenue",IF(M40="Other Expenditures","Other Expense",N39)))))</f>
        <v/>
      </c>
      <c r="O40" s="36" t="str">
        <f aca="false">IF(OR(M40="Revenue",M40="Cost of Goods Sold",M40="Expenditures",M40="Other Revenue",M40="Other Expenditures"),N40,IF(AND(LEN(M40)&gt;2,MID(M40,2,1)=" ",ISNUMBER(VALUE(LEFT(M40,1)))),M40,O39))</f>
        <v/>
      </c>
      <c r="P40" s="36" t="n">
        <f aca="false">IF(AND(M40&lt;&gt;"",ISNUMBER(K40),LEFT(M40,9)&lt;&gt;"Total for",M40&lt;&gt;"Gross Profit",M40&lt;&gt;"Net Operating Revenue",M40&lt;&gt;"Net Other Revenue",M40&lt;&gt;"Net Revenue"),1,0)</f>
        <v>0</v>
      </c>
      <c r="Q40" s="36" t="str">
        <f aca="false">IF(P40=1,IF(AND(LEN(M40)&gt;7,ISNUMBER(VALUE(LEFT(M40,6))),MID(M40,7,1)=" "),LEFT(M40,6),M40),"")</f>
        <v/>
      </c>
      <c r="V40" s="36" t="str">
        <f aca="false">TRIM(S40)</f>
        <v/>
      </c>
      <c r="W40" s="36" t="str">
        <f aca="false">IF(V40="Revenue","Revenue",IF(V40="Cost of Goods Sold","COGS",IF(V40="Expenditures","Expense",IF(V40="Other Revenue","Other Revenue",IF(V40="Other Expenditures","Other Expense",W39)))))</f>
        <v/>
      </c>
      <c r="X40" s="36" t="str">
        <f aca="false">IF(OR(V40="Revenue",V40="Cost of Goods Sold",V40="Expenditures",V40="Other Revenue",V40="Other Expenditures"),W40,IF(AND(LEN(V40)&gt;2,MID(V40,2,1)=" ",ISNUMBER(VALUE(LEFT(V40,1)))),V40,X39))</f>
        <v/>
      </c>
      <c r="Y40" s="36" t="n">
        <f aca="false">IF(AND(V40&lt;&gt;"",ISNUMBER(T40),LEFT(V40,9)&lt;&gt;"Total for",V40&lt;&gt;"Gross Profit",V40&lt;&gt;"Net Operating Revenue",V40&lt;&gt;"Net Other Revenue",V40&lt;&gt;"Net Revenue"),1,0)</f>
        <v>0</v>
      </c>
      <c r="Z40" s="36" t="str">
        <f aca="false">IF(Y40=1,IF(AND(LEN(V40)&gt;7,ISNUMBER(VALUE(LEFT(V40,6))),MID(V40,7,1)=" "),LEFT(V40,6),V40),"")</f>
        <v/>
      </c>
      <c r="AE40" s="36" t="str">
        <f aca="false">TRIM(AB40)</f>
        <v/>
      </c>
      <c r="AF40" s="36" t="str">
        <f aca="false">IF(AE40="Revenue","Revenue",IF(AE40="Cost of Goods Sold","COGS",IF(AE40="Expenditures","Expense",IF(AE40="Other Revenue","Other Revenue",IF(AE40="Other Expenditures","Other Expense",AF39)))))</f>
        <v/>
      </c>
      <c r="AG40" s="36" t="str">
        <f aca="false">IF(OR(AE40="Revenue",AE40="Cost of Goods Sold",AE40="Expenditures",AE40="Other Revenue",AE40="Other Expenditures"),AF40,IF(AND(LEN(AE40)&gt;2,MID(AE40,2,1)=" ",ISNUMBER(VALUE(LEFT(AE40,1)))),AE40,AG39))</f>
        <v/>
      </c>
      <c r="AH40" s="36" t="n">
        <f aca="false">IF(AND(AE40&lt;&gt;"",ISNUMBER(AC40),LEFT(AE40,9)&lt;&gt;"Total for",AE40&lt;&gt;"Gross Profit",AE40&lt;&gt;"Net Operating Revenue",AE40&lt;&gt;"Net Other Revenue",AE40&lt;&gt;"Net Revenue"),1,0)</f>
        <v>0</v>
      </c>
      <c r="AI40" s="36" t="str">
        <f aca="false">IF(AH40=1,IF(AND(LEN(AE40)&gt;7,ISNUMBER(VALUE(LEFT(AE40,6))),MID(AE40,7,1)=" "),LEFT(AE40,6),AE40),"")</f>
        <v/>
      </c>
      <c r="AN40" s="36" t="str">
        <f aca="false">TRIM(AK40)</f>
        <v/>
      </c>
      <c r="AO40" s="36" t="str">
        <f aca="false">IF(AN40="Revenue","Revenue",IF(AN40="Cost of Goods Sold","COGS",IF(AN40="Expenditures","Expense",IF(AN40="Other Revenue","Other Revenue",IF(AN40="Other Expenditures","Other Expense",AO39)))))</f>
        <v/>
      </c>
      <c r="AP40" s="36" t="str">
        <f aca="false">IF(OR(AN40="Revenue",AN40="Cost of Goods Sold",AN40="Expenditures",AN40="Other Revenue",AN40="Other Expenditures"),AO40,IF(AND(LEN(AN40)&gt;2,MID(AN40,2,1)=" ",ISNUMBER(VALUE(LEFT(AN40,1)))),AN40,AP39))</f>
        <v/>
      </c>
      <c r="AQ40" s="36" t="n">
        <f aca="false">IF(AND(AN40&lt;&gt;"",ISNUMBER(AL40),LEFT(AN40,9)&lt;&gt;"Total for",AN40&lt;&gt;"Gross Profit",AN40&lt;&gt;"Net Operating Revenue",AN40&lt;&gt;"Net Other Revenue",AN40&lt;&gt;"Net Revenue"),1,0)</f>
        <v>0</v>
      </c>
      <c r="AR40" s="36" t="str">
        <f aca="false">IF(AQ40=1,IF(AND(LEN(AN40)&gt;7,ISNUMBER(VALUE(LEFT(AN40,6))),MID(AN40,7,1)=" "),LEFT(AN40,6),AN40),"")</f>
        <v/>
      </c>
    </row>
    <row r="41" customFormat="false" ht="15" hidden="false" customHeight="false" outlineLevel="0" collapsed="false">
      <c r="D41" s="36" t="str">
        <f aca="false">TRIM(A41)</f>
        <v/>
      </c>
      <c r="E41" s="36" t="str">
        <f aca="false">IF(D41="Revenue","Revenue",IF(D41="Cost of Goods Sold","COGS",IF(D41="Expenditures","Expense",IF(D41="Other Revenue","Other Revenue",IF(D41="Other Expenditures","Other Expense",E40)))))</f>
        <v/>
      </c>
      <c r="F41" s="36" t="str">
        <f aca="false">IF(OR(D41="Revenue",D41="Cost of Goods Sold",D41="Expenditures",D41="Other Revenue",D41="Other Expenditures"),E41,IF(AND(LEN(D41)&gt;2,MID(D41,2,1)=" ",ISNUMBER(VALUE(LEFT(D41,1)))),D41,F40))</f>
        <v/>
      </c>
      <c r="G41" s="36" t="n">
        <f aca="false">IF(AND(D41&lt;&gt;"",ISNUMBER(B41),LEFT(D41,9)&lt;&gt;"Total for",D41&lt;&gt;"Gross Profit",D41&lt;&gt;"Net Operating Revenue",D41&lt;&gt;"Net Other Revenue",D41&lt;&gt;"Net Revenue"),1,0)</f>
        <v>0</v>
      </c>
      <c r="H41" s="36" t="str">
        <f aca="false">IF(G41=1,IF(AND(LEN(D41)&gt;7,ISNUMBER(VALUE(LEFT(D41,6))),MID(D41,7,1)=" "),LEFT(D41,6),D41),"")</f>
        <v/>
      </c>
      <c r="M41" s="36" t="str">
        <f aca="false">TRIM(J41)</f>
        <v/>
      </c>
      <c r="N41" s="36" t="str">
        <f aca="false">IF(M41="Revenue","Revenue",IF(M41="Cost of Goods Sold","COGS",IF(M41="Expenditures","Expense",IF(M41="Other Revenue","Other Revenue",IF(M41="Other Expenditures","Other Expense",N40)))))</f>
        <v/>
      </c>
      <c r="O41" s="36" t="str">
        <f aca="false">IF(OR(M41="Revenue",M41="Cost of Goods Sold",M41="Expenditures",M41="Other Revenue",M41="Other Expenditures"),N41,IF(AND(LEN(M41)&gt;2,MID(M41,2,1)=" ",ISNUMBER(VALUE(LEFT(M41,1)))),M41,O40))</f>
        <v/>
      </c>
      <c r="P41" s="36" t="n">
        <f aca="false">IF(AND(M41&lt;&gt;"",ISNUMBER(K41),LEFT(M41,9)&lt;&gt;"Total for",M41&lt;&gt;"Gross Profit",M41&lt;&gt;"Net Operating Revenue",M41&lt;&gt;"Net Other Revenue",M41&lt;&gt;"Net Revenue"),1,0)</f>
        <v>0</v>
      </c>
      <c r="Q41" s="36" t="str">
        <f aca="false">IF(P41=1,IF(AND(LEN(M41)&gt;7,ISNUMBER(VALUE(LEFT(M41,6))),MID(M41,7,1)=" "),LEFT(M41,6),M41),"")</f>
        <v/>
      </c>
      <c r="V41" s="36" t="str">
        <f aca="false">TRIM(S41)</f>
        <v/>
      </c>
      <c r="W41" s="36" t="str">
        <f aca="false">IF(V41="Revenue","Revenue",IF(V41="Cost of Goods Sold","COGS",IF(V41="Expenditures","Expense",IF(V41="Other Revenue","Other Revenue",IF(V41="Other Expenditures","Other Expense",W40)))))</f>
        <v/>
      </c>
      <c r="X41" s="36" t="str">
        <f aca="false">IF(OR(V41="Revenue",V41="Cost of Goods Sold",V41="Expenditures",V41="Other Revenue",V41="Other Expenditures"),W41,IF(AND(LEN(V41)&gt;2,MID(V41,2,1)=" ",ISNUMBER(VALUE(LEFT(V41,1)))),V41,X40))</f>
        <v/>
      </c>
      <c r="Y41" s="36" t="n">
        <f aca="false">IF(AND(V41&lt;&gt;"",ISNUMBER(T41),LEFT(V41,9)&lt;&gt;"Total for",V41&lt;&gt;"Gross Profit",V41&lt;&gt;"Net Operating Revenue",V41&lt;&gt;"Net Other Revenue",V41&lt;&gt;"Net Revenue"),1,0)</f>
        <v>0</v>
      </c>
      <c r="Z41" s="36" t="str">
        <f aca="false">IF(Y41=1,IF(AND(LEN(V41)&gt;7,ISNUMBER(VALUE(LEFT(V41,6))),MID(V41,7,1)=" "),LEFT(V41,6),V41),"")</f>
        <v/>
      </c>
      <c r="AE41" s="36" t="str">
        <f aca="false">TRIM(AB41)</f>
        <v/>
      </c>
      <c r="AF41" s="36" t="str">
        <f aca="false">IF(AE41="Revenue","Revenue",IF(AE41="Cost of Goods Sold","COGS",IF(AE41="Expenditures","Expense",IF(AE41="Other Revenue","Other Revenue",IF(AE41="Other Expenditures","Other Expense",AF40)))))</f>
        <v/>
      </c>
      <c r="AG41" s="36" t="str">
        <f aca="false">IF(OR(AE41="Revenue",AE41="Cost of Goods Sold",AE41="Expenditures",AE41="Other Revenue",AE41="Other Expenditures"),AF41,IF(AND(LEN(AE41)&gt;2,MID(AE41,2,1)=" ",ISNUMBER(VALUE(LEFT(AE41,1)))),AE41,AG40))</f>
        <v/>
      </c>
      <c r="AH41" s="36" t="n">
        <f aca="false">IF(AND(AE41&lt;&gt;"",ISNUMBER(AC41),LEFT(AE41,9)&lt;&gt;"Total for",AE41&lt;&gt;"Gross Profit",AE41&lt;&gt;"Net Operating Revenue",AE41&lt;&gt;"Net Other Revenue",AE41&lt;&gt;"Net Revenue"),1,0)</f>
        <v>0</v>
      </c>
      <c r="AI41" s="36" t="str">
        <f aca="false">IF(AH41=1,IF(AND(LEN(AE41)&gt;7,ISNUMBER(VALUE(LEFT(AE41,6))),MID(AE41,7,1)=" "),LEFT(AE41,6),AE41),"")</f>
        <v/>
      </c>
      <c r="AN41" s="36" t="str">
        <f aca="false">TRIM(AK41)</f>
        <v/>
      </c>
      <c r="AO41" s="36" t="str">
        <f aca="false">IF(AN41="Revenue","Revenue",IF(AN41="Cost of Goods Sold","COGS",IF(AN41="Expenditures","Expense",IF(AN41="Other Revenue","Other Revenue",IF(AN41="Other Expenditures","Other Expense",AO40)))))</f>
        <v/>
      </c>
      <c r="AP41" s="36" t="str">
        <f aca="false">IF(OR(AN41="Revenue",AN41="Cost of Goods Sold",AN41="Expenditures",AN41="Other Revenue",AN41="Other Expenditures"),AO41,IF(AND(LEN(AN41)&gt;2,MID(AN41,2,1)=" ",ISNUMBER(VALUE(LEFT(AN41,1)))),AN41,AP40))</f>
        <v/>
      </c>
      <c r="AQ41" s="36" t="n">
        <f aca="false">IF(AND(AN41&lt;&gt;"",ISNUMBER(AL41),LEFT(AN41,9)&lt;&gt;"Total for",AN41&lt;&gt;"Gross Profit",AN41&lt;&gt;"Net Operating Revenue",AN41&lt;&gt;"Net Other Revenue",AN41&lt;&gt;"Net Revenue"),1,0)</f>
        <v>0</v>
      </c>
      <c r="AR41" s="36" t="str">
        <f aca="false">IF(AQ41=1,IF(AND(LEN(AN41)&gt;7,ISNUMBER(VALUE(LEFT(AN41,6))),MID(AN41,7,1)=" "),LEFT(AN41,6),AN41),"")</f>
        <v/>
      </c>
    </row>
    <row r="42" customFormat="false" ht="15" hidden="false" customHeight="false" outlineLevel="0" collapsed="false">
      <c r="D42" s="36" t="str">
        <f aca="false">TRIM(A42)</f>
        <v/>
      </c>
      <c r="E42" s="36" t="str">
        <f aca="false">IF(D42="Revenue","Revenue",IF(D42="Cost of Goods Sold","COGS",IF(D42="Expenditures","Expense",IF(D42="Other Revenue","Other Revenue",IF(D42="Other Expenditures","Other Expense",E41)))))</f>
        <v/>
      </c>
      <c r="F42" s="36" t="str">
        <f aca="false">IF(OR(D42="Revenue",D42="Cost of Goods Sold",D42="Expenditures",D42="Other Revenue",D42="Other Expenditures"),E42,IF(AND(LEN(D42)&gt;2,MID(D42,2,1)=" ",ISNUMBER(VALUE(LEFT(D42,1)))),D42,F41))</f>
        <v/>
      </c>
      <c r="G42" s="36" t="n">
        <f aca="false">IF(AND(D42&lt;&gt;"",ISNUMBER(B42),LEFT(D42,9)&lt;&gt;"Total for",D42&lt;&gt;"Gross Profit",D42&lt;&gt;"Net Operating Revenue",D42&lt;&gt;"Net Other Revenue",D42&lt;&gt;"Net Revenue"),1,0)</f>
        <v>0</v>
      </c>
      <c r="H42" s="36" t="str">
        <f aca="false">IF(G42=1,IF(AND(LEN(D42)&gt;7,ISNUMBER(VALUE(LEFT(D42,6))),MID(D42,7,1)=" "),LEFT(D42,6),D42),"")</f>
        <v/>
      </c>
      <c r="M42" s="36" t="str">
        <f aca="false">TRIM(J42)</f>
        <v/>
      </c>
      <c r="N42" s="36" t="str">
        <f aca="false">IF(M42="Revenue","Revenue",IF(M42="Cost of Goods Sold","COGS",IF(M42="Expenditures","Expense",IF(M42="Other Revenue","Other Revenue",IF(M42="Other Expenditures","Other Expense",N41)))))</f>
        <v/>
      </c>
      <c r="O42" s="36" t="str">
        <f aca="false">IF(OR(M42="Revenue",M42="Cost of Goods Sold",M42="Expenditures",M42="Other Revenue",M42="Other Expenditures"),N42,IF(AND(LEN(M42)&gt;2,MID(M42,2,1)=" ",ISNUMBER(VALUE(LEFT(M42,1)))),M42,O41))</f>
        <v/>
      </c>
      <c r="P42" s="36" t="n">
        <f aca="false">IF(AND(M42&lt;&gt;"",ISNUMBER(K42),LEFT(M42,9)&lt;&gt;"Total for",M42&lt;&gt;"Gross Profit",M42&lt;&gt;"Net Operating Revenue",M42&lt;&gt;"Net Other Revenue",M42&lt;&gt;"Net Revenue"),1,0)</f>
        <v>0</v>
      </c>
      <c r="Q42" s="36" t="str">
        <f aca="false">IF(P42=1,IF(AND(LEN(M42)&gt;7,ISNUMBER(VALUE(LEFT(M42,6))),MID(M42,7,1)=" "),LEFT(M42,6),M42),"")</f>
        <v/>
      </c>
      <c r="V42" s="36" t="str">
        <f aca="false">TRIM(S42)</f>
        <v/>
      </c>
      <c r="W42" s="36" t="str">
        <f aca="false">IF(V42="Revenue","Revenue",IF(V42="Cost of Goods Sold","COGS",IF(V42="Expenditures","Expense",IF(V42="Other Revenue","Other Revenue",IF(V42="Other Expenditures","Other Expense",W41)))))</f>
        <v/>
      </c>
      <c r="X42" s="36" t="str">
        <f aca="false">IF(OR(V42="Revenue",V42="Cost of Goods Sold",V42="Expenditures",V42="Other Revenue",V42="Other Expenditures"),W42,IF(AND(LEN(V42)&gt;2,MID(V42,2,1)=" ",ISNUMBER(VALUE(LEFT(V42,1)))),V42,X41))</f>
        <v/>
      </c>
      <c r="Y42" s="36" t="n">
        <f aca="false">IF(AND(V42&lt;&gt;"",ISNUMBER(T42),LEFT(V42,9)&lt;&gt;"Total for",V42&lt;&gt;"Gross Profit",V42&lt;&gt;"Net Operating Revenue",V42&lt;&gt;"Net Other Revenue",V42&lt;&gt;"Net Revenue"),1,0)</f>
        <v>0</v>
      </c>
      <c r="Z42" s="36" t="str">
        <f aca="false">IF(Y42=1,IF(AND(LEN(V42)&gt;7,ISNUMBER(VALUE(LEFT(V42,6))),MID(V42,7,1)=" "),LEFT(V42,6),V42),"")</f>
        <v/>
      </c>
      <c r="AE42" s="36" t="str">
        <f aca="false">TRIM(AB42)</f>
        <v/>
      </c>
      <c r="AF42" s="36" t="str">
        <f aca="false">IF(AE42="Revenue","Revenue",IF(AE42="Cost of Goods Sold","COGS",IF(AE42="Expenditures","Expense",IF(AE42="Other Revenue","Other Revenue",IF(AE42="Other Expenditures","Other Expense",AF41)))))</f>
        <v/>
      </c>
      <c r="AG42" s="36" t="str">
        <f aca="false">IF(OR(AE42="Revenue",AE42="Cost of Goods Sold",AE42="Expenditures",AE42="Other Revenue",AE42="Other Expenditures"),AF42,IF(AND(LEN(AE42)&gt;2,MID(AE42,2,1)=" ",ISNUMBER(VALUE(LEFT(AE42,1)))),AE42,AG41))</f>
        <v/>
      </c>
      <c r="AH42" s="36" t="n">
        <f aca="false">IF(AND(AE42&lt;&gt;"",ISNUMBER(AC42),LEFT(AE42,9)&lt;&gt;"Total for",AE42&lt;&gt;"Gross Profit",AE42&lt;&gt;"Net Operating Revenue",AE42&lt;&gt;"Net Other Revenue",AE42&lt;&gt;"Net Revenue"),1,0)</f>
        <v>0</v>
      </c>
      <c r="AI42" s="36" t="str">
        <f aca="false">IF(AH42=1,IF(AND(LEN(AE42)&gt;7,ISNUMBER(VALUE(LEFT(AE42,6))),MID(AE42,7,1)=" "),LEFT(AE42,6),AE42),"")</f>
        <v/>
      </c>
      <c r="AN42" s="36" t="str">
        <f aca="false">TRIM(AK42)</f>
        <v/>
      </c>
      <c r="AO42" s="36" t="str">
        <f aca="false">IF(AN42="Revenue","Revenue",IF(AN42="Cost of Goods Sold","COGS",IF(AN42="Expenditures","Expense",IF(AN42="Other Revenue","Other Revenue",IF(AN42="Other Expenditures","Other Expense",AO41)))))</f>
        <v/>
      </c>
      <c r="AP42" s="36" t="str">
        <f aca="false">IF(OR(AN42="Revenue",AN42="Cost of Goods Sold",AN42="Expenditures",AN42="Other Revenue",AN42="Other Expenditures"),AO42,IF(AND(LEN(AN42)&gt;2,MID(AN42,2,1)=" ",ISNUMBER(VALUE(LEFT(AN42,1)))),AN42,AP41))</f>
        <v/>
      </c>
      <c r="AQ42" s="36" t="n">
        <f aca="false">IF(AND(AN42&lt;&gt;"",ISNUMBER(AL42),LEFT(AN42,9)&lt;&gt;"Total for",AN42&lt;&gt;"Gross Profit",AN42&lt;&gt;"Net Operating Revenue",AN42&lt;&gt;"Net Other Revenue",AN42&lt;&gt;"Net Revenue"),1,0)</f>
        <v>0</v>
      </c>
      <c r="AR42" s="36" t="str">
        <f aca="false">IF(AQ42=1,IF(AND(LEN(AN42)&gt;7,ISNUMBER(VALUE(LEFT(AN42,6))),MID(AN42,7,1)=" "),LEFT(AN42,6),AN42),"")</f>
        <v/>
      </c>
    </row>
    <row r="43" customFormat="false" ht="15" hidden="false" customHeight="false" outlineLevel="0" collapsed="false">
      <c r="D43" s="36" t="str">
        <f aca="false">TRIM(A43)</f>
        <v/>
      </c>
      <c r="E43" s="36" t="str">
        <f aca="false">IF(D43="Revenue","Revenue",IF(D43="Cost of Goods Sold","COGS",IF(D43="Expenditures","Expense",IF(D43="Other Revenue","Other Revenue",IF(D43="Other Expenditures","Other Expense",E42)))))</f>
        <v/>
      </c>
      <c r="F43" s="36" t="str">
        <f aca="false">IF(OR(D43="Revenue",D43="Cost of Goods Sold",D43="Expenditures",D43="Other Revenue",D43="Other Expenditures"),E43,IF(AND(LEN(D43)&gt;2,MID(D43,2,1)=" ",ISNUMBER(VALUE(LEFT(D43,1)))),D43,F42))</f>
        <v/>
      </c>
      <c r="G43" s="36" t="n">
        <f aca="false">IF(AND(D43&lt;&gt;"",ISNUMBER(B43),LEFT(D43,9)&lt;&gt;"Total for",D43&lt;&gt;"Gross Profit",D43&lt;&gt;"Net Operating Revenue",D43&lt;&gt;"Net Other Revenue",D43&lt;&gt;"Net Revenue"),1,0)</f>
        <v>0</v>
      </c>
      <c r="H43" s="36" t="str">
        <f aca="false">IF(G43=1,IF(AND(LEN(D43)&gt;7,ISNUMBER(VALUE(LEFT(D43,6))),MID(D43,7,1)=" "),LEFT(D43,6),D43),"")</f>
        <v/>
      </c>
      <c r="M43" s="36" t="str">
        <f aca="false">TRIM(J43)</f>
        <v/>
      </c>
      <c r="N43" s="36" t="str">
        <f aca="false">IF(M43="Revenue","Revenue",IF(M43="Cost of Goods Sold","COGS",IF(M43="Expenditures","Expense",IF(M43="Other Revenue","Other Revenue",IF(M43="Other Expenditures","Other Expense",N42)))))</f>
        <v/>
      </c>
      <c r="O43" s="36" t="str">
        <f aca="false">IF(OR(M43="Revenue",M43="Cost of Goods Sold",M43="Expenditures",M43="Other Revenue",M43="Other Expenditures"),N43,IF(AND(LEN(M43)&gt;2,MID(M43,2,1)=" ",ISNUMBER(VALUE(LEFT(M43,1)))),M43,O42))</f>
        <v/>
      </c>
      <c r="P43" s="36" t="n">
        <f aca="false">IF(AND(M43&lt;&gt;"",ISNUMBER(K43),LEFT(M43,9)&lt;&gt;"Total for",M43&lt;&gt;"Gross Profit",M43&lt;&gt;"Net Operating Revenue",M43&lt;&gt;"Net Other Revenue",M43&lt;&gt;"Net Revenue"),1,0)</f>
        <v>0</v>
      </c>
      <c r="Q43" s="36" t="str">
        <f aca="false">IF(P43=1,IF(AND(LEN(M43)&gt;7,ISNUMBER(VALUE(LEFT(M43,6))),MID(M43,7,1)=" "),LEFT(M43,6),M43),"")</f>
        <v/>
      </c>
      <c r="V43" s="36" t="str">
        <f aca="false">TRIM(S43)</f>
        <v/>
      </c>
      <c r="W43" s="36" t="str">
        <f aca="false">IF(V43="Revenue","Revenue",IF(V43="Cost of Goods Sold","COGS",IF(V43="Expenditures","Expense",IF(V43="Other Revenue","Other Revenue",IF(V43="Other Expenditures","Other Expense",W42)))))</f>
        <v/>
      </c>
      <c r="X43" s="36" t="str">
        <f aca="false">IF(OR(V43="Revenue",V43="Cost of Goods Sold",V43="Expenditures",V43="Other Revenue",V43="Other Expenditures"),W43,IF(AND(LEN(V43)&gt;2,MID(V43,2,1)=" ",ISNUMBER(VALUE(LEFT(V43,1)))),V43,X42))</f>
        <v/>
      </c>
      <c r="Y43" s="36" t="n">
        <f aca="false">IF(AND(V43&lt;&gt;"",ISNUMBER(T43),LEFT(V43,9)&lt;&gt;"Total for",V43&lt;&gt;"Gross Profit",V43&lt;&gt;"Net Operating Revenue",V43&lt;&gt;"Net Other Revenue",V43&lt;&gt;"Net Revenue"),1,0)</f>
        <v>0</v>
      </c>
      <c r="Z43" s="36" t="str">
        <f aca="false">IF(Y43=1,IF(AND(LEN(V43)&gt;7,ISNUMBER(VALUE(LEFT(V43,6))),MID(V43,7,1)=" "),LEFT(V43,6),V43),"")</f>
        <v/>
      </c>
      <c r="AE43" s="36" t="str">
        <f aca="false">TRIM(AB43)</f>
        <v/>
      </c>
      <c r="AF43" s="36" t="str">
        <f aca="false">IF(AE43="Revenue","Revenue",IF(AE43="Cost of Goods Sold","COGS",IF(AE43="Expenditures","Expense",IF(AE43="Other Revenue","Other Revenue",IF(AE43="Other Expenditures","Other Expense",AF42)))))</f>
        <v/>
      </c>
      <c r="AG43" s="36" t="str">
        <f aca="false">IF(OR(AE43="Revenue",AE43="Cost of Goods Sold",AE43="Expenditures",AE43="Other Revenue",AE43="Other Expenditures"),AF43,IF(AND(LEN(AE43)&gt;2,MID(AE43,2,1)=" ",ISNUMBER(VALUE(LEFT(AE43,1)))),AE43,AG42))</f>
        <v/>
      </c>
      <c r="AH43" s="36" t="n">
        <f aca="false">IF(AND(AE43&lt;&gt;"",ISNUMBER(AC43),LEFT(AE43,9)&lt;&gt;"Total for",AE43&lt;&gt;"Gross Profit",AE43&lt;&gt;"Net Operating Revenue",AE43&lt;&gt;"Net Other Revenue",AE43&lt;&gt;"Net Revenue"),1,0)</f>
        <v>0</v>
      </c>
      <c r="AI43" s="36" t="str">
        <f aca="false">IF(AH43=1,IF(AND(LEN(AE43)&gt;7,ISNUMBER(VALUE(LEFT(AE43,6))),MID(AE43,7,1)=" "),LEFT(AE43,6),AE43),"")</f>
        <v/>
      </c>
      <c r="AN43" s="36" t="str">
        <f aca="false">TRIM(AK43)</f>
        <v/>
      </c>
      <c r="AO43" s="36" t="str">
        <f aca="false">IF(AN43="Revenue","Revenue",IF(AN43="Cost of Goods Sold","COGS",IF(AN43="Expenditures","Expense",IF(AN43="Other Revenue","Other Revenue",IF(AN43="Other Expenditures","Other Expense",AO42)))))</f>
        <v/>
      </c>
      <c r="AP43" s="36" t="str">
        <f aca="false">IF(OR(AN43="Revenue",AN43="Cost of Goods Sold",AN43="Expenditures",AN43="Other Revenue",AN43="Other Expenditures"),AO43,IF(AND(LEN(AN43)&gt;2,MID(AN43,2,1)=" ",ISNUMBER(VALUE(LEFT(AN43,1)))),AN43,AP42))</f>
        <v/>
      </c>
      <c r="AQ43" s="36" t="n">
        <f aca="false">IF(AND(AN43&lt;&gt;"",ISNUMBER(AL43),LEFT(AN43,9)&lt;&gt;"Total for",AN43&lt;&gt;"Gross Profit",AN43&lt;&gt;"Net Operating Revenue",AN43&lt;&gt;"Net Other Revenue",AN43&lt;&gt;"Net Revenue"),1,0)</f>
        <v>0</v>
      </c>
      <c r="AR43" s="36" t="str">
        <f aca="false">IF(AQ43=1,IF(AND(LEN(AN43)&gt;7,ISNUMBER(VALUE(LEFT(AN43,6))),MID(AN43,7,1)=" "),LEFT(AN43,6),AN43),"")</f>
        <v/>
      </c>
    </row>
    <row r="44" customFormat="false" ht="15" hidden="false" customHeight="false" outlineLevel="0" collapsed="false">
      <c r="D44" s="36" t="str">
        <f aca="false">TRIM(A44)</f>
        <v/>
      </c>
      <c r="E44" s="36" t="str">
        <f aca="false">IF(D44="Revenue","Revenue",IF(D44="Cost of Goods Sold","COGS",IF(D44="Expenditures","Expense",IF(D44="Other Revenue","Other Revenue",IF(D44="Other Expenditures","Other Expense",E43)))))</f>
        <v/>
      </c>
      <c r="F44" s="36" t="str">
        <f aca="false">IF(OR(D44="Revenue",D44="Cost of Goods Sold",D44="Expenditures",D44="Other Revenue",D44="Other Expenditures"),E44,IF(AND(LEN(D44)&gt;2,MID(D44,2,1)=" ",ISNUMBER(VALUE(LEFT(D44,1)))),D44,F43))</f>
        <v/>
      </c>
      <c r="G44" s="36" t="n">
        <f aca="false">IF(AND(D44&lt;&gt;"",ISNUMBER(B44),LEFT(D44,9)&lt;&gt;"Total for",D44&lt;&gt;"Gross Profit",D44&lt;&gt;"Net Operating Revenue",D44&lt;&gt;"Net Other Revenue",D44&lt;&gt;"Net Revenue"),1,0)</f>
        <v>0</v>
      </c>
      <c r="H44" s="36" t="str">
        <f aca="false">IF(G44=1,IF(AND(LEN(D44)&gt;7,ISNUMBER(VALUE(LEFT(D44,6))),MID(D44,7,1)=" "),LEFT(D44,6),D44),"")</f>
        <v/>
      </c>
      <c r="M44" s="36" t="str">
        <f aca="false">TRIM(J44)</f>
        <v/>
      </c>
      <c r="N44" s="36" t="str">
        <f aca="false">IF(M44="Revenue","Revenue",IF(M44="Cost of Goods Sold","COGS",IF(M44="Expenditures","Expense",IF(M44="Other Revenue","Other Revenue",IF(M44="Other Expenditures","Other Expense",N43)))))</f>
        <v/>
      </c>
      <c r="O44" s="36" t="str">
        <f aca="false">IF(OR(M44="Revenue",M44="Cost of Goods Sold",M44="Expenditures",M44="Other Revenue",M44="Other Expenditures"),N44,IF(AND(LEN(M44)&gt;2,MID(M44,2,1)=" ",ISNUMBER(VALUE(LEFT(M44,1)))),M44,O43))</f>
        <v/>
      </c>
      <c r="P44" s="36" t="n">
        <f aca="false">IF(AND(M44&lt;&gt;"",ISNUMBER(K44),LEFT(M44,9)&lt;&gt;"Total for",M44&lt;&gt;"Gross Profit",M44&lt;&gt;"Net Operating Revenue",M44&lt;&gt;"Net Other Revenue",M44&lt;&gt;"Net Revenue"),1,0)</f>
        <v>0</v>
      </c>
      <c r="Q44" s="36" t="str">
        <f aca="false">IF(P44=1,IF(AND(LEN(M44)&gt;7,ISNUMBER(VALUE(LEFT(M44,6))),MID(M44,7,1)=" "),LEFT(M44,6),M44),"")</f>
        <v/>
      </c>
      <c r="V44" s="36" t="str">
        <f aca="false">TRIM(S44)</f>
        <v/>
      </c>
      <c r="W44" s="36" t="str">
        <f aca="false">IF(V44="Revenue","Revenue",IF(V44="Cost of Goods Sold","COGS",IF(V44="Expenditures","Expense",IF(V44="Other Revenue","Other Revenue",IF(V44="Other Expenditures","Other Expense",W43)))))</f>
        <v/>
      </c>
      <c r="X44" s="36" t="str">
        <f aca="false">IF(OR(V44="Revenue",V44="Cost of Goods Sold",V44="Expenditures",V44="Other Revenue",V44="Other Expenditures"),W44,IF(AND(LEN(V44)&gt;2,MID(V44,2,1)=" ",ISNUMBER(VALUE(LEFT(V44,1)))),V44,X43))</f>
        <v/>
      </c>
      <c r="Y44" s="36" t="n">
        <f aca="false">IF(AND(V44&lt;&gt;"",ISNUMBER(T44),LEFT(V44,9)&lt;&gt;"Total for",V44&lt;&gt;"Gross Profit",V44&lt;&gt;"Net Operating Revenue",V44&lt;&gt;"Net Other Revenue",V44&lt;&gt;"Net Revenue"),1,0)</f>
        <v>0</v>
      </c>
      <c r="Z44" s="36" t="str">
        <f aca="false">IF(Y44=1,IF(AND(LEN(V44)&gt;7,ISNUMBER(VALUE(LEFT(V44,6))),MID(V44,7,1)=" "),LEFT(V44,6),V44),"")</f>
        <v/>
      </c>
      <c r="AE44" s="36" t="str">
        <f aca="false">TRIM(AB44)</f>
        <v/>
      </c>
      <c r="AF44" s="36" t="str">
        <f aca="false">IF(AE44="Revenue","Revenue",IF(AE44="Cost of Goods Sold","COGS",IF(AE44="Expenditures","Expense",IF(AE44="Other Revenue","Other Revenue",IF(AE44="Other Expenditures","Other Expense",AF43)))))</f>
        <v/>
      </c>
      <c r="AG44" s="36" t="str">
        <f aca="false">IF(OR(AE44="Revenue",AE44="Cost of Goods Sold",AE44="Expenditures",AE44="Other Revenue",AE44="Other Expenditures"),AF44,IF(AND(LEN(AE44)&gt;2,MID(AE44,2,1)=" ",ISNUMBER(VALUE(LEFT(AE44,1)))),AE44,AG43))</f>
        <v/>
      </c>
      <c r="AH44" s="36" t="n">
        <f aca="false">IF(AND(AE44&lt;&gt;"",ISNUMBER(AC44),LEFT(AE44,9)&lt;&gt;"Total for",AE44&lt;&gt;"Gross Profit",AE44&lt;&gt;"Net Operating Revenue",AE44&lt;&gt;"Net Other Revenue",AE44&lt;&gt;"Net Revenue"),1,0)</f>
        <v>0</v>
      </c>
      <c r="AI44" s="36" t="str">
        <f aca="false">IF(AH44=1,IF(AND(LEN(AE44)&gt;7,ISNUMBER(VALUE(LEFT(AE44,6))),MID(AE44,7,1)=" "),LEFT(AE44,6),AE44),"")</f>
        <v/>
      </c>
      <c r="AN44" s="36" t="str">
        <f aca="false">TRIM(AK44)</f>
        <v/>
      </c>
      <c r="AO44" s="36" t="str">
        <f aca="false">IF(AN44="Revenue","Revenue",IF(AN44="Cost of Goods Sold","COGS",IF(AN44="Expenditures","Expense",IF(AN44="Other Revenue","Other Revenue",IF(AN44="Other Expenditures","Other Expense",AO43)))))</f>
        <v/>
      </c>
      <c r="AP44" s="36" t="str">
        <f aca="false">IF(OR(AN44="Revenue",AN44="Cost of Goods Sold",AN44="Expenditures",AN44="Other Revenue",AN44="Other Expenditures"),AO44,IF(AND(LEN(AN44)&gt;2,MID(AN44,2,1)=" ",ISNUMBER(VALUE(LEFT(AN44,1)))),AN44,AP43))</f>
        <v/>
      </c>
      <c r="AQ44" s="36" t="n">
        <f aca="false">IF(AND(AN44&lt;&gt;"",ISNUMBER(AL44),LEFT(AN44,9)&lt;&gt;"Total for",AN44&lt;&gt;"Gross Profit",AN44&lt;&gt;"Net Operating Revenue",AN44&lt;&gt;"Net Other Revenue",AN44&lt;&gt;"Net Revenue"),1,0)</f>
        <v>0</v>
      </c>
      <c r="AR44" s="36" t="str">
        <f aca="false">IF(AQ44=1,IF(AND(LEN(AN44)&gt;7,ISNUMBER(VALUE(LEFT(AN44,6))),MID(AN44,7,1)=" "),LEFT(AN44,6),AN44),"")</f>
        <v/>
      </c>
    </row>
    <row r="45" customFormat="false" ht="15" hidden="false" customHeight="false" outlineLevel="0" collapsed="false">
      <c r="D45" s="36" t="str">
        <f aca="false">TRIM(A45)</f>
        <v/>
      </c>
      <c r="E45" s="36" t="str">
        <f aca="false">IF(D45="Revenue","Revenue",IF(D45="Cost of Goods Sold","COGS",IF(D45="Expenditures","Expense",IF(D45="Other Revenue","Other Revenue",IF(D45="Other Expenditures","Other Expense",E44)))))</f>
        <v/>
      </c>
      <c r="F45" s="36" t="str">
        <f aca="false">IF(OR(D45="Revenue",D45="Cost of Goods Sold",D45="Expenditures",D45="Other Revenue",D45="Other Expenditures"),E45,IF(AND(LEN(D45)&gt;2,MID(D45,2,1)=" ",ISNUMBER(VALUE(LEFT(D45,1)))),D45,F44))</f>
        <v/>
      </c>
      <c r="G45" s="36" t="n">
        <f aca="false">IF(AND(D45&lt;&gt;"",ISNUMBER(B45),LEFT(D45,9)&lt;&gt;"Total for",D45&lt;&gt;"Gross Profit",D45&lt;&gt;"Net Operating Revenue",D45&lt;&gt;"Net Other Revenue",D45&lt;&gt;"Net Revenue"),1,0)</f>
        <v>0</v>
      </c>
      <c r="H45" s="36" t="str">
        <f aca="false">IF(G45=1,IF(AND(LEN(D45)&gt;7,ISNUMBER(VALUE(LEFT(D45,6))),MID(D45,7,1)=" "),LEFT(D45,6),D45),"")</f>
        <v/>
      </c>
      <c r="M45" s="36" t="str">
        <f aca="false">TRIM(J45)</f>
        <v/>
      </c>
      <c r="N45" s="36" t="str">
        <f aca="false">IF(M45="Revenue","Revenue",IF(M45="Cost of Goods Sold","COGS",IF(M45="Expenditures","Expense",IF(M45="Other Revenue","Other Revenue",IF(M45="Other Expenditures","Other Expense",N44)))))</f>
        <v/>
      </c>
      <c r="O45" s="36" t="str">
        <f aca="false">IF(OR(M45="Revenue",M45="Cost of Goods Sold",M45="Expenditures",M45="Other Revenue",M45="Other Expenditures"),N45,IF(AND(LEN(M45)&gt;2,MID(M45,2,1)=" ",ISNUMBER(VALUE(LEFT(M45,1)))),M45,O44))</f>
        <v/>
      </c>
      <c r="P45" s="36" t="n">
        <f aca="false">IF(AND(M45&lt;&gt;"",ISNUMBER(K45),LEFT(M45,9)&lt;&gt;"Total for",M45&lt;&gt;"Gross Profit",M45&lt;&gt;"Net Operating Revenue",M45&lt;&gt;"Net Other Revenue",M45&lt;&gt;"Net Revenue"),1,0)</f>
        <v>0</v>
      </c>
      <c r="Q45" s="36" t="str">
        <f aca="false">IF(P45=1,IF(AND(LEN(M45)&gt;7,ISNUMBER(VALUE(LEFT(M45,6))),MID(M45,7,1)=" "),LEFT(M45,6),M45),"")</f>
        <v/>
      </c>
      <c r="V45" s="36" t="str">
        <f aca="false">TRIM(S45)</f>
        <v/>
      </c>
      <c r="W45" s="36" t="str">
        <f aca="false">IF(V45="Revenue","Revenue",IF(V45="Cost of Goods Sold","COGS",IF(V45="Expenditures","Expense",IF(V45="Other Revenue","Other Revenue",IF(V45="Other Expenditures","Other Expense",W44)))))</f>
        <v/>
      </c>
      <c r="X45" s="36" t="str">
        <f aca="false">IF(OR(V45="Revenue",V45="Cost of Goods Sold",V45="Expenditures",V45="Other Revenue",V45="Other Expenditures"),W45,IF(AND(LEN(V45)&gt;2,MID(V45,2,1)=" ",ISNUMBER(VALUE(LEFT(V45,1)))),V45,X44))</f>
        <v/>
      </c>
      <c r="Y45" s="36" t="n">
        <f aca="false">IF(AND(V45&lt;&gt;"",ISNUMBER(T45),LEFT(V45,9)&lt;&gt;"Total for",V45&lt;&gt;"Gross Profit",V45&lt;&gt;"Net Operating Revenue",V45&lt;&gt;"Net Other Revenue",V45&lt;&gt;"Net Revenue"),1,0)</f>
        <v>0</v>
      </c>
      <c r="Z45" s="36" t="str">
        <f aca="false">IF(Y45=1,IF(AND(LEN(V45)&gt;7,ISNUMBER(VALUE(LEFT(V45,6))),MID(V45,7,1)=" "),LEFT(V45,6),V45),"")</f>
        <v/>
      </c>
      <c r="AE45" s="36" t="str">
        <f aca="false">TRIM(AB45)</f>
        <v/>
      </c>
      <c r="AF45" s="36" t="str">
        <f aca="false">IF(AE45="Revenue","Revenue",IF(AE45="Cost of Goods Sold","COGS",IF(AE45="Expenditures","Expense",IF(AE45="Other Revenue","Other Revenue",IF(AE45="Other Expenditures","Other Expense",AF44)))))</f>
        <v/>
      </c>
      <c r="AG45" s="36" t="str">
        <f aca="false">IF(OR(AE45="Revenue",AE45="Cost of Goods Sold",AE45="Expenditures",AE45="Other Revenue",AE45="Other Expenditures"),AF45,IF(AND(LEN(AE45)&gt;2,MID(AE45,2,1)=" ",ISNUMBER(VALUE(LEFT(AE45,1)))),AE45,AG44))</f>
        <v/>
      </c>
      <c r="AH45" s="36" t="n">
        <f aca="false">IF(AND(AE45&lt;&gt;"",ISNUMBER(AC45),LEFT(AE45,9)&lt;&gt;"Total for",AE45&lt;&gt;"Gross Profit",AE45&lt;&gt;"Net Operating Revenue",AE45&lt;&gt;"Net Other Revenue",AE45&lt;&gt;"Net Revenue"),1,0)</f>
        <v>0</v>
      </c>
      <c r="AI45" s="36" t="str">
        <f aca="false">IF(AH45=1,IF(AND(LEN(AE45)&gt;7,ISNUMBER(VALUE(LEFT(AE45,6))),MID(AE45,7,1)=" "),LEFT(AE45,6),AE45),"")</f>
        <v/>
      </c>
      <c r="AN45" s="36" t="str">
        <f aca="false">TRIM(AK45)</f>
        <v/>
      </c>
      <c r="AO45" s="36" t="str">
        <f aca="false">IF(AN45="Revenue","Revenue",IF(AN45="Cost of Goods Sold","COGS",IF(AN45="Expenditures","Expense",IF(AN45="Other Revenue","Other Revenue",IF(AN45="Other Expenditures","Other Expense",AO44)))))</f>
        <v/>
      </c>
      <c r="AP45" s="36" t="str">
        <f aca="false">IF(OR(AN45="Revenue",AN45="Cost of Goods Sold",AN45="Expenditures",AN45="Other Revenue",AN45="Other Expenditures"),AO45,IF(AND(LEN(AN45)&gt;2,MID(AN45,2,1)=" ",ISNUMBER(VALUE(LEFT(AN45,1)))),AN45,AP44))</f>
        <v/>
      </c>
      <c r="AQ45" s="36" t="n">
        <f aca="false">IF(AND(AN45&lt;&gt;"",ISNUMBER(AL45),LEFT(AN45,9)&lt;&gt;"Total for",AN45&lt;&gt;"Gross Profit",AN45&lt;&gt;"Net Operating Revenue",AN45&lt;&gt;"Net Other Revenue",AN45&lt;&gt;"Net Revenue"),1,0)</f>
        <v>0</v>
      </c>
      <c r="AR45" s="36" t="str">
        <f aca="false">IF(AQ45=1,IF(AND(LEN(AN45)&gt;7,ISNUMBER(VALUE(LEFT(AN45,6))),MID(AN45,7,1)=" "),LEFT(AN45,6),AN45),"")</f>
        <v/>
      </c>
    </row>
    <row r="46" customFormat="false" ht="15" hidden="false" customHeight="false" outlineLevel="0" collapsed="false">
      <c r="D46" s="36" t="str">
        <f aca="false">TRIM(A46)</f>
        <v/>
      </c>
      <c r="E46" s="36" t="str">
        <f aca="false">IF(D46="Revenue","Revenue",IF(D46="Cost of Goods Sold","COGS",IF(D46="Expenditures","Expense",IF(D46="Other Revenue","Other Revenue",IF(D46="Other Expenditures","Other Expense",E45)))))</f>
        <v/>
      </c>
      <c r="F46" s="36" t="str">
        <f aca="false">IF(OR(D46="Revenue",D46="Cost of Goods Sold",D46="Expenditures",D46="Other Revenue",D46="Other Expenditures"),E46,IF(AND(LEN(D46)&gt;2,MID(D46,2,1)=" ",ISNUMBER(VALUE(LEFT(D46,1)))),D46,F45))</f>
        <v/>
      </c>
      <c r="G46" s="36" t="n">
        <f aca="false">IF(AND(D46&lt;&gt;"",ISNUMBER(B46),LEFT(D46,9)&lt;&gt;"Total for",D46&lt;&gt;"Gross Profit",D46&lt;&gt;"Net Operating Revenue",D46&lt;&gt;"Net Other Revenue",D46&lt;&gt;"Net Revenue"),1,0)</f>
        <v>0</v>
      </c>
      <c r="H46" s="36" t="str">
        <f aca="false">IF(G46=1,IF(AND(LEN(D46)&gt;7,ISNUMBER(VALUE(LEFT(D46,6))),MID(D46,7,1)=" "),LEFT(D46,6),D46),"")</f>
        <v/>
      </c>
      <c r="M46" s="36" t="str">
        <f aca="false">TRIM(J46)</f>
        <v/>
      </c>
      <c r="N46" s="36" t="str">
        <f aca="false">IF(M46="Revenue","Revenue",IF(M46="Cost of Goods Sold","COGS",IF(M46="Expenditures","Expense",IF(M46="Other Revenue","Other Revenue",IF(M46="Other Expenditures","Other Expense",N45)))))</f>
        <v/>
      </c>
      <c r="O46" s="36" t="str">
        <f aca="false">IF(OR(M46="Revenue",M46="Cost of Goods Sold",M46="Expenditures",M46="Other Revenue",M46="Other Expenditures"),N46,IF(AND(LEN(M46)&gt;2,MID(M46,2,1)=" ",ISNUMBER(VALUE(LEFT(M46,1)))),M46,O45))</f>
        <v/>
      </c>
      <c r="P46" s="36" t="n">
        <f aca="false">IF(AND(M46&lt;&gt;"",ISNUMBER(K46),LEFT(M46,9)&lt;&gt;"Total for",M46&lt;&gt;"Gross Profit",M46&lt;&gt;"Net Operating Revenue",M46&lt;&gt;"Net Other Revenue",M46&lt;&gt;"Net Revenue"),1,0)</f>
        <v>0</v>
      </c>
      <c r="Q46" s="36" t="str">
        <f aca="false">IF(P46=1,IF(AND(LEN(M46)&gt;7,ISNUMBER(VALUE(LEFT(M46,6))),MID(M46,7,1)=" "),LEFT(M46,6),M46),"")</f>
        <v/>
      </c>
      <c r="V46" s="36" t="str">
        <f aca="false">TRIM(S46)</f>
        <v/>
      </c>
      <c r="W46" s="36" t="str">
        <f aca="false">IF(V46="Revenue","Revenue",IF(V46="Cost of Goods Sold","COGS",IF(V46="Expenditures","Expense",IF(V46="Other Revenue","Other Revenue",IF(V46="Other Expenditures","Other Expense",W45)))))</f>
        <v/>
      </c>
      <c r="X46" s="36" t="str">
        <f aca="false">IF(OR(V46="Revenue",V46="Cost of Goods Sold",V46="Expenditures",V46="Other Revenue",V46="Other Expenditures"),W46,IF(AND(LEN(V46)&gt;2,MID(V46,2,1)=" ",ISNUMBER(VALUE(LEFT(V46,1)))),V46,X45))</f>
        <v/>
      </c>
      <c r="Y46" s="36" t="n">
        <f aca="false">IF(AND(V46&lt;&gt;"",ISNUMBER(T46),LEFT(V46,9)&lt;&gt;"Total for",V46&lt;&gt;"Gross Profit",V46&lt;&gt;"Net Operating Revenue",V46&lt;&gt;"Net Other Revenue",V46&lt;&gt;"Net Revenue"),1,0)</f>
        <v>0</v>
      </c>
      <c r="Z46" s="36" t="str">
        <f aca="false">IF(Y46=1,IF(AND(LEN(V46)&gt;7,ISNUMBER(VALUE(LEFT(V46,6))),MID(V46,7,1)=" "),LEFT(V46,6),V46),"")</f>
        <v/>
      </c>
      <c r="AE46" s="36" t="str">
        <f aca="false">TRIM(AB46)</f>
        <v/>
      </c>
      <c r="AF46" s="36" t="str">
        <f aca="false">IF(AE46="Revenue","Revenue",IF(AE46="Cost of Goods Sold","COGS",IF(AE46="Expenditures","Expense",IF(AE46="Other Revenue","Other Revenue",IF(AE46="Other Expenditures","Other Expense",AF45)))))</f>
        <v/>
      </c>
      <c r="AG46" s="36" t="str">
        <f aca="false">IF(OR(AE46="Revenue",AE46="Cost of Goods Sold",AE46="Expenditures",AE46="Other Revenue",AE46="Other Expenditures"),AF46,IF(AND(LEN(AE46)&gt;2,MID(AE46,2,1)=" ",ISNUMBER(VALUE(LEFT(AE46,1)))),AE46,AG45))</f>
        <v/>
      </c>
      <c r="AH46" s="36" t="n">
        <f aca="false">IF(AND(AE46&lt;&gt;"",ISNUMBER(AC46),LEFT(AE46,9)&lt;&gt;"Total for",AE46&lt;&gt;"Gross Profit",AE46&lt;&gt;"Net Operating Revenue",AE46&lt;&gt;"Net Other Revenue",AE46&lt;&gt;"Net Revenue"),1,0)</f>
        <v>0</v>
      </c>
      <c r="AI46" s="36" t="str">
        <f aca="false">IF(AH46=1,IF(AND(LEN(AE46)&gt;7,ISNUMBER(VALUE(LEFT(AE46,6))),MID(AE46,7,1)=" "),LEFT(AE46,6),AE46),"")</f>
        <v/>
      </c>
      <c r="AN46" s="36" t="str">
        <f aca="false">TRIM(AK46)</f>
        <v/>
      </c>
      <c r="AO46" s="36" t="str">
        <f aca="false">IF(AN46="Revenue","Revenue",IF(AN46="Cost of Goods Sold","COGS",IF(AN46="Expenditures","Expense",IF(AN46="Other Revenue","Other Revenue",IF(AN46="Other Expenditures","Other Expense",AO45)))))</f>
        <v/>
      </c>
      <c r="AP46" s="36" t="str">
        <f aca="false">IF(OR(AN46="Revenue",AN46="Cost of Goods Sold",AN46="Expenditures",AN46="Other Revenue",AN46="Other Expenditures"),AO46,IF(AND(LEN(AN46)&gt;2,MID(AN46,2,1)=" ",ISNUMBER(VALUE(LEFT(AN46,1)))),AN46,AP45))</f>
        <v/>
      </c>
      <c r="AQ46" s="36" t="n">
        <f aca="false">IF(AND(AN46&lt;&gt;"",ISNUMBER(AL46),LEFT(AN46,9)&lt;&gt;"Total for",AN46&lt;&gt;"Gross Profit",AN46&lt;&gt;"Net Operating Revenue",AN46&lt;&gt;"Net Other Revenue",AN46&lt;&gt;"Net Revenue"),1,0)</f>
        <v>0</v>
      </c>
      <c r="AR46" s="36" t="str">
        <f aca="false">IF(AQ46=1,IF(AND(LEN(AN46)&gt;7,ISNUMBER(VALUE(LEFT(AN46,6))),MID(AN46,7,1)=" "),LEFT(AN46,6),AN46),"")</f>
        <v/>
      </c>
    </row>
    <row r="47" customFormat="false" ht="15" hidden="false" customHeight="false" outlineLevel="0" collapsed="false">
      <c r="D47" s="36" t="str">
        <f aca="false">TRIM(A47)</f>
        <v/>
      </c>
      <c r="E47" s="36" t="str">
        <f aca="false">IF(D47="Revenue","Revenue",IF(D47="Cost of Goods Sold","COGS",IF(D47="Expenditures","Expense",IF(D47="Other Revenue","Other Revenue",IF(D47="Other Expenditures","Other Expense",E46)))))</f>
        <v/>
      </c>
      <c r="F47" s="36" t="str">
        <f aca="false">IF(OR(D47="Revenue",D47="Cost of Goods Sold",D47="Expenditures",D47="Other Revenue",D47="Other Expenditures"),E47,IF(AND(LEN(D47)&gt;2,MID(D47,2,1)=" ",ISNUMBER(VALUE(LEFT(D47,1)))),D47,F46))</f>
        <v/>
      </c>
      <c r="G47" s="36" t="n">
        <f aca="false">IF(AND(D47&lt;&gt;"",ISNUMBER(B47),LEFT(D47,9)&lt;&gt;"Total for",D47&lt;&gt;"Gross Profit",D47&lt;&gt;"Net Operating Revenue",D47&lt;&gt;"Net Other Revenue",D47&lt;&gt;"Net Revenue"),1,0)</f>
        <v>0</v>
      </c>
      <c r="H47" s="36" t="str">
        <f aca="false">IF(G47=1,IF(AND(LEN(D47)&gt;7,ISNUMBER(VALUE(LEFT(D47,6))),MID(D47,7,1)=" "),LEFT(D47,6),D47),"")</f>
        <v/>
      </c>
      <c r="M47" s="36" t="str">
        <f aca="false">TRIM(J47)</f>
        <v/>
      </c>
      <c r="N47" s="36" t="str">
        <f aca="false">IF(M47="Revenue","Revenue",IF(M47="Cost of Goods Sold","COGS",IF(M47="Expenditures","Expense",IF(M47="Other Revenue","Other Revenue",IF(M47="Other Expenditures","Other Expense",N46)))))</f>
        <v/>
      </c>
      <c r="O47" s="36" t="str">
        <f aca="false">IF(OR(M47="Revenue",M47="Cost of Goods Sold",M47="Expenditures",M47="Other Revenue",M47="Other Expenditures"),N47,IF(AND(LEN(M47)&gt;2,MID(M47,2,1)=" ",ISNUMBER(VALUE(LEFT(M47,1)))),M47,O46))</f>
        <v/>
      </c>
      <c r="P47" s="36" t="n">
        <f aca="false">IF(AND(M47&lt;&gt;"",ISNUMBER(K47),LEFT(M47,9)&lt;&gt;"Total for",M47&lt;&gt;"Gross Profit",M47&lt;&gt;"Net Operating Revenue",M47&lt;&gt;"Net Other Revenue",M47&lt;&gt;"Net Revenue"),1,0)</f>
        <v>0</v>
      </c>
      <c r="Q47" s="36" t="str">
        <f aca="false">IF(P47=1,IF(AND(LEN(M47)&gt;7,ISNUMBER(VALUE(LEFT(M47,6))),MID(M47,7,1)=" "),LEFT(M47,6),M47),"")</f>
        <v/>
      </c>
      <c r="V47" s="36" t="str">
        <f aca="false">TRIM(S47)</f>
        <v/>
      </c>
      <c r="W47" s="36" t="str">
        <f aca="false">IF(V47="Revenue","Revenue",IF(V47="Cost of Goods Sold","COGS",IF(V47="Expenditures","Expense",IF(V47="Other Revenue","Other Revenue",IF(V47="Other Expenditures","Other Expense",W46)))))</f>
        <v/>
      </c>
      <c r="X47" s="36" t="str">
        <f aca="false">IF(OR(V47="Revenue",V47="Cost of Goods Sold",V47="Expenditures",V47="Other Revenue",V47="Other Expenditures"),W47,IF(AND(LEN(V47)&gt;2,MID(V47,2,1)=" ",ISNUMBER(VALUE(LEFT(V47,1)))),V47,X46))</f>
        <v/>
      </c>
      <c r="Y47" s="36" t="n">
        <f aca="false">IF(AND(V47&lt;&gt;"",ISNUMBER(T47),LEFT(V47,9)&lt;&gt;"Total for",V47&lt;&gt;"Gross Profit",V47&lt;&gt;"Net Operating Revenue",V47&lt;&gt;"Net Other Revenue",V47&lt;&gt;"Net Revenue"),1,0)</f>
        <v>0</v>
      </c>
      <c r="Z47" s="36" t="str">
        <f aca="false">IF(Y47=1,IF(AND(LEN(V47)&gt;7,ISNUMBER(VALUE(LEFT(V47,6))),MID(V47,7,1)=" "),LEFT(V47,6),V47),"")</f>
        <v/>
      </c>
      <c r="AE47" s="36" t="str">
        <f aca="false">TRIM(AB47)</f>
        <v/>
      </c>
      <c r="AF47" s="36" t="str">
        <f aca="false">IF(AE47="Revenue","Revenue",IF(AE47="Cost of Goods Sold","COGS",IF(AE47="Expenditures","Expense",IF(AE47="Other Revenue","Other Revenue",IF(AE47="Other Expenditures","Other Expense",AF46)))))</f>
        <v/>
      </c>
      <c r="AG47" s="36" t="str">
        <f aca="false">IF(OR(AE47="Revenue",AE47="Cost of Goods Sold",AE47="Expenditures",AE47="Other Revenue",AE47="Other Expenditures"),AF47,IF(AND(LEN(AE47)&gt;2,MID(AE47,2,1)=" ",ISNUMBER(VALUE(LEFT(AE47,1)))),AE47,AG46))</f>
        <v/>
      </c>
      <c r="AH47" s="36" t="n">
        <f aca="false">IF(AND(AE47&lt;&gt;"",ISNUMBER(AC47),LEFT(AE47,9)&lt;&gt;"Total for",AE47&lt;&gt;"Gross Profit",AE47&lt;&gt;"Net Operating Revenue",AE47&lt;&gt;"Net Other Revenue",AE47&lt;&gt;"Net Revenue"),1,0)</f>
        <v>0</v>
      </c>
      <c r="AI47" s="36" t="str">
        <f aca="false">IF(AH47=1,IF(AND(LEN(AE47)&gt;7,ISNUMBER(VALUE(LEFT(AE47,6))),MID(AE47,7,1)=" "),LEFT(AE47,6),AE47),"")</f>
        <v/>
      </c>
      <c r="AN47" s="36" t="str">
        <f aca="false">TRIM(AK47)</f>
        <v/>
      </c>
      <c r="AO47" s="36" t="str">
        <f aca="false">IF(AN47="Revenue","Revenue",IF(AN47="Cost of Goods Sold","COGS",IF(AN47="Expenditures","Expense",IF(AN47="Other Revenue","Other Revenue",IF(AN47="Other Expenditures","Other Expense",AO46)))))</f>
        <v/>
      </c>
      <c r="AP47" s="36" t="str">
        <f aca="false">IF(OR(AN47="Revenue",AN47="Cost of Goods Sold",AN47="Expenditures",AN47="Other Revenue",AN47="Other Expenditures"),AO47,IF(AND(LEN(AN47)&gt;2,MID(AN47,2,1)=" ",ISNUMBER(VALUE(LEFT(AN47,1)))),AN47,AP46))</f>
        <v/>
      </c>
      <c r="AQ47" s="36" t="n">
        <f aca="false">IF(AND(AN47&lt;&gt;"",ISNUMBER(AL47),LEFT(AN47,9)&lt;&gt;"Total for",AN47&lt;&gt;"Gross Profit",AN47&lt;&gt;"Net Operating Revenue",AN47&lt;&gt;"Net Other Revenue",AN47&lt;&gt;"Net Revenue"),1,0)</f>
        <v>0</v>
      </c>
      <c r="AR47" s="36" t="str">
        <f aca="false">IF(AQ47=1,IF(AND(LEN(AN47)&gt;7,ISNUMBER(VALUE(LEFT(AN47,6))),MID(AN47,7,1)=" "),LEFT(AN47,6),AN47),"")</f>
        <v/>
      </c>
    </row>
    <row r="48" customFormat="false" ht="15" hidden="false" customHeight="false" outlineLevel="0" collapsed="false">
      <c r="D48" s="36" t="str">
        <f aca="false">TRIM(A48)</f>
        <v/>
      </c>
      <c r="E48" s="36" t="str">
        <f aca="false">IF(D48="Revenue","Revenue",IF(D48="Cost of Goods Sold","COGS",IF(D48="Expenditures","Expense",IF(D48="Other Revenue","Other Revenue",IF(D48="Other Expenditures","Other Expense",E47)))))</f>
        <v/>
      </c>
      <c r="F48" s="36" t="str">
        <f aca="false">IF(OR(D48="Revenue",D48="Cost of Goods Sold",D48="Expenditures",D48="Other Revenue",D48="Other Expenditures"),E48,IF(AND(LEN(D48)&gt;2,MID(D48,2,1)=" ",ISNUMBER(VALUE(LEFT(D48,1)))),D48,F47))</f>
        <v/>
      </c>
      <c r="G48" s="36" t="n">
        <f aca="false">IF(AND(D48&lt;&gt;"",ISNUMBER(B48),LEFT(D48,9)&lt;&gt;"Total for",D48&lt;&gt;"Gross Profit",D48&lt;&gt;"Net Operating Revenue",D48&lt;&gt;"Net Other Revenue",D48&lt;&gt;"Net Revenue"),1,0)</f>
        <v>0</v>
      </c>
      <c r="H48" s="36" t="str">
        <f aca="false">IF(G48=1,IF(AND(LEN(D48)&gt;7,ISNUMBER(VALUE(LEFT(D48,6))),MID(D48,7,1)=" "),LEFT(D48,6),D48),"")</f>
        <v/>
      </c>
      <c r="M48" s="36" t="str">
        <f aca="false">TRIM(J48)</f>
        <v/>
      </c>
      <c r="N48" s="36" t="str">
        <f aca="false">IF(M48="Revenue","Revenue",IF(M48="Cost of Goods Sold","COGS",IF(M48="Expenditures","Expense",IF(M48="Other Revenue","Other Revenue",IF(M48="Other Expenditures","Other Expense",N47)))))</f>
        <v/>
      </c>
      <c r="O48" s="36" t="str">
        <f aca="false">IF(OR(M48="Revenue",M48="Cost of Goods Sold",M48="Expenditures",M48="Other Revenue",M48="Other Expenditures"),N48,IF(AND(LEN(M48)&gt;2,MID(M48,2,1)=" ",ISNUMBER(VALUE(LEFT(M48,1)))),M48,O47))</f>
        <v/>
      </c>
      <c r="P48" s="36" t="n">
        <f aca="false">IF(AND(M48&lt;&gt;"",ISNUMBER(K48),LEFT(M48,9)&lt;&gt;"Total for",M48&lt;&gt;"Gross Profit",M48&lt;&gt;"Net Operating Revenue",M48&lt;&gt;"Net Other Revenue",M48&lt;&gt;"Net Revenue"),1,0)</f>
        <v>0</v>
      </c>
      <c r="Q48" s="36" t="str">
        <f aca="false">IF(P48=1,IF(AND(LEN(M48)&gt;7,ISNUMBER(VALUE(LEFT(M48,6))),MID(M48,7,1)=" "),LEFT(M48,6),M48),"")</f>
        <v/>
      </c>
      <c r="V48" s="36" t="str">
        <f aca="false">TRIM(S48)</f>
        <v/>
      </c>
      <c r="W48" s="36" t="str">
        <f aca="false">IF(V48="Revenue","Revenue",IF(V48="Cost of Goods Sold","COGS",IF(V48="Expenditures","Expense",IF(V48="Other Revenue","Other Revenue",IF(V48="Other Expenditures","Other Expense",W47)))))</f>
        <v/>
      </c>
      <c r="X48" s="36" t="str">
        <f aca="false">IF(OR(V48="Revenue",V48="Cost of Goods Sold",V48="Expenditures",V48="Other Revenue",V48="Other Expenditures"),W48,IF(AND(LEN(V48)&gt;2,MID(V48,2,1)=" ",ISNUMBER(VALUE(LEFT(V48,1)))),V48,X47))</f>
        <v/>
      </c>
      <c r="Y48" s="36" t="n">
        <f aca="false">IF(AND(V48&lt;&gt;"",ISNUMBER(T48),LEFT(V48,9)&lt;&gt;"Total for",V48&lt;&gt;"Gross Profit",V48&lt;&gt;"Net Operating Revenue",V48&lt;&gt;"Net Other Revenue",V48&lt;&gt;"Net Revenue"),1,0)</f>
        <v>0</v>
      </c>
      <c r="Z48" s="36" t="str">
        <f aca="false">IF(Y48=1,IF(AND(LEN(V48)&gt;7,ISNUMBER(VALUE(LEFT(V48,6))),MID(V48,7,1)=" "),LEFT(V48,6),V48),"")</f>
        <v/>
      </c>
      <c r="AE48" s="36" t="str">
        <f aca="false">TRIM(AB48)</f>
        <v/>
      </c>
      <c r="AF48" s="36" t="str">
        <f aca="false">IF(AE48="Revenue","Revenue",IF(AE48="Cost of Goods Sold","COGS",IF(AE48="Expenditures","Expense",IF(AE48="Other Revenue","Other Revenue",IF(AE48="Other Expenditures","Other Expense",AF47)))))</f>
        <v/>
      </c>
      <c r="AG48" s="36" t="str">
        <f aca="false">IF(OR(AE48="Revenue",AE48="Cost of Goods Sold",AE48="Expenditures",AE48="Other Revenue",AE48="Other Expenditures"),AF48,IF(AND(LEN(AE48)&gt;2,MID(AE48,2,1)=" ",ISNUMBER(VALUE(LEFT(AE48,1)))),AE48,AG47))</f>
        <v/>
      </c>
      <c r="AH48" s="36" t="n">
        <f aca="false">IF(AND(AE48&lt;&gt;"",ISNUMBER(AC48),LEFT(AE48,9)&lt;&gt;"Total for",AE48&lt;&gt;"Gross Profit",AE48&lt;&gt;"Net Operating Revenue",AE48&lt;&gt;"Net Other Revenue",AE48&lt;&gt;"Net Revenue"),1,0)</f>
        <v>0</v>
      </c>
      <c r="AI48" s="36" t="str">
        <f aca="false">IF(AH48=1,IF(AND(LEN(AE48)&gt;7,ISNUMBER(VALUE(LEFT(AE48,6))),MID(AE48,7,1)=" "),LEFT(AE48,6),AE48),"")</f>
        <v/>
      </c>
      <c r="AN48" s="36" t="str">
        <f aca="false">TRIM(AK48)</f>
        <v/>
      </c>
      <c r="AO48" s="36" t="str">
        <f aca="false">IF(AN48="Revenue","Revenue",IF(AN48="Cost of Goods Sold","COGS",IF(AN48="Expenditures","Expense",IF(AN48="Other Revenue","Other Revenue",IF(AN48="Other Expenditures","Other Expense",AO47)))))</f>
        <v/>
      </c>
      <c r="AP48" s="36" t="str">
        <f aca="false">IF(OR(AN48="Revenue",AN48="Cost of Goods Sold",AN48="Expenditures",AN48="Other Revenue",AN48="Other Expenditures"),AO48,IF(AND(LEN(AN48)&gt;2,MID(AN48,2,1)=" ",ISNUMBER(VALUE(LEFT(AN48,1)))),AN48,AP47))</f>
        <v/>
      </c>
      <c r="AQ48" s="36" t="n">
        <f aca="false">IF(AND(AN48&lt;&gt;"",ISNUMBER(AL48),LEFT(AN48,9)&lt;&gt;"Total for",AN48&lt;&gt;"Gross Profit",AN48&lt;&gt;"Net Operating Revenue",AN48&lt;&gt;"Net Other Revenue",AN48&lt;&gt;"Net Revenue"),1,0)</f>
        <v>0</v>
      </c>
      <c r="AR48" s="36" t="str">
        <f aca="false">IF(AQ48=1,IF(AND(LEN(AN48)&gt;7,ISNUMBER(VALUE(LEFT(AN48,6))),MID(AN48,7,1)=" "),LEFT(AN48,6),AN48),"")</f>
        <v/>
      </c>
    </row>
    <row r="49" customFormat="false" ht="15" hidden="false" customHeight="false" outlineLevel="0" collapsed="false">
      <c r="D49" s="36" t="str">
        <f aca="false">TRIM(A49)</f>
        <v/>
      </c>
      <c r="E49" s="36" t="str">
        <f aca="false">IF(D49="Revenue","Revenue",IF(D49="Cost of Goods Sold","COGS",IF(D49="Expenditures","Expense",IF(D49="Other Revenue","Other Revenue",IF(D49="Other Expenditures","Other Expense",E48)))))</f>
        <v/>
      </c>
      <c r="F49" s="36" t="str">
        <f aca="false">IF(OR(D49="Revenue",D49="Cost of Goods Sold",D49="Expenditures",D49="Other Revenue",D49="Other Expenditures"),E49,IF(AND(LEN(D49)&gt;2,MID(D49,2,1)=" ",ISNUMBER(VALUE(LEFT(D49,1)))),D49,F48))</f>
        <v/>
      </c>
      <c r="G49" s="36" t="n">
        <f aca="false">IF(AND(D49&lt;&gt;"",ISNUMBER(B49),LEFT(D49,9)&lt;&gt;"Total for",D49&lt;&gt;"Gross Profit",D49&lt;&gt;"Net Operating Revenue",D49&lt;&gt;"Net Other Revenue",D49&lt;&gt;"Net Revenue"),1,0)</f>
        <v>0</v>
      </c>
      <c r="H49" s="36" t="str">
        <f aca="false">IF(G49=1,IF(AND(LEN(D49)&gt;7,ISNUMBER(VALUE(LEFT(D49,6))),MID(D49,7,1)=" "),LEFT(D49,6),D49),"")</f>
        <v/>
      </c>
      <c r="M49" s="36" t="str">
        <f aca="false">TRIM(J49)</f>
        <v/>
      </c>
      <c r="N49" s="36" t="str">
        <f aca="false">IF(M49="Revenue","Revenue",IF(M49="Cost of Goods Sold","COGS",IF(M49="Expenditures","Expense",IF(M49="Other Revenue","Other Revenue",IF(M49="Other Expenditures","Other Expense",N48)))))</f>
        <v/>
      </c>
      <c r="O49" s="36" t="str">
        <f aca="false">IF(OR(M49="Revenue",M49="Cost of Goods Sold",M49="Expenditures",M49="Other Revenue",M49="Other Expenditures"),N49,IF(AND(LEN(M49)&gt;2,MID(M49,2,1)=" ",ISNUMBER(VALUE(LEFT(M49,1)))),M49,O48))</f>
        <v/>
      </c>
      <c r="P49" s="36" t="n">
        <f aca="false">IF(AND(M49&lt;&gt;"",ISNUMBER(K49),LEFT(M49,9)&lt;&gt;"Total for",M49&lt;&gt;"Gross Profit",M49&lt;&gt;"Net Operating Revenue",M49&lt;&gt;"Net Other Revenue",M49&lt;&gt;"Net Revenue"),1,0)</f>
        <v>0</v>
      </c>
      <c r="Q49" s="36" t="str">
        <f aca="false">IF(P49=1,IF(AND(LEN(M49)&gt;7,ISNUMBER(VALUE(LEFT(M49,6))),MID(M49,7,1)=" "),LEFT(M49,6),M49),"")</f>
        <v/>
      </c>
      <c r="V49" s="36" t="str">
        <f aca="false">TRIM(S49)</f>
        <v/>
      </c>
      <c r="W49" s="36" t="str">
        <f aca="false">IF(V49="Revenue","Revenue",IF(V49="Cost of Goods Sold","COGS",IF(V49="Expenditures","Expense",IF(V49="Other Revenue","Other Revenue",IF(V49="Other Expenditures","Other Expense",W48)))))</f>
        <v/>
      </c>
      <c r="X49" s="36" t="str">
        <f aca="false">IF(OR(V49="Revenue",V49="Cost of Goods Sold",V49="Expenditures",V49="Other Revenue",V49="Other Expenditures"),W49,IF(AND(LEN(V49)&gt;2,MID(V49,2,1)=" ",ISNUMBER(VALUE(LEFT(V49,1)))),V49,X48))</f>
        <v/>
      </c>
      <c r="Y49" s="36" t="n">
        <f aca="false">IF(AND(V49&lt;&gt;"",ISNUMBER(T49),LEFT(V49,9)&lt;&gt;"Total for",V49&lt;&gt;"Gross Profit",V49&lt;&gt;"Net Operating Revenue",V49&lt;&gt;"Net Other Revenue",V49&lt;&gt;"Net Revenue"),1,0)</f>
        <v>0</v>
      </c>
      <c r="Z49" s="36" t="str">
        <f aca="false">IF(Y49=1,IF(AND(LEN(V49)&gt;7,ISNUMBER(VALUE(LEFT(V49,6))),MID(V49,7,1)=" "),LEFT(V49,6),V49),"")</f>
        <v/>
      </c>
      <c r="AE49" s="36" t="str">
        <f aca="false">TRIM(AB49)</f>
        <v/>
      </c>
      <c r="AF49" s="36" t="str">
        <f aca="false">IF(AE49="Revenue","Revenue",IF(AE49="Cost of Goods Sold","COGS",IF(AE49="Expenditures","Expense",IF(AE49="Other Revenue","Other Revenue",IF(AE49="Other Expenditures","Other Expense",AF48)))))</f>
        <v/>
      </c>
      <c r="AG49" s="36" t="str">
        <f aca="false">IF(OR(AE49="Revenue",AE49="Cost of Goods Sold",AE49="Expenditures",AE49="Other Revenue",AE49="Other Expenditures"),AF49,IF(AND(LEN(AE49)&gt;2,MID(AE49,2,1)=" ",ISNUMBER(VALUE(LEFT(AE49,1)))),AE49,AG48))</f>
        <v/>
      </c>
      <c r="AH49" s="36" t="n">
        <f aca="false">IF(AND(AE49&lt;&gt;"",ISNUMBER(AC49),LEFT(AE49,9)&lt;&gt;"Total for",AE49&lt;&gt;"Gross Profit",AE49&lt;&gt;"Net Operating Revenue",AE49&lt;&gt;"Net Other Revenue",AE49&lt;&gt;"Net Revenue"),1,0)</f>
        <v>0</v>
      </c>
      <c r="AI49" s="36" t="str">
        <f aca="false">IF(AH49=1,IF(AND(LEN(AE49)&gt;7,ISNUMBER(VALUE(LEFT(AE49,6))),MID(AE49,7,1)=" "),LEFT(AE49,6),AE49),"")</f>
        <v/>
      </c>
      <c r="AN49" s="36" t="str">
        <f aca="false">TRIM(AK49)</f>
        <v/>
      </c>
      <c r="AO49" s="36" t="str">
        <f aca="false">IF(AN49="Revenue","Revenue",IF(AN49="Cost of Goods Sold","COGS",IF(AN49="Expenditures","Expense",IF(AN49="Other Revenue","Other Revenue",IF(AN49="Other Expenditures","Other Expense",AO48)))))</f>
        <v/>
      </c>
      <c r="AP49" s="36" t="str">
        <f aca="false">IF(OR(AN49="Revenue",AN49="Cost of Goods Sold",AN49="Expenditures",AN49="Other Revenue",AN49="Other Expenditures"),AO49,IF(AND(LEN(AN49)&gt;2,MID(AN49,2,1)=" ",ISNUMBER(VALUE(LEFT(AN49,1)))),AN49,AP48))</f>
        <v/>
      </c>
      <c r="AQ49" s="36" t="n">
        <f aca="false">IF(AND(AN49&lt;&gt;"",ISNUMBER(AL49),LEFT(AN49,9)&lt;&gt;"Total for",AN49&lt;&gt;"Gross Profit",AN49&lt;&gt;"Net Operating Revenue",AN49&lt;&gt;"Net Other Revenue",AN49&lt;&gt;"Net Revenue"),1,0)</f>
        <v>0</v>
      </c>
      <c r="AR49" s="36" t="str">
        <f aca="false">IF(AQ49=1,IF(AND(LEN(AN49)&gt;7,ISNUMBER(VALUE(LEFT(AN49,6))),MID(AN49,7,1)=" "),LEFT(AN49,6),AN49),"")</f>
        <v/>
      </c>
    </row>
    <row r="50" customFormat="false" ht="15" hidden="false" customHeight="false" outlineLevel="0" collapsed="false">
      <c r="D50" s="36" t="str">
        <f aca="false">TRIM(A50)</f>
        <v/>
      </c>
      <c r="E50" s="36" t="str">
        <f aca="false">IF(D50="Revenue","Revenue",IF(D50="Cost of Goods Sold","COGS",IF(D50="Expenditures","Expense",IF(D50="Other Revenue","Other Revenue",IF(D50="Other Expenditures","Other Expense",E49)))))</f>
        <v/>
      </c>
      <c r="F50" s="36" t="str">
        <f aca="false">IF(OR(D50="Revenue",D50="Cost of Goods Sold",D50="Expenditures",D50="Other Revenue",D50="Other Expenditures"),E50,IF(AND(LEN(D50)&gt;2,MID(D50,2,1)=" ",ISNUMBER(VALUE(LEFT(D50,1)))),D50,F49))</f>
        <v/>
      </c>
      <c r="G50" s="36" t="n">
        <f aca="false">IF(AND(D50&lt;&gt;"",ISNUMBER(B50),LEFT(D50,9)&lt;&gt;"Total for",D50&lt;&gt;"Gross Profit",D50&lt;&gt;"Net Operating Revenue",D50&lt;&gt;"Net Other Revenue",D50&lt;&gt;"Net Revenue"),1,0)</f>
        <v>0</v>
      </c>
      <c r="H50" s="36" t="str">
        <f aca="false">IF(G50=1,IF(AND(LEN(D50)&gt;7,ISNUMBER(VALUE(LEFT(D50,6))),MID(D50,7,1)=" "),LEFT(D50,6),D50),"")</f>
        <v/>
      </c>
      <c r="M50" s="36" t="str">
        <f aca="false">TRIM(J50)</f>
        <v/>
      </c>
      <c r="N50" s="36" t="str">
        <f aca="false">IF(M50="Revenue","Revenue",IF(M50="Cost of Goods Sold","COGS",IF(M50="Expenditures","Expense",IF(M50="Other Revenue","Other Revenue",IF(M50="Other Expenditures","Other Expense",N49)))))</f>
        <v/>
      </c>
      <c r="O50" s="36" t="str">
        <f aca="false">IF(OR(M50="Revenue",M50="Cost of Goods Sold",M50="Expenditures",M50="Other Revenue",M50="Other Expenditures"),N50,IF(AND(LEN(M50)&gt;2,MID(M50,2,1)=" ",ISNUMBER(VALUE(LEFT(M50,1)))),M50,O49))</f>
        <v/>
      </c>
      <c r="P50" s="36" t="n">
        <f aca="false">IF(AND(M50&lt;&gt;"",ISNUMBER(K50),LEFT(M50,9)&lt;&gt;"Total for",M50&lt;&gt;"Gross Profit",M50&lt;&gt;"Net Operating Revenue",M50&lt;&gt;"Net Other Revenue",M50&lt;&gt;"Net Revenue"),1,0)</f>
        <v>0</v>
      </c>
      <c r="Q50" s="36" t="str">
        <f aca="false">IF(P50=1,IF(AND(LEN(M50)&gt;7,ISNUMBER(VALUE(LEFT(M50,6))),MID(M50,7,1)=" "),LEFT(M50,6),M50),"")</f>
        <v/>
      </c>
      <c r="V50" s="36" t="str">
        <f aca="false">TRIM(S50)</f>
        <v/>
      </c>
      <c r="W50" s="36" t="str">
        <f aca="false">IF(V50="Revenue","Revenue",IF(V50="Cost of Goods Sold","COGS",IF(V50="Expenditures","Expense",IF(V50="Other Revenue","Other Revenue",IF(V50="Other Expenditures","Other Expense",W49)))))</f>
        <v/>
      </c>
      <c r="X50" s="36" t="str">
        <f aca="false">IF(OR(V50="Revenue",V50="Cost of Goods Sold",V50="Expenditures",V50="Other Revenue",V50="Other Expenditures"),W50,IF(AND(LEN(V50)&gt;2,MID(V50,2,1)=" ",ISNUMBER(VALUE(LEFT(V50,1)))),V50,X49))</f>
        <v/>
      </c>
      <c r="Y50" s="36" t="n">
        <f aca="false">IF(AND(V50&lt;&gt;"",ISNUMBER(T50),LEFT(V50,9)&lt;&gt;"Total for",V50&lt;&gt;"Gross Profit",V50&lt;&gt;"Net Operating Revenue",V50&lt;&gt;"Net Other Revenue",V50&lt;&gt;"Net Revenue"),1,0)</f>
        <v>0</v>
      </c>
      <c r="Z50" s="36" t="str">
        <f aca="false">IF(Y50=1,IF(AND(LEN(V50)&gt;7,ISNUMBER(VALUE(LEFT(V50,6))),MID(V50,7,1)=" "),LEFT(V50,6),V50),"")</f>
        <v/>
      </c>
      <c r="AE50" s="36" t="str">
        <f aca="false">TRIM(AB50)</f>
        <v/>
      </c>
      <c r="AF50" s="36" t="str">
        <f aca="false">IF(AE50="Revenue","Revenue",IF(AE50="Cost of Goods Sold","COGS",IF(AE50="Expenditures","Expense",IF(AE50="Other Revenue","Other Revenue",IF(AE50="Other Expenditures","Other Expense",AF49)))))</f>
        <v/>
      </c>
      <c r="AG50" s="36" t="str">
        <f aca="false">IF(OR(AE50="Revenue",AE50="Cost of Goods Sold",AE50="Expenditures",AE50="Other Revenue",AE50="Other Expenditures"),AF50,IF(AND(LEN(AE50)&gt;2,MID(AE50,2,1)=" ",ISNUMBER(VALUE(LEFT(AE50,1)))),AE50,AG49))</f>
        <v/>
      </c>
      <c r="AH50" s="36" t="n">
        <f aca="false">IF(AND(AE50&lt;&gt;"",ISNUMBER(AC50),LEFT(AE50,9)&lt;&gt;"Total for",AE50&lt;&gt;"Gross Profit",AE50&lt;&gt;"Net Operating Revenue",AE50&lt;&gt;"Net Other Revenue",AE50&lt;&gt;"Net Revenue"),1,0)</f>
        <v>0</v>
      </c>
      <c r="AI50" s="36" t="str">
        <f aca="false">IF(AH50=1,IF(AND(LEN(AE50)&gt;7,ISNUMBER(VALUE(LEFT(AE50,6))),MID(AE50,7,1)=" "),LEFT(AE50,6),AE50),"")</f>
        <v/>
      </c>
      <c r="AN50" s="36" t="str">
        <f aca="false">TRIM(AK50)</f>
        <v/>
      </c>
      <c r="AO50" s="36" t="str">
        <f aca="false">IF(AN50="Revenue","Revenue",IF(AN50="Cost of Goods Sold","COGS",IF(AN50="Expenditures","Expense",IF(AN50="Other Revenue","Other Revenue",IF(AN50="Other Expenditures","Other Expense",AO49)))))</f>
        <v/>
      </c>
      <c r="AP50" s="36" t="str">
        <f aca="false">IF(OR(AN50="Revenue",AN50="Cost of Goods Sold",AN50="Expenditures",AN50="Other Revenue",AN50="Other Expenditures"),AO50,IF(AND(LEN(AN50)&gt;2,MID(AN50,2,1)=" ",ISNUMBER(VALUE(LEFT(AN50,1)))),AN50,AP49))</f>
        <v/>
      </c>
      <c r="AQ50" s="36" t="n">
        <f aca="false">IF(AND(AN50&lt;&gt;"",ISNUMBER(AL50),LEFT(AN50,9)&lt;&gt;"Total for",AN50&lt;&gt;"Gross Profit",AN50&lt;&gt;"Net Operating Revenue",AN50&lt;&gt;"Net Other Revenue",AN50&lt;&gt;"Net Revenue"),1,0)</f>
        <v>0</v>
      </c>
      <c r="AR50" s="36" t="str">
        <f aca="false">IF(AQ50=1,IF(AND(LEN(AN50)&gt;7,ISNUMBER(VALUE(LEFT(AN50,6))),MID(AN50,7,1)=" "),LEFT(AN50,6),AN50),"")</f>
        <v/>
      </c>
    </row>
    <row r="51" customFormat="false" ht="15" hidden="false" customHeight="false" outlineLevel="0" collapsed="false">
      <c r="D51" s="36" t="str">
        <f aca="false">TRIM(A51)</f>
        <v/>
      </c>
      <c r="E51" s="36" t="str">
        <f aca="false">IF(D51="Revenue","Revenue",IF(D51="Cost of Goods Sold","COGS",IF(D51="Expenditures","Expense",IF(D51="Other Revenue","Other Revenue",IF(D51="Other Expenditures","Other Expense",E50)))))</f>
        <v/>
      </c>
      <c r="F51" s="36" t="str">
        <f aca="false">IF(OR(D51="Revenue",D51="Cost of Goods Sold",D51="Expenditures",D51="Other Revenue",D51="Other Expenditures"),E51,IF(AND(LEN(D51)&gt;2,MID(D51,2,1)=" ",ISNUMBER(VALUE(LEFT(D51,1)))),D51,F50))</f>
        <v/>
      </c>
      <c r="G51" s="36" t="n">
        <f aca="false">IF(AND(D51&lt;&gt;"",ISNUMBER(B51),LEFT(D51,9)&lt;&gt;"Total for",D51&lt;&gt;"Gross Profit",D51&lt;&gt;"Net Operating Revenue",D51&lt;&gt;"Net Other Revenue",D51&lt;&gt;"Net Revenue"),1,0)</f>
        <v>0</v>
      </c>
      <c r="H51" s="36" t="str">
        <f aca="false">IF(G51=1,IF(AND(LEN(D51)&gt;7,ISNUMBER(VALUE(LEFT(D51,6))),MID(D51,7,1)=" "),LEFT(D51,6),D51),"")</f>
        <v/>
      </c>
      <c r="M51" s="36" t="str">
        <f aca="false">TRIM(J51)</f>
        <v/>
      </c>
      <c r="N51" s="36" t="str">
        <f aca="false">IF(M51="Revenue","Revenue",IF(M51="Cost of Goods Sold","COGS",IF(M51="Expenditures","Expense",IF(M51="Other Revenue","Other Revenue",IF(M51="Other Expenditures","Other Expense",N50)))))</f>
        <v/>
      </c>
      <c r="O51" s="36" t="str">
        <f aca="false">IF(OR(M51="Revenue",M51="Cost of Goods Sold",M51="Expenditures",M51="Other Revenue",M51="Other Expenditures"),N51,IF(AND(LEN(M51)&gt;2,MID(M51,2,1)=" ",ISNUMBER(VALUE(LEFT(M51,1)))),M51,O50))</f>
        <v/>
      </c>
      <c r="P51" s="36" t="n">
        <f aca="false">IF(AND(M51&lt;&gt;"",ISNUMBER(K51),LEFT(M51,9)&lt;&gt;"Total for",M51&lt;&gt;"Gross Profit",M51&lt;&gt;"Net Operating Revenue",M51&lt;&gt;"Net Other Revenue",M51&lt;&gt;"Net Revenue"),1,0)</f>
        <v>0</v>
      </c>
      <c r="Q51" s="36" t="str">
        <f aca="false">IF(P51=1,IF(AND(LEN(M51)&gt;7,ISNUMBER(VALUE(LEFT(M51,6))),MID(M51,7,1)=" "),LEFT(M51,6),M51),"")</f>
        <v/>
      </c>
      <c r="V51" s="36" t="str">
        <f aca="false">TRIM(S51)</f>
        <v/>
      </c>
      <c r="W51" s="36" t="str">
        <f aca="false">IF(V51="Revenue","Revenue",IF(V51="Cost of Goods Sold","COGS",IF(V51="Expenditures","Expense",IF(V51="Other Revenue","Other Revenue",IF(V51="Other Expenditures","Other Expense",W50)))))</f>
        <v/>
      </c>
      <c r="X51" s="36" t="str">
        <f aca="false">IF(OR(V51="Revenue",V51="Cost of Goods Sold",V51="Expenditures",V51="Other Revenue",V51="Other Expenditures"),W51,IF(AND(LEN(V51)&gt;2,MID(V51,2,1)=" ",ISNUMBER(VALUE(LEFT(V51,1)))),V51,X50))</f>
        <v/>
      </c>
      <c r="Y51" s="36" t="n">
        <f aca="false">IF(AND(V51&lt;&gt;"",ISNUMBER(T51),LEFT(V51,9)&lt;&gt;"Total for",V51&lt;&gt;"Gross Profit",V51&lt;&gt;"Net Operating Revenue",V51&lt;&gt;"Net Other Revenue",V51&lt;&gt;"Net Revenue"),1,0)</f>
        <v>0</v>
      </c>
      <c r="Z51" s="36" t="str">
        <f aca="false">IF(Y51=1,IF(AND(LEN(V51)&gt;7,ISNUMBER(VALUE(LEFT(V51,6))),MID(V51,7,1)=" "),LEFT(V51,6),V51),"")</f>
        <v/>
      </c>
      <c r="AE51" s="36" t="str">
        <f aca="false">TRIM(AB51)</f>
        <v/>
      </c>
      <c r="AF51" s="36" t="str">
        <f aca="false">IF(AE51="Revenue","Revenue",IF(AE51="Cost of Goods Sold","COGS",IF(AE51="Expenditures","Expense",IF(AE51="Other Revenue","Other Revenue",IF(AE51="Other Expenditures","Other Expense",AF50)))))</f>
        <v/>
      </c>
      <c r="AG51" s="36" t="str">
        <f aca="false">IF(OR(AE51="Revenue",AE51="Cost of Goods Sold",AE51="Expenditures",AE51="Other Revenue",AE51="Other Expenditures"),AF51,IF(AND(LEN(AE51)&gt;2,MID(AE51,2,1)=" ",ISNUMBER(VALUE(LEFT(AE51,1)))),AE51,AG50))</f>
        <v/>
      </c>
      <c r="AH51" s="36" t="n">
        <f aca="false">IF(AND(AE51&lt;&gt;"",ISNUMBER(AC51),LEFT(AE51,9)&lt;&gt;"Total for",AE51&lt;&gt;"Gross Profit",AE51&lt;&gt;"Net Operating Revenue",AE51&lt;&gt;"Net Other Revenue",AE51&lt;&gt;"Net Revenue"),1,0)</f>
        <v>0</v>
      </c>
      <c r="AI51" s="36" t="str">
        <f aca="false">IF(AH51=1,IF(AND(LEN(AE51)&gt;7,ISNUMBER(VALUE(LEFT(AE51,6))),MID(AE51,7,1)=" "),LEFT(AE51,6),AE51),"")</f>
        <v/>
      </c>
      <c r="AN51" s="36" t="str">
        <f aca="false">TRIM(AK51)</f>
        <v/>
      </c>
      <c r="AO51" s="36" t="str">
        <f aca="false">IF(AN51="Revenue","Revenue",IF(AN51="Cost of Goods Sold","COGS",IF(AN51="Expenditures","Expense",IF(AN51="Other Revenue","Other Revenue",IF(AN51="Other Expenditures","Other Expense",AO50)))))</f>
        <v/>
      </c>
      <c r="AP51" s="36" t="str">
        <f aca="false">IF(OR(AN51="Revenue",AN51="Cost of Goods Sold",AN51="Expenditures",AN51="Other Revenue",AN51="Other Expenditures"),AO51,IF(AND(LEN(AN51)&gt;2,MID(AN51,2,1)=" ",ISNUMBER(VALUE(LEFT(AN51,1)))),AN51,AP50))</f>
        <v/>
      </c>
      <c r="AQ51" s="36" t="n">
        <f aca="false">IF(AND(AN51&lt;&gt;"",ISNUMBER(AL51),LEFT(AN51,9)&lt;&gt;"Total for",AN51&lt;&gt;"Gross Profit",AN51&lt;&gt;"Net Operating Revenue",AN51&lt;&gt;"Net Other Revenue",AN51&lt;&gt;"Net Revenue"),1,0)</f>
        <v>0</v>
      </c>
      <c r="AR51" s="36" t="str">
        <f aca="false">IF(AQ51=1,IF(AND(LEN(AN51)&gt;7,ISNUMBER(VALUE(LEFT(AN51,6))),MID(AN51,7,1)=" "),LEFT(AN51,6),AN51),"")</f>
        <v/>
      </c>
    </row>
    <row r="52" customFormat="false" ht="15" hidden="false" customHeight="false" outlineLevel="0" collapsed="false">
      <c r="D52" s="36" t="str">
        <f aca="false">TRIM(A52)</f>
        <v/>
      </c>
      <c r="E52" s="36" t="str">
        <f aca="false">IF(D52="Revenue","Revenue",IF(D52="Cost of Goods Sold","COGS",IF(D52="Expenditures","Expense",IF(D52="Other Revenue","Other Revenue",IF(D52="Other Expenditures","Other Expense",E51)))))</f>
        <v/>
      </c>
      <c r="F52" s="36" t="str">
        <f aca="false">IF(OR(D52="Revenue",D52="Cost of Goods Sold",D52="Expenditures",D52="Other Revenue",D52="Other Expenditures"),E52,IF(AND(LEN(D52)&gt;2,MID(D52,2,1)=" ",ISNUMBER(VALUE(LEFT(D52,1)))),D52,F51))</f>
        <v/>
      </c>
      <c r="G52" s="36" t="n">
        <f aca="false">IF(AND(D52&lt;&gt;"",ISNUMBER(B52),LEFT(D52,9)&lt;&gt;"Total for",D52&lt;&gt;"Gross Profit",D52&lt;&gt;"Net Operating Revenue",D52&lt;&gt;"Net Other Revenue",D52&lt;&gt;"Net Revenue"),1,0)</f>
        <v>0</v>
      </c>
      <c r="H52" s="36" t="str">
        <f aca="false">IF(G52=1,IF(AND(LEN(D52)&gt;7,ISNUMBER(VALUE(LEFT(D52,6))),MID(D52,7,1)=" "),LEFT(D52,6),D52),"")</f>
        <v/>
      </c>
      <c r="M52" s="36" t="str">
        <f aca="false">TRIM(J52)</f>
        <v/>
      </c>
      <c r="N52" s="36" t="str">
        <f aca="false">IF(M52="Revenue","Revenue",IF(M52="Cost of Goods Sold","COGS",IF(M52="Expenditures","Expense",IF(M52="Other Revenue","Other Revenue",IF(M52="Other Expenditures","Other Expense",N51)))))</f>
        <v/>
      </c>
      <c r="O52" s="36" t="str">
        <f aca="false">IF(OR(M52="Revenue",M52="Cost of Goods Sold",M52="Expenditures",M52="Other Revenue",M52="Other Expenditures"),N52,IF(AND(LEN(M52)&gt;2,MID(M52,2,1)=" ",ISNUMBER(VALUE(LEFT(M52,1)))),M52,O51))</f>
        <v/>
      </c>
      <c r="P52" s="36" t="n">
        <f aca="false">IF(AND(M52&lt;&gt;"",ISNUMBER(K52),LEFT(M52,9)&lt;&gt;"Total for",M52&lt;&gt;"Gross Profit",M52&lt;&gt;"Net Operating Revenue",M52&lt;&gt;"Net Other Revenue",M52&lt;&gt;"Net Revenue"),1,0)</f>
        <v>0</v>
      </c>
      <c r="Q52" s="36" t="str">
        <f aca="false">IF(P52=1,IF(AND(LEN(M52)&gt;7,ISNUMBER(VALUE(LEFT(M52,6))),MID(M52,7,1)=" "),LEFT(M52,6),M52),"")</f>
        <v/>
      </c>
      <c r="V52" s="36" t="str">
        <f aca="false">TRIM(S52)</f>
        <v/>
      </c>
      <c r="W52" s="36" t="str">
        <f aca="false">IF(V52="Revenue","Revenue",IF(V52="Cost of Goods Sold","COGS",IF(V52="Expenditures","Expense",IF(V52="Other Revenue","Other Revenue",IF(V52="Other Expenditures","Other Expense",W51)))))</f>
        <v/>
      </c>
      <c r="X52" s="36" t="str">
        <f aca="false">IF(OR(V52="Revenue",V52="Cost of Goods Sold",V52="Expenditures",V52="Other Revenue",V52="Other Expenditures"),W52,IF(AND(LEN(V52)&gt;2,MID(V52,2,1)=" ",ISNUMBER(VALUE(LEFT(V52,1)))),V52,X51))</f>
        <v/>
      </c>
      <c r="Y52" s="36" t="n">
        <f aca="false">IF(AND(V52&lt;&gt;"",ISNUMBER(T52),LEFT(V52,9)&lt;&gt;"Total for",V52&lt;&gt;"Gross Profit",V52&lt;&gt;"Net Operating Revenue",V52&lt;&gt;"Net Other Revenue",V52&lt;&gt;"Net Revenue"),1,0)</f>
        <v>0</v>
      </c>
      <c r="Z52" s="36" t="str">
        <f aca="false">IF(Y52=1,IF(AND(LEN(V52)&gt;7,ISNUMBER(VALUE(LEFT(V52,6))),MID(V52,7,1)=" "),LEFT(V52,6),V52),"")</f>
        <v/>
      </c>
      <c r="AE52" s="36" t="str">
        <f aca="false">TRIM(AB52)</f>
        <v/>
      </c>
      <c r="AF52" s="36" t="str">
        <f aca="false">IF(AE52="Revenue","Revenue",IF(AE52="Cost of Goods Sold","COGS",IF(AE52="Expenditures","Expense",IF(AE52="Other Revenue","Other Revenue",IF(AE52="Other Expenditures","Other Expense",AF51)))))</f>
        <v/>
      </c>
      <c r="AG52" s="36" t="str">
        <f aca="false">IF(OR(AE52="Revenue",AE52="Cost of Goods Sold",AE52="Expenditures",AE52="Other Revenue",AE52="Other Expenditures"),AF52,IF(AND(LEN(AE52)&gt;2,MID(AE52,2,1)=" ",ISNUMBER(VALUE(LEFT(AE52,1)))),AE52,AG51))</f>
        <v/>
      </c>
      <c r="AH52" s="36" t="n">
        <f aca="false">IF(AND(AE52&lt;&gt;"",ISNUMBER(AC52),LEFT(AE52,9)&lt;&gt;"Total for",AE52&lt;&gt;"Gross Profit",AE52&lt;&gt;"Net Operating Revenue",AE52&lt;&gt;"Net Other Revenue",AE52&lt;&gt;"Net Revenue"),1,0)</f>
        <v>0</v>
      </c>
      <c r="AI52" s="36" t="str">
        <f aca="false">IF(AH52=1,IF(AND(LEN(AE52)&gt;7,ISNUMBER(VALUE(LEFT(AE52,6))),MID(AE52,7,1)=" "),LEFT(AE52,6),AE52),"")</f>
        <v/>
      </c>
      <c r="AN52" s="36" t="str">
        <f aca="false">TRIM(AK52)</f>
        <v/>
      </c>
      <c r="AO52" s="36" t="str">
        <f aca="false">IF(AN52="Revenue","Revenue",IF(AN52="Cost of Goods Sold","COGS",IF(AN52="Expenditures","Expense",IF(AN52="Other Revenue","Other Revenue",IF(AN52="Other Expenditures","Other Expense",AO51)))))</f>
        <v/>
      </c>
      <c r="AP52" s="36" t="str">
        <f aca="false">IF(OR(AN52="Revenue",AN52="Cost of Goods Sold",AN52="Expenditures",AN52="Other Revenue",AN52="Other Expenditures"),AO52,IF(AND(LEN(AN52)&gt;2,MID(AN52,2,1)=" ",ISNUMBER(VALUE(LEFT(AN52,1)))),AN52,AP51))</f>
        <v/>
      </c>
      <c r="AQ52" s="36" t="n">
        <f aca="false">IF(AND(AN52&lt;&gt;"",ISNUMBER(AL52),LEFT(AN52,9)&lt;&gt;"Total for",AN52&lt;&gt;"Gross Profit",AN52&lt;&gt;"Net Operating Revenue",AN52&lt;&gt;"Net Other Revenue",AN52&lt;&gt;"Net Revenue"),1,0)</f>
        <v>0</v>
      </c>
      <c r="AR52" s="36" t="str">
        <f aca="false">IF(AQ52=1,IF(AND(LEN(AN52)&gt;7,ISNUMBER(VALUE(LEFT(AN52,6))),MID(AN52,7,1)=" "),LEFT(AN52,6),AN52),"")</f>
        <v/>
      </c>
    </row>
    <row r="53" customFormat="false" ht="15" hidden="false" customHeight="false" outlineLevel="0" collapsed="false">
      <c r="D53" s="36" t="str">
        <f aca="false">TRIM(A53)</f>
        <v/>
      </c>
      <c r="E53" s="36" t="str">
        <f aca="false">IF(D53="Revenue","Revenue",IF(D53="Cost of Goods Sold","COGS",IF(D53="Expenditures","Expense",IF(D53="Other Revenue","Other Revenue",IF(D53="Other Expenditures","Other Expense",E52)))))</f>
        <v/>
      </c>
      <c r="F53" s="36" t="str">
        <f aca="false">IF(OR(D53="Revenue",D53="Cost of Goods Sold",D53="Expenditures",D53="Other Revenue",D53="Other Expenditures"),E53,IF(AND(LEN(D53)&gt;2,MID(D53,2,1)=" ",ISNUMBER(VALUE(LEFT(D53,1)))),D53,F52))</f>
        <v/>
      </c>
      <c r="G53" s="36" t="n">
        <f aca="false">IF(AND(D53&lt;&gt;"",ISNUMBER(B53),LEFT(D53,9)&lt;&gt;"Total for",D53&lt;&gt;"Gross Profit",D53&lt;&gt;"Net Operating Revenue",D53&lt;&gt;"Net Other Revenue",D53&lt;&gt;"Net Revenue"),1,0)</f>
        <v>0</v>
      </c>
      <c r="H53" s="36" t="str">
        <f aca="false">IF(G53=1,IF(AND(LEN(D53)&gt;7,ISNUMBER(VALUE(LEFT(D53,6))),MID(D53,7,1)=" "),LEFT(D53,6),D53),"")</f>
        <v/>
      </c>
      <c r="M53" s="36" t="str">
        <f aca="false">TRIM(J53)</f>
        <v/>
      </c>
      <c r="N53" s="36" t="str">
        <f aca="false">IF(M53="Revenue","Revenue",IF(M53="Cost of Goods Sold","COGS",IF(M53="Expenditures","Expense",IF(M53="Other Revenue","Other Revenue",IF(M53="Other Expenditures","Other Expense",N52)))))</f>
        <v/>
      </c>
      <c r="O53" s="36" t="str">
        <f aca="false">IF(OR(M53="Revenue",M53="Cost of Goods Sold",M53="Expenditures",M53="Other Revenue",M53="Other Expenditures"),N53,IF(AND(LEN(M53)&gt;2,MID(M53,2,1)=" ",ISNUMBER(VALUE(LEFT(M53,1)))),M53,O52))</f>
        <v/>
      </c>
      <c r="P53" s="36" t="n">
        <f aca="false">IF(AND(M53&lt;&gt;"",ISNUMBER(K53),LEFT(M53,9)&lt;&gt;"Total for",M53&lt;&gt;"Gross Profit",M53&lt;&gt;"Net Operating Revenue",M53&lt;&gt;"Net Other Revenue",M53&lt;&gt;"Net Revenue"),1,0)</f>
        <v>0</v>
      </c>
      <c r="Q53" s="36" t="str">
        <f aca="false">IF(P53=1,IF(AND(LEN(M53)&gt;7,ISNUMBER(VALUE(LEFT(M53,6))),MID(M53,7,1)=" "),LEFT(M53,6),M53),"")</f>
        <v/>
      </c>
      <c r="V53" s="36" t="str">
        <f aca="false">TRIM(S53)</f>
        <v/>
      </c>
      <c r="W53" s="36" t="str">
        <f aca="false">IF(V53="Revenue","Revenue",IF(V53="Cost of Goods Sold","COGS",IF(V53="Expenditures","Expense",IF(V53="Other Revenue","Other Revenue",IF(V53="Other Expenditures","Other Expense",W52)))))</f>
        <v/>
      </c>
      <c r="X53" s="36" t="str">
        <f aca="false">IF(OR(V53="Revenue",V53="Cost of Goods Sold",V53="Expenditures",V53="Other Revenue",V53="Other Expenditures"),W53,IF(AND(LEN(V53)&gt;2,MID(V53,2,1)=" ",ISNUMBER(VALUE(LEFT(V53,1)))),V53,X52))</f>
        <v/>
      </c>
      <c r="Y53" s="36" t="n">
        <f aca="false">IF(AND(V53&lt;&gt;"",ISNUMBER(T53),LEFT(V53,9)&lt;&gt;"Total for",V53&lt;&gt;"Gross Profit",V53&lt;&gt;"Net Operating Revenue",V53&lt;&gt;"Net Other Revenue",V53&lt;&gt;"Net Revenue"),1,0)</f>
        <v>0</v>
      </c>
      <c r="Z53" s="36" t="str">
        <f aca="false">IF(Y53=1,IF(AND(LEN(V53)&gt;7,ISNUMBER(VALUE(LEFT(V53,6))),MID(V53,7,1)=" "),LEFT(V53,6),V53),"")</f>
        <v/>
      </c>
      <c r="AE53" s="36" t="str">
        <f aca="false">TRIM(AB53)</f>
        <v/>
      </c>
      <c r="AF53" s="36" t="str">
        <f aca="false">IF(AE53="Revenue","Revenue",IF(AE53="Cost of Goods Sold","COGS",IF(AE53="Expenditures","Expense",IF(AE53="Other Revenue","Other Revenue",IF(AE53="Other Expenditures","Other Expense",AF52)))))</f>
        <v/>
      </c>
      <c r="AG53" s="36" t="str">
        <f aca="false">IF(OR(AE53="Revenue",AE53="Cost of Goods Sold",AE53="Expenditures",AE53="Other Revenue",AE53="Other Expenditures"),AF53,IF(AND(LEN(AE53)&gt;2,MID(AE53,2,1)=" ",ISNUMBER(VALUE(LEFT(AE53,1)))),AE53,AG52))</f>
        <v/>
      </c>
      <c r="AH53" s="36" t="n">
        <f aca="false">IF(AND(AE53&lt;&gt;"",ISNUMBER(AC53),LEFT(AE53,9)&lt;&gt;"Total for",AE53&lt;&gt;"Gross Profit",AE53&lt;&gt;"Net Operating Revenue",AE53&lt;&gt;"Net Other Revenue",AE53&lt;&gt;"Net Revenue"),1,0)</f>
        <v>0</v>
      </c>
      <c r="AI53" s="36" t="str">
        <f aca="false">IF(AH53=1,IF(AND(LEN(AE53)&gt;7,ISNUMBER(VALUE(LEFT(AE53,6))),MID(AE53,7,1)=" "),LEFT(AE53,6),AE53),"")</f>
        <v/>
      </c>
      <c r="AN53" s="36" t="str">
        <f aca="false">TRIM(AK53)</f>
        <v/>
      </c>
      <c r="AO53" s="36" t="str">
        <f aca="false">IF(AN53="Revenue","Revenue",IF(AN53="Cost of Goods Sold","COGS",IF(AN53="Expenditures","Expense",IF(AN53="Other Revenue","Other Revenue",IF(AN53="Other Expenditures","Other Expense",AO52)))))</f>
        <v/>
      </c>
      <c r="AP53" s="36" t="str">
        <f aca="false">IF(OR(AN53="Revenue",AN53="Cost of Goods Sold",AN53="Expenditures",AN53="Other Revenue",AN53="Other Expenditures"),AO53,IF(AND(LEN(AN53)&gt;2,MID(AN53,2,1)=" ",ISNUMBER(VALUE(LEFT(AN53,1)))),AN53,AP52))</f>
        <v/>
      </c>
      <c r="AQ53" s="36" t="n">
        <f aca="false">IF(AND(AN53&lt;&gt;"",ISNUMBER(AL53),LEFT(AN53,9)&lt;&gt;"Total for",AN53&lt;&gt;"Gross Profit",AN53&lt;&gt;"Net Operating Revenue",AN53&lt;&gt;"Net Other Revenue",AN53&lt;&gt;"Net Revenue"),1,0)</f>
        <v>0</v>
      </c>
      <c r="AR53" s="36" t="str">
        <f aca="false">IF(AQ53=1,IF(AND(LEN(AN53)&gt;7,ISNUMBER(VALUE(LEFT(AN53,6))),MID(AN53,7,1)=" "),LEFT(AN53,6),AN53),"")</f>
        <v/>
      </c>
    </row>
    <row r="54" customFormat="false" ht="15" hidden="false" customHeight="false" outlineLevel="0" collapsed="false">
      <c r="D54" s="36" t="str">
        <f aca="false">TRIM(A54)</f>
        <v/>
      </c>
      <c r="E54" s="36" t="str">
        <f aca="false">IF(D54="Revenue","Revenue",IF(D54="Cost of Goods Sold","COGS",IF(D54="Expenditures","Expense",IF(D54="Other Revenue","Other Revenue",IF(D54="Other Expenditures","Other Expense",E53)))))</f>
        <v/>
      </c>
      <c r="F54" s="36" t="str">
        <f aca="false">IF(OR(D54="Revenue",D54="Cost of Goods Sold",D54="Expenditures",D54="Other Revenue",D54="Other Expenditures"),E54,IF(AND(LEN(D54)&gt;2,MID(D54,2,1)=" ",ISNUMBER(VALUE(LEFT(D54,1)))),D54,F53))</f>
        <v/>
      </c>
      <c r="G54" s="36" t="n">
        <f aca="false">IF(AND(D54&lt;&gt;"",ISNUMBER(B54),LEFT(D54,9)&lt;&gt;"Total for",D54&lt;&gt;"Gross Profit",D54&lt;&gt;"Net Operating Revenue",D54&lt;&gt;"Net Other Revenue",D54&lt;&gt;"Net Revenue"),1,0)</f>
        <v>0</v>
      </c>
      <c r="H54" s="36" t="str">
        <f aca="false">IF(G54=1,IF(AND(LEN(D54)&gt;7,ISNUMBER(VALUE(LEFT(D54,6))),MID(D54,7,1)=" "),LEFT(D54,6),D54),"")</f>
        <v/>
      </c>
      <c r="M54" s="36" t="str">
        <f aca="false">TRIM(J54)</f>
        <v/>
      </c>
      <c r="N54" s="36" t="str">
        <f aca="false">IF(M54="Revenue","Revenue",IF(M54="Cost of Goods Sold","COGS",IF(M54="Expenditures","Expense",IF(M54="Other Revenue","Other Revenue",IF(M54="Other Expenditures","Other Expense",N53)))))</f>
        <v/>
      </c>
      <c r="O54" s="36" t="str">
        <f aca="false">IF(OR(M54="Revenue",M54="Cost of Goods Sold",M54="Expenditures",M54="Other Revenue",M54="Other Expenditures"),N54,IF(AND(LEN(M54)&gt;2,MID(M54,2,1)=" ",ISNUMBER(VALUE(LEFT(M54,1)))),M54,O53))</f>
        <v/>
      </c>
      <c r="P54" s="36" t="n">
        <f aca="false">IF(AND(M54&lt;&gt;"",ISNUMBER(K54),LEFT(M54,9)&lt;&gt;"Total for",M54&lt;&gt;"Gross Profit",M54&lt;&gt;"Net Operating Revenue",M54&lt;&gt;"Net Other Revenue",M54&lt;&gt;"Net Revenue"),1,0)</f>
        <v>0</v>
      </c>
      <c r="Q54" s="36" t="str">
        <f aca="false">IF(P54=1,IF(AND(LEN(M54)&gt;7,ISNUMBER(VALUE(LEFT(M54,6))),MID(M54,7,1)=" "),LEFT(M54,6),M54),"")</f>
        <v/>
      </c>
      <c r="V54" s="36" t="str">
        <f aca="false">TRIM(S54)</f>
        <v/>
      </c>
      <c r="W54" s="36" t="str">
        <f aca="false">IF(V54="Revenue","Revenue",IF(V54="Cost of Goods Sold","COGS",IF(V54="Expenditures","Expense",IF(V54="Other Revenue","Other Revenue",IF(V54="Other Expenditures","Other Expense",W53)))))</f>
        <v/>
      </c>
      <c r="X54" s="36" t="str">
        <f aca="false">IF(OR(V54="Revenue",V54="Cost of Goods Sold",V54="Expenditures",V54="Other Revenue",V54="Other Expenditures"),W54,IF(AND(LEN(V54)&gt;2,MID(V54,2,1)=" ",ISNUMBER(VALUE(LEFT(V54,1)))),V54,X53))</f>
        <v/>
      </c>
      <c r="Y54" s="36" t="n">
        <f aca="false">IF(AND(V54&lt;&gt;"",ISNUMBER(T54),LEFT(V54,9)&lt;&gt;"Total for",V54&lt;&gt;"Gross Profit",V54&lt;&gt;"Net Operating Revenue",V54&lt;&gt;"Net Other Revenue",V54&lt;&gt;"Net Revenue"),1,0)</f>
        <v>0</v>
      </c>
      <c r="Z54" s="36" t="str">
        <f aca="false">IF(Y54=1,IF(AND(LEN(V54)&gt;7,ISNUMBER(VALUE(LEFT(V54,6))),MID(V54,7,1)=" "),LEFT(V54,6),V54),"")</f>
        <v/>
      </c>
      <c r="AE54" s="36" t="str">
        <f aca="false">TRIM(AB54)</f>
        <v/>
      </c>
      <c r="AF54" s="36" t="str">
        <f aca="false">IF(AE54="Revenue","Revenue",IF(AE54="Cost of Goods Sold","COGS",IF(AE54="Expenditures","Expense",IF(AE54="Other Revenue","Other Revenue",IF(AE54="Other Expenditures","Other Expense",AF53)))))</f>
        <v/>
      </c>
      <c r="AG54" s="36" t="str">
        <f aca="false">IF(OR(AE54="Revenue",AE54="Cost of Goods Sold",AE54="Expenditures",AE54="Other Revenue",AE54="Other Expenditures"),AF54,IF(AND(LEN(AE54)&gt;2,MID(AE54,2,1)=" ",ISNUMBER(VALUE(LEFT(AE54,1)))),AE54,AG53))</f>
        <v/>
      </c>
      <c r="AH54" s="36" t="n">
        <f aca="false">IF(AND(AE54&lt;&gt;"",ISNUMBER(AC54),LEFT(AE54,9)&lt;&gt;"Total for",AE54&lt;&gt;"Gross Profit",AE54&lt;&gt;"Net Operating Revenue",AE54&lt;&gt;"Net Other Revenue",AE54&lt;&gt;"Net Revenue"),1,0)</f>
        <v>0</v>
      </c>
      <c r="AI54" s="36" t="str">
        <f aca="false">IF(AH54=1,IF(AND(LEN(AE54)&gt;7,ISNUMBER(VALUE(LEFT(AE54,6))),MID(AE54,7,1)=" "),LEFT(AE54,6),AE54),"")</f>
        <v/>
      </c>
      <c r="AN54" s="36" t="str">
        <f aca="false">TRIM(AK54)</f>
        <v/>
      </c>
      <c r="AO54" s="36" t="str">
        <f aca="false">IF(AN54="Revenue","Revenue",IF(AN54="Cost of Goods Sold","COGS",IF(AN54="Expenditures","Expense",IF(AN54="Other Revenue","Other Revenue",IF(AN54="Other Expenditures","Other Expense",AO53)))))</f>
        <v/>
      </c>
      <c r="AP54" s="36" t="str">
        <f aca="false">IF(OR(AN54="Revenue",AN54="Cost of Goods Sold",AN54="Expenditures",AN54="Other Revenue",AN54="Other Expenditures"),AO54,IF(AND(LEN(AN54)&gt;2,MID(AN54,2,1)=" ",ISNUMBER(VALUE(LEFT(AN54,1)))),AN54,AP53))</f>
        <v/>
      </c>
      <c r="AQ54" s="36" t="n">
        <f aca="false">IF(AND(AN54&lt;&gt;"",ISNUMBER(AL54),LEFT(AN54,9)&lt;&gt;"Total for",AN54&lt;&gt;"Gross Profit",AN54&lt;&gt;"Net Operating Revenue",AN54&lt;&gt;"Net Other Revenue",AN54&lt;&gt;"Net Revenue"),1,0)</f>
        <v>0</v>
      </c>
      <c r="AR54" s="36" t="str">
        <f aca="false">IF(AQ54=1,IF(AND(LEN(AN54)&gt;7,ISNUMBER(VALUE(LEFT(AN54,6))),MID(AN54,7,1)=" "),LEFT(AN54,6),AN54),"")</f>
        <v/>
      </c>
    </row>
    <row r="55" customFormat="false" ht="15" hidden="false" customHeight="false" outlineLevel="0" collapsed="false">
      <c r="D55" s="36" t="str">
        <f aca="false">TRIM(A55)</f>
        <v/>
      </c>
      <c r="E55" s="36" t="str">
        <f aca="false">IF(D55="Revenue","Revenue",IF(D55="Cost of Goods Sold","COGS",IF(D55="Expenditures","Expense",IF(D55="Other Revenue","Other Revenue",IF(D55="Other Expenditures","Other Expense",E54)))))</f>
        <v/>
      </c>
      <c r="F55" s="36" t="str">
        <f aca="false">IF(OR(D55="Revenue",D55="Cost of Goods Sold",D55="Expenditures",D55="Other Revenue",D55="Other Expenditures"),E55,IF(AND(LEN(D55)&gt;2,MID(D55,2,1)=" ",ISNUMBER(VALUE(LEFT(D55,1)))),D55,F54))</f>
        <v/>
      </c>
      <c r="G55" s="36" t="n">
        <f aca="false">IF(AND(D55&lt;&gt;"",ISNUMBER(B55),LEFT(D55,9)&lt;&gt;"Total for",D55&lt;&gt;"Gross Profit",D55&lt;&gt;"Net Operating Revenue",D55&lt;&gt;"Net Other Revenue",D55&lt;&gt;"Net Revenue"),1,0)</f>
        <v>0</v>
      </c>
      <c r="H55" s="36" t="str">
        <f aca="false">IF(G55=1,IF(AND(LEN(D55)&gt;7,ISNUMBER(VALUE(LEFT(D55,6))),MID(D55,7,1)=" "),LEFT(D55,6),D55),"")</f>
        <v/>
      </c>
      <c r="M55" s="36" t="str">
        <f aca="false">TRIM(J55)</f>
        <v/>
      </c>
      <c r="N55" s="36" t="str">
        <f aca="false">IF(M55="Revenue","Revenue",IF(M55="Cost of Goods Sold","COGS",IF(M55="Expenditures","Expense",IF(M55="Other Revenue","Other Revenue",IF(M55="Other Expenditures","Other Expense",N54)))))</f>
        <v/>
      </c>
      <c r="O55" s="36" t="str">
        <f aca="false">IF(OR(M55="Revenue",M55="Cost of Goods Sold",M55="Expenditures",M55="Other Revenue",M55="Other Expenditures"),N55,IF(AND(LEN(M55)&gt;2,MID(M55,2,1)=" ",ISNUMBER(VALUE(LEFT(M55,1)))),M55,O54))</f>
        <v/>
      </c>
      <c r="P55" s="36" t="n">
        <f aca="false">IF(AND(M55&lt;&gt;"",ISNUMBER(K55),LEFT(M55,9)&lt;&gt;"Total for",M55&lt;&gt;"Gross Profit",M55&lt;&gt;"Net Operating Revenue",M55&lt;&gt;"Net Other Revenue",M55&lt;&gt;"Net Revenue"),1,0)</f>
        <v>0</v>
      </c>
      <c r="Q55" s="36" t="str">
        <f aca="false">IF(P55=1,IF(AND(LEN(M55)&gt;7,ISNUMBER(VALUE(LEFT(M55,6))),MID(M55,7,1)=" "),LEFT(M55,6),M55),"")</f>
        <v/>
      </c>
      <c r="V55" s="36" t="str">
        <f aca="false">TRIM(S55)</f>
        <v/>
      </c>
      <c r="W55" s="36" t="str">
        <f aca="false">IF(V55="Revenue","Revenue",IF(V55="Cost of Goods Sold","COGS",IF(V55="Expenditures","Expense",IF(V55="Other Revenue","Other Revenue",IF(V55="Other Expenditures","Other Expense",W54)))))</f>
        <v/>
      </c>
      <c r="X55" s="36" t="str">
        <f aca="false">IF(OR(V55="Revenue",V55="Cost of Goods Sold",V55="Expenditures",V55="Other Revenue",V55="Other Expenditures"),W55,IF(AND(LEN(V55)&gt;2,MID(V55,2,1)=" ",ISNUMBER(VALUE(LEFT(V55,1)))),V55,X54))</f>
        <v/>
      </c>
      <c r="Y55" s="36" t="n">
        <f aca="false">IF(AND(V55&lt;&gt;"",ISNUMBER(T55),LEFT(V55,9)&lt;&gt;"Total for",V55&lt;&gt;"Gross Profit",V55&lt;&gt;"Net Operating Revenue",V55&lt;&gt;"Net Other Revenue",V55&lt;&gt;"Net Revenue"),1,0)</f>
        <v>0</v>
      </c>
      <c r="Z55" s="36" t="str">
        <f aca="false">IF(Y55=1,IF(AND(LEN(V55)&gt;7,ISNUMBER(VALUE(LEFT(V55,6))),MID(V55,7,1)=" "),LEFT(V55,6),V55),"")</f>
        <v/>
      </c>
      <c r="AE55" s="36" t="str">
        <f aca="false">TRIM(AB55)</f>
        <v/>
      </c>
      <c r="AF55" s="36" t="str">
        <f aca="false">IF(AE55="Revenue","Revenue",IF(AE55="Cost of Goods Sold","COGS",IF(AE55="Expenditures","Expense",IF(AE55="Other Revenue","Other Revenue",IF(AE55="Other Expenditures","Other Expense",AF54)))))</f>
        <v/>
      </c>
      <c r="AG55" s="36" t="str">
        <f aca="false">IF(OR(AE55="Revenue",AE55="Cost of Goods Sold",AE55="Expenditures",AE55="Other Revenue",AE55="Other Expenditures"),AF55,IF(AND(LEN(AE55)&gt;2,MID(AE55,2,1)=" ",ISNUMBER(VALUE(LEFT(AE55,1)))),AE55,AG54))</f>
        <v/>
      </c>
      <c r="AH55" s="36" t="n">
        <f aca="false">IF(AND(AE55&lt;&gt;"",ISNUMBER(AC55),LEFT(AE55,9)&lt;&gt;"Total for",AE55&lt;&gt;"Gross Profit",AE55&lt;&gt;"Net Operating Revenue",AE55&lt;&gt;"Net Other Revenue",AE55&lt;&gt;"Net Revenue"),1,0)</f>
        <v>0</v>
      </c>
      <c r="AI55" s="36" t="str">
        <f aca="false">IF(AH55=1,IF(AND(LEN(AE55)&gt;7,ISNUMBER(VALUE(LEFT(AE55,6))),MID(AE55,7,1)=" "),LEFT(AE55,6),AE55),"")</f>
        <v/>
      </c>
      <c r="AN55" s="36" t="str">
        <f aca="false">TRIM(AK55)</f>
        <v/>
      </c>
      <c r="AO55" s="36" t="str">
        <f aca="false">IF(AN55="Revenue","Revenue",IF(AN55="Cost of Goods Sold","COGS",IF(AN55="Expenditures","Expense",IF(AN55="Other Revenue","Other Revenue",IF(AN55="Other Expenditures","Other Expense",AO54)))))</f>
        <v/>
      </c>
      <c r="AP55" s="36" t="str">
        <f aca="false">IF(OR(AN55="Revenue",AN55="Cost of Goods Sold",AN55="Expenditures",AN55="Other Revenue",AN55="Other Expenditures"),AO55,IF(AND(LEN(AN55)&gt;2,MID(AN55,2,1)=" ",ISNUMBER(VALUE(LEFT(AN55,1)))),AN55,AP54))</f>
        <v/>
      </c>
      <c r="AQ55" s="36" t="n">
        <f aca="false">IF(AND(AN55&lt;&gt;"",ISNUMBER(AL55),LEFT(AN55,9)&lt;&gt;"Total for",AN55&lt;&gt;"Gross Profit",AN55&lt;&gt;"Net Operating Revenue",AN55&lt;&gt;"Net Other Revenue",AN55&lt;&gt;"Net Revenue"),1,0)</f>
        <v>0</v>
      </c>
      <c r="AR55" s="36" t="str">
        <f aca="false">IF(AQ55=1,IF(AND(LEN(AN55)&gt;7,ISNUMBER(VALUE(LEFT(AN55,6))),MID(AN55,7,1)=" "),LEFT(AN55,6),AN55),"")</f>
        <v/>
      </c>
    </row>
    <row r="56" customFormat="false" ht="15" hidden="false" customHeight="false" outlineLevel="0" collapsed="false">
      <c r="D56" s="36" t="str">
        <f aca="false">TRIM(A56)</f>
        <v/>
      </c>
      <c r="E56" s="36" t="str">
        <f aca="false">IF(D56="Revenue","Revenue",IF(D56="Cost of Goods Sold","COGS",IF(D56="Expenditures","Expense",IF(D56="Other Revenue","Other Revenue",IF(D56="Other Expenditures","Other Expense",E55)))))</f>
        <v/>
      </c>
      <c r="F56" s="36" t="str">
        <f aca="false">IF(OR(D56="Revenue",D56="Cost of Goods Sold",D56="Expenditures",D56="Other Revenue",D56="Other Expenditures"),E56,IF(AND(LEN(D56)&gt;2,MID(D56,2,1)=" ",ISNUMBER(VALUE(LEFT(D56,1)))),D56,F55))</f>
        <v/>
      </c>
      <c r="G56" s="36" t="n">
        <f aca="false">IF(AND(D56&lt;&gt;"",ISNUMBER(B56),LEFT(D56,9)&lt;&gt;"Total for",D56&lt;&gt;"Gross Profit",D56&lt;&gt;"Net Operating Revenue",D56&lt;&gt;"Net Other Revenue",D56&lt;&gt;"Net Revenue"),1,0)</f>
        <v>0</v>
      </c>
      <c r="H56" s="36" t="str">
        <f aca="false">IF(G56=1,IF(AND(LEN(D56)&gt;7,ISNUMBER(VALUE(LEFT(D56,6))),MID(D56,7,1)=" "),LEFT(D56,6),D56),"")</f>
        <v/>
      </c>
      <c r="M56" s="36" t="str">
        <f aca="false">TRIM(J56)</f>
        <v/>
      </c>
      <c r="N56" s="36" t="str">
        <f aca="false">IF(M56="Revenue","Revenue",IF(M56="Cost of Goods Sold","COGS",IF(M56="Expenditures","Expense",IF(M56="Other Revenue","Other Revenue",IF(M56="Other Expenditures","Other Expense",N55)))))</f>
        <v/>
      </c>
      <c r="O56" s="36" t="str">
        <f aca="false">IF(OR(M56="Revenue",M56="Cost of Goods Sold",M56="Expenditures",M56="Other Revenue",M56="Other Expenditures"),N56,IF(AND(LEN(M56)&gt;2,MID(M56,2,1)=" ",ISNUMBER(VALUE(LEFT(M56,1)))),M56,O55))</f>
        <v/>
      </c>
      <c r="P56" s="36" t="n">
        <f aca="false">IF(AND(M56&lt;&gt;"",ISNUMBER(K56),LEFT(M56,9)&lt;&gt;"Total for",M56&lt;&gt;"Gross Profit",M56&lt;&gt;"Net Operating Revenue",M56&lt;&gt;"Net Other Revenue",M56&lt;&gt;"Net Revenue"),1,0)</f>
        <v>0</v>
      </c>
      <c r="Q56" s="36" t="str">
        <f aca="false">IF(P56=1,IF(AND(LEN(M56)&gt;7,ISNUMBER(VALUE(LEFT(M56,6))),MID(M56,7,1)=" "),LEFT(M56,6),M56),"")</f>
        <v/>
      </c>
      <c r="V56" s="36" t="str">
        <f aca="false">TRIM(S56)</f>
        <v/>
      </c>
      <c r="W56" s="36" t="str">
        <f aca="false">IF(V56="Revenue","Revenue",IF(V56="Cost of Goods Sold","COGS",IF(V56="Expenditures","Expense",IF(V56="Other Revenue","Other Revenue",IF(V56="Other Expenditures","Other Expense",W55)))))</f>
        <v/>
      </c>
      <c r="X56" s="36" t="str">
        <f aca="false">IF(OR(V56="Revenue",V56="Cost of Goods Sold",V56="Expenditures",V56="Other Revenue",V56="Other Expenditures"),W56,IF(AND(LEN(V56)&gt;2,MID(V56,2,1)=" ",ISNUMBER(VALUE(LEFT(V56,1)))),V56,X55))</f>
        <v/>
      </c>
      <c r="Y56" s="36" t="n">
        <f aca="false">IF(AND(V56&lt;&gt;"",ISNUMBER(T56),LEFT(V56,9)&lt;&gt;"Total for",V56&lt;&gt;"Gross Profit",V56&lt;&gt;"Net Operating Revenue",V56&lt;&gt;"Net Other Revenue",V56&lt;&gt;"Net Revenue"),1,0)</f>
        <v>0</v>
      </c>
      <c r="Z56" s="36" t="str">
        <f aca="false">IF(Y56=1,IF(AND(LEN(V56)&gt;7,ISNUMBER(VALUE(LEFT(V56,6))),MID(V56,7,1)=" "),LEFT(V56,6),V56),"")</f>
        <v/>
      </c>
      <c r="AE56" s="36" t="str">
        <f aca="false">TRIM(AB56)</f>
        <v/>
      </c>
      <c r="AF56" s="36" t="str">
        <f aca="false">IF(AE56="Revenue","Revenue",IF(AE56="Cost of Goods Sold","COGS",IF(AE56="Expenditures","Expense",IF(AE56="Other Revenue","Other Revenue",IF(AE56="Other Expenditures","Other Expense",AF55)))))</f>
        <v/>
      </c>
      <c r="AG56" s="36" t="str">
        <f aca="false">IF(OR(AE56="Revenue",AE56="Cost of Goods Sold",AE56="Expenditures",AE56="Other Revenue",AE56="Other Expenditures"),AF56,IF(AND(LEN(AE56)&gt;2,MID(AE56,2,1)=" ",ISNUMBER(VALUE(LEFT(AE56,1)))),AE56,AG55))</f>
        <v/>
      </c>
      <c r="AH56" s="36" t="n">
        <f aca="false">IF(AND(AE56&lt;&gt;"",ISNUMBER(AC56),LEFT(AE56,9)&lt;&gt;"Total for",AE56&lt;&gt;"Gross Profit",AE56&lt;&gt;"Net Operating Revenue",AE56&lt;&gt;"Net Other Revenue",AE56&lt;&gt;"Net Revenue"),1,0)</f>
        <v>0</v>
      </c>
      <c r="AI56" s="36" t="str">
        <f aca="false">IF(AH56=1,IF(AND(LEN(AE56)&gt;7,ISNUMBER(VALUE(LEFT(AE56,6))),MID(AE56,7,1)=" "),LEFT(AE56,6),AE56),"")</f>
        <v/>
      </c>
      <c r="AN56" s="36" t="str">
        <f aca="false">TRIM(AK56)</f>
        <v/>
      </c>
      <c r="AO56" s="36" t="str">
        <f aca="false">IF(AN56="Revenue","Revenue",IF(AN56="Cost of Goods Sold","COGS",IF(AN56="Expenditures","Expense",IF(AN56="Other Revenue","Other Revenue",IF(AN56="Other Expenditures","Other Expense",AO55)))))</f>
        <v/>
      </c>
      <c r="AP56" s="36" t="str">
        <f aca="false">IF(OR(AN56="Revenue",AN56="Cost of Goods Sold",AN56="Expenditures",AN56="Other Revenue",AN56="Other Expenditures"),AO56,IF(AND(LEN(AN56)&gt;2,MID(AN56,2,1)=" ",ISNUMBER(VALUE(LEFT(AN56,1)))),AN56,AP55))</f>
        <v/>
      </c>
      <c r="AQ56" s="36" t="n">
        <f aca="false">IF(AND(AN56&lt;&gt;"",ISNUMBER(AL56),LEFT(AN56,9)&lt;&gt;"Total for",AN56&lt;&gt;"Gross Profit",AN56&lt;&gt;"Net Operating Revenue",AN56&lt;&gt;"Net Other Revenue",AN56&lt;&gt;"Net Revenue"),1,0)</f>
        <v>0</v>
      </c>
      <c r="AR56" s="36" t="str">
        <f aca="false">IF(AQ56=1,IF(AND(LEN(AN56)&gt;7,ISNUMBER(VALUE(LEFT(AN56,6))),MID(AN56,7,1)=" "),LEFT(AN56,6),AN56),"")</f>
        <v/>
      </c>
    </row>
    <row r="57" customFormat="false" ht="15" hidden="false" customHeight="false" outlineLevel="0" collapsed="false">
      <c r="D57" s="36" t="str">
        <f aca="false">TRIM(A57)</f>
        <v/>
      </c>
      <c r="E57" s="36" t="str">
        <f aca="false">IF(D57="Revenue","Revenue",IF(D57="Cost of Goods Sold","COGS",IF(D57="Expenditures","Expense",IF(D57="Other Revenue","Other Revenue",IF(D57="Other Expenditures","Other Expense",E56)))))</f>
        <v/>
      </c>
      <c r="F57" s="36" t="str">
        <f aca="false">IF(OR(D57="Revenue",D57="Cost of Goods Sold",D57="Expenditures",D57="Other Revenue",D57="Other Expenditures"),E57,IF(AND(LEN(D57)&gt;2,MID(D57,2,1)=" ",ISNUMBER(VALUE(LEFT(D57,1)))),D57,F56))</f>
        <v/>
      </c>
      <c r="G57" s="36" t="n">
        <f aca="false">IF(AND(D57&lt;&gt;"",ISNUMBER(B57),LEFT(D57,9)&lt;&gt;"Total for",D57&lt;&gt;"Gross Profit",D57&lt;&gt;"Net Operating Revenue",D57&lt;&gt;"Net Other Revenue",D57&lt;&gt;"Net Revenue"),1,0)</f>
        <v>0</v>
      </c>
      <c r="H57" s="36" t="str">
        <f aca="false">IF(G57=1,IF(AND(LEN(D57)&gt;7,ISNUMBER(VALUE(LEFT(D57,6))),MID(D57,7,1)=" "),LEFT(D57,6),D57),"")</f>
        <v/>
      </c>
      <c r="M57" s="36" t="str">
        <f aca="false">TRIM(J57)</f>
        <v/>
      </c>
      <c r="N57" s="36" t="str">
        <f aca="false">IF(M57="Revenue","Revenue",IF(M57="Cost of Goods Sold","COGS",IF(M57="Expenditures","Expense",IF(M57="Other Revenue","Other Revenue",IF(M57="Other Expenditures","Other Expense",N56)))))</f>
        <v/>
      </c>
      <c r="O57" s="36" t="str">
        <f aca="false">IF(OR(M57="Revenue",M57="Cost of Goods Sold",M57="Expenditures",M57="Other Revenue",M57="Other Expenditures"),N57,IF(AND(LEN(M57)&gt;2,MID(M57,2,1)=" ",ISNUMBER(VALUE(LEFT(M57,1)))),M57,O56))</f>
        <v/>
      </c>
      <c r="P57" s="36" t="n">
        <f aca="false">IF(AND(M57&lt;&gt;"",ISNUMBER(K57),LEFT(M57,9)&lt;&gt;"Total for",M57&lt;&gt;"Gross Profit",M57&lt;&gt;"Net Operating Revenue",M57&lt;&gt;"Net Other Revenue",M57&lt;&gt;"Net Revenue"),1,0)</f>
        <v>0</v>
      </c>
      <c r="Q57" s="36" t="str">
        <f aca="false">IF(P57=1,IF(AND(LEN(M57)&gt;7,ISNUMBER(VALUE(LEFT(M57,6))),MID(M57,7,1)=" "),LEFT(M57,6),M57),"")</f>
        <v/>
      </c>
      <c r="V57" s="36" t="str">
        <f aca="false">TRIM(S57)</f>
        <v/>
      </c>
      <c r="W57" s="36" t="str">
        <f aca="false">IF(V57="Revenue","Revenue",IF(V57="Cost of Goods Sold","COGS",IF(V57="Expenditures","Expense",IF(V57="Other Revenue","Other Revenue",IF(V57="Other Expenditures","Other Expense",W56)))))</f>
        <v/>
      </c>
      <c r="X57" s="36" t="str">
        <f aca="false">IF(OR(V57="Revenue",V57="Cost of Goods Sold",V57="Expenditures",V57="Other Revenue",V57="Other Expenditures"),W57,IF(AND(LEN(V57)&gt;2,MID(V57,2,1)=" ",ISNUMBER(VALUE(LEFT(V57,1)))),V57,X56))</f>
        <v/>
      </c>
      <c r="Y57" s="36" t="n">
        <f aca="false">IF(AND(V57&lt;&gt;"",ISNUMBER(T57),LEFT(V57,9)&lt;&gt;"Total for",V57&lt;&gt;"Gross Profit",V57&lt;&gt;"Net Operating Revenue",V57&lt;&gt;"Net Other Revenue",V57&lt;&gt;"Net Revenue"),1,0)</f>
        <v>0</v>
      </c>
      <c r="Z57" s="36" t="str">
        <f aca="false">IF(Y57=1,IF(AND(LEN(V57)&gt;7,ISNUMBER(VALUE(LEFT(V57,6))),MID(V57,7,1)=" "),LEFT(V57,6),V57),"")</f>
        <v/>
      </c>
      <c r="AE57" s="36" t="str">
        <f aca="false">TRIM(AB57)</f>
        <v/>
      </c>
      <c r="AF57" s="36" t="str">
        <f aca="false">IF(AE57="Revenue","Revenue",IF(AE57="Cost of Goods Sold","COGS",IF(AE57="Expenditures","Expense",IF(AE57="Other Revenue","Other Revenue",IF(AE57="Other Expenditures","Other Expense",AF56)))))</f>
        <v/>
      </c>
      <c r="AG57" s="36" t="str">
        <f aca="false">IF(OR(AE57="Revenue",AE57="Cost of Goods Sold",AE57="Expenditures",AE57="Other Revenue",AE57="Other Expenditures"),AF57,IF(AND(LEN(AE57)&gt;2,MID(AE57,2,1)=" ",ISNUMBER(VALUE(LEFT(AE57,1)))),AE57,AG56))</f>
        <v/>
      </c>
      <c r="AH57" s="36" t="n">
        <f aca="false">IF(AND(AE57&lt;&gt;"",ISNUMBER(AC57),LEFT(AE57,9)&lt;&gt;"Total for",AE57&lt;&gt;"Gross Profit",AE57&lt;&gt;"Net Operating Revenue",AE57&lt;&gt;"Net Other Revenue",AE57&lt;&gt;"Net Revenue"),1,0)</f>
        <v>0</v>
      </c>
      <c r="AI57" s="36" t="str">
        <f aca="false">IF(AH57=1,IF(AND(LEN(AE57)&gt;7,ISNUMBER(VALUE(LEFT(AE57,6))),MID(AE57,7,1)=" "),LEFT(AE57,6),AE57),"")</f>
        <v/>
      </c>
      <c r="AN57" s="36" t="str">
        <f aca="false">TRIM(AK57)</f>
        <v/>
      </c>
      <c r="AO57" s="36" t="str">
        <f aca="false">IF(AN57="Revenue","Revenue",IF(AN57="Cost of Goods Sold","COGS",IF(AN57="Expenditures","Expense",IF(AN57="Other Revenue","Other Revenue",IF(AN57="Other Expenditures","Other Expense",AO56)))))</f>
        <v/>
      </c>
      <c r="AP57" s="36" t="str">
        <f aca="false">IF(OR(AN57="Revenue",AN57="Cost of Goods Sold",AN57="Expenditures",AN57="Other Revenue",AN57="Other Expenditures"),AO57,IF(AND(LEN(AN57)&gt;2,MID(AN57,2,1)=" ",ISNUMBER(VALUE(LEFT(AN57,1)))),AN57,AP56))</f>
        <v/>
      </c>
      <c r="AQ57" s="36" t="n">
        <f aca="false">IF(AND(AN57&lt;&gt;"",ISNUMBER(AL57),LEFT(AN57,9)&lt;&gt;"Total for",AN57&lt;&gt;"Gross Profit",AN57&lt;&gt;"Net Operating Revenue",AN57&lt;&gt;"Net Other Revenue",AN57&lt;&gt;"Net Revenue"),1,0)</f>
        <v>0</v>
      </c>
      <c r="AR57" s="36" t="str">
        <f aca="false">IF(AQ57=1,IF(AND(LEN(AN57)&gt;7,ISNUMBER(VALUE(LEFT(AN57,6))),MID(AN57,7,1)=" "),LEFT(AN57,6),AN57),"")</f>
        <v/>
      </c>
    </row>
    <row r="58" customFormat="false" ht="15" hidden="false" customHeight="false" outlineLevel="0" collapsed="false">
      <c r="D58" s="36" t="str">
        <f aca="false">TRIM(A58)</f>
        <v/>
      </c>
      <c r="E58" s="36" t="str">
        <f aca="false">IF(D58="Revenue","Revenue",IF(D58="Cost of Goods Sold","COGS",IF(D58="Expenditures","Expense",IF(D58="Other Revenue","Other Revenue",IF(D58="Other Expenditures","Other Expense",E57)))))</f>
        <v/>
      </c>
      <c r="F58" s="36" t="str">
        <f aca="false">IF(OR(D58="Revenue",D58="Cost of Goods Sold",D58="Expenditures",D58="Other Revenue",D58="Other Expenditures"),E58,IF(AND(LEN(D58)&gt;2,MID(D58,2,1)=" ",ISNUMBER(VALUE(LEFT(D58,1)))),D58,F57))</f>
        <v/>
      </c>
      <c r="G58" s="36" t="n">
        <f aca="false">IF(AND(D58&lt;&gt;"",ISNUMBER(B58),LEFT(D58,9)&lt;&gt;"Total for",D58&lt;&gt;"Gross Profit",D58&lt;&gt;"Net Operating Revenue",D58&lt;&gt;"Net Other Revenue",D58&lt;&gt;"Net Revenue"),1,0)</f>
        <v>0</v>
      </c>
      <c r="H58" s="36" t="str">
        <f aca="false">IF(G58=1,IF(AND(LEN(D58)&gt;7,ISNUMBER(VALUE(LEFT(D58,6))),MID(D58,7,1)=" "),LEFT(D58,6),D58),"")</f>
        <v/>
      </c>
      <c r="M58" s="36" t="str">
        <f aca="false">TRIM(J58)</f>
        <v/>
      </c>
      <c r="N58" s="36" t="str">
        <f aca="false">IF(M58="Revenue","Revenue",IF(M58="Cost of Goods Sold","COGS",IF(M58="Expenditures","Expense",IF(M58="Other Revenue","Other Revenue",IF(M58="Other Expenditures","Other Expense",N57)))))</f>
        <v/>
      </c>
      <c r="O58" s="36" t="str">
        <f aca="false">IF(OR(M58="Revenue",M58="Cost of Goods Sold",M58="Expenditures",M58="Other Revenue",M58="Other Expenditures"),N58,IF(AND(LEN(M58)&gt;2,MID(M58,2,1)=" ",ISNUMBER(VALUE(LEFT(M58,1)))),M58,O57))</f>
        <v/>
      </c>
      <c r="P58" s="36" t="n">
        <f aca="false">IF(AND(M58&lt;&gt;"",ISNUMBER(K58),LEFT(M58,9)&lt;&gt;"Total for",M58&lt;&gt;"Gross Profit",M58&lt;&gt;"Net Operating Revenue",M58&lt;&gt;"Net Other Revenue",M58&lt;&gt;"Net Revenue"),1,0)</f>
        <v>0</v>
      </c>
      <c r="Q58" s="36" t="str">
        <f aca="false">IF(P58=1,IF(AND(LEN(M58)&gt;7,ISNUMBER(VALUE(LEFT(M58,6))),MID(M58,7,1)=" "),LEFT(M58,6),M58),"")</f>
        <v/>
      </c>
      <c r="V58" s="36" t="str">
        <f aca="false">TRIM(S58)</f>
        <v/>
      </c>
      <c r="W58" s="36" t="str">
        <f aca="false">IF(V58="Revenue","Revenue",IF(V58="Cost of Goods Sold","COGS",IF(V58="Expenditures","Expense",IF(V58="Other Revenue","Other Revenue",IF(V58="Other Expenditures","Other Expense",W57)))))</f>
        <v/>
      </c>
      <c r="X58" s="36" t="str">
        <f aca="false">IF(OR(V58="Revenue",V58="Cost of Goods Sold",V58="Expenditures",V58="Other Revenue",V58="Other Expenditures"),W58,IF(AND(LEN(V58)&gt;2,MID(V58,2,1)=" ",ISNUMBER(VALUE(LEFT(V58,1)))),V58,X57))</f>
        <v/>
      </c>
      <c r="Y58" s="36" t="n">
        <f aca="false">IF(AND(V58&lt;&gt;"",ISNUMBER(T58),LEFT(V58,9)&lt;&gt;"Total for",V58&lt;&gt;"Gross Profit",V58&lt;&gt;"Net Operating Revenue",V58&lt;&gt;"Net Other Revenue",V58&lt;&gt;"Net Revenue"),1,0)</f>
        <v>0</v>
      </c>
      <c r="Z58" s="36" t="str">
        <f aca="false">IF(Y58=1,IF(AND(LEN(V58)&gt;7,ISNUMBER(VALUE(LEFT(V58,6))),MID(V58,7,1)=" "),LEFT(V58,6),V58),"")</f>
        <v/>
      </c>
      <c r="AE58" s="36" t="str">
        <f aca="false">TRIM(AB58)</f>
        <v/>
      </c>
      <c r="AF58" s="36" t="str">
        <f aca="false">IF(AE58="Revenue","Revenue",IF(AE58="Cost of Goods Sold","COGS",IF(AE58="Expenditures","Expense",IF(AE58="Other Revenue","Other Revenue",IF(AE58="Other Expenditures","Other Expense",AF57)))))</f>
        <v/>
      </c>
      <c r="AG58" s="36" t="str">
        <f aca="false">IF(OR(AE58="Revenue",AE58="Cost of Goods Sold",AE58="Expenditures",AE58="Other Revenue",AE58="Other Expenditures"),AF58,IF(AND(LEN(AE58)&gt;2,MID(AE58,2,1)=" ",ISNUMBER(VALUE(LEFT(AE58,1)))),AE58,AG57))</f>
        <v/>
      </c>
      <c r="AH58" s="36" t="n">
        <f aca="false">IF(AND(AE58&lt;&gt;"",ISNUMBER(AC58),LEFT(AE58,9)&lt;&gt;"Total for",AE58&lt;&gt;"Gross Profit",AE58&lt;&gt;"Net Operating Revenue",AE58&lt;&gt;"Net Other Revenue",AE58&lt;&gt;"Net Revenue"),1,0)</f>
        <v>0</v>
      </c>
      <c r="AI58" s="36" t="str">
        <f aca="false">IF(AH58=1,IF(AND(LEN(AE58)&gt;7,ISNUMBER(VALUE(LEFT(AE58,6))),MID(AE58,7,1)=" "),LEFT(AE58,6),AE58),"")</f>
        <v/>
      </c>
      <c r="AN58" s="36" t="str">
        <f aca="false">TRIM(AK58)</f>
        <v/>
      </c>
      <c r="AO58" s="36" t="str">
        <f aca="false">IF(AN58="Revenue","Revenue",IF(AN58="Cost of Goods Sold","COGS",IF(AN58="Expenditures","Expense",IF(AN58="Other Revenue","Other Revenue",IF(AN58="Other Expenditures","Other Expense",AO57)))))</f>
        <v/>
      </c>
      <c r="AP58" s="36" t="str">
        <f aca="false">IF(OR(AN58="Revenue",AN58="Cost of Goods Sold",AN58="Expenditures",AN58="Other Revenue",AN58="Other Expenditures"),AO58,IF(AND(LEN(AN58)&gt;2,MID(AN58,2,1)=" ",ISNUMBER(VALUE(LEFT(AN58,1)))),AN58,AP57))</f>
        <v/>
      </c>
      <c r="AQ58" s="36" t="n">
        <f aca="false">IF(AND(AN58&lt;&gt;"",ISNUMBER(AL58),LEFT(AN58,9)&lt;&gt;"Total for",AN58&lt;&gt;"Gross Profit",AN58&lt;&gt;"Net Operating Revenue",AN58&lt;&gt;"Net Other Revenue",AN58&lt;&gt;"Net Revenue"),1,0)</f>
        <v>0</v>
      </c>
      <c r="AR58" s="36" t="str">
        <f aca="false">IF(AQ58=1,IF(AND(LEN(AN58)&gt;7,ISNUMBER(VALUE(LEFT(AN58,6))),MID(AN58,7,1)=" "),LEFT(AN58,6),AN58),"")</f>
        <v/>
      </c>
    </row>
    <row r="59" customFormat="false" ht="15" hidden="false" customHeight="false" outlineLevel="0" collapsed="false">
      <c r="D59" s="36" t="str">
        <f aca="false">TRIM(A59)</f>
        <v/>
      </c>
      <c r="E59" s="36" t="str">
        <f aca="false">IF(D59="Revenue","Revenue",IF(D59="Cost of Goods Sold","COGS",IF(D59="Expenditures","Expense",IF(D59="Other Revenue","Other Revenue",IF(D59="Other Expenditures","Other Expense",E58)))))</f>
        <v/>
      </c>
      <c r="F59" s="36" t="str">
        <f aca="false">IF(OR(D59="Revenue",D59="Cost of Goods Sold",D59="Expenditures",D59="Other Revenue",D59="Other Expenditures"),E59,IF(AND(LEN(D59)&gt;2,MID(D59,2,1)=" ",ISNUMBER(VALUE(LEFT(D59,1)))),D59,F58))</f>
        <v/>
      </c>
      <c r="G59" s="36" t="n">
        <f aca="false">IF(AND(D59&lt;&gt;"",ISNUMBER(B59),LEFT(D59,9)&lt;&gt;"Total for",D59&lt;&gt;"Gross Profit",D59&lt;&gt;"Net Operating Revenue",D59&lt;&gt;"Net Other Revenue",D59&lt;&gt;"Net Revenue"),1,0)</f>
        <v>0</v>
      </c>
      <c r="H59" s="36" t="str">
        <f aca="false">IF(G59=1,IF(AND(LEN(D59)&gt;7,ISNUMBER(VALUE(LEFT(D59,6))),MID(D59,7,1)=" "),LEFT(D59,6),D59),"")</f>
        <v/>
      </c>
      <c r="M59" s="36" t="str">
        <f aca="false">TRIM(J59)</f>
        <v/>
      </c>
      <c r="N59" s="36" t="str">
        <f aca="false">IF(M59="Revenue","Revenue",IF(M59="Cost of Goods Sold","COGS",IF(M59="Expenditures","Expense",IF(M59="Other Revenue","Other Revenue",IF(M59="Other Expenditures","Other Expense",N58)))))</f>
        <v/>
      </c>
      <c r="O59" s="36" t="str">
        <f aca="false">IF(OR(M59="Revenue",M59="Cost of Goods Sold",M59="Expenditures",M59="Other Revenue",M59="Other Expenditures"),N59,IF(AND(LEN(M59)&gt;2,MID(M59,2,1)=" ",ISNUMBER(VALUE(LEFT(M59,1)))),M59,O58))</f>
        <v/>
      </c>
      <c r="P59" s="36" t="n">
        <f aca="false">IF(AND(M59&lt;&gt;"",ISNUMBER(K59),LEFT(M59,9)&lt;&gt;"Total for",M59&lt;&gt;"Gross Profit",M59&lt;&gt;"Net Operating Revenue",M59&lt;&gt;"Net Other Revenue",M59&lt;&gt;"Net Revenue"),1,0)</f>
        <v>0</v>
      </c>
      <c r="Q59" s="36" t="str">
        <f aca="false">IF(P59=1,IF(AND(LEN(M59)&gt;7,ISNUMBER(VALUE(LEFT(M59,6))),MID(M59,7,1)=" "),LEFT(M59,6),M59),"")</f>
        <v/>
      </c>
      <c r="V59" s="36" t="str">
        <f aca="false">TRIM(S59)</f>
        <v/>
      </c>
      <c r="W59" s="36" t="str">
        <f aca="false">IF(V59="Revenue","Revenue",IF(V59="Cost of Goods Sold","COGS",IF(V59="Expenditures","Expense",IF(V59="Other Revenue","Other Revenue",IF(V59="Other Expenditures","Other Expense",W58)))))</f>
        <v/>
      </c>
      <c r="X59" s="36" t="str">
        <f aca="false">IF(OR(V59="Revenue",V59="Cost of Goods Sold",V59="Expenditures",V59="Other Revenue",V59="Other Expenditures"),W59,IF(AND(LEN(V59)&gt;2,MID(V59,2,1)=" ",ISNUMBER(VALUE(LEFT(V59,1)))),V59,X58))</f>
        <v/>
      </c>
      <c r="Y59" s="36" t="n">
        <f aca="false">IF(AND(V59&lt;&gt;"",ISNUMBER(T59),LEFT(V59,9)&lt;&gt;"Total for",V59&lt;&gt;"Gross Profit",V59&lt;&gt;"Net Operating Revenue",V59&lt;&gt;"Net Other Revenue",V59&lt;&gt;"Net Revenue"),1,0)</f>
        <v>0</v>
      </c>
      <c r="Z59" s="36" t="str">
        <f aca="false">IF(Y59=1,IF(AND(LEN(V59)&gt;7,ISNUMBER(VALUE(LEFT(V59,6))),MID(V59,7,1)=" "),LEFT(V59,6),V59),"")</f>
        <v/>
      </c>
      <c r="AE59" s="36" t="str">
        <f aca="false">TRIM(AB59)</f>
        <v/>
      </c>
      <c r="AF59" s="36" t="str">
        <f aca="false">IF(AE59="Revenue","Revenue",IF(AE59="Cost of Goods Sold","COGS",IF(AE59="Expenditures","Expense",IF(AE59="Other Revenue","Other Revenue",IF(AE59="Other Expenditures","Other Expense",AF58)))))</f>
        <v/>
      </c>
      <c r="AG59" s="36" t="str">
        <f aca="false">IF(OR(AE59="Revenue",AE59="Cost of Goods Sold",AE59="Expenditures",AE59="Other Revenue",AE59="Other Expenditures"),AF59,IF(AND(LEN(AE59)&gt;2,MID(AE59,2,1)=" ",ISNUMBER(VALUE(LEFT(AE59,1)))),AE59,AG58))</f>
        <v/>
      </c>
      <c r="AH59" s="36" t="n">
        <f aca="false">IF(AND(AE59&lt;&gt;"",ISNUMBER(AC59),LEFT(AE59,9)&lt;&gt;"Total for",AE59&lt;&gt;"Gross Profit",AE59&lt;&gt;"Net Operating Revenue",AE59&lt;&gt;"Net Other Revenue",AE59&lt;&gt;"Net Revenue"),1,0)</f>
        <v>0</v>
      </c>
      <c r="AI59" s="36" t="str">
        <f aca="false">IF(AH59=1,IF(AND(LEN(AE59)&gt;7,ISNUMBER(VALUE(LEFT(AE59,6))),MID(AE59,7,1)=" "),LEFT(AE59,6),AE59),"")</f>
        <v/>
      </c>
      <c r="AN59" s="36" t="str">
        <f aca="false">TRIM(AK59)</f>
        <v/>
      </c>
      <c r="AO59" s="36" t="str">
        <f aca="false">IF(AN59="Revenue","Revenue",IF(AN59="Cost of Goods Sold","COGS",IF(AN59="Expenditures","Expense",IF(AN59="Other Revenue","Other Revenue",IF(AN59="Other Expenditures","Other Expense",AO58)))))</f>
        <v/>
      </c>
      <c r="AP59" s="36" t="str">
        <f aca="false">IF(OR(AN59="Revenue",AN59="Cost of Goods Sold",AN59="Expenditures",AN59="Other Revenue",AN59="Other Expenditures"),AO59,IF(AND(LEN(AN59)&gt;2,MID(AN59,2,1)=" ",ISNUMBER(VALUE(LEFT(AN59,1)))),AN59,AP58))</f>
        <v/>
      </c>
      <c r="AQ59" s="36" t="n">
        <f aca="false">IF(AND(AN59&lt;&gt;"",ISNUMBER(AL59),LEFT(AN59,9)&lt;&gt;"Total for",AN59&lt;&gt;"Gross Profit",AN59&lt;&gt;"Net Operating Revenue",AN59&lt;&gt;"Net Other Revenue",AN59&lt;&gt;"Net Revenue"),1,0)</f>
        <v>0</v>
      </c>
      <c r="AR59" s="36" t="str">
        <f aca="false">IF(AQ59=1,IF(AND(LEN(AN59)&gt;7,ISNUMBER(VALUE(LEFT(AN59,6))),MID(AN59,7,1)=" "),LEFT(AN59,6),AN59),"")</f>
        <v/>
      </c>
    </row>
    <row r="60" customFormat="false" ht="15" hidden="false" customHeight="false" outlineLevel="0" collapsed="false">
      <c r="D60" s="36" t="str">
        <f aca="false">TRIM(A60)</f>
        <v/>
      </c>
      <c r="E60" s="36" t="str">
        <f aca="false">IF(D60="Revenue","Revenue",IF(D60="Cost of Goods Sold","COGS",IF(D60="Expenditures","Expense",IF(D60="Other Revenue","Other Revenue",IF(D60="Other Expenditures","Other Expense",E59)))))</f>
        <v/>
      </c>
      <c r="F60" s="36" t="str">
        <f aca="false">IF(OR(D60="Revenue",D60="Cost of Goods Sold",D60="Expenditures",D60="Other Revenue",D60="Other Expenditures"),E60,IF(AND(LEN(D60)&gt;2,MID(D60,2,1)=" ",ISNUMBER(VALUE(LEFT(D60,1)))),D60,F59))</f>
        <v/>
      </c>
      <c r="G60" s="36" t="n">
        <f aca="false">IF(AND(D60&lt;&gt;"",ISNUMBER(B60),LEFT(D60,9)&lt;&gt;"Total for",D60&lt;&gt;"Gross Profit",D60&lt;&gt;"Net Operating Revenue",D60&lt;&gt;"Net Other Revenue",D60&lt;&gt;"Net Revenue"),1,0)</f>
        <v>0</v>
      </c>
      <c r="H60" s="36" t="str">
        <f aca="false">IF(G60=1,IF(AND(LEN(D60)&gt;7,ISNUMBER(VALUE(LEFT(D60,6))),MID(D60,7,1)=" "),LEFT(D60,6),D60),"")</f>
        <v/>
      </c>
      <c r="M60" s="36" t="str">
        <f aca="false">TRIM(J60)</f>
        <v/>
      </c>
      <c r="N60" s="36" t="str">
        <f aca="false">IF(M60="Revenue","Revenue",IF(M60="Cost of Goods Sold","COGS",IF(M60="Expenditures","Expense",IF(M60="Other Revenue","Other Revenue",IF(M60="Other Expenditures","Other Expense",N59)))))</f>
        <v/>
      </c>
      <c r="O60" s="36" t="str">
        <f aca="false">IF(OR(M60="Revenue",M60="Cost of Goods Sold",M60="Expenditures",M60="Other Revenue",M60="Other Expenditures"),N60,IF(AND(LEN(M60)&gt;2,MID(M60,2,1)=" ",ISNUMBER(VALUE(LEFT(M60,1)))),M60,O59))</f>
        <v/>
      </c>
      <c r="P60" s="36" t="n">
        <f aca="false">IF(AND(M60&lt;&gt;"",ISNUMBER(K60),LEFT(M60,9)&lt;&gt;"Total for",M60&lt;&gt;"Gross Profit",M60&lt;&gt;"Net Operating Revenue",M60&lt;&gt;"Net Other Revenue",M60&lt;&gt;"Net Revenue"),1,0)</f>
        <v>0</v>
      </c>
      <c r="Q60" s="36" t="str">
        <f aca="false">IF(P60=1,IF(AND(LEN(M60)&gt;7,ISNUMBER(VALUE(LEFT(M60,6))),MID(M60,7,1)=" "),LEFT(M60,6),M60),"")</f>
        <v/>
      </c>
      <c r="V60" s="36" t="str">
        <f aca="false">TRIM(S60)</f>
        <v/>
      </c>
      <c r="W60" s="36" t="str">
        <f aca="false">IF(V60="Revenue","Revenue",IF(V60="Cost of Goods Sold","COGS",IF(V60="Expenditures","Expense",IF(V60="Other Revenue","Other Revenue",IF(V60="Other Expenditures","Other Expense",W59)))))</f>
        <v/>
      </c>
      <c r="X60" s="36" t="str">
        <f aca="false">IF(OR(V60="Revenue",V60="Cost of Goods Sold",V60="Expenditures",V60="Other Revenue",V60="Other Expenditures"),W60,IF(AND(LEN(V60)&gt;2,MID(V60,2,1)=" ",ISNUMBER(VALUE(LEFT(V60,1)))),V60,X59))</f>
        <v/>
      </c>
      <c r="Y60" s="36" t="n">
        <f aca="false">IF(AND(V60&lt;&gt;"",ISNUMBER(T60),LEFT(V60,9)&lt;&gt;"Total for",V60&lt;&gt;"Gross Profit",V60&lt;&gt;"Net Operating Revenue",V60&lt;&gt;"Net Other Revenue",V60&lt;&gt;"Net Revenue"),1,0)</f>
        <v>0</v>
      </c>
      <c r="Z60" s="36" t="str">
        <f aca="false">IF(Y60=1,IF(AND(LEN(V60)&gt;7,ISNUMBER(VALUE(LEFT(V60,6))),MID(V60,7,1)=" "),LEFT(V60,6),V60),"")</f>
        <v/>
      </c>
      <c r="AE60" s="36" t="str">
        <f aca="false">TRIM(AB60)</f>
        <v/>
      </c>
      <c r="AF60" s="36" t="str">
        <f aca="false">IF(AE60="Revenue","Revenue",IF(AE60="Cost of Goods Sold","COGS",IF(AE60="Expenditures","Expense",IF(AE60="Other Revenue","Other Revenue",IF(AE60="Other Expenditures","Other Expense",AF59)))))</f>
        <v/>
      </c>
      <c r="AG60" s="36" t="str">
        <f aca="false">IF(OR(AE60="Revenue",AE60="Cost of Goods Sold",AE60="Expenditures",AE60="Other Revenue",AE60="Other Expenditures"),AF60,IF(AND(LEN(AE60)&gt;2,MID(AE60,2,1)=" ",ISNUMBER(VALUE(LEFT(AE60,1)))),AE60,AG59))</f>
        <v/>
      </c>
      <c r="AH60" s="36" t="n">
        <f aca="false">IF(AND(AE60&lt;&gt;"",ISNUMBER(AC60),LEFT(AE60,9)&lt;&gt;"Total for",AE60&lt;&gt;"Gross Profit",AE60&lt;&gt;"Net Operating Revenue",AE60&lt;&gt;"Net Other Revenue",AE60&lt;&gt;"Net Revenue"),1,0)</f>
        <v>0</v>
      </c>
      <c r="AI60" s="36" t="str">
        <f aca="false">IF(AH60=1,IF(AND(LEN(AE60)&gt;7,ISNUMBER(VALUE(LEFT(AE60,6))),MID(AE60,7,1)=" "),LEFT(AE60,6),AE60),"")</f>
        <v/>
      </c>
      <c r="AN60" s="36" t="str">
        <f aca="false">TRIM(AK60)</f>
        <v/>
      </c>
      <c r="AO60" s="36" t="str">
        <f aca="false">IF(AN60="Revenue","Revenue",IF(AN60="Cost of Goods Sold","COGS",IF(AN60="Expenditures","Expense",IF(AN60="Other Revenue","Other Revenue",IF(AN60="Other Expenditures","Other Expense",AO59)))))</f>
        <v/>
      </c>
      <c r="AP60" s="36" t="str">
        <f aca="false">IF(OR(AN60="Revenue",AN60="Cost of Goods Sold",AN60="Expenditures",AN60="Other Revenue",AN60="Other Expenditures"),AO60,IF(AND(LEN(AN60)&gt;2,MID(AN60,2,1)=" ",ISNUMBER(VALUE(LEFT(AN60,1)))),AN60,AP59))</f>
        <v/>
      </c>
      <c r="AQ60" s="36" t="n">
        <f aca="false">IF(AND(AN60&lt;&gt;"",ISNUMBER(AL60),LEFT(AN60,9)&lt;&gt;"Total for",AN60&lt;&gt;"Gross Profit",AN60&lt;&gt;"Net Operating Revenue",AN60&lt;&gt;"Net Other Revenue",AN60&lt;&gt;"Net Revenue"),1,0)</f>
        <v>0</v>
      </c>
      <c r="AR60" s="36" t="str">
        <f aca="false">IF(AQ60=1,IF(AND(LEN(AN60)&gt;7,ISNUMBER(VALUE(LEFT(AN60,6))),MID(AN60,7,1)=" "),LEFT(AN60,6),AN60),"")</f>
        <v/>
      </c>
    </row>
    <row r="61" customFormat="false" ht="15" hidden="false" customHeight="false" outlineLevel="0" collapsed="false">
      <c r="D61" s="36" t="str">
        <f aca="false">TRIM(A61)</f>
        <v/>
      </c>
      <c r="E61" s="36" t="str">
        <f aca="false">IF(D61="Revenue","Revenue",IF(D61="Cost of Goods Sold","COGS",IF(D61="Expenditures","Expense",IF(D61="Other Revenue","Other Revenue",IF(D61="Other Expenditures","Other Expense",E60)))))</f>
        <v/>
      </c>
      <c r="F61" s="36" t="str">
        <f aca="false">IF(OR(D61="Revenue",D61="Cost of Goods Sold",D61="Expenditures",D61="Other Revenue",D61="Other Expenditures"),E61,IF(AND(LEN(D61)&gt;2,MID(D61,2,1)=" ",ISNUMBER(VALUE(LEFT(D61,1)))),D61,F60))</f>
        <v/>
      </c>
      <c r="G61" s="36" t="n">
        <f aca="false">IF(AND(D61&lt;&gt;"",ISNUMBER(B61),LEFT(D61,9)&lt;&gt;"Total for",D61&lt;&gt;"Gross Profit",D61&lt;&gt;"Net Operating Revenue",D61&lt;&gt;"Net Other Revenue",D61&lt;&gt;"Net Revenue"),1,0)</f>
        <v>0</v>
      </c>
      <c r="H61" s="36" t="str">
        <f aca="false">IF(G61=1,IF(AND(LEN(D61)&gt;7,ISNUMBER(VALUE(LEFT(D61,6))),MID(D61,7,1)=" "),LEFT(D61,6),D61),"")</f>
        <v/>
      </c>
      <c r="M61" s="36" t="str">
        <f aca="false">TRIM(J61)</f>
        <v/>
      </c>
      <c r="N61" s="36" t="str">
        <f aca="false">IF(M61="Revenue","Revenue",IF(M61="Cost of Goods Sold","COGS",IF(M61="Expenditures","Expense",IF(M61="Other Revenue","Other Revenue",IF(M61="Other Expenditures","Other Expense",N60)))))</f>
        <v/>
      </c>
      <c r="O61" s="36" t="str">
        <f aca="false">IF(OR(M61="Revenue",M61="Cost of Goods Sold",M61="Expenditures",M61="Other Revenue",M61="Other Expenditures"),N61,IF(AND(LEN(M61)&gt;2,MID(M61,2,1)=" ",ISNUMBER(VALUE(LEFT(M61,1)))),M61,O60))</f>
        <v/>
      </c>
      <c r="P61" s="36" t="n">
        <f aca="false">IF(AND(M61&lt;&gt;"",ISNUMBER(K61),LEFT(M61,9)&lt;&gt;"Total for",M61&lt;&gt;"Gross Profit",M61&lt;&gt;"Net Operating Revenue",M61&lt;&gt;"Net Other Revenue",M61&lt;&gt;"Net Revenue"),1,0)</f>
        <v>0</v>
      </c>
      <c r="Q61" s="36" t="str">
        <f aca="false">IF(P61=1,IF(AND(LEN(M61)&gt;7,ISNUMBER(VALUE(LEFT(M61,6))),MID(M61,7,1)=" "),LEFT(M61,6),M61),"")</f>
        <v/>
      </c>
      <c r="V61" s="36" t="str">
        <f aca="false">TRIM(S61)</f>
        <v/>
      </c>
      <c r="W61" s="36" t="str">
        <f aca="false">IF(V61="Revenue","Revenue",IF(V61="Cost of Goods Sold","COGS",IF(V61="Expenditures","Expense",IF(V61="Other Revenue","Other Revenue",IF(V61="Other Expenditures","Other Expense",W60)))))</f>
        <v/>
      </c>
      <c r="X61" s="36" t="str">
        <f aca="false">IF(OR(V61="Revenue",V61="Cost of Goods Sold",V61="Expenditures",V61="Other Revenue",V61="Other Expenditures"),W61,IF(AND(LEN(V61)&gt;2,MID(V61,2,1)=" ",ISNUMBER(VALUE(LEFT(V61,1)))),V61,X60))</f>
        <v/>
      </c>
      <c r="Y61" s="36" t="n">
        <f aca="false">IF(AND(V61&lt;&gt;"",ISNUMBER(T61),LEFT(V61,9)&lt;&gt;"Total for",V61&lt;&gt;"Gross Profit",V61&lt;&gt;"Net Operating Revenue",V61&lt;&gt;"Net Other Revenue",V61&lt;&gt;"Net Revenue"),1,0)</f>
        <v>0</v>
      </c>
      <c r="Z61" s="36" t="str">
        <f aca="false">IF(Y61=1,IF(AND(LEN(V61)&gt;7,ISNUMBER(VALUE(LEFT(V61,6))),MID(V61,7,1)=" "),LEFT(V61,6),V61),"")</f>
        <v/>
      </c>
      <c r="AE61" s="36" t="str">
        <f aca="false">TRIM(AB61)</f>
        <v/>
      </c>
      <c r="AF61" s="36" t="str">
        <f aca="false">IF(AE61="Revenue","Revenue",IF(AE61="Cost of Goods Sold","COGS",IF(AE61="Expenditures","Expense",IF(AE61="Other Revenue","Other Revenue",IF(AE61="Other Expenditures","Other Expense",AF60)))))</f>
        <v/>
      </c>
      <c r="AG61" s="36" t="str">
        <f aca="false">IF(OR(AE61="Revenue",AE61="Cost of Goods Sold",AE61="Expenditures",AE61="Other Revenue",AE61="Other Expenditures"),AF61,IF(AND(LEN(AE61)&gt;2,MID(AE61,2,1)=" ",ISNUMBER(VALUE(LEFT(AE61,1)))),AE61,AG60))</f>
        <v/>
      </c>
      <c r="AH61" s="36" t="n">
        <f aca="false">IF(AND(AE61&lt;&gt;"",ISNUMBER(AC61),LEFT(AE61,9)&lt;&gt;"Total for",AE61&lt;&gt;"Gross Profit",AE61&lt;&gt;"Net Operating Revenue",AE61&lt;&gt;"Net Other Revenue",AE61&lt;&gt;"Net Revenue"),1,0)</f>
        <v>0</v>
      </c>
      <c r="AI61" s="36" t="str">
        <f aca="false">IF(AH61=1,IF(AND(LEN(AE61)&gt;7,ISNUMBER(VALUE(LEFT(AE61,6))),MID(AE61,7,1)=" "),LEFT(AE61,6),AE61),"")</f>
        <v/>
      </c>
      <c r="AN61" s="36" t="str">
        <f aca="false">TRIM(AK61)</f>
        <v/>
      </c>
      <c r="AO61" s="36" t="str">
        <f aca="false">IF(AN61="Revenue","Revenue",IF(AN61="Cost of Goods Sold","COGS",IF(AN61="Expenditures","Expense",IF(AN61="Other Revenue","Other Revenue",IF(AN61="Other Expenditures","Other Expense",AO60)))))</f>
        <v/>
      </c>
      <c r="AP61" s="36" t="str">
        <f aca="false">IF(OR(AN61="Revenue",AN61="Cost of Goods Sold",AN61="Expenditures",AN61="Other Revenue",AN61="Other Expenditures"),AO61,IF(AND(LEN(AN61)&gt;2,MID(AN61,2,1)=" ",ISNUMBER(VALUE(LEFT(AN61,1)))),AN61,AP60))</f>
        <v/>
      </c>
      <c r="AQ61" s="36" t="n">
        <f aca="false">IF(AND(AN61&lt;&gt;"",ISNUMBER(AL61),LEFT(AN61,9)&lt;&gt;"Total for",AN61&lt;&gt;"Gross Profit",AN61&lt;&gt;"Net Operating Revenue",AN61&lt;&gt;"Net Other Revenue",AN61&lt;&gt;"Net Revenue"),1,0)</f>
        <v>0</v>
      </c>
      <c r="AR61" s="36" t="str">
        <f aca="false">IF(AQ61=1,IF(AND(LEN(AN61)&gt;7,ISNUMBER(VALUE(LEFT(AN61,6))),MID(AN61,7,1)=" "),LEFT(AN61,6),AN61),"")</f>
        <v/>
      </c>
    </row>
    <row r="62" customFormat="false" ht="15" hidden="false" customHeight="false" outlineLevel="0" collapsed="false">
      <c r="D62" s="36" t="str">
        <f aca="false">TRIM(A62)</f>
        <v/>
      </c>
      <c r="E62" s="36" t="str">
        <f aca="false">IF(D62="Revenue","Revenue",IF(D62="Cost of Goods Sold","COGS",IF(D62="Expenditures","Expense",IF(D62="Other Revenue","Other Revenue",IF(D62="Other Expenditures","Other Expense",E61)))))</f>
        <v/>
      </c>
      <c r="F62" s="36" t="str">
        <f aca="false">IF(OR(D62="Revenue",D62="Cost of Goods Sold",D62="Expenditures",D62="Other Revenue",D62="Other Expenditures"),E62,IF(AND(LEN(D62)&gt;2,MID(D62,2,1)=" ",ISNUMBER(VALUE(LEFT(D62,1)))),D62,F61))</f>
        <v/>
      </c>
      <c r="G62" s="36" t="n">
        <f aca="false">IF(AND(D62&lt;&gt;"",ISNUMBER(B62),LEFT(D62,9)&lt;&gt;"Total for",D62&lt;&gt;"Gross Profit",D62&lt;&gt;"Net Operating Revenue",D62&lt;&gt;"Net Other Revenue",D62&lt;&gt;"Net Revenue"),1,0)</f>
        <v>0</v>
      </c>
      <c r="H62" s="36" t="str">
        <f aca="false">IF(G62=1,IF(AND(LEN(D62)&gt;7,ISNUMBER(VALUE(LEFT(D62,6))),MID(D62,7,1)=" "),LEFT(D62,6),D62),"")</f>
        <v/>
      </c>
      <c r="M62" s="36" t="str">
        <f aca="false">TRIM(J62)</f>
        <v/>
      </c>
      <c r="N62" s="36" t="str">
        <f aca="false">IF(M62="Revenue","Revenue",IF(M62="Cost of Goods Sold","COGS",IF(M62="Expenditures","Expense",IF(M62="Other Revenue","Other Revenue",IF(M62="Other Expenditures","Other Expense",N61)))))</f>
        <v/>
      </c>
      <c r="O62" s="36" t="str">
        <f aca="false">IF(OR(M62="Revenue",M62="Cost of Goods Sold",M62="Expenditures",M62="Other Revenue",M62="Other Expenditures"),N62,IF(AND(LEN(M62)&gt;2,MID(M62,2,1)=" ",ISNUMBER(VALUE(LEFT(M62,1)))),M62,O61))</f>
        <v/>
      </c>
      <c r="P62" s="36" t="n">
        <f aca="false">IF(AND(M62&lt;&gt;"",ISNUMBER(K62),LEFT(M62,9)&lt;&gt;"Total for",M62&lt;&gt;"Gross Profit",M62&lt;&gt;"Net Operating Revenue",M62&lt;&gt;"Net Other Revenue",M62&lt;&gt;"Net Revenue"),1,0)</f>
        <v>0</v>
      </c>
      <c r="Q62" s="36" t="str">
        <f aca="false">IF(P62=1,IF(AND(LEN(M62)&gt;7,ISNUMBER(VALUE(LEFT(M62,6))),MID(M62,7,1)=" "),LEFT(M62,6),M62),"")</f>
        <v/>
      </c>
      <c r="V62" s="36" t="str">
        <f aca="false">TRIM(S62)</f>
        <v/>
      </c>
      <c r="W62" s="36" t="str">
        <f aca="false">IF(V62="Revenue","Revenue",IF(V62="Cost of Goods Sold","COGS",IF(V62="Expenditures","Expense",IF(V62="Other Revenue","Other Revenue",IF(V62="Other Expenditures","Other Expense",W61)))))</f>
        <v/>
      </c>
      <c r="X62" s="36" t="str">
        <f aca="false">IF(OR(V62="Revenue",V62="Cost of Goods Sold",V62="Expenditures",V62="Other Revenue",V62="Other Expenditures"),W62,IF(AND(LEN(V62)&gt;2,MID(V62,2,1)=" ",ISNUMBER(VALUE(LEFT(V62,1)))),V62,X61))</f>
        <v/>
      </c>
      <c r="Y62" s="36" t="n">
        <f aca="false">IF(AND(V62&lt;&gt;"",ISNUMBER(T62),LEFT(V62,9)&lt;&gt;"Total for",V62&lt;&gt;"Gross Profit",V62&lt;&gt;"Net Operating Revenue",V62&lt;&gt;"Net Other Revenue",V62&lt;&gt;"Net Revenue"),1,0)</f>
        <v>0</v>
      </c>
      <c r="Z62" s="36" t="str">
        <f aca="false">IF(Y62=1,IF(AND(LEN(V62)&gt;7,ISNUMBER(VALUE(LEFT(V62,6))),MID(V62,7,1)=" "),LEFT(V62,6),V62),"")</f>
        <v/>
      </c>
      <c r="AE62" s="36" t="str">
        <f aca="false">TRIM(AB62)</f>
        <v/>
      </c>
      <c r="AF62" s="36" t="str">
        <f aca="false">IF(AE62="Revenue","Revenue",IF(AE62="Cost of Goods Sold","COGS",IF(AE62="Expenditures","Expense",IF(AE62="Other Revenue","Other Revenue",IF(AE62="Other Expenditures","Other Expense",AF61)))))</f>
        <v/>
      </c>
      <c r="AG62" s="36" t="str">
        <f aca="false">IF(OR(AE62="Revenue",AE62="Cost of Goods Sold",AE62="Expenditures",AE62="Other Revenue",AE62="Other Expenditures"),AF62,IF(AND(LEN(AE62)&gt;2,MID(AE62,2,1)=" ",ISNUMBER(VALUE(LEFT(AE62,1)))),AE62,AG61))</f>
        <v/>
      </c>
      <c r="AH62" s="36" t="n">
        <f aca="false">IF(AND(AE62&lt;&gt;"",ISNUMBER(AC62),LEFT(AE62,9)&lt;&gt;"Total for",AE62&lt;&gt;"Gross Profit",AE62&lt;&gt;"Net Operating Revenue",AE62&lt;&gt;"Net Other Revenue",AE62&lt;&gt;"Net Revenue"),1,0)</f>
        <v>0</v>
      </c>
      <c r="AI62" s="36" t="str">
        <f aca="false">IF(AH62=1,IF(AND(LEN(AE62)&gt;7,ISNUMBER(VALUE(LEFT(AE62,6))),MID(AE62,7,1)=" "),LEFT(AE62,6),AE62),"")</f>
        <v/>
      </c>
      <c r="AN62" s="36" t="str">
        <f aca="false">TRIM(AK62)</f>
        <v/>
      </c>
      <c r="AO62" s="36" t="str">
        <f aca="false">IF(AN62="Revenue","Revenue",IF(AN62="Cost of Goods Sold","COGS",IF(AN62="Expenditures","Expense",IF(AN62="Other Revenue","Other Revenue",IF(AN62="Other Expenditures","Other Expense",AO61)))))</f>
        <v/>
      </c>
      <c r="AP62" s="36" t="str">
        <f aca="false">IF(OR(AN62="Revenue",AN62="Cost of Goods Sold",AN62="Expenditures",AN62="Other Revenue",AN62="Other Expenditures"),AO62,IF(AND(LEN(AN62)&gt;2,MID(AN62,2,1)=" ",ISNUMBER(VALUE(LEFT(AN62,1)))),AN62,AP61))</f>
        <v/>
      </c>
      <c r="AQ62" s="36" t="n">
        <f aca="false">IF(AND(AN62&lt;&gt;"",ISNUMBER(AL62),LEFT(AN62,9)&lt;&gt;"Total for",AN62&lt;&gt;"Gross Profit",AN62&lt;&gt;"Net Operating Revenue",AN62&lt;&gt;"Net Other Revenue",AN62&lt;&gt;"Net Revenue"),1,0)</f>
        <v>0</v>
      </c>
      <c r="AR62" s="36" t="str">
        <f aca="false">IF(AQ62=1,IF(AND(LEN(AN62)&gt;7,ISNUMBER(VALUE(LEFT(AN62,6))),MID(AN62,7,1)=" "),LEFT(AN62,6),AN62),"")</f>
        <v/>
      </c>
    </row>
    <row r="63" customFormat="false" ht="15" hidden="false" customHeight="false" outlineLevel="0" collapsed="false">
      <c r="D63" s="36" t="str">
        <f aca="false">TRIM(A63)</f>
        <v/>
      </c>
      <c r="E63" s="36" t="str">
        <f aca="false">IF(D63="Revenue","Revenue",IF(D63="Cost of Goods Sold","COGS",IF(D63="Expenditures","Expense",IF(D63="Other Revenue","Other Revenue",IF(D63="Other Expenditures","Other Expense",E62)))))</f>
        <v/>
      </c>
      <c r="F63" s="36" t="str">
        <f aca="false">IF(OR(D63="Revenue",D63="Cost of Goods Sold",D63="Expenditures",D63="Other Revenue",D63="Other Expenditures"),E63,IF(AND(LEN(D63)&gt;2,MID(D63,2,1)=" ",ISNUMBER(VALUE(LEFT(D63,1)))),D63,F62))</f>
        <v/>
      </c>
      <c r="G63" s="36" t="n">
        <f aca="false">IF(AND(D63&lt;&gt;"",ISNUMBER(B63),LEFT(D63,9)&lt;&gt;"Total for",D63&lt;&gt;"Gross Profit",D63&lt;&gt;"Net Operating Revenue",D63&lt;&gt;"Net Other Revenue",D63&lt;&gt;"Net Revenue"),1,0)</f>
        <v>0</v>
      </c>
      <c r="H63" s="36" t="str">
        <f aca="false">IF(G63=1,IF(AND(LEN(D63)&gt;7,ISNUMBER(VALUE(LEFT(D63,6))),MID(D63,7,1)=" "),LEFT(D63,6),D63),"")</f>
        <v/>
      </c>
      <c r="M63" s="36" t="str">
        <f aca="false">TRIM(J63)</f>
        <v/>
      </c>
      <c r="N63" s="36" t="str">
        <f aca="false">IF(M63="Revenue","Revenue",IF(M63="Cost of Goods Sold","COGS",IF(M63="Expenditures","Expense",IF(M63="Other Revenue","Other Revenue",IF(M63="Other Expenditures","Other Expense",N62)))))</f>
        <v/>
      </c>
      <c r="O63" s="36" t="str">
        <f aca="false">IF(OR(M63="Revenue",M63="Cost of Goods Sold",M63="Expenditures",M63="Other Revenue",M63="Other Expenditures"),N63,IF(AND(LEN(M63)&gt;2,MID(M63,2,1)=" ",ISNUMBER(VALUE(LEFT(M63,1)))),M63,O62))</f>
        <v/>
      </c>
      <c r="P63" s="36" t="n">
        <f aca="false">IF(AND(M63&lt;&gt;"",ISNUMBER(K63),LEFT(M63,9)&lt;&gt;"Total for",M63&lt;&gt;"Gross Profit",M63&lt;&gt;"Net Operating Revenue",M63&lt;&gt;"Net Other Revenue",M63&lt;&gt;"Net Revenue"),1,0)</f>
        <v>0</v>
      </c>
      <c r="Q63" s="36" t="str">
        <f aca="false">IF(P63=1,IF(AND(LEN(M63)&gt;7,ISNUMBER(VALUE(LEFT(M63,6))),MID(M63,7,1)=" "),LEFT(M63,6),M63),"")</f>
        <v/>
      </c>
      <c r="V63" s="36" t="str">
        <f aca="false">TRIM(S63)</f>
        <v/>
      </c>
      <c r="W63" s="36" t="str">
        <f aca="false">IF(V63="Revenue","Revenue",IF(V63="Cost of Goods Sold","COGS",IF(V63="Expenditures","Expense",IF(V63="Other Revenue","Other Revenue",IF(V63="Other Expenditures","Other Expense",W62)))))</f>
        <v/>
      </c>
      <c r="X63" s="36" t="str">
        <f aca="false">IF(OR(V63="Revenue",V63="Cost of Goods Sold",V63="Expenditures",V63="Other Revenue",V63="Other Expenditures"),W63,IF(AND(LEN(V63)&gt;2,MID(V63,2,1)=" ",ISNUMBER(VALUE(LEFT(V63,1)))),V63,X62))</f>
        <v/>
      </c>
      <c r="Y63" s="36" t="n">
        <f aca="false">IF(AND(V63&lt;&gt;"",ISNUMBER(T63),LEFT(V63,9)&lt;&gt;"Total for",V63&lt;&gt;"Gross Profit",V63&lt;&gt;"Net Operating Revenue",V63&lt;&gt;"Net Other Revenue",V63&lt;&gt;"Net Revenue"),1,0)</f>
        <v>0</v>
      </c>
      <c r="Z63" s="36" t="str">
        <f aca="false">IF(Y63=1,IF(AND(LEN(V63)&gt;7,ISNUMBER(VALUE(LEFT(V63,6))),MID(V63,7,1)=" "),LEFT(V63,6),V63),"")</f>
        <v/>
      </c>
      <c r="AE63" s="36" t="str">
        <f aca="false">TRIM(AB63)</f>
        <v/>
      </c>
      <c r="AF63" s="36" t="str">
        <f aca="false">IF(AE63="Revenue","Revenue",IF(AE63="Cost of Goods Sold","COGS",IF(AE63="Expenditures","Expense",IF(AE63="Other Revenue","Other Revenue",IF(AE63="Other Expenditures","Other Expense",AF62)))))</f>
        <v/>
      </c>
      <c r="AG63" s="36" t="str">
        <f aca="false">IF(OR(AE63="Revenue",AE63="Cost of Goods Sold",AE63="Expenditures",AE63="Other Revenue",AE63="Other Expenditures"),AF63,IF(AND(LEN(AE63)&gt;2,MID(AE63,2,1)=" ",ISNUMBER(VALUE(LEFT(AE63,1)))),AE63,AG62))</f>
        <v/>
      </c>
      <c r="AH63" s="36" t="n">
        <f aca="false">IF(AND(AE63&lt;&gt;"",ISNUMBER(AC63),LEFT(AE63,9)&lt;&gt;"Total for",AE63&lt;&gt;"Gross Profit",AE63&lt;&gt;"Net Operating Revenue",AE63&lt;&gt;"Net Other Revenue",AE63&lt;&gt;"Net Revenue"),1,0)</f>
        <v>0</v>
      </c>
      <c r="AI63" s="36" t="str">
        <f aca="false">IF(AH63=1,IF(AND(LEN(AE63)&gt;7,ISNUMBER(VALUE(LEFT(AE63,6))),MID(AE63,7,1)=" "),LEFT(AE63,6),AE63),"")</f>
        <v/>
      </c>
      <c r="AN63" s="36" t="str">
        <f aca="false">TRIM(AK63)</f>
        <v/>
      </c>
      <c r="AO63" s="36" t="str">
        <f aca="false">IF(AN63="Revenue","Revenue",IF(AN63="Cost of Goods Sold","COGS",IF(AN63="Expenditures","Expense",IF(AN63="Other Revenue","Other Revenue",IF(AN63="Other Expenditures","Other Expense",AO62)))))</f>
        <v/>
      </c>
      <c r="AP63" s="36" t="str">
        <f aca="false">IF(OR(AN63="Revenue",AN63="Cost of Goods Sold",AN63="Expenditures",AN63="Other Revenue",AN63="Other Expenditures"),AO63,IF(AND(LEN(AN63)&gt;2,MID(AN63,2,1)=" ",ISNUMBER(VALUE(LEFT(AN63,1)))),AN63,AP62))</f>
        <v/>
      </c>
      <c r="AQ63" s="36" t="n">
        <f aca="false">IF(AND(AN63&lt;&gt;"",ISNUMBER(AL63),LEFT(AN63,9)&lt;&gt;"Total for",AN63&lt;&gt;"Gross Profit",AN63&lt;&gt;"Net Operating Revenue",AN63&lt;&gt;"Net Other Revenue",AN63&lt;&gt;"Net Revenue"),1,0)</f>
        <v>0</v>
      </c>
      <c r="AR63" s="36" t="str">
        <f aca="false">IF(AQ63=1,IF(AND(LEN(AN63)&gt;7,ISNUMBER(VALUE(LEFT(AN63,6))),MID(AN63,7,1)=" "),LEFT(AN63,6),AN63),"")</f>
        <v/>
      </c>
    </row>
    <row r="64" customFormat="false" ht="15" hidden="false" customHeight="false" outlineLevel="0" collapsed="false">
      <c r="D64" s="36" t="str">
        <f aca="false">TRIM(A64)</f>
        <v/>
      </c>
      <c r="E64" s="36" t="str">
        <f aca="false">IF(D64="Revenue","Revenue",IF(D64="Cost of Goods Sold","COGS",IF(D64="Expenditures","Expense",IF(D64="Other Revenue","Other Revenue",IF(D64="Other Expenditures","Other Expense",E63)))))</f>
        <v/>
      </c>
      <c r="F64" s="36" t="str">
        <f aca="false">IF(OR(D64="Revenue",D64="Cost of Goods Sold",D64="Expenditures",D64="Other Revenue",D64="Other Expenditures"),E64,IF(AND(LEN(D64)&gt;2,MID(D64,2,1)=" ",ISNUMBER(VALUE(LEFT(D64,1)))),D64,F63))</f>
        <v/>
      </c>
      <c r="G64" s="36" t="n">
        <f aca="false">IF(AND(D64&lt;&gt;"",ISNUMBER(B64),LEFT(D64,9)&lt;&gt;"Total for",D64&lt;&gt;"Gross Profit",D64&lt;&gt;"Net Operating Revenue",D64&lt;&gt;"Net Other Revenue",D64&lt;&gt;"Net Revenue"),1,0)</f>
        <v>0</v>
      </c>
      <c r="H64" s="36" t="str">
        <f aca="false">IF(G64=1,IF(AND(LEN(D64)&gt;7,ISNUMBER(VALUE(LEFT(D64,6))),MID(D64,7,1)=" "),LEFT(D64,6),D64),"")</f>
        <v/>
      </c>
      <c r="M64" s="36" t="str">
        <f aca="false">TRIM(J64)</f>
        <v/>
      </c>
      <c r="N64" s="36" t="str">
        <f aca="false">IF(M64="Revenue","Revenue",IF(M64="Cost of Goods Sold","COGS",IF(M64="Expenditures","Expense",IF(M64="Other Revenue","Other Revenue",IF(M64="Other Expenditures","Other Expense",N63)))))</f>
        <v/>
      </c>
      <c r="O64" s="36" t="str">
        <f aca="false">IF(OR(M64="Revenue",M64="Cost of Goods Sold",M64="Expenditures",M64="Other Revenue",M64="Other Expenditures"),N64,IF(AND(LEN(M64)&gt;2,MID(M64,2,1)=" ",ISNUMBER(VALUE(LEFT(M64,1)))),M64,O63))</f>
        <v/>
      </c>
      <c r="P64" s="36" t="n">
        <f aca="false">IF(AND(M64&lt;&gt;"",ISNUMBER(K64),LEFT(M64,9)&lt;&gt;"Total for",M64&lt;&gt;"Gross Profit",M64&lt;&gt;"Net Operating Revenue",M64&lt;&gt;"Net Other Revenue",M64&lt;&gt;"Net Revenue"),1,0)</f>
        <v>0</v>
      </c>
      <c r="Q64" s="36" t="str">
        <f aca="false">IF(P64=1,IF(AND(LEN(M64)&gt;7,ISNUMBER(VALUE(LEFT(M64,6))),MID(M64,7,1)=" "),LEFT(M64,6),M64),"")</f>
        <v/>
      </c>
      <c r="V64" s="36" t="str">
        <f aca="false">TRIM(S64)</f>
        <v/>
      </c>
      <c r="W64" s="36" t="str">
        <f aca="false">IF(V64="Revenue","Revenue",IF(V64="Cost of Goods Sold","COGS",IF(V64="Expenditures","Expense",IF(V64="Other Revenue","Other Revenue",IF(V64="Other Expenditures","Other Expense",W63)))))</f>
        <v/>
      </c>
      <c r="X64" s="36" t="str">
        <f aca="false">IF(OR(V64="Revenue",V64="Cost of Goods Sold",V64="Expenditures",V64="Other Revenue",V64="Other Expenditures"),W64,IF(AND(LEN(V64)&gt;2,MID(V64,2,1)=" ",ISNUMBER(VALUE(LEFT(V64,1)))),V64,X63))</f>
        <v/>
      </c>
      <c r="Y64" s="36" t="n">
        <f aca="false">IF(AND(V64&lt;&gt;"",ISNUMBER(T64),LEFT(V64,9)&lt;&gt;"Total for",V64&lt;&gt;"Gross Profit",V64&lt;&gt;"Net Operating Revenue",V64&lt;&gt;"Net Other Revenue",V64&lt;&gt;"Net Revenue"),1,0)</f>
        <v>0</v>
      </c>
      <c r="Z64" s="36" t="str">
        <f aca="false">IF(Y64=1,IF(AND(LEN(V64)&gt;7,ISNUMBER(VALUE(LEFT(V64,6))),MID(V64,7,1)=" "),LEFT(V64,6),V64),"")</f>
        <v/>
      </c>
      <c r="AE64" s="36" t="str">
        <f aca="false">TRIM(AB64)</f>
        <v/>
      </c>
      <c r="AF64" s="36" t="str">
        <f aca="false">IF(AE64="Revenue","Revenue",IF(AE64="Cost of Goods Sold","COGS",IF(AE64="Expenditures","Expense",IF(AE64="Other Revenue","Other Revenue",IF(AE64="Other Expenditures","Other Expense",AF63)))))</f>
        <v/>
      </c>
      <c r="AG64" s="36" t="str">
        <f aca="false">IF(OR(AE64="Revenue",AE64="Cost of Goods Sold",AE64="Expenditures",AE64="Other Revenue",AE64="Other Expenditures"),AF64,IF(AND(LEN(AE64)&gt;2,MID(AE64,2,1)=" ",ISNUMBER(VALUE(LEFT(AE64,1)))),AE64,AG63))</f>
        <v/>
      </c>
      <c r="AH64" s="36" t="n">
        <f aca="false">IF(AND(AE64&lt;&gt;"",ISNUMBER(AC64),LEFT(AE64,9)&lt;&gt;"Total for",AE64&lt;&gt;"Gross Profit",AE64&lt;&gt;"Net Operating Revenue",AE64&lt;&gt;"Net Other Revenue",AE64&lt;&gt;"Net Revenue"),1,0)</f>
        <v>0</v>
      </c>
      <c r="AI64" s="36" t="str">
        <f aca="false">IF(AH64=1,IF(AND(LEN(AE64)&gt;7,ISNUMBER(VALUE(LEFT(AE64,6))),MID(AE64,7,1)=" "),LEFT(AE64,6),AE64),"")</f>
        <v/>
      </c>
      <c r="AN64" s="36" t="str">
        <f aca="false">TRIM(AK64)</f>
        <v/>
      </c>
      <c r="AO64" s="36" t="str">
        <f aca="false">IF(AN64="Revenue","Revenue",IF(AN64="Cost of Goods Sold","COGS",IF(AN64="Expenditures","Expense",IF(AN64="Other Revenue","Other Revenue",IF(AN64="Other Expenditures","Other Expense",AO63)))))</f>
        <v/>
      </c>
      <c r="AP64" s="36" t="str">
        <f aca="false">IF(OR(AN64="Revenue",AN64="Cost of Goods Sold",AN64="Expenditures",AN64="Other Revenue",AN64="Other Expenditures"),AO64,IF(AND(LEN(AN64)&gt;2,MID(AN64,2,1)=" ",ISNUMBER(VALUE(LEFT(AN64,1)))),AN64,AP63))</f>
        <v/>
      </c>
      <c r="AQ64" s="36" t="n">
        <f aca="false">IF(AND(AN64&lt;&gt;"",ISNUMBER(AL64),LEFT(AN64,9)&lt;&gt;"Total for",AN64&lt;&gt;"Gross Profit",AN64&lt;&gt;"Net Operating Revenue",AN64&lt;&gt;"Net Other Revenue",AN64&lt;&gt;"Net Revenue"),1,0)</f>
        <v>0</v>
      </c>
      <c r="AR64" s="36" t="str">
        <f aca="false">IF(AQ64=1,IF(AND(LEN(AN64)&gt;7,ISNUMBER(VALUE(LEFT(AN64,6))),MID(AN64,7,1)=" "),LEFT(AN64,6),AN64),"")</f>
        <v/>
      </c>
    </row>
    <row r="65" customFormat="false" ht="15" hidden="false" customHeight="false" outlineLevel="0" collapsed="false">
      <c r="D65" s="36" t="str">
        <f aca="false">TRIM(A65)</f>
        <v/>
      </c>
      <c r="E65" s="36" t="str">
        <f aca="false">IF(D65="Revenue","Revenue",IF(D65="Cost of Goods Sold","COGS",IF(D65="Expenditures","Expense",IF(D65="Other Revenue","Other Revenue",IF(D65="Other Expenditures","Other Expense",E64)))))</f>
        <v/>
      </c>
      <c r="F65" s="36" t="str">
        <f aca="false">IF(OR(D65="Revenue",D65="Cost of Goods Sold",D65="Expenditures",D65="Other Revenue",D65="Other Expenditures"),E65,IF(AND(LEN(D65)&gt;2,MID(D65,2,1)=" ",ISNUMBER(VALUE(LEFT(D65,1)))),D65,F64))</f>
        <v/>
      </c>
      <c r="G65" s="36" t="n">
        <f aca="false">IF(AND(D65&lt;&gt;"",ISNUMBER(B65),LEFT(D65,9)&lt;&gt;"Total for",D65&lt;&gt;"Gross Profit",D65&lt;&gt;"Net Operating Revenue",D65&lt;&gt;"Net Other Revenue",D65&lt;&gt;"Net Revenue"),1,0)</f>
        <v>0</v>
      </c>
      <c r="H65" s="36" t="str">
        <f aca="false">IF(G65=1,IF(AND(LEN(D65)&gt;7,ISNUMBER(VALUE(LEFT(D65,6))),MID(D65,7,1)=" "),LEFT(D65,6),D65),"")</f>
        <v/>
      </c>
      <c r="M65" s="36" t="str">
        <f aca="false">TRIM(J65)</f>
        <v/>
      </c>
      <c r="N65" s="36" t="str">
        <f aca="false">IF(M65="Revenue","Revenue",IF(M65="Cost of Goods Sold","COGS",IF(M65="Expenditures","Expense",IF(M65="Other Revenue","Other Revenue",IF(M65="Other Expenditures","Other Expense",N64)))))</f>
        <v/>
      </c>
      <c r="O65" s="36" t="str">
        <f aca="false">IF(OR(M65="Revenue",M65="Cost of Goods Sold",M65="Expenditures",M65="Other Revenue",M65="Other Expenditures"),N65,IF(AND(LEN(M65)&gt;2,MID(M65,2,1)=" ",ISNUMBER(VALUE(LEFT(M65,1)))),M65,O64))</f>
        <v/>
      </c>
      <c r="P65" s="36" t="n">
        <f aca="false">IF(AND(M65&lt;&gt;"",ISNUMBER(K65),LEFT(M65,9)&lt;&gt;"Total for",M65&lt;&gt;"Gross Profit",M65&lt;&gt;"Net Operating Revenue",M65&lt;&gt;"Net Other Revenue",M65&lt;&gt;"Net Revenue"),1,0)</f>
        <v>0</v>
      </c>
      <c r="Q65" s="36" t="str">
        <f aca="false">IF(P65=1,IF(AND(LEN(M65)&gt;7,ISNUMBER(VALUE(LEFT(M65,6))),MID(M65,7,1)=" "),LEFT(M65,6),M65),"")</f>
        <v/>
      </c>
      <c r="V65" s="36" t="str">
        <f aca="false">TRIM(S65)</f>
        <v/>
      </c>
      <c r="W65" s="36" t="str">
        <f aca="false">IF(V65="Revenue","Revenue",IF(V65="Cost of Goods Sold","COGS",IF(V65="Expenditures","Expense",IF(V65="Other Revenue","Other Revenue",IF(V65="Other Expenditures","Other Expense",W64)))))</f>
        <v/>
      </c>
      <c r="X65" s="36" t="str">
        <f aca="false">IF(OR(V65="Revenue",V65="Cost of Goods Sold",V65="Expenditures",V65="Other Revenue",V65="Other Expenditures"),W65,IF(AND(LEN(V65)&gt;2,MID(V65,2,1)=" ",ISNUMBER(VALUE(LEFT(V65,1)))),V65,X64))</f>
        <v/>
      </c>
      <c r="Y65" s="36" t="n">
        <f aca="false">IF(AND(V65&lt;&gt;"",ISNUMBER(T65),LEFT(V65,9)&lt;&gt;"Total for",V65&lt;&gt;"Gross Profit",V65&lt;&gt;"Net Operating Revenue",V65&lt;&gt;"Net Other Revenue",V65&lt;&gt;"Net Revenue"),1,0)</f>
        <v>0</v>
      </c>
      <c r="Z65" s="36" t="str">
        <f aca="false">IF(Y65=1,IF(AND(LEN(V65)&gt;7,ISNUMBER(VALUE(LEFT(V65,6))),MID(V65,7,1)=" "),LEFT(V65,6),V65),"")</f>
        <v/>
      </c>
      <c r="AE65" s="36" t="str">
        <f aca="false">TRIM(AB65)</f>
        <v/>
      </c>
      <c r="AF65" s="36" t="str">
        <f aca="false">IF(AE65="Revenue","Revenue",IF(AE65="Cost of Goods Sold","COGS",IF(AE65="Expenditures","Expense",IF(AE65="Other Revenue","Other Revenue",IF(AE65="Other Expenditures","Other Expense",AF64)))))</f>
        <v/>
      </c>
      <c r="AG65" s="36" t="str">
        <f aca="false">IF(OR(AE65="Revenue",AE65="Cost of Goods Sold",AE65="Expenditures",AE65="Other Revenue",AE65="Other Expenditures"),AF65,IF(AND(LEN(AE65)&gt;2,MID(AE65,2,1)=" ",ISNUMBER(VALUE(LEFT(AE65,1)))),AE65,AG64))</f>
        <v/>
      </c>
      <c r="AH65" s="36" t="n">
        <f aca="false">IF(AND(AE65&lt;&gt;"",ISNUMBER(AC65),LEFT(AE65,9)&lt;&gt;"Total for",AE65&lt;&gt;"Gross Profit",AE65&lt;&gt;"Net Operating Revenue",AE65&lt;&gt;"Net Other Revenue",AE65&lt;&gt;"Net Revenue"),1,0)</f>
        <v>0</v>
      </c>
      <c r="AI65" s="36" t="str">
        <f aca="false">IF(AH65=1,IF(AND(LEN(AE65)&gt;7,ISNUMBER(VALUE(LEFT(AE65,6))),MID(AE65,7,1)=" "),LEFT(AE65,6),AE65),"")</f>
        <v/>
      </c>
      <c r="AN65" s="36" t="str">
        <f aca="false">TRIM(AK65)</f>
        <v/>
      </c>
      <c r="AO65" s="36" t="str">
        <f aca="false">IF(AN65="Revenue","Revenue",IF(AN65="Cost of Goods Sold","COGS",IF(AN65="Expenditures","Expense",IF(AN65="Other Revenue","Other Revenue",IF(AN65="Other Expenditures","Other Expense",AO64)))))</f>
        <v/>
      </c>
      <c r="AP65" s="36" t="str">
        <f aca="false">IF(OR(AN65="Revenue",AN65="Cost of Goods Sold",AN65="Expenditures",AN65="Other Revenue",AN65="Other Expenditures"),AO65,IF(AND(LEN(AN65)&gt;2,MID(AN65,2,1)=" ",ISNUMBER(VALUE(LEFT(AN65,1)))),AN65,AP64))</f>
        <v/>
      </c>
      <c r="AQ65" s="36" t="n">
        <f aca="false">IF(AND(AN65&lt;&gt;"",ISNUMBER(AL65),LEFT(AN65,9)&lt;&gt;"Total for",AN65&lt;&gt;"Gross Profit",AN65&lt;&gt;"Net Operating Revenue",AN65&lt;&gt;"Net Other Revenue",AN65&lt;&gt;"Net Revenue"),1,0)</f>
        <v>0</v>
      </c>
      <c r="AR65" s="36" t="str">
        <f aca="false">IF(AQ65=1,IF(AND(LEN(AN65)&gt;7,ISNUMBER(VALUE(LEFT(AN65,6))),MID(AN65,7,1)=" "),LEFT(AN65,6),AN65),"")</f>
        <v/>
      </c>
    </row>
    <row r="66" customFormat="false" ht="15" hidden="false" customHeight="false" outlineLevel="0" collapsed="false">
      <c r="D66" s="36" t="str">
        <f aca="false">TRIM(A66)</f>
        <v/>
      </c>
      <c r="E66" s="36" t="str">
        <f aca="false">IF(D66="Revenue","Revenue",IF(D66="Cost of Goods Sold","COGS",IF(D66="Expenditures","Expense",IF(D66="Other Revenue","Other Revenue",IF(D66="Other Expenditures","Other Expense",E65)))))</f>
        <v/>
      </c>
      <c r="F66" s="36" t="str">
        <f aca="false">IF(OR(D66="Revenue",D66="Cost of Goods Sold",D66="Expenditures",D66="Other Revenue",D66="Other Expenditures"),E66,IF(AND(LEN(D66)&gt;2,MID(D66,2,1)=" ",ISNUMBER(VALUE(LEFT(D66,1)))),D66,F65))</f>
        <v/>
      </c>
      <c r="G66" s="36" t="n">
        <f aca="false">IF(AND(D66&lt;&gt;"",ISNUMBER(B66),LEFT(D66,9)&lt;&gt;"Total for",D66&lt;&gt;"Gross Profit",D66&lt;&gt;"Net Operating Revenue",D66&lt;&gt;"Net Other Revenue",D66&lt;&gt;"Net Revenue"),1,0)</f>
        <v>0</v>
      </c>
      <c r="H66" s="36" t="str">
        <f aca="false">IF(G66=1,IF(AND(LEN(D66)&gt;7,ISNUMBER(VALUE(LEFT(D66,6))),MID(D66,7,1)=" "),LEFT(D66,6),D66),"")</f>
        <v/>
      </c>
      <c r="M66" s="36" t="str">
        <f aca="false">TRIM(J66)</f>
        <v/>
      </c>
      <c r="N66" s="36" t="str">
        <f aca="false">IF(M66="Revenue","Revenue",IF(M66="Cost of Goods Sold","COGS",IF(M66="Expenditures","Expense",IF(M66="Other Revenue","Other Revenue",IF(M66="Other Expenditures","Other Expense",N65)))))</f>
        <v/>
      </c>
      <c r="O66" s="36" t="str">
        <f aca="false">IF(OR(M66="Revenue",M66="Cost of Goods Sold",M66="Expenditures",M66="Other Revenue",M66="Other Expenditures"),N66,IF(AND(LEN(M66)&gt;2,MID(M66,2,1)=" ",ISNUMBER(VALUE(LEFT(M66,1)))),M66,O65))</f>
        <v/>
      </c>
      <c r="P66" s="36" t="n">
        <f aca="false">IF(AND(M66&lt;&gt;"",ISNUMBER(K66),LEFT(M66,9)&lt;&gt;"Total for",M66&lt;&gt;"Gross Profit",M66&lt;&gt;"Net Operating Revenue",M66&lt;&gt;"Net Other Revenue",M66&lt;&gt;"Net Revenue"),1,0)</f>
        <v>0</v>
      </c>
      <c r="Q66" s="36" t="str">
        <f aca="false">IF(P66=1,IF(AND(LEN(M66)&gt;7,ISNUMBER(VALUE(LEFT(M66,6))),MID(M66,7,1)=" "),LEFT(M66,6),M66),"")</f>
        <v/>
      </c>
      <c r="V66" s="36" t="str">
        <f aca="false">TRIM(S66)</f>
        <v/>
      </c>
      <c r="W66" s="36" t="str">
        <f aca="false">IF(V66="Revenue","Revenue",IF(V66="Cost of Goods Sold","COGS",IF(V66="Expenditures","Expense",IF(V66="Other Revenue","Other Revenue",IF(V66="Other Expenditures","Other Expense",W65)))))</f>
        <v/>
      </c>
      <c r="X66" s="36" t="str">
        <f aca="false">IF(OR(V66="Revenue",V66="Cost of Goods Sold",V66="Expenditures",V66="Other Revenue",V66="Other Expenditures"),W66,IF(AND(LEN(V66)&gt;2,MID(V66,2,1)=" ",ISNUMBER(VALUE(LEFT(V66,1)))),V66,X65))</f>
        <v/>
      </c>
      <c r="Y66" s="36" t="n">
        <f aca="false">IF(AND(V66&lt;&gt;"",ISNUMBER(T66),LEFT(V66,9)&lt;&gt;"Total for",V66&lt;&gt;"Gross Profit",V66&lt;&gt;"Net Operating Revenue",V66&lt;&gt;"Net Other Revenue",V66&lt;&gt;"Net Revenue"),1,0)</f>
        <v>0</v>
      </c>
      <c r="Z66" s="36" t="str">
        <f aca="false">IF(Y66=1,IF(AND(LEN(V66)&gt;7,ISNUMBER(VALUE(LEFT(V66,6))),MID(V66,7,1)=" "),LEFT(V66,6),V66),"")</f>
        <v/>
      </c>
      <c r="AE66" s="36" t="str">
        <f aca="false">TRIM(AB66)</f>
        <v/>
      </c>
      <c r="AF66" s="36" t="str">
        <f aca="false">IF(AE66="Revenue","Revenue",IF(AE66="Cost of Goods Sold","COGS",IF(AE66="Expenditures","Expense",IF(AE66="Other Revenue","Other Revenue",IF(AE66="Other Expenditures","Other Expense",AF65)))))</f>
        <v/>
      </c>
      <c r="AG66" s="36" t="str">
        <f aca="false">IF(OR(AE66="Revenue",AE66="Cost of Goods Sold",AE66="Expenditures",AE66="Other Revenue",AE66="Other Expenditures"),AF66,IF(AND(LEN(AE66)&gt;2,MID(AE66,2,1)=" ",ISNUMBER(VALUE(LEFT(AE66,1)))),AE66,AG65))</f>
        <v/>
      </c>
      <c r="AH66" s="36" t="n">
        <f aca="false">IF(AND(AE66&lt;&gt;"",ISNUMBER(AC66),LEFT(AE66,9)&lt;&gt;"Total for",AE66&lt;&gt;"Gross Profit",AE66&lt;&gt;"Net Operating Revenue",AE66&lt;&gt;"Net Other Revenue",AE66&lt;&gt;"Net Revenue"),1,0)</f>
        <v>0</v>
      </c>
      <c r="AI66" s="36" t="str">
        <f aca="false">IF(AH66=1,IF(AND(LEN(AE66)&gt;7,ISNUMBER(VALUE(LEFT(AE66,6))),MID(AE66,7,1)=" "),LEFT(AE66,6),AE66),"")</f>
        <v/>
      </c>
      <c r="AN66" s="36" t="str">
        <f aca="false">TRIM(AK66)</f>
        <v/>
      </c>
      <c r="AO66" s="36" t="str">
        <f aca="false">IF(AN66="Revenue","Revenue",IF(AN66="Cost of Goods Sold","COGS",IF(AN66="Expenditures","Expense",IF(AN66="Other Revenue","Other Revenue",IF(AN66="Other Expenditures","Other Expense",AO65)))))</f>
        <v/>
      </c>
      <c r="AP66" s="36" t="str">
        <f aca="false">IF(OR(AN66="Revenue",AN66="Cost of Goods Sold",AN66="Expenditures",AN66="Other Revenue",AN66="Other Expenditures"),AO66,IF(AND(LEN(AN66)&gt;2,MID(AN66,2,1)=" ",ISNUMBER(VALUE(LEFT(AN66,1)))),AN66,AP65))</f>
        <v/>
      </c>
      <c r="AQ66" s="36" t="n">
        <f aca="false">IF(AND(AN66&lt;&gt;"",ISNUMBER(AL66),LEFT(AN66,9)&lt;&gt;"Total for",AN66&lt;&gt;"Gross Profit",AN66&lt;&gt;"Net Operating Revenue",AN66&lt;&gt;"Net Other Revenue",AN66&lt;&gt;"Net Revenue"),1,0)</f>
        <v>0</v>
      </c>
      <c r="AR66" s="36" t="str">
        <f aca="false">IF(AQ66=1,IF(AND(LEN(AN66)&gt;7,ISNUMBER(VALUE(LEFT(AN66,6))),MID(AN66,7,1)=" "),LEFT(AN66,6),AN66),"")</f>
        <v/>
      </c>
    </row>
    <row r="67" customFormat="false" ht="15" hidden="false" customHeight="false" outlineLevel="0" collapsed="false">
      <c r="D67" s="36" t="str">
        <f aca="false">TRIM(A67)</f>
        <v/>
      </c>
      <c r="E67" s="36" t="str">
        <f aca="false">IF(D67="Revenue","Revenue",IF(D67="Cost of Goods Sold","COGS",IF(D67="Expenditures","Expense",IF(D67="Other Revenue","Other Revenue",IF(D67="Other Expenditures","Other Expense",E66)))))</f>
        <v/>
      </c>
      <c r="F67" s="36" t="str">
        <f aca="false">IF(OR(D67="Revenue",D67="Cost of Goods Sold",D67="Expenditures",D67="Other Revenue",D67="Other Expenditures"),E67,IF(AND(LEN(D67)&gt;2,MID(D67,2,1)=" ",ISNUMBER(VALUE(LEFT(D67,1)))),D67,F66))</f>
        <v/>
      </c>
      <c r="G67" s="36" t="n">
        <f aca="false">IF(AND(D67&lt;&gt;"",ISNUMBER(B67),LEFT(D67,9)&lt;&gt;"Total for",D67&lt;&gt;"Gross Profit",D67&lt;&gt;"Net Operating Revenue",D67&lt;&gt;"Net Other Revenue",D67&lt;&gt;"Net Revenue"),1,0)</f>
        <v>0</v>
      </c>
      <c r="H67" s="36" t="str">
        <f aca="false">IF(G67=1,IF(AND(LEN(D67)&gt;7,ISNUMBER(VALUE(LEFT(D67,6))),MID(D67,7,1)=" "),LEFT(D67,6),D67),"")</f>
        <v/>
      </c>
      <c r="M67" s="36" t="str">
        <f aca="false">TRIM(J67)</f>
        <v/>
      </c>
      <c r="N67" s="36" t="str">
        <f aca="false">IF(M67="Revenue","Revenue",IF(M67="Cost of Goods Sold","COGS",IF(M67="Expenditures","Expense",IF(M67="Other Revenue","Other Revenue",IF(M67="Other Expenditures","Other Expense",N66)))))</f>
        <v/>
      </c>
      <c r="O67" s="36" t="str">
        <f aca="false">IF(OR(M67="Revenue",M67="Cost of Goods Sold",M67="Expenditures",M67="Other Revenue",M67="Other Expenditures"),N67,IF(AND(LEN(M67)&gt;2,MID(M67,2,1)=" ",ISNUMBER(VALUE(LEFT(M67,1)))),M67,O66))</f>
        <v/>
      </c>
      <c r="P67" s="36" t="n">
        <f aca="false">IF(AND(M67&lt;&gt;"",ISNUMBER(K67),LEFT(M67,9)&lt;&gt;"Total for",M67&lt;&gt;"Gross Profit",M67&lt;&gt;"Net Operating Revenue",M67&lt;&gt;"Net Other Revenue",M67&lt;&gt;"Net Revenue"),1,0)</f>
        <v>0</v>
      </c>
      <c r="Q67" s="36" t="str">
        <f aca="false">IF(P67=1,IF(AND(LEN(M67)&gt;7,ISNUMBER(VALUE(LEFT(M67,6))),MID(M67,7,1)=" "),LEFT(M67,6),M67),"")</f>
        <v/>
      </c>
      <c r="V67" s="36" t="str">
        <f aca="false">TRIM(S67)</f>
        <v/>
      </c>
      <c r="W67" s="36" t="str">
        <f aca="false">IF(V67="Revenue","Revenue",IF(V67="Cost of Goods Sold","COGS",IF(V67="Expenditures","Expense",IF(V67="Other Revenue","Other Revenue",IF(V67="Other Expenditures","Other Expense",W66)))))</f>
        <v/>
      </c>
      <c r="X67" s="36" t="str">
        <f aca="false">IF(OR(V67="Revenue",V67="Cost of Goods Sold",V67="Expenditures",V67="Other Revenue",V67="Other Expenditures"),W67,IF(AND(LEN(V67)&gt;2,MID(V67,2,1)=" ",ISNUMBER(VALUE(LEFT(V67,1)))),V67,X66))</f>
        <v/>
      </c>
      <c r="Y67" s="36" t="n">
        <f aca="false">IF(AND(V67&lt;&gt;"",ISNUMBER(T67),LEFT(V67,9)&lt;&gt;"Total for",V67&lt;&gt;"Gross Profit",V67&lt;&gt;"Net Operating Revenue",V67&lt;&gt;"Net Other Revenue",V67&lt;&gt;"Net Revenue"),1,0)</f>
        <v>0</v>
      </c>
      <c r="Z67" s="36" t="str">
        <f aca="false">IF(Y67=1,IF(AND(LEN(V67)&gt;7,ISNUMBER(VALUE(LEFT(V67,6))),MID(V67,7,1)=" "),LEFT(V67,6),V67),"")</f>
        <v/>
      </c>
      <c r="AE67" s="36" t="str">
        <f aca="false">TRIM(AB67)</f>
        <v/>
      </c>
      <c r="AF67" s="36" t="str">
        <f aca="false">IF(AE67="Revenue","Revenue",IF(AE67="Cost of Goods Sold","COGS",IF(AE67="Expenditures","Expense",IF(AE67="Other Revenue","Other Revenue",IF(AE67="Other Expenditures","Other Expense",AF66)))))</f>
        <v/>
      </c>
      <c r="AG67" s="36" t="str">
        <f aca="false">IF(OR(AE67="Revenue",AE67="Cost of Goods Sold",AE67="Expenditures",AE67="Other Revenue",AE67="Other Expenditures"),AF67,IF(AND(LEN(AE67)&gt;2,MID(AE67,2,1)=" ",ISNUMBER(VALUE(LEFT(AE67,1)))),AE67,AG66))</f>
        <v/>
      </c>
      <c r="AH67" s="36" t="n">
        <f aca="false">IF(AND(AE67&lt;&gt;"",ISNUMBER(AC67),LEFT(AE67,9)&lt;&gt;"Total for",AE67&lt;&gt;"Gross Profit",AE67&lt;&gt;"Net Operating Revenue",AE67&lt;&gt;"Net Other Revenue",AE67&lt;&gt;"Net Revenue"),1,0)</f>
        <v>0</v>
      </c>
      <c r="AI67" s="36" t="str">
        <f aca="false">IF(AH67=1,IF(AND(LEN(AE67)&gt;7,ISNUMBER(VALUE(LEFT(AE67,6))),MID(AE67,7,1)=" "),LEFT(AE67,6),AE67),"")</f>
        <v/>
      </c>
      <c r="AN67" s="36" t="str">
        <f aca="false">TRIM(AK67)</f>
        <v/>
      </c>
      <c r="AO67" s="36" t="str">
        <f aca="false">IF(AN67="Revenue","Revenue",IF(AN67="Cost of Goods Sold","COGS",IF(AN67="Expenditures","Expense",IF(AN67="Other Revenue","Other Revenue",IF(AN67="Other Expenditures","Other Expense",AO66)))))</f>
        <v/>
      </c>
      <c r="AP67" s="36" t="str">
        <f aca="false">IF(OR(AN67="Revenue",AN67="Cost of Goods Sold",AN67="Expenditures",AN67="Other Revenue",AN67="Other Expenditures"),AO67,IF(AND(LEN(AN67)&gt;2,MID(AN67,2,1)=" ",ISNUMBER(VALUE(LEFT(AN67,1)))),AN67,AP66))</f>
        <v/>
      </c>
      <c r="AQ67" s="36" t="n">
        <f aca="false">IF(AND(AN67&lt;&gt;"",ISNUMBER(AL67),LEFT(AN67,9)&lt;&gt;"Total for",AN67&lt;&gt;"Gross Profit",AN67&lt;&gt;"Net Operating Revenue",AN67&lt;&gt;"Net Other Revenue",AN67&lt;&gt;"Net Revenue"),1,0)</f>
        <v>0</v>
      </c>
      <c r="AR67" s="36" t="str">
        <f aca="false">IF(AQ67=1,IF(AND(LEN(AN67)&gt;7,ISNUMBER(VALUE(LEFT(AN67,6))),MID(AN67,7,1)=" "),LEFT(AN67,6),AN67),"")</f>
        <v/>
      </c>
    </row>
    <row r="68" customFormat="false" ht="15" hidden="false" customHeight="false" outlineLevel="0" collapsed="false">
      <c r="D68" s="36" t="str">
        <f aca="false">TRIM(A68)</f>
        <v/>
      </c>
      <c r="E68" s="36" t="str">
        <f aca="false">IF(D68="Revenue","Revenue",IF(D68="Cost of Goods Sold","COGS",IF(D68="Expenditures","Expense",IF(D68="Other Revenue","Other Revenue",IF(D68="Other Expenditures","Other Expense",E67)))))</f>
        <v/>
      </c>
      <c r="F68" s="36" t="str">
        <f aca="false">IF(OR(D68="Revenue",D68="Cost of Goods Sold",D68="Expenditures",D68="Other Revenue",D68="Other Expenditures"),E68,IF(AND(LEN(D68)&gt;2,MID(D68,2,1)=" ",ISNUMBER(VALUE(LEFT(D68,1)))),D68,F67))</f>
        <v/>
      </c>
      <c r="G68" s="36" t="n">
        <f aca="false">IF(AND(D68&lt;&gt;"",ISNUMBER(B68),LEFT(D68,9)&lt;&gt;"Total for",D68&lt;&gt;"Gross Profit",D68&lt;&gt;"Net Operating Revenue",D68&lt;&gt;"Net Other Revenue",D68&lt;&gt;"Net Revenue"),1,0)</f>
        <v>0</v>
      </c>
      <c r="H68" s="36" t="str">
        <f aca="false">IF(G68=1,IF(AND(LEN(D68)&gt;7,ISNUMBER(VALUE(LEFT(D68,6))),MID(D68,7,1)=" "),LEFT(D68,6),D68),"")</f>
        <v/>
      </c>
      <c r="M68" s="36" t="str">
        <f aca="false">TRIM(J68)</f>
        <v/>
      </c>
      <c r="N68" s="36" t="str">
        <f aca="false">IF(M68="Revenue","Revenue",IF(M68="Cost of Goods Sold","COGS",IF(M68="Expenditures","Expense",IF(M68="Other Revenue","Other Revenue",IF(M68="Other Expenditures","Other Expense",N67)))))</f>
        <v/>
      </c>
      <c r="O68" s="36" t="str">
        <f aca="false">IF(OR(M68="Revenue",M68="Cost of Goods Sold",M68="Expenditures",M68="Other Revenue",M68="Other Expenditures"),N68,IF(AND(LEN(M68)&gt;2,MID(M68,2,1)=" ",ISNUMBER(VALUE(LEFT(M68,1)))),M68,O67))</f>
        <v/>
      </c>
      <c r="P68" s="36" t="n">
        <f aca="false">IF(AND(M68&lt;&gt;"",ISNUMBER(K68),LEFT(M68,9)&lt;&gt;"Total for",M68&lt;&gt;"Gross Profit",M68&lt;&gt;"Net Operating Revenue",M68&lt;&gt;"Net Other Revenue",M68&lt;&gt;"Net Revenue"),1,0)</f>
        <v>0</v>
      </c>
      <c r="Q68" s="36" t="str">
        <f aca="false">IF(P68=1,IF(AND(LEN(M68)&gt;7,ISNUMBER(VALUE(LEFT(M68,6))),MID(M68,7,1)=" "),LEFT(M68,6),M68),"")</f>
        <v/>
      </c>
      <c r="V68" s="36" t="str">
        <f aca="false">TRIM(S68)</f>
        <v/>
      </c>
      <c r="W68" s="36" t="str">
        <f aca="false">IF(V68="Revenue","Revenue",IF(V68="Cost of Goods Sold","COGS",IF(V68="Expenditures","Expense",IF(V68="Other Revenue","Other Revenue",IF(V68="Other Expenditures","Other Expense",W67)))))</f>
        <v/>
      </c>
      <c r="X68" s="36" t="str">
        <f aca="false">IF(OR(V68="Revenue",V68="Cost of Goods Sold",V68="Expenditures",V68="Other Revenue",V68="Other Expenditures"),W68,IF(AND(LEN(V68)&gt;2,MID(V68,2,1)=" ",ISNUMBER(VALUE(LEFT(V68,1)))),V68,X67))</f>
        <v/>
      </c>
      <c r="Y68" s="36" t="n">
        <f aca="false">IF(AND(V68&lt;&gt;"",ISNUMBER(T68),LEFT(V68,9)&lt;&gt;"Total for",V68&lt;&gt;"Gross Profit",V68&lt;&gt;"Net Operating Revenue",V68&lt;&gt;"Net Other Revenue",V68&lt;&gt;"Net Revenue"),1,0)</f>
        <v>0</v>
      </c>
      <c r="Z68" s="36" t="str">
        <f aca="false">IF(Y68=1,IF(AND(LEN(V68)&gt;7,ISNUMBER(VALUE(LEFT(V68,6))),MID(V68,7,1)=" "),LEFT(V68,6),V68),"")</f>
        <v/>
      </c>
      <c r="AE68" s="36" t="str">
        <f aca="false">TRIM(AB68)</f>
        <v/>
      </c>
      <c r="AF68" s="36" t="str">
        <f aca="false">IF(AE68="Revenue","Revenue",IF(AE68="Cost of Goods Sold","COGS",IF(AE68="Expenditures","Expense",IF(AE68="Other Revenue","Other Revenue",IF(AE68="Other Expenditures","Other Expense",AF67)))))</f>
        <v/>
      </c>
      <c r="AG68" s="36" t="str">
        <f aca="false">IF(OR(AE68="Revenue",AE68="Cost of Goods Sold",AE68="Expenditures",AE68="Other Revenue",AE68="Other Expenditures"),AF68,IF(AND(LEN(AE68)&gt;2,MID(AE68,2,1)=" ",ISNUMBER(VALUE(LEFT(AE68,1)))),AE68,AG67))</f>
        <v/>
      </c>
      <c r="AH68" s="36" t="n">
        <f aca="false">IF(AND(AE68&lt;&gt;"",ISNUMBER(AC68),LEFT(AE68,9)&lt;&gt;"Total for",AE68&lt;&gt;"Gross Profit",AE68&lt;&gt;"Net Operating Revenue",AE68&lt;&gt;"Net Other Revenue",AE68&lt;&gt;"Net Revenue"),1,0)</f>
        <v>0</v>
      </c>
      <c r="AI68" s="36" t="str">
        <f aca="false">IF(AH68=1,IF(AND(LEN(AE68)&gt;7,ISNUMBER(VALUE(LEFT(AE68,6))),MID(AE68,7,1)=" "),LEFT(AE68,6),AE68),"")</f>
        <v/>
      </c>
      <c r="AN68" s="36" t="str">
        <f aca="false">TRIM(AK68)</f>
        <v/>
      </c>
      <c r="AO68" s="36" t="str">
        <f aca="false">IF(AN68="Revenue","Revenue",IF(AN68="Cost of Goods Sold","COGS",IF(AN68="Expenditures","Expense",IF(AN68="Other Revenue","Other Revenue",IF(AN68="Other Expenditures","Other Expense",AO67)))))</f>
        <v/>
      </c>
      <c r="AP68" s="36" t="str">
        <f aca="false">IF(OR(AN68="Revenue",AN68="Cost of Goods Sold",AN68="Expenditures",AN68="Other Revenue",AN68="Other Expenditures"),AO68,IF(AND(LEN(AN68)&gt;2,MID(AN68,2,1)=" ",ISNUMBER(VALUE(LEFT(AN68,1)))),AN68,AP67))</f>
        <v/>
      </c>
      <c r="AQ68" s="36" t="n">
        <f aca="false">IF(AND(AN68&lt;&gt;"",ISNUMBER(AL68),LEFT(AN68,9)&lt;&gt;"Total for",AN68&lt;&gt;"Gross Profit",AN68&lt;&gt;"Net Operating Revenue",AN68&lt;&gt;"Net Other Revenue",AN68&lt;&gt;"Net Revenue"),1,0)</f>
        <v>0</v>
      </c>
      <c r="AR68" s="36" t="str">
        <f aca="false">IF(AQ68=1,IF(AND(LEN(AN68)&gt;7,ISNUMBER(VALUE(LEFT(AN68,6))),MID(AN68,7,1)=" "),LEFT(AN68,6),AN68),"")</f>
        <v/>
      </c>
    </row>
    <row r="69" customFormat="false" ht="15" hidden="false" customHeight="false" outlineLevel="0" collapsed="false">
      <c r="D69" s="36" t="str">
        <f aca="false">TRIM(A69)</f>
        <v/>
      </c>
      <c r="E69" s="36" t="str">
        <f aca="false">IF(D69="Revenue","Revenue",IF(D69="Cost of Goods Sold","COGS",IF(D69="Expenditures","Expense",IF(D69="Other Revenue","Other Revenue",IF(D69="Other Expenditures","Other Expense",E68)))))</f>
        <v/>
      </c>
      <c r="F69" s="36" t="str">
        <f aca="false">IF(OR(D69="Revenue",D69="Cost of Goods Sold",D69="Expenditures",D69="Other Revenue",D69="Other Expenditures"),E69,IF(AND(LEN(D69)&gt;2,MID(D69,2,1)=" ",ISNUMBER(VALUE(LEFT(D69,1)))),D69,F68))</f>
        <v/>
      </c>
      <c r="G69" s="36" t="n">
        <f aca="false">IF(AND(D69&lt;&gt;"",ISNUMBER(B69),LEFT(D69,9)&lt;&gt;"Total for",D69&lt;&gt;"Gross Profit",D69&lt;&gt;"Net Operating Revenue",D69&lt;&gt;"Net Other Revenue",D69&lt;&gt;"Net Revenue"),1,0)</f>
        <v>0</v>
      </c>
      <c r="H69" s="36" t="str">
        <f aca="false">IF(G69=1,IF(AND(LEN(D69)&gt;7,ISNUMBER(VALUE(LEFT(D69,6))),MID(D69,7,1)=" "),LEFT(D69,6),D69),"")</f>
        <v/>
      </c>
      <c r="M69" s="36" t="str">
        <f aca="false">TRIM(J69)</f>
        <v/>
      </c>
      <c r="N69" s="36" t="str">
        <f aca="false">IF(M69="Revenue","Revenue",IF(M69="Cost of Goods Sold","COGS",IF(M69="Expenditures","Expense",IF(M69="Other Revenue","Other Revenue",IF(M69="Other Expenditures","Other Expense",N68)))))</f>
        <v/>
      </c>
      <c r="O69" s="36" t="str">
        <f aca="false">IF(OR(M69="Revenue",M69="Cost of Goods Sold",M69="Expenditures",M69="Other Revenue",M69="Other Expenditures"),N69,IF(AND(LEN(M69)&gt;2,MID(M69,2,1)=" ",ISNUMBER(VALUE(LEFT(M69,1)))),M69,O68))</f>
        <v/>
      </c>
      <c r="P69" s="36" t="n">
        <f aca="false">IF(AND(M69&lt;&gt;"",ISNUMBER(K69),LEFT(M69,9)&lt;&gt;"Total for",M69&lt;&gt;"Gross Profit",M69&lt;&gt;"Net Operating Revenue",M69&lt;&gt;"Net Other Revenue",M69&lt;&gt;"Net Revenue"),1,0)</f>
        <v>0</v>
      </c>
      <c r="Q69" s="36" t="str">
        <f aca="false">IF(P69=1,IF(AND(LEN(M69)&gt;7,ISNUMBER(VALUE(LEFT(M69,6))),MID(M69,7,1)=" "),LEFT(M69,6),M69),"")</f>
        <v/>
      </c>
      <c r="V69" s="36" t="str">
        <f aca="false">TRIM(S69)</f>
        <v/>
      </c>
      <c r="W69" s="36" t="str">
        <f aca="false">IF(V69="Revenue","Revenue",IF(V69="Cost of Goods Sold","COGS",IF(V69="Expenditures","Expense",IF(V69="Other Revenue","Other Revenue",IF(V69="Other Expenditures","Other Expense",W68)))))</f>
        <v/>
      </c>
      <c r="X69" s="36" t="str">
        <f aca="false">IF(OR(V69="Revenue",V69="Cost of Goods Sold",V69="Expenditures",V69="Other Revenue",V69="Other Expenditures"),W69,IF(AND(LEN(V69)&gt;2,MID(V69,2,1)=" ",ISNUMBER(VALUE(LEFT(V69,1)))),V69,X68))</f>
        <v/>
      </c>
      <c r="Y69" s="36" t="n">
        <f aca="false">IF(AND(V69&lt;&gt;"",ISNUMBER(T69),LEFT(V69,9)&lt;&gt;"Total for",V69&lt;&gt;"Gross Profit",V69&lt;&gt;"Net Operating Revenue",V69&lt;&gt;"Net Other Revenue",V69&lt;&gt;"Net Revenue"),1,0)</f>
        <v>0</v>
      </c>
      <c r="Z69" s="36" t="str">
        <f aca="false">IF(Y69=1,IF(AND(LEN(V69)&gt;7,ISNUMBER(VALUE(LEFT(V69,6))),MID(V69,7,1)=" "),LEFT(V69,6),V69),"")</f>
        <v/>
      </c>
      <c r="AE69" s="36" t="str">
        <f aca="false">TRIM(AB69)</f>
        <v/>
      </c>
      <c r="AF69" s="36" t="str">
        <f aca="false">IF(AE69="Revenue","Revenue",IF(AE69="Cost of Goods Sold","COGS",IF(AE69="Expenditures","Expense",IF(AE69="Other Revenue","Other Revenue",IF(AE69="Other Expenditures","Other Expense",AF68)))))</f>
        <v/>
      </c>
      <c r="AG69" s="36" t="str">
        <f aca="false">IF(OR(AE69="Revenue",AE69="Cost of Goods Sold",AE69="Expenditures",AE69="Other Revenue",AE69="Other Expenditures"),AF69,IF(AND(LEN(AE69)&gt;2,MID(AE69,2,1)=" ",ISNUMBER(VALUE(LEFT(AE69,1)))),AE69,AG68))</f>
        <v/>
      </c>
      <c r="AH69" s="36" t="n">
        <f aca="false">IF(AND(AE69&lt;&gt;"",ISNUMBER(AC69),LEFT(AE69,9)&lt;&gt;"Total for",AE69&lt;&gt;"Gross Profit",AE69&lt;&gt;"Net Operating Revenue",AE69&lt;&gt;"Net Other Revenue",AE69&lt;&gt;"Net Revenue"),1,0)</f>
        <v>0</v>
      </c>
      <c r="AI69" s="36" t="str">
        <f aca="false">IF(AH69=1,IF(AND(LEN(AE69)&gt;7,ISNUMBER(VALUE(LEFT(AE69,6))),MID(AE69,7,1)=" "),LEFT(AE69,6),AE69),"")</f>
        <v/>
      </c>
      <c r="AN69" s="36" t="str">
        <f aca="false">TRIM(AK69)</f>
        <v/>
      </c>
      <c r="AO69" s="36" t="str">
        <f aca="false">IF(AN69="Revenue","Revenue",IF(AN69="Cost of Goods Sold","COGS",IF(AN69="Expenditures","Expense",IF(AN69="Other Revenue","Other Revenue",IF(AN69="Other Expenditures","Other Expense",AO68)))))</f>
        <v/>
      </c>
      <c r="AP69" s="36" t="str">
        <f aca="false">IF(OR(AN69="Revenue",AN69="Cost of Goods Sold",AN69="Expenditures",AN69="Other Revenue",AN69="Other Expenditures"),AO69,IF(AND(LEN(AN69)&gt;2,MID(AN69,2,1)=" ",ISNUMBER(VALUE(LEFT(AN69,1)))),AN69,AP68))</f>
        <v/>
      </c>
      <c r="AQ69" s="36" t="n">
        <f aca="false">IF(AND(AN69&lt;&gt;"",ISNUMBER(AL69),LEFT(AN69,9)&lt;&gt;"Total for",AN69&lt;&gt;"Gross Profit",AN69&lt;&gt;"Net Operating Revenue",AN69&lt;&gt;"Net Other Revenue",AN69&lt;&gt;"Net Revenue"),1,0)</f>
        <v>0</v>
      </c>
      <c r="AR69" s="36" t="str">
        <f aca="false">IF(AQ69=1,IF(AND(LEN(AN69)&gt;7,ISNUMBER(VALUE(LEFT(AN69,6))),MID(AN69,7,1)=" "),LEFT(AN69,6),AN69),"")</f>
        <v/>
      </c>
    </row>
    <row r="70" customFormat="false" ht="15" hidden="false" customHeight="false" outlineLevel="0" collapsed="false">
      <c r="D70" s="36" t="str">
        <f aca="false">TRIM(A70)</f>
        <v/>
      </c>
      <c r="E70" s="36" t="str">
        <f aca="false">IF(D70="Revenue","Revenue",IF(D70="Cost of Goods Sold","COGS",IF(D70="Expenditures","Expense",IF(D70="Other Revenue","Other Revenue",IF(D70="Other Expenditures","Other Expense",E69)))))</f>
        <v/>
      </c>
      <c r="F70" s="36" t="str">
        <f aca="false">IF(OR(D70="Revenue",D70="Cost of Goods Sold",D70="Expenditures",D70="Other Revenue",D70="Other Expenditures"),E70,IF(AND(LEN(D70)&gt;2,MID(D70,2,1)=" ",ISNUMBER(VALUE(LEFT(D70,1)))),D70,F69))</f>
        <v/>
      </c>
      <c r="G70" s="36" t="n">
        <f aca="false">IF(AND(D70&lt;&gt;"",ISNUMBER(B70),LEFT(D70,9)&lt;&gt;"Total for",D70&lt;&gt;"Gross Profit",D70&lt;&gt;"Net Operating Revenue",D70&lt;&gt;"Net Other Revenue",D70&lt;&gt;"Net Revenue"),1,0)</f>
        <v>0</v>
      </c>
      <c r="H70" s="36" t="str">
        <f aca="false">IF(G70=1,IF(AND(LEN(D70)&gt;7,ISNUMBER(VALUE(LEFT(D70,6))),MID(D70,7,1)=" "),LEFT(D70,6),D70),"")</f>
        <v/>
      </c>
      <c r="M70" s="36" t="str">
        <f aca="false">TRIM(J70)</f>
        <v/>
      </c>
      <c r="N70" s="36" t="str">
        <f aca="false">IF(M70="Revenue","Revenue",IF(M70="Cost of Goods Sold","COGS",IF(M70="Expenditures","Expense",IF(M70="Other Revenue","Other Revenue",IF(M70="Other Expenditures","Other Expense",N69)))))</f>
        <v/>
      </c>
      <c r="O70" s="36" t="str">
        <f aca="false">IF(OR(M70="Revenue",M70="Cost of Goods Sold",M70="Expenditures",M70="Other Revenue",M70="Other Expenditures"),N70,IF(AND(LEN(M70)&gt;2,MID(M70,2,1)=" ",ISNUMBER(VALUE(LEFT(M70,1)))),M70,O69))</f>
        <v/>
      </c>
      <c r="P70" s="36" t="n">
        <f aca="false">IF(AND(M70&lt;&gt;"",ISNUMBER(K70),LEFT(M70,9)&lt;&gt;"Total for",M70&lt;&gt;"Gross Profit",M70&lt;&gt;"Net Operating Revenue",M70&lt;&gt;"Net Other Revenue",M70&lt;&gt;"Net Revenue"),1,0)</f>
        <v>0</v>
      </c>
      <c r="Q70" s="36" t="str">
        <f aca="false">IF(P70=1,IF(AND(LEN(M70)&gt;7,ISNUMBER(VALUE(LEFT(M70,6))),MID(M70,7,1)=" "),LEFT(M70,6),M70),"")</f>
        <v/>
      </c>
      <c r="V70" s="36" t="str">
        <f aca="false">TRIM(S70)</f>
        <v/>
      </c>
      <c r="W70" s="36" t="str">
        <f aca="false">IF(V70="Revenue","Revenue",IF(V70="Cost of Goods Sold","COGS",IF(V70="Expenditures","Expense",IF(V70="Other Revenue","Other Revenue",IF(V70="Other Expenditures","Other Expense",W69)))))</f>
        <v/>
      </c>
      <c r="X70" s="36" t="str">
        <f aca="false">IF(OR(V70="Revenue",V70="Cost of Goods Sold",V70="Expenditures",V70="Other Revenue",V70="Other Expenditures"),W70,IF(AND(LEN(V70)&gt;2,MID(V70,2,1)=" ",ISNUMBER(VALUE(LEFT(V70,1)))),V70,X69))</f>
        <v/>
      </c>
      <c r="Y70" s="36" t="n">
        <f aca="false">IF(AND(V70&lt;&gt;"",ISNUMBER(T70),LEFT(V70,9)&lt;&gt;"Total for",V70&lt;&gt;"Gross Profit",V70&lt;&gt;"Net Operating Revenue",V70&lt;&gt;"Net Other Revenue",V70&lt;&gt;"Net Revenue"),1,0)</f>
        <v>0</v>
      </c>
      <c r="Z70" s="36" t="str">
        <f aca="false">IF(Y70=1,IF(AND(LEN(V70)&gt;7,ISNUMBER(VALUE(LEFT(V70,6))),MID(V70,7,1)=" "),LEFT(V70,6),V70),"")</f>
        <v/>
      </c>
      <c r="AE70" s="36" t="str">
        <f aca="false">TRIM(AB70)</f>
        <v/>
      </c>
      <c r="AF70" s="36" t="str">
        <f aca="false">IF(AE70="Revenue","Revenue",IF(AE70="Cost of Goods Sold","COGS",IF(AE70="Expenditures","Expense",IF(AE70="Other Revenue","Other Revenue",IF(AE70="Other Expenditures","Other Expense",AF69)))))</f>
        <v/>
      </c>
      <c r="AG70" s="36" t="str">
        <f aca="false">IF(OR(AE70="Revenue",AE70="Cost of Goods Sold",AE70="Expenditures",AE70="Other Revenue",AE70="Other Expenditures"),AF70,IF(AND(LEN(AE70)&gt;2,MID(AE70,2,1)=" ",ISNUMBER(VALUE(LEFT(AE70,1)))),AE70,AG69))</f>
        <v/>
      </c>
      <c r="AH70" s="36" t="n">
        <f aca="false">IF(AND(AE70&lt;&gt;"",ISNUMBER(AC70),LEFT(AE70,9)&lt;&gt;"Total for",AE70&lt;&gt;"Gross Profit",AE70&lt;&gt;"Net Operating Revenue",AE70&lt;&gt;"Net Other Revenue",AE70&lt;&gt;"Net Revenue"),1,0)</f>
        <v>0</v>
      </c>
      <c r="AI70" s="36" t="str">
        <f aca="false">IF(AH70=1,IF(AND(LEN(AE70)&gt;7,ISNUMBER(VALUE(LEFT(AE70,6))),MID(AE70,7,1)=" "),LEFT(AE70,6),AE70),"")</f>
        <v/>
      </c>
      <c r="AN70" s="36" t="str">
        <f aca="false">TRIM(AK70)</f>
        <v/>
      </c>
      <c r="AO70" s="36" t="str">
        <f aca="false">IF(AN70="Revenue","Revenue",IF(AN70="Cost of Goods Sold","COGS",IF(AN70="Expenditures","Expense",IF(AN70="Other Revenue","Other Revenue",IF(AN70="Other Expenditures","Other Expense",AO69)))))</f>
        <v/>
      </c>
      <c r="AP70" s="36" t="str">
        <f aca="false">IF(OR(AN70="Revenue",AN70="Cost of Goods Sold",AN70="Expenditures",AN70="Other Revenue",AN70="Other Expenditures"),AO70,IF(AND(LEN(AN70)&gt;2,MID(AN70,2,1)=" ",ISNUMBER(VALUE(LEFT(AN70,1)))),AN70,AP69))</f>
        <v/>
      </c>
      <c r="AQ70" s="36" t="n">
        <f aca="false">IF(AND(AN70&lt;&gt;"",ISNUMBER(AL70),LEFT(AN70,9)&lt;&gt;"Total for",AN70&lt;&gt;"Gross Profit",AN70&lt;&gt;"Net Operating Revenue",AN70&lt;&gt;"Net Other Revenue",AN70&lt;&gt;"Net Revenue"),1,0)</f>
        <v>0</v>
      </c>
      <c r="AR70" s="36" t="str">
        <f aca="false">IF(AQ70=1,IF(AND(LEN(AN70)&gt;7,ISNUMBER(VALUE(LEFT(AN70,6))),MID(AN70,7,1)=" "),LEFT(AN70,6),AN70),"")</f>
        <v/>
      </c>
    </row>
    <row r="71" customFormat="false" ht="15" hidden="false" customHeight="false" outlineLevel="0" collapsed="false">
      <c r="D71" s="36" t="str">
        <f aca="false">TRIM(A71)</f>
        <v/>
      </c>
      <c r="E71" s="36" t="str">
        <f aca="false">IF(D71="Revenue","Revenue",IF(D71="Cost of Goods Sold","COGS",IF(D71="Expenditures","Expense",IF(D71="Other Revenue","Other Revenue",IF(D71="Other Expenditures","Other Expense",E70)))))</f>
        <v/>
      </c>
      <c r="F71" s="36" t="str">
        <f aca="false">IF(OR(D71="Revenue",D71="Cost of Goods Sold",D71="Expenditures",D71="Other Revenue",D71="Other Expenditures"),E71,IF(AND(LEN(D71)&gt;2,MID(D71,2,1)=" ",ISNUMBER(VALUE(LEFT(D71,1)))),D71,F70))</f>
        <v/>
      </c>
      <c r="G71" s="36" t="n">
        <f aca="false">IF(AND(D71&lt;&gt;"",ISNUMBER(B71),LEFT(D71,9)&lt;&gt;"Total for",D71&lt;&gt;"Gross Profit",D71&lt;&gt;"Net Operating Revenue",D71&lt;&gt;"Net Other Revenue",D71&lt;&gt;"Net Revenue"),1,0)</f>
        <v>0</v>
      </c>
      <c r="H71" s="36" t="str">
        <f aca="false">IF(G71=1,IF(AND(LEN(D71)&gt;7,ISNUMBER(VALUE(LEFT(D71,6))),MID(D71,7,1)=" "),LEFT(D71,6),D71),"")</f>
        <v/>
      </c>
      <c r="M71" s="36" t="str">
        <f aca="false">TRIM(J71)</f>
        <v/>
      </c>
      <c r="N71" s="36" t="str">
        <f aca="false">IF(M71="Revenue","Revenue",IF(M71="Cost of Goods Sold","COGS",IF(M71="Expenditures","Expense",IF(M71="Other Revenue","Other Revenue",IF(M71="Other Expenditures","Other Expense",N70)))))</f>
        <v/>
      </c>
      <c r="O71" s="36" t="str">
        <f aca="false">IF(OR(M71="Revenue",M71="Cost of Goods Sold",M71="Expenditures",M71="Other Revenue",M71="Other Expenditures"),N71,IF(AND(LEN(M71)&gt;2,MID(M71,2,1)=" ",ISNUMBER(VALUE(LEFT(M71,1)))),M71,O70))</f>
        <v/>
      </c>
      <c r="P71" s="36" t="n">
        <f aca="false">IF(AND(M71&lt;&gt;"",ISNUMBER(K71),LEFT(M71,9)&lt;&gt;"Total for",M71&lt;&gt;"Gross Profit",M71&lt;&gt;"Net Operating Revenue",M71&lt;&gt;"Net Other Revenue",M71&lt;&gt;"Net Revenue"),1,0)</f>
        <v>0</v>
      </c>
      <c r="Q71" s="36" t="str">
        <f aca="false">IF(P71=1,IF(AND(LEN(M71)&gt;7,ISNUMBER(VALUE(LEFT(M71,6))),MID(M71,7,1)=" "),LEFT(M71,6),M71),"")</f>
        <v/>
      </c>
      <c r="V71" s="36" t="str">
        <f aca="false">TRIM(S71)</f>
        <v/>
      </c>
      <c r="W71" s="36" t="str">
        <f aca="false">IF(V71="Revenue","Revenue",IF(V71="Cost of Goods Sold","COGS",IF(V71="Expenditures","Expense",IF(V71="Other Revenue","Other Revenue",IF(V71="Other Expenditures","Other Expense",W70)))))</f>
        <v/>
      </c>
      <c r="X71" s="36" t="str">
        <f aca="false">IF(OR(V71="Revenue",V71="Cost of Goods Sold",V71="Expenditures",V71="Other Revenue",V71="Other Expenditures"),W71,IF(AND(LEN(V71)&gt;2,MID(V71,2,1)=" ",ISNUMBER(VALUE(LEFT(V71,1)))),V71,X70))</f>
        <v/>
      </c>
      <c r="Y71" s="36" t="n">
        <f aca="false">IF(AND(V71&lt;&gt;"",ISNUMBER(T71),LEFT(V71,9)&lt;&gt;"Total for",V71&lt;&gt;"Gross Profit",V71&lt;&gt;"Net Operating Revenue",V71&lt;&gt;"Net Other Revenue",V71&lt;&gt;"Net Revenue"),1,0)</f>
        <v>0</v>
      </c>
      <c r="Z71" s="36" t="str">
        <f aca="false">IF(Y71=1,IF(AND(LEN(V71)&gt;7,ISNUMBER(VALUE(LEFT(V71,6))),MID(V71,7,1)=" "),LEFT(V71,6),V71),"")</f>
        <v/>
      </c>
      <c r="AE71" s="36" t="str">
        <f aca="false">TRIM(AB71)</f>
        <v/>
      </c>
      <c r="AF71" s="36" t="str">
        <f aca="false">IF(AE71="Revenue","Revenue",IF(AE71="Cost of Goods Sold","COGS",IF(AE71="Expenditures","Expense",IF(AE71="Other Revenue","Other Revenue",IF(AE71="Other Expenditures","Other Expense",AF70)))))</f>
        <v/>
      </c>
      <c r="AG71" s="36" t="str">
        <f aca="false">IF(OR(AE71="Revenue",AE71="Cost of Goods Sold",AE71="Expenditures",AE71="Other Revenue",AE71="Other Expenditures"),AF71,IF(AND(LEN(AE71)&gt;2,MID(AE71,2,1)=" ",ISNUMBER(VALUE(LEFT(AE71,1)))),AE71,AG70))</f>
        <v/>
      </c>
      <c r="AH71" s="36" t="n">
        <f aca="false">IF(AND(AE71&lt;&gt;"",ISNUMBER(AC71),LEFT(AE71,9)&lt;&gt;"Total for",AE71&lt;&gt;"Gross Profit",AE71&lt;&gt;"Net Operating Revenue",AE71&lt;&gt;"Net Other Revenue",AE71&lt;&gt;"Net Revenue"),1,0)</f>
        <v>0</v>
      </c>
      <c r="AI71" s="36" t="str">
        <f aca="false">IF(AH71=1,IF(AND(LEN(AE71)&gt;7,ISNUMBER(VALUE(LEFT(AE71,6))),MID(AE71,7,1)=" "),LEFT(AE71,6),AE71),"")</f>
        <v/>
      </c>
      <c r="AN71" s="36" t="str">
        <f aca="false">TRIM(AK71)</f>
        <v/>
      </c>
      <c r="AO71" s="36" t="str">
        <f aca="false">IF(AN71="Revenue","Revenue",IF(AN71="Cost of Goods Sold","COGS",IF(AN71="Expenditures","Expense",IF(AN71="Other Revenue","Other Revenue",IF(AN71="Other Expenditures","Other Expense",AO70)))))</f>
        <v/>
      </c>
      <c r="AP71" s="36" t="str">
        <f aca="false">IF(OR(AN71="Revenue",AN71="Cost of Goods Sold",AN71="Expenditures",AN71="Other Revenue",AN71="Other Expenditures"),AO71,IF(AND(LEN(AN71)&gt;2,MID(AN71,2,1)=" ",ISNUMBER(VALUE(LEFT(AN71,1)))),AN71,AP70))</f>
        <v/>
      </c>
      <c r="AQ71" s="36" t="n">
        <f aca="false">IF(AND(AN71&lt;&gt;"",ISNUMBER(AL71),LEFT(AN71,9)&lt;&gt;"Total for",AN71&lt;&gt;"Gross Profit",AN71&lt;&gt;"Net Operating Revenue",AN71&lt;&gt;"Net Other Revenue",AN71&lt;&gt;"Net Revenue"),1,0)</f>
        <v>0</v>
      </c>
      <c r="AR71" s="36" t="str">
        <f aca="false">IF(AQ71=1,IF(AND(LEN(AN71)&gt;7,ISNUMBER(VALUE(LEFT(AN71,6))),MID(AN71,7,1)=" "),LEFT(AN71,6),AN71),"")</f>
        <v/>
      </c>
    </row>
    <row r="72" customFormat="false" ht="15" hidden="false" customHeight="false" outlineLevel="0" collapsed="false">
      <c r="D72" s="36" t="str">
        <f aca="false">TRIM(A72)</f>
        <v/>
      </c>
      <c r="E72" s="36" t="str">
        <f aca="false">IF(D72="Revenue","Revenue",IF(D72="Cost of Goods Sold","COGS",IF(D72="Expenditures","Expense",IF(D72="Other Revenue","Other Revenue",IF(D72="Other Expenditures","Other Expense",E71)))))</f>
        <v/>
      </c>
      <c r="F72" s="36" t="str">
        <f aca="false">IF(OR(D72="Revenue",D72="Cost of Goods Sold",D72="Expenditures",D72="Other Revenue",D72="Other Expenditures"),E72,IF(AND(LEN(D72)&gt;2,MID(D72,2,1)=" ",ISNUMBER(VALUE(LEFT(D72,1)))),D72,F71))</f>
        <v/>
      </c>
      <c r="G72" s="36" t="n">
        <f aca="false">IF(AND(D72&lt;&gt;"",ISNUMBER(B72),LEFT(D72,9)&lt;&gt;"Total for",D72&lt;&gt;"Gross Profit",D72&lt;&gt;"Net Operating Revenue",D72&lt;&gt;"Net Other Revenue",D72&lt;&gt;"Net Revenue"),1,0)</f>
        <v>0</v>
      </c>
      <c r="H72" s="36" t="str">
        <f aca="false">IF(G72=1,IF(AND(LEN(D72)&gt;7,ISNUMBER(VALUE(LEFT(D72,6))),MID(D72,7,1)=" "),LEFT(D72,6),D72),"")</f>
        <v/>
      </c>
      <c r="M72" s="36" t="str">
        <f aca="false">TRIM(J72)</f>
        <v/>
      </c>
      <c r="N72" s="36" t="str">
        <f aca="false">IF(M72="Revenue","Revenue",IF(M72="Cost of Goods Sold","COGS",IF(M72="Expenditures","Expense",IF(M72="Other Revenue","Other Revenue",IF(M72="Other Expenditures","Other Expense",N71)))))</f>
        <v/>
      </c>
      <c r="O72" s="36" t="str">
        <f aca="false">IF(OR(M72="Revenue",M72="Cost of Goods Sold",M72="Expenditures",M72="Other Revenue",M72="Other Expenditures"),N72,IF(AND(LEN(M72)&gt;2,MID(M72,2,1)=" ",ISNUMBER(VALUE(LEFT(M72,1)))),M72,O71))</f>
        <v/>
      </c>
      <c r="P72" s="36" t="n">
        <f aca="false">IF(AND(M72&lt;&gt;"",ISNUMBER(K72),LEFT(M72,9)&lt;&gt;"Total for",M72&lt;&gt;"Gross Profit",M72&lt;&gt;"Net Operating Revenue",M72&lt;&gt;"Net Other Revenue",M72&lt;&gt;"Net Revenue"),1,0)</f>
        <v>0</v>
      </c>
      <c r="Q72" s="36" t="str">
        <f aca="false">IF(P72=1,IF(AND(LEN(M72)&gt;7,ISNUMBER(VALUE(LEFT(M72,6))),MID(M72,7,1)=" "),LEFT(M72,6),M72),"")</f>
        <v/>
      </c>
      <c r="V72" s="36" t="str">
        <f aca="false">TRIM(S72)</f>
        <v/>
      </c>
      <c r="W72" s="36" t="str">
        <f aca="false">IF(V72="Revenue","Revenue",IF(V72="Cost of Goods Sold","COGS",IF(V72="Expenditures","Expense",IF(V72="Other Revenue","Other Revenue",IF(V72="Other Expenditures","Other Expense",W71)))))</f>
        <v/>
      </c>
      <c r="X72" s="36" t="str">
        <f aca="false">IF(OR(V72="Revenue",V72="Cost of Goods Sold",V72="Expenditures",V72="Other Revenue",V72="Other Expenditures"),W72,IF(AND(LEN(V72)&gt;2,MID(V72,2,1)=" ",ISNUMBER(VALUE(LEFT(V72,1)))),V72,X71))</f>
        <v/>
      </c>
      <c r="Y72" s="36" t="n">
        <f aca="false">IF(AND(V72&lt;&gt;"",ISNUMBER(T72),LEFT(V72,9)&lt;&gt;"Total for",V72&lt;&gt;"Gross Profit",V72&lt;&gt;"Net Operating Revenue",V72&lt;&gt;"Net Other Revenue",V72&lt;&gt;"Net Revenue"),1,0)</f>
        <v>0</v>
      </c>
      <c r="Z72" s="36" t="str">
        <f aca="false">IF(Y72=1,IF(AND(LEN(V72)&gt;7,ISNUMBER(VALUE(LEFT(V72,6))),MID(V72,7,1)=" "),LEFT(V72,6),V72),"")</f>
        <v/>
      </c>
      <c r="AE72" s="36" t="str">
        <f aca="false">TRIM(AB72)</f>
        <v/>
      </c>
      <c r="AF72" s="36" t="str">
        <f aca="false">IF(AE72="Revenue","Revenue",IF(AE72="Cost of Goods Sold","COGS",IF(AE72="Expenditures","Expense",IF(AE72="Other Revenue","Other Revenue",IF(AE72="Other Expenditures","Other Expense",AF71)))))</f>
        <v/>
      </c>
      <c r="AG72" s="36" t="str">
        <f aca="false">IF(OR(AE72="Revenue",AE72="Cost of Goods Sold",AE72="Expenditures",AE72="Other Revenue",AE72="Other Expenditures"),AF72,IF(AND(LEN(AE72)&gt;2,MID(AE72,2,1)=" ",ISNUMBER(VALUE(LEFT(AE72,1)))),AE72,AG71))</f>
        <v/>
      </c>
      <c r="AH72" s="36" t="n">
        <f aca="false">IF(AND(AE72&lt;&gt;"",ISNUMBER(AC72),LEFT(AE72,9)&lt;&gt;"Total for",AE72&lt;&gt;"Gross Profit",AE72&lt;&gt;"Net Operating Revenue",AE72&lt;&gt;"Net Other Revenue",AE72&lt;&gt;"Net Revenue"),1,0)</f>
        <v>0</v>
      </c>
      <c r="AI72" s="36" t="str">
        <f aca="false">IF(AH72=1,IF(AND(LEN(AE72)&gt;7,ISNUMBER(VALUE(LEFT(AE72,6))),MID(AE72,7,1)=" "),LEFT(AE72,6),AE72),"")</f>
        <v/>
      </c>
      <c r="AN72" s="36" t="str">
        <f aca="false">TRIM(AK72)</f>
        <v/>
      </c>
      <c r="AO72" s="36" t="str">
        <f aca="false">IF(AN72="Revenue","Revenue",IF(AN72="Cost of Goods Sold","COGS",IF(AN72="Expenditures","Expense",IF(AN72="Other Revenue","Other Revenue",IF(AN72="Other Expenditures","Other Expense",AO71)))))</f>
        <v/>
      </c>
      <c r="AP72" s="36" t="str">
        <f aca="false">IF(OR(AN72="Revenue",AN72="Cost of Goods Sold",AN72="Expenditures",AN72="Other Revenue",AN72="Other Expenditures"),AO72,IF(AND(LEN(AN72)&gt;2,MID(AN72,2,1)=" ",ISNUMBER(VALUE(LEFT(AN72,1)))),AN72,AP71))</f>
        <v/>
      </c>
      <c r="AQ72" s="36" t="n">
        <f aca="false">IF(AND(AN72&lt;&gt;"",ISNUMBER(AL72),LEFT(AN72,9)&lt;&gt;"Total for",AN72&lt;&gt;"Gross Profit",AN72&lt;&gt;"Net Operating Revenue",AN72&lt;&gt;"Net Other Revenue",AN72&lt;&gt;"Net Revenue"),1,0)</f>
        <v>0</v>
      </c>
      <c r="AR72" s="36" t="str">
        <f aca="false">IF(AQ72=1,IF(AND(LEN(AN72)&gt;7,ISNUMBER(VALUE(LEFT(AN72,6))),MID(AN72,7,1)=" "),LEFT(AN72,6),AN72),"")</f>
        <v/>
      </c>
    </row>
    <row r="73" customFormat="false" ht="15" hidden="false" customHeight="false" outlineLevel="0" collapsed="false">
      <c r="D73" s="36" t="str">
        <f aca="false">TRIM(A73)</f>
        <v/>
      </c>
      <c r="E73" s="36" t="str">
        <f aca="false">IF(D73="Revenue","Revenue",IF(D73="Cost of Goods Sold","COGS",IF(D73="Expenditures","Expense",IF(D73="Other Revenue","Other Revenue",IF(D73="Other Expenditures","Other Expense",E72)))))</f>
        <v/>
      </c>
      <c r="F73" s="36" t="str">
        <f aca="false">IF(OR(D73="Revenue",D73="Cost of Goods Sold",D73="Expenditures",D73="Other Revenue",D73="Other Expenditures"),E73,IF(AND(LEN(D73)&gt;2,MID(D73,2,1)=" ",ISNUMBER(VALUE(LEFT(D73,1)))),D73,F72))</f>
        <v/>
      </c>
      <c r="G73" s="36" t="n">
        <f aca="false">IF(AND(D73&lt;&gt;"",ISNUMBER(B73),LEFT(D73,9)&lt;&gt;"Total for",D73&lt;&gt;"Gross Profit",D73&lt;&gt;"Net Operating Revenue",D73&lt;&gt;"Net Other Revenue",D73&lt;&gt;"Net Revenue"),1,0)</f>
        <v>0</v>
      </c>
      <c r="H73" s="36" t="str">
        <f aca="false">IF(G73=1,IF(AND(LEN(D73)&gt;7,ISNUMBER(VALUE(LEFT(D73,6))),MID(D73,7,1)=" "),LEFT(D73,6),D73),"")</f>
        <v/>
      </c>
      <c r="M73" s="36" t="str">
        <f aca="false">TRIM(J73)</f>
        <v/>
      </c>
      <c r="N73" s="36" t="str">
        <f aca="false">IF(M73="Revenue","Revenue",IF(M73="Cost of Goods Sold","COGS",IF(M73="Expenditures","Expense",IF(M73="Other Revenue","Other Revenue",IF(M73="Other Expenditures","Other Expense",N72)))))</f>
        <v/>
      </c>
      <c r="O73" s="36" t="str">
        <f aca="false">IF(OR(M73="Revenue",M73="Cost of Goods Sold",M73="Expenditures",M73="Other Revenue",M73="Other Expenditures"),N73,IF(AND(LEN(M73)&gt;2,MID(M73,2,1)=" ",ISNUMBER(VALUE(LEFT(M73,1)))),M73,O72))</f>
        <v/>
      </c>
      <c r="P73" s="36" t="n">
        <f aca="false">IF(AND(M73&lt;&gt;"",ISNUMBER(K73),LEFT(M73,9)&lt;&gt;"Total for",M73&lt;&gt;"Gross Profit",M73&lt;&gt;"Net Operating Revenue",M73&lt;&gt;"Net Other Revenue",M73&lt;&gt;"Net Revenue"),1,0)</f>
        <v>0</v>
      </c>
      <c r="Q73" s="36" t="str">
        <f aca="false">IF(P73=1,IF(AND(LEN(M73)&gt;7,ISNUMBER(VALUE(LEFT(M73,6))),MID(M73,7,1)=" "),LEFT(M73,6),M73),"")</f>
        <v/>
      </c>
      <c r="V73" s="36" t="str">
        <f aca="false">TRIM(S73)</f>
        <v/>
      </c>
      <c r="W73" s="36" t="str">
        <f aca="false">IF(V73="Revenue","Revenue",IF(V73="Cost of Goods Sold","COGS",IF(V73="Expenditures","Expense",IF(V73="Other Revenue","Other Revenue",IF(V73="Other Expenditures","Other Expense",W72)))))</f>
        <v/>
      </c>
      <c r="X73" s="36" t="str">
        <f aca="false">IF(OR(V73="Revenue",V73="Cost of Goods Sold",V73="Expenditures",V73="Other Revenue",V73="Other Expenditures"),W73,IF(AND(LEN(V73)&gt;2,MID(V73,2,1)=" ",ISNUMBER(VALUE(LEFT(V73,1)))),V73,X72))</f>
        <v/>
      </c>
      <c r="Y73" s="36" t="n">
        <f aca="false">IF(AND(V73&lt;&gt;"",ISNUMBER(T73),LEFT(V73,9)&lt;&gt;"Total for",V73&lt;&gt;"Gross Profit",V73&lt;&gt;"Net Operating Revenue",V73&lt;&gt;"Net Other Revenue",V73&lt;&gt;"Net Revenue"),1,0)</f>
        <v>0</v>
      </c>
      <c r="Z73" s="36" t="str">
        <f aca="false">IF(Y73=1,IF(AND(LEN(V73)&gt;7,ISNUMBER(VALUE(LEFT(V73,6))),MID(V73,7,1)=" "),LEFT(V73,6),V73),"")</f>
        <v/>
      </c>
      <c r="AE73" s="36" t="str">
        <f aca="false">TRIM(AB73)</f>
        <v/>
      </c>
      <c r="AF73" s="36" t="str">
        <f aca="false">IF(AE73="Revenue","Revenue",IF(AE73="Cost of Goods Sold","COGS",IF(AE73="Expenditures","Expense",IF(AE73="Other Revenue","Other Revenue",IF(AE73="Other Expenditures","Other Expense",AF72)))))</f>
        <v/>
      </c>
      <c r="AG73" s="36" t="str">
        <f aca="false">IF(OR(AE73="Revenue",AE73="Cost of Goods Sold",AE73="Expenditures",AE73="Other Revenue",AE73="Other Expenditures"),AF73,IF(AND(LEN(AE73)&gt;2,MID(AE73,2,1)=" ",ISNUMBER(VALUE(LEFT(AE73,1)))),AE73,AG72))</f>
        <v/>
      </c>
      <c r="AH73" s="36" t="n">
        <f aca="false">IF(AND(AE73&lt;&gt;"",ISNUMBER(AC73),LEFT(AE73,9)&lt;&gt;"Total for",AE73&lt;&gt;"Gross Profit",AE73&lt;&gt;"Net Operating Revenue",AE73&lt;&gt;"Net Other Revenue",AE73&lt;&gt;"Net Revenue"),1,0)</f>
        <v>0</v>
      </c>
      <c r="AI73" s="36" t="str">
        <f aca="false">IF(AH73=1,IF(AND(LEN(AE73)&gt;7,ISNUMBER(VALUE(LEFT(AE73,6))),MID(AE73,7,1)=" "),LEFT(AE73,6),AE73),"")</f>
        <v/>
      </c>
      <c r="AN73" s="36" t="str">
        <f aca="false">TRIM(AK73)</f>
        <v/>
      </c>
      <c r="AO73" s="36" t="str">
        <f aca="false">IF(AN73="Revenue","Revenue",IF(AN73="Cost of Goods Sold","COGS",IF(AN73="Expenditures","Expense",IF(AN73="Other Revenue","Other Revenue",IF(AN73="Other Expenditures","Other Expense",AO72)))))</f>
        <v/>
      </c>
      <c r="AP73" s="36" t="str">
        <f aca="false">IF(OR(AN73="Revenue",AN73="Cost of Goods Sold",AN73="Expenditures",AN73="Other Revenue",AN73="Other Expenditures"),AO73,IF(AND(LEN(AN73)&gt;2,MID(AN73,2,1)=" ",ISNUMBER(VALUE(LEFT(AN73,1)))),AN73,AP72))</f>
        <v/>
      </c>
      <c r="AQ73" s="36" t="n">
        <f aca="false">IF(AND(AN73&lt;&gt;"",ISNUMBER(AL73),LEFT(AN73,9)&lt;&gt;"Total for",AN73&lt;&gt;"Gross Profit",AN73&lt;&gt;"Net Operating Revenue",AN73&lt;&gt;"Net Other Revenue",AN73&lt;&gt;"Net Revenue"),1,0)</f>
        <v>0</v>
      </c>
      <c r="AR73" s="36" t="str">
        <f aca="false">IF(AQ73=1,IF(AND(LEN(AN73)&gt;7,ISNUMBER(VALUE(LEFT(AN73,6))),MID(AN73,7,1)=" "),LEFT(AN73,6),AN73),"")</f>
        <v/>
      </c>
    </row>
    <row r="74" customFormat="false" ht="15" hidden="false" customHeight="false" outlineLevel="0" collapsed="false">
      <c r="D74" s="36" t="str">
        <f aca="false">TRIM(A74)</f>
        <v/>
      </c>
      <c r="E74" s="36" t="str">
        <f aca="false">IF(D74="Revenue","Revenue",IF(D74="Cost of Goods Sold","COGS",IF(D74="Expenditures","Expense",IF(D74="Other Revenue","Other Revenue",IF(D74="Other Expenditures","Other Expense",E73)))))</f>
        <v/>
      </c>
      <c r="F74" s="36" t="str">
        <f aca="false">IF(OR(D74="Revenue",D74="Cost of Goods Sold",D74="Expenditures",D74="Other Revenue",D74="Other Expenditures"),E74,IF(AND(LEN(D74)&gt;2,MID(D74,2,1)=" ",ISNUMBER(VALUE(LEFT(D74,1)))),D74,F73))</f>
        <v/>
      </c>
      <c r="G74" s="36" t="n">
        <f aca="false">IF(AND(D74&lt;&gt;"",ISNUMBER(B74),LEFT(D74,9)&lt;&gt;"Total for",D74&lt;&gt;"Gross Profit",D74&lt;&gt;"Net Operating Revenue",D74&lt;&gt;"Net Other Revenue",D74&lt;&gt;"Net Revenue"),1,0)</f>
        <v>0</v>
      </c>
      <c r="H74" s="36" t="str">
        <f aca="false">IF(G74=1,IF(AND(LEN(D74)&gt;7,ISNUMBER(VALUE(LEFT(D74,6))),MID(D74,7,1)=" "),LEFT(D74,6),D74),"")</f>
        <v/>
      </c>
      <c r="M74" s="36" t="str">
        <f aca="false">TRIM(J74)</f>
        <v/>
      </c>
      <c r="N74" s="36" t="str">
        <f aca="false">IF(M74="Revenue","Revenue",IF(M74="Cost of Goods Sold","COGS",IF(M74="Expenditures","Expense",IF(M74="Other Revenue","Other Revenue",IF(M74="Other Expenditures","Other Expense",N73)))))</f>
        <v/>
      </c>
      <c r="O74" s="36" t="str">
        <f aca="false">IF(OR(M74="Revenue",M74="Cost of Goods Sold",M74="Expenditures",M74="Other Revenue",M74="Other Expenditures"),N74,IF(AND(LEN(M74)&gt;2,MID(M74,2,1)=" ",ISNUMBER(VALUE(LEFT(M74,1)))),M74,O73))</f>
        <v/>
      </c>
      <c r="P74" s="36" t="n">
        <f aca="false">IF(AND(M74&lt;&gt;"",ISNUMBER(K74),LEFT(M74,9)&lt;&gt;"Total for",M74&lt;&gt;"Gross Profit",M74&lt;&gt;"Net Operating Revenue",M74&lt;&gt;"Net Other Revenue",M74&lt;&gt;"Net Revenue"),1,0)</f>
        <v>0</v>
      </c>
      <c r="Q74" s="36" t="str">
        <f aca="false">IF(P74=1,IF(AND(LEN(M74)&gt;7,ISNUMBER(VALUE(LEFT(M74,6))),MID(M74,7,1)=" "),LEFT(M74,6),M74),"")</f>
        <v/>
      </c>
      <c r="V74" s="36" t="str">
        <f aca="false">TRIM(S74)</f>
        <v/>
      </c>
      <c r="W74" s="36" t="str">
        <f aca="false">IF(V74="Revenue","Revenue",IF(V74="Cost of Goods Sold","COGS",IF(V74="Expenditures","Expense",IF(V74="Other Revenue","Other Revenue",IF(V74="Other Expenditures","Other Expense",W73)))))</f>
        <v/>
      </c>
      <c r="X74" s="36" t="str">
        <f aca="false">IF(OR(V74="Revenue",V74="Cost of Goods Sold",V74="Expenditures",V74="Other Revenue",V74="Other Expenditures"),W74,IF(AND(LEN(V74)&gt;2,MID(V74,2,1)=" ",ISNUMBER(VALUE(LEFT(V74,1)))),V74,X73))</f>
        <v/>
      </c>
      <c r="Y74" s="36" t="n">
        <f aca="false">IF(AND(V74&lt;&gt;"",ISNUMBER(T74),LEFT(V74,9)&lt;&gt;"Total for",V74&lt;&gt;"Gross Profit",V74&lt;&gt;"Net Operating Revenue",V74&lt;&gt;"Net Other Revenue",V74&lt;&gt;"Net Revenue"),1,0)</f>
        <v>0</v>
      </c>
      <c r="Z74" s="36" t="str">
        <f aca="false">IF(Y74=1,IF(AND(LEN(V74)&gt;7,ISNUMBER(VALUE(LEFT(V74,6))),MID(V74,7,1)=" "),LEFT(V74,6),V74),"")</f>
        <v/>
      </c>
      <c r="AE74" s="36" t="str">
        <f aca="false">TRIM(AB74)</f>
        <v/>
      </c>
      <c r="AF74" s="36" t="str">
        <f aca="false">IF(AE74="Revenue","Revenue",IF(AE74="Cost of Goods Sold","COGS",IF(AE74="Expenditures","Expense",IF(AE74="Other Revenue","Other Revenue",IF(AE74="Other Expenditures","Other Expense",AF73)))))</f>
        <v/>
      </c>
      <c r="AG74" s="36" t="str">
        <f aca="false">IF(OR(AE74="Revenue",AE74="Cost of Goods Sold",AE74="Expenditures",AE74="Other Revenue",AE74="Other Expenditures"),AF74,IF(AND(LEN(AE74)&gt;2,MID(AE74,2,1)=" ",ISNUMBER(VALUE(LEFT(AE74,1)))),AE74,AG73))</f>
        <v/>
      </c>
      <c r="AH74" s="36" t="n">
        <f aca="false">IF(AND(AE74&lt;&gt;"",ISNUMBER(AC74),LEFT(AE74,9)&lt;&gt;"Total for",AE74&lt;&gt;"Gross Profit",AE74&lt;&gt;"Net Operating Revenue",AE74&lt;&gt;"Net Other Revenue",AE74&lt;&gt;"Net Revenue"),1,0)</f>
        <v>0</v>
      </c>
      <c r="AI74" s="36" t="str">
        <f aca="false">IF(AH74=1,IF(AND(LEN(AE74)&gt;7,ISNUMBER(VALUE(LEFT(AE74,6))),MID(AE74,7,1)=" "),LEFT(AE74,6),AE74),"")</f>
        <v/>
      </c>
      <c r="AN74" s="36" t="str">
        <f aca="false">TRIM(AK74)</f>
        <v/>
      </c>
      <c r="AO74" s="36" t="str">
        <f aca="false">IF(AN74="Revenue","Revenue",IF(AN74="Cost of Goods Sold","COGS",IF(AN74="Expenditures","Expense",IF(AN74="Other Revenue","Other Revenue",IF(AN74="Other Expenditures","Other Expense",AO73)))))</f>
        <v/>
      </c>
      <c r="AP74" s="36" t="str">
        <f aca="false">IF(OR(AN74="Revenue",AN74="Cost of Goods Sold",AN74="Expenditures",AN74="Other Revenue",AN74="Other Expenditures"),AO74,IF(AND(LEN(AN74)&gt;2,MID(AN74,2,1)=" ",ISNUMBER(VALUE(LEFT(AN74,1)))),AN74,AP73))</f>
        <v/>
      </c>
      <c r="AQ74" s="36" t="n">
        <f aca="false">IF(AND(AN74&lt;&gt;"",ISNUMBER(AL74),LEFT(AN74,9)&lt;&gt;"Total for",AN74&lt;&gt;"Gross Profit",AN74&lt;&gt;"Net Operating Revenue",AN74&lt;&gt;"Net Other Revenue",AN74&lt;&gt;"Net Revenue"),1,0)</f>
        <v>0</v>
      </c>
      <c r="AR74" s="36" t="str">
        <f aca="false">IF(AQ74=1,IF(AND(LEN(AN74)&gt;7,ISNUMBER(VALUE(LEFT(AN74,6))),MID(AN74,7,1)=" "),LEFT(AN74,6),AN74),"")</f>
        <v/>
      </c>
    </row>
    <row r="75" customFormat="false" ht="15" hidden="false" customHeight="false" outlineLevel="0" collapsed="false">
      <c r="D75" s="36" t="str">
        <f aca="false">TRIM(A75)</f>
        <v/>
      </c>
      <c r="E75" s="36" t="str">
        <f aca="false">IF(D75="Revenue","Revenue",IF(D75="Cost of Goods Sold","COGS",IF(D75="Expenditures","Expense",IF(D75="Other Revenue","Other Revenue",IF(D75="Other Expenditures","Other Expense",E74)))))</f>
        <v/>
      </c>
      <c r="F75" s="36" t="str">
        <f aca="false">IF(OR(D75="Revenue",D75="Cost of Goods Sold",D75="Expenditures",D75="Other Revenue",D75="Other Expenditures"),E75,IF(AND(LEN(D75)&gt;2,MID(D75,2,1)=" ",ISNUMBER(VALUE(LEFT(D75,1)))),D75,F74))</f>
        <v/>
      </c>
      <c r="G75" s="36" t="n">
        <f aca="false">IF(AND(D75&lt;&gt;"",ISNUMBER(B75),LEFT(D75,9)&lt;&gt;"Total for",D75&lt;&gt;"Gross Profit",D75&lt;&gt;"Net Operating Revenue",D75&lt;&gt;"Net Other Revenue",D75&lt;&gt;"Net Revenue"),1,0)</f>
        <v>0</v>
      </c>
      <c r="H75" s="36" t="str">
        <f aca="false">IF(G75=1,IF(AND(LEN(D75)&gt;7,ISNUMBER(VALUE(LEFT(D75,6))),MID(D75,7,1)=" "),LEFT(D75,6),D75),"")</f>
        <v/>
      </c>
      <c r="M75" s="36" t="str">
        <f aca="false">TRIM(J75)</f>
        <v/>
      </c>
      <c r="N75" s="36" t="str">
        <f aca="false">IF(M75="Revenue","Revenue",IF(M75="Cost of Goods Sold","COGS",IF(M75="Expenditures","Expense",IF(M75="Other Revenue","Other Revenue",IF(M75="Other Expenditures","Other Expense",N74)))))</f>
        <v/>
      </c>
      <c r="O75" s="36" t="str">
        <f aca="false">IF(OR(M75="Revenue",M75="Cost of Goods Sold",M75="Expenditures",M75="Other Revenue",M75="Other Expenditures"),N75,IF(AND(LEN(M75)&gt;2,MID(M75,2,1)=" ",ISNUMBER(VALUE(LEFT(M75,1)))),M75,O74))</f>
        <v/>
      </c>
      <c r="P75" s="36" t="n">
        <f aca="false">IF(AND(M75&lt;&gt;"",ISNUMBER(K75),LEFT(M75,9)&lt;&gt;"Total for",M75&lt;&gt;"Gross Profit",M75&lt;&gt;"Net Operating Revenue",M75&lt;&gt;"Net Other Revenue",M75&lt;&gt;"Net Revenue"),1,0)</f>
        <v>0</v>
      </c>
      <c r="Q75" s="36" t="str">
        <f aca="false">IF(P75=1,IF(AND(LEN(M75)&gt;7,ISNUMBER(VALUE(LEFT(M75,6))),MID(M75,7,1)=" "),LEFT(M75,6),M75),"")</f>
        <v/>
      </c>
      <c r="V75" s="36" t="str">
        <f aca="false">TRIM(S75)</f>
        <v/>
      </c>
      <c r="W75" s="36" t="str">
        <f aca="false">IF(V75="Revenue","Revenue",IF(V75="Cost of Goods Sold","COGS",IF(V75="Expenditures","Expense",IF(V75="Other Revenue","Other Revenue",IF(V75="Other Expenditures","Other Expense",W74)))))</f>
        <v/>
      </c>
      <c r="X75" s="36" t="str">
        <f aca="false">IF(OR(V75="Revenue",V75="Cost of Goods Sold",V75="Expenditures",V75="Other Revenue",V75="Other Expenditures"),W75,IF(AND(LEN(V75)&gt;2,MID(V75,2,1)=" ",ISNUMBER(VALUE(LEFT(V75,1)))),V75,X74))</f>
        <v/>
      </c>
      <c r="Y75" s="36" t="n">
        <f aca="false">IF(AND(V75&lt;&gt;"",ISNUMBER(T75),LEFT(V75,9)&lt;&gt;"Total for",V75&lt;&gt;"Gross Profit",V75&lt;&gt;"Net Operating Revenue",V75&lt;&gt;"Net Other Revenue",V75&lt;&gt;"Net Revenue"),1,0)</f>
        <v>0</v>
      </c>
      <c r="Z75" s="36" t="str">
        <f aca="false">IF(Y75=1,IF(AND(LEN(V75)&gt;7,ISNUMBER(VALUE(LEFT(V75,6))),MID(V75,7,1)=" "),LEFT(V75,6),V75),"")</f>
        <v/>
      </c>
      <c r="AE75" s="36" t="str">
        <f aca="false">TRIM(AB75)</f>
        <v/>
      </c>
      <c r="AF75" s="36" t="str">
        <f aca="false">IF(AE75="Revenue","Revenue",IF(AE75="Cost of Goods Sold","COGS",IF(AE75="Expenditures","Expense",IF(AE75="Other Revenue","Other Revenue",IF(AE75="Other Expenditures","Other Expense",AF74)))))</f>
        <v/>
      </c>
      <c r="AG75" s="36" t="str">
        <f aca="false">IF(OR(AE75="Revenue",AE75="Cost of Goods Sold",AE75="Expenditures",AE75="Other Revenue",AE75="Other Expenditures"),AF75,IF(AND(LEN(AE75)&gt;2,MID(AE75,2,1)=" ",ISNUMBER(VALUE(LEFT(AE75,1)))),AE75,AG74))</f>
        <v/>
      </c>
      <c r="AH75" s="36" t="n">
        <f aca="false">IF(AND(AE75&lt;&gt;"",ISNUMBER(AC75),LEFT(AE75,9)&lt;&gt;"Total for",AE75&lt;&gt;"Gross Profit",AE75&lt;&gt;"Net Operating Revenue",AE75&lt;&gt;"Net Other Revenue",AE75&lt;&gt;"Net Revenue"),1,0)</f>
        <v>0</v>
      </c>
      <c r="AI75" s="36" t="str">
        <f aca="false">IF(AH75=1,IF(AND(LEN(AE75)&gt;7,ISNUMBER(VALUE(LEFT(AE75,6))),MID(AE75,7,1)=" "),LEFT(AE75,6),AE75),"")</f>
        <v/>
      </c>
      <c r="AN75" s="36" t="str">
        <f aca="false">TRIM(AK75)</f>
        <v/>
      </c>
      <c r="AO75" s="36" t="str">
        <f aca="false">IF(AN75="Revenue","Revenue",IF(AN75="Cost of Goods Sold","COGS",IF(AN75="Expenditures","Expense",IF(AN75="Other Revenue","Other Revenue",IF(AN75="Other Expenditures","Other Expense",AO74)))))</f>
        <v/>
      </c>
      <c r="AP75" s="36" t="str">
        <f aca="false">IF(OR(AN75="Revenue",AN75="Cost of Goods Sold",AN75="Expenditures",AN75="Other Revenue",AN75="Other Expenditures"),AO75,IF(AND(LEN(AN75)&gt;2,MID(AN75,2,1)=" ",ISNUMBER(VALUE(LEFT(AN75,1)))),AN75,AP74))</f>
        <v/>
      </c>
      <c r="AQ75" s="36" t="n">
        <f aca="false">IF(AND(AN75&lt;&gt;"",ISNUMBER(AL75),LEFT(AN75,9)&lt;&gt;"Total for",AN75&lt;&gt;"Gross Profit",AN75&lt;&gt;"Net Operating Revenue",AN75&lt;&gt;"Net Other Revenue",AN75&lt;&gt;"Net Revenue"),1,0)</f>
        <v>0</v>
      </c>
      <c r="AR75" s="36" t="str">
        <f aca="false">IF(AQ75=1,IF(AND(LEN(AN75)&gt;7,ISNUMBER(VALUE(LEFT(AN75,6))),MID(AN75,7,1)=" "),LEFT(AN75,6),AN75),"")</f>
        <v/>
      </c>
    </row>
    <row r="76" customFormat="false" ht="15" hidden="false" customHeight="false" outlineLevel="0" collapsed="false">
      <c r="D76" s="36" t="str">
        <f aca="false">TRIM(A76)</f>
        <v/>
      </c>
      <c r="E76" s="36" t="str">
        <f aca="false">IF(D76="Revenue","Revenue",IF(D76="Cost of Goods Sold","COGS",IF(D76="Expenditures","Expense",IF(D76="Other Revenue","Other Revenue",IF(D76="Other Expenditures","Other Expense",E75)))))</f>
        <v/>
      </c>
      <c r="F76" s="36" t="str">
        <f aca="false">IF(OR(D76="Revenue",D76="Cost of Goods Sold",D76="Expenditures",D76="Other Revenue",D76="Other Expenditures"),E76,IF(AND(LEN(D76)&gt;2,MID(D76,2,1)=" ",ISNUMBER(VALUE(LEFT(D76,1)))),D76,F75))</f>
        <v/>
      </c>
      <c r="G76" s="36" t="n">
        <f aca="false">IF(AND(D76&lt;&gt;"",ISNUMBER(B76),LEFT(D76,9)&lt;&gt;"Total for",D76&lt;&gt;"Gross Profit",D76&lt;&gt;"Net Operating Revenue",D76&lt;&gt;"Net Other Revenue",D76&lt;&gt;"Net Revenue"),1,0)</f>
        <v>0</v>
      </c>
      <c r="H76" s="36" t="str">
        <f aca="false">IF(G76=1,IF(AND(LEN(D76)&gt;7,ISNUMBER(VALUE(LEFT(D76,6))),MID(D76,7,1)=" "),LEFT(D76,6),D76),"")</f>
        <v/>
      </c>
      <c r="M76" s="36" t="str">
        <f aca="false">TRIM(J76)</f>
        <v/>
      </c>
      <c r="N76" s="36" t="str">
        <f aca="false">IF(M76="Revenue","Revenue",IF(M76="Cost of Goods Sold","COGS",IF(M76="Expenditures","Expense",IF(M76="Other Revenue","Other Revenue",IF(M76="Other Expenditures","Other Expense",N75)))))</f>
        <v/>
      </c>
      <c r="O76" s="36" t="str">
        <f aca="false">IF(OR(M76="Revenue",M76="Cost of Goods Sold",M76="Expenditures",M76="Other Revenue",M76="Other Expenditures"),N76,IF(AND(LEN(M76)&gt;2,MID(M76,2,1)=" ",ISNUMBER(VALUE(LEFT(M76,1)))),M76,O75))</f>
        <v/>
      </c>
      <c r="P76" s="36" t="n">
        <f aca="false">IF(AND(M76&lt;&gt;"",ISNUMBER(K76),LEFT(M76,9)&lt;&gt;"Total for",M76&lt;&gt;"Gross Profit",M76&lt;&gt;"Net Operating Revenue",M76&lt;&gt;"Net Other Revenue",M76&lt;&gt;"Net Revenue"),1,0)</f>
        <v>0</v>
      </c>
      <c r="Q76" s="36" t="str">
        <f aca="false">IF(P76=1,IF(AND(LEN(M76)&gt;7,ISNUMBER(VALUE(LEFT(M76,6))),MID(M76,7,1)=" "),LEFT(M76,6),M76),"")</f>
        <v/>
      </c>
      <c r="V76" s="36" t="str">
        <f aca="false">TRIM(S76)</f>
        <v/>
      </c>
      <c r="W76" s="36" t="str">
        <f aca="false">IF(V76="Revenue","Revenue",IF(V76="Cost of Goods Sold","COGS",IF(V76="Expenditures","Expense",IF(V76="Other Revenue","Other Revenue",IF(V76="Other Expenditures","Other Expense",W75)))))</f>
        <v/>
      </c>
      <c r="X76" s="36" t="str">
        <f aca="false">IF(OR(V76="Revenue",V76="Cost of Goods Sold",V76="Expenditures",V76="Other Revenue",V76="Other Expenditures"),W76,IF(AND(LEN(V76)&gt;2,MID(V76,2,1)=" ",ISNUMBER(VALUE(LEFT(V76,1)))),V76,X75))</f>
        <v/>
      </c>
      <c r="Y76" s="36" t="n">
        <f aca="false">IF(AND(V76&lt;&gt;"",ISNUMBER(T76),LEFT(V76,9)&lt;&gt;"Total for",V76&lt;&gt;"Gross Profit",V76&lt;&gt;"Net Operating Revenue",V76&lt;&gt;"Net Other Revenue",V76&lt;&gt;"Net Revenue"),1,0)</f>
        <v>0</v>
      </c>
      <c r="Z76" s="36" t="str">
        <f aca="false">IF(Y76=1,IF(AND(LEN(V76)&gt;7,ISNUMBER(VALUE(LEFT(V76,6))),MID(V76,7,1)=" "),LEFT(V76,6),V76),"")</f>
        <v/>
      </c>
      <c r="AE76" s="36" t="str">
        <f aca="false">TRIM(AB76)</f>
        <v/>
      </c>
      <c r="AF76" s="36" t="str">
        <f aca="false">IF(AE76="Revenue","Revenue",IF(AE76="Cost of Goods Sold","COGS",IF(AE76="Expenditures","Expense",IF(AE76="Other Revenue","Other Revenue",IF(AE76="Other Expenditures","Other Expense",AF75)))))</f>
        <v/>
      </c>
      <c r="AG76" s="36" t="str">
        <f aca="false">IF(OR(AE76="Revenue",AE76="Cost of Goods Sold",AE76="Expenditures",AE76="Other Revenue",AE76="Other Expenditures"),AF76,IF(AND(LEN(AE76)&gt;2,MID(AE76,2,1)=" ",ISNUMBER(VALUE(LEFT(AE76,1)))),AE76,AG75))</f>
        <v/>
      </c>
      <c r="AH76" s="36" t="n">
        <f aca="false">IF(AND(AE76&lt;&gt;"",ISNUMBER(AC76),LEFT(AE76,9)&lt;&gt;"Total for",AE76&lt;&gt;"Gross Profit",AE76&lt;&gt;"Net Operating Revenue",AE76&lt;&gt;"Net Other Revenue",AE76&lt;&gt;"Net Revenue"),1,0)</f>
        <v>0</v>
      </c>
      <c r="AI76" s="36" t="str">
        <f aca="false">IF(AH76=1,IF(AND(LEN(AE76)&gt;7,ISNUMBER(VALUE(LEFT(AE76,6))),MID(AE76,7,1)=" "),LEFT(AE76,6),AE76),"")</f>
        <v/>
      </c>
      <c r="AN76" s="36" t="str">
        <f aca="false">TRIM(AK76)</f>
        <v/>
      </c>
      <c r="AO76" s="36" t="str">
        <f aca="false">IF(AN76="Revenue","Revenue",IF(AN76="Cost of Goods Sold","COGS",IF(AN76="Expenditures","Expense",IF(AN76="Other Revenue","Other Revenue",IF(AN76="Other Expenditures","Other Expense",AO75)))))</f>
        <v/>
      </c>
      <c r="AP76" s="36" t="str">
        <f aca="false">IF(OR(AN76="Revenue",AN76="Cost of Goods Sold",AN76="Expenditures",AN76="Other Revenue",AN76="Other Expenditures"),AO76,IF(AND(LEN(AN76)&gt;2,MID(AN76,2,1)=" ",ISNUMBER(VALUE(LEFT(AN76,1)))),AN76,AP75))</f>
        <v/>
      </c>
      <c r="AQ76" s="36" t="n">
        <f aca="false">IF(AND(AN76&lt;&gt;"",ISNUMBER(AL76),LEFT(AN76,9)&lt;&gt;"Total for",AN76&lt;&gt;"Gross Profit",AN76&lt;&gt;"Net Operating Revenue",AN76&lt;&gt;"Net Other Revenue",AN76&lt;&gt;"Net Revenue"),1,0)</f>
        <v>0</v>
      </c>
      <c r="AR76" s="36" t="str">
        <f aca="false">IF(AQ76=1,IF(AND(LEN(AN76)&gt;7,ISNUMBER(VALUE(LEFT(AN76,6))),MID(AN76,7,1)=" "),LEFT(AN76,6),AN76),"")</f>
        <v/>
      </c>
    </row>
    <row r="77" customFormat="false" ht="15" hidden="false" customHeight="false" outlineLevel="0" collapsed="false">
      <c r="D77" s="36" t="str">
        <f aca="false">TRIM(A77)</f>
        <v/>
      </c>
      <c r="E77" s="36" t="str">
        <f aca="false">IF(D77="Revenue","Revenue",IF(D77="Cost of Goods Sold","COGS",IF(D77="Expenditures","Expense",IF(D77="Other Revenue","Other Revenue",IF(D77="Other Expenditures","Other Expense",E76)))))</f>
        <v/>
      </c>
      <c r="F77" s="36" t="str">
        <f aca="false">IF(OR(D77="Revenue",D77="Cost of Goods Sold",D77="Expenditures",D77="Other Revenue",D77="Other Expenditures"),E77,IF(AND(LEN(D77)&gt;2,MID(D77,2,1)=" ",ISNUMBER(VALUE(LEFT(D77,1)))),D77,F76))</f>
        <v/>
      </c>
      <c r="G77" s="36" t="n">
        <f aca="false">IF(AND(D77&lt;&gt;"",ISNUMBER(B77),LEFT(D77,9)&lt;&gt;"Total for",D77&lt;&gt;"Gross Profit",D77&lt;&gt;"Net Operating Revenue",D77&lt;&gt;"Net Other Revenue",D77&lt;&gt;"Net Revenue"),1,0)</f>
        <v>0</v>
      </c>
      <c r="H77" s="36" t="str">
        <f aca="false">IF(G77=1,IF(AND(LEN(D77)&gt;7,ISNUMBER(VALUE(LEFT(D77,6))),MID(D77,7,1)=" "),LEFT(D77,6),D77),"")</f>
        <v/>
      </c>
      <c r="M77" s="36" t="str">
        <f aca="false">TRIM(J77)</f>
        <v/>
      </c>
      <c r="N77" s="36" t="str">
        <f aca="false">IF(M77="Revenue","Revenue",IF(M77="Cost of Goods Sold","COGS",IF(M77="Expenditures","Expense",IF(M77="Other Revenue","Other Revenue",IF(M77="Other Expenditures","Other Expense",N76)))))</f>
        <v/>
      </c>
      <c r="O77" s="36" t="str">
        <f aca="false">IF(OR(M77="Revenue",M77="Cost of Goods Sold",M77="Expenditures",M77="Other Revenue",M77="Other Expenditures"),N77,IF(AND(LEN(M77)&gt;2,MID(M77,2,1)=" ",ISNUMBER(VALUE(LEFT(M77,1)))),M77,O76))</f>
        <v/>
      </c>
      <c r="P77" s="36" t="n">
        <f aca="false">IF(AND(M77&lt;&gt;"",ISNUMBER(K77),LEFT(M77,9)&lt;&gt;"Total for",M77&lt;&gt;"Gross Profit",M77&lt;&gt;"Net Operating Revenue",M77&lt;&gt;"Net Other Revenue",M77&lt;&gt;"Net Revenue"),1,0)</f>
        <v>0</v>
      </c>
      <c r="Q77" s="36" t="str">
        <f aca="false">IF(P77=1,IF(AND(LEN(M77)&gt;7,ISNUMBER(VALUE(LEFT(M77,6))),MID(M77,7,1)=" "),LEFT(M77,6),M77),"")</f>
        <v/>
      </c>
      <c r="V77" s="36" t="str">
        <f aca="false">TRIM(S77)</f>
        <v/>
      </c>
      <c r="W77" s="36" t="str">
        <f aca="false">IF(V77="Revenue","Revenue",IF(V77="Cost of Goods Sold","COGS",IF(V77="Expenditures","Expense",IF(V77="Other Revenue","Other Revenue",IF(V77="Other Expenditures","Other Expense",W76)))))</f>
        <v/>
      </c>
      <c r="X77" s="36" t="str">
        <f aca="false">IF(OR(V77="Revenue",V77="Cost of Goods Sold",V77="Expenditures",V77="Other Revenue",V77="Other Expenditures"),W77,IF(AND(LEN(V77)&gt;2,MID(V77,2,1)=" ",ISNUMBER(VALUE(LEFT(V77,1)))),V77,X76))</f>
        <v/>
      </c>
      <c r="Y77" s="36" t="n">
        <f aca="false">IF(AND(V77&lt;&gt;"",ISNUMBER(T77),LEFT(V77,9)&lt;&gt;"Total for",V77&lt;&gt;"Gross Profit",V77&lt;&gt;"Net Operating Revenue",V77&lt;&gt;"Net Other Revenue",V77&lt;&gt;"Net Revenue"),1,0)</f>
        <v>0</v>
      </c>
      <c r="Z77" s="36" t="str">
        <f aca="false">IF(Y77=1,IF(AND(LEN(V77)&gt;7,ISNUMBER(VALUE(LEFT(V77,6))),MID(V77,7,1)=" "),LEFT(V77,6),V77),"")</f>
        <v/>
      </c>
      <c r="AE77" s="36" t="str">
        <f aca="false">TRIM(AB77)</f>
        <v/>
      </c>
      <c r="AF77" s="36" t="str">
        <f aca="false">IF(AE77="Revenue","Revenue",IF(AE77="Cost of Goods Sold","COGS",IF(AE77="Expenditures","Expense",IF(AE77="Other Revenue","Other Revenue",IF(AE77="Other Expenditures","Other Expense",AF76)))))</f>
        <v/>
      </c>
      <c r="AG77" s="36" t="str">
        <f aca="false">IF(OR(AE77="Revenue",AE77="Cost of Goods Sold",AE77="Expenditures",AE77="Other Revenue",AE77="Other Expenditures"),AF77,IF(AND(LEN(AE77)&gt;2,MID(AE77,2,1)=" ",ISNUMBER(VALUE(LEFT(AE77,1)))),AE77,AG76))</f>
        <v/>
      </c>
      <c r="AH77" s="36" t="n">
        <f aca="false">IF(AND(AE77&lt;&gt;"",ISNUMBER(AC77),LEFT(AE77,9)&lt;&gt;"Total for",AE77&lt;&gt;"Gross Profit",AE77&lt;&gt;"Net Operating Revenue",AE77&lt;&gt;"Net Other Revenue",AE77&lt;&gt;"Net Revenue"),1,0)</f>
        <v>0</v>
      </c>
      <c r="AI77" s="36" t="str">
        <f aca="false">IF(AH77=1,IF(AND(LEN(AE77)&gt;7,ISNUMBER(VALUE(LEFT(AE77,6))),MID(AE77,7,1)=" "),LEFT(AE77,6),AE77),"")</f>
        <v/>
      </c>
      <c r="AN77" s="36" t="str">
        <f aca="false">TRIM(AK77)</f>
        <v/>
      </c>
      <c r="AO77" s="36" t="str">
        <f aca="false">IF(AN77="Revenue","Revenue",IF(AN77="Cost of Goods Sold","COGS",IF(AN77="Expenditures","Expense",IF(AN77="Other Revenue","Other Revenue",IF(AN77="Other Expenditures","Other Expense",AO76)))))</f>
        <v/>
      </c>
      <c r="AP77" s="36" t="str">
        <f aca="false">IF(OR(AN77="Revenue",AN77="Cost of Goods Sold",AN77="Expenditures",AN77="Other Revenue",AN77="Other Expenditures"),AO77,IF(AND(LEN(AN77)&gt;2,MID(AN77,2,1)=" ",ISNUMBER(VALUE(LEFT(AN77,1)))),AN77,AP76))</f>
        <v/>
      </c>
      <c r="AQ77" s="36" t="n">
        <f aca="false">IF(AND(AN77&lt;&gt;"",ISNUMBER(AL77),LEFT(AN77,9)&lt;&gt;"Total for",AN77&lt;&gt;"Gross Profit",AN77&lt;&gt;"Net Operating Revenue",AN77&lt;&gt;"Net Other Revenue",AN77&lt;&gt;"Net Revenue"),1,0)</f>
        <v>0</v>
      </c>
      <c r="AR77" s="36" t="str">
        <f aca="false">IF(AQ77=1,IF(AND(LEN(AN77)&gt;7,ISNUMBER(VALUE(LEFT(AN77,6))),MID(AN77,7,1)=" "),LEFT(AN77,6),AN77),"")</f>
        <v/>
      </c>
    </row>
    <row r="78" customFormat="false" ht="15" hidden="false" customHeight="false" outlineLevel="0" collapsed="false">
      <c r="D78" s="36" t="str">
        <f aca="false">TRIM(A78)</f>
        <v/>
      </c>
      <c r="E78" s="36" t="str">
        <f aca="false">IF(D78="Revenue","Revenue",IF(D78="Cost of Goods Sold","COGS",IF(D78="Expenditures","Expense",IF(D78="Other Revenue","Other Revenue",IF(D78="Other Expenditures","Other Expense",E77)))))</f>
        <v/>
      </c>
      <c r="F78" s="36" t="str">
        <f aca="false">IF(OR(D78="Revenue",D78="Cost of Goods Sold",D78="Expenditures",D78="Other Revenue",D78="Other Expenditures"),E78,IF(AND(LEN(D78)&gt;2,MID(D78,2,1)=" ",ISNUMBER(VALUE(LEFT(D78,1)))),D78,F77))</f>
        <v/>
      </c>
      <c r="G78" s="36" t="n">
        <f aca="false">IF(AND(D78&lt;&gt;"",ISNUMBER(B78),LEFT(D78,9)&lt;&gt;"Total for",D78&lt;&gt;"Gross Profit",D78&lt;&gt;"Net Operating Revenue",D78&lt;&gt;"Net Other Revenue",D78&lt;&gt;"Net Revenue"),1,0)</f>
        <v>0</v>
      </c>
      <c r="H78" s="36" t="str">
        <f aca="false">IF(G78=1,IF(AND(LEN(D78)&gt;7,ISNUMBER(VALUE(LEFT(D78,6))),MID(D78,7,1)=" "),LEFT(D78,6),D78),"")</f>
        <v/>
      </c>
      <c r="M78" s="36" t="str">
        <f aca="false">TRIM(J78)</f>
        <v/>
      </c>
      <c r="N78" s="36" t="str">
        <f aca="false">IF(M78="Revenue","Revenue",IF(M78="Cost of Goods Sold","COGS",IF(M78="Expenditures","Expense",IF(M78="Other Revenue","Other Revenue",IF(M78="Other Expenditures","Other Expense",N77)))))</f>
        <v/>
      </c>
      <c r="O78" s="36" t="str">
        <f aca="false">IF(OR(M78="Revenue",M78="Cost of Goods Sold",M78="Expenditures",M78="Other Revenue",M78="Other Expenditures"),N78,IF(AND(LEN(M78)&gt;2,MID(M78,2,1)=" ",ISNUMBER(VALUE(LEFT(M78,1)))),M78,O77))</f>
        <v/>
      </c>
      <c r="P78" s="36" t="n">
        <f aca="false">IF(AND(M78&lt;&gt;"",ISNUMBER(K78),LEFT(M78,9)&lt;&gt;"Total for",M78&lt;&gt;"Gross Profit",M78&lt;&gt;"Net Operating Revenue",M78&lt;&gt;"Net Other Revenue",M78&lt;&gt;"Net Revenue"),1,0)</f>
        <v>0</v>
      </c>
      <c r="Q78" s="36" t="str">
        <f aca="false">IF(P78=1,IF(AND(LEN(M78)&gt;7,ISNUMBER(VALUE(LEFT(M78,6))),MID(M78,7,1)=" "),LEFT(M78,6),M78),"")</f>
        <v/>
      </c>
      <c r="V78" s="36" t="str">
        <f aca="false">TRIM(S78)</f>
        <v/>
      </c>
      <c r="W78" s="36" t="str">
        <f aca="false">IF(V78="Revenue","Revenue",IF(V78="Cost of Goods Sold","COGS",IF(V78="Expenditures","Expense",IF(V78="Other Revenue","Other Revenue",IF(V78="Other Expenditures","Other Expense",W77)))))</f>
        <v/>
      </c>
      <c r="X78" s="36" t="str">
        <f aca="false">IF(OR(V78="Revenue",V78="Cost of Goods Sold",V78="Expenditures",V78="Other Revenue",V78="Other Expenditures"),W78,IF(AND(LEN(V78)&gt;2,MID(V78,2,1)=" ",ISNUMBER(VALUE(LEFT(V78,1)))),V78,X77))</f>
        <v/>
      </c>
      <c r="Y78" s="36" t="n">
        <f aca="false">IF(AND(V78&lt;&gt;"",ISNUMBER(T78),LEFT(V78,9)&lt;&gt;"Total for",V78&lt;&gt;"Gross Profit",V78&lt;&gt;"Net Operating Revenue",V78&lt;&gt;"Net Other Revenue",V78&lt;&gt;"Net Revenue"),1,0)</f>
        <v>0</v>
      </c>
      <c r="Z78" s="36" t="str">
        <f aca="false">IF(Y78=1,IF(AND(LEN(V78)&gt;7,ISNUMBER(VALUE(LEFT(V78,6))),MID(V78,7,1)=" "),LEFT(V78,6),V78),"")</f>
        <v/>
      </c>
      <c r="AE78" s="36" t="str">
        <f aca="false">TRIM(AB78)</f>
        <v/>
      </c>
      <c r="AF78" s="36" t="str">
        <f aca="false">IF(AE78="Revenue","Revenue",IF(AE78="Cost of Goods Sold","COGS",IF(AE78="Expenditures","Expense",IF(AE78="Other Revenue","Other Revenue",IF(AE78="Other Expenditures","Other Expense",AF77)))))</f>
        <v/>
      </c>
      <c r="AG78" s="36" t="str">
        <f aca="false">IF(OR(AE78="Revenue",AE78="Cost of Goods Sold",AE78="Expenditures",AE78="Other Revenue",AE78="Other Expenditures"),AF78,IF(AND(LEN(AE78)&gt;2,MID(AE78,2,1)=" ",ISNUMBER(VALUE(LEFT(AE78,1)))),AE78,AG77))</f>
        <v/>
      </c>
      <c r="AH78" s="36" t="n">
        <f aca="false">IF(AND(AE78&lt;&gt;"",ISNUMBER(AC78),LEFT(AE78,9)&lt;&gt;"Total for",AE78&lt;&gt;"Gross Profit",AE78&lt;&gt;"Net Operating Revenue",AE78&lt;&gt;"Net Other Revenue",AE78&lt;&gt;"Net Revenue"),1,0)</f>
        <v>0</v>
      </c>
      <c r="AI78" s="36" t="str">
        <f aca="false">IF(AH78=1,IF(AND(LEN(AE78)&gt;7,ISNUMBER(VALUE(LEFT(AE78,6))),MID(AE78,7,1)=" "),LEFT(AE78,6),AE78),"")</f>
        <v/>
      </c>
      <c r="AN78" s="36" t="str">
        <f aca="false">TRIM(AK78)</f>
        <v/>
      </c>
      <c r="AO78" s="36" t="str">
        <f aca="false">IF(AN78="Revenue","Revenue",IF(AN78="Cost of Goods Sold","COGS",IF(AN78="Expenditures","Expense",IF(AN78="Other Revenue","Other Revenue",IF(AN78="Other Expenditures","Other Expense",AO77)))))</f>
        <v/>
      </c>
      <c r="AP78" s="36" t="str">
        <f aca="false">IF(OR(AN78="Revenue",AN78="Cost of Goods Sold",AN78="Expenditures",AN78="Other Revenue",AN78="Other Expenditures"),AO78,IF(AND(LEN(AN78)&gt;2,MID(AN78,2,1)=" ",ISNUMBER(VALUE(LEFT(AN78,1)))),AN78,AP77))</f>
        <v/>
      </c>
      <c r="AQ78" s="36" t="n">
        <f aca="false">IF(AND(AN78&lt;&gt;"",ISNUMBER(AL78),LEFT(AN78,9)&lt;&gt;"Total for",AN78&lt;&gt;"Gross Profit",AN78&lt;&gt;"Net Operating Revenue",AN78&lt;&gt;"Net Other Revenue",AN78&lt;&gt;"Net Revenue"),1,0)</f>
        <v>0</v>
      </c>
      <c r="AR78" s="36" t="str">
        <f aca="false">IF(AQ78=1,IF(AND(LEN(AN78)&gt;7,ISNUMBER(VALUE(LEFT(AN78,6))),MID(AN78,7,1)=" "),LEFT(AN78,6),AN78),"")</f>
        <v/>
      </c>
    </row>
    <row r="79" customFormat="false" ht="15" hidden="false" customHeight="false" outlineLevel="0" collapsed="false">
      <c r="D79" s="36" t="str">
        <f aca="false">TRIM(A79)</f>
        <v/>
      </c>
      <c r="E79" s="36" t="str">
        <f aca="false">IF(D79="Revenue","Revenue",IF(D79="Cost of Goods Sold","COGS",IF(D79="Expenditures","Expense",IF(D79="Other Revenue","Other Revenue",IF(D79="Other Expenditures","Other Expense",E78)))))</f>
        <v/>
      </c>
      <c r="F79" s="36" t="str">
        <f aca="false">IF(OR(D79="Revenue",D79="Cost of Goods Sold",D79="Expenditures",D79="Other Revenue",D79="Other Expenditures"),E79,IF(AND(LEN(D79)&gt;2,MID(D79,2,1)=" ",ISNUMBER(VALUE(LEFT(D79,1)))),D79,F78))</f>
        <v/>
      </c>
      <c r="G79" s="36" t="n">
        <f aca="false">IF(AND(D79&lt;&gt;"",ISNUMBER(B79),LEFT(D79,9)&lt;&gt;"Total for",D79&lt;&gt;"Gross Profit",D79&lt;&gt;"Net Operating Revenue",D79&lt;&gt;"Net Other Revenue",D79&lt;&gt;"Net Revenue"),1,0)</f>
        <v>0</v>
      </c>
      <c r="H79" s="36" t="str">
        <f aca="false">IF(G79=1,IF(AND(LEN(D79)&gt;7,ISNUMBER(VALUE(LEFT(D79,6))),MID(D79,7,1)=" "),LEFT(D79,6),D79),"")</f>
        <v/>
      </c>
      <c r="M79" s="36" t="str">
        <f aca="false">TRIM(J79)</f>
        <v/>
      </c>
      <c r="N79" s="36" t="str">
        <f aca="false">IF(M79="Revenue","Revenue",IF(M79="Cost of Goods Sold","COGS",IF(M79="Expenditures","Expense",IF(M79="Other Revenue","Other Revenue",IF(M79="Other Expenditures","Other Expense",N78)))))</f>
        <v/>
      </c>
      <c r="O79" s="36" t="str">
        <f aca="false">IF(OR(M79="Revenue",M79="Cost of Goods Sold",M79="Expenditures",M79="Other Revenue",M79="Other Expenditures"),N79,IF(AND(LEN(M79)&gt;2,MID(M79,2,1)=" ",ISNUMBER(VALUE(LEFT(M79,1)))),M79,O78))</f>
        <v/>
      </c>
      <c r="P79" s="36" t="n">
        <f aca="false">IF(AND(M79&lt;&gt;"",ISNUMBER(K79),LEFT(M79,9)&lt;&gt;"Total for",M79&lt;&gt;"Gross Profit",M79&lt;&gt;"Net Operating Revenue",M79&lt;&gt;"Net Other Revenue",M79&lt;&gt;"Net Revenue"),1,0)</f>
        <v>0</v>
      </c>
      <c r="Q79" s="36" t="str">
        <f aca="false">IF(P79=1,IF(AND(LEN(M79)&gt;7,ISNUMBER(VALUE(LEFT(M79,6))),MID(M79,7,1)=" "),LEFT(M79,6),M79),"")</f>
        <v/>
      </c>
      <c r="V79" s="36" t="str">
        <f aca="false">TRIM(S79)</f>
        <v/>
      </c>
      <c r="W79" s="36" t="str">
        <f aca="false">IF(V79="Revenue","Revenue",IF(V79="Cost of Goods Sold","COGS",IF(V79="Expenditures","Expense",IF(V79="Other Revenue","Other Revenue",IF(V79="Other Expenditures","Other Expense",W78)))))</f>
        <v/>
      </c>
      <c r="X79" s="36" t="str">
        <f aca="false">IF(OR(V79="Revenue",V79="Cost of Goods Sold",V79="Expenditures",V79="Other Revenue",V79="Other Expenditures"),W79,IF(AND(LEN(V79)&gt;2,MID(V79,2,1)=" ",ISNUMBER(VALUE(LEFT(V79,1)))),V79,X78))</f>
        <v/>
      </c>
      <c r="Y79" s="36" t="n">
        <f aca="false">IF(AND(V79&lt;&gt;"",ISNUMBER(T79),LEFT(V79,9)&lt;&gt;"Total for",V79&lt;&gt;"Gross Profit",V79&lt;&gt;"Net Operating Revenue",V79&lt;&gt;"Net Other Revenue",V79&lt;&gt;"Net Revenue"),1,0)</f>
        <v>0</v>
      </c>
      <c r="Z79" s="36" t="str">
        <f aca="false">IF(Y79=1,IF(AND(LEN(V79)&gt;7,ISNUMBER(VALUE(LEFT(V79,6))),MID(V79,7,1)=" "),LEFT(V79,6),V79),"")</f>
        <v/>
      </c>
      <c r="AE79" s="36" t="str">
        <f aca="false">TRIM(AB79)</f>
        <v/>
      </c>
      <c r="AF79" s="36" t="str">
        <f aca="false">IF(AE79="Revenue","Revenue",IF(AE79="Cost of Goods Sold","COGS",IF(AE79="Expenditures","Expense",IF(AE79="Other Revenue","Other Revenue",IF(AE79="Other Expenditures","Other Expense",AF78)))))</f>
        <v/>
      </c>
      <c r="AG79" s="36" t="str">
        <f aca="false">IF(OR(AE79="Revenue",AE79="Cost of Goods Sold",AE79="Expenditures",AE79="Other Revenue",AE79="Other Expenditures"),AF79,IF(AND(LEN(AE79)&gt;2,MID(AE79,2,1)=" ",ISNUMBER(VALUE(LEFT(AE79,1)))),AE79,AG78))</f>
        <v/>
      </c>
      <c r="AH79" s="36" t="n">
        <f aca="false">IF(AND(AE79&lt;&gt;"",ISNUMBER(AC79),LEFT(AE79,9)&lt;&gt;"Total for",AE79&lt;&gt;"Gross Profit",AE79&lt;&gt;"Net Operating Revenue",AE79&lt;&gt;"Net Other Revenue",AE79&lt;&gt;"Net Revenue"),1,0)</f>
        <v>0</v>
      </c>
      <c r="AI79" s="36" t="str">
        <f aca="false">IF(AH79=1,IF(AND(LEN(AE79)&gt;7,ISNUMBER(VALUE(LEFT(AE79,6))),MID(AE79,7,1)=" "),LEFT(AE79,6),AE79),"")</f>
        <v/>
      </c>
      <c r="AN79" s="36" t="str">
        <f aca="false">TRIM(AK79)</f>
        <v/>
      </c>
      <c r="AO79" s="36" t="str">
        <f aca="false">IF(AN79="Revenue","Revenue",IF(AN79="Cost of Goods Sold","COGS",IF(AN79="Expenditures","Expense",IF(AN79="Other Revenue","Other Revenue",IF(AN79="Other Expenditures","Other Expense",AO78)))))</f>
        <v/>
      </c>
      <c r="AP79" s="36" t="str">
        <f aca="false">IF(OR(AN79="Revenue",AN79="Cost of Goods Sold",AN79="Expenditures",AN79="Other Revenue",AN79="Other Expenditures"),AO79,IF(AND(LEN(AN79)&gt;2,MID(AN79,2,1)=" ",ISNUMBER(VALUE(LEFT(AN79,1)))),AN79,AP78))</f>
        <v/>
      </c>
      <c r="AQ79" s="36" t="n">
        <f aca="false">IF(AND(AN79&lt;&gt;"",ISNUMBER(AL79),LEFT(AN79,9)&lt;&gt;"Total for",AN79&lt;&gt;"Gross Profit",AN79&lt;&gt;"Net Operating Revenue",AN79&lt;&gt;"Net Other Revenue",AN79&lt;&gt;"Net Revenue"),1,0)</f>
        <v>0</v>
      </c>
      <c r="AR79" s="36" t="str">
        <f aca="false">IF(AQ79=1,IF(AND(LEN(AN79)&gt;7,ISNUMBER(VALUE(LEFT(AN79,6))),MID(AN79,7,1)=" "),LEFT(AN79,6),AN79),"")</f>
        <v/>
      </c>
    </row>
    <row r="80" customFormat="false" ht="15" hidden="false" customHeight="false" outlineLevel="0" collapsed="false">
      <c r="D80" s="36" t="str">
        <f aca="false">TRIM(A80)</f>
        <v/>
      </c>
      <c r="E80" s="36" t="str">
        <f aca="false">IF(D80="Revenue","Revenue",IF(D80="Cost of Goods Sold","COGS",IF(D80="Expenditures","Expense",IF(D80="Other Revenue","Other Revenue",IF(D80="Other Expenditures","Other Expense",E79)))))</f>
        <v/>
      </c>
      <c r="F80" s="36" t="str">
        <f aca="false">IF(OR(D80="Revenue",D80="Cost of Goods Sold",D80="Expenditures",D80="Other Revenue",D80="Other Expenditures"),E80,IF(AND(LEN(D80)&gt;2,MID(D80,2,1)=" ",ISNUMBER(VALUE(LEFT(D80,1)))),D80,F79))</f>
        <v/>
      </c>
      <c r="G80" s="36" t="n">
        <f aca="false">IF(AND(D80&lt;&gt;"",ISNUMBER(B80),LEFT(D80,9)&lt;&gt;"Total for",D80&lt;&gt;"Gross Profit",D80&lt;&gt;"Net Operating Revenue",D80&lt;&gt;"Net Other Revenue",D80&lt;&gt;"Net Revenue"),1,0)</f>
        <v>0</v>
      </c>
      <c r="H80" s="36" t="str">
        <f aca="false">IF(G80=1,IF(AND(LEN(D80)&gt;7,ISNUMBER(VALUE(LEFT(D80,6))),MID(D80,7,1)=" "),LEFT(D80,6),D80),"")</f>
        <v/>
      </c>
      <c r="M80" s="36" t="str">
        <f aca="false">TRIM(J80)</f>
        <v/>
      </c>
      <c r="N80" s="36" t="str">
        <f aca="false">IF(M80="Revenue","Revenue",IF(M80="Cost of Goods Sold","COGS",IF(M80="Expenditures","Expense",IF(M80="Other Revenue","Other Revenue",IF(M80="Other Expenditures","Other Expense",N79)))))</f>
        <v/>
      </c>
      <c r="O80" s="36" t="str">
        <f aca="false">IF(OR(M80="Revenue",M80="Cost of Goods Sold",M80="Expenditures",M80="Other Revenue",M80="Other Expenditures"),N80,IF(AND(LEN(M80)&gt;2,MID(M80,2,1)=" ",ISNUMBER(VALUE(LEFT(M80,1)))),M80,O79))</f>
        <v/>
      </c>
      <c r="P80" s="36" t="n">
        <f aca="false">IF(AND(M80&lt;&gt;"",ISNUMBER(K80),LEFT(M80,9)&lt;&gt;"Total for",M80&lt;&gt;"Gross Profit",M80&lt;&gt;"Net Operating Revenue",M80&lt;&gt;"Net Other Revenue",M80&lt;&gt;"Net Revenue"),1,0)</f>
        <v>0</v>
      </c>
      <c r="Q80" s="36" t="str">
        <f aca="false">IF(P80=1,IF(AND(LEN(M80)&gt;7,ISNUMBER(VALUE(LEFT(M80,6))),MID(M80,7,1)=" "),LEFT(M80,6),M80),"")</f>
        <v/>
      </c>
      <c r="V80" s="36" t="str">
        <f aca="false">TRIM(S80)</f>
        <v/>
      </c>
      <c r="W80" s="36" t="str">
        <f aca="false">IF(V80="Revenue","Revenue",IF(V80="Cost of Goods Sold","COGS",IF(V80="Expenditures","Expense",IF(V80="Other Revenue","Other Revenue",IF(V80="Other Expenditures","Other Expense",W79)))))</f>
        <v/>
      </c>
      <c r="X80" s="36" t="str">
        <f aca="false">IF(OR(V80="Revenue",V80="Cost of Goods Sold",V80="Expenditures",V80="Other Revenue",V80="Other Expenditures"),W80,IF(AND(LEN(V80)&gt;2,MID(V80,2,1)=" ",ISNUMBER(VALUE(LEFT(V80,1)))),V80,X79))</f>
        <v/>
      </c>
      <c r="Y80" s="36" t="n">
        <f aca="false">IF(AND(V80&lt;&gt;"",ISNUMBER(T80),LEFT(V80,9)&lt;&gt;"Total for",V80&lt;&gt;"Gross Profit",V80&lt;&gt;"Net Operating Revenue",V80&lt;&gt;"Net Other Revenue",V80&lt;&gt;"Net Revenue"),1,0)</f>
        <v>0</v>
      </c>
      <c r="Z80" s="36" t="str">
        <f aca="false">IF(Y80=1,IF(AND(LEN(V80)&gt;7,ISNUMBER(VALUE(LEFT(V80,6))),MID(V80,7,1)=" "),LEFT(V80,6),V80),"")</f>
        <v/>
      </c>
      <c r="AE80" s="36" t="str">
        <f aca="false">TRIM(AB80)</f>
        <v/>
      </c>
      <c r="AF80" s="36" t="str">
        <f aca="false">IF(AE80="Revenue","Revenue",IF(AE80="Cost of Goods Sold","COGS",IF(AE80="Expenditures","Expense",IF(AE80="Other Revenue","Other Revenue",IF(AE80="Other Expenditures","Other Expense",AF79)))))</f>
        <v/>
      </c>
      <c r="AG80" s="36" t="str">
        <f aca="false">IF(OR(AE80="Revenue",AE80="Cost of Goods Sold",AE80="Expenditures",AE80="Other Revenue",AE80="Other Expenditures"),AF80,IF(AND(LEN(AE80)&gt;2,MID(AE80,2,1)=" ",ISNUMBER(VALUE(LEFT(AE80,1)))),AE80,AG79))</f>
        <v/>
      </c>
      <c r="AH80" s="36" t="n">
        <f aca="false">IF(AND(AE80&lt;&gt;"",ISNUMBER(AC80),LEFT(AE80,9)&lt;&gt;"Total for",AE80&lt;&gt;"Gross Profit",AE80&lt;&gt;"Net Operating Revenue",AE80&lt;&gt;"Net Other Revenue",AE80&lt;&gt;"Net Revenue"),1,0)</f>
        <v>0</v>
      </c>
      <c r="AI80" s="36" t="str">
        <f aca="false">IF(AH80=1,IF(AND(LEN(AE80)&gt;7,ISNUMBER(VALUE(LEFT(AE80,6))),MID(AE80,7,1)=" "),LEFT(AE80,6),AE80),"")</f>
        <v/>
      </c>
      <c r="AN80" s="36" t="str">
        <f aca="false">TRIM(AK80)</f>
        <v/>
      </c>
      <c r="AO80" s="36" t="str">
        <f aca="false">IF(AN80="Revenue","Revenue",IF(AN80="Cost of Goods Sold","COGS",IF(AN80="Expenditures","Expense",IF(AN80="Other Revenue","Other Revenue",IF(AN80="Other Expenditures","Other Expense",AO79)))))</f>
        <v/>
      </c>
      <c r="AP80" s="36" t="str">
        <f aca="false">IF(OR(AN80="Revenue",AN80="Cost of Goods Sold",AN80="Expenditures",AN80="Other Revenue",AN80="Other Expenditures"),AO80,IF(AND(LEN(AN80)&gt;2,MID(AN80,2,1)=" ",ISNUMBER(VALUE(LEFT(AN80,1)))),AN80,AP79))</f>
        <v/>
      </c>
      <c r="AQ80" s="36" t="n">
        <f aca="false">IF(AND(AN80&lt;&gt;"",ISNUMBER(AL80),LEFT(AN80,9)&lt;&gt;"Total for",AN80&lt;&gt;"Gross Profit",AN80&lt;&gt;"Net Operating Revenue",AN80&lt;&gt;"Net Other Revenue",AN80&lt;&gt;"Net Revenue"),1,0)</f>
        <v>0</v>
      </c>
      <c r="AR80" s="36" t="str">
        <f aca="false">IF(AQ80=1,IF(AND(LEN(AN80)&gt;7,ISNUMBER(VALUE(LEFT(AN80,6))),MID(AN80,7,1)=" "),LEFT(AN80,6),AN80),"")</f>
        <v/>
      </c>
    </row>
    <row r="81" customFormat="false" ht="15" hidden="false" customHeight="false" outlineLevel="0" collapsed="false">
      <c r="D81" s="36" t="str">
        <f aca="false">TRIM(A81)</f>
        <v/>
      </c>
      <c r="E81" s="36" t="str">
        <f aca="false">IF(D81="Revenue","Revenue",IF(D81="Cost of Goods Sold","COGS",IF(D81="Expenditures","Expense",IF(D81="Other Revenue","Other Revenue",IF(D81="Other Expenditures","Other Expense",E80)))))</f>
        <v/>
      </c>
      <c r="F81" s="36" t="str">
        <f aca="false">IF(OR(D81="Revenue",D81="Cost of Goods Sold",D81="Expenditures",D81="Other Revenue",D81="Other Expenditures"),E81,IF(AND(LEN(D81)&gt;2,MID(D81,2,1)=" ",ISNUMBER(VALUE(LEFT(D81,1)))),D81,F80))</f>
        <v/>
      </c>
      <c r="G81" s="36" t="n">
        <f aca="false">IF(AND(D81&lt;&gt;"",ISNUMBER(B81),LEFT(D81,9)&lt;&gt;"Total for",D81&lt;&gt;"Gross Profit",D81&lt;&gt;"Net Operating Revenue",D81&lt;&gt;"Net Other Revenue",D81&lt;&gt;"Net Revenue"),1,0)</f>
        <v>0</v>
      </c>
      <c r="H81" s="36" t="str">
        <f aca="false">IF(G81=1,IF(AND(LEN(D81)&gt;7,ISNUMBER(VALUE(LEFT(D81,6))),MID(D81,7,1)=" "),LEFT(D81,6),D81),"")</f>
        <v/>
      </c>
      <c r="M81" s="36" t="str">
        <f aca="false">TRIM(J81)</f>
        <v/>
      </c>
      <c r="N81" s="36" t="str">
        <f aca="false">IF(M81="Revenue","Revenue",IF(M81="Cost of Goods Sold","COGS",IF(M81="Expenditures","Expense",IF(M81="Other Revenue","Other Revenue",IF(M81="Other Expenditures","Other Expense",N80)))))</f>
        <v/>
      </c>
      <c r="O81" s="36" t="str">
        <f aca="false">IF(OR(M81="Revenue",M81="Cost of Goods Sold",M81="Expenditures",M81="Other Revenue",M81="Other Expenditures"),N81,IF(AND(LEN(M81)&gt;2,MID(M81,2,1)=" ",ISNUMBER(VALUE(LEFT(M81,1)))),M81,O80))</f>
        <v/>
      </c>
      <c r="P81" s="36" t="n">
        <f aca="false">IF(AND(M81&lt;&gt;"",ISNUMBER(K81),LEFT(M81,9)&lt;&gt;"Total for",M81&lt;&gt;"Gross Profit",M81&lt;&gt;"Net Operating Revenue",M81&lt;&gt;"Net Other Revenue",M81&lt;&gt;"Net Revenue"),1,0)</f>
        <v>0</v>
      </c>
      <c r="Q81" s="36" t="str">
        <f aca="false">IF(P81=1,IF(AND(LEN(M81)&gt;7,ISNUMBER(VALUE(LEFT(M81,6))),MID(M81,7,1)=" "),LEFT(M81,6),M81),"")</f>
        <v/>
      </c>
      <c r="V81" s="36" t="str">
        <f aca="false">TRIM(S81)</f>
        <v/>
      </c>
      <c r="W81" s="36" t="str">
        <f aca="false">IF(V81="Revenue","Revenue",IF(V81="Cost of Goods Sold","COGS",IF(V81="Expenditures","Expense",IF(V81="Other Revenue","Other Revenue",IF(V81="Other Expenditures","Other Expense",W80)))))</f>
        <v/>
      </c>
      <c r="X81" s="36" t="str">
        <f aca="false">IF(OR(V81="Revenue",V81="Cost of Goods Sold",V81="Expenditures",V81="Other Revenue",V81="Other Expenditures"),W81,IF(AND(LEN(V81)&gt;2,MID(V81,2,1)=" ",ISNUMBER(VALUE(LEFT(V81,1)))),V81,X80))</f>
        <v/>
      </c>
      <c r="Y81" s="36" t="n">
        <f aca="false">IF(AND(V81&lt;&gt;"",ISNUMBER(T81),LEFT(V81,9)&lt;&gt;"Total for",V81&lt;&gt;"Gross Profit",V81&lt;&gt;"Net Operating Revenue",V81&lt;&gt;"Net Other Revenue",V81&lt;&gt;"Net Revenue"),1,0)</f>
        <v>0</v>
      </c>
      <c r="Z81" s="36" t="str">
        <f aca="false">IF(Y81=1,IF(AND(LEN(V81)&gt;7,ISNUMBER(VALUE(LEFT(V81,6))),MID(V81,7,1)=" "),LEFT(V81,6),V81),"")</f>
        <v/>
      </c>
      <c r="AE81" s="36" t="str">
        <f aca="false">TRIM(AB81)</f>
        <v/>
      </c>
      <c r="AF81" s="36" t="str">
        <f aca="false">IF(AE81="Revenue","Revenue",IF(AE81="Cost of Goods Sold","COGS",IF(AE81="Expenditures","Expense",IF(AE81="Other Revenue","Other Revenue",IF(AE81="Other Expenditures","Other Expense",AF80)))))</f>
        <v/>
      </c>
      <c r="AG81" s="36" t="str">
        <f aca="false">IF(OR(AE81="Revenue",AE81="Cost of Goods Sold",AE81="Expenditures",AE81="Other Revenue",AE81="Other Expenditures"),AF81,IF(AND(LEN(AE81)&gt;2,MID(AE81,2,1)=" ",ISNUMBER(VALUE(LEFT(AE81,1)))),AE81,AG80))</f>
        <v/>
      </c>
      <c r="AH81" s="36" t="n">
        <f aca="false">IF(AND(AE81&lt;&gt;"",ISNUMBER(AC81),LEFT(AE81,9)&lt;&gt;"Total for",AE81&lt;&gt;"Gross Profit",AE81&lt;&gt;"Net Operating Revenue",AE81&lt;&gt;"Net Other Revenue",AE81&lt;&gt;"Net Revenue"),1,0)</f>
        <v>0</v>
      </c>
      <c r="AI81" s="36" t="str">
        <f aca="false">IF(AH81=1,IF(AND(LEN(AE81)&gt;7,ISNUMBER(VALUE(LEFT(AE81,6))),MID(AE81,7,1)=" "),LEFT(AE81,6),AE81),"")</f>
        <v/>
      </c>
      <c r="AN81" s="36" t="str">
        <f aca="false">TRIM(AK81)</f>
        <v/>
      </c>
      <c r="AO81" s="36" t="str">
        <f aca="false">IF(AN81="Revenue","Revenue",IF(AN81="Cost of Goods Sold","COGS",IF(AN81="Expenditures","Expense",IF(AN81="Other Revenue","Other Revenue",IF(AN81="Other Expenditures","Other Expense",AO80)))))</f>
        <v/>
      </c>
      <c r="AP81" s="36" t="str">
        <f aca="false">IF(OR(AN81="Revenue",AN81="Cost of Goods Sold",AN81="Expenditures",AN81="Other Revenue",AN81="Other Expenditures"),AO81,IF(AND(LEN(AN81)&gt;2,MID(AN81,2,1)=" ",ISNUMBER(VALUE(LEFT(AN81,1)))),AN81,AP80))</f>
        <v/>
      </c>
      <c r="AQ81" s="36" t="n">
        <f aca="false">IF(AND(AN81&lt;&gt;"",ISNUMBER(AL81),LEFT(AN81,9)&lt;&gt;"Total for",AN81&lt;&gt;"Gross Profit",AN81&lt;&gt;"Net Operating Revenue",AN81&lt;&gt;"Net Other Revenue",AN81&lt;&gt;"Net Revenue"),1,0)</f>
        <v>0</v>
      </c>
      <c r="AR81" s="36" t="str">
        <f aca="false">IF(AQ81=1,IF(AND(LEN(AN81)&gt;7,ISNUMBER(VALUE(LEFT(AN81,6))),MID(AN81,7,1)=" "),LEFT(AN81,6),AN81),"")</f>
        <v/>
      </c>
    </row>
    <row r="82" customFormat="false" ht="15" hidden="false" customHeight="false" outlineLevel="0" collapsed="false">
      <c r="D82" s="36" t="str">
        <f aca="false">TRIM(A82)</f>
        <v/>
      </c>
      <c r="E82" s="36" t="str">
        <f aca="false">IF(D82="Revenue","Revenue",IF(D82="Cost of Goods Sold","COGS",IF(D82="Expenditures","Expense",IF(D82="Other Revenue","Other Revenue",IF(D82="Other Expenditures","Other Expense",E81)))))</f>
        <v/>
      </c>
      <c r="F82" s="36" t="str">
        <f aca="false">IF(OR(D82="Revenue",D82="Cost of Goods Sold",D82="Expenditures",D82="Other Revenue",D82="Other Expenditures"),E82,IF(AND(LEN(D82)&gt;2,MID(D82,2,1)=" ",ISNUMBER(VALUE(LEFT(D82,1)))),D82,F81))</f>
        <v/>
      </c>
      <c r="G82" s="36" t="n">
        <f aca="false">IF(AND(D82&lt;&gt;"",ISNUMBER(B82),LEFT(D82,9)&lt;&gt;"Total for",D82&lt;&gt;"Gross Profit",D82&lt;&gt;"Net Operating Revenue",D82&lt;&gt;"Net Other Revenue",D82&lt;&gt;"Net Revenue"),1,0)</f>
        <v>0</v>
      </c>
      <c r="H82" s="36" t="str">
        <f aca="false">IF(G82=1,IF(AND(LEN(D82)&gt;7,ISNUMBER(VALUE(LEFT(D82,6))),MID(D82,7,1)=" "),LEFT(D82,6),D82),"")</f>
        <v/>
      </c>
      <c r="M82" s="36" t="str">
        <f aca="false">TRIM(J82)</f>
        <v/>
      </c>
      <c r="N82" s="36" t="str">
        <f aca="false">IF(M82="Revenue","Revenue",IF(M82="Cost of Goods Sold","COGS",IF(M82="Expenditures","Expense",IF(M82="Other Revenue","Other Revenue",IF(M82="Other Expenditures","Other Expense",N81)))))</f>
        <v/>
      </c>
      <c r="O82" s="36" t="str">
        <f aca="false">IF(OR(M82="Revenue",M82="Cost of Goods Sold",M82="Expenditures",M82="Other Revenue",M82="Other Expenditures"),N82,IF(AND(LEN(M82)&gt;2,MID(M82,2,1)=" ",ISNUMBER(VALUE(LEFT(M82,1)))),M82,O81))</f>
        <v/>
      </c>
      <c r="P82" s="36" t="n">
        <f aca="false">IF(AND(M82&lt;&gt;"",ISNUMBER(K82),LEFT(M82,9)&lt;&gt;"Total for",M82&lt;&gt;"Gross Profit",M82&lt;&gt;"Net Operating Revenue",M82&lt;&gt;"Net Other Revenue",M82&lt;&gt;"Net Revenue"),1,0)</f>
        <v>0</v>
      </c>
      <c r="Q82" s="36" t="str">
        <f aca="false">IF(P82=1,IF(AND(LEN(M82)&gt;7,ISNUMBER(VALUE(LEFT(M82,6))),MID(M82,7,1)=" "),LEFT(M82,6),M82),"")</f>
        <v/>
      </c>
      <c r="V82" s="36" t="str">
        <f aca="false">TRIM(S82)</f>
        <v/>
      </c>
      <c r="W82" s="36" t="str">
        <f aca="false">IF(V82="Revenue","Revenue",IF(V82="Cost of Goods Sold","COGS",IF(V82="Expenditures","Expense",IF(V82="Other Revenue","Other Revenue",IF(V82="Other Expenditures","Other Expense",W81)))))</f>
        <v/>
      </c>
      <c r="X82" s="36" t="str">
        <f aca="false">IF(OR(V82="Revenue",V82="Cost of Goods Sold",V82="Expenditures",V82="Other Revenue",V82="Other Expenditures"),W82,IF(AND(LEN(V82)&gt;2,MID(V82,2,1)=" ",ISNUMBER(VALUE(LEFT(V82,1)))),V82,X81))</f>
        <v/>
      </c>
      <c r="Y82" s="36" t="n">
        <f aca="false">IF(AND(V82&lt;&gt;"",ISNUMBER(T82),LEFT(V82,9)&lt;&gt;"Total for",V82&lt;&gt;"Gross Profit",V82&lt;&gt;"Net Operating Revenue",V82&lt;&gt;"Net Other Revenue",V82&lt;&gt;"Net Revenue"),1,0)</f>
        <v>0</v>
      </c>
      <c r="Z82" s="36" t="str">
        <f aca="false">IF(Y82=1,IF(AND(LEN(V82)&gt;7,ISNUMBER(VALUE(LEFT(V82,6))),MID(V82,7,1)=" "),LEFT(V82,6),V82),"")</f>
        <v/>
      </c>
      <c r="AE82" s="36" t="str">
        <f aca="false">TRIM(AB82)</f>
        <v/>
      </c>
      <c r="AF82" s="36" t="str">
        <f aca="false">IF(AE82="Revenue","Revenue",IF(AE82="Cost of Goods Sold","COGS",IF(AE82="Expenditures","Expense",IF(AE82="Other Revenue","Other Revenue",IF(AE82="Other Expenditures","Other Expense",AF81)))))</f>
        <v/>
      </c>
      <c r="AG82" s="36" t="str">
        <f aca="false">IF(OR(AE82="Revenue",AE82="Cost of Goods Sold",AE82="Expenditures",AE82="Other Revenue",AE82="Other Expenditures"),AF82,IF(AND(LEN(AE82)&gt;2,MID(AE82,2,1)=" ",ISNUMBER(VALUE(LEFT(AE82,1)))),AE82,AG81))</f>
        <v/>
      </c>
      <c r="AH82" s="36" t="n">
        <f aca="false">IF(AND(AE82&lt;&gt;"",ISNUMBER(AC82),LEFT(AE82,9)&lt;&gt;"Total for",AE82&lt;&gt;"Gross Profit",AE82&lt;&gt;"Net Operating Revenue",AE82&lt;&gt;"Net Other Revenue",AE82&lt;&gt;"Net Revenue"),1,0)</f>
        <v>0</v>
      </c>
      <c r="AI82" s="36" t="str">
        <f aca="false">IF(AH82=1,IF(AND(LEN(AE82)&gt;7,ISNUMBER(VALUE(LEFT(AE82,6))),MID(AE82,7,1)=" "),LEFT(AE82,6),AE82),"")</f>
        <v/>
      </c>
      <c r="AN82" s="36" t="str">
        <f aca="false">TRIM(AK82)</f>
        <v/>
      </c>
      <c r="AO82" s="36" t="str">
        <f aca="false">IF(AN82="Revenue","Revenue",IF(AN82="Cost of Goods Sold","COGS",IF(AN82="Expenditures","Expense",IF(AN82="Other Revenue","Other Revenue",IF(AN82="Other Expenditures","Other Expense",AO81)))))</f>
        <v/>
      </c>
      <c r="AP82" s="36" t="str">
        <f aca="false">IF(OR(AN82="Revenue",AN82="Cost of Goods Sold",AN82="Expenditures",AN82="Other Revenue",AN82="Other Expenditures"),AO82,IF(AND(LEN(AN82)&gt;2,MID(AN82,2,1)=" ",ISNUMBER(VALUE(LEFT(AN82,1)))),AN82,AP81))</f>
        <v/>
      </c>
      <c r="AQ82" s="36" t="n">
        <f aca="false">IF(AND(AN82&lt;&gt;"",ISNUMBER(AL82),LEFT(AN82,9)&lt;&gt;"Total for",AN82&lt;&gt;"Gross Profit",AN82&lt;&gt;"Net Operating Revenue",AN82&lt;&gt;"Net Other Revenue",AN82&lt;&gt;"Net Revenue"),1,0)</f>
        <v>0</v>
      </c>
      <c r="AR82" s="36" t="str">
        <f aca="false">IF(AQ82=1,IF(AND(LEN(AN82)&gt;7,ISNUMBER(VALUE(LEFT(AN82,6))),MID(AN82,7,1)=" "),LEFT(AN82,6),AN82),"")</f>
        <v/>
      </c>
    </row>
    <row r="83" customFormat="false" ht="15" hidden="false" customHeight="false" outlineLevel="0" collapsed="false">
      <c r="D83" s="36" t="str">
        <f aca="false">TRIM(A83)</f>
        <v/>
      </c>
      <c r="E83" s="36" t="str">
        <f aca="false">IF(D83="Revenue","Revenue",IF(D83="Cost of Goods Sold","COGS",IF(D83="Expenditures","Expense",IF(D83="Other Revenue","Other Revenue",IF(D83="Other Expenditures","Other Expense",E82)))))</f>
        <v/>
      </c>
      <c r="F83" s="36" t="str">
        <f aca="false">IF(OR(D83="Revenue",D83="Cost of Goods Sold",D83="Expenditures",D83="Other Revenue",D83="Other Expenditures"),E83,IF(AND(LEN(D83)&gt;2,MID(D83,2,1)=" ",ISNUMBER(VALUE(LEFT(D83,1)))),D83,F82))</f>
        <v/>
      </c>
      <c r="G83" s="36" t="n">
        <f aca="false">IF(AND(D83&lt;&gt;"",ISNUMBER(B83),LEFT(D83,9)&lt;&gt;"Total for",D83&lt;&gt;"Gross Profit",D83&lt;&gt;"Net Operating Revenue",D83&lt;&gt;"Net Other Revenue",D83&lt;&gt;"Net Revenue"),1,0)</f>
        <v>0</v>
      </c>
      <c r="H83" s="36" t="str">
        <f aca="false">IF(G83=1,IF(AND(LEN(D83)&gt;7,ISNUMBER(VALUE(LEFT(D83,6))),MID(D83,7,1)=" "),LEFT(D83,6),D83),"")</f>
        <v/>
      </c>
      <c r="M83" s="36" t="str">
        <f aca="false">TRIM(J83)</f>
        <v/>
      </c>
      <c r="N83" s="36" t="str">
        <f aca="false">IF(M83="Revenue","Revenue",IF(M83="Cost of Goods Sold","COGS",IF(M83="Expenditures","Expense",IF(M83="Other Revenue","Other Revenue",IF(M83="Other Expenditures","Other Expense",N82)))))</f>
        <v/>
      </c>
      <c r="O83" s="36" t="str">
        <f aca="false">IF(OR(M83="Revenue",M83="Cost of Goods Sold",M83="Expenditures",M83="Other Revenue",M83="Other Expenditures"),N83,IF(AND(LEN(M83)&gt;2,MID(M83,2,1)=" ",ISNUMBER(VALUE(LEFT(M83,1)))),M83,O82))</f>
        <v/>
      </c>
      <c r="P83" s="36" t="n">
        <f aca="false">IF(AND(M83&lt;&gt;"",ISNUMBER(K83),LEFT(M83,9)&lt;&gt;"Total for",M83&lt;&gt;"Gross Profit",M83&lt;&gt;"Net Operating Revenue",M83&lt;&gt;"Net Other Revenue",M83&lt;&gt;"Net Revenue"),1,0)</f>
        <v>0</v>
      </c>
      <c r="Q83" s="36" t="str">
        <f aca="false">IF(P83=1,IF(AND(LEN(M83)&gt;7,ISNUMBER(VALUE(LEFT(M83,6))),MID(M83,7,1)=" "),LEFT(M83,6),M83),"")</f>
        <v/>
      </c>
      <c r="V83" s="36" t="str">
        <f aca="false">TRIM(S83)</f>
        <v/>
      </c>
      <c r="W83" s="36" t="str">
        <f aca="false">IF(V83="Revenue","Revenue",IF(V83="Cost of Goods Sold","COGS",IF(V83="Expenditures","Expense",IF(V83="Other Revenue","Other Revenue",IF(V83="Other Expenditures","Other Expense",W82)))))</f>
        <v/>
      </c>
      <c r="X83" s="36" t="str">
        <f aca="false">IF(OR(V83="Revenue",V83="Cost of Goods Sold",V83="Expenditures",V83="Other Revenue",V83="Other Expenditures"),W83,IF(AND(LEN(V83)&gt;2,MID(V83,2,1)=" ",ISNUMBER(VALUE(LEFT(V83,1)))),V83,X82))</f>
        <v/>
      </c>
      <c r="Y83" s="36" t="n">
        <f aca="false">IF(AND(V83&lt;&gt;"",ISNUMBER(T83),LEFT(V83,9)&lt;&gt;"Total for",V83&lt;&gt;"Gross Profit",V83&lt;&gt;"Net Operating Revenue",V83&lt;&gt;"Net Other Revenue",V83&lt;&gt;"Net Revenue"),1,0)</f>
        <v>0</v>
      </c>
      <c r="Z83" s="36" t="str">
        <f aca="false">IF(Y83=1,IF(AND(LEN(V83)&gt;7,ISNUMBER(VALUE(LEFT(V83,6))),MID(V83,7,1)=" "),LEFT(V83,6),V83),"")</f>
        <v/>
      </c>
      <c r="AE83" s="36" t="str">
        <f aca="false">TRIM(AB83)</f>
        <v/>
      </c>
      <c r="AF83" s="36" t="str">
        <f aca="false">IF(AE83="Revenue","Revenue",IF(AE83="Cost of Goods Sold","COGS",IF(AE83="Expenditures","Expense",IF(AE83="Other Revenue","Other Revenue",IF(AE83="Other Expenditures","Other Expense",AF82)))))</f>
        <v/>
      </c>
      <c r="AG83" s="36" t="str">
        <f aca="false">IF(OR(AE83="Revenue",AE83="Cost of Goods Sold",AE83="Expenditures",AE83="Other Revenue",AE83="Other Expenditures"),AF83,IF(AND(LEN(AE83)&gt;2,MID(AE83,2,1)=" ",ISNUMBER(VALUE(LEFT(AE83,1)))),AE83,AG82))</f>
        <v/>
      </c>
      <c r="AH83" s="36" t="n">
        <f aca="false">IF(AND(AE83&lt;&gt;"",ISNUMBER(AC83),LEFT(AE83,9)&lt;&gt;"Total for",AE83&lt;&gt;"Gross Profit",AE83&lt;&gt;"Net Operating Revenue",AE83&lt;&gt;"Net Other Revenue",AE83&lt;&gt;"Net Revenue"),1,0)</f>
        <v>0</v>
      </c>
      <c r="AI83" s="36" t="str">
        <f aca="false">IF(AH83=1,IF(AND(LEN(AE83)&gt;7,ISNUMBER(VALUE(LEFT(AE83,6))),MID(AE83,7,1)=" "),LEFT(AE83,6),AE83),"")</f>
        <v/>
      </c>
      <c r="AN83" s="36" t="str">
        <f aca="false">TRIM(AK83)</f>
        <v/>
      </c>
      <c r="AO83" s="36" t="str">
        <f aca="false">IF(AN83="Revenue","Revenue",IF(AN83="Cost of Goods Sold","COGS",IF(AN83="Expenditures","Expense",IF(AN83="Other Revenue","Other Revenue",IF(AN83="Other Expenditures","Other Expense",AO82)))))</f>
        <v/>
      </c>
      <c r="AP83" s="36" t="str">
        <f aca="false">IF(OR(AN83="Revenue",AN83="Cost of Goods Sold",AN83="Expenditures",AN83="Other Revenue",AN83="Other Expenditures"),AO83,IF(AND(LEN(AN83)&gt;2,MID(AN83,2,1)=" ",ISNUMBER(VALUE(LEFT(AN83,1)))),AN83,AP82))</f>
        <v/>
      </c>
      <c r="AQ83" s="36" t="n">
        <f aca="false">IF(AND(AN83&lt;&gt;"",ISNUMBER(AL83),LEFT(AN83,9)&lt;&gt;"Total for",AN83&lt;&gt;"Gross Profit",AN83&lt;&gt;"Net Operating Revenue",AN83&lt;&gt;"Net Other Revenue",AN83&lt;&gt;"Net Revenue"),1,0)</f>
        <v>0</v>
      </c>
      <c r="AR83" s="36" t="str">
        <f aca="false">IF(AQ83=1,IF(AND(LEN(AN83)&gt;7,ISNUMBER(VALUE(LEFT(AN83,6))),MID(AN83,7,1)=" "),LEFT(AN83,6),AN83),"")</f>
        <v/>
      </c>
    </row>
    <row r="84" customFormat="false" ht="15" hidden="false" customHeight="false" outlineLevel="0" collapsed="false">
      <c r="D84" s="36" t="str">
        <f aca="false">TRIM(A84)</f>
        <v/>
      </c>
      <c r="E84" s="36" t="str">
        <f aca="false">IF(D84="Revenue","Revenue",IF(D84="Cost of Goods Sold","COGS",IF(D84="Expenditures","Expense",IF(D84="Other Revenue","Other Revenue",IF(D84="Other Expenditures","Other Expense",E83)))))</f>
        <v/>
      </c>
      <c r="F84" s="36" t="str">
        <f aca="false">IF(OR(D84="Revenue",D84="Cost of Goods Sold",D84="Expenditures",D84="Other Revenue",D84="Other Expenditures"),E84,IF(AND(LEN(D84)&gt;2,MID(D84,2,1)=" ",ISNUMBER(VALUE(LEFT(D84,1)))),D84,F83))</f>
        <v/>
      </c>
      <c r="G84" s="36" t="n">
        <f aca="false">IF(AND(D84&lt;&gt;"",ISNUMBER(B84),LEFT(D84,9)&lt;&gt;"Total for",D84&lt;&gt;"Gross Profit",D84&lt;&gt;"Net Operating Revenue",D84&lt;&gt;"Net Other Revenue",D84&lt;&gt;"Net Revenue"),1,0)</f>
        <v>0</v>
      </c>
      <c r="H84" s="36" t="str">
        <f aca="false">IF(G84=1,IF(AND(LEN(D84)&gt;7,ISNUMBER(VALUE(LEFT(D84,6))),MID(D84,7,1)=" "),LEFT(D84,6),D84),"")</f>
        <v/>
      </c>
      <c r="M84" s="36" t="str">
        <f aca="false">TRIM(J84)</f>
        <v/>
      </c>
      <c r="N84" s="36" t="str">
        <f aca="false">IF(M84="Revenue","Revenue",IF(M84="Cost of Goods Sold","COGS",IF(M84="Expenditures","Expense",IF(M84="Other Revenue","Other Revenue",IF(M84="Other Expenditures","Other Expense",N83)))))</f>
        <v/>
      </c>
      <c r="O84" s="36" t="str">
        <f aca="false">IF(OR(M84="Revenue",M84="Cost of Goods Sold",M84="Expenditures",M84="Other Revenue",M84="Other Expenditures"),N84,IF(AND(LEN(M84)&gt;2,MID(M84,2,1)=" ",ISNUMBER(VALUE(LEFT(M84,1)))),M84,O83))</f>
        <v/>
      </c>
      <c r="P84" s="36" t="n">
        <f aca="false">IF(AND(M84&lt;&gt;"",ISNUMBER(K84),LEFT(M84,9)&lt;&gt;"Total for",M84&lt;&gt;"Gross Profit",M84&lt;&gt;"Net Operating Revenue",M84&lt;&gt;"Net Other Revenue",M84&lt;&gt;"Net Revenue"),1,0)</f>
        <v>0</v>
      </c>
      <c r="Q84" s="36" t="str">
        <f aca="false">IF(P84=1,IF(AND(LEN(M84)&gt;7,ISNUMBER(VALUE(LEFT(M84,6))),MID(M84,7,1)=" "),LEFT(M84,6),M84),"")</f>
        <v/>
      </c>
      <c r="V84" s="36" t="str">
        <f aca="false">TRIM(S84)</f>
        <v/>
      </c>
      <c r="W84" s="36" t="str">
        <f aca="false">IF(V84="Revenue","Revenue",IF(V84="Cost of Goods Sold","COGS",IF(V84="Expenditures","Expense",IF(V84="Other Revenue","Other Revenue",IF(V84="Other Expenditures","Other Expense",W83)))))</f>
        <v/>
      </c>
      <c r="X84" s="36" t="str">
        <f aca="false">IF(OR(V84="Revenue",V84="Cost of Goods Sold",V84="Expenditures",V84="Other Revenue",V84="Other Expenditures"),W84,IF(AND(LEN(V84)&gt;2,MID(V84,2,1)=" ",ISNUMBER(VALUE(LEFT(V84,1)))),V84,X83))</f>
        <v/>
      </c>
      <c r="Y84" s="36" t="n">
        <f aca="false">IF(AND(V84&lt;&gt;"",ISNUMBER(T84),LEFT(V84,9)&lt;&gt;"Total for",V84&lt;&gt;"Gross Profit",V84&lt;&gt;"Net Operating Revenue",V84&lt;&gt;"Net Other Revenue",V84&lt;&gt;"Net Revenue"),1,0)</f>
        <v>0</v>
      </c>
      <c r="Z84" s="36" t="str">
        <f aca="false">IF(Y84=1,IF(AND(LEN(V84)&gt;7,ISNUMBER(VALUE(LEFT(V84,6))),MID(V84,7,1)=" "),LEFT(V84,6),V84),"")</f>
        <v/>
      </c>
      <c r="AE84" s="36" t="str">
        <f aca="false">TRIM(AB84)</f>
        <v/>
      </c>
      <c r="AF84" s="36" t="str">
        <f aca="false">IF(AE84="Revenue","Revenue",IF(AE84="Cost of Goods Sold","COGS",IF(AE84="Expenditures","Expense",IF(AE84="Other Revenue","Other Revenue",IF(AE84="Other Expenditures","Other Expense",AF83)))))</f>
        <v/>
      </c>
      <c r="AG84" s="36" t="str">
        <f aca="false">IF(OR(AE84="Revenue",AE84="Cost of Goods Sold",AE84="Expenditures",AE84="Other Revenue",AE84="Other Expenditures"),AF84,IF(AND(LEN(AE84)&gt;2,MID(AE84,2,1)=" ",ISNUMBER(VALUE(LEFT(AE84,1)))),AE84,AG83))</f>
        <v/>
      </c>
      <c r="AH84" s="36" t="n">
        <f aca="false">IF(AND(AE84&lt;&gt;"",ISNUMBER(AC84),LEFT(AE84,9)&lt;&gt;"Total for",AE84&lt;&gt;"Gross Profit",AE84&lt;&gt;"Net Operating Revenue",AE84&lt;&gt;"Net Other Revenue",AE84&lt;&gt;"Net Revenue"),1,0)</f>
        <v>0</v>
      </c>
      <c r="AI84" s="36" t="str">
        <f aca="false">IF(AH84=1,IF(AND(LEN(AE84)&gt;7,ISNUMBER(VALUE(LEFT(AE84,6))),MID(AE84,7,1)=" "),LEFT(AE84,6),AE84),"")</f>
        <v/>
      </c>
      <c r="AN84" s="36" t="str">
        <f aca="false">TRIM(AK84)</f>
        <v/>
      </c>
      <c r="AO84" s="36" t="str">
        <f aca="false">IF(AN84="Revenue","Revenue",IF(AN84="Cost of Goods Sold","COGS",IF(AN84="Expenditures","Expense",IF(AN84="Other Revenue","Other Revenue",IF(AN84="Other Expenditures","Other Expense",AO83)))))</f>
        <v/>
      </c>
      <c r="AP84" s="36" t="str">
        <f aca="false">IF(OR(AN84="Revenue",AN84="Cost of Goods Sold",AN84="Expenditures",AN84="Other Revenue",AN84="Other Expenditures"),AO84,IF(AND(LEN(AN84)&gt;2,MID(AN84,2,1)=" ",ISNUMBER(VALUE(LEFT(AN84,1)))),AN84,AP83))</f>
        <v/>
      </c>
      <c r="AQ84" s="36" t="n">
        <f aca="false">IF(AND(AN84&lt;&gt;"",ISNUMBER(AL84),LEFT(AN84,9)&lt;&gt;"Total for",AN84&lt;&gt;"Gross Profit",AN84&lt;&gt;"Net Operating Revenue",AN84&lt;&gt;"Net Other Revenue",AN84&lt;&gt;"Net Revenue"),1,0)</f>
        <v>0</v>
      </c>
      <c r="AR84" s="36" t="str">
        <f aca="false">IF(AQ84=1,IF(AND(LEN(AN84)&gt;7,ISNUMBER(VALUE(LEFT(AN84,6))),MID(AN84,7,1)=" "),LEFT(AN84,6),AN84),"")</f>
        <v/>
      </c>
    </row>
    <row r="85" customFormat="false" ht="15" hidden="false" customHeight="false" outlineLevel="0" collapsed="false">
      <c r="D85" s="36" t="str">
        <f aca="false">TRIM(A85)</f>
        <v/>
      </c>
      <c r="E85" s="36" t="str">
        <f aca="false">IF(D85="Revenue","Revenue",IF(D85="Cost of Goods Sold","COGS",IF(D85="Expenditures","Expense",IF(D85="Other Revenue","Other Revenue",IF(D85="Other Expenditures","Other Expense",E84)))))</f>
        <v/>
      </c>
      <c r="F85" s="36" t="str">
        <f aca="false">IF(OR(D85="Revenue",D85="Cost of Goods Sold",D85="Expenditures",D85="Other Revenue",D85="Other Expenditures"),E85,IF(AND(LEN(D85)&gt;2,MID(D85,2,1)=" ",ISNUMBER(VALUE(LEFT(D85,1)))),D85,F84))</f>
        <v/>
      </c>
      <c r="G85" s="36" t="n">
        <f aca="false">IF(AND(D85&lt;&gt;"",ISNUMBER(B85),LEFT(D85,9)&lt;&gt;"Total for",D85&lt;&gt;"Gross Profit",D85&lt;&gt;"Net Operating Revenue",D85&lt;&gt;"Net Other Revenue",D85&lt;&gt;"Net Revenue"),1,0)</f>
        <v>0</v>
      </c>
      <c r="H85" s="36" t="str">
        <f aca="false">IF(G85=1,IF(AND(LEN(D85)&gt;7,ISNUMBER(VALUE(LEFT(D85,6))),MID(D85,7,1)=" "),LEFT(D85,6),D85),"")</f>
        <v/>
      </c>
      <c r="M85" s="36" t="str">
        <f aca="false">TRIM(J85)</f>
        <v/>
      </c>
      <c r="N85" s="36" t="str">
        <f aca="false">IF(M85="Revenue","Revenue",IF(M85="Cost of Goods Sold","COGS",IF(M85="Expenditures","Expense",IF(M85="Other Revenue","Other Revenue",IF(M85="Other Expenditures","Other Expense",N84)))))</f>
        <v/>
      </c>
      <c r="O85" s="36" t="str">
        <f aca="false">IF(OR(M85="Revenue",M85="Cost of Goods Sold",M85="Expenditures",M85="Other Revenue",M85="Other Expenditures"),N85,IF(AND(LEN(M85)&gt;2,MID(M85,2,1)=" ",ISNUMBER(VALUE(LEFT(M85,1)))),M85,O84))</f>
        <v/>
      </c>
      <c r="P85" s="36" t="n">
        <f aca="false">IF(AND(M85&lt;&gt;"",ISNUMBER(K85),LEFT(M85,9)&lt;&gt;"Total for",M85&lt;&gt;"Gross Profit",M85&lt;&gt;"Net Operating Revenue",M85&lt;&gt;"Net Other Revenue",M85&lt;&gt;"Net Revenue"),1,0)</f>
        <v>0</v>
      </c>
      <c r="Q85" s="36" t="str">
        <f aca="false">IF(P85=1,IF(AND(LEN(M85)&gt;7,ISNUMBER(VALUE(LEFT(M85,6))),MID(M85,7,1)=" "),LEFT(M85,6),M85),"")</f>
        <v/>
      </c>
      <c r="V85" s="36" t="str">
        <f aca="false">TRIM(S85)</f>
        <v/>
      </c>
      <c r="W85" s="36" t="str">
        <f aca="false">IF(V85="Revenue","Revenue",IF(V85="Cost of Goods Sold","COGS",IF(V85="Expenditures","Expense",IF(V85="Other Revenue","Other Revenue",IF(V85="Other Expenditures","Other Expense",W84)))))</f>
        <v/>
      </c>
      <c r="X85" s="36" t="str">
        <f aca="false">IF(OR(V85="Revenue",V85="Cost of Goods Sold",V85="Expenditures",V85="Other Revenue",V85="Other Expenditures"),W85,IF(AND(LEN(V85)&gt;2,MID(V85,2,1)=" ",ISNUMBER(VALUE(LEFT(V85,1)))),V85,X84))</f>
        <v/>
      </c>
      <c r="Y85" s="36" t="n">
        <f aca="false">IF(AND(V85&lt;&gt;"",ISNUMBER(T85),LEFT(V85,9)&lt;&gt;"Total for",V85&lt;&gt;"Gross Profit",V85&lt;&gt;"Net Operating Revenue",V85&lt;&gt;"Net Other Revenue",V85&lt;&gt;"Net Revenue"),1,0)</f>
        <v>0</v>
      </c>
      <c r="Z85" s="36" t="str">
        <f aca="false">IF(Y85=1,IF(AND(LEN(V85)&gt;7,ISNUMBER(VALUE(LEFT(V85,6))),MID(V85,7,1)=" "),LEFT(V85,6),V85),"")</f>
        <v/>
      </c>
      <c r="AE85" s="36" t="str">
        <f aca="false">TRIM(AB85)</f>
        <v/>
      </c>
      <c r="AF85" s="36" t="str">
        <f aca="false">IF(AE85="Revenue","Revenue",IF(AE85="Cost of Goods Sold","COGS",IF(AE85="Expenditures","Expense",IF(AE85="Other Revenue","Other Revenue",IF(AE85="Other Expenditures","Other Expense",AF84)))))</f>
        <v/>
      </c>
      <c r="AG85" s="36" t="str">
        <f aca="false">IF(OR(AE85="Revenue",AE85="Cost of Goods Sold",AE85="Expenditures",AE85="Other Revenue",AE85="Other Expenditures"),AF85,IF(AND(LEN(AE85)&gt;2,MID(AE85,2,1)=" ",ISNUMBER(VALUE(LEFT(AE85,1)))),AE85,AG84))</f>
        <v/>
      </c>
      <c r="AH85" s="36" t="n">
        <f aca="false">IF(AND(AE85&lt;&gt;"",ISNUMBER(AC85),LEFT(AE85,9)&lt;&gt;"Total for",AE85&lt;&gt;"Gross Profit",AE85&lt;&gt;"Net Operating Revenue",AE85&lt;&gt;"Net Other Revenue",AE85&lt;&gt;"Net Revenue"),1,0)</f>
        <v>0</v>
      </c>
      <c r="AI85" s="36" t="str">
        <f aca="false">IF(AH85=1,IF(AND(LEN(AE85)&gt;7,ISNUMBER(VALUE(LEFT(AE85,6))),MID(AE85,7,1)=" "),LEFT(AE85,6),AE85),"")</f>
        <v/>
      </c>
      <c r="AN85" s="36" t="str">
        <f aca="false">TRIM(AK85)</f>
        <v/>
      </c>
      <c r="AO85" s="36" t="str">
        <f aca="false">IF(AN85="Revenue","Revenue",IF(AN85="Cost of Goods Sold","COGS",IF(AN85="Expenditures","Expense",IF(AN85="Other Revenue","Other Revenue",IF(AN85="Other Expenditures","Other Expense",AO84)))))</f>
        <v/>
      </c>
      <c r="AP85" s="36" t="str">
        <f aca="false">IF(OR(AN85="Revenue",AN85="Cost of Goods Sold",AN85="Expenditures",AN85="Other Revenue",AN85="Other Expenditures"),AO85,IF(AND(LEN(AN85)&gt;2,MID(AN85,2,1)=" ",ISNUMBER(VALUE(LEFT(AN85,1)))),AN85,AP84))</f>
        <v/>
      </c>
      <c r="AQ85" s="36" t="n">
        <f aca="false">IF(AND(AN85&lt;&gt;"",ISNUMBER(AL85),LEFT(AN85,9)&lt;&gt;"Total for",AN85&lt;&gt;"Gross Profit",AN85&lt;&gt;"Net Operating Revenue",AN85&lt;&gt;"Net Other Revenue",AN85&lt;&gt;"Net Revenue"),1,0)</f>
        <v>0</v>
      </c>
      <c r="AR85" s="36" t="str">
        <f aca="false">IF(AQ85=1,IF(AND(LEN(AN85)&gt;7,ISNUMBER(VALUE(LEFT(AN85,6))),MID(AN85,7,1)=" "),LEFT(AN85,6),AN85),"")</f>
        <v/>
      </c>
    </row>
    <row r="86" customFormat="false" ht="15" hidden="false" customHeight="false" outlineLevel="0" collapsed="false">
      <c r="D86" s="36" t="str">
        <f aca="false">TRIM(A86)</f>
        <v/>
      </c>
      <c r="E86" s="36" t="str">
        <f aca="false">IF(D86="Revenue","Revenue",IF(D86="Cost of Goods Sold","COGS",IF(D86="Expenditures","Expense",IF(D86="Other Revenue","Other Revenue",IF(D86="Other Expenditures","Other Expense",E85)))))</f>
        <v/>
      </c>
      <c r="F86" s="36" t="str">
        <f aca="false">IF(OR(D86="Revenue",D86="Cost of Goods Sold",D86="Expenditures",D86="Other Revenue",D86="Other Expenditures"),E86,IF(AND(LEN(D86)&gt;2,MID(D86,2,1)=" ",ISNUMBER(VALUE(LEFT(D86,1)))),D86,F85))</f>
        <v/>
      </c>
      <c r="G86" s="36" t="n">
        <f aca="false">IF(AND(D86&lt;&gt;"",ISNUMBER(B86),LEFT(D86,9)&lt;&gt;"Total for",D86&lt;&gt;"Gross Profit",D86&lt;&gt;"Net Operating Revenue",D86&lt;&gt;"Net Other Revenue",D86&lt;&gt;"Net Revenue"),1,0)</f>
        <v>0</v>
      </c>
      <c r="H86" s="36" t="str">
        <f aca="false">IF(G86=1,IF(AND(LEN(D86)&gt;7,ISNUMBER(VALUE(LEFT(D86,6))),MID(D86,7,1)=" "),LEFT(D86,6),D86),"")</f>
        <v/>
      </c>
      <c r="M86" s="36" t="str">
        <f aca="false">TRIM(J86)</f>
        <v/>
      </c>
      <c r="N86" s="36" t="str">
        <f aca="false">IF(M86="Revenue","Revenue",IF(M86="Cost of Goods Sold","COGS",IF(M86="Expenditures","Expense",IF(M86="Other Revenue","Other Revenue",IF(M86="Other Expenditures","Other Expense",N85)))))</f>
        <v/>
      </c>
      <c r="O86" s="36" t="str">
        <f aca="false">IF(OR(M86="Revenue",M86="Cost of Goods Sold",M86="Expenditures",M86="Other Revenue",M86="Other Expenditures"),N86,IF(AND(LEN(M86)&gt;2,MID(M86,2,1)=" ",ISNUMBER(VALUE(LEFT(M86,1)))),M86,O85))</f>
        <v/>
      </c>
      <c r="P86" s="36" t="n">
        <f aca="false">IF(AND(M86&lt;&gt;"",ISNUMBER(K86),LEFT(M86,9)&lt;&gt;"Total for",M86&lt;&gt;"Gross Profit",M86&lt;&gt;"Net Operating Revenue",M86&lt;&gt;"Net Other Revenue",M86&lt;&gt;"Net Revenue"),1,0)</f>
        <v>0</v>
      </c>
      <c r="Q86" s="36" t="str">
        <f aca="false">IF(P86=1,IF(AND(LEN(M86)&gt;7,ISNUMBER(VALUE(LEFT(M86,6))),MID(M86,7,1)=" "),LEFT(M86,6),M86),"")</f>
        <v/>
      </c>
      <c r="V86" s="36" t="str">
        <f aca="false">TRIM(S86)</f>
        <v/>
      </c>
      <c r="W86" s="36" t="str">
        <f aca="false">IF(V86="Revenue","Revenue",IF(V86="Cost of Goods Sold","COGS",IF(V86="Expenditures","Expense",IF(V86="Other Revenue","Other Revenue",IF(V86="Other Expenditures","Other Expense",W85)))))</f>
        <v/>
      </c>
      <c r="X86" s="36" t="str">
        <f aca="false">IF(OR(V86="Revenue",V86="Cost of Goods Sold",V86="Expenditures",V86="Other Revenue",V86="Other Expenditures"),W86,IF(AND(LEN(V86)&gt;2,MID(V86,2,1)=" ",ISNUMBER(VALUE(LEFT(V86,1)))),V86,X85))</f>
        <v/>
      </c>
      <c r="Y86" s="36" t="n">
        <f aca="false">IF(AND(V86&lt;&gt;"",ISNUMBER(T86),LEFT(V86,9)&lt;&gt;"Total for",V86&lt;&gt;"Gross Profit",V86&lt;&gt;"Net Operating Revenue",V86&lt;&gt;"Net Other Revenue",V86&lt;&gt;"Net Revenue"),1,0)</f>
        <v>0</v>
      </c>
      <c r="Z86" s="36" t="str">
        <f aca="false">IF(Y86=1,IF(AND(LEN(V86)&gt;7,ISNUMBER(VALUE(LEFT(V86,6))),MID(V86,7,1)=" "),LEFT(V86,6),V86),"")</f>
        <v/>
      </c>
      <c r="AE86" s="36" t="str">
        <f aca="false">TRIM(AB86)</f>
        <v/>
      </c>
      <c r="AF86" s="36" t="str">
        <f aca="false">IF(AE86="Revenue","Revenue",IF(AE86="Cost of Goods Sold","COGS",IF(AE86="Expenditures","Expense",IF(AE86="Other Revenue","Other Revenue",IF(AE86="Other Expenditures","Other Expense",AF85)))))</f>
        <v/>
      </c>
      <c r="AG86" s="36" t="str">
        <f aca="false">IF(OR(AE86="Revenue",AE86="Cost of Goods Sold",AE86="Expenditures",AE86="Other Revenue",AE86="Other Expenditures"),AF86,IF(AND(LEN(AE86)&gt;2,MID(AE86,2,1)=" ",ISNUMBER(VALUE(LEFT(AE86,1)))),AE86,AG85))</f>
        <v/>
      </c>
      <c r="AH86" s="36" t="n">
        <f aca="false">IF(AND(AE86&lt;&gt;"",ISNUMBER(AC86),LEFT(AE86,9)&lt;&gt;"Total for",AE86&lt;&gt;"Gross Profit",AE86&lt;&gt;"Net Operating Revenue",AE86&lt;&gt;"Net Other Revenue",AE86&lt;&gt;"Net Revenue"),1,0)</f>
        <v>0</v>
      </c>
      <c r="AI86" s="36" t="str">
        <f aca="false">IF(AH86=1,IF(AND(LEN(AE86)&gt;7,ISNUMBER(VALUE(LEFT(AE86,6))),MID(AE86,7,1)=" "),LEFT(AE86,6),AE86),"")</f>
        <v/>
      </c>
      <c r="AN86" s="36" t="str">
        <f aca="false">TRIM(AK86)</f>
        <v/>
      </c>
      <c r="AO86" s="36" t="str">
        <f aca="false">IF(AN86="Revenue","Revenue",IF(AN86="Cost of Goods Sold","COGS",IF(AN86="Expenditures","Expense",IF(AN86="Other Revenue","Other Revenue",IF(AN86="Other Expenditures","Other Expense",AO85)))))</f>
        <v/>
      </c>
      <c r="AP86" s="36" t="str">
        <f aca="false">IF(OR(AN86="Revenue",AN86="Cost of Goods Sold",AN86="Expenditures",AN86="Other Revenue",AN86="Other Expenditures"),AO86,IF(AND(LEN(AN86)&gt;2,MID(AN86,2,1)=" ",ISNUMBER(VALUE(LEFT(AN86,1)))),AN86,AP85))</f>
        <v/>
      </c>
      <c r="AQ86" s="36" t="n">
        <f aca="false">IF(AND(AN86&lt;&gt;"",ISNUMBER(AL86),LEFT(AN86,9)&lt;&gt;"Total for",AN86&lt;&gt;"Gross Profit",AN86&lt;&gt;"Net Operating Revenue",AN86&lt;&gt;"Net Other Revenue",AN86&lt;&gt;"Net Revenue"),1,0)</f>
        <v>0</v>
      </c>
      <c r="AR86" s="36" t="str">
        <f aca="false">IF(AQ86=1,IF(AND(LEN(AN86)&gt;7,ISNUMBER(VALUE(LEFT(AN86,6))),MID(AN86,7,1)=" "),LEFT(AN86,6),AN86),"")</f>
        <v/>
      </c>
    </row>
    <row r="87" customFormat="false" ht="15" hidden="false" customHeight="false" outlineLevel="0" collapsed="false">
      <c r="D87" s="36" t="str">
        <f aca="false">TRIM(A87)</f>
        <v/>
      </c>
      <c r="E87" s="36" t="str">
        <f aca="false">IF(D87="Revenue","Revenue",IF(D87="Cost of Goods Sold","COGS",IF(D87="Expenditures","Expense",IF(D87="Other Revenue","Other Revenue",IF(D87="Other Expenditures","Other Expense",E86)))))</f>
        <v/>
      </c>
      <c r="F87" s="36" t="str">
        <f aca="false">IF(OR(D87="Revenue",D87="Cost of Goods Sold",D87="Expenditures",D87="Other Revenue",D87="Other Expenditures"),E87,IF(AND(LEN(D87)&gt;2,MID(D87,2,1)=" ",ISNUMBER(VALUE(LEFT(D87,1)))),D87,F86))</f>
        <v/>
      </c>
      <c r="G87" s="36" t="n">
        <f aca="false">IF(AND(D87&lt;&gt;"",ISNUMBER(B87),LEFT(D87,9)&lt;&gt;"Total for",D87&lt;&gt;"Gross Profit",D87&lt;&gt;"Net Operating Revenue",D87&lt;&gt;"Net Other Revenue",D87&lt;&gt;"Net Revenue"),1,0)</f>
        <v>0</v>
      </c>
      <c r="H87" s="36" t="str">
        <f aca="false">IF(G87=1,IF(AND(LEN(D87)&gt;7,ISNUMBER(VALUE(LEFT(D87,6))),MID(D87,7,1)=" "),LEFT(D87,6),D87),"")</f>
        <v/>
      </c>
      <c r="M87" s="36" t="str">
        <f aca="false">TRIM(J87)</f>
        <v/>
      </c>
      <c r="N87" s="36" t="str">
        <f aca="false">IF(M87="Revenue","Revenue",IF(M87="Cost of Goods Sold","COGS",IF(M87="Expenditures","Expense",IF(M87="Other Revenue","Other Revenue",IF(M87="Other Expenditures","Other Expense",N86)))))</f>
        <v/>
      </c>
      <c r="O87" s="36" t="str">
        <f aca="false">IF(OR(M87="Revenue",M87="Cost of Goods Sold",M87="Expenditures",M87="Other Revenue",M87="Other Expenditures"),N87,IF(AND(LEN(M87)&gt;2,MID(M87,2,1)=" ",ISNUMBER(VALUE(LEFT(M87,1)))),M87,O86))</f>
        <v/>
      </c>
      <c r="P87" s="36" t="n">
        <f aca="false">IF(AND(M87&lt;&gt;"",ISNUMBER(K87),LEFT(M87,9)&lt;&gt;"Total for",M87&lt;&gt;"Gross Profit",M87&lt;&gt;"Net Operating Revenue",M87&lt;&gt;"Net Other Revenue",M87&lt;&gt;"Net Revenue"),1,0)</f>
        <v>0</v>
      </c>
      <c r="Q87" s="36" t="str">
        <f aca="false">IF(P87=1,IF(AND(LEN(M87)&gt;7,ISNUMBER(VALUE(LEFT(M87,6))),MID(M87,7,1)=" "),LEFT(M87,6),M87),"")</f>
        <v/>
      </c>
      <c r="V87" s="36" t="str">
        <f aca="false">TRIM(S87)</f>
        <v/>
      </c>
      <c r="W87" s="36" t="str">
        <f aca="false">IF(V87="Revenue","Revenue",IF(V87="Cost of Goods Sold","COGS",IF(V87="Expenditures","Expense",IF(V87="Other Revenue","Other Revenue",IF(V87="Other Expenditures","Other Expense",W86)))))</f>
        <v/>
      </c>
      <c r="X87" s="36" t="str">
        <f aca="false">IF(OR(V87="Revenue",V87="Cost of Goods Sold",V87="Expenditures",V87="Other Revenue",V87="Other Expenditures"),W87,IF(AND(LEN(V87)&gt;2,MID(V87,2,1)=" ",ISNUMBER(VALUE(LEFT(V87,1)))),V87,X86))</f>
        <v/>
      </c>
      <c r="Y87" s="36" t="n">
        <f aca="false">IF(AND(V87&lt;&gt;"",ISNUMBER(T87),LEFT(V87,9)&lt;&gt;"Total for",V87&lt;&gt;"Gross Profit",V87&lt;&gt;"Net Operating Revenue",V87&lt;&gt;"Net Other Revenue",V87&lt;&gt;"Net Revenue"),1,0)</f>
        <v>0</v>
      </c>
      <c r="Z87" s="36" t="str">
        <f aca="false">IF(Y87=1,IF(AND(LEN(V87)&gt;7,ISNUMBER(VALUE(LEFT(V87,6))),MID(V87,7,1)=" "),LEFT(V87,6),V87),"")</f>
        <v/>
      </c>
      <c r="AE87" s="36" t="str">
        <f aca="false">TRIM(AB87)</f>
        <v/>
      </c>
      <c r="AF87" s="36" t="str">
        <f aca="false">IF(AE87="Revenue","Revenue",IF(AE87="Cost of Goods Sold","COGS",IF(AE87="Expenditures","Expense",IF(AE87="Other Revenue","Other Revenue",IF(AE87="Other Expenditures","Other Expense",AF86)))))</f>
        <v/>
      </c>
      <c r="AG87" s="36" t="str">
        <f aca="false">IF(OR(AE87="Revenue",AE87="Cost of Goods Sold",AE87="Expenditures",AE87="Other Revenue",AE87="Other Expenditures"),AF87,IF(AND(LEN(AE87)&gt;2,MID(AE87,2,1)=" ",ISNUMBER(VALUE(LEFT(AE87,1)))),AE87,AG86))</f>
        <v/>
      </c>
      <c r="AH87" s="36" t="n">
        <f aca="false">IF(AND(AE87&lt;&gt;"",ISNUMBER(AC87),LEFT(AE87,9)&lt;&gt;"Total for",AE87&lt;&gt;"Gross Profit",AE87&lt;&gt;"Net Operating Revenue",AE87&lt;&gt;"Net Other Revenue",AE87&lt;&gt;"Net Revenue"),1,0)</f>
        <v>0</v>
      </c>
      <c r="AI87" s="36" t="str">
        <f aca="false">IF(AH87=1,IF(AND(LEN(AE87)&gt;7,ISNUMBER(VALUE(LEFT(AE87,6))),MID(AE87,7,1)=" "),LEFT(AE87,6),AE87),"")</f>
        <v/>
      </c>
      <c r="AN87" s="36" t="str">
        <f aca="false">TRIM(AK87)</f>
        <v/>
      </c>
      <c r="AO87" s="36" t="str">
        <f aca="false">IF(AN87="Revenue","Revenue",IF(AN87="Cost of Goods Sold","COGS",IF(AN87="Expenditures","Expense",IF(AN87="Other Revenue","Other Revenue",IF(AN87="Other Expenditures","Other Expense",AO86)))))</f>
        <v/>
      </c>
      <c r="AP87" s="36" t="str">
        <f aca="false">IF(OR(AN87="Revenue",AN87="Cost of Goods Sold",AN87="Expenditures",AN87="Other Revenue",AN87="Other Expenditures"),AO87,IF(AND(LEN(AN87)&gt;2,MID(AN87,2,1)=" ",ISNUMBER(VALUE(LEFT(AN87,1)))),AN87,AP86))</f>
        <v/>
      </c>
      <c r="AQ87" s="36" t="n">
        <f aca="false">IF(AND(AN87&lt;&gt;"",ISNUMBER(AL87),LEFT(AN87,9)&lt;&gt;"Total for",AN87&lt;&gt;"Gross Profit",AN87&lt;&gt;"Net Operating Revenue",AN87&lt;&gt;"Net Other Revenue",AN87&lt;&gt;"Net Revenue"),1,0)</f>
        <v>0</v>
      </c>
      <c r="AR87" s="36" t="str">
        <f aca="false">IF(AQ87=1,IF(AND(LEN(AN87)&gt;7,ISNUMBER(VALUE(LEFT(AN87,6))),MID(AN87,7,1)=" "),LEFT(AN87,6),AN87),"")</f>
        <v/>
      </c>
    </row>
    <row r="88" customFormat="false" ht="15" hidden="false" customHeight="false" outlineLevel="0" collapsed="false">
      <c r="D88" s="36" t="str">
        <f aca="false">TRIM(A88)</f>
        <v/>
      </c>
      <c r="E88" s="36" t="str">
        <f aca="false">IF(D88="Revenue","Revenue",IF(D88="Cost of Goods Sold","COGS",IF(D88="Expenditures","Expense",IF(D88="Other Revenue","Other Revenue",IF(D88="Other Expenditures","Other Expense",E87)))))</f>
        <v/>
      </c>
      <c r="F88" s="36" t="str">
        <f aca="false">IF(OR(D88="Revenue",D88="Cost of Goods Sold",D88="Expenditures",D88="Other Revenue",D88="Other Expenditures"),E88,IF(AND(LEN(D88)&gt;2,MID(D88,2,1)=" ",ISNUMBER(VALUE(LEFT(D88,1)))),D88,F87))</f>
        <v/>
      </c>
      <c r="G88" s="36" t="n">
        <f aca="false">IF(AND(D88&lt;&gt;"",ISNUMBER(B88),LEFT(D88,9)&lt;&gt;"Total for",D88&lt;&gt;"Gross Profit",D88&lt;&gt;"Net Operating Revenue",D88&lt;&gt;"Net Other Revenue",D88&lt;&gt;"Net Revenue"),1,0)</f>
        <v>0</v>
      </c>
      <c r="H88" s="36" t="str">
        <f aca="false">IF(G88=1,IF(AND(LEN(D88)&gt;7,ISNUMBER(VALUE(LEFT(D88,6))),MID(D88,7,1)=" "),LEFT(D88,6),D88),"")</f>
        <v/>
      </c>
      <c r="M88" s="36" t="str">
        <f aca="false">TRIM(J88)</f>
        <v/>
      </c>
      <c r="N88" s="36" t="str">
        <f aca="false">IF(M88="Revenue","Revenue",IF(M88="Cost of Goods Sold","COGS",IF(M88="Expenditures","Expense",IF(M88="Other Revenue","Other Revenue",IF(M88="Other Expenditures","Other Expense",N87)))))</f>
        <v/>
      </c>
      <c r="O88" s="36" t="str">
        <f aca="false">IF(OR(M88="Revenue",M88="Cost of Goods Sold",M88="Expenditures",M88="Other Revenue",M88="Other Expenditures"),N88,IF(AND(LEN(M88)&gt;2,MID(M88,2,1)=" ",ISNUMBER(VALUE(LEFT(M88,1)))),M88,O87))</f>
        <v/>
      </c>
      <c r="P88" s="36" t="n">
        <f aca="false">IF(AND(M88&lt;&gt;"",ISNUMBER(K88),LEFT(M88,9)&lt;&gt;"Total for",M88&lt;&gt;"Gross Profit",M88&lt;&gt;"Net Operating Revenue",M88&lt;&gt;"Net Other Revenue",M88&lt;&gt;"Net Revenue"),1,0)</f>
        <v>0</v>
      </c>
      <c r="Q88" s="36" t="str">
        <f aca="false">IF(P88=1,IF(AND(LEN(M88)&gt;7,ISNUMBER(VALUE(LEFT(M88,6))),MID(M88,7,1)=" "),LEFT(M88,6),M88),"")</f>
        <v/>
      </c>
      <c r="V88" s="36" t="str">
        <f aca="false">TRIM(S88)</f>
        <v/>
      </c>
      <c r="W88" s="36" t="str">
        <f aca="false">IF(V88="Revenue","Revenue",IF(V88="Cost of Goods Sold","COGS",IF(V88="Expenditures","Expense",IF(V88="Other Revenue","Other Revenue",IF(V88="Other Expenditures","Other Expense",W87)))))</f>
        <v/>
      </c>
      <c r="X88" s="36" t="str">
        <f aca="false">IF(OR(V88="Revenue",V88="Cost of Goods Sold",V88="Expenditures",V88="Other Revenue",V88="Other Expenditures"),W88,IF(AND(LEN(V88)&gt;2,MID(V88,2,1)=" ",ISNUMBER(VALUE(LEFT(V88,1)))),V88,X87))</f>
        <v/>
      </c>
      <c r="Y88" s="36" t="n">
        <f aca="false">IF(AND(V88&lt;&gt;"",ISNUMBER(T88),LEFT(V88,9)&lt;&gt;"Total for",V88&lt;&gt;"Gross Profit",V88&lt;&gt;"Net Operating Revenue",V88&lt;&gt;"Net Other Revenue",V88&lt;&gt;"Net Revenue"),1,0)</f>
        <v>0</v>
      </c>
      <c r="Z88" s="36" t="str">
        <f aca="false">IF(Y88=1,IF(AND(LEN(V88)&gt;7,ISNUMBER(VALUE(LEFT(V88,6))),MID(V88,7,1)=" "),LEFT(V88,6),V88),"")</f>
        <v/>
      </c>
      <c r="AE88" s="36" t="str">
        <f aca="false">TRIM(AB88)</f>
        <v/>
      </c>
      <c r="AF88" s="36" t="str">
        <f aca="false">IF(AE88="Revenue","Revenue",IF(AE88="Cost of Goods Sold","COGS",IF(AE88="Expenditures","Expense",IF(AE88="Other Revenue","Other Revenue",IF(AE88="Other Expenditures","Other Expense",AF87)))))</f>
        <v/>
      </c>
      <c r="AG88" s="36" t="str">
        <f aca="false">IF(OR(AE88="Revenue",AE88="Cost of Goods Sold",AE88="Expenditures",AE88="Other Revenue",AE88="Other Expenditures"),AF88,IF(AND(LEN(AE88)&gt;2,MID(AE88,2,1)=" ",ISNUMBER(VALUE(LEFT(AE88,1)))),AE88,AG87))</f>
        <v/>
      </c>
      <c r="AH88" s="36" t="n">
        <f aca="false">IF(AND(AE88&lt;&gt;"",ISNUMBER(AC88),LEFT(AE88,9)&lt;&gt;"Total for",AE88&lt;&gt;"Gross Profit",AE88&lt;&gt;"Net Operating Revenue",AE88&lt;&gt;"Net Other Revenue",AE88&lt;&gt;"Net Revenue"),1,0)</f>
        <v>0</v>
      </c>
      <c r="AI88" s="36" t="str">
        <f aca="false">IF(AH88=1,IF(AND(LEN(AE88)&gt;7,ISNUMBER(VALUE(LEFT(AE88,6))),MID(AE88,7,1)=" "),LEFT(AE88,6),AE88),"")</f>
        <v/>
      </c>
      <c r="AN88" s="36" t="str">
        <f aca="false">TRIM(AK88)</f>
        <v/>
      </c>
      <c r="AO88" s="36" t="str">
        <f aca="false">IF(AN88="Revenue","Revenue",IF(AN88="Cost of Goods Sold","COGS",IF(AN88="Expenditures","Expense",IF(AN88="Other Revenue","Other Revenue",IF(AN88="Other Expenditures","Other Expense",AO87)))))</f>
        <v/>
      </c>
      <c r="AP88" s="36" t="str">
        <f aca="false">IF(OR(AN88="Revenue",AN88="Cost of Goods Sold",AN88="Expenditures",AN88="Other Revenue",AN88="Other Expenditures"),AO88,IF(AND(LEN(AN88)&gt;2,MID(AN88,2,1)=" ",ISNUMBER(VALUE(LEFT(AN88,1)))),AN88,AP87))</f>
        <v/>
      </c>
      <c r="AQ88" s="36" t="n">
        <f aca="false">IF(AND(AN88&lt;&gt;"",ISNUMBER(AL88),LEFT(AN88,9)&lt;&gt;"Total for",AN88&lt;&gt;"Gross Profit",AN88&lt;&gt;"Net Operating Revenue",AN88&lt;&gt;"Net Other Revenue",AN88&lt;&gt;"Net Revenue"),1,0)</f>
        <v>0</v>
      </c>
      <c r="AR88" s="36" t="str">
        <f aca="false">IF(AQ88=1,IF(AND(LEN(AN88)&gt;7,ISNUMBER(VALUE(LEFT(AN88,6))),MID(AN88,7,1)=" "),LEFT(AN88,6),AN88),"")</f>
        <v/>
      </c>
    </row>
    <row r="89" customFormat="false" ht="15" hidden="false" customHeight="false" outlineLevel="0" collapsed="false">
      <c r="D89" s="36" t="str">
        <f aca="false">TRIM(A89)</f>
        <v/>
      </c>
      <c r="E89" s="36" t="str">
        <f aca="false">IF(D89="Revenue","Revenue",IF(D89="Cost of Goods Sold","COGS",IF(D89="Expenditures","Expense",IF(D89="Other Revenue","Other Revenue",IF(D89="Other Expenditures","Other Expense",E88)))))</f>
        <v/>
      </c>
      <c r="F89" s="36" t="str">
        <f aca="false">IF(OR(D89="Revenue",D89="Cost of Goods Sold",D89="Expenditures",D89="Other Revenue",D89="Other Expenditures"),E89,IF(AND(LEN(D89)&gt;2,MID(D89,2,1)=" ",ISNUMBER(VALUE(LEFT(D89,1)))),D89,F88))</f>
        <v/>
      </c>
      <c r="G89" s="36" t="n">
        <f aca="false">IF(AND(D89&lt;&gt;"",ISNUMBER(B89),LEFT(D89,9)&lt;&gt;"Total for",D89&lt;&gt;"Gross Profit",D89&lt;&gt;"Net Operating Revenue",D89&lt;&gt;"Net Other Revenue",D89&lt;&gt;"Net Revenue"),1,0)</f>
        <v>0</v>
      </c>
      <c r="H89" s="36" t="str">
        <f aca="false">IF(G89=1,IF(AND(LEN(D89)&gt;7,ISNUMBER(VALUE(LEFT(D89,6))),MID(D89,7,1)=" "),LEFT(D89,6),D89),"")</f>
        <v/>
      </c>
      <c r="M89" s="36" t="str">
        <f aca="false">TRIM(J89)</f>
        <v/>
      </c>
      <c r="N89" s="36" t="str">
        <f aca="false">IF(M89="Revenue","Revenue",IF(M89="Cost of Goods Sold","COGS",IF(M89="Expenditures","Expense",IF(M89="Other Revenue","Other Revenue",IF(M89="Other Expenditures","Other Expense",N88)))))</f>
        <v/>
      </c>
      <c r="O89" s="36" t="str">
        <f aca="false">IF(OR(M89="Revenue",M89="Cost of Goods Sold",M89="Expenditures",M89="Other Revenue",M89="Other Expenditures"),N89,IF(AND(LEN(M89)&gt;2,MID(M89,2,1)=" ",ISNUMBER(VALUE(LEFT(M89,1)))),M89,O88))</f>
        <v/>
      </c>
      <c r="P89" s="36" t="n">
        <f aca="false">IF(AND(M89&lt;&gt;"",ISNUMBER(K89),LEFT(M89,9)&lt;&gt;"Total for",M89&lt;&gt;"Gross Profit",M89&lt;&gt;"Net Operating Revenue",M89&lt;&gt;"Net Other Revenue",M89&lt;&gt;"Net Revenue"),1,0)</f>
        <v>0</v>
      </c>
      <c r="Q89" s="36" t="str">
        <f aca="false">IF(P89=1,IF(AND(LEN(M89)&gt;7,ISNUMBER(VALUE(LEFT(M89,6))),MID(M89,7,1)=" "),LEFT(M89,6),M89),"")</f>
        <v/>
      </c>
      <c r="V89" s="36" t="str">
        <f aca="false">TRIM(S89)</f>
        <v/>
      </c>
      <c r="W89" s="36" t="str">
        <f aca="false">IF(V89="Revenue","Revenue",IF(V89="Cost of Goods Sold","COGS",IF(V89="Expenditures","Expense",IF(V89="Other Revenue","Other Revenue",IF(V89="Other Expenditures","Other Expense",W88)))))</f>
        <v/>
      </c>
      <c r="X89" s="36" t="str">
        <f aca="false">IF(OR(V89="Revenue",V89="Cost of Goods Sold",V89="Expenditures",V89="Other Revenue",V89="Other Expenditures"),W89,IF(AND(LEN(V89)&gt;2,MID(V89,2,1)=" ",ISNUMBER(VALUE(LEFT(V89,1)))),V89,X88))</f>
        <v/>
      </c>
      <c r="Y89" s="36" t="n">
        <f aca="false">IF(AND(V89&lt;&gt;"",ISNUMBER(T89),LEFT(V89,9)&lt;&gt;"Total for",V89&lt;&gt;"Gross Profit",V89&lt;&gt;"Net Operating Revenue",V89&lt;&gt;"Net Other Revenue",V89&lt;&gt;"Net Revenue"),1,0)</f>
        <v>0</v>
      </c>
      <c r="Z89" s="36" t="str">
        <f aca="false">IF(Y89=1,IF(AND(LEN(V89)&gt;7,ISNUMBER(VALUE(LEFT(V89,6))),MID(V89,7,1)=" "),LEFT(V89,6),V89),"")</f>
        <v/>
      </c>
      <c r="AE89" s="36" t="str">
        <f aca="false">TRIM(AB89)</f>
        <v/>
      </c>
      <c r="AF89" s="36" t="str">
        <f aca="false">IF(AE89="Revenue","Revenue",IF(AE89="Cost of Goods Sold","COGS",IF(AE89="Expenditures","Expense",IF(AE89="Other Revenue","Other Revenue",IF(AE89="Other Expenditures","Other Expense",AF88)))))</f>
        <v/>
      </c>
      <c r="AG89" s="36" t="str">
        <f aca="false">IF(OR(AE89="Revenue",AE89="Cost of Goods Sold",AE89="Expenditures",AE89="Other Revenue",AE89="Other Expenditures"),AF89,IF(AND(LEN(AE89)&gt;2,MID(AE89,2,1)=" ",ISNUMBER(VALUE(LEFT(AE89,1)))),AE89,AG88))</f>
        <v/>
      </c>
      <c r="AH89" s="36" t="n">
        <f aca="false">IF(AND(AE89&lt;&gt;"",ISNUMBER(AC89),LEFT(AE89,9)&lt;&gt;"Total for",AE89&lt;&gt;"Gross Profit",AE89&lt;&gt;"Net Operating Revenue",AE89&lt;&gt;"Net Other Revenue",AE89&lt;&gt;"Net Revenue"),1,0)</f>
        <v>0</v>
      </c>
      <c r="AI89" s="36" t="str">
        <f aca="false">IF(AH89=1,IF(AND(LEN(AE89)&gt;7,ISNUMBER(VALUE(LEFT(AE89,6))),MID(AE89,7,1)=" "),LEFT(AE89,6),AE89),"")</f>
        <v/>
      </c>
      <c r="AN89" s="36" t="str">
        <f aca="false">TRIM(AK89)</f>
        <v/>
      </c>
      <c r="AO89" s="36" t="str">
        <f aca="false">IF(AN89="Revenue","Revenue",IF(AN89="Cost of Goods Sold","COGS",IF(AN89="Expenditures","Expense",IF(AN89="Other Revenue","Other Revenue",IF(AN89="Other Expenditures","Other Expense",AO88)))))</f>
        <v/>
      </c>
      <c r="AP89" s="36" t="str">
        <f aca="false">IF(OR(AN89="Revenue",AN89="Cost of Goods Sold",AN89="Expenditures",AN89="Other Revenue",AN89="Other Expenditures"),AO89,IF(AND(LEN(AN89)&gt;2,MID(AN89,2,1)=" ",ISNUMBER(VALUE(LEFT(AN89,1)))),AN89,AP88))</f>
        <v/>
      </c>
      <c r="AQ89" s="36" t="n">
        <f aca="false">IF(AND(AN89&lt;&gt;"",ISNUMBER(AL89),LEFT(AN89,9)&lt;&gt;"Total for",AN89&lt;&gt;"Gross Profit",AN89&lt;&gt;"Net Operating Revenue",AN89&lt;&gt;"Net Other Revenue",AN89&lt;&gt;"Net Revenue"),1,0)</f>
        <v>0</v>
      </c>
      <c r="AR89" s="36" t="str">
        <f aca="false">IF(AQ89=1,IF(AND(LEN(AN89)&gt;7,ISNUMBER(VALUE(LEFT(AN89,6))),MID(AN89,7,1)=" "),LEFT(AN89,6),AN89),"")</f>
        <v/>
      </c>
    </row>
    <row r="90" customFormat="false" ht="15" hidden="false" customHeight="false" outlineLevel="0" collapsed="false">
      <c r="D90" s="36" t="str">
        <f aca="false">TRIM(A90)</f>
        <v/>
      </c>
      <c r="E90" s="36" t="str">
        <f aca="false">IF(D90="Revenue","Revenue",IF(D90="Cost of Goods Sold","COGS",IF(D90="Expenditures","Expense",IF(D90="Other Revenue","Other Revenue",IF(D90="Other Expenditures","Other Expense",E89)))))</f>
        <v/>
      </c>
      <c r="F90" s="36" t="str">
        <f aca="false">IF(OR(D90="Revenue",D90="Cost of Goods Sold",D90="Expenditures",D90="Other Revenue",D90="Other Expenditures"),E90,IF(AND(LEN(D90)&gt;2,MID(D90,2,1)=" ",ISNUMBER(VALUE(LEFT(D90,1)))),D90,F89))</f>
        <v/>
      </c>
      <c r="G90" s="36" t="n">
        <f aca="false">IF(AND(D90&lt;&gt;"",ISNUMBER(B90),LEFT(D90,9)&lt;&gt;"Total for",D90&lt;&gt;"Gross Profit",D90&lt;&gt;"Net Operating Revenue",D90&lt;&gt;"Net Other Revenue",D90&lt;&gt;"Net Revenue"),1,0)</f>
        <v>0</v>
      </c>
      <c r="H90" s="36" t="str">
        <f aca="false">IF(G90=1,IF(AND(LEN(D90)&gt;7,ISNUMBER(VALUE(LEFT(D90,6))),MID(D90,7,1)=" "),LEFT(D90,6),D90),"")</f>
        <v/>
      </c>
      <c r="M90" s="36" t="str">
        <f aca="false">TRIM(J90)</f>
        <v/>
      </c>
      <c r="N90" s="36" t="str">
        <f aca="false">IF(M90="Revenue","Revenue",IF(M90="Cost of Goods Sold","COGS",IF(M90="Expenditures","Expense",IF(M90="Other Revenue","Other Revenue",IF(M90="Other Expenditures","Other Expense",N89)))))</f>
        <v/>
      </c>
      <c r="O90" s="36" t="str">
        <f aca="false">IF(OR(M90="Revenue",M90="Cost of Goods Sold",M90="Expenditures",M90="Other Revenue",M90="Other Expenditures"),N90,IF(AND(LEN(M90)&gt;2,MID(M90,2,1)=" ",ISNUMBER(VALUE(LEFT(M90,1)))),M90,O89))</f>
        <v/>
      </c>
      <c r="P90" s="36" t="n">
        <f aca="false">IF(AND(M90&lt;&gt;"",ISNUMBER(K90),LEFT(M90,9)&lt;&gt;"Total for",M90&lt;&gt;"Gross Profit",M90&lt;&gt;"Net Operating Revenue",M90&lt;&gt;"Net Other Revenue",M90&lt;&gt;"Net Revenue"),1,0)</f>
        <v>0</v>
      </c>
      <c r="Q90" s="36" t="str">
        <f aca="false">IF(P90=1,IF(AND(LEN(M90)&gt;7,ISNUMBER(VALUE(LEFT(M90,6))),MID(M90,7,1)=" "),LEFT(M90,6),M90),"")</f>
        <v/>
      </c>
      <c r="V90" s="36" t="str">
        <f aca="false">TRIM(S90)</f>
        <v/>
      </c>
      <c r="W90" s="36" t="str">
        <f aca="false">IF(V90="Revenue","Revenue",IF(V90="Cost of Goods Sold","COGS",IF(V90="Expenditures","Expense",IF(V90="Other Revenue","Other Revenue",IF(V90="Other Expenditures","Other Expense",W89)))))</f>
        <v/>
      </c>
      <c r="X90" s="36" t="str">
        <f aca="false">IF(OR(V90="Revenue",V90="Cost of Goods Sold",V90="Expenditures",V90="Other Revenue",V90="Other Expenditures"),W90,IF(AND(LEN(V90)&gt;2,MID(V90,2,1)=" ",ISNUMBER(VALUE(LEFT(V90,1)))),V90,X89))</f>
        <v/>
      </c>
      <c r="Y90" s="36" t="n">
        <f aca="false">IF(AND(V90&lt;&gt;"",ISNUMBER(T90),LEFT(V90,9)&lt;&gt;"Total for",V90&lt;&gt;"Gross Profit",V90&lt;&gt;"Net Operating Revenue",V90&lt;&gt;"Net Other Revenue",V90&lt;&gt;"Net Revenue"),1,0)</f>
        <v>0</v>
      </c>
      <c r="Z90" s="36" t="str">
        <f aca="false">IF(Y90=1,IF(AND(LEN(V90)&gt;7,ISNUMBER(VALUE(LEFT(V90,6))),MID(V90,7,1)=" "),LEFT(V90,6),V90),"")</f>
        <v/>
      </c>
      <c r="AE90" s="36" t="str">
        <f aca="false">TRIM(AB90)</f>
        <v/>
      </c>
      <c r="AF90" s="36" t="str">
        <f aca="false">IF(AE90="Revenue","Revenue",IF(AE90="Cost of Goods Sold","COGS",IF(AE90="Expenditures","Expense",IF(AE90="Other Revenue","Other Revenue",IF(AE90="Other Expenditures","Other Expense",AF89)))))</f>
        <v/>
      </c>
      <c r="AG90" s="36" t="str">
        <f aca="false">IF(OR(AE90="Revenue",AE90="Cost of Goods Sold",AE90="Expenditures",AE90="Other Revenue",AE90="Other Expenditures"),AF90,IF(AND(LEN(AE90)&gt;2,MID(AE90,2,1)=" ",ISNUMBER(VALUE(LEFT(AE90,1)))),AE90,AG89))</f>
        <v/>
      </c>
      <c r="AH90" s="36" t="n">
        <f aca="false">IF(AND(AE90&lt;&gt;"",ISNUMBER(AC90),LEFT(AE90,9)&lt;&gt;"Total for",AE90&lt;&gt;"Gross Profit",AE90&lt;&gt;"Net Operating Revenue",AE90&lt;&gt;"Net Other Revenue",AE90&lt;&gt;"Net Revenue"),1,0)</f>
        <v>0</v>
      </c>
      <c r="AI90" s="36" t="str">
        <f aca="false">IF(AH90=1,IF(AND(LEN(AE90)&gt;7,ISNUMBER(VALUE(LEFT(AE90,6))),MID(AE90,7,1)=" "),LEFT(AE90,6),AE90),"")</f>
        <v/>
      </c>
      <c r="AN90" s="36" t="str">
        <f aca="false">TRIM(AK90)</f>
        <v/>
      </c>
      <c r="AO90" s="36" t="str">
        <f aca="false">IF(AN90="Revenue","Revenue",IF(AN90="Cost of Goods Sold","COGS",IF(AN90="Expenditures","Expense",IF(AN90="Other Revenue","Other Revenue",IF(AN90="Other Expenditures","Other Expense",AO89)))))</f>
        <v/>
      </c>
      <c r="AP90" s="36" t="str">
        <f aca="false">IF(OR(AN90="Revenue",AN90="Cost of Goods Sold",AN90="Expenditures",AN90="Other Revenue",AN90="Other Expenditures"),AO90,IF(AND(LEN(AN90)&gt;2,MID(AN90,2,1)=" ",ISNUMBER(VALUE(LEFT(AN90,1)))),AN90,AP89))</f>
        <v/>
      </c>
      <c r="AQ90" s="36" t="n">
        <f aca="false">IF(AND(AN90&lt;&gt;"",ISNUMBER(AL90),LEFT(AN90,9)&lt;&gt;"Total for",AN90&lt;&gt;"Gross Profit",AN90&lt;&gt;"Net Operating Revenue",AN90&lt;&gt;"Net Other Revenue",AN90&lt;&gt;"Net Revenue"),1,0)</f>
        <v>0</v>
      </c>
      <c r="AR90" s="36" t="str">
        <f aca="false">IF(AQ90=1,IF(AND(LEN(AN90)&gt;7,ISNUMBER(VALUE(LEFT(AN90,6))),MID(AN90,7,1)=" "),LEFT(AN90,6),AN90),"")</f>
        <v/>
      </c>
    </row>
    <row r="91" customFormat="false" ht="15" hidden="false" customHeight="false" outlineLevel="0" collapsed="false">
      <c r="D91" s="36" t="str">
        <f aca="false">TRIM(A91)</f>
        <v/>
      </c>
      <c r="E91" s="36" t="str">
        <f aca="false">IF(D91="Revenue","Revenue",IF(D91="Cost of Goods Sold","COGS",IF(D91="Expenditures","Expense",IF(D91="Other Revenue","Other Revenue",IF(D91="Other Expenditures","Other Expense",E90)))))</f>
        <v/>
      </c>
      <c r="F91" s="36" t="str">
        <f aca="false">IF(OR(D91="Revenue",D91="Cost of Goods Sold",D91="Expenditures",D91="Other Revenue",D91="Other Expenditures"),E91,IF(AND(LEN(D91)&gt;2,MID(D91,2,1)=" ",ISNUMBER(VALUE(LEFT(D91,1)))),D91,F90))</f>
        <v/>
      </c>
      <c r="G91" s="36" t="n">
        <f aca="false">IF(AND(D91&lt;&gt;"",ISNUMBER(B91),LEFT(D91,9)&lt;&gt;"Total for",D91&lt;&gt;"Gross Profit",D91&lt;&gt;"Net Operating Revenue",D91&lt;&gt;"Net Other Revenue",D91&lt;&gt;"Net Revenue"),1,0)</f>
        <v>0</v>
      </c>
      <c r="H91" s="36" t="str">
        <f aca="false">IF(G91=1,IF(AND(LEN(D91)&gt;7,ISNUMBER(VALUE(LEFT(D91,6))),MID(D91,7,1)=" "),LEFT(D91,6),D91),"")</f>
        <v/>
      </c>
      <c r="M91" s="36" t="str">
        <f aca="false">TRIM(J91)</f>
        <v/>
      </c>
      <c r="N91" s="36" t="str">
        <f aca="false">IF(M91="Revenue","Revenue",IF(M91="Cost of Goods Sold","COGS",IF(M91="Expenditures","Expense",IF(M91="Other Revenue","Other Revenue",IF(M91="Other Expenditures","Other Expense",N90)))))</f>
        <v/>
      </c>
      <c r="O91" s="36" t="str">
        <f aca="false">IF(OR(M91="Revenue",M91="Cost of Goods Sold",M91="Expenditures",M91="Other Revenue",M91="Other Expenditures"),N91,IF(AND(LEN(M91)&gt;2,MID(M91,2,1)=" ",ISNUMBER(VALUE(LEFT(M91,1)))),M91,O90))</f>
        <v/>
      </c>
      <c r="P91" s="36" t="n">
        <f aca="false">IF(AND(M91&lt;&gt;"",ISNUMBER(K91),LEFT(M91,9)&lt;&gt;"Total for",M91&lt;&gt;"Gross Profit",M91&lt;&gt;"Net Operating Revenue",M91&lt;&gt;"Net Other Revenue",M91&lt;&gt;"Net Revenue"),1,0)</f>
        <v>0</v>
      </c>
      <c r="Q91" s="36" t="str">
        <f aca="false">IF(P91=1,IF(AND(LEN(M91)&gt;7,ISNUMBER(VALUE(LEFT(M91,6))),MID(M91,7,1)=" "),LEFT(M91,6),M91),"")</f>
        <v/>
      </c>
      <c r="V91" s="36" t="str">
        <f aca="false">TRIM(S91)</f>
        <v/>
      </c>
      <c r="W91" s="36" t="str">
        <f aca="false">IF(V91="Revenue","Revenue",IF(V91="Cost of Goods Sold","COGS",IF(V91="Expenditures","Expense",IF(V91="Other Revenue","Other Revenue",IF(V91="Other Expenditures","Other Expense",W90)))))</f>
        <v/>
      </c>
      <c r="X91" s="36" t="str">
        <f aca="false">IF(OR(V91="Revenue",V91="Cost of Goods Sold",V91="Expenditures",V91="Other Revenue",V91="Other Expenditures"),W91,IF(AND(LEN(V91)&gt;2,MID(V91,2,1)=" ",ISNUMBER(VALUE(LEFT(V91,1)))),V91,X90))</f>
        <v/>
      </c>
      <c r="Y91" s="36" t="n">
        <f aca="false">IF(AND(V91&lt;&gt;"",ISNUMBER(T91),LEFT(V91,9)&lt;&gt;"Total for",V91&lt;&gt;"Gross Profit",V91&lt;&gt;"Net Operating Revenue",V91&lt;&gt;"Net Other Revenue",V91&lt;&gt;"Net Revenue"),1,0)</f>
        <v>0</v>
      </c>
      <c r="Z91" s="36" t="str">
        <f aca="false">IF(Y91=1,IF(AND(LEN(V91)&gt;7,ISNUMBER(VALUE(LEFT(V91,6))),MID(V91,7,1)=" "),LEFT(V91,6),V91),"")</f>
        <v/>
      </c>
      <c r="AE91" s="36" t="str">
        <f aca="false">TRIM(AB91)</f>
        <v/>
      </c>
      <c r="AF91" s="36" t="str">
        <f aca="false">IF(AE91="Revenue","Revenue",IF(AE91="Cost of Goods Sold","COGS",IF(AE91="Expenditures","Expense",IF(AE91="Other Revenue","Other Revenue",IF(AE91="Other Expenditures","Other Expense",AF90)))))</f>
        <v/>
      </c>
      <c r="AG91" s="36" t="str">
        <f aca="false">IF(OR(AE91="Revenue",AE91="Cost of Goods Sold",AE91="Expenditures",AE91="Other Revenue",AE91="Other Expenditures"),AF91,IF(AND(LEN(AE91)&gt;2,MID(AE91,2,1)=" ",ISNUMBER(VALUE(LEFT(AE91,1)))),AE91,AG90))</f>
        <v/>
      </c>
      <c r="AH91" s="36" t="n">
        <f aca="false">IF(AND(AE91&lt;&gt;"",ISNUMBER(AC91),LEFT(AE91,9)&lt;&gt;"Total for",AE91&lt;&gt;"Gross Profit",AE91&lt;&gt;"Net Operating Revenue",AE91&lt;&gt;"Net Other Revenue",AE91&lt;&gt;"Net Revenue"),1,0)</f>
        <v>0</v>
      </c>
      <c r="AI91" s="36" t="str">
        <f aca="false">IF(AH91=1,IF(AND(LEN(AE91)&gt;7,ISNUMBER(VALUE(LEFT(AE91,6))),MID(AE91,7,1)=" "),LEFT(AE91,6),AE91),"")</f>
        <v/>
      </c>
      <c r="AN91" s="36" t="str">
        <f aca="false">TRIM(AK91)</f>
        <v/>
      </c>
      <c r="AO91" s="36" t="str">
        <f aca="false">IF(AN91="Revenue","Revenue",IF(AN91="Cost of Goods Sold","COGS",IF(AN91="Expenditures","Expense",IF(AN91="Other Revenue","Other Revenue",IF(AN91="Other Expenditures","Other Expense",AO90)))))</f>
        <v/>
      </c>
      <c r="AP91" s="36" t="str">
        <f aca="false">IF(OR(AN91="Revenue",AN91="Cost of Goods Sold",AN91="Expenditures",AN91="Other Revenue",AN91="Other Expenditures"),AO91,IF(AND(LEN(AN91)&gt;2,MID(AN91,2,1)=" ",ISNUMBER(VALUE(LEFT(AN91,1)))),AN91,AP90))</f>
        <v/>
      </c>
      <c r="AQ91" s="36" t="n">
        <f aca="false">IF(AND(AN91&lt;&gt;"",ISNUMBER(AL91),LEFT(AN91,9)&lt;&gt;"Total for",AN91&lt;&gt;"Gross Profit",AN91&lt;&gt;"Net Operating Revenue",AN91&lt;&gt;"Net Other Revenue",AN91&lt;&gt;"Net Revenue"),1,0)</f>
        <v>0</v>
      </c>
      <c r="AR91" s="36" t="str">
        <f aca="false">IF(AQ91=1,IF(AND(LEN(AN91)&gt;7,ISNUMBER(VALUE(LEFT(AN91,6))),MID(AN91,7,1)=" "),LEFT(AN91,6),AN91),"")</f>
        <v/>
      </c>
    </row>
    <row r="92" customFormat="false" ht="15" hidden="false" customHeight="false" outlineLevel="0" collapsed="false">
      <c r="D92" s="36" t="str">
        <f aca="false">TRIM(A92)</f>
        <v/>
      </c>
      <c r="E92" s="36" t="str">
        <f aca="false">IF(D92="Revenue","Revenue",IF(D92="Cost of Goods Sold","COGS",IF(D92="Expenditures","Expense",IF(D92="Other Revenue","Other Revenue",IF(D92="Other Expenditures","Other Expense",E91)))))</f>
        <v/>
      </c>
      <c r="F92" s="36" t="str">
        <f aca="false">IF(OR(D92="Revenue",D92="Cost of Goods Sold",D92="Expenditures",D92="Other Revenue",D92="Other Expenditures"),E92,IF(AND(LEN(D92)&gt;2,MID(D92,2,1)=" ",ISNUMBER(VALUE(LEFT(D92,1)))),D92,F91))</f>
        <v/>
      </c>
      <c r="G92" s="36" t="n">
        <f aca="false">IF(AND(D92&lt;&gt;"",ISNUMBER(B92),LEFT(D92,9)&lt;&gt;"Total for",D92&lt;&gt;"Gross Profit",D92&lt;&gt;"Net Operating Revenue",D92&lt;&gt;"Net Other Revenue",D92&lt;&gt;"Net Revenue"),1,0)</f>
        <v>0</v>
      </c>
      <c r="H92" s="36" t="str">
        <f aca="false">IF(G92=1,IF(AND(LEN(D92)&gt;7,ISNUMBER(VALUE(LEFT(D92,6))),MID(D92,7,1)=" "),LEFT(D92,6),D92),"")</f>
        <v/>
      </c>
      <c r="M92" s="36" t="str">
        <f aca="false">TRIM(J92)</f>
        <v/>
      </c>
      <c r="N92" s="36" t="str">
        <f aca="false">IF(M92="Revenue","Revenue",IF(M92="Cost of Goods Sold","COGS",IF(M92="Expenditures","Expense",IF(M92="Other Revenue","Other Revenue",IF(M92="Other Expenditures","Other Expense",N91)))))</f>
        <v/>
      </c>
      <c r="O92" s="36" t="str">
        <f aca="false">IF(OR(M92="Revenue",M92="Cost of Goods Sold",M92="Expenditures",M92="Other Revenue",M92="Other Expenditures"),N92,IF(AND(LEN(M92)&gt;2,MID(M92,2,1)=" ",ISNUMBER(VALUE(LEFT(M92,1)))),M92,O91))</f>
        <v/>
      </c>
      <c r="P92" s="36" t="n">
        <f aca="false">IF(AND(M92&lt;&gt;"",ISNUMBER(K92),LEFT(M92,9)&lt;&gt;"Total for",M92&lt;&gt;"Gross Profit",M92&lt;&gt;"Net Operating Revenue",M92&lt;&gt;"Net Other Revenue",M92&lt;&gt;"Net Revenue"),1,0)</f>
        <v>0</v>
      </c>
      <c r="Q92" s="36" t="str">
        <f aca="false">IF(P92=1,IF(AND(LEN(M92)&gt;7,ISNUMBER(VALUE(LEFT(M92,6))),MID(M92,7,1)=" "),LEFT(M92,6),M92),"")</f>
        <v/>
      </c>
      <c r="V92" s="36" t="str">
        <f aca="false">TRIM(S92)</f>
        <v/>
      </c>
      <c r="W92" s="36" t="str">
        <f aca="false">IF(V92="Revenue","Revenue",IF(V92="Cost of Goods Sold","COGS",IF(V92="Expenditures","Expense",IF(V92="Other Revenue","Other Revenue",IF(V92="Other Expenditures","Other Expense",W91)))))</f>
        <v/>
      </c>
      <c r="X92" s="36" t="str">
        <f aca="false">IF(OR(V92="Revenue",V92="Cost of Goods Sold",V92="Expenditures",V92="Other Revenue",V92="Other Expenditures"),W92,IF(AND(LEN(V92)&gt;2,MID(V92,2,1)=" ",ISNUMBER(VALUE(LEFT(V92,1)))),V92,X91))</f>
        <v/>
      </c>
      <c r="Y92" s="36" t="n">
        <f aca="false">IF(AND(V92&lt;&gt;"",ISNUMBER(T92),LEFT(V92,9)&lt;&gt;"Total for",V92&lt;&gt;"Gross Profit",V92&lt;&gt;"Net Operating Revenue",V92&lt;&gt;"Net Other Revenue",V92&lt;&gt;"Net Revenue"),1,0)</f>
        <v>0</v>
      </c>
      <c r="Z92" s="36" t="str">
        <f aca="false">IF(Y92=1,IF(AND(LEN(V92)&gt;7,ISNUMBER(VALUE(LEFT(V92,6))),MID(V92,7,1)=" "),LEFT(V92,6),V92),"")</f>
        <v/>
      </c>
      <c r="AE92" s="36" t="str">
        <f aca="false">TRIM(AB92)</f>
        <v/>
      </c>
      <c r="AF92" s="36" t="str">
        <f aca="false">IF(AE92="Revenue","Revenue",IF(AE92="Cost of Goods Sold","COGS",IF(AE92="Expenditures","Expense",IF(AE92="Other Revenue","Other Revenue",IF(AE92="Other Expenditures","Other Expense",AF91)))))</f>
        <v/>
      </c>
      <c r="AG92" s="36" t="str">
        <f aca="false">IF(OR(AE92="Revenue",AE92="Cost of Goods Sold",AE92="Expenditures",AE92="Other Revenue",AE92="Other Expenditures"),AF92,IF(AND(LEN(AE92)&gt;2,MID(AE92,2,1)=" ",ISNUMBER(VALUE(LEFT(AE92,1)))),AE92,AG91))</f>
        <v/>
      </c>
      <c r="AH92" s="36" t="n">
        <f aca="false">IF(AND(AE92&lt;&gt;"",ISNUMBER(AC92),LEFT(AE92,9)&lt;&gt;"Total for",AE92&lt;&gt;"Gross Profit",AE92&lt;&gt;"Net Operating Revenue",AE92&lt;&gt;"Net Other Revenue",AE92&lt;&gt;"Net Revenue"),1,0)</f>
        <v>0</v>
      </c>
      <c r="AI92" s="36" t="str">
        <f aca="false">IF(AH92=1,IF(AND(LEN(AE92)&gt;7,ISNUMBER(VALUE(LEFT(AE92,6))),MID(AE92,7,1)=" "),LEFT(AE92,6),AE92),"")</f>
        <v/>
      </c>
      <c r="AN92" s="36" t="str">
        <f aca="false">TRIM(AK92)</f>
        <v/>
      </c>
      <c r="AO92" s="36" t="str">
        <f aca="false">IF(AN92="Revenue","Revenue",IF(AN92="Cost of Goods Sold","COGS",IF(AN92="Expenditures","Expense",IF(AN92="Other Revenue","Other Revenue",IF(AN92="Other Expenditures","Other Expense",AO91)))))</f>
        <v/>
      </c>
      <c r="AP92" s="36" t="str">
        <f aca="false">IF(OR(AN92="Revenue",AN92="Cost of Goods Sold",AN92="Expenditures",AN92="Other Revenue",AN92="Other Expenditures"),AO92,IF(AND(LEN(AN92)&gt;2,MID(AN92,2,1)=" ",ISNUMBER(VALUE(LEFT(AN92,1)))),AN92,AP91))</f>
        <v/>
      </c>
      <c r="AQ92" s="36" t="n">
        <f aca="false">IF(AND(AN92&lt;&gt;"",ISNUMBER(AL92),LEFT(AN92,9)&lt;&gt;"Total for",AN92&lt;&gt;"Gross Profit",AN92&lt;&gt;"Net Operating Revenue",AN92&lt;&gt;"Net Other Revenue",AN92&lt;&gt;"Net Revenue"),1,0)</f>
        <v>0</v>
      </c>
      <c r="AR92" s="36" t="str">
        <f aca="false">IF(AQ92=1,IF(AND(LEN(AN92)&gt;7,ISNUMBER(VALUE(LEFT(AN92,6))),MID(AN92,7,1)=" "),LEFT(AN92,6),AN92),"")</f>
        <v/>
      </c>
    </row>
    <row r="93" customFormat="false" ht="15" hidden="false" customHeight="false" outlineLevel="0" collapsed="false">
      <c r="D93" s="36" t="str">
        <f aca="false">TRIM(A93)</f>
        <v/>
      </c>
      <c r="E93" s="36" t="str">
        <f aca="false">IF(D93="Revenue","Revenue",IF(D93="Cost of Goods Sold","COGS",IF(D93="Expenditures","Expense",IF(D93="Other Revenue","Other Revenue",IF(D93="Other Expenditures","Other Expense",E92)))))</f>
        <v/>
      </c>
      <c r="F93" s="36" t="str">
        <f aca="false">IF(OR(D93="Revenue",D93="Cost of Goods Sold",D93="Expenditures",D93="Other Revenue",D93="Other Expenditures"),E93,IF(AND(LEN(D93)&gt;2,MID(D93,2,1)=" ",ISNUMBER(VALUE(LEFT(D93,1)))),D93,F92))</f>
        <v/>
      </c>
      <c r="G93" s="36" t="n">
        <f aca="false">IF(AND(D93&lt;&gt;"",ISNUMBER(B93),LEFT(D93,9)&lt;&gt;"Total for",D93&lt;&gt;"Gross Profit",D93&lt;&gt;"Net Operating Revenue",D93&lt;&gt;"Net Other Revenue",D93&lt;&gt;"Net Revenue"),1,0)</f>
        <v>0</v>
      </c>
      <c r="H93" s="36" t="str">
        <f aca="false">IF(G93=1,IF(AND(LEN(D93)&gt;7,ISNUMBER(VALUE(LEFT(D93,6))),MID(D93,7,1)=" "),LEFT(D93,6),D93),"")</f>
        <v/>
      </c>
      <c r="M93" s="36" t="str">
        <f aca="false">TRIM(J93)</f>
        <v/>
      </c>
      <c r="N93" s="36" t="str">
        <f aca="false">IF(M93="Revenue","Revenue",IF(M93="Cost of Goods Sold","COGS",IF(M93="Expenditures","Expense",IF(M93="Other Revenue","Other Revenue",IF(M93="Other Expenditures","Other Expense",N92)))))</f>
        <v/>
      </c>
      <c r="O93" s="36" t="str">
        <f aca="false">IF(OR(M93="Revenue",M93="Cost of Goods Sold",M93="Expenditures",M93="Other Revenue",M93="Other Expenditures"),N93,IF(AND(LEN(M93)&gt;2,MID(M93,2,1)=" ",ISNUMBER(VALUE(LEFT(M93,1)))),M93,O92))</f>
        <v/>
      </c>
      <c r="P93" s="36" t="n">
        <f aca="false">IF(AND(M93&lt;&gt;"",ISNUMBER(K93),LEFT(M93,9)&lt;&gt;"Total for",M93&lt;&gt;"Gross Profit",M93&lt;&gt;"Net Operating Revenue",M93&lt;&gt;"Net Other Revenue",M93&lt;&gt;"Net Revenue"),1,0)</f>
        <v>0</v>
      </c>
      <c r="Q93" s="36" t="str">
        <f aca="false">IF(P93=1,IF(AND(LEN(M93)&gt;7,ISNUMBER(VALUE(LEFT(M93,6))),MID(M93,7,1)=" "),LEFT(M93,6),M93),"")</f>
        <v/>
      </c>
      <c r="V93" s="36" t="str">
        <f aca="false">TRIM(S93)</f>
        <v/>
      </c>
      <c r="W93" s="36" t="str">
        <f aca="false">IF(V93="Revenue","Revenue",IF(V93="Cost of Goods Sold","COGS",IF(V93="Expenditures","Expense",IF(V93="Other Revenue","Other Revenue",IF(V93="Other Expenditures","Other Expense",W92)))))</f>
        <v/>
      </c>
      <c r="X93" s="36" t="str">
        <f aca="false">IF(OR(V93="Revenue",V93="Cost of Goods Sold",V93="Expenditures",V93="Other Revenue",V93="Other Expenditures"),W93,IF(AND(LEN(V93)&gt;2,MID(V93,2,1)=" ",ISNUMBER(VALUE(LEFT(V93,1)))),V93,X92))</f>
        <v/>
      </c>
      <c r="Y93" s="36" t="n">
        <f aca="false">IF(AND(V93&lt;&gt;"",ISNUMBER(T93),LEFT(V93,9)&lt;&gt;"Total for",V93&lt;&gt;"Gross Profit",V93&lt;&gt;"Net Operating Revenue",V93&lt;&gt;"Net Other Revenue",V93&lt;&gt;"Net Revenue"),1,0)</f>
        <v>0</v>
      </c>
      <c r="Z93" s="36" t="str">
        <f aca="false">IF(Y93=1,IF(AND(LEN(V93)&gt;7,ISNUMBER(VALUE(LEFT(V93,6))),MID(V93,7,1)=" "),LEFT(V93,6),V93),"")</f>
        <v/>
      </c>
      <c r="AE93" s="36" t="str">
        <f aca="false">TRIM(AB93)</f>
        <v/>
      </c>
      <c r="AF93" s="36" t="str">
        <f aca="false">IF(AE93="Revenue","Revenue",IF(AE93="Cost of Goods Sold","COGS",IF(AE93="Expenditures","Expense",IF(AE93="Other Revenue","Other Revenue",IF(AE93="Other Expenditures","Other Expense",AF92)))))</f>
        <v/>
      </c>
      <c r="AG93" s="36" t="str">
        <f aca="false">IF(OR(AE93="Revenue",AE93="Cost of Goods Sold",AE93="Expenditures",AE93="Other Revenue",AE93="Other Expenditures"),AF93,IF(AND(LEN(AE93)&gt;2,MID(AE93,2,1)=" ",ISNUMBER(VALUE(LEFT(AE93,1)))),AE93,AG92))</f>
        <v/>
      </c>
      <c r="AH93" s="36" t="n">
        <f aca="false">IF(AND(AE93&lt;&gt;"",ISNUMBER(AC93),LEFT(AE93,9)&lt;&gt;"Total for",AE93&lt;&gt;"Gross Profit",AE93&lt;&gt;"Net Operating Revenue",AE93&lt;&gt;"Net Other Revenue",AE93&lt;&gt;"Net Revenue"),1,0)</f>
        <v>0</v>
      </c>
      <c r="AI93" s="36" t="str">
        <f aca="false">IF(AH93=1,IF(AND(LEN(AE93)&gt;7,ISNUMBER(VALUE(LEFT(AE93,6))),MID(AE93,7,1)=" "),LEFT(AE93,6),AE93),"")</f>
        <v/>
      </c>
      <c r="AN93" s="36" t="str">
        <f aca="false">TRIM(AK93)</f>
        <v/>
      </c>
      <c r="AO93" s="36" t="str">
        <f aca="false">IF(AN93="Revenue","Revenue",IF(AN93="Cost of Goods Sold","COGS",IF(AN93="Expenditures","Expense",IF(AN93="Other Revenue","Other Revenue",IF(AN93="Other Expenditures","Other Expense",AO92)))))</f>
        <v/>
      </c>
      <c r="AP93" s="36" t="str">
        <f aca="false">IF(OR(AN93="Revenue",AN93="Cost of Goods Sold",AN93="Expenditures",AN93="Other Revenue",AN93="Other Expenditures"),AO93,IF(AND(LEN(AN93)&gt;2,MID(AN93,2,1)=" ",ISNUMBER(VALUE(LEFT(AN93,1)))),AN93,AP92))</f>
        <v/>
      </c>
      <c r="AQ93" s="36" t="n">
        <f aca="false">IF(AND(AN93&lt;&gt;"",ISNUMBER(AL93),LEFT(AN93,9)&lt;&gt;"Total for",AN93&lt;&gt;"Gross Profit",AN93&lt;&gt;"Net Operating Revenue",AN93&lt;&gt;"Net Other Revenue",AN93&lt;&gt;"Net Revenue"),1,0)</f>
        <v>0</v>
      </c>
      <c r="AR93" s="36" t="str">
        <f aca="false">IF(AQ93=1,IF(AND(LEN(AN93)&gt;7,ISNUMBER(VALUE(LEFT(AN93,6))),MID(AN93,7,1)=" "),LEFT(AN93,6),AN93),"")</f>
        <v/>
      </c>
    </row>
    <row r="94" customFormat="false" ht="15" hidden="false" customHeight="false" outlineLevel="0" collapsed="false">
      <c r="D94" s="36" t="str">
        <f aca="false">TRIM(A94)</f>
        <v/>
      </c>
      <c r="E94" s="36" t="str">
        <f aca="false">IF(D94="Revenue","Revenue",IF(D94="Cost of Goods Sold","COGS",IF(D94="Expenditures","Expense",IF(D94="Other Revenue","Other Revenue",IF(D94="Other Expenditures","Other Expense",E93)))))</f>
        <v/>
      </c>
      <c r="F94" s="36" t="str">
        <f aca="false">IF(OR(D94="Revenue",D94="Cost of Goods Sold",D94="Expenditures",D94="Other Revenue",D94="Other Expenditures"),E94,IF(AND(LEN(D94)&gt;2,MID(D94,2,1)=" ",ISNUMBER(VALUE(LEFT(D94,1)))),D94,F93))</f>
        <v/>
      </c>
      <c r="G94" s="36" t="n">
        <f aca="false">IF(AND(D94&lt;&gt;"",ISNUMBER(B94),LEFT(D94,9)&lt;&gt;"Total for",D94&lt;&gt;"Gross Profit",D94&lt;&gt;"Net Operating Revenue",D94&lt;&gt;"Net Other Revenue",D94&lt;&gt;"Net Revenue"),1,0)</f>
        <v>0</v>
      </c>
      <c r="H94" s="36" t="str">
        <f aca="false">IF(G94=1,IF(AND(LEN(D94)&gt;7,ISNUMBER(VALUE(LEFT(D94,6))),MID(D94,7,1)=" "),LEFT(D94,6),D94),"")</f>
        <v/>
      </c>
      <c r="M94" s="36" t="str">
        <f aca="false">TRIM(J94)</f>
        <v/>
      </c>
      <c r="N94" s="36" t="str">
        <f aca="false">IF(M94="Revenue","Revenue",IF(M94="Cost of Goods Sold","COGS",IF(M94="Expenditures","Expense",IF(M94="Other Revenue","Other Revenue",IF(M94="Other Expenditures","Other Expense",N93)))))</f>
        <v/>
      </c>
      <c r="O94" s="36" t="str">
        <f aca="false">IF(OR(M94="Revenue",M94="Cost of Goods Sold",M94="Expenditures",M94="Other Revenue",M94="Other Expenditures"),N94,IF(AND(LEN(M94)&gt;2,MID(M94,2,1)=" ",ISNUMBER(VALUE(LEFT(M94,1)))),M94,O93))</f>
        <v/>
      </c>
      <c r="P94" s="36" t="n">
        <f aca="false">IF(AND(M94&lt;&gt;"",ISNUMBER(K94),LEFT(M94,9)&lt;&gt;"Total for",M94&lt;&gt;"Gross Profit",M94&lt;&gt;"Net Operating Revenue",M94&lt;&gt;"Net Other Revenue",M94&lt;&gt;"Net Revenue"),1,0)</f>
        <v>0</v>
      </c>
      <c r="Q94" s="36" t="str">
        <f aca="false">IF(P94=1,IF(AND(LEN(M94)&gt;7,ISNUMBER(VALUE(LEFT(M94,6))),MID(M94,7,1)=" "),LEFT(M94,6),M94),"")</f>
        <v/>
      </c>
      <c r="V94" s="36" t="str">
        <f aca="false">TRIM(S94)</f>
        <v/>
      </c>
      <c r="W94" s="36" t="str">
        <f aca="false">IF(V94="Revenue","Revenue",IF(V94="Cost of Goods Sold","COGS",IF(V94="Expenditures","Expense",IF(V94="Other Revenue","Other Revenue",IF(V94="Other Expenditures","Other Expense",W93)))))</f>
        <v/>
      </c>
      <c r="X94" s="36" t="str">
        <f aca="false">IF(OR(V94="Revenue",V94="Cost of Goods Sold",V94="Expenditures",V94="Other Revenue",V94="Other Expenditures"),W94,IF(AND(LEN(V94)&gt;2,MID(V94,2,1)=" ",ISNUMBER(VALUE(LEFT(V94,1)))),V94,X93))</f>
        <v/>
      </c>
      <c r="Y94" s="36" t="n">
        <f aca="false">IF(AND(V94&lt;&gt;"",ISNUMBER(T94),LEFT(V94,9)&lt;&gt;"Total for",V94&lt;&gt;"Gross Profit",V94&lt;&gt;"Net Operating Revenue",V94&lt;&gt;"Net Other Revenue",V94&lt;&gt;"Net Revenue"),1,0)</f>
        <v>0</v>
      </c>
      <c r="Z94" s="36" t="str">
        <f aca="false">IF(Y94=1,IF(AND(LEN(V94)&gt;7,ISNUMBER(VALUE(LEFT(V94,6))),MID(V94,7,1)=" "),LEFT(V94,6),V94),"")</f>
        <v/>
      </c>
      <c r="AE94" s="36" t="str">
        <f aca="false">TRIM(AB94)</f>
        <v/>
      </c>
      <c r="AF94" s="36" t="str">
        <f aca="false">IF(AE94="Revenue","Revenue",IF(AE94="Cost of Goods Sold","COGS",IF(AE94="Expenditures","Expense",IF(AE94="Other Revenue","Other Revenue",IF(AE94="Other Expenditures","Other Expense",AF93)))))</f>
        <v/>
      </c>
      <c r="AG94" s="36" t="str">
        <f aca="false">IF(OR(AE94="Revenue",AE94="Cost of Goods Sold",AE94="Expenditures",AE94="Other Revenue",AE94="Other Expenditures"),AF94,IF(AND(LEN(AE94)&gt;2,MID(AE94,2,1)=" ",ISNUMBER(VALUE(LEFT(AE94,1)))),AE94,AG93))</f>
        <v/>
      </c>
      <c r="AH94" s="36" t="n">
        <f aca="false">IF(AND(AE94&lt;&gt;"",ISNUMBER(AC94),LEFT(AE94,9)&lt;&gt;"Total for",AE94&lt;&gt;"Gross Profit",AE94&lt;&gt;"Net Operating Revenue",AE94&lt;&gt;"Net Other Revenue",AE94&lt;&gt;"Net Revenue"),1,0)</f>
        <v>0</v>
      </c>
      <c r="AI94" s="36" t="str">
        <f aca="false">IF(AH94=1,IF(AND(LEN(AE94)&gt;7,ISNUMBER(VALUE(LEFT(AE94,6))),MID(AE94,7,1)=" "),LEFT(AE94,6),AE94),"")</f>
        <v/>
      </c>
      <c r="AN94" s="36" t="str">
        <f aca="false">TRIM(AK94)</f>
        <v/>
      </c>
      <c r="AO94" s="36" t="str">
        <f aca="false">IF(AN94="Revenue","Revenue",IF(AN94="Cost of Goods Sold","COGS",IF(AN94="Expenditures","Expense",IF(AN94="Other Revenue","Other Revenue",IF(AN94="Other Expenditures","Other Expense",AO93)))))</f>
        <v/>
      </c>
      <c r="AP94" s="36" t="str">
        <f aca="false">IF(OR(AN94="Revenue",AN94="Cost of Goods Sold",AN94="Expenditures",AN94="Other Revenue",AN94="Other Expenditures"),AO94,IF(AND(LEN(AN94)&gt;2,MID(AN94,2,1)=" ",ISNUMBER(VALUE(LEFT(AN94,1)))),AN94,AP93))</f>
        <v/>
      </c>
      <c r="AQ94" s="36" t="n">
        <f aca="false">IF(AND(AN94&lt;&gt;"",ISNUMBER(AL94),LEFT(AN94,9)&lt;&gt;"Total for",AN94&lt;&gt;"Gross Profit",AN94&lt;&gt;"Net Operating Revenue",AN94&lt;&gt;"Net Other Revenue",AN94&lt;&gt;"Net Revenue"),1,0)</f>
        <v>0</v>
      </c>
      <c r="AR94" s="36" t="str">
        <f aca="false">IF(AQ94=1,IF(AND(LEN(AN94)&gt;7,ISNUMBER(VALUE(LEFT(AN94,6))),MID(AN94,7,1)=" "),LEFT(AN94,6),AN94),"")</f>
        <v/>
      </c>
    </row>
    <row r="95" customFormat="false" ht="15" hidden="false" customHeight="false" outlineLevel="0" collapsed="false">
      <c r="D95" s="36" t="str">
        <f aca="false">TRIM(A95)</f>
        <v/>
      </c>
      <c r="E95" s="36" t="str">
        <f aca="false">IF(D95="Revenue","Revenue",IF(D95="Cost of Goods Sold","COGS",IF(D95="Expenditures","Expense",IF(D95="Other Revenue","Other Revenue",IF(D95="Other Expenditures","Other Expense",E94)))))</f>
        <v/>
      </c>
      <c r="F95" s="36" t="str">
        <f aca="false">IF(OR(D95="Revenue",D95="Cost of Goods Sold",D95="Expenditures",D95="Other Revenue",D95="Other Expenditures"),E95,IF(AND(LEN(D95)&gt;2,MID(D95,2,1)=" ",ISNUMBER(VALUE(LEFT(D95,1)))),D95,F94))</f>
        <v/>
      </c>
      <c r="G95" s="36" t="n">
        <f aca="false">IF(AND(D95&lt;&gt;"",ISNUMBER(B95),LEFT(D95,9)&lt;&gt;"Total for",D95&lt;&gt;"Gross Profit",D95&lt;&gt;"Net Operating Revenue",D95&lt;&gt;"Net Other Revenue",D95&lt;&gt;"Net Revenue"),1,0)</f>
        <v>0</v>
      </c>
      <c r="H95" s="36" t="str">
        <f aca="false">IF(G95=1,IF(AND(LEN(D95)&gt;7,ISNUMBER(VALUE(LEFT(D95,6))),MID(D95,7,1)=" "),LEFT(D95,6),D95),"")</f>
        <v/>
      </c>
      <c r="M95" s="36" t="str">
        <f aca="false">TRIM(J95)</f>
        <v/>
      </c>
      <c r="N95" s="36" t="str">
        <f aca="false">IF(M95="Revenue","Revenue",IF(M95="Cost of Goods Sold","COGS",IF(M95="Expenditures","Expense",IF(M95="Other Revenue","Other Revenue",IF(M95="Other Expenditures","Other Expense",N94)))))</f>
        <v/>
      </c>
      <c r="O95" s="36" t="str">
        <f aca="false">IF(OR(M95="Revenue",M95="Cost of Goods Sold",M95="Expenditures",M95="Other Revenue",M95="Other Expenditures"),N95,IF(AND(LEN(M95)&gt;2,MID(M95,2,1)=" ",ISNUMBER(VALUE(LEFT(M95,1)))),M95,O94))</f>
        <v/>
      </c>
      <c r="P95" s="36" t="n">
        <f aca="false">IF(AND(M95&lt;&gt;"",ISNUMBER(K95),LEFT(M95,9)&lt;&gt;"Total for",M95&lt;&gt;"Gross Profit",M95&lt;&gt;"Net Operating Revenue",M95&lt;&gt;"Net Other Revenue",M95&lt;&gt;"Net Revenue"),1,0)</f>
        <v>0</v>
      </c>
      <c r="Q95" s="36" t="str">
        <f aca="false">IF(P95=1,IF(AND(LEN(M95)&gt;7,ISNUMBER(VALUE(LEFT(M95,6))),MID(M95,7,1)=" "),LEFT(M95,6),M95),"")</f>
        <v/>
      </c>
      <c r="V95" s="36" t="str">
        <f aca="false">TRIM(S95)</f>
        <v/>
      </c>
      <c r="W95" s="36" t="str">
        <f aca="false">IF(V95="Revenue","Revenue",IF(V95="Cost of Goods Sold","COGS",IF(V95="Expenditures","Expense",IF(V95="Other Revenue","Other Revenue",IF(V95="Other Expenditures","Other Expense",W94)))))</f>
        <v/>
      </c>
      <c r="X95" s="36" t="str">
        <f aca="false">IF(OR(V95="Revenue",V95="Cost of Goods Sold",V95="Expenditures",V95="Other Revenue",V95="Other Expenditures"),W95,IF(AND(LEN(V95)&gt;2,MID(V95,2,1)=" ",ISNUMBER(VALUE(LEFT(V95,1)))),V95,X94))</f>
        <v/>
      </c>
      <c r="Y95" s="36" t="n">
        <f aca="false">IF(AND(V95&lt;&gt;"",ISNUMBER(T95),LEFT(V95,9)&lt;&gt;"Total for",V95&lt;&gt;"Gross Profit",V95&lt;&gt;"Net Operating Revenue",V95&lt;&gt;"Net Other Revenue",V95&lt;&gt;"Net Revenue"),1,0)</f>
        <v>0</v>
      </c>
      <c r="Z95" s="36" t="str">
        <f aca="false">IF(Y95=1,IF(AND(LEN(V95)&gt;7,ISNUMBER(VALUE(LEFT(V95,6))),MID(V95,7,1)=" "),LEFT(V95,6),V95),"")</f>
        <v/>
      </c>
      <c r="AE95" s="36" t="str">
        <f aca="false">TRIM(AB95)</f>
        <v/>
      </c>
      <c r="AF95" s="36" t="str">
        <f aca="false">IF(AE95="Revenue","Revenue",IF(AE95="Cost of Goods Sold","COGS",IF(AE95="Expenditures","Expense",IF(AE95="Other Revenue","Other Revenue",IF(AE95="Other Expenditures","Other Expense",AF94)))))</f>
        <v/>
      </c>
      <c r="AG95" s="36" t="str">
        <f aca="false">IF(OR(AE95="Revenue",AE95="Cost of Goods Sold",AE95="Expenditures",AE95="Other Revenue",AE95="Other Expenditures"),AF95,IF(AND(LEN(AE95)&gt;2,MID(AE95,2,1)=" ",ISNUMBER(VALUE(LEFT(AE95,1)))),AE95,AG94))</f>
        <v/>
      </c>
      <c r="AH95" s="36" t="n">
        <f aca="false">IF(AND(AE95&lt;&gt;"",ISNUMBER(AC95),LEFT(AE95,9)&lt;&gt;"Total for",AE95&lt;&gt;"Gross Profit",AE95&lt;&gt;"Net Operating Revenue",AE95&lt;&gt;"Net Other Revenue",AE95&lt;&gt;"Net Revenue"),1,0)</f>
        <v>0</v>
      </c>
      <c r="AI95" s="36" t="str">
        <f aca="false">IF(AH95=1,IF(AND(LEN(AE95)&gt;7,ISNUMBER(VALUE(LEFT(AE95,6))),MID(AE95,7,1)=" "),LEFT(AE95,6),AE95),"")</f>
        <v/>
      </c>
      <c r="AN95" s="36" t="str">
        <f aca="false">TRIM(AK95)</f>
        <v/>
      </c>
      <c r="AO95" s="36" t="str">
        <f aca="false">IF(AN95="Revenue","Revenue",IF(AN95="Cost of Goods Sold","COGS",IF(AN95="Expenditures","Expense",IF(AN95="Other Revenue","Other Revenue",IF(AN95="Other Expenditures","Other Expense",AO94)))))</f>
        <v/>
      </c>
      <c r="AP95" s="36" t="str">
        <f aca="false">IF(OR(AN95="Revenue",AN95="Cost of Goods Sold",AN95="Expenditures",AN95="Other Revenue",AN95="Other Expenditures"),AO95,IF(AND(LEN(AN95)&gt;2,MID(AN95,2,1)=" ",ISNUMBER(VALUE(LEFT(AN95,1)))),AN95,AP94))</f>
        <v/>
      </c>
      <c r="AQ95" s="36" t="n">
        <f aca="false">IF(AND(AN95&lt;&gt;"",ISNUMBER(AL95),LEFT(AN95,9)&lt;&gt;"Total for",AN95&lt;&gt;"Gross Profit",AN95&lt;&gt;"Net Operating Revenue",AN95&lt;&gt;"Net Other Revenue",AN95&lt;&gt;"Net Revenue"),1,0)</f>
        <v>0</v>
      </c>
      <c r="AR95" s="36" t="str">
        <f aca="false">IF(AQ95=1,IF(AND(LEN(AN95)&gt;7,ISNUMBER(VALUE(LEFT(AN95,6))),MID(AN95,7,1)=" "),LEFT(AN95,6),AN95),"")</f>
        <v/>
      </c>
    </row>
    <row r="96" customFormat="false" ht="15" hidden="false" customHeight="false" outlineLevel="0" collapsed="false">
      <c r="D96" s="36" t="str">
        <f aca="false">TRIM(A96)</f>
        <v/>
      </c>
      <c r="E96" s="36" t="str">
        <f aca="false">IF(D96="Revenue","Revenue",IF(D96="Cost of Goods Sold","COGS",IF(D96="Expenditures","Expense",IF(D96="Other Revenue","Other Revenue",IF(D96="Other Expenditures","Other Expense",E95)))))</f>
        <v/>
      </c>
      <c r="F96" s="36" t="str">
        <f aca="false">IF(OR(D96="Revenue",D96="Cost of Goods Sold",D96="Expenditures",D96="Other Revenue",D96="Other Expenditures"),E96,IF(AND(LEN(D96)&gt;2,MID(D96,2,1)=" ",ISNUMBER(VALUE(LEFT(D96,1)))),D96,F95))</f>
        <v/>
      </c>
      <c r="G96" s="36" t="n">
        <f aca="false">IF(AND(D96&lt;&gt;"",ISNUMBER(B96),LEFT(D96,9)&lt;&gt;"Total for",D96&lt;&gt;"Gross Profit",D96&lt;&gt;"Net Operating Revenue",D96&lt;&gt;"Net Other Revenue",D96&lt;&gt;"Net Revenue"),1,0)</f>
        <v>0</v>
      </c>
      <c r="H96" s="36" t="str">
        <f aca="false">IF(G96=1,IF(AND(LEN(D96)&gt;7,ISNUMBER(VALUE(LEFT(D96,6))),MID(D96,7,1)=" "),LEFT(D96,6),D96),"")</f>
        <v/>
      </c>
      <c r="M96" s="36" t="str">
        <f aca="false">TRIM(J96)</f>
        <v/>
      </c>
      <c r="N96" s="36" t="str">
        <f aca="false">IF(M96="Revenue","Revenue",IF(M96="Cost of Goods Sold","COGS",IF(M96="Expenditures","Expense",IF(M96="Other Revenue","Other Revenue",IF(M96="Other Expenditures","Other Expense",N95)))))</f>
        <v/>
      </c>
      <c r="O96" s="36" t="str">
        <f aca="false">IF(OR(M96="Revenue",M96="Cost of Goods Sold",M96="Expenditures",M96="Other Revenue",M96="Other Expenditures"),N96,IF(AND(LEN(M96)&gt;2,MID(M96,2,1)=" ",ISNUMBER(VALUE(LEFT(M96,1)))),M96,O95))</f>
        <v/>
      </c>
      <c r="P96" s="36" t="n">
        <f aca="false">IF(AND(M96&lt;&gt;"",ISNUMBER(K96),LEFT(M96,9)&lt;&gt;"Total for",M96&lt;&gt;"Gross Profit",M96&lt;&gt;"Net Operating Revenue",M96&lt;&gt;"Net Other Revenue",M96&lt;&gt;"Net Revenue"),1,0)</f>
        <v>0</v>
      </c>
      <c r="Q96" s="36" t="str">
        <f aca="false">IF(P96=1,IF(AND(LEN(M96)&gt;7,ISNUMBER(VALUE(LEFT(M96,6))),MID(M96,7,1)=" "),LEFT(M96,6),M96),"")</f>
        <v/>
      </c>
      <c r="V96" s="36" t="str">
        <f aca="false">TRIM(S96)</f>
        <v/>
      </c>
      <c r="W96" s="36" t="str">
        <f aca="false">IF(V96="Revenue","Revenue",IF(V96="Cost of Goods Sold","COGS",IF(V96="Expenditures","Expense",IF(V96="Other Revenue","Other Revenue",IF(V96="Other Expenditures","Other Expense",W95)))))</f>
        <v/>
      </c>
      <c r="X96" s="36" t="str">
        <f aca="false">IF(OR(V96="Revenue",V96="Cost of Goods Sold",V96="Expenditures",V96="Other Revenue",V96="Other Expenditures"),W96,IF(AND(LEN(V96)&gt;2,MID(V96,2,1)=" ",ISNUMBER(VALUE(LEFT(V96,1)))),V96,X95))</f>
        <v/>
      </c>
      <c r="Y96" s="36" t="n">
        <f aca="false">IF(AND(V96&lt;&gt;"",ISNUMBER(T96),LEFT(V96,9)&lt;&gt;"Total for",V96&lt;&gt;"Gross Profit",V96&lt;&gt;"Net Operating Revenue",V96&lt;&gt;"Net Other Revenue",V96&lt;&gt;"Net Revenue"),1,0)</f>
        <v>0</v>
      </c>
      <c r="Z96" s="36" t="str">
        <f aca="false">IF(Y96=1,IF(AND(LEN(V96)&gt;7,ISNUMBER(VALUE(LEFT(V96,6))),MID(V96,7,1)=" "),LEFT(V96,6),V96),"")</f>
        <v/>
      </c>
      <c r="AE96" s="36" t="str">
        <f aca="false">TRIM(AB96)</f>
        <v/>
      </c>
      <c r="AF96" s="36" t="str">
        <f aca="false">IF(AE96="Revenue","Revenue",IF(AE96="Cost of Goods Sold","COGS",IF(AE96="Expenditures","Expense",IF(AE96="Other Revenue","Other Revenue",IF(AE96="Other Expenditures","Other Expense",AF95)))))</f>
        <v/>
      </c>
      <c r="AG96" s="36" t="str">
        <f aca="false">IF(OR(AE96="Revenue",AE96="Cost of Goods Sold",AE96="Expenditures",AE96="Other Revenue",AE96="Other Expenditures"),AF96,IF(AND(LEN(AE96)&gt;2,MID(AE96,2,1)=" ",ISNUMBER(VALUE(LEFT(AE96,1)))),AE96,AG95))</f>
        <v/>
      </c>
      <c r="AH96" s="36" t="n">
        <f aca="false">IF(AND(AE96&lt;&gt;"",ISNUMBER(AC96),LEFT(AE96,9)&lt;&gt;"Total for",AE96&lt;&gt;"Gross Profit",AE96&lt;&gt;"Net Operating Revenue",AE96&lt;&gt;"Net Other Revenue",AE96&lt;&gt;"Net Revenue"),1,0)</f>
        <v>0</v>
      </c>
      <c r="AI96" s="36" t="str">
        <f aca="false">IF(AH96=1,IF(AND(LEN(AE96)&gt;7,ISNUMBER(VALUE(LEFT(AE96,6))),MID(AE96,7,1)=" "),LEFT(AE96,6),AE96),"")</f>
        <v/>
      </c>
      <c r="AN96" s="36" t="str">
        <f aca="false">TRIM(AK96)</f>
        <v/>
      </c>
      <c r="AO96" s="36" t="str">
        <f aca="false">IF(AN96="Revenue","Revenue",IF(AN96="Cost of Goods Sold","COGS",IF(AN96="Expenditures","Expense",IF(AN96="Other Revenue","Other Revenue",IF(AN96="Other Expenditures","Other Expense",AO95)))))</f>
        <v/>
      </c>
      <c r="AP96" s="36" t="str">
        <f aca="false">IF(OR(AN96="Revenue",AN96="Cost of Goods Sold",AN96="Expenditures",AN96="Other Revenue",AN96="Other Expenditures"),AO96,IF(AND(LEN(AN96)&gt;2,MID(AN96,2,1)=" ",ISNUMBER(VALUE(LEFT(AN96,1)))),AN96,AP95))</f>
        <v/>
      </c>
      <c r="AQ96" s="36" t="n">
        <f aca="false">IF(AND(AN96&lt;&gt;"",ISNUMBER(AL96),LEFT(AN96,9)&lt;&gt;"Total for",AN96&lt;&gt;"Gross Profit",AN96&lt;&gt;"Net Operating Revenue",AN96&lt;&gt;"Net Other Revenue",AN96&lt;&gt;"Net Revenue"),1,0)</f>
        <v>0</v>
      </c>
      <c r="AR96" s="36" t="str">
        <f aca="false">IF(AQ96=1,IF(AND(LEN(AN96)&gt;7,ISNUMBER(VALUE(LEFT(AN96,6))),MID(AN96,7,1)=" "),LEFT(AN96,6),AN96),"")</f>
        <v/>
      </c>
    </row>
    <row r="97" customFormat="false" ht="15" hidden="false" customHeight="false" outlineLevel="0" collapsed="false">
      <c r="D97" s="36" t="str">
        <f aca="false">TRIM(A97)</f>
        <v/>
      </c>
      <c r="E97" s="36" t="str">
        <f aca="false">IF(D97="Revenue","Revenue",IF(D97="Cost of Goods Sold","COGS",IF(D97="Expenditures","Expense",IF(D97="Other Revenue","Other Revenue",IF(D97="Other Expenditures","Other Expense",E96)))))</f>
        <v/>
      </c>
      <c r="F97" s="36" t="str">
        <f aca="false">IF(OR(D97="Revenue",D97="Cost of Goods Sold",D97="Expenditures",D97="Other Revenue",D97="Other Expenditures"),E97,IF(AND(LEN(D97)&gt;2,MID(D97,2,1)=" ",ISNUMBER(VALUE(LEFT(D97,1)))),D97,F96))</f>
        <v/>
      </c>
      <c r="G97" s="36" t="n">
        <f aca="false">IF(AND(D97&lt;&gt;"",ISNUMBER(B97),LEFT(D97,9)&lt;&gt;"Total for",D97&lt;&gt;"Gross Profit",D97&lt;&gt;"Net Operating Revenue",D97&lt;&gt;"Net Other Revenue",D97&lt;&gt;"Net Revenue"),1,0)</f>
        <v>0</v>
      </c>
      <c r="H97" s="36" t="str">
        <f aca="false">IF(G97=1,IF(AND(LEN(D97)&gt;7,ISNUMBER(VALUE(LEFT(D97,6))),MID(D97,7,1)=" "),LEFT(D97,6),D97),"")</f>
        <v/>
      </c>
      <c r="M97" s="36" t="str">
        <f aca="false">TRIM(J97)</f>
        <v/>
      </c>
      <c r="N97" s="36" t="str">
        <f aca="false">IF(M97="Revenue","Revenue",IF(M97="Cost of Goods Sold","COGS",IF(M97="Expenditures","Expense",IF(M97="Other Revenue","Other Revenue",IF(M97="Other Expenditures","Other Expense",N96)))))</f>
        <v/>
      </c>
      <c r="O97" s="36" t="str">
        <f aca="false">IF(OR(M97="Revenue",M97="Cost of Goods Sold",M97="Expenditures",M97="Other Revenue",M97="Other Expenditures"),N97,IF(AND(LEN(M97)&gt;2,MID(M97,2,1)=" ",ISNUMBER(VALUE(LEFT(M97,1)))),M97,O96))</f>
        <v/>
      </c>
      <c r="P97" s="36" t="n">
        <f aca="false">IF(AND(M97&lt;&gt;"",ISNUMBER(K97),LEFT(M97,9)&lt;&gt;"Total for",M97&lt;&gt;"Gross Profit",M97&lt;&gt;"Net Operating Revenue",M97&lt;&gt;"Net Other Revenue",M97&lt;&gt;"Net Revenue"),1,0)</f>
        <v>0</v>
      </c>
      <c r="Q97" s="36" t="str">
        <f aca="false">IF(P97=1,IF(AND(LEN(M97)&gt;7,ISNUMBER(VALUE(LEFT(M97,6))),MID(M97,7,1)=" "),LEFT(M97,6),M97),"")</f>
        <v/>
      </c>
      <c r="V97" s="36" t="str">
        <f aca="false">TRIM(S97)</f>
        <v/>
      </c>
      <c r="W97" s="36" t="str">
        <f aca="false">IF(V97="Revenue","Revenue",IF(V97="Cost of Goods Sold","COGS",IF(V97="Expenditures","Expense",IF(V97="Other Revenue","Other Revenue",IF(V97="Other Expenditures","Other Expense",W96)))))</f>
        <v/>
      </c>
      <c r="X97" s="36" t="str">
        <f aca="false">IF(OR(V97="Revenue",V97="Cost of Goods Sold",V97="Expenditures",V97="Other Revenue",V97="Other Expenditures"),W97,IF(AND(LEN(V97)&gt;2,MID(V97,2,1)=" ",ISNUMBER(VALUE(LEFT(V97,1)))),V97,X96))</f>
        <v/>
      </c>
      <c r="Y97" s="36" t="n">
        <f aca="false">IF(AND(V97&lt;&gt;"",ISNUMBER(T97),LEFT(V97,9)&lt;&gt;"Total for",V97&lt;&gt;"Gross Profit",V97&lt;&gt;"Net Operating Revenue",V97&lt;&gt;"Net Other Revenue",V97&lt;&gt;"Net Revenue"),1,0)</f>
        <v>0</v>
      </c>
      <c r="Z97" s="36" t="str">
        <f aca="false">IF(Y97=1,IF(AND(LEN(V97)&gt;7,ISNUMBER(VALUE(LEFT(V97,6))),MID(V97,7,1)=" "),LEFT(V97,6),V97),"")</f>
        <v/>
      </c>
      <c r="AE97" s="36" t="str">
        <f aca="false">TRIM(AB97)</f>
        <v/>
      </c>
      <c r="AF97" s="36" t="str">
        <f aca="false">IF(AE97="Revenue","Revenue",IF(AE97="Cost of Goods Sold","COGS",IF(AE97="Expenditures","Expense",IF(AE97="Other Revenue","Other Revenue",IF(AE97="Other Expenditures","Other Expense",AF96)))))</f>
        <v/>
      </c>
      <c r="AG97" s="36" t="str">
        <f aca="false">IF(OR(AE97="Revenue",AE97="Cost of Goods Sold",AE97="Expenditures",AE97="Other Revenue",AE97="Other Expenditures"),AF97,IF(AND(LEN(AE97)&gt;2,MID(AE97,2,1)=" ",ISNUMBER(VALUE(LEFT(AE97,1)))),AE97,AG96))</f>
        <v/>
      </c>
      <c r="AH97" s="36" t="n">
        <f aca="false">IF(AND(AE97&lt;&gt;"",ISNUMBER(AC97),LEFT(AE97,9)&lt;&gt;"Total for",AE97&lt;&gt;"Gross Profit",AE97&lt;&gt;"Net Operating Revenue",AE97&lt;&gt;"Net Other Revenue",AE97&lt;&gt;"Net Revenue"),1,0)</f>
        <v>0</v>
      </c>
      <c r="AI97" s="36" t="str">
        <f aca="false">IF(AH97=1,IF(AND(LEN(AE97)&gt;7,ISNUMBER(VALUE(LEFT(AE97,6))),MID(AE97,7,1)=" "),LEFT(AE97,6),AE97),"")</f>
        <v/>
      </c>
      <c r="AN97" s="36" t="str">
        <f aca="false">TRIM(AK97)</f>
        <v/>
      </c>
      <c r="AO97" s="36" t="str">
        <f aca="false">IF(AN97="Revenue","Revenue",IF(AN97="Cost of Goods Sold","COGS",IF(AN97="Expenditures","Expense",IF(AN97="Other Revenue","Other Revenue",IF(AN97="Other Expenditures","Other Expense",AO96)))))</f>
        <v/>
      </c>
      <c r="AP97" s="36" t="str">
        <f aca="false">IF(OR(AN97="Revenue",AN97="Cost of Goods Sold",AN97="Expenditures",AN97="Other Revenue",AN97="Other Expenditures"),AO97,IF(AND(LEN(AN97)&gt;2,MID(AN97,2,1)=" ",ISNUMBER(VALUE(LEFT(AN97,1)))),AN97,AP96))</f>
        <v/>
      </c>
      <c r="AQ97" s="36" t="n">
        <f aca="false">IF(AND(AN97&lt;&gt;"",ISNUMBER(AL97),LEFT(AN97,9)&lt;&gt;"Total for",AN97&lt;&gt;"Gross Profit",AN97&lt;&gt;"Net Operating Revenue",AN97&lt;&gt;"Net Other Revenue",AN97&lt;&gt;"Net Revenue"),1,0)</f>
        <v>0</v>
      </c>
      <c r="AR97" s="36" t="str">
        <f aca="false">IF(AQ97=1,IF(AND(LEN(AN97)&gt;7,ISNUMBER(VALUE(LEFT(AN97,6))),MID(AN97,7,1)=" "),LEFT(AN97,6),AN97),"")</f>
        <v/>
      </c>
    </row>
    <row r="98" customFormat="false" ht="15" hidden="false" customHeight="false" outlineLevel="0" collapsed="false">
      <c r="D98" s="36" t="str">
        <f aca="false">TRIM(A98)</f>
        <v/>
      </c>
      <c r="E98" s="36" t="str">
        <f aca="false">IF(D98="Revenue","Revenue",IF(D98="Cost of Goods Sold","COGS",IF(D98="Expenditures","Expense",IF(D98="Other Revenue","Other Revenue",IF(D98="Other Expenditures","Other Expense",E97)))))</f>
        <v/>
      </c>
      <c r="F98" s="36" t="str">
        <f aca="false">IF(OR(D98="Revenue",D98="Cost of Goods Sold",D98="Expenditures",D98="Other Revenue",D98="Other Expenditures"),E98,IF(AND(LEN(D98)&gt;2,MID(D98,2,1)=" ",ISNUMBER(VALUE(LEFT(D98,1)))),D98,F97))</f>
        <v/>
      </c>
      <c r="G98" s="36" t="n">
        <f aca="false">IF(AND(D98&lt;&gt;"",ISNUMBER(B98),LEFT(D98,9)&lt;&gt;"Total for",D98&lt;&gt;"Gross Profit",D98&lt;&gt;"Net Operating Revenue",D98&lt;&gt;"Net Other Revenue",D98&lt;&gt;"Net Revenue"),1,0)</f>
        <v>0</v>
      </c>
      <c r="H98" s="36" t="str">
        <f aca="false">IF(G98=1,IF(AND(LEN(D98)&gt;7,ISNUMBER(VALUE(LEFT(D98,6))),MID(D98,7,1)=" "),LEFT(D98,6),D98),"")</f>
        <v/>
      </c>
      <c r="M98" s="36" t="str">
        <f aca="false">TRIM(J98)</f>
        <v/>
      </c>
      <c r="N98" s="36" t="str">
        <f aca="false">IF(M98="Revenue","Revenue",IF(M98="Cost of Goods Sold","COGS",IF(M98="Expenditures","Expense",IF(M98="Other Revenue","Other Revenue",IF(M98="Other Expenditures","Other Expense",N97)))))</f>
        <v/>
      </c>
      <c r="O98" s="36" t="str">
        <f aca="false">IF(OR(M98="Revenue",M98="Cost of Goods Sold",M98="Expenditures",M98="Other Revenue",M98="Other Expenditures"),N98,IF(AND(LEN(M98)&gt;2,MID(M98,2,1)=" ",ISNUMBER(VALUE(LEFT(M98,1)))),M98,O97))</f>
        <v/>
      </c>
      <c r="P98" s="36" t="n">
        <f aca="false">IF(AND(M98&lt;&gt;"",ISNUMBER(K98),LEFT(M98,9)&lt;&gt;"Total for",M98&lt;&gt;"Gross Profit",M98&lt;&gt;"Net Operating Revenue",M98&lt;&gt;"Net Other Revenue",M98&lt;&gt;"Net Revenue"),1,0)</f>
        <v>0</v>
      </c>
      <c r="Q98" s="36" t="str">
        <f aca="false">IF(P98=1,IF(AND(LEN(M98)&gt;7,ISNUMBER(VALUE(LEFT(M98,6))),MID(M98,7,1)=" "),LEFT(M98,6),M98),"")</f>
        <v/>
      </c>
      <c r="V98" s="36" t="str">
        <f aca="false">TRIM(S98)</f>
        <v/>
      </c>
      <c r="W98" s="36" t="str">
        <f aca="false">IF(V98="Revenue","Revenue",IF(V98="Cost of Goods Sold","COGS",IF(V98="Expenditures","Expense",IF(V98="Other Revenue","Other Revenue",IF(V98="Other Expenditures","Other Expense",W97)))))</f>
        <v/>
      </c>
      <c r="X98" s="36" t="str">
        <f aca="false">IF(OR(V98="Revenue",V98="Cost of Goods Sold",V98="Expenditures",V98="Other Revenue",V98="Other Expenditures"),W98,IF(AND(LEN(V98)&gt;2,MID(V98,2,1)=" ",ISNUMBER(VALUE(LEFT(V98,1)))),V98,X97))</f>
        <v/>
      </c>
      <c r="Y98" s="36" t="n">
        <f aca="false">IF(AND(V98&lt;&gt;"",ISNUMBER(T98),LEFT(V98,9)&lt;&gt;"Total for",V98&lt;&gt;"Gross Profit",V98&lt;&gt;"Net Operating Revenue",V98&lt;&gt;"Net Other Revenue",V98&lt;&gt;"Net Revenue"),1,0)</f>
        <v>0</v>
      </c>
      <c r="Z98" s="36" t="str">
        <f aca="false">IF(Y98=1,IF(AND(LEN(V98)&gt;7,ISNUMBER(VALUE(LEFT(V98,6))),MID(V98,7,1)=" "),LEFT(V98,6),V98),"")</f>
        <v/>
      </c>
      <c r="AE98" s="36" t="str">
        <f aca="false">TRIM(AB98)</f>
        <v/>
      </c>
      <c r="AF98" s="36" t="str">
        <f aca="false">IF(AE98="Revenue","Revenue",IF(AE98="Cost of Goods Sold","COGS",IF(AE98="Expenditures","Expense",IF(AE98="Other Revenue","Other Revenue",IF(AE98="Other Expenditures","Other Expense",AF97)))))</f>
        <v/>
      </c>
      <c r="AG98" s="36" t="str">
        <f aca="false">IF(OR(AE98="Revenue",AE98="Cost of Goods Sold",AE98="Expenditures",AE98="Other Revenue",AE98="Other Expenditures"),AF98,IF(AND(LEN(AE98)&gt;2,MID(AE98,2,1)=" ",ISNUMBER(VALUE(LEFT(AE98,1)))),AE98,AG97))</f>
        <v/>
      </c>
      <c r="AH98" s="36" t="n">
        <f aca="false">IF(AND(AE98&lt;&gt;"",ISNUMBER(AC98),LEFT(AE98,9)&lt;&gt;"Total for",AE98&lt;&gt;"Gross Profit",AE98&lt;&gt;"Net Operating Revenue",AE98&lt;&gt;"Net Other Revenue",AE98&lt;&gt;"Net Revenue"),1,0)</f>
        <v>0</v>
      </c>
      <c r="AI98" s="36" t="str">
        <f aca="false">IF(AH98=1,IF(AND(LEN(AE98)&gt;7,ISNUMBER(VALUE(LEFT(AE98,6))),MID(AE98,7,1)=" "),LEFT(AE98,6),AE98),"")</f>
        <v/>
      </c>
      <c r="AN98" s="36" t="str">
        <f aca="false">TRIM(AK98)</f>
        <v/>
      </c>
      <c r="AO98" s="36" t="str">
        <f aca="false">IF(AN98="Revenue","Revenue",IF(AN98="Cost of Goods Sold","COGS",IF(AN98="Expenditures","Expense",IF(AN98="Other Revenue","Other Revenue",IF(AN98="Other Expenditures","Other Expense",AO97)))))</f>
        <v/>
      </c>
      <c r="AP98" s="36" t="str">
        <f aca="false">IF(OR(AN98="Revenue",AN98="Cost of Goods Sold",AN98="Expenditures",AN98="Other Revenue",AN98="Other Expenditures"),AO98,IF(AND(LEN(AN98)&gt;2,MID(AN98,2,1)=" ",ISNUMBER(VALUE(LEFT(AN98,1)))),AN98,AP97))</f>
        <v/>
      </c>
      <c r="AQ98" s="36" t="n">
        <f aca="false">IF(AND(AN98&lt;&gt;"",ISNUMBER(AL98),LEFT(AN98,9)&lt;&gt;"Total for",AN98&lt;&gt;"Gross Profit",AN98&lt;&gt;"Net Operating Revenue",AN98&lt;&gt;"Net Other Revenue",AN98&lt;&gt;"Net Revenue"),1,0)</f>
        <v>0</v>
      </c>
      <c r="AR98" s="36" t="str">
        <f aca="false">IF(AQ98=1,IF(AND(LEN(AN98)&gt;7,ISNUMBER(VALUE(LEFT(AN98,6))),MID(AN98,7,1)=" "),LEFT(AN98,6),AN98),"")</f>
        <v/>
      </c>
    </row>
    <row r="99" customFormat="false" ht="15" hidden="false" customHeight="false" outlineLevel="0" collapsed="false">
      <c r="D99" s="36" t="str">
        <f aca="false">TRIM(A99)</f>
        <v/>
      </c>
      <c r="E99" s="36" t="str">
        <f aca="false">IF(D99="Revenue","Revenue",IF(D99="Cost of Goods Sold","COGS",IF(D99="Expenditures","Expense",IF(D99="Other Revenue","Other Revenue",IF(D99="Other Expenditures","Other Expense",E98)))))</f>
        <v/>
      </c>
      <c r="F99" s="36" t="str">
        <f aca="false">IF(OR(D99="Revenue",D99="Cost of Goods Sold",D99="Expenditures",D99="Other Revenue",D99="Other Expenditures"),E99,IF(AND(LEN(D99)&gt;2,MID(D99,2,1)=" ",ISNUMBER(VALUE(LEFT(D99,1)))),D99,F98))</f>
        <v/>
      </c>
      <c r="G99" s="36" t="n">
        <f aca="false">IF(AND(D99&lt;&gt;"",ISNUMBER(B99),LEFT(D99,9)&lt;&gt;"Total for",D99&lt;&gt;"Gross Profit",D99&lt;&gt;"Net Operating Revenue",D99&lt;&gt;"Net Other Revenue",D99&lt;&gt;"Net Revenue"),1,0)</f>
        <v>0</v>
      </c>
      <c r="H99" s="36" t="str">
        <f aca="false">IF(G99=1,IF(AND(LEN(D99)&gt;7,ISNUMBER(VALUE(LEFT(D99,6))),MID(D99,7,1)=" "),LEFT(D99,6),D99),"")</f>
        <v/>
      </c>
      <c r="M99" s="36" t="str">
        <f aca="false">TRIM(J99)</f>
        <v/>
      </c>
      <c r="N99" s="36" t="str">
        <f aca="false">IF(M99="Revenue","Revenue",IF(M99="Cost of Goods Sold","COGS",IF(M99="Expenditures","Expense",IF(M99="Other Revenue","Other Revenue",IF(M99="Other Expenditures","Other Expense",N98)))))</f>
        <v/>
      </c>
      <c r="O99" s="36" t="str">
        <f aca="false">IF(OR(M99="Revenue",M99="Cost of Goods Sold",M99="Expenditures",M99="Other Revenue",M99="Other Expenditures"),N99,IF(AND(LEN(M99)&gt;2,MID(M99,2,1)=" ",ISNUMBER(VALUE(LEFT(M99,1)))),M99,O98))</f>
        <v/>
      </c>
      <c r="P99" s="36" t="n">
        <f aca="false">IF(AND(M99&lt;&gt;"",ISNUMBER(K99),LEFT(M99,9)&lt;&gt;"Total for",M99&lt;&gt;"Gross Profit",M99&lt;&gt;"Net Operating Revenue",M99&lt;&gt;"Net Other Revenue",M99&lt;&gt;"Net Revenue"),1,0)</f>
        <v>0</v>
      </c>
      <c r="Q99" s="36" t="str">
        <f aca="false">IF(P99=1,IF(AND(LEN(M99)&gt;7,ISNUMBER(VALUE(LEFT(M99,6))),MID(M99,7,1)=" "),LEFT(M99,6),M99),"")</f>
        <v/>
      </c>
      <c r="V99" s="36" t="str">
        <f aca="false">TRIM(S99)</f>
        <v/>
      </c>
      <c r="W99" s="36" t="str">
        <f aca="false">IF(V99="Revenue","Revenue",IF(V99="Cost of Goods Sold","COGS",IF(V99="Expenditures","Expense",IF(V99="Other Revenue","Other Revenue",IF(V99="Other Expenditures","Other Expense",W98)))))</f>
        <v/>
      </c>
      <c r="X99" s="36" t="str">
        <f aca="false">IF(OR(V99="Revenue",V99="Cost of Goods Sold",V99="Expenditures",V99="Other Revenue",V99="Other Expenditures"),W99,IF(AND(LEN(V99)&gt;2,MID(V99,2,1)=" ",ISNUMBER(VALUE(LEFT(V99,1)))),V99,X98))</f>
        <v/>
      </c>
      <c r="Y99" s="36" t="n">
        <f aca="false">IF(AND(V99&lt;&gt;"",ISNUMBER(T99),LEFT(V99,9)&lt;&gt;"Total for",V99&lt;&gt;"Gross Profit",V99&lt;&gt;"Net Operating Revenue",V99&lt;&gt;"Net Other Revenue",V99&lt;&gt;"Net Revenue"),1,0)</f>
        <v>0</v>
      </c>
      <c r="Z99" s="36" t="str">
        <f aca="false">IF(Y99=1,IF(AND(LEN(V99)&gt;7,ISNUMBER(VALUE(LEFT(V99,6))),MID(V99,7,1)=" "),LEFT(V99,6),V99),"")</f>
        <v/>
      </c>
      <c r="AE99" s="36" t="str">
        <f aca="false">TRIM(AB99)</f>
        <v/>
      </c>
      <c r="AF99" s="36" t="str">
        <f aca="false">IF(AE99="Revenue","Revenue",IF(AE99="Cost of Goods Sold","COGS",IF(AE99="Expenditures","Expense",IF(AE99="Other Revenue","Other Revenue",IF(AE99="Other Expenditures","Other Expense",AF98)))))</f>
        <v/>
      </c>
      <c r="AG99" s="36" t="str">
        <f aca="false">IF(OR(AE99="Revenue",AE99="Cost of Goods Sold",AE99="Expenditures",AE99="Other Revenue",AE99="Other Expenditures"),AF99,IF(AND(LEN(AE99)&gt;2,MID(AE99,2,1)=" ",ISNUMBER(VALUE(LEFT(AE99,1)))),AE99,AG98))</f>
        <v/>
      </c>
      <c r="AH99" s="36" t="n">
        <f aca="false">IF(AND(AE99&lt;&gt;"",ISNUMBER(AC99),LEFT(AE99,9)&lt;&gt;"Total for",AE99&lt;&gt;"Gross Profit",AE99&lt;&gt;"Net Operating Revenue",AE99&lt;&gt;"Net Other Revenue",AE99&lt;&gt;"Net Revenue"),1,0)</f>
        <v>0</v>
      </c>
      <c r="AI99" s="36" t="str">
        <f aca="false">IF(AH99=1,IF(AND(LEN(AE99)&gt;7,ISNUMBER(VALUE(LEFT(AE99,6))),MID(AE99,7,1)=" "),LEFT(AE99,6),AE99),"")</f>
        <v/>
      </c>
      <c r="AN99" s="36" t="str">
        <f aca="false">TRIM(AK99)</f>
        <v/>
      </c>
      <c r="AO99" s="36" t="str">
        <f aca="false">IF(AN99="Revenue","Revenue",IF(AN99="Cost of Goods Sold","COGS",IF(AN99="Expenditures","Expense",IF(AN99="Other Revenue","Other Revenue",IF(AN99="Other Expenditures","Other Expense",AO98)))))</f>
        <v/>
      </c>
      <c r="AP99" s="36" t="str">
        <f aca="false">IF(OR(AN99="Revenue",AN99="Cost of Goods Sold",AN99="Expenditures",AN99="Other Revenue",AN99="Other Expenditures"),AO99,IF(AND(LEN(AN99)&gt;2,MID(AN99,2,1)=" ",ISNUMBER(VALUE(LEFT(AN99,1)))),AN99,AP98))</f>
        <v/>
      </c>
      <c r="AQ99" s="36" t="n">
        <f aca="false">IF(AND(AN99&lt;&gt;"",ISNUMBER(AL99),LEFT(AN99,9)&lt;&gt;"Total for",AN99&lt;&gt;"Gross Profit",AN99&lt;&gt;"Net Operating Revenue",AN99&lt;&gt;"Net Other Revenue",AN99&lt;&gt;"Net Revenue"),1,0)</f>
        <v>0</v>
      </c>
      <c r="AR99" s="36" t="str">
        <f aca="false">IF(AQ99=1,IF(AND(LEN(AN99)&gt;7,ISNUMBER(VALUE(LEFT(AN99,6))),MID(AN99,7,1)=" "),LEFT(AN99,6),AN99),"")</f>
        <v/>
      </c>
    </row>
    <row r="100" customFormat="false" ht="15" hidden="false" customHeight="false" outlineLevel="0" collapsed="false">
      <c r="D100" s="36" t="str">
        <f aca="false">TRIM(A100)</f>
        <v/>
      </c>
      <c r="E100" s="36" t="str">
        <f aca="false">IF(D100="Revenue","Revenue",IF(D100="Cost of Goods Sold","COGS",IF(D100="Expenditures","Expense",IF(D100="Other Revenue","Other Revenue",IF(D100="Other Expenditures","Other Expense",E99)))))</f>
        <v/>
      </c>
      <c r="F100" s="36" t="str">
        <f aca="false">IF(OR(D100="Revenue",D100="Cost of Goods Sold",D100="Expenditures",D100="Other Revenue",D100="Other Expenditures"),E100,IF(AND(LEN(D100)&gt;2,MID(D100,2,1)=" ",ISNUMBER(VALUE(LEFT(D100,1)))),D100,F99))</f>
        <v/>
      </c>
      <c r="G100" s="36" t="n">
        <f aca="false">IF(AND(D100&lt;&gt;"",ISNUMBER(B100),LEFT(D100,9)&lt;&gt;"Total for",D100&lt;&gt;"Gross Profit",D100&lt;&gt;"Net Operating Revenue",D100&lt;&gt;"Net Other Revenue",D100&lt;&gt;"Net Revenue"),1,0)</f>
        <v>0</v>
      </c>
      <c r="H100" s="36" t="str">
        <f aca="false">IF(G100=1,IF(AND(LEN(D100)&gt;7,ISNUMBER(VALUE(LEFT(D100,6))),MID(D100,7,1)=" "),LEFT(D100,6),D100),"")</f>
        <v/>
      </c>
      <c r="M100" s="36" t="str">
        <f aca="false">TRIM(J100)</f>
        <v/>
      </c>
      <c r="N100" s="36" t="str">
        <f aca="false">IF(M100="Revenue","Revenue",IF(M100="Cost of Goods Sold","COGS",IF(M100="Expenditures","Expense",IF(M100="Other Revenue","Other Revenue",IF(M100="Other Expenditures","Other Expense",N99)))))</f>
        <v/>
      </c>
      <c r="O100" s="36" t="str">
        <f aca="false">IF(OR(M100="Revenue",M100="Cost of Goods Sold",M100="Expenditures",M100="Other Revenue",M100="Other Expenditures"),N100,IF(AND(LEN(M100)&gt;2,MID(M100,2,1)=" ",ISNUMBER(VALUE(LEFT(M100,1)))),M100,O99))</f>
        <v/>
      </c>
      <c r="P100" s="36" t="n">
        <f aca="false">IF(AND(M100&lt;&gt;"",ISNUMBER(K100),LEFT(M100,9)&lt;&gt;"Total for",M100&lt;&gt;"Gross Profit",M100&lt;&gt;"Net Operating Revenue",M100&lt;&gt;"Net Other Revenue",M100&lt;&gt;"Net Revenue"),1,0)</f>
        <v>0</v>
      </c>
      <c r="Q100" s="36" t="str">
        <f aca="false">IF(P100=1,IF(AND(LEN(M100)&gt;7,ISNUMBER(VALUE(LEFT(M100,6))),MID(M100,7,1)=" "),LEFT(M100,6),M100),"")</f>
        <v/>
      </c>
      <c r="V100" s="36" t="str">
        <f aca="false">TRIM(S100)</f>
        <v/>
      </c>
      <c r="W100" s="36" t="str">
        <f aca="false">IF(V100="Revenue","Revenue",IF(V100="Cost of Goods Sold","COGS",IF(V100="Expenditures","Expense",IF(V100="Other Revenue","Other Revenue",IF(V100="Other Expenditures","Other Expense",W99)))))</f>
        <v/>
      </c>
      <c r="X100" s="36" t="str">
        <f aca="false">IF(OR(V100="Revenue",V100="Cost of Goods Sold",V100="Expenditures",V100="Other Revenue",V100="Other Expenditures"),W100,IF(AND(LEN(V100)&gt;2,MID(V100,2,1)=" ",ISNUMBER(VALUE(LEFT(V100,1)))),V100,X99))</f>
        <v/>
      </c>
      <c r="Y100" s="36" t="n">
        <f aca="false">IF(AND(V100&lt;&gt;"",ISNUMBER(T100),LEFT(V100,9)&lt;&gt;"Total for",V100&lt;&gt;"Gross Profit",V100&lt;&gt;"Net Operating Revenue",V100&lt;&gt;"Net Other Revenue",V100&lt;&gt;"Net Revenue"),1,0)</f>
        <v>0</v>
      </c>
      <c r="Z100" s="36" t="str">
        <f aca="false">IF(Y100=1,IF(AND(LEN(V100)&gt;7,ISNUMBER(VALUE(LEFT(V100,6))),MID(V100,7,1)=" "),LEFT(V100,6),V100),"")</f>
        <v/>
      </c>
      <c r="AE100" s="36" t="str">
        <f aca="false">TRIM(AB100)</f>
        <v/>
      </c>
      <c r="AF100" s="36" t="str">
        <f aca="false">IF(AE100="Revenue","Revenue",IF(AE100="Cost of Goods Sold","COGS",IF(AE100="Expenditures","Expense",IF(AE100="Other Revenue","Other Revenue",IF(AE100="Other Expenditures","Other Expense",AF99)))))</f>
        <v/>
      </c>
      <c r="AG100" s="36" t="str">
        <f aca="false">IF(OR(AE100="Revenue",AE100="Cost of Goods Sold",AE100="Expenditures",AE100="Other Revenue",AE100="Other Expenditures"),AF100,IF(AND(LEN(AE100)&gt;2,MID(AE100,2,1)=" ",ISNUMBER(VALUE(LEFT(AE100,1)))),AE100,AG99))</f>
        <v/>
      </c>
      <c r="AH100" s="36" t="n">
        <f aca="false">IF(AND(AE100&lt;&gt;"",ISNUMBER(AC100),LEFT(AE100,9)&lt;&gt;"Total for",AE100&lt;&gt;"Gross Profit",AE100&lt;&gt;"Net Operating Revenue",AE100&lt;&gt;"Net Other Revenue",AE100&lt;&gt;"Net Revenue"),1,0)</f>
        <v>0</v>
      </c>
      <c r="AI100" s="36" t="str">
        <f aca="false">IF(AH100=1,IF(AND(LEN(AE100)&gt;7,ISNUMBER(VALUE(LEFT(AE100,6))),MID(AE100,7,1)=" "),LEFT(AE100,6),AE100),"")</f>
        <v/>
      </c>
      <c r="AN100" s="36" t="str">
        <f aca="false">TRIM(AK100)</f>
        <v/>
      </c>
      <c r="AO100" s="36" t="str">
        <f aca="false">IF(AN100="Revenue","Revenue",IF(AN100="Cost of Goods Sold","COGS",IF(AN100="Expenditures","Expense",IF(AN100="Other Revenue","Other Revenue",IF(AN100="Other Expenditures","Other Expense",AO99)))))</f>
        <v/>
      </c>
      <c r="AP100" s="36" t="str">
        <f aca="false">IF(OR(AN100="Revenue",AN100="Cost of Goods Sold",AN100="Expenditures",AN100="Other Revenue",AN100="Other Expenditures"),AO100,IF(AND(LEN(AN100)&gt;2,MID(AN100,2,1)=" ",ISNUMBER(VALUE(LEFT(AN100,1)))),AN100,AP99))</f>
        <v/>
      </c>
      <c r="AQ100" s="36" t="n">
        <f aca="false">IF(AND(AN100&lt;&gt;"",ISNUMBER(AL100),LEFT(AN100,9)&lt;&gt;"Total for",AN100&lt;&gt;"Gross Profit",AN100&lt;&gt;"Net Operating Revenue",AN100&lt;&gt;"Net Other Revenue",AN100&lt;&gt;"Net Revenue"),1,0)</f>
        <v>0</v>
      </c>
      <c r="AR100" s="36" t="str">
        <f aca="false">IF(AQ100=1,IF(AND(LEN(AN100)&gt;7,ISNUMBER(VALUE(LEFT(AN100,6))),MID(AN100,7,1)=" "),LEFT(AN100,6),AN100),"")</f>
        <v/>
      </c>
    </row>
    <row r="101" customFormat="false" ht="15" hidden="false" customHeight="false" outlineLevel="0" collapsed="false">
      <c r="D101" s="36" t="str">
        <f aca="false">TRIM(A101)</f>
        <v/>
      </c>
      <c r="E101" s="36" t="str">
        <f aca="false">IF(D101="Revenue","Revenue",IF(D101="Cost of Goods Sold","COGS",IF(D101="Expenditures","Expense",IF(D101="Other Revenue","Other Revenue",IF(D101="Other Expenditures","Other Expense",E100)))))</f>
        <v/>
      </c>
      <c r="F101" s="36" t="str">
        <f aca="false">IF(OR(D101="Revenue",D101="Cost of Goods Sold",D101="Expenditures",D101="Other Revenue",D101="Other Expenditures"),E101,IF(AND(LEN(D101)&gt;2,MID(D101,2,1)=" ",ISNUMBER(VALUE(LEFT(D101,1)))),D101,F100))</f>
        <v/>
      </c>
      <c r="G101" s="36" t="n">
        <f aca="false">IF(AND(D101&lt;&gt;"",ISNUMBER(B101),LEFT(D101,9)&lt;&gt;"Total for",D101&lt;&gt;"Gross Profit",D101&lt;&gt;"Net Operating Revenue",D101&lt;&gt;"Net Other Revenue",D101&lt;&gt;"Net Revenue"),1,0)</f>
        <v>0</v>
      </c>
      <c r="H101" s="36" t="str">
        <f aca="false">IF(G101=1,IF(AND(LEN(D101)&gt;7,ISNUMBER(VALUE(LEFT(D101,6))),MID(D101,7,1)=" "),LEFT(D101,6),D101),"")</f>
        <v/>
      </c>
      <c r="M101" s="36" t="str">
        <f aca="false">TRIM(J101)</f>
        <v/>
      </c>
      <c r="N101" s="36" t="str">
        <f aca="false">IF(M101="Revenue","Revenue",IF(M101="Cost of Goods Sold","COGS",IF(M101="Expenditures","Expense",IF(M101="Other Revenue","Other Revenue",IF(M101="Other Expenditures","Other Expense",N100)))))</f>
        <v/>
      </c>
      <c r="O101" s="36" t="str">
        <f aca="false">IF(OR(M101="Revenue",M101="Cost of Goods Sold",M101="Expenditures",M101="Other Revenue",M101="Other Expenditures"),N101,IF(AND(LEN(M101)&gt;2,MID(M101,2,1)=" ",ISNUMBER(VALUE(LEFT(M101,1)))),M101,O100))</f>
        <v/>
      </c>
      <c r="P101" s="36" t="n">
        <f aca="false">IF(AND(M101&lt;&gt;"",ISNUMBER(K101),LEFT(M101,9)&lt;&gt;"Total for",M101&lt;&gt;"Gross Profit",M101&lt;&gt;"Net Operating Revenue",M101&lt;&gt;"Net Other Revenue",M101&lt;&gt;"Net Revenue"),1,0)</f>
        <v>0</v>
      </c>
      <c r="Q101" s="36" t="str">
        <f aca="false">IF(P101=1,IF(AND(LEN(M101)&gt;7,ISNUMBER(VALUE(LEFT(M101,6))),MID(M101,7,1)=" "),LEFT(M101,6),M101),"")</f>
        <v/>
      </c>
      <c r="V101" s="36" t="str">
        <f aca="false">TRIM(S101)</f>
        <v/>
      </c>
      <c r="W101" s="36" t="str">
        <f aca="false">IF(V101="Revenue","Revenue",IF(V101="Cost of Goods Sold","COGS",IF(V101="Expenditures","Expense",IF(V101="Other Revenue","Other Revenue",IF(V101="Other Expenditures","Other Expense",W100)))))</f>
        <v/>
      </c>
      <c r="X101" s="36" t="str">
        <f aca="false">IF(OR(V101="Revenue",V101="Cost of Goods Sold",V101="Expenditures",V101="Other Revenue",V101="Other Expenditures"),W101,IF(AND(LEN(V101)&gt;2,MID(V101,2,1)=" ",ISNUMBER(VALUE(LEFT(V101,1)))),V101,X100))</f>
        <v/>
      </c>
      <c r="Y101" s="36" t="n">
        <f aca="false">IF(AND(V101&lt;&gt;"",ISNUMBER(T101),LEFT(V101,9)&lt;&gt;"Total for",V101&lt;&gt;"Gross Profit",V101&lt;&gt;"Net Operating Revenue",V101&lt;&gt;"Net Other Revenue",V101&lt;&gt;"Net Revenue"),1,0)</f>
        <v>0</v>
      </c>
      <c r="Z101" s="36" t="str">
        <f aca="false">IF(Y101=1,IF(AND(LEN(V101)&gt;7,ISNUMBER(VALUE(LEFT(V101,6))),MID(V101,7,1)=" "),LEFT(V101,6),V101),"")</f>
        <v/>
      </c>
      <c r="AE101" s="36" t="str">
        <f aca="false">TRIM(AB101)</f>
        <v/>
      </c>
      <c r="AF101" s="36" t="str">
        <f aca="false">IF(AE101="Revenue","Revenue",IF(AE101="Cost of Goods Sold","COGS",IF(AE101="Expenditures","Expense",IF(AE101="Other Revenue","Other Revenue",IF(AE101="Other Expenditures","Other Expense",AF100)))))</f>
        <v/>
      </c>
      <c r="AG101" s="36" t="str">
        <f aca="false">IF(OR(AE101="Revenue",AE101="Cost of Goods Sold",AE101="Expenditures",AE101="Other Revenue",AE101="Other Expenditures"),AF101,IF(AND(LEN(AE101)&gt;2,MID(AE101,2,1)=" ",ISNUMBER(VALUE(LEFT(AE101,1)))),AE101,AG100))</f>
        <v/>
      </c>
      <c r="AH101" s="36" t="n">
        <f aca="false">IF(AND(AE101&lt;&gt;"",ISNUMBER(AC101),LEFT(AE101,9)&lt;&gt;"Total for",AE101&lt;&gt;"Gross Profit",AE101&lt;&gt;"Net Operating Revenue",AE101&lt;&gt;"Net Other Revenue",AE101&lt;&gt;"Net Revenue"),1,0)</f>
        <v>0</v>
      </c>
      <c r="AI101" s="36" t="str">
        <f aca="false">IF(AH101=1,IF(AND(LEN(AE101)&gt;7,ISNUMBER(VALUE(LEFT(AE101,6))),MID(AE101,7,1)=" "),LEFT(AE101,6),AE101),"")</f>
        <v/>
      </c>
      <c r="AN101" s="36" t="str">
        <f aca="false">TRIM(AK101)</f>
        <v/>
      </c>
      <c r="AO101" s="36" t="str">
        <f aca="false">IF(AN101="Revenue","Revenue",IF(AN101="Cost of Goods Sold","COGS",IF(AN101="Expenditures","Expense",IF(AN101="Other Revenue","Other Revenue",IF(AN101="Other Expenditures","Other Expense",AO100)))))</f>
        <v/>
      </c>
      <c r="AP101" s="36" t="str">
        <f aca="false">IF(OR(AN101="Revenue",AN101="Cost of Goods Sold",AN101="Expenditures",AN101="Other Revenue",AN101="Other Expenditures"),AO101,IF(AND(LEN(AN101)&gt;2,MID(AN101,2,1)=" ",ISNUMBER(VALUE(LEFT(AN101,1)))),AN101,AP100))</f>
        <v/>
      </c>
      <c r="AQ101" s="36" t="n">
        <f aca="false">IF(AND(AN101&lt;&gt;"",ISNUMBER(AL101),LEFT(AN101,9)&lt;&gt;"Total for",AN101&lt;&gt;"Gross Profit",AN101&lt;&gt;"Net Operating Revenue",AN101&lt;&gt;"Net Other Revenue",AN101&lt;&gt;"Net Revenue"),1,0)</f>
        <v>0</v>
      </c>
      <c r="AR101" s="36" t="str">
        <f aca="false">IF(AQ101=1,IF(AND(LEN(AN101)&gt;7,ISNUMBER(VALUE(LEFT(AN101,6))),MID(AN101,7,1)=" "),LEFT(AN101,6),AN101),"")</f>
        <v/>
      </c>
    </row>
    <row r="102" customFormat="false" ht="15" hidden="false" customHeight="false" outlineLevel="0" collapsed="false">
      <c r="D102" s="36" t="str">
        <f aca="false">TRIM(A102)</f>
        <v/>
      </c>
      <c r="E102" s="36" t="str">
        <f aca="false">IF(D102="Revenue","Revenue",IF(D102="Cost of Goods Sold","COGS",IF(D102="Expenditures","Expense",IF(D102="Other Revenue","Other Revenue",IF(D102="Other Expenditures","Other Expense",E101)))))</f>
        <v/>
      </c>
      <c r="F102" s="36" t="str">
        <f aca="false">IF(OR(D102="Revenue",D102="Cost of Goods Sold",D102="Expenditures",D102="Other Revenue",D102="Other Expenditures"),E102,IF(AND(LEN(D102)&gt;2,MID(D102,2,1)=" ",ISNUMBER(VALUE(LEFT(D102,1)))),D102,F101))</f>
        <v/>
      </c>
      <c r="G102" s="36" t="n">
        <f aca="false">IF(AND(D102&lt;&gt;"",ISNUMBER(B102),LEFT(D102,9)&lt;&gt;"Total for",D102&lt;&gt;"Gross Profit",D102&lt;&gt;"Net Operating Revenue",D102&lt;&gt;"Net Other Revenue",D102&lt;&gt;"Net Revenue"),1,0)</f>
        <v>0</v>
      </c>
      <c r="H102" s="36" t="str">
        <f aca="false">IF(G102=1,IF(AND(LEN(D102)&gt;7,ISNUMBER(VALUE(LEFT(D102,6))),MID(D102,7,1)=" "),LEFT(D102,6),D102),"")</f>
        <v/>
      </c>
      <c r="M102" s="36" t="str">
        <f aca="false">TRIM(J102)</f>
        <v/>
      </c>
      <c r="N102" s="36" t="str">
        <f aca="false">IF(M102="Revenue","Revenue",IF(M102="Cost of Goods Sold","COGS",IF(M102="Expenditures","Expense",IF(M102="Other Revenue","Other Revenue",IF(M102="Other Expenditures","Other Expense",N101)))))</f>
        <v/>
      </c>
      <c r="O102" s="36" t="str">
        <f aca="false">IF(OR(M102="Revenue",M102="Cost of Goods Sold",M102="Expenditures",M102="Other Revenue",M102="Other Expenditures"),N102,IF(AND(LEN(M102)&gt;2,MID(M102,2,1)=" ",ISNUMBER(VALUE(LEFT(M102,1)))),M102,O101))</f>
        <v/>
      </c>
      <c r="P102" s="36" t="n">
        <f aca="false">IF(AND(M102&lt;&gt;"",ISNUMBER(K102),LEFT(M102,9)&lt;&gt;"Total for",M102&lt;&gt;"Gross Profit",M102&lt;&gt;"Net Operating Revenue",M102&lt;&gt;"Net Other Revenue",M102&lt;&gt;"Net Revenue"),1,0)</f>
        <v>0</v>
      </c>
      <c r="Q102" s="36" t="str">
        <f aca="false">IF(P102=1,IF(AND(LEN(M102)&gt;7,ISNUMBER(VALUE(LEFT(M102,6))),MID(M102,7,1)=" "),LEFT(M102,6),M102),"")</f>
        <v/>
      </c>
      <c r="V102" s="36" t="str">
        <f aca="false">TRIM(S102)</f>
        <v/>
      </c>
      <c r="W102" s="36" t="str">
        <f aca="false">IF(V102="Revenue","Revenue",IF(V102="Cost of Goods Sold","COGS",IF(V102="Expenditures","Expense",IF(V102="Other Revenue","Other Revenue",IF(V102="Other Expenditures","Other Expense",W101)))))</f>
        <v/>
      </c>
      <c r="X102" s="36" t="str">
        <f aca="false">IF(OR(V102="Revenue",V102="Cost of Goods Sold",V102="Expenditures",V102="Other Revenue",V102="Other Expenditures"),W102,IF(AND(LEN(V102)&gt;2,MID(V102,2,1)=" ",ISNUMBER(VALUE(LEFT(V102,1)))),V102,X101))</f>
        <v/>
      </c>
      <c r="Y102" s="36" t="n">
        <f aca="false">IF(AND(V102&lt;&gt;"",ISNUMBER(T102),LEFT(V102,9)&lt;&gt;"Total for",V102&lt;&gt;"Gross Profit",V102&lt;&gt;"Net Operating Revenue",V102&lt;&gt;"Net Other Revenue",V102&lt;&gt;"Net Revenue"),1,0)</f>
        <v>0</v>
      </c>
      <c r="Z102" s="36" t="str">
        <f aca="false">IF(Y102=1,IF(AND(LEN(V102)&gt;7,ISNUMBER(VALUE(LEFT(V102,6))),MID(V102,7,1)=" "),LEFT(V102,6),V102),"")</f>
        <v/>
      </c>
      <c r="AE102" s="36" t="str">
        <f aca="false">TRIM(AB102)</f>
        <v/>
      </c>
      <c r="AF102" s="36" t="str">
        <f aca="false">IF(AE102="Revenue","Revenue",IF(AE102="Cost of Goods Sold","COGS",IF(AE102="Expenditures","Expense",IF(AE102="Other Revenue","Other Revenue",IF(AE102="Other Expenditures","Other Expense",AF101)))))</f>
        <v/>
      </c>
      <c r="AG102" s="36" t="str">
        <f aca="false">IF(OR(AE102="Revenue",AE102="Cost of Goods Sold",AE102="Expenditures",AE102="Other Revenue",AE102="Other Expenditures"),AF102,IF(AND(LEN(AE102)&gt;2,MID(AE102,2,1)=" ",ISNUMBER(VALUE(LEFT(AE102,1)))),AE102,AG101))</f>
        <v/>
      </c>
      <c r="AH102" s="36" t="n">
        <f aca="false">IF(AND(AE102&lt;&gt;"",ISNUMBER(AC102),LEFT(AE102,9)&lt;&gt;"Total for",AE102&lt;&gt;"Gross Profit",AE102&lt;&gt;"Net Operating Revenue",AE102&lt;&gt;"Net Other Revenue",AE102&lt;&gt;"Net Revenue"),1,0)</f>
        <v>0</v>
      </c>
      <c r="AI102" s="36" t="str">
        <f aca="false">IF(AH102=1,IF(AND(LEN(AE102)&gt;7,ISNUMBER(VALUE(LEFT(AE102,6))),MID(AE102,7,1)=" "),LEFT(AE102,6),AE102),"")</f>
        <v/>
      </c>
      <c r="AN102" s="36" t="str">
        <f aca="false">TRIM(AK102)</f>
        <v/>
      </c>
      <c r="AO102" s="36" t="str">
        <f aca="false">IF(AN102="Revenue","Revenue",IF(AN102="Cost of Goods Sold","COGS",IF(AN102="Expenditures","Expense",IF(AN102="Other Revenue","Other Revenue",IF(AN102="Other Expenditures","Other Expense",AO101)))))</f>
        <v/>
      </c>
      <c r="AP102" s="36" t="str">
        <f aca="false">IF(OR(AN102="Revenue",AN102="Cost of Goods Sold",AN102="Expenditures",AN102="Other Revenue",AN102="Other Expenditures"),AO102,IF(AND(LEN(AN102)&gt;2,MID(AN102,2,1)=" ",ISNUMBER(VALUE(LEFT(AN102,1)))),AN102,AP101))</f>
        <v/>
      </c>
      <c r="AQ102" s="36" t="n">
        <f aca="false">IF(AND(AN102&lt;&gt;"",ISNUMBER(AL102),LEFT(AN102,9)&lt;&gt;"Total for",AN102&lt;&gt;"Gross Profit",AN102&lt;&gt;"Net Operating Revenue",AN102&lt;&gt;"Net Other Revenue",AN102&lt;&gt;"Net Revenue"),1,0)</f>
        <v>0</v>
      </c>
      <c r="AR102" s="36" t="str">
        <f aca="false">IF(AQ102=1,IF(AND(LEN(AN102)&gt;7,ISNUMBER(VALUE(LEFT(AN102,6))),MID(AN102,7,1)=" "),LEFT(AN102,6),AN102),"")</f>
        <v/>
      </c>
    </row>
    <row r="103" customFormat="false" ht="15" hidden="false" customHeight="false" outlineLevel="0" collapsed="false">
      <c r="D103" s="36" t="str">
        <f aca="false">TRIM(A103)</f>
        <v/>
      </c>
      <c r="E103" s="36" t="str">
        <f aca="false">IF(D103="Revenue","Revenue",IF(D103="Cost of Goods Sold","COGS",IF(D103="Expenditures","Expense",IF(D103="Other Revenue","Other Revenue",IF(D103="Other Expenditures","Other Expense",E102)))))</f>
        <v/>
      </c>
      <c r="F103" s="36" t="str">
        <f aca="false">IF(OR(D103="Revenue",D103="Cost of Goods Sold",D103="Expenditures",D103="Other Revenue",D103="Other Expenditures"),E103,IF(AND(LEN(D103)&gt;2,MID(D103,2,1)=" ",ISNUMBER(VALUE(LEFT(D103,1)))),D103,F102))</f>
        <v/>
      </c>
      <c r="G103" s="36" t="n">
        <f aca="false">IF(AND(D103&lt;&gt;"",ISNUMBER(B103),LEFT(D103,9)&lt;&gt;"Total for",D103&lt;&gt;"Gross Profit",D103&lt;&gt;"Net Operating Revenue",D103&lt;&gt;"Net Other Revenue",D103&lt;&gt;"Net Revenue"),1,0)</f>
        <v>0</v>
      </c>
      <c r="H103" s="36" t="str">
        <f aca="false">IF(G103=1,IF(AND(LEN(D103)&gt;7,ISNUMBER(VALUE(LEFT(D103,6))),MID(D103,7,1)=" "),LEFT(D103,6),D103),"")</f>
        <v/>
      </c>
      <c r="M103" s="36" t="str">
        <f aca="false">TRIM(J103)</f>
        <v/>
      </c>
      <c r="N103" s="36" t="str">
        <f aca="false">IF(M103="Revenue","Revenue",IF(M103="Cost of Goods Sold","COGS",IF(M103="Expenditures","Expense",IF(M103="Other Revenue","Other Revenue",IF(M103="Other Expenditures","Other Expense",N102)))))</f>
        <v/>
      </c>
      <c r="O103" s="36" t="str">
        <f aca="false">IF(OR(M103="Revenue",M103="Cost of Goods Sold",M103="Expenditures",M103="Other Revenue",M103="Other Expenditures"),N103,IF(AND(LEN(M103)&gt;2,MID(M103,2,1)=" ",ISNUMBER(VALUE(LEFT(M103,1)))),M103,O102))</f>
        <v/>
      </c>
      <c r="P103" s="36" t="n">
        <f aca="false">IF(AND(M103&lt;&gt;"",ISNUMBER(K103),LEFT(M103,9)&lt;&gt;"Total for",M103&lt;&gt;"Gross Profit",M103&lt;&gt;"Net Operating Revenue",M103&lt;&gt;"Net Other Revenue",M103&lt;&gt;"Net Revenue"),1,0)</f>
        <v>0</v>
      </c>
      <c r="Q103" s="36" t="str">
        <f aca="false">IF(P103=1,IF(AND(LEN(M103)&gt;7,ISNUMBER(VALUE(LEFT(M103,6))),MID(M103,7,1)=" "),LEFT(M103,6),M103),"")</f>
        <v/>
      </c>
      <c r="V103" s="36" t="str">
        <f aca="false">TRIM(S103)</f>
        <v/>
      </c>
      <c r="W103" s="36" t="str">
        <f aca="false">IF(V103="Revenue","Revenue",IF(V103="Cost of Goods Sold","COGS",IF(V103="Expenditures","Expense",IF(V103="Other Revenue","Other Revenue",IF(V103="Other Expenditures","Other Expense",W102)))))</f>
        <v/>
      </c>
      <c r="X103" s="36" t="str">
        <f aca="false">IF(OR(V103="Revenue",V103="Cost of Goods Sold",V103="Expenditures",V103="Other Revenue",V103="Other Expenditures"),W103,IF(AND(LEN(V103)&gt;2,MID(V103,2,1)=" ",ISNUMBER(VALUE(LEFT(V103,1)))),V103,X102))</f>
        <v/>
      </c>
      <c r="Y103" s="36" t="n">
        <f aca="false">IF(AND(V103&lt;&gt;"",ISNUMBER(T103),LEFT(V103,9)&lt;&gt;"Total for",V103&lt;&gt;"Gross Profit",V103&lt;&gt;"Net Operating Revenue",V103&lt;&gt;"Net Other Revenue",V103&lt;&gt;"Net Revenue"),1,0)</f>
        <v>0</v>
      </c>
      <c r="Z103" s="36" t="str">
        <f aca="false">IF(Y103=1,IF(AND(LEN(V103)&gt;7,ISNUMBER(VALUE(LEFT(V103,6))),MID(V103,7,1)=" "),LEFT(V103,6),V103),"")</f>
        <v/>
      </c>
      <c r="AE103" s="36" t="str">
        <f aca="false">TRIM(AB103)</f>
        <v/>
      </c>
      <c r="AF103" s="36" t="str">
        <f aca="false">IF(AE103="Revenue","Revenue",IF(AE103="Cost of Goods Sold","COGS",IF(AE103="Expenditures","Expense",IF(AE103="Other Revenue","Other Revenue",IF(AE103="Other Expenditures","Other Expense",AF102)))))</f>
        <v/>
      </c>
      <c r="AG103" s="36" t="str">
        <f aca="false">IF(OR(AE103="Revenue",AE103="Cost of Goods Sold",AE103="Expenditures",AE103="Other Revenue",AE103="Other Expenditures"),AF103,IF(AND(LEN(AE103)&gt;2,MID(AE103,2,1)=" ",ISNUMBER(VALUE(LEFT(AE103,1)))),AE103,AG102))</f>
        <v/>
      </c>
      <c r="AH103" s="36" t="n">
        <f aca="false">IF(AND(AE103&lt;&gt;"",ISNUMBER(AC103),LEFT(AE103,9)&lt;&gt;"Total for",AE103&lt;&gt;"Gross Profit",AE103&lt;&gt;"Net Operating Revenue",AE103&lt;&gt;"Net Other Revenue",AE103&lt;&gt;"Net Revenue"),1,0)</f>
        <v>0</v>
      </c>
      <c r="AI103" s="36" t="str">
        <f aca="false">IF(AH103=1,IF(AND(LEN(AE103)&gt;7,ISNUMBER(VALUE(LEFT(AE103,6))),MID(AE103,7,1)=" "),LEFT(AE103,6),AE103),"")</f>
        <v/>
      </c>
      <c r="AN103" s="36" t="str">
        <f aca="false">TRIM(AK103)</f>
        <v/>
      </c>
      <c r="AO103" s="36" t="str">
        <f aca="false">IF(AN103="Revenue","Revenue",IF(AN103="Cost of Goods Sold","COGS",IF(AN103="Expenditures","Expense",IF(AN103="Other Revenue","Other Revenue",IF(AN103="Other Expenditures","Other Expense",AO102)))))</f>
        <v/>
      </c>
      <c r="AP103" s="36" t="str">
        <f aca="false">IF(OR(AN103="Revenue",AN103="Cost of Goods Sold",AN103="Expenditures",AN103="Other Revenue",AN103="Other Expenditures"),AO103,IF(AND(LEN(AN103)&gt;2,MID(AN103,2,1)=" ",ISNUMBER(VALUE(LEFT(AN103,1)))),AN103,AP102))</f>
        <v/>
      </c>
      <c r="AQ103" s="36" t="n">
        <f aca="false">IF(AND(AN103&lt;&gt;"",ISNUMBER(AL103),LEFT(AN103,9)&lt;&gt;"Total for",AN103&lt;&gt;"Gross Profit",AN103&lt;&gt;"Net Operating Revenue",AN103&lt;&gt;"Net Other Revenue",AN103&lt;&gt;"Net Revenue"),1,0)</f>
        <v>0</v>
      </c>
      <c r="AR103" s="36" t="str">
        <f aca="false">IF(AQ103=1,IF(AND(LEN(AN103)&gt;7,ISNUMBER(VALUE(LEFT(AN103,6))),MID(AN103,7,1)=" "),LEFT(AN103,6),AN103),"")</f>
        <v/>
      </c>
    </row>
    <row r="104" customFormat="false" ht="15" hidden="false" customHeight="false" outlineLevel="0" collapsed="false">
      <c r="D104" s="36" t="str">
        <f aca="false">TRIM(A104)</f>
        <v/>
      </c>
      <c r="E104" s="36" t="str">
        <f aca="false">IF(D104="Revenue","Revenue",IF(D104="Cost of Goods Sold","COGS",IF(D104="Expenditures","Expense",IF(D104="Other Revenue","Other Revenue",IF(D104="Other Expenditures","Other Expense",E103)))))</f>
        <v/>
      </c>
      <c r="F104" s="36" t="str">
        <f aca="false">IF(OR(D104="Revenue",D104="Cost of Goods Sold",D104="Expenditures",D104="Other Revenue",D104="Other Expenditures"),E104,IF(AND(LEN(D104)&gt;2,MID(D104,2,1)=" ",ISNUMBER(VALUE(LEFT(D104,1)))),D104,F103))</f>
        <v/>
      </c>
      <c r="G104" s="36" t="n">
        <f aca="false">IF(AND(D104&lt;&gt;"",ISNUMBER(B104),LEFT(D104,9)&lt;&gt;"Total for",D104&lt;&gt;"Gross Profit",D104&lt;&gt;"Net Operating Revenue",D104&lt;&gt;"Net Other Revenue",D104&lt;&gt;"Net Revenue"),1,0)</f>
        <v>0</v>
      </c>
      <c r="H104" s="36" t="str">
        <f aca="false">IF(G104=1,IF(AND(LEN(D104)&gt;7,ISNUMBER(VALUE(LEFT(D104,6))),MID(D104,7,1)=" "),LEFT(D104,6),D104),"")</f>
        <v/>
      </c>
      <c r="M104" s="36" t="str">
        <f aca="false">TRIM(J104)</f>
        <v/>
      </c>
      <c r="N104" s="36" t="str">
        <f aca="false">IF(M104="Revenue","Revenue",IF(M104="Cost of Goods Sold","COGS",IF(M104="Expenditures","Expense",IF(M104="Other Revenue","Other Revenue",IF(M104="Other Expenditures","Other Expense",N103)))))</f>
        <v/>
      </c>
      <c r="O104" s="36" t="str">
        <f aca="false">IF(OR(M104="Revenue",M104="Cost of Goods Sold",M104="Expenditures",M104="Other Revenue",M104="Other Expenditures"),N104,IF(AND(LEN(M104)&gt;2,MID(M104,2,1)=" ",ISNUMBER(VALUE(LEFT(M104,1)))),M104,O103))</f>
        <v/>
      </c>
      <c r="P104" s="36" t="n">
        <f aca="false">IF(AND(M104&lt;&gt;"",ISNUMBER(K104),LEFT(M104,9)&lt;&gt;"Total for",M104&lt;&gt;"Gross Profit",M104&lt;&gt;"Net Operating Revenue",M104&lt;&gt;"Net Other Revenue",M104&lt;&gt;"Net Revenue"),1,0)</f>
        <v>0</v>
      </c>
      <c r="Q104" s="36" t="str">
        <f aca="false">IF(P104=1,IF(AND(LEN(M104)&gt;7,ISNUMBER(VALUE(LEFT(M104,6))),MID(M104,7,1)=" "),LEFT(M104,6),M104),"")</f>
        <v/>
      </c>
      <c r="V104" s="36" t="str">
        <f aca="false">TRIM(S104)</f>
        <v/>
      </c>
      <c r="W104" s="36" t="str">
        <f aca="false">IF(V104="Revenue","Revenue",IF(V104="Cost of Goods Sold","COGS",IF(V104="Expenditures","Expense",IF(V104="Other Revenue","Other Revenue",IF(V104="Other Expenditures","Other Expense",W103)))))</f>
        <v/>
      </c>
      <c r="X104" s="36" t="str">
        <f aca="false">IF(OR(V104="Revenue",V104="Cost of Goods Sold",V104="Expenditures",V104="Other Revenue",V104="Other Expenditures"),W104,IF(AND(LEN(V104)&gt;2,MID(V104,2,1)=" ",ISNUMBER(VALUE(LEFT(V104,1)))),V104,X103))</f>
        <v/>
      </c>
      <c r="Y104" s="36" t="n">
        <f aca="false">IF(AND(V104&lt;&gt;"",ISNUMBER(T104),LEFT(V104,9)&lt;&gt;"Total for",V104&lt;&gt;"Gross Profit",V104&lt;&gt;"Net Operating Revenue",V104&lt;&gt;"Net Other Revenue",V104&lt;&gt;"Net Revenue"),1,0)</f>
        <v>0</v>
      </c>
      <c r="Z104" s="36" t="str">
        <f aca="false">IF(Y104=1,IF(AND(LEN(V104)&gt;7,ISNUMBER(VALUE(LEFT(V104,6))),MID(V104,7,1)=" "),LEFT(V104,6),V104),"")</f>
        <v/>
      </c>
      <c r="AE104" s="36" t="str">
        <f aca="false">TRIM(AB104)</f>
        <v/>
      </c>
      <c r="AF104" s="36" t="str">
        <f aca="false">IF(AE104="Revenue","Revenue",IF(AE104="Cost of Goods Sold","COGS",IF(AE104="Expenditures","Expense",IF(AE104="Other Revenue","Other Revenue",IF(AE104="Other Expenditures","Other Expense",AF103)))))</f>
        <v/>
      </c>
      <c r="AG104" s="36" t="str">
        <f aca="false">IF(OR(AE104="Revenue",AE104="Cost of Goods Sold",AE104="Expenditures",AE104="Other Revenue",AE104="Other Expenditures"),AF104,IF(AND(LEN(AE104)&gt;2,MID(AE104,2,1)=" ",ISNUMBER(VALUE(LEFT(AE104,1)))),AE104,AG103))</f>
        <v/>
      </c>
      <c r="AH104" s="36" t="n">
        <f aca="false">IF(AND(AE104&lt;&gt;"",ISNUMBER(AC104),LEFT(AE104,9)&lt;&gt;"Total for",AE104&lt;&gt;"Gross Profit",AE104&lt;&gt;"Net Operating Revenue",AE104&lt;&gt;"Net Other Revenue",AE104&lt;&gt;"Net Revenue"),1,0)</f>
        <v>0</v>
      </c>
      <c r="AI104" s="36" t="str">
        <f aca="false">IF(AH104=1,IF(AND(LEN(AE104)&gt;7,ISNUMBER(VALUE(LEFT(AE104,6))),MID(AE104,7,1)=" "),LEFT(AE104,6),AE104),"")</f>
        <v/>
      </c>
      <c r="AN104" s="36" t="str">
        <f aca="false">TRIM(AK104)</f>
        <v/>
      </c>
      <c r="AO104" s="36" t="str">
        <f aca="false">IF(AN104="Revenue","Revenue",IF(AN104="Cost of Goods Sold","COGS",IF(AN104="Expenditures","Expense",IF(AN104="Other Revenue","Other Revenue",IF(AN104="Other Expenditures","Other Expense",AO103)))))</f>
        <v/>
      </c>
      <c r="AP104" s="36" t="str">
        <f aca="false">IF(OR(AN104="Revenue",AN104="Cost of Goods Sold",AN104="Expenditures",AN104="Other Revenue",AN104="Other Expenditures"),AO104,IF(AND(LEN(AN104)&gt;2,MID(AN104,2,1)=" ",ISNUMBER(VALUE(LEFT(AN104,1)))),AN104,AP103))</f>
        <v/>
      </c>
      <c r="AQ104" s="36" t="n">
        <f aca="false">IF(AND(AN104&lt;&gt;"",ISNUMBER(AL104),LEFT(AN104,9)&lt;&gt;"Total for",AN104&lt;&gt;"Gross Profit",AN104&lt;&gt;"Net Operating Revenue",AN104&lt;&gt;"Net Other Revenue",AN104&lt;&gt;"Net Revenue"),1,0)</f>
        <v>0</v>
      </c>
      <c r="AR104" s="36" t="str">
        <f aca="false">IF(AQ104=1,IF(AND(LEN(AN104)&gt;7,ISNUMBER(VALUE(LEFT(AN104,6))),MID(AN104,7,1)=" "),LEFT(AN104,6),AN104),"")</f>
        <v/>
      </c>
    </row>
    <row r="105" customFormat="false" ht="15" hidden="false" customHeight="false" outlineLevel="0" collapsed="false">
      <c r="D105" s="36" t="str">
        <f aca="false">TRIM(A105)</f>
        <v/>
      </c>
      <c r="E105" s="36" t="str">
        <f aca="false">IF(D105="Revenue","Revenue",IF(D105="Cost of Goods Sold","COGS",IF(D105="Expenditures","Expense",IF(D105="Other Revenue","Other Revenue",IF(D105="Other Expenditures","Other Expense",E104)))))</f>
        <v/>
      </c>
      <c r="F105" s="36" t="str">
        <f aca="false">IF(OR(D105="Revenue",D105="Cost of Goods Sold",D105="Expenditures",D105="Other Revenue",D105="Other Expenditures"),E105,IF(AND(LEN(D105)&gt;2,MID(D105,2,1)=" ",ISNUMBER(VALUE(LEFT(D105,1)))),D105,F104))</f>
        <v/>
      </c>
      <c r="G105" s="36" t="n">
        <f aca="false">IF(AND(D105&lt;&gt;"",ISNUMBER(B105),LEFT(D105,9)&lt;&gt;"Total for",D105&lt;&gt;"Gross Profit",D105&lt;&gt;"Net Operating Revenue",D105&lt;&gt;"Net Other Revenue",D105&lt;&gt;"Net Revenue"),1,0)</f>
        <v>0</v>
      </c>
      <c r="H105" s="36" t="str">
        <f aca="false">IF(G105=1,IF(AND(LEN(D105)&gt;7,ISNUMBER(VALUE(LEFT(D105,6))),MID(D105,7,1)=" "),LEFT(D105,6),D105),"")</f>
        <v/>
      </c>
      <c r="M105" s="36" t="str">
        <f aca="false">TRIM(J105)</f>
        <v/>
      </c>
      <c r="N105" s="36" t="str">
        <f aca="false">IF(M105="Revenue","Revenue",IF(M105="Cost of Goods Sold","COGS",IF(M105="Expenditures","Expense",IF(M105="Other Revenue","Other Revenue",IF(M105="Other Expenditures","Other Expense",N104)))))</f>
        <v/>
      </c>
      <c r="O105" s="36" t="str">
        <f aca="false">IF(OR(M105="Revenue",M105="Cost of Goods Sold",M105="Expenditures",M105="Other Revenue",M105="Other Expenditures"),N105,IF(AND(LEN(M105)&gt;2,MID(M105,2,1)=" ",ISNUMBER(VALUE(LEFT(M105,1)))),M105,O104))</f>
        <v/>
      </c>
      <c r="P105" s="36" t="n">
        <f aca="false">IF(AND(M105&lt;&gt;"",ISNUMBER(K105),LEFT(M105,9)&lt;&gt;"Total for",M105&lt;&gt;"Gross Profit",M105&lt;&gt;"Net Operating Revenue",M105&lt;&gt;"Net Other Revenue",M105&lt;&gt;"Net Revenue"),1,0)</f>
        <v>0</v>
      </c>
      <c r="Q105" s="36" t="str">
        <f aca="false">IF(P105=1,IF(AND(LEN(M105)&gt;7,ISNUMBER(VALUE(LEFT(M105,6))),MID(M105,7,1)=" "),LEFT(M105,6),M105),"")</f>
        <v/>
      </c>
      <c r="V105" s="36" t="str">
        <f aca="false">TRIM(S105)</f>
        <v/>
      </c>
      <c r="W105" s="36" t="str">
        <f aca="false">IF(V105="Revenue","Revenue",IF(V105="Cost of Goods Sold","COGS",IF(V105="Expenditures","Expense",IF(V105="Other Revenue","Other Revenue",IF(V105="Other Expenditures","Other Expense",W104)))))</f>
        <v/>
      </c>
      <c r="X105" s="36" t="str">
        <f aca="false">IF(OR(V105="Revenue",V105="Cost of Goods Sold",V105="Expenditures",V105="Other Revenue",V105="Other Expenditures"),W105,IF(AND(LEN(V105)&gt;2,MID(V105,2,1)=" ",ISNUMBER(VALUE(LEFT(V105,1)))),V105,X104))</f>
        <v/>
      </c>
      <c r="Y105" s="36" t="n">
        <f aca="false">IF(AND(V105&lt;&gt;"",ISNUMBER(T105),LEFT(V105,9)&lt;&gt;"Total for",V105&lt;&gt;"Gross Profit",V105&lt;&gt;"Net Operating Revenue",V105&lt;&gt;"Net Other Revenue",V105&lt;&gt;"Net Revenue"),1,0)</f>
        <v>0</v>
      </c>
      <c r="Z105" s="36" t="str">
        <f aca="false">IF(Y105=1,IF(AND(LEN(V105)&gt;7,ISNUMBER(VALUE(LEFT(V105,6))),MID(V105,7,1)=" "),LEFT(V105,6),V105),"")</f>
        <v/>
      </c>
      <c r="AE105" s="36" t="str">
        <f aca="false">TRIM(AB105)</f>
        <v/>
      </c>
      <c r="AF105" s="36" t="str">
        <f aca="false">IF(AE105="Revenue","Revenue",IF(AE105="Cost of Goods Sold","COGS",IF(AE105="Expenditures","Expense",IF(AE105="Other Revenue","Other Revenue",IF(AE105="Other Expenditures","Other Expense",AF104)))))</f>
        <v/>
      </c>
      <c r="AG105" s="36" t="str">
        <f aca="false">IF(OR(AE105="Revenue",AE105="Cost of Goods Sold",AE105="Expenditures",AE105="Other Revenue",AE105="Other Expenditures"),AF105,IF(AND(LEN(AE105)&gt;2,MID(AE105,2,1)=" ",ISNUMBER(VALUE(LEFT(AE105,1)))),AE105,AG104))</f>
        <v/>
      </c>
      <c r="AH105" s="36" t="n">
        <f aca="false">IF(AND(AE105&lt;&gt;"",ISNUMBER(AC105),LEFT(AE105,9)&lt;&gt;"Total for",AE105&lt;&gt;"Gross Profit",AE105&lt;&gt;"Net Operating Revenue",AE105&lt;&gt;"Net Other Revenue",AE105&lt;&gt;"Net Revenue"),1,0)</f>
        <v>0</v>
      </c>
      <c r="AI105" s="36" t="str">
        <f aca="false">IF(AH105=1,IF(AND(LEN(AE105)&gt;7,ISNUMBER(VALUE(LEFT(AE105,6))),MID(AE105,7,1)=" "),LEFT(AE105,6),AE105),"")</f>
        <v/>
      </c>
      <c r="AN105" s="36" t="str">
        <f aca="false">TRIM(AK105)</f>
        <v/>
      </c>
      <c r="AO105" s="36" t="str">
        <f aca="false">IF(AN105="Revenue","Revenue",IF(AN105="Cost of Goods Sold","COGS",IF(AN105="Expenditures","Expense",IF(AN105="Other Revenue","Other Revenue",IF(AN105="Other Expenditures","Other Expense",AO104)))))</f>
        <v/>
      </c>
      <c r="AP105" s="36" t="str">
        <f aca="false">IF(OR(AN105="Revenue",AN105="Cost of Goods Sold",AN105="Expenditures",AN105="Other Revenue",AN105="Other Expenditures"),AO105,IF(AND(LEN(AN105)&gt;2,MID(AN105,2,1)=" ",ISNUMBER(VALUE(LEFT(AN105,1)))),AN105,AP104))</f>
        <v/>
      </c>
      <c r="AQ105" s="36" t="n">
        <f aca="false">IF(AND(AN105&lt;&gt;"",ISNUMBER(AL105),LEFT(AN105,9)&lt;&gt;"Total for",AN105&lt;&gt;"Gross Profit",AN105&lt;&gt;"Net Operating Revenue",AN105&lt;&gt;"Net Other Revenue",AN105&lt;&gt;"Net Revenue"),1,0)</f>
        <v>0</v>
      </c>
      <c r="AR105" s="36" t="str">
        <f aca="false">IF(AQ105=1,IF(AND(LEN(AN105)&gt;7,ISNUMBER(VALUE(LEFT(AN105,6))),MID(AN105,7,1)=" "),LEFT(AN105,6),AN105),"")</f>
        <v/>
      </c>
    </row>
    <row r="106" customFormat="false" ht="15" hidden="false" customHeight="false" outlineLevel="0" collapsed="false">
      <c r="D106" s="36" t="str">
        <f aca="false">TRIM(A106)</f>
        <v/>
      </c>
      <c r="E106" s="36" t="str">
        <f aca="false">IF(D106="Revenue","Revenue",IF(D106="Cost of Goods Sold","COGS",IF(D106="Expenditures","Expense",IF(D106="Other Revenue","Other Revenue",IF(D106="Other Expenditures","Other Expense",E105)))))</f>
        <v/>
      </c>
      <c r="F106" s="36" t="str">
        <f aca="false">IF(OR(D106="Revenue",D106="Cost of Goods Sold",D106="Expenditures",D106="Other Revenue",D106="Other Expenditures"),E106,IF(AND(LEN(D106)&gt;2,MID(D106,2,1)=" ",ISNUMBER(VALUE(LEFT(D106,1)))),D106,F105))</f>
        <v/>
      </c>
      <c r="G106" s="36" t="n">
        <f aca="false">IF(AND(D106&lt;&gt;"",ISNUMBER(B106),LEFT(D106,9)&lt;&gt;"Total for",D106&lt;&gt;"Gross Profit",D106&lt;&gt;"Net Operating Revenue",D106&lt;&gt;"Net Other Revenue",D106&lt;&gt;"Net Revenue"),1,0)</f>
        <v>0</v>
      </c>
      <c r="H106" s="36" t="str">
        <f aca="false">IF(G106=1,IF(AND(LEN(D106)&gt;7,ISNUMBER(VALUE(LEFT(D106,6))),MID(D106,7,1)=" "),LEFT(D106,6),D106),"")</f>
        <v/>
      </c>
      <c r="M106" s="36" t="str">
        <f aca="false">TRIM(J106)</f>
        <v/>
      </c>
      <c r="N106" s="36" t="str">
        <f aca="false">IF(M106="Revenue","Revenue",IF(M106="Cost of Goods Sold","COGS",IF(M106="Expenditures","Expense",IF(M106="Other Revenue","Other Revenue",IF(M106="Other Expenditures","Other Expense",N105)))))</f>
        <v/>
      </c>
      <c r="O106" s="36" t="str">
        <f aca="false">IF(OR(M106="Revenue",M106="Cost of Goods Sold",M106="Expenditures",M106="Other Revenue",M106="Other Expenditures"),N106,IF(AND(LEN(M106)&gt;2,MID(M106,2,1)=" ",ISNUMBER(VALUE(LEFT(M106,1)))),M106,O105))</f>
        <v/>
      </c>
      <c r="P106" s="36" t="n">
        <f aca="false">IF(AND(M106&lt;&gt;"",ISNUMBER(K106),LEFT(M106,9)&lt;&gt;"Total for",M106&lt;&gt;"Gross Profit",M106&lt;&gt;"Net Operating Revenue",M106&lt;&gt;"Net Other Revenue",M106&lt;&gt;"Net Revenue"),1,0)</f>
        <v>0</v>
      </c>
      <c r="Q106" s="36" t="str">
        <f aca="false">IF(P106=1,IF(AND(LEN(M106)&gt;7,ISNUMBER(VALUE(LEFT(M106,6))),MID(M106,7,1)=" "),LEFT(M106,6),M106),"")</f>
        <v/>
      </c>
      <c r="V106" s="36" t="str">
        <f aca="false">TRIM(S106)</f>
        <v/>
      </c>
      <c r="W106" s="36" t="str">
        <f aca="false">IF(V106="Revenue","Revenue",IF(V106="Cost of Goods Sold","COGS",IF(V106="Expenditures","Expense",IF(V106="Other Revenue","Other Revenue",IF(V106="Other Expenditures","Other Expense",W105)))))</f>
        <v/>
      </c>
      <c r="X106" s="36" t="str">
        <f aca="false">IF(OR(V106="Revenue",V106="Cost of Goods Sold",V106="Expenditures",V106="Other Revenue",V106="Other Expenditures"),W106,IF(AND(LEN(V106)&gt;2,MID(V106,2,1)=" ",ISNUMBER(VALUE(LEFT(V106,1)))),V106,X105))</f>
        <v/>
      </c>
      <c r="Y106" s="36" t="n">
        <f aca="false">IF(AND(V106&lt;&gt;"",ISNUMBER(T106),LEFT(V106,9)&lt;&gt;"Total for",V106&lt;&gt;"Gross Profit",V106&lt;&gt;"Net Operating Revenue",V106&lt;&gt;"Net Other Revenue",V106&lt;&gt;"Net Revenue"),1,0)</f>
        <v>0</v>
      </c>
      <c r="Z106" s="36" t="str">
        <f aca="false">IF(Y106=1,IF(AND(LEN(V106)&gt;7,ISNUMBER(VALUE(LEFT(V106,6))),MID(V106,7,1)=" "),LEFT(V106,6),V106),"")</f>
        <v/>
      </c>
      <c r="AE106" s="36" t="str">
        <f aca="false">TRIM(AB106)</f>
        <v/>
      </c>
      <c r="AF106" s="36" t="str">
        <f aca="false">IF(AE106="Revenue","Revenue",IF(AE106="Cost of Goods Sold","COGS",IF(AE106="Expenditures","Expense",IF(AE106="Other Revenue","Other Revenue",IF(AE106="Other Expenditures","Other Expense",AF105)))))</f>
        <v/>
      </c>
      <c r="AG106" s="36" t="str">
        <f aca="false">IF(OR(AE106="Revenue",AE106="Cost of Goods Sold",AE106="Expenditures",AE106="Other Revenue",AE106="Other Expenditures"),AF106,IF(AND(LEN(AE106)&gt;2,MID(AE106,2,1)=" ",ISNUMBER(VALUE(LEFT(AE106,1)))),AE106,AG105))</f>
        <v/>
      </c>
      <c r="AH106" s="36" t="n">
        <f aca="false">IF(AND(AE106&lt;&gt;"",ISNUMBER(AC106),LEFT(AE106,9)&lt;&gt;"Total for",AE106&lt;&gt;"Gross Profit",AE106&lt;&gt;"Net Operating Revenue",AE106&lt;&gt;"Net Other Revenue",AE106&lt;&gt;"Net Revenue"),1,0)</f>
        <v>0</v>
      </c>
      <c r="AI106" s="36" t="str">
        <f aca="false">IF(AH106=1,IF(AND(LEN(AE106)&gt;7,ISNUMBER(VALUE(LEFT(AE106,6))),MID(AE106,7,1)=" "),LEFT(AE106,6),AE106),"")</f>
        <v/>
      </c>
      <c r="AN106" s="36" t="str">
        <f aca="false">TRIM(AK106)</f>
        <v/>
      </c>
      <c r="AO106" s="36" t="str">
        <f aca="false">IF(AN106="Revenue","Revenue",IF(AN106="Cost of Goods Sold","COGS",IF(AN106="Expenditures","Expense",IF(AN106="Other Revenue","Other Revenue",IF(AN106="Other Expenditures","Other Expense",AO105)))))</f>
        <v/>
      </c>
      <c r="AP106" s="36" t="str">
        <f aca="false">IF(OR(AN106="Revenue",AN106="Cost of Goods Sold",AN106="Expenditures",AN106="Other Revenue",AN106="Other Expenditures"),AO106,IF(AND(LEN(AN106)&gt;2,MID(AN106,2,1)=" ",ISNUMBER(VALUE(LEFT(AN106,1)))),AN106,AP105))</f>
        <v/>
      </c>
      <c r="AQ106" s="36" t="n">
        <f aca="false">IF(AND(AN106&lt;&gt;"",ISNUMBER(AL106),LEFT(AN106,9)&lt;&gt;"Total for",AN106&lt;&gt;"Gross Profit",AN106&lt;&gt;"Net Operating Revenue",AN106&lt;&gt;"Net Other Revenue",AN106&lt;&gt;"Net Revenue"),1,0)</f>
        <v>0</v>
      </c>
      <c r="AR106" s="36" t="str">
        <f aca="false">IF(AQ106=1,IF(AND(LEN(AN106)&gt;7,ISNUMBER(VALUE(LEFT(AN106,6))),MID(AN106,7,1)=" "),LEFT(AN106,6),AN106),"")</f>
        <v/>
      </c>
    </row>
    <row r="107" customFormat="false" ht="15" hidden="false" customHeight="false" outlineLevel="0" collapsed="false">
      <c r="D107" s="36" t="str">
        <f aca="false">TRIM(A107)</f>
        <v/>
      </c>
      <c r="E107" s="36" t="str">
        <f aca="false">IF(D107="Revenue","Revenue",IF(D107="Cost of Goods Sold","COGS",IF(D107="Expenditures","Expense",IF(D107="Other Revenue","Other Revenue",IF(D107="Other Expenditures","Other Expense",E106)))))</f>
        <v/>
      </c>
      <c r="F107" s="36" t="str">
        <f aca="false">IF(OR(D107="Revenue",D107="Cost of Goods Sold",D107="Expenditures",D107="Other Revenue",D107="Other Expenditures"),E107,IF(AND(LEN(D107)&gt;2,MID(D107,2,1)=" ",ISNUMBER(VALUE(LEFT(D107,1)))),D107,F106))</f>
        <v/>
      </c>
      <c r="G107" s="36" t="n">
        <f aca="false">IF(AND(D107&lt;&gt;"",ISNUMBER(B107),LEFT(D107,9)&lt;&gt;"Total for",D107&lt;&gt;"Gross Profit",D107&lt;&gt;"Net Operating Revenue",D107&lt;&gt;"Net Other Revenue",D107&lt;&gt;"Net Revenue"),1,0)</f>
        <v>0</v>
      </c>
      <c r="H107" s="36" t="str">
        <f aca="false">IF(G107=1,IF(AND(LEN(D107)&gt;7,ISNUMBER(VALUE(LEFT(D107,6))),MID(D107,7,1)=" "),LEFT(D107,6),D107),"")</f>
        <v/>
      </c>
      <c r="M107" s="36" t="str">
        <f aca="false">TRIM(J107)</f>
        <v/>
      </c>
      <c r="N107" s="36" t="str">
        <f aca="false">IF(M107="Revenue","Revenue",IF(M107="Cost of Goods Sold","COGS",IF(M107="Expenditures","Expense",IF(M107="Other Revenue","Other Revenue",IF(M107="Other Expenditures","Other Expense",N106)))))</f>
        <v/>
      </c>
      <c r="O107" s="36" t="str">
        <f aca="false">IF(OR(M107="Revenue",M107="Cost of Goods Sold",M107="Expenditures",M107="Other Revenue",M107="Other Expenditures"),N107,IF(AND(LEN(M107)&gt;2,MID(M107,2,1)=" ",ISNUMBER(VALUE(LEFT(M107,1)))),M107,O106))</f>
        <v/>
      </c>
      <c r="P107" s="36" t="n">
        <f aca="false">IF(AND(M107&lt;&gt;"",ISNUMBER(K107),LEFT(M107,9)&lt;&gt;"Total for",M107&lt;&gt;"Gross Profit",M107&lt;&gt;"Net Operating Revenue",M107&lt;&gt;"Net Other Revenue",M107&lt;&gt;"Net Revenue"),1,0)</f>
        <v>0</v>
      </c>
      <c r="Q107" s="36" t="str">
        <f aca="false">IF(P107=1,IF(AND(LEN(M107)&gt;7,ISNUMBER(VALUE(LEFT(M107,6))),MID(M107,7,1)=" "),LEFT(M107,6),M107),"")</f>
        <v/>
      </c>
      <c r="V107" s="36" t="str">
        <f aca="false">TRIM(S107)</f>
        <v/>
      </c>
      <c r="W107" s="36" t="str">
        <f aca="false">IF(V107="Revenue","Revenue",IF(V107="Cost of Goods Sold","COGS",IF(V107="Expenditures","Expense",IF(V107="Other Revenue","Other Revenue",IF(V107="Other Expenditures","Other Expense",W106)))))</f>
        <v/>
      </c>
      <c r="X107" s="36" t="str">
        <f aca="false">IF(OR(V107="Revenue",V107="Cost of Goods Sold",V107="Expenditures",V107="Other Revenue",V107="Other Expenditures"),W107,IF(AND(LEN(V107)&gt;2,MID(V107,2,1)=" ",ISNUMBER(VALUE(LEFT(V107,1)))),V107,X106))</f>
        <v/>
      </c>
      <c r="Y107" s="36" t="n">
        <f aca="false">IF(AND(V107&lt;&gt;"",ISNUMBER(T107),LEFT(V107,9)&lt;&gt;"Total for",V107&lt;&gt;"Gross Profit",V107&lt;&gt;"Net Operating Revenue",V107&lt;&gt;"Net Other Revenue",V107&lt;&gt;"Net Revenue"),1,0)</f>
        <v>0</v>
      </c>
      <c r="Z107" s="36" t="str">
        <f aca="false">IF(Y107=1,IF(AND(LEN(V107)&gt;7,ISNUMBER(VALUE(LEFT(V107,6))),MID(V107,7,1)=" "),LEFT(V107,6),V107),"")</f>
        <v/>
      </c>
      <c r="AE107" s="36" t="str">
        <f aca="false">TRIM(AB107)</f>
        <v/>
      </c>
      <c r="AF107" s="36" t="str">
        <f aca="false">IF(AE107="Revenue","Revenue",IF(AE107="Cost of Goods Sold","COGS",IF(AE107="Expenditures","Expense",IF(AE107="Other Revenue","Other Revenue",IF(AE107="Other Expenditures","Other Expense",AF106)))))</f>
        <v/>
      </c>
      <c r="AG107" s="36" t="str">
        <f aca="false">IF(OR(AE107="Revenue",AE107="Cost of Goods Sold",AE107="Expenditures",AE107="Other Revenue",AE107="Other Expenditures"),AF107,IF(AND(LEN(AE107)&gt;2,MID(AE107,2,1)=" ",ISNUMBER(VALUE(LEFT(AE107,1)))),AE107,AG106))</f>
        <v/>
      </c>
      <c r="AH107" s="36" t="n">
        <f aca="false">IF(AND(AE107&lt;&gt;"",ISNUMBER(AC107),LEFT(AE107,9)&lt;&gt;"Total for",AE107&lt;&gt;"Gross Profit",AE107&lt;&gt;"Net Operating Revenue",AE107&lt;&gt;"Net Other Revenue",AE107&lt;&gt;"Net Revenue"),1,0)</f>
        <v>0</v>
      </c>
      <c r="AI107" s="36" t="str">
        <f aca="false">IF(AH107=1,IF(AND(LEN(AE107)&gt;7,ISNUMBER(VALUE(LEFT(AE107,6))),MID(AE107,7,1)=" "),LEFT(AE107,6),AE107),"")</f>
        <v/>
      </c>
      <c r="AN107" s="36" t="str">
        <f aca="false">TRIM(AK107)</f>
        <v/>
      </c>
      <c r="AO107" s="36" t="str">
        <f aca="false">IF(AN107="Revenue","Revenue",IF(AN107="Cost of Goods Sold","COGS",IF(AN107="Expenditures","Expense",IF(AN107="Other Revenue","Other Revenue",IF(AN107="Other Expenditures","Other Expense",AO106)))))</f>
        <v/>
      </c>
      <c r="AP107" s="36" t="str">
        <f aca="false">IF(OR(AN107="Revenue",AN107="Cost of Goods Sold",AN107="Expenditures",AN107="Other Revenue",AN107="Other Expenditures"),AO107,IF(AND(LEN(AN107)&gt;2,MID(AN107,2,1)=" ",ISNUMBER(VALUE(LEFT(AN107,1)))),AN107,AP106))</f>
        <v/>
      </c>
      <c r="AQ107" s="36" t="n">
        <f aca="false">IF(AND(AN107&lt;&gt;"",ISNUMBER(AL107),LEFT(AN107,9)&lt;&gt;"Total for",AN107&lt;&gt;"Gross Profit",AN107&lt;&gt;"Net Operating Revenue",AN107&lt;&gt;"Net Other Revenue",AN107&lt;&gt;"Net Revenue"),1,0)</f>
        <v>0</v>
      </c>
      <c r="AR107" s="36" t="str">
        <f aca="false">IF(AQ107=1,IF(AND(LEN(AN107)&gt;7,ISNUMBER(VALUE(LEFT(AN107,6))),MID(AN107,7,1)=" "),LEFT(AN107,6),AN107),"")</f>
        <v/>
      </c>
    </row>
    <row r="108" customFormat="false" ht="15" hidden="false" customHeight="false" outlineLevel="0" collapsed="false">
      <c r="D108" s="36" t="str">
        <f aca="false">TRIM(A108)</f>
        <v/>
      </c>
      <c r="E108" s="36" t="str">
        <f aca="false">IF(D108="Revenue","Revenue",IF(D108="Cost of Goods Sold","COGS",IF(D108="Expenditures","Expense",IF(D108="Other Revenue","Other Revenue",IF(D108="Other Expenditures","Other Expense",E107)))))</f>
        <v/>
      </c>
      <c r="F108" s="36" t="str">
        <f aca="false">IF(OR(D108="Revenue",D108="Cost of Goods Sold",D108="Expenditures",D108="Other Revenue",D108="Other Expenditures"),E108,IF(AND(LEN(D108)&gt;2,MID(D108,2,1)=" ",ISNUMBER(VALUE(LEFT(D108,1)))),D108,F107))</f>
        <v/>
      </c>
      <c r="G108" s="36" t="n">
        <f aca="false">IF(AND(D108&lt;&gt;"",ISNUMBER(B108),LEFT(D108,9)&lt;&gt;"Total for",D108&lt;&gt;"Gross Profit",D108&lt;&gt;"Net Operating Revenue",D108&lt;&gt;"Net Other Revenue",D108&lt;&gt;"Net Revenue"),1,0)</f>
        <v>0</v>
      </c>
      <c r="H108" s="36" t="str">
        <f aca="false">IF(G108=1,IF(AND(LEN(D108)&gt;7,ISNUMBER(VALUE(LEFT(D108,6))),MID(D108,7,1)=" "),LEFT(D108,6),D108),"")</f>
        <v/>
      </c>
      <c r="M108" s="36" t="str">
        <f aca="false">TRIM(J108)</f>
        <v/>
      </c>
      <c r="N108" s="36" t="str">
        <f aca="false">IF(M108="Revenue","Revenue",IF(M108="Cost of Goods Sold","COGS",IF(M108="Expenditures","Expense",IF(M108="Other Revenue","Other Revenue",IF(M108="Other Expenditures","Other Expense",N107)))))</f>
        <v/>
      </c>
      <c r="O108" s="36" t="str">
        <f aca="false">IF(OR(M108="Revenue",M108="Cost of Goods Sold",M108="Expenditures",M108="Other Revenue",M108="Other Expenditures"),N108,IF(AND(LEN(M108)&gt;2,MID(M108,2,1)=" ",ISNUMBER(VALUE(LEFT(M108,1)))),M108,O107))</f>
        <v/>
      </c>
      <c r="P108" s="36" t="n">
        <f aca="false">IF(AND(M108&lt;&gt;"",ISNUMBER(K108),LEFT(M108,9)&lt;&gt;"Total for",M108&lt;&gt;"Gross Profit",M108&lt;&gt;"Net Operating Revenue",M108&lt;&gt;"Net Other Revenue",M108&lt;&gt;"Net Revenue"),1,0)</f>
        <v>0</v>
      </c>
      <c r="Q108" s="36" t="str">
        <f aca="false">IF(P108=1,IF(AND(LEN(M108)&gt;7,ISNUMBER(VALUE(LEFT(M108,6))),MID(M108,7,1)=" "),LEFT(M108,6),M108),"")</f>
        <v/>
      </c>
      <c r="V108" s="36" t="str">
        <f aca="false">TRIM(S108)</f>
        <v/>
      </c>
      <c r="W108" s="36" t="str">
        <f aca="false">IF(V108="Revenue","Revenue",IF(V108="Cost of Goods Sold","COGS",IF(V108="Expenditures","Expense",IF(V108="Other Revenue","Other Revenue",IF(V108="Other Expenditures","Other Expense",W107)))))</f>
        <v/>
      </c>
      <c r="X108" s="36" t="str">
        <f aca="false">IF(OR(V108="Revenue",V108="Cost of Goods Sold",V108="Expenditures",V108="Other Revenue",V108="Other Expenditures"),W108,IF(AND(LEN(V108)&gt;2,MID(V108,2,1)=" ",ISNUMBER(VALUE(LEFT(V108,1)))),V108,X107))</f>
        <v/>
      </c>
      <c r="Y108" s="36" t="n">
        <f aca="false">IF(AND(V108&lt;&gt;"",ISNUMBER(T108),LEFT(V108,9)&lt;&gt;"Total for",V108&lt;&gt;"Gross Profit",V108&lt;&gt;"Net Operating Revenue",V108&lt;&gt;"Net Other Revenue",V108&lt;&gt;"Net Revenue"),1,0)</f>
        <v>0</v>
      </c>
      <c r="Z108" s="36" t="str">
        <f aca="false">IF(Y108=1,IF(AND(LEN(V108)&gt;7,ISNUMBER(VALUE(LEFT(V108,6))),MID(V108,7,1)=" "),LEFT(V108,6),V108),"")</f>
        <v/>
      </c>
      <c r="AE108" s="36" t="str">
        <f aca="false">TRIM(AB108)</f>
        <v/>
      </c>
      <c r="AF108" s="36" t="str">
        <f aca="false">IF(AE108="Revenue","Revenue",IF(AE108="Cost of Goods Sold","COGS",IF(AE108="Expenditures","Expense",IF(AE108="Other Revenue","Other Revenue",IF(AE108="Other Expenditures","Other Expense",AF107)))))</f>
        <v/>
      </c>
      <c r="AG108" s="36" t="str">
        <f aca="false">IF(OR(AE108="Revenue",AE108="Cost of Goods Sold",AE108="Expenditures",AE108="Other Revenue",AE108="Other Expenditures"),AF108,IF(AND(LEN(AE108)&gt;2,MID(AE108,2,1)=" ",ISNUMBER(VALUE(LEFT(AE108,1)))),AE108,AG107))</f>
        <v/>
      </c>
      <c r="AH108" s="36" t="n">
        <f aca="false">IF(AND(AE108&lt;&gt;"",ISNUMBER(AC108),LEFT(AE108,9)&lt;&gt;"Total for",AE108&lt;&gt;"Gross Profit",AE108&lt;&gt;"Net Operating Revenue",AE108&lt;&gt;"Net Other Revenue",AE108&lt;&gt;"Net Revenue"),1,0)</f>
        <v>0</v>
      </c>
      <c r="AI108" s="36" t="str">
        <f aca="false">IF(AH108=1,IF(AND(LEN(AE108)&gt;7,ISNUMBER(VALUE(LEFT(AE108,6))),MID(AE108,7,1)=" "),LEFT(AE108,6),AE108),"")</f>
        <v/>
      </c>
      <c r="AN108" s="36" t="str">
        <f aca="false">TRIM(AK108)</f>
        <v/>
      </c>
      <c r="AO108" s="36" t="str">
        <f aca="false">IF(AN108="Revenue","Revenue",IF(AN108="Cost of Goods Sold","COGS",IF(AN108="Expenditures","Expense",IF(AN108="Other Revenue","Other Revenue",IF(AN108="Other Expenditures","Other Expense",AO107)))))</f>
        <v/>
      </c>
      <c r="AP108" s="36" t="str">
        <f aca="false">IF(OR(AN108="Revenue",AN108="Cost of Goods Sold",AN108="Expenditures",AN108="Other Revenue",AN108="Other Expenditures"),AO108,IF(AND(LEN(AN108)&gt;2,MID(AN108,2,1)=" ",ISNUMBER(VALUE(LEFT(AN108,1)))),AN108,AP107))</f>
        <v/>
      </c>
      <c r="AQ108" s="36" t="n">
        <f aca="false">IF(AND(AN108&lt;&gt;"",ISNUMBER(AL108),LEFT(AN108,9)&lt;&gt;"Total for",AN108&lt;&gt;"Gross Profit",AN108&lt;&gt;"Net Operating Revenue",AN108&lt;&gt;"Net Other Revenue",AN108&lt;&gt;"Net Revenue"),1,0)</f>
        <v>0</v>
      </c>
      <c r="AR108" s="36" t="str">
        <f aca="false">IF(AQ108=1,IF(AND(LEN(AN108)&gt;7,ISNUMBER(VALUE(LEFT(AN108,6))),MID(AN108,7,1)=" "),LEFT(AN108,6),AN108),"")</f>
        <v/>
      </c>
    </row>
    <row r="109" customFormat="false" ht="15" hidden="false" customHeight="false" outlineLevel="0" collapsed="false">
      <c r="D109" s="36" t="str">
        <f aca="false">TRIM(A109)</f>
        <v/>
      </c>
      <c r="E109" s="36" t="str">
        <f aca="false">IF(D109="Revenue","Revenue",IF(D109="Cost of Goods Sold","COGS",IF(D109="Expenditures","Expense",IF(D109="Other Revenue","Other Revenue",IF(D109="Other Expenditures","Other Expense",E108)))))</f>
        <v/>
      </c>
      <c r="F109" s="36" t="str">
        <f aca="false">IF(OR(D109="Revenue",D109="Cost of Goods Sold",D109="Expenditures",D109="Other Revenue",D109="Other Expenditures"),E109,IF(AND(LEN(D109)&gt;2,MID(D109,2,1)=" ",ISNUMBER(VALUE(LEFT(D109,1)))),D109,F108))</f>
        <v/>
      </c>
      <c r="G109" s="36" t="n">
        <f aca="false">IF(AND(D109&lt;&gt;"",ISNUMBER(B109),LEFT(D109,9)&lt;&gt;"Total for",D109&lt;&gt;"Gross Profit",D109&lt;&gt;"Net Operating Revenue",D109&lt;&gt;"Net Other Revenue",D109&lt;&gt;"Net Revenue"),1,0)</f>
        <v>0</v>
      </c>
      <c r="H109" s="36" t="str">
        <f aca="false">IF(G109=1,IF(AND(LEN(D109)&gt;7,ISNUMBER(VALUE(LEFT(D109,6))),MID(D109,7,1)=" "),LEFT(D109,6),D109),"")</f>
        <v/>
      </c>
      <c r="M109" s="36" t="str">
        <f aca="false">TRIM(J109)</f>
        <v/>
      </c>
      <c r="N109" s="36" t="str">
        <f aca="false">IF(M109="Revenue","Revenue",IF(M109="Cost of Goods Sold","COGS",IF(M109="Expenditures","Expense",IF(M109="Other Revenue","Other Revenue",IF(M109="Other Expenditures","Other Expense",N108)))))</f>
        <v/>
      </c>
      <c r="O109" s="36" t="str">
        <f aca="false">IF(OR(M109="Revenue",M109="Cost of Goods Sold",M109="Expenditures",M109="Other Revenue",M109="Other Expenditures"),N109,IF(AND(LEN(M109)&gt;2,MID(M109,2,1)=" ",ISNUMBER(VALUE(LEFT(M109,1)))),M109,O108))</f>
        <v/>
      </c>
      <c r="P109" s="36" t="n">
        <f aca="false">IF(AND(M109&lt;&gt;"",ISNUMBER(K109),LEFT(M109,9)&lt;&gt;"Total for",M109&lt;&gt;"Gross Profit",M109&lt;&gt;"Net Operating Revenue",M109&lt;&gt;"Net Other Revenue",M109&lt;&gt;"Net Revenue"),1,0)</f>
        <v>0</v>
      </c>
      <c r="Q109" s="36" t="str">
        <f aca="false">IF(P109=1,IF(AND(LEN(M109)&gt;7,ISNUMBER(VALUE(LEFT(M109,6))),MID(M109,7,1)=" "),LEFT(M109,6),M109),"")</f>
        <v/>
      </c>
      <c r="V109" s="36" t="str">
        <f aca="false">TRIM(S109)</f>
        <v/>
      </c>
      <c r="W109" s="36" t="str">
        <f aca="false">IF(V109="Revenue","Revenue",IF(V109="Cost of Goods Sold","COGS",IF(V109="Expenditures","Expense",IF(V109="Other Revenue","Other Revenue",IF(V109="Other Expenditures","Other Expense",W108)))))</f>
        <v/>
      </c>
      <c r="X109" s="36" t="str">
        <f aca="false">IF(OR(V109="Revenue",V109="Cost of Goods Sold",V109="Expenditures",V109="Other Revenue",V109="Other Expenditures"),W109,IF(AND(LEN(V109)&gt;2,MID(V109,2,1)=" ",ISNUMBER(VALUE(LEFT(V109,1)))),V109,X108))</f>
        <v/>
      </c>
      <c r="Y109" s="36" t="n">
        <f aca="false">IF(AND(V109&lt;&gt;"",ISNUMBER(T109),LEFT(V109,9)&lt;&gt;"Total for",V109&lt;&gt;"Gross Profit",V109&lt;&gt;"Net Operating Revenue",V109&lt;&gt;"Net Other Revenue",V109&lt;&gt;"Net Revenue"),1,0)</f>
        <v>0</v>
      </c>
      <c r="Z109" s="36" t="str">
        <f aca="false">IF(Y109=1,IF(AND(LEN(V109)&gt;7,ISNUMBER(VALUE(LEFT(V109,6))),MID(V109,7,1)=" "),LEFT(V109,6),V109),"")</f>
        <v/>
      </c>
      <c r="AE109" s="36" t="str">
        <f aca="false">TRIM(AB109)</f>
        <v/>
      </c>
      <c r="AF109" s="36" t="str">
        <f aca="false">IF(AE109="Revenue","Revenue",IF(AE109="Cost of Goods Sold","COGS",IF(AE109="Expenditures","Expense",IF(AE109="Other Revenue","Other Revenue",IF(AE109="Other Expenditures","Other Expense",AF108)))))</f>
        <v/>
      </c>
      <c r="AG109" s="36" t="str">
        <f aca="false">IF(OR(AE109="Revenue",AE109="Cost of Goods Sold",AE109="Expenditures",AE109="Other Revenue",AE109="Other Expenditures"),AF109,IF(AND(LEN(AE109)&gt;2,MID(AE109,2,1)=" ",ISNUMBER(VALUE(LEFT(AE109,1)))),AE109,AG108))</f>
        <v/>
      </c>
      <c r="AH109" s="36" t="n">
        <f aca="false">IF(AND(AE109&lt;&gt;"",ISNUMBER(AC109),LEFT(AE109,9)&lt;&gt;"Total for",AE109&lt;&gt;"Gross Profit",AE109&lt;&gt;"Net Operating Revenue",AE109&lt;&gt;"Net Other Revenue",AE109&lt;&gt;"Net Revenue"),1,0)</f>
        <v>0</v>
      </c>
      <c r="AI109" s="36" t="str">
        <f aca="false">IF(AH109=1,IF(AND(LEN(AE109)&gt;7,ISNUMBER(VALUE(LEFT(AE109,6))),MID(AE109,7,1)=" "),LEFT(AE109,6),AE109),"")</f>
        <v/>
      </c>
      <c r="AN109" s="36" t="str">
        <f aca="false">TRIM(AK109)</f>
        <v/>
      </c>
      <c r="AO109" s="36" t="str">
        <f aca="false">IF(AN109="Revenue","Revenue",IF(AN109="Cost of Goods Sold","COGS",IF(AN109="Expenditures","Expense",IF(AN109="Other Revenue","Other Revenue",IF(AN109="Other Expenditures","Other Expense",AO108)))))</f>
        <v/>
      </c>
      <c r="AP109" s="36" t="str">
        <f aca="false">IF(OR(AN109="Revenue",AN109="Cost of Goods Sold",AN109="Expenditures",AN109="Other Revenue",AN109="Other Expenditures"),AO109,IF(AND(LEN(AN109)&gt;2,MID(AN109,2,1)=" ",ISNUMBER(VALUE(LEFT(AN109,1)))),AN109,AP108))</f>
        <v/>
      </c>
      <c r="AQ109" s="36" t="n">
        <f aca="false">IF(AND(AN109&lt;&gt;"",ISNUMBER(AL109),LEFT(AN109,9)&lt;&gt;"Total for",AN109&lt;&gt;"Gross Profit",AN109&lt;&gt;"Net Operating Revenue",AN109&lt;&gt;"Net Other Revenue",AN109&lt;&gt;"Net Revenue"),1,0)</f>
        <v>0</v>
      </c>
      <c r="AR109" s="36" t="str">
        <f aca="false">IF(AQ109=1,IF(AND(LEN(AN109)&gt;7,ISNUMBER(VALUE(LEFT(AN109,6))),MID(AN109,7,1)=" "),LEFT(AN109,6),AN109),"")</f>
        <v/>
      </c>
    </row>
    <row r="110" customFormat="false" ht="15" hidden="false" customHeight="false" outlineLevel="0" collapsed="false">
      <c r="D110" s="36" t="str">
        <f aca="false">TRIM(A110)</f>
        <v/>
      </c>
      <c r="E110" s="36" t="str">
        <f aca="false">IF(D110="Revenue","Revenue",IF(D110="Cost of Goods Sold","COGS",IF(D110="Expenditures","Expense",IF(D110="Other Revenue","Other Revenue",IF(D110="Other Expenditures","Other Expense",E109)))))</f>
        <v/>
      </c>
      <c r="F110" s="36" t="str">
        <f aca="false">IF(OR(D110="Revenue",D110="Cost of Goods Sold",D110="Expenditures",D110="Other Revenue",D110="Other Expenditures"),E110,IF(AND(LEN(D110)&gt;2,MID(D110,2,1)=" ",ISNUMBER(VALUE(LEFT(D110,1)))),D110,F109))</f>
        <v/>
      </c>
      <c r="G110" s="36" t="n">
        <f aca="false">IF(AND(D110&lt;&gt;"",ISNUMBER(B110),LEFT(D110,9)&lt;&gt;"Total for",D110&lt;&gt;"Gross Profit",D110&lt;&gt;"Net Operating Revenue",D110&lt;&gt;"Net Other Revenue",D110&lt;&gt;"Net Revenue"),1,0)</f>
        <v>0</v>
      </c>
      <c r="H110" s="36" t="str">
        <f aca="false">IF(G110=1,IF(AND(LEN(D110)&gt;7,ISNUMBER(VALUE(LEFT(D110,6))),MID(D110,7,1)=" "),LEFT(D110,6),D110),"")</f>
        <v/>
      </c>
      <c r="M110" s="36" t="str">
        <f aca="false">TRIM(J110)</f>
        <v/>
      </c>
      <c r="N110" s="36" t="str">
        <f aca="false">IF(M110="Revenue","Revenue",IF(M110="Cost of Goods Sold","COGS",IF(M110="Expenditures","Expense",IF(M110="Other Revenue","Other Revenue",IF(M110="Other Expenditures","Other Expense",N109)))))</f>
        <v/>
      </c>
      <c r="O110" s="36" t="str">
        <f aca="false">IF(OR(M110="Revenue",M110="Cost of Goods Sold",M110="Expenditures",M110="Other Revenue",M110="Other Expenditures"),N110,IF(AND(LEN(M110)&gt;2,MID(M110,2,1)=" ",ISNUMBER(VALUE(LEFT(M110,1)))),M110,O109))</f>
        <v/>
      </c>
      <c r="P110" s="36" t="n">
        <f aca="false">IF(AND(M110&lt;&gt;"",ISNUMBER(K110),LEFT(M110,9)&lt;&gt;"Total for",M110&lt;&gt;"Gross Profit",M110&lt;&gt;"Net Operating Revenue",M110&lt;&gt;"Net Other Revenue",M110&lt;&gt;"Net Revenue"),1,0)</f>
        <v>0</v>
      </c>
      <c r="Q110" s="36" t="str">
        <f aca="false">IF(P110=1,IF(AND(LEN(M110)&gt;7,ISNUMBER(VALUE(LEFT(M110,6))),MID(M110,7,1)=" "),LEFT(M110,6),M110),"")</f>
        <v/>
      </c>
      <c r="V110" s="36" t="str">
        <f aca="false">TRIM(S110)</f>
        <v/>
      </c>
      <c r="W110" s="36" t="str">
        <f aca="false">IF(V110="Revenue","Revenue",IF(V110="Cost of Goods Sold","COGS",IF(V110="Expenditures","Expense",IF(V110="Other Revenue","Other Revenue",IF(V110="Other Expenditures","Other Expense",W109)))))</f>
        <v/>
      </c>
      <c r="X110" s="36" t="str">
        <f aca="false">IF(OR(V110="Revenue",V110="Cost of Goods Sold",V110="Expenditures",V110="Other Revenue",V110="Other Expenditures"),W110,IF(AND(LEN(V110)&gt;2,MID(V110,2,1)=" ",ISNUMBER(VALUE(LEFT(V110,1)))),V110,X109))</f>
        <v/>
      </c>
      <c r="Y110" s="36" t="n">
        <f aca="false">IF(AND(V110&lt;&gt;"",ISNUMBER(T110),LEFT(V110,9)&lt;&gt;"Total for",V110&lt;&gt;"Gross Profit",V110&lt;&gt;"Net Operating Revenue",V110&lt;&gt;"Net Other Revenue",V110&lt;&gt;"Net Revenue"),1,0)</f>
        <v>0</v>
      </c>
      <c r="Z110" s="36" t="str">
        <f aca="false">IF(Y110=1,IF(AND(LEN(V110)&gt;7,ISNUMBER(VALUE(LEFT(V110,6))),MID(V110,7,1)=" "),LEFT(V110,6),V110),"")</f>
        <v/>
      </c>
      <c r="AE110" s="36" t="str">
        <f aca="false">TRIM(AB110)</f>
        <v/>
      </c>
      <c r="AF110" s="36" t="str">
        <f aca="false">IF(AE110="Revenue","Revenue",IF(AE110="Cost of Goods Sold","COGS",IF(AE110="Expenditures","Expense",IF(AE110="Other Revenue","Other Revenue",IF(AE110="Other Expenditures","Other Expense",AF109)))))</f>
        <v/>
      </c>
      <c r="AG110" s="36" t="str">
        <f aca="false">IF(OR(AE110="Revenue",AE110="Cost of Goods Sold",AE110="Expenditures",AE110="Other Revenue",AE110="Other Expenditures"),AF110,IF(AND(LEN(AE110)&gt;2,MID(AE110,2,1)=" ",ISNUMBER(VALUE(LEFT(AE110,1)))),AE110,AG109))</f>
        <v/>
      </c>
      <c r="AH110" s="36" t="n">
        <f aca="false">IF(AND(AE110&lt;&gt;"",ISNUMBER(AC110),LEFT(AE110,9)&lt;&gt;"Total for",AE110&lt;&gt;"Gross Profit",AE110&lt;&gt;"Net Operating Revenue",AE110&lt;&gt;"Net Other Revenue",AE110&lt;&gt;"Net Revenue"),1,0)</f>
        <v>0</v>
      </c>
      <c r="AI110" s="36" t="str">
        <f aca="false">IF(AH110=1,IF(AND(LEN(AE110)&gt;7,ISNUMBER(VALUE(LEFT(AE110,6))),MID(AE110,7,1)=" "),LEFT(AE110,6),AE110),"")</f>
        <v/>
      </c>
      <c r="AN110" s="36" t="str">
        <f aca="false">TRIM(AK110)</f>
        <v/>
      </c>
      <c r="AO110" s="36" t="str">
        <f aca="false">IF(AN110="Revenue","Revenue",IF(AN110="Cost of Goods Sold","COGS",IF(AN110="Expenditures","Expense",IF(AN110="Other Revenue","Other Revenue",IF(AN110="Other Expenditures","Other Expense",AO109)))))</f>
        <v/>
      </c>
      <c r="AP110" s="36" t="str">
        <f aca="false">IF(OR(AN110="Revenue",AN110="Cost of Goods Sold",AN110="Expenditures",AN110="Other Revenue",AN110="Other Expenditures"),AO110,IF(AND(LEN(AN110)&gt;2,MID(AN110,2,1)=" ",ISNUMBER(VALUE(LEFT(AN110,1)))),AN110,AP109))</f>
        <v/>
      </c>
      <c r="AQ110" s="36" t="n">
        <f aca="false">IF(AND(AN110&lt;&gt;"",ISNUMBER(AL110),LEFT(AN110,9)&lt;&gt;"Total for",AN110&lt;&gt;"Gross Profit",AN110&lt;&gt;"Net Operating Revenue",AN110&lt;&gt;"Net Other Revenue",AN110&lt;&gt;"Net Revenue"),1,0)</f>
        <v>0</v>
      </c>
      <c r="AR110" s="36" t="str">
        <f aca="false">IF(AQ110=1,IF(AND(LEN(AN110)&gt;7,ISNUMBER(VALUE(LEFT(AN110,6))),MID(AN110,7,1)=" "),LEFT(AN110,6),AN110),"")</f>
        <v/>
      </c>
    </row>
    <row r="111" customFormat="false" ht="15" hidden="false" customHeight="false" outlineLevel="0" collapsed="false">
      <c r="D111" s="36" t="str">
        <f aca="false">TRIM(A111)</f>
        <v/>
      </c>
      <c r="E111" s="36" t="str">
        <f aca="false">IF(D111="Revenue","Revenue",IF(D111="Cost of Goods Sold","COGS",IF(D111="Expenditures","Expense",IF(D111="Other Revenue","Other Revenue",IF(D111="Other Expenditures","Other Expense",E110)))))</f>
        <v/>
      </c>
      <c r="F111" s="36" t="str">
        <f aca="false">IF(OR(D111="Revenue",D111="Cost of Goods Sold",D111="Expenditures",D111="Other Revenue",D111="Other Expenditures"),E111,IF(AND(LEN(D111)&gt;2,MID(D111,2,1)=" ",ISNUMBER(VALUE(LEFT(D111,1)))),D111,F110))</f>
        <v/>
      </c>
      <c r="G111" s="36" t="n">
        <f aca="false">IF(AND(D111&lt;&gt;"",ISNUMBER(B111),LEFT(D111,9)&lt;&gt;"Total for",D111&lt;&gt;"Gross Profit",D111&lt;&gt;"Net Operating Revenue",D111&lt;&gt;"Net Other Revenue",D111&lt;&gt;"Net Revenue"),1,0)</f>
        <v>0</v>
      </c>
      <c r="H111" s="36" t="str">
        <f aca="false">IF(G111=1,IF(AND(LEN(D111)&gt;7,ISNUMBER(VALUE(LEFT(D111,6))),MID(D111,7,1)=" "),LEFT(D111,6),D111),"")</f>
        <v/>
      </c>
      <c r="M111" s="36" t="str">
        <f aca="false">TRIM(J111)</f>
        <v/>
      </c>
      <c r="N111" s="36" t="str">
        <f aca="false">IF(M111="Revenue","Revenue",IF(M111="Cost of Goods Sold","COGS",IF(M111="Expenditures","Expense",IF(M111="Other Revenue","Other Revenue",IF(M111="Other Expenditures","Other Expense",N110)))))</f>
        <v/>
      </c>
      <c r="O111" s="36" t="str">
        <f aca="false">IF(OR(M111="Revenue",M111="Cost of Goods Sold",M111="Expenditures",M111="Other Revenue",M111="Other Expenditures"),N111,IF(AND(LEN(M111)&gt;2,MID(M111,2,1)=" ",ISNUMBER(VALUE(LEFT(M111,1)))),M111,O110))</f>
        <v/>
      </c>
      <c r="P111" s="36" t="n">
        <f aca="false">IF(AND(M111&lt;&gt;"",ISNUMBER(K111),LEFT(M111,9)&lt;&gt;"Total for",M111&lt;&gt;"Gross Profit",M111&lt;&gt;"Net Operating Revenue",M111&lt;&gt;"Net Other Revenue",M111&lt;&gt;"Net Revenue"),1,0)</f>
        <v>0</v>
      </c>
      <c r="Q111" s="36" t="str">
        <f aca="false">IF(P111=1,IF(AND(LEN(M111)&gt;7,ISNUMBER(VALUE(LEFT(M111,6))),MID(M111,7,1)=" "),LEFT(M111,6),M111),"")</f>
        <v/>
      </c>
      <c r="V111" s="36" t="str">
        <f aca="false">TRIM(S111)</f>
        <v/>
      </c>
      <c r="W111" s="36" t="str">
        <f aca="false">IF(V111="Revenue","Revenue",IF(V111="Cost of Goods Sold","COGS",IF(V111="Expenditures","Expense",IF(V111="Other Revenue","Other Revenue",IF(V111="Other Expenditures","Other Expense",W110)))))</f>
        <v/>
      </c>
      <c r="X111" s="36" t="str">
        <f aca="false">IF(OR(V111="Revenue",V111="Cost of Goods Sold",V111="Expenditures",V111="Other Revenue",V111="Other Expenditures"),W111,IF(AND(LEN(V111)&gt;2,MID(V111,2,1)=" ",ISNUMBER(VALUE(LEFT(V111,1)))),V111,X110))</f>
        <v/>
      </c>
      <c r="Y111" s="36" t="n">
        <f aca="false">IF(AND(V111&lt;&gt;"",ISNUMBER(T111),LEFT(V111,9)&lt;&gt;"Total for",V111&lt;&gt;"Gross Profit",V111&lt;&gt;"Net Operating Revenue",V111&lt;&gt;"Net Other Revenue",V111&lt;&gt;"Net Revenue"),1,0)</f>
        <v>0</v>
      </c>
      <c r="Z111" s="36" t="str">
        <f aca="false">IF(Y111=1,IF(AND(LEN(V111)&gt;7,ISNUMBER(VALUE(LEFT(V111,6))),MID(V111,7,1)=" "),LEFT(V111,6),V111),"")</f>
        <v/>
      </c>
      <c r="AE111" s="36" t="str">
        <f aca="false">TRIM(AB111)</f>
        <v/>
      </c>
      <c r="AF111" s="36" t="str">
        <f aca="false">IF(AE111="Revenue","Revenue",IF(AE111="Cost of Goods Sold","COGS",IF(AE111="Expenditures","Expense",IF(AE111="Other Revenue","Other Revenue",IF(AE111="Other Expenditures","Other Expense",AF110)))))</f>
        <v/>
      </c>
      <c r="AG111" s="36" t="str">
        <f aca="false">IF(OR(AE111="Revenue",AE111="Cost of Goods Sold",AE111="Expenditures",AE111="Other Revenue",AE111="Other Expenditures"),AF111,IF(AND(LEN(AE111)&gt;2,MID(AE111,2,1)=" ",ISNUMBER(VALUE(LEFT(AE111,1)))),AE111,AG110))</f>
        <v/>
      </c>
      <c r="AH111" s="36" t="n">
        <f aca="false">IF(AND(AE111&lt;&gt;"",ISNUMBER(AC111),LEFT(AE111,9)&lt;&gt;"Total for",AE111&lt;&gt;"Gross Profit",AE111&lt;&gt;"Net Operating Revenue",AE111&lt;&gt;"Net Other Revenue",AE111&lt;&gt;"Net Revenue"),1,0)</f>
        <v>0</v>
      </c>
      <c r="AI111" s="36" t="str">
        <f aca="false">IF(AH111=1,IF(AND(LEN(AE111)&gt;7,ISNUMBER(VALUE(LEFT(AE111,6))),MID(AE111,7,1)=" "),LEFT(AE111,6),AE111),"")</f>
        <v/>
      </c>
      <c r="AN111" s="36" t="str">
        <f aca="false">TRIM(AK111)</f>
        <v/>
      </c>
      <c r="AO111" s="36" t="str">
        <f aca="false">IF(AN111="Revenue","Revenue",IF(AN111="Cost of Goods Sold","COGS",IF(AN111="Expenditures","Expense",IF(AN111="Other Revenue","Other Revenue",IF(AN111="Other Expenditures","Other Expense",AO110)))))</f>
        <v/>
      </c>
      <c r="AP111" s="36" t="str">
        <f aca="false">IF(OR(AN111="Revenue",AN111="Cost of Goods Sold",AN111="Expenditures",AN111="Other Revenue",AN111="Other Expenditures"),AO111,IF(AND(LEN(AN111)&gt;2,MID(AN111,2,1)=" ",ISNUMBER(VALUE(LEFT(AN111,1)))),AN111,AP110))</f>
        <v/>
      </c>
      <c r="AQ111" s="36" t="n">
        <f aca="false">IF(AND(AN111&lt;&gt;"",ISNUMBER(AL111),LEFT(AN111,9)&lt;&gt;"Total for",AN111&lt;&gt;"Gross Profit",AN111&lt;&gt;"Net Operating Revenue",AN111&lt;&gt;"Net Other Revenue",AN111&lt;&gt;"Net Revenue"),1,0)</f>
        <v>0</v>
      </c>
      <c r="AR111" s="36" t="str">
        <f aca="false">IF(AQ111=1,IF(AND(LEN(AN111)&gt;7,ISNUMBER(VALUE(LEFT(AN111,6))),MID(AN111,7,1)=" "),LEFT(AN111,6),AN111),"")</f>
        <v/>
      </c>
    </row>
    <row r="112" customFormat="false" ht="15" hidden="false" customHeight="false" outlineLevel="0" collapsed="false">
      <c r="D112" s="36" t="str">
        <f aca="false">TRIM(A112)</f>
        <v/>
      </c>
      <c r="E112" s="36" t="str">
        <f aca="false">IF(D112="Revenue","Revenue",IF(D112="Cost of Goods Sold","COGS",IF(D112="Expenditures","Expense",IF(D112="Other Revenue","Other Revenue",IF(D112="Other Expenditures","Other Expense",E111)))))</f>
        <v/>
      </c>
      <c r="F112" s="36" t="str">
        <f aca="false">IF(OR(D112="Revenue",D112="Cost of Goods Sold",D112="Expenditures",D112="Other Revenue",D112="Other Expenditures"),E112,IF(AND(LEN(D112)&gt;2,MID(D112,2,1)=" ",ISNUMBER(VALUE(LEFT(D112,1)))),D112,F111))</f>
        <v/>
      </c>
      <c r="G112" s="36" t="n">
        <f aca="false">IF(AND(D112&lt;&gt;"",ISNUMBER(B112),LEFT(D112,9)&lt;&gt;"Total for",D112&lt;&gt;"Gross Profit",D112&lt;&gt;"Net Operating Revenue",D112&lt;&gt;"Net Other Revenue",D112&lt;&gt;"Net Revenue"),1,0)</f>
        <v>0</v>
      </c>
      <c r="H112" s="36" t="str">
        <f aca="false">IF(G112=1,IF(AND(LEN(D112)&gt;7,ISNUMBER(VALUE(LEFT(D112,6))),MID(D112,7,1)=" "),LEFT(D112,6),D112),"")</f>
        <v/>
      </c>
      <c r="M112" s="36" t="str">
        <f aca="false">TRIM(J112)</f>
        <v/>
      </c>
      <c r="N112" s="36" t="str">
        <f aca="false">IF(M112="Revenue","Revenue",IF(M112="Cost of Goods Sold","COGS",IF(M112="Expenditures","Expense",IF(M112="Other Revenue","Other Revenue",IF(M112="Other Expenditures","Other Expense",N111)))))</f>
        <v/>
      </c>
      <c r="O112" s="36" t="str">
        <f aca="false">IF(OR(M112="Revenue",M112="Cost of Goods Sold",M112="Expenditures",M112="Other Revenue",M112="Other Expenditures"),N112,IF(AND(LEN(M112)&gt;2,MID(M112,2,1)=" ",ISNUMBER(VALUE(LEFT(M112,1)))),M112,O111))</f>
        <v/>
      </c>
      <c r="P112" s="36" t="n">
        <f aca="false">IF(AND(M112&lt;&gt;"",ISNUMBER(K112),LEFT(M112,9)&lt;&gt;"Total for",M112&lt;&gt;"Gross Profit",M112&lt;&gt;"Net Operating Revenue",M112&lt;&gt;"Net Other Revenue",M112&lt;&gt;"Net Revenue"),1,0)</f>
        <v>0</v>
      </c>
      <c r="Q112" s="36" t="str">
        <f aca="false">IF(P112=1,IF(AND(LEN(M112)&gt;7,ISNUMBER(VALUE(LEFT(M112,6))),MID(M112,7,1)=" "),LEFT(M112,6),M112),"")</f>
        <v/>
      </c>
      <c r="V112" s="36" t="str">
        <f aca="false">TRIM(S112)</f>
        <v/>
      </c>
      <c r="W112" s="36" t="str">
        <f aca="false">IF(V112="Revenue","Revenue",IF(V112="Cost of Goods Sold","COGS",IF(V112="Expenditures","Expense",IF(V112="Other Revenue","Other Revenue",IF(V112="Other Expenditures","Other Expense",W111)))))</f>
        <v/>
      </c>
      <c r="X112" s="36" t="str">
        <f aca="false">IF(OR(V112="Revenue",V112="Cost of Goods Sold",V112="Expenditures",V112="Other Revenue",V112="Other Expenditures"),W112,IF(AND(LEN(V112)&gt;2,MID(V112,2,1)=" ",ISNUMBER(VALUE(LEFT(V112,1)))),V112,X111))</f>
        <v/>
      </c>
      <c r="Y112" s="36" t="n">
        <f aca="false">IF(AND(V112&lt;&gt;"",ISNUMBER(T112),LEFT(V112,9)&lt;&gt;"Total for",V112&lt;&gt;"Gross Profit",V112&lt;&gt;"Net Operating Revenue",V112&lt;&gt;"Net Other Revenue",V112&lt;&gt;"Net Revenue"),1,0)</f>
        <v>0</v>
      </c>
      <c r="Z112" s="36" t="str">
        <f aca="false">IF(Y112=1,IF(AND(LEN(V112)&gt;7,ISNUMBER(VALUE(LEFT(V112,6))),MID(V112,7,1)=" "),LEFT(V112,6),V112),"")</f>
        <v/>
      </c>
      <c r="AE112" s="36" t="str">
        <f aca="false">TRIM(AB112)</f>
        <v/>
      </c>
      <c r="AF112" s="36" t="str">
        <f aca="false">IF(AE112="Revenue","Revenue",IF(AE112="Cost of Goods Sold","COGS",IF(AE112="Expenditures","Expense",IF(AE112="Other Revenue","Other Revenue",IF(AE112="Other Expenditures","Other Expense",AF111)))))</f>
        <v/>
      </c>
      <c r="AG112" s="36" t="str">
        <f aca="false">IF(OR(AE112="Revenue",AE112="Cost of Goods Sold",AE112="Expenditures",AE112="Other Revenue",AE112="Other Expenditures"),AF112,IF(AND(LEN(AE112)&gt;2,MID(AE112,2,1)=" ",ISNUMBER(VALUE(LEFT(AE112,1)))),AE112,AG111))</f>
        <v/>
      </c>
      <c r="AH112" s="36" t="n">
        <f aca="false">IF(AND(AE112&lt;&gt;"",ISNUMBER(AC112),LEFT(AE112,9)&lt;&gt;"Total for",AE112&lt;&gt;"Gross Profit",AE112&lt;&gt;"Net Operating Revenue",AE112&lt;&gt;"Net Other Revenue",AE112&lt;&gt;"Net Revenue"),1,0)</f>
        <v>0</v>
      </c>
      <c r="AI112" s="36" t="str">
        <f aca="false">IF(AH112=1,IF(AND(LEN(AE112)&gt;7,ISNUMBER(VALUE(LEFT(AE112,6))),MID(AE112,7,1)=" "),LEFT(AE112,6),AE112),"")</f>
        <v/>
      </c>
      <c r="AN112" s="36" t="str">
        <f aca="false">TRIM(AK112)</f>
        <v/>
      </c>
      <c r="AO112" s="36" t="str">
        <f aca="false">IF(AN112="Revenue","Revenue",IF(AN112="Cost of Goods Sold","COGS",IF(AN112="Expenditures","Expense",IF(AN112="Other Revenue","Other Revenue",IF(AN112="Other Expenditures","Other Expense",AO111)))))</f>
        <v/>
      </c>
      <c r="AP112" s="36" t="str">
        <f aca="false">IF(OR(AN112="Revenue",AN112="Cost of Goods Sold",AN112="Expenditures",AN112="Other Revenue",AN112="Other Expenditures"),AO112,IF(AND(LEN(AN112)&gt;2,MID(AN112,2,1)=" ",ISNUMBER(VALUE(LEFT(AN112,1)))),AN112,AP111))</f>
        <v/>
      </c>
      <c r="AQ112" s="36" t="n">
        <f aca="false">IF(AND(AN112&lt;&gt;"",ISNUMBER(AL112),LEFT(AN112,9)&lt;&gt;"Total for",AN112&lt;&gt;"Gross Profit",AN112&lt;&gt;"Net Operating Revenue",AN112&lt;&gt;"Net Other Revenue",AN112&lt;&gt;"Net Revenue"),1,0)</f>
        <v>0</v>
      </c>
      <c r="AR112" s="36" t="str">
        <f aca="false">IF(AQ112=1,IF(AND(LEN(AN112)&gt;7,ISNUMBER(VALUE(LEFT(AN112,6))),MID(AN112,7,1)=" "),LEFT(AN112,6),AN112),"")</f>
        <v/>
      </c>
    </row>
    <row r="113" customFormat="false" ht="15" hidden="false" customHeight="false" outlineLevel="0" collapsed="false">
      <c r="D113" s="36" t="str">
        <f aca="false">TRIM(A113)</f>
        <v/>
      </c>
      <c r="E113" s="36" t="str">
        <f aca="false">IF(D113="Revenue","Revenue",IF(D113="Cost of Goods Sold","COGS",IF(D113="Expenditures","Expense",IF(D113="Other Revenue","Other Revenue",IF(D113="Other Expenditures","Other Expense",E112)))))</f>
        <v/>
      </c>
      <c r="F113" s="36" t="str">
        <f aca="false">IF(OR(D113="Revenue",D113="Cost of Goods Sold",D113="Expenditures",D113="Other Revenue",D113="Other Expenditures"),E113,IF(AND(LEN(D113)&gt;2,MID(D113,2,1)=" ",ISNUMBER(VALUE(LEFT(D113,1)))),D113,F112))</f>
        <v/>
      </c>
      <c r="G113" s="36" t="n">
        <f aca="false">IF(AND(D113&lt;&gt;"",ISNUMBER(B113),LEFT(D113,9)&lt;&gt;"Total for",D113&lt;&gt;"Gross Profit",D113&lt;&gt;"Net Operating Revenue",D113&lt;&gt;"Net Other Revenue",D113&lt;&gt;"Net Revenue"),1,0)</f>
        <v>0</v>
      </c>
      <c r="H113" s="36" t="str">
        <f aca="false">IF(G113=1,IF(AND(LEN(D113)&gt;7,ISNUMBER(VALUE(LEFT(D113,6))),MID(D113,7,1)=" "),LEFT(D113,6),D113),"")</f>
        <v/>
      </c>
      <c r="M113" s="36" t="str">
        <f aca="false">TRIM(J113)</f>
        <v/>
      </c>
      <c r="N113" s="36" t="str">
        <f aca="false">IF(M113="Revenue","Revenue",IF(M113="Cost of Goods Sold","COGS",IF(M113="Expenditures","Expense",IF(M113="Other Revenue","Other Revenue",IF(M113="Other Expenditures","Other Expense",N112)))))</f>
        <v/>
      </c>
      <c r="O113" s="36" t="str">
        <f aca="false">IF(OR(M113="Revenue",M113="Cost of Goods Sold",M113="Expenditures",M113="Other Revenue",M113="Other Expenditures"),N113,IF(AND(LEN(M113)&gt;2,MID(M113,2,1)=" ",ISNUMBER(VALUE(LEFT(M113,1)))),M113,O112))</f>
        <v/>
      </c>
      <c r="P113" s="36" t="n">
        <f aca="false">IF(AND(M113&lt;&gt;"",ISNUMBER(K113),LEFT(M113,9)&lt;&gt;"Total for",M113&lt;&gt;"Gross Profit",M113&lt;&gt;"Net Operating Revenue",M113&lt;&gt;"Net Other Revenue",M113&lt;&gt;"Net Revenue"),1,0)</f>
        <v>0</v>
      </c>
      <c r="Q113" s="36" t="str">
        <f aca="false">IF(P113=1,IF(AND(LEN(M113)&gt;7,ISNUMBER(VALUE(LEFT(M113,6))),MID(M113,7,1)=" "),LEFT(M113,6),M113),"")</f>
        <v/>
      </c>
      <c r="V113" s="36" t="str">
        <f aca="false">TRIM(S113)</f>
        <v/>
      </c>
      <c r="W113" s="36" t="str">
        <f aca="false">IF(V113="Revenue","Revenue",IF(V113="Cost of Goods Sold","COGS",IF(V113="Expenditures","Expense",IF(V113="Other Revenue","Other Revenue",IF(V113="Other Expenditures","Other Expense",W112)))))</f>
        <v/>
      </c>
      <c r="X113" s="36" t="str">
        <f aca="false">IF(OR(V113="Revenue",V113="Cost of Goods Sold",V113="Expenditures",V113="Other Revenue",V113="Other Expenditures"),W113,IF(AND(LEN(V113)&gt;2,MID(V113,2,1)=" ",ISNUMBER(VALUE(LEFT(V113,1)))),V113,X112))</f>
        <v/>
      </c>
      <c r="Y113" s="36" t="n">
        <f aca="false">IF(AND(V113&lt;&gt;"",ISNUMBER(T113),LEFT(V113,9)&lt;&gt;"Total for",V113&lt;&gt;"Gross Profit",V113&lt;&gt;"Net Operating Revenue",V113&lt;&gt;"Net Other Revenue",V113&lt;&gt;"Net Revenue"),1,0)</f>
        <v>0</v>
      </c>
      <c r="Z113" s="36" t="str">
        <f aca="false">IF(Y113=1,IF(AND(LEN(V113)&gt;7,ISNUMBER(VALUE(LEFT(V113,6))),MID(V113,7,1)=" "),LEFT(V113,6),V113),"")</f>
        <v/>
      </c>
      <c r="AE113" s="36" t="str">
        <f aca="false">TRIM(AB113)</f>
        <v/>
      </c>
      <c r="AF113" s="36" t="str">
        <f aca="false">IF(AE113="Revenue","Revenue",IF(AE113="Cost of Goods Sold","COGS",IF(AE113="Expenditures","Expense",IF(AE113="Other Revenue","Other Revenue",IF(AE113="Other Expenditures","Other Expense",AF112)))))</f>
        <v/>
      </c>
      <c r="AG113" s="36" t="str">
        <f aca="false">IF(OR(AE113="Revenue",AE113="Cost of Goods Sold",AE113="Expenditures",AE113="Other Revenue",AE113="Other Expenditures"),AF113,IF(AND(LEN(AE113)&gt;2,MID(AE113,2,1)=" ",ISNUMBER(VALUE(LEFT(AE113,1)))),AE113,AG112))</f>
        <v/>
      </c>
      <c r="AH113" s="36" t="n">
        <f aca="false">IF(AND(AE113&lt;&gt;"",ISNUMBER(AC113),LEFT(AE113,9)&lt;&gt;"Total for",AE113&lt;&gt;"Gross Profit",AE113&lt;&gt;"Net Operating Revenue",AE113&lt;&gt;"Net Other Revenue",AE113&lt;&gt;"Net Revenue"),1,0)</f>
        <v>0</v>
      </c>
      <c r="AI113" s="36" t="str">
        <f aca="false">IF(AH113=1,IF(AND(LEN(AE113)&gt;7,ISNUMBER(VALUE(LEFT(AE113,6))),MID(AE113,7,1)=" "),LEFT(AE113,6),AE113),"")</f>
        <v/>
      </c>
      <c r="AN113" s="36" t="str">
        <f aca="false">TRIM(AK113)</f>
        <v/>
      </c>
      <c r="AO113" s="36" t="str">
        <f aca="false">IF(AN113="Revenue","Revenue",IF(AN113="Cost of Goods Sold","COGS",IF(AN113="Expenditures","Expense",IF(AN113="Other Revenue","Other Revenue",IF(AN113="Other Expenditures","Other Expense",AO112)))))</f>
        <v/>
      </c>
      <c r="AP113" s="36" t="str">
        <f aca="false">IF(OR(AN113="Revenue",AN113="Cost of Goods Sold",AN113="Expenditures",AN113="Other Revenue",AN113="Other Expenditures"),AO113,IF(AND(LEN(AN113)&gt;2,MID(AN113,2,1)=" ",ISNUMBER(VALUE(LEFT(AN113,1)))),AN113,AP112))</f>
        <v/>
      </c>
      <c r="AQ113" s="36" t="n">
        <f aca="false">IF(AND(AN113&lt;&gt;"",ISNUMBER(AL113),LEFT(AN113,9)&lt;&gt;"Total for",AN113&lt;&gt;"Gross Profit",AN113&lt;&gt;"Net Operating Revenue",AN113&lt;&gt;"Net Other Revenue",AN113&lt;&gt;"Net Revenue"),1,0)</f>
        <v>0</v>
      </c>
      <c r="AR113" s="36" t="str">
        <f aca="false">IF(AQ113=1,IF(AND(LEN(AN113)&gt;7,ISNUMBER(VALUE(LEFT(AN113,6))),MID(AN113,7,1)=" "),LEFT(AN113,6),AN113),"")</f>
        <v/>
      </c>
    </row>
    <row r="114" customFormat="false" ht="15" hidden="false" customHeight="false" outlineLevel="0" collapsed="false">
      <c r="D114" s="36" t="str">
        <f aca="false">TRIM(A114)</f>
        <v/>
      </c>
      <c r="E114" s="36" t="str">
        <f aca="false">IF(D114="Revenue","Revenue",IF(D114="Cost of Goods Sold","COGS",IF(D114="Expenditures","Expense",IF(D114="Other Revenue","Other Revenue",IF(D114="Other Expenditures","Other Expense",E113)))))</f>
        <v/>
      </c>
      <c r="F114" s="36" t="str">
        <f aca="false">IF(OR(D114="Revenue",D114="Cost of Goods Sold",D114="Expenditures",D114="Other Revenue",D114="Other Expenditures"),E114,IF(AND(LEN(D114)&gt;2,MID(D114,2,1)=" ",ISNUMBER(VALUE(LEFT(D114,1)))),D114,F113))</f>
        <v/>
      </c>
      <c r="G114" s="36" t="n">
        <f aca="false">IF(AND(D114&lt;&gt;"",ISNUMBER(B114),LEFT(D114,9)&lt;&gt;"Total for",D114&lt;&gt;"Gross Profit",D114&lt;&gt;"Net Operating Revenue",D114&lt;&gt;"Net Other Revenue",D114&lt;&gt;"Net Revenue"),1,0)</f>
        <v>0</v>
      </c>
      <c r="H114" s="36" t="str">
        <f aca="false">IF(G114=1,IF(AND(LEN(D114)&gt;7,ISNUMBER(VALUE(LEFT(D114,6))),MID(D114,7,1)=" "),LEFT(D114,6),D114),"")</f>
        <v/>
      </c>
      <c r="M114" s="36" t="str">
        <f aca="false">TRIM(J114)</f>
        <v/>
      </c>
      <c r="N114" s="36" t="str">
        <f aca="false">IF(M114="Revenue","Revenue",IF(M114="Cost of Goods Sold","COGS",IF(M114="Expenditures","Expense",IF(M114="Other Revenue","Other Revenue",IF(M114="Other Expenditures","Other Expense",N113)))))</f>
        <v/>
      </c>
      <c r="O114" s="36" t="str">
        <f aca="false">IF(OR(M114="Revenue",M114="Cost of Goods Sold",M114="Expenditures",M114="Other Revenue",M114="Other Expenditures"),N114,IF(AND(LEN(M114)&gt;2,MID(M114,2,1)=" ",ISNUMBER(VALUE(LEFT(M114,1)))),M114,O113))</f>
        <v/>
      </c>
      <c r="P114" s="36" t="n">
        <f aca="false">IF(AND(M114&lt;&gt;"",ISNUMBER(K114),LEFT(M114,9)&lt;&gt;"Total for",M114&lt;&gt;"Gross Profit",M114&lt;&gt;"Net Operating Revenue",M114&lt;&gt;"Net Other Revenue",M114&lt;&gt;"Net Revenue"),1,0)</f>
        <v>0</v>
      </c>
      <c r="Q114" s="36" t="str">
        <f aca="false">IF(P114=1,IF(AND(LEN(M114)&gt;7,ISNUMBER(VALUE(LEFT(M114,6))),MID(M114,7,1)=" "),LEFT(M114,6),M114),"")</f>
        <v/>
      </c>
      <c r="V114" s="36" t="str">
        <f aca="false">TRIM(S114)</f>
        <v/>
      </c>
      <c r="W114" s="36" t="str">
        <f aca="false">IF(V114="Revenue","Revenue",IF(V114="Cost of Goods Sold","COGS",IF(V114="Expenditures","Expense",IF(V114="Other Revenue","Other Revenue",IF(V114="Other Expenditures","Other Expense",W113)))))</f>
        <v/>
      </c>
      <c r="X114" s="36" t="str">
        <f aca="false">IF(OR(V114="Revenue",V114="Cost of Goods Sold",V114="Expenditures",V114="Other Revenue",V114="Other Expenditures"),W114,IF(AND(LEN(V114)&gt;2,MID(V114,2,1)=" ",ISNUMBER(VALUE(LEFT(V114,1)))),V114,X113))</f>
        <v/>
      </c>
      <c r="Y114" s="36" t="n">
        <f aca="false">IF(AND(V114&lt;&gt;"",ISNUMBER(T114),LEFT(V114,9)&lt;&gt;"Total for",V114&lt;&gt;"Gross Profit",V114&lt;&gt;"Net Operating Revenue",V114&lt;&gt;"Net Other Revenue",V114&lt;&gt;"Net Revenue"),1,0)</f>
        <v>0</v>
      </c>
      <c r="Z114" s="36" t="str">
        <f aca="false">IF(Y114=1,IF(AND(LEN(V114)&gt;7,ISNUMBER(VALUE(LEFT(V114,6))),MID(V114,7,1)=" "),LEFT(V114,6),V114),"")</f>
        <v/>
      </c>
      <c r="AE114" s="36" t="str">
        <f aca="false">TRIM(AB114)</f>
        <v/>
      </c>
      <c r="AF114" s="36" t="str">
        <f aca="false">IF(AE114="Revenue","Revenue",IF(AE114="Cost of Goods Sold","COGS",IF(AE114="Expenditures","Expense",IF(AE114="Other Revenue","Other Revenue",IF(AE114="Other Expenditures","Other Expense",AF113)))))</f>
        <v/>
      </c>
      <c r="AG114" s="36" t="str">
        <f aca="false">IF(OR(AE114="Revenue",AE114="Cost of Goods Sold",AE114="Expenditures",AE114="Other Revenue",AE114="Other Expenditures"),AF114,IF(AND(LEN(AE114)&gt;2,MID(AE114,2,1)=" ",ISNUMBER(VALUE(LEFT(AE114,1)))),AE114,AG113))</f>
        <v/>
      </c>
      <c r="AH114" s="36" t="n">
        <f aca="false">IF(AND(AE114&lt;&gt;"",ISNUMBER(AC114),LEFT(AE114,9)&lt;&gt;"Total for",AE114&lt;&gt;"Gross Profit",AE114&lt;&gt;"Net Operating Revenue",AE114&lt;&gt;"Net Other Revenue",AE114&lt;&gt;"Net Revenue"),1,0)</f>
        <v>0</v>
      </c>
      <c r="AI114" s="36" t="str">
        <f aca="false">IF(AH114=1,IF(AND(LEN(AE114)&gt;7,ISNUMBER(VALUE(LEFT(AE114,6))),MID(AE114,7,1)=" "),LEFT(AE114,6),AE114),"")</f>
        <v/>
      </c>
      <c r="AN114" s="36" t="str">
        <f aca="false">TRIM(AK114)</f>
        <v/>
      </c>
      <c r="AO114" s="36" t="str">
        <f aca="false">IF(AN114="Revenue","Revenue",IF(AN114="Cost of Goods Sold","COGS",IF(AN114="Expenditures","Expense",IF(AN114="Other Revenue","Other Revenue",IF(AN114="Other Expenditures","Other Expense",AO113)))))</f>
        <v/>
      </c>
      <c r="AP114" s="36" t="str">
        <f aca="false">IF(OR(AN114="Revenue",AN114="Cost of Goods Sold",AN114="Expenditures",AN114="Other Revenue",AN114="Other Expenditures"),AO114,IF(AND(LEN(AN114)&gt;2,MID(AN114,2,1)=" ",ISNUMBER(VALUE(LEFT(AN114,1)))),AN114,AP113))</f>
        <v/>
      </c>
      <c r="AQ114" s="36" t="n">
        <f aca="false">IF(AND(AN114&lt;&gt;"",ISNUMBER(AL114),LEFT(AN114,9)&lt;&gt;"Total for",AN114&lt;&gt;"Gross Profit",AN114&lt;&gt;"Net Operating Revenue",AN114&lt;&gt;"Net Other Revenue",AN114&lt;&gt;"Net Revenue"),1,0)</f>
        <v>0</v>
      </c>
      <c r="AR114" s="36" t="str">
        <f aca="false">IF(AQ114=1,IF(AND(LEN(AN114)&gt;7,ISNUMBER(VALUE(LEFT(AN114,6))),MID(AN114,7,1)=" "),LEFT(AN114,6),AN114),"")</f>
        <v/>
      </c>
    </row>
    <row r="115" customFormat="false" ht="15" hidden="false" customHeight="false" outlineLevel="0" collapsed="false">
      <c r="D115" s="36" t="str">
        <f aca="false">TRIM(A115)</f>
        <v/>
      </c>
      <c r="E115" s="36" t="str">
        <f aca="false">IF(D115="Revenue","Revenue",IF(D115="Cost of Goods Sold","COGS",IF(D115="Expenditures","Expense",IF(D115="Other Revenue","Other Revenue",IF(D115="Other Expenditures","Other Expense",E114)))))</f>
        <v/>
      </c>
      <c r="F115" s="36" t="str">
        <f aca="false">IF(OR(D115="Revenue",D115="Cost of Goods Sold",D115="Expenditures",D115="Other Revenue",D115="Other Expenditures"),E115,IF(AND(LEN(D115)&gt;2,MID(D115,2,1)=" ",ISNUMBER(VALUE(LEFT(D115,1)))),D115,F114))</f>
        <v/>
      </c>
      <c r="G115" s="36" t="n">
        <f aca="false">IF(AND(D115&lt;&gt;"",ISNUMBER(B115),LEFT(D115,9)&lt;&gt;"Total for",D115&lt;&gt;"Gross Profit",D115&lt;&gt;"Net Operating Revenue",D115&lt;&gt;"Net Other Revenue",D115&lt;&gt;"Net Revenue"),1,0)</f>
        <v>0</v>
      </c>
      <c r="H115" s="36" t="str">
        <f aca="false">IF(G115=1,IF(AND(LEN(D115)&gt;7,ISNUMBER(VALUE(LEFT(D115,6))),MID(D115,7,1)=" "),LEFT(D115,6),D115),"")</f>
        <v/>
      </c>
      <c r="M115" s="36" t="str">
        <f aca="false">TRIM(J115)</f>
        <v/>
      </c>
      <c r="N115" s="36" t="str">
        <f aca="false">IF(M115="Revenue","Revenue",IF(M115="Cost of Goods Sold","COGS",IF(M115="Expenditures","Expense",IF(M115="Other Revenue","Other Revenue",IF(M115="Other Expenditures","Other Expense",N114)))))</f>
        <v/>
      </c>
      <c r="O115" s="36" t="str">
        <f aca="false">IF(OR(M115="Revenue",M115="Cost of Goods Sold",M115="Expenditures",M115="Other Revenue",M115="Other Expenditures"),N115,IF(AND(LEN(M115)&gt;2,MID(M115,2,1)=" ",ISNUMBER(VALUE(LEFT(M115,1)))),M115,O114))</f>
        <v/>
      </c>
      <c r="P115" s="36" t="n">
        <f aca="false">IF(AND(M115&lt;&gt;"",ISNUMBER(K115),LEFT(M115,9)&lt;&gt;"Total for",M115&lt;&gt;"Gross Profit",M115&lt;&gt;"Net Operating Revenue",M115&lt;&gt;"Net Other Revenue",M115&lt;&gt;"Net Revenue"),1,0)</f>
        <v>0</v>
      </c>
      <c r="Q115" s="36" t="str">
        <f aca="false">IF(P115=1,IF(AND(LEN(M115)&gt;7,ISNUMBER(VALUE(LEFT(M115,6))),MID(M115,7,1)=" "),LEFT(M115,6),M115),"")</f>
        <v/>
      </c>
      <c r="V115" s="36" t="str">
        <f aca="false">TRIM(S115)</f>
        <v/>
      </c>
      <c r="W115" s="36" t="str">
        <f aca="false">IF(V115="Revenue","Revenue",IF(V115="Cost of Goods Sold","COGS",IF(V115="Expenditures","Expense",IF(V115="Other Revenue","Other Revenue",IF(V115="Other Expenditures","Other Expense",W114)))))</f>
        <v/>
      </c>
      <c r="X115" s="36" t="str">
        <f aca="false">IF(OR(V115="Revenue",V115="Cost of Goods Sold",V115="Expenditures",V115="Other Revenue",V115="Other Expenditures"),W115,IF(AND(LEN(V115)&gt;2,MID(V115,2,1)=" ",ISNUMBER(VALUE(LEFT(V115,1)))),V115,X114))</f>
        <v/>
      </c>
      <c r="Y115" s="36" t="n">
        <f aca="false">IF(AND(V115&lt;&gt;"",ISNUMBER(T115),LEFT(V115,9)&lt;&gt;"Total for",V115&lt;&gt;"Gross Profit",V115&lt;&gt;"Net Operating Revenue",V115&lt;&gt;"Net Other Revenue",V115&lt;&gt;"Net Revenue"),1,0)</f>
        <v>0</v>
      </c>
      <c r="Z115" s="36" t="str">
        <f aca="false">IF(Y115=1,IF(AND(LEN(V115)&gt;7,ISNUMBER(VALUE(LEFT(V115,6))),MID(V115,7,1)=" "),LEFT(V115,6),V115),"")</f>
        <v/>
      </c>
      <c r="AE115" s="36" t="str">
        <f aca="false">TRIM(AB115)</f>
        <v/>
      </c>
      <c r="AF115" s="36" t="str">
        <f aca="false">IF(AE115="Revenue","Revenue",IF(AE115="Cost of Goods Sold","COGS",IF(AE115="Expenditures","Expense",IF(AE115="Other Revenue","Other Revenue",IF(AE115="Other Expenditures","Other Expense",AF114)))))</f>
        <v/>
      </c>
      <c r="AG115" s="36" t="str">
        <f aca="false">IF(OR(AE115="Revenue",AE115="Cost of Goods Sold",AE115="Expenditures",AE115="Other Revenue",AE115="Other Expenditures"),AF115,IF(AND(LEN(AE115)&gt;2,MID(AE115,2,1)=" ",ISNUMBER(VALUE(LEFT(AE115,1)))),AE115,AG114))</f>
        <v/>
      </c>
      <c r="AH115" s="36" t="n">
        <f aca="false">IF(AND(AE115&lt;&gt;"",ISNUMBER(AC115),LEFT(AE115,9)&lt;&gt;"Total for",AE115&lt;&gt;"Gross Profit",AE115&lt;&gt;"Net Operating Revenue",AE115&lt;&gt;"Net Other Revenue",AE115&lt;&gt;"Net Revenue"),1,0)</f>
        <v>0</v>
      </c>
      <c r="AI115" s="36" t="str">
        <f aca="false">IF(AH115=1,IF(AND(LEN(AE115)&gt;7,ISNUMBER(VALUE(LEFT(AE115,6))),MID(AE115,7,1)=" "),LEFT(AE115,6),AE115),"")</f>
        <v/>
      </c>
      <c r="AN115" s="36" t="str">
        <f aca="false">TRIM(AK115)</f>
        <v/>
      </c>
      <c r="AO115" s="36" t="str">
        <f aca="false">IF(AN115="Revenue","Revenue",IF(AN115="Cost of Goods Sold","COGS",IF(AN115="Expenditures","Expense",IF(AN115="Other Revenue","Other Revenue",IF(AN115="Other Expenditures","Other Expense",AO114)))))</f>
        <v/>
      </c>
      <c r="AP115" s="36" t="str">
        <f aca="false">IF(OR(AN115="Revenue",AN115="Cost of Goods Sold",AN115="Expenditures",AN115="Other Revenue",AN115="Other Expenditures"),AO115,IF(AND(LEN(AN115)&gt;2,MID(AN115,2,1)=" ",ISNUMBER(VALUE(LEFT(AN115,1)))),AN115,AP114))</f>
        <v/>
      </c>
      <c r="AQ115" s="36" t="n">
        <f aca="false">IF(AND(AN115&lt;&gt;"",ISNUMBER(AL115),LEFT(AN115,9)&lt;&gt;"Total for",AN115&lt;&gt;"Gross Profit",AN115&lt;&gt;"Net Operating Revenue",AN115&lt;&gt;"Net Other Revenue",AN115&lt;&gt;"Net Revenue"),1,0)</f>
        <v>0</v>
      </c>
      <c r="AR115" s="36" t="str">
        <f aca="false">IF(AQ115=1,IF(AND(LEN(AN115)&gt;7,ISNUMBER(VALUE(LEFT(AN115,6))),MID(AN115,7,1)=" "),LEFT(AN115,6),AN115),"")</f>
        <v/>
      </c>
    </row>
    <row r="116" customFormat="false" ht="15" hidden="false" customHeight="false" outlineLevel="0" collapsed="false">
      <c r="D116" s="36" t="str">
        <f aca="false">TRIM(A116)</f>
        <v/>
      </c>
      <c r="E116" s="36" t="str">
        <f aca="false">IF(D116="Revenue","Revenue",IF(D116="Cost of Goods Sold","COGS",IF(D116="Expenditures","Expense",IF(D116="Other Revenue","Other Revenue",IF(D116="Other Expenditures","Other Expense",E115)))))</f>
        <v/>
      </c>
      <c r="F116" s="36" t="str">
        <f aca="false">IF(OR(D116="Revenue",D116="Cost of Goods Sold",D116="Expenditures",D116="Other Revenue",D116="Other Expenditures"),E116,IF(AND(LEN(D116)&gt;2,MID(D116,2,1)=" ",ISNUMBER(VALUE(LEFT(D116,1)))),D116,F115))</f>
        <v/>
      </c>
      <c r="G116" s="36" t="n">
        <f aca="false">IF(AND(D116&lt;&gt;"",ISNUMBER(B116),LEFT(D116,9)&lt;&gt;"Total for",D116&lt;&gt;"Gross Profit",D116&lt;&gt;"Net Operating Revenue",D116&lt;&gt;"Net Other Revenue",D116&lt;&gt;"Net Revenue"),1,0)</f>
        <v>0</v>
      </c>
      <c r="H116" s="36" t="str">
        <f aca="false">IF(G116=1,IF(AND(LEN(D116)&gt;7,ISNUMBER(VALUE(LEFT(D116,6))),MID(D116,7,1)=" "),LEFT(D116,6),D116),"")</f>
        <v/>
      </c>
      <c r="M116" s="36" t="str">
        <f aca="false">TRIM(J116)</f>
        <v/>
      </c>
      <c r="N116" s="36" t="str">
        <f aca="false">IF(M116="Revenue","Revenue",IF(M116="Cost of Goods Sold","COGS",IF(M116="Expenditures","Expense",IF(M116="Other Revenue","Other Revenue",IF(M116="Other Expenditures","Other Expense",N115)))))</f>
        <v/>
      </c>
      <c r="O116" s="36" t="str">
        <f aca="false">IF(OR(M116="Revenue",M116="Cost of Goods Sold",M116="Expenditures",M116="Other Revenue",M116="Other Expenditures"),N116,IF(AND(LEN(M116)&gt;2,MID(M116,2,1)=" ",ISNUMBER(VALUE(LEFT(M116,1)))),M116,O115))</f>
        <v/>
      </c>
      <c r="P116" s="36" t="n">
        <f aca="false">IF(AND(M116&lt;&gt;"",ISNUMBER(K116),LEFT(M116,9)&lt;&gt;"Total for",M116&lt;&gt;"Gross Profit",M116&lt;&gt;"Net Operating Revenue",M116&lt;&gt;"Net Other Revenue",M116&lt;&gt;"Net Revenue"),1,0)</f>
        <v>0</v>
      </c>
      <c r="Q116" s="36" t="str">
        <f aca="false">IF(P116=1,IF(AND(LEN(M116)&gt;7,ISNUMBER(VALUE(LEFT(M116,6))),MID(M116,7,1)=" "),LEFT(M116,6),M116),"")</f>
        <v/>
      </c>
      <c r="V116" s="36" t="str">
        <f aca="false">TRIM(S116)</f>
        <v/>
      </c>
      <c r="W116" s="36" t="str">
        <f aca="false">IF(V116="Revenue","Revenue",IF(V116="Cost of Goods Sold","COGS",IF(V116="Expenditures","Expense",IF(V116="Other Revenue","Other Revenue",IF(V116="Other Expenditures","Other Expense",W115)))))</f>
        <v/>
      </c>
      <c r="X116" s="36" t="str">
        <f aca="false">IF(OR(V116="Revenue",V116="Cost of Goods Sold",V116="Expenditures",V116="Other Revenue",V116="Other Expenditures"),W116,IF(AND(LEN(V116)&gt;2,MID(V116,2,1)=" ",ISNUMBER(VALUE(LEFT(V116,1)))),V116,X115))</f>
        <v/>
      </c>
      <c r="Y116" s="36" t="n">
        <f aca="false">IF(AND(V116&lt;&gt;"",ISNUMBER(T116),LEFT(V116,9)&lt;&gt;"Total for",V116&lt;&gt;"Gross Profit",V116&lt;&gt;"Net Operating Revenue",V116&lt;&gt;"Net Other Revenue",V116&lt;&gt;"Net Revenue"),1,0)</f>
        <v>0</v>
      </c>
      <c r="Z116" s="36" t="str">
        <f aca="false">IF(Y116=1,IF(AND(LEN(V116)&gt;7,ISNUMBER(VALUE(LEFT(V116,6))),MID(V116,7,1)=" "),LEFT(V116,6),V116),"")</f>
        <v/>
      </c>
      <c r="AE116" s="36" t="str">
        <f aca="false">TRIM(AB116)</f>
        <v/>
      </c>
      <c r="AF116" s="36" t="str">
        <f aca="false">IF(AE116="Revenue","Revenue",IF(AE116="Cost of Goods Sold","COGS",IF(AE116="Expenditures","Expense",IF(AE116="Other Revenue","Other Revenue",IF(AE116="Other Expenditures","Other Expense",AF115)))))</f>
        <v/>
      </c>
      <c r="AG116" s="36" t="str">
        <f aca="false">IF(OR(AE116="Revenue",AE116="Cost of Goods Sold",AE116="Expenditures",AE116="Other Revenue",AE116="Other Expenditures"),AF116,IF(AND(LEN(AE116)&gt;2,MID(AE116,2,1)=" ",ISNUMBER(VALUE(LEFT(AE116,1)))),AE116,AG115))</f>
        <v/>
      </c>
      <c r="AH116" s="36" t="n">
        <f aca="false">IF(AND(AE116&lt;&gt;"",ISNUMBER(AC116),LEFT(AE116,9)&lt;&gt;"Total for",AE116&lt;&gt;"Gross Profit",AE116&lt;&gt;"Net Operating Revenue",AE116&lt;&gt;"Net Other Revenue",AE116&lt;&gt;"Net Revenue"),1,0)</f>
        <v>0</v>
      </c>
      <c r="AI116" s="36" t="str">
        <f aca="false">IF(AH116=1,IF(AND(LEN(AE116)&gt;7,ISNUMBER(VALUE(LEFT(AE116,6))),MID(AE116,7,1)=" "),LEFT(AE116,6),AE116),"")</f>
        <v/>
      </c>
      <c r="AN116" s="36" t="str">
        <f aca="false">TRIM(AK116)</f>
        <v/>
      </c>
      <c r="AO116" s="36" t="str">
        <f aca="false">IF(AN116="Revenue","Revenue",IF(AN116="Cost of Goods Sold","COGS",IF(AN116="Expenditures","Expense",IF(AN116="Other Revenue","Other Revenue",IF(AN116="Other Expenditures","Other Expense",AO115)))))</f>
        <v/>
      </c>
      <c r="AP116" s="36" t="str">
        <f aca="false">IF(OR(AN116="Revenue",AN116="Cost of Goods Sold",AN116="Expenditures",AN116="Other Revenue",AN116="Other Expenditures"),AO116,IF(AND(LEN(AN116)&gt;2,MID(AN116,2,1)=" ",ISNUMBER(VALUE(LEFT(AN116,1)))),AN116,AP115))</f>
        <v/>
      </c>
      <c r="AQ116" s="36" t="n">
        <f aca="false">IF(AND(AN116&lt;&gt;"",ISNUMBER(AL116),LEFT(AN116,9)&lt;&gt;"Total for",AN116&lt;&gt;"Gross Profit",AN116&lt;&gt;"Net Operating Revenue",AN116&lt;&gt;"Net Other Revenue",AN116&lt;&gt;"Net Revenue"),1,0)</f>
        <v>0</v>
      </c>
      <c r="AR116" s="36" t="str">
        <f aca="false">IF(AQ116=1,IF(AND(LEN(AN116)&gt;7,ISNUMBER(VALUE(LEFT(AN116,6))),MID(AN116,7,1)=" "),LEFT(AN116,6),AN116),"")</f>
        <v/>
      </c>
    </row>
    <row r="117" customFormat="false" ht="15" hidden="false" customHeight="false" outlineLevel="0" collapsed="false">
      <c r="D117" s="36" t="str">
        <f aca="false">TRIM(A117)</f>
        <v/>
      </c>
      <c r="E117" s="36" t="str">
        <f aca="false">IF(D117="Revenue","Revenue",IF(D117="Cost of Goods Sold","COGS",IF(D117="Expenditures","Expense",IF(D117="Other Revenue","Other Revenue",IF(D117="Other Expenditures","Other Expense",E116)))))</f>
        <v/>
      </c>
      <c r="F117" s="36" t="str">
        <f aca="false">IF(OR(D117="Revenue",D117="Cost of Goods Sold",D117="Expenditures",D117="Other Revenue",D117="Other Expenditures"),E117,IF(AND(LEN(D117)&gt;2,MID(D117,2,1)=" ",ISNUMBER(VALUE(LEFT(D117,1)))),D117,F116))</f>
        <v/>
      </c>
      <c r="G117" s="36" t="n">
        <f aca="false">IF(AND(D117&lt;&gt;"",ISNUMBER(B117),LEFT(D117,9)&lt;&gt;"Total for",D117&lt;&gt;"Gross Profit",D117&lt;&gt;"Net Operating Revenue",D117&lt;&gt;"Net Other Revenue",D117&lt;&gt;"Net Revenue"),1,0)</f>
        <v>0</v>
      </c>
      <c r="H117" s="36" t="str">
        <f aca="false">IF(G117=1,IF(AND(LEN(D117)&gt;7,ISNUMBER(VALUE(LEFT(D117,6))),MID(D117,7,1)=" "),LEFT(D117,6),D117),"")</f>
        <v/>
      </c>
      <c r="M117" s="36" t="str">
        <f aca="false">TRIM(J117)</f>
        <v/>
      </c>
      <c r="N117" s="36" t="str">
        <f aca="false">IF(M117="Revenue","Revenue",IF(M117="Cost of Goods Sold","COGS",IF(M117="Expenditures","Expense",IF(M117="Other Revenue","Other Revenue",IF(M117="Other Expenditures","Other Expense",N116)))))</f>
        <v/>
      </c>
      <c r="O117" s="36" t="str">
        <f aca="false">IF(OR(M117="Revenue",M117="Cost of Goods Sold",M117="Expenditures",M117="Other Revenue",M117="Other Expenditures"),N117,IF(AND(LEN(M117)&gt;2,MID(M117,2,1)=" ",ISNUMBER(VALUE(LEFT(M117,1)))),M117,O116))</f>
        <v/>
      </c>
      <c r="P117" s="36" t="n">
        <f aca="false">IF(AND(M117&lt;&gt;"",ISNUMBER(K117),LEFT(M117,9)&lt;&gt;"Total for",M117&lt;&gt;"Gross Profit",M117&lt;&gt;"Net Operating Revenue",M117&lt;&gt;"Net Other Revenue",M117&lt;&gt;"Net Revenue"),1,0)</f>
        <v>0</v>
      </c>
      <c r="Q117" s="36" t="str">
        <f aca="false">IF(P117=1,IF(AND(LEN(M117)&gt;7,ISNUMBER(VALUE(LEFT(M117,6))),MID(M117,7,1)=" "),LEFT(M117,6),M117),"")</f>
        <v/>
      </c>
      <c r="V117" s="36" t="str">
        <f aca="false">TRIM(S117)</f>
        <v/>
      </c>
      <c r="W117" s="36" t="str">
        <f aca="false">IF(V117="Revenue","Revenue",IF(V117="Cost of Goods Sold","COGS",IF(V117="Expenditures","Expense",IF(V117="Other Revenue","Other Revenue",IF(V117="Other Expenditures","Other Expense",W116)))))</f>
        <v/>
      </c>
      <c r="X117" s="36" t="str">
        <f aca="false">IF(OR(V117="Revenue",V117="Cost of Goods Sold",V117="Expenditures",V117="Other Revenue",V117="Other Expenditures"),W117,IF(AND(LEN(V117)&gt;2,MID(V117,2,1)=" ",ISNUMBER(VALUE(LEFT(V117,1)))),V117,X116))</f>
        <v/>
      </c>
      <c r="Y117" s="36" t="n">
        <f aca="false">IF(AND(V117&lt;&gt;"",ISNUMBER(T117),LEFT(V117,9)&lt;&gt;"Total for",V117&lt;&gt;"Gross Profit",V117&lt;&gt;"Net Operating Revenue",V117&lt;&gt;"Net Other Revenue",V117&lt;&gt;"Net Revenue"),1,0)</f>
        <v>0</v>
      </c>
      <c r="Z117" s="36" t="str">
        <f aca="false">IF(Y117=1,IF(AND(LEN(V117)&gt;7,ISNUMBER(VALUE(LEFT(V117,6))),MID(V117,7,1)=" "),LEFT(V117,6),V117),"")</f>
        <v/>
      </c>
      <c r="AE117" s="36" t="str">
        <f aca="false">TRIM(AB117)</f>
        <v/>
      </c>
      <c r="AF117" s="36" t="str">
        <f aca="false">IF(AE117="Revenue","Revenue",IF(AE117="Cost of Goods Sold","COGS",IF(AE117="Expenditures","Expense",IF(AE117="Other Revenue","Other Revenue",IF(AE117="Other Expenditures","Other Expense",AF116)))))</f>
        <v/>
      </c>
      <c r="AG117" s="36" t="str">
        <f aca="false">IF(OR(AE117="Revenue",AE117="Cost of Goods Sold",AE117="Expenditures",AE117="Other Revenue",AE117="Other Expenditures"),AF117,IF(AND(LEN(AE117)&gt;2,MID(AE117,2,1)=" ",ISNUMBER(VALUE(LEFT(AE117,1)))),AE117,AG116))</f>
        <v/>
      </c>
      <c r="AH117" s="36" t="n">
        <f aca="false">IF(AND(AE117&lt;&gt;"",ISNUMBER(AC117),LEFT(AE117,9)&lt;&gt;"Total for",AE117&lt;&gt;"Gross Profit",AE117&lt;&gt;"Net Operating Revenue",AE117&lt;&gt;"Net Other Revenue",AE117&lt;&gt;"Net Revenue"),1,0)</f>
        <v>0</v>
      </c>
      <c r="AI117" s="36" t="str">
        <f aca="false">IF(AH117=1,IF(AND(LEN(AE117)&gt;7,ISNUMBER(VALUE(LEFT(AE117,6))),MID(AE117,7,1)=" "),LEFT(AE117,6),AE117),"")</f>
        <v/>
      </c>
      <c r="AN117" s="36" t="str">
        <f aca="false">TRIM(AK117)</f>
        <v/>
      </c>
      <c r="AO117" s="36" t="str">
        <f aca="false">IF(AN117="Revenue","Revenue",IF(AN117="Cost of Goods Sold","COGS",IF(AN117="Expenditures","Expense",IF(AN117="Other Revenue","Other Revenue",IF(AN117="Other Expenditures","Other Expense",AO116)))))</f>
        <v/>
      </c>
      <c r="AP117" s="36" t="str">
        <f aca="false">IF(OR(AN117="Revenue",AN117="Cost of Goods Sold",AN117="Expenditures",AN117="Other Revenue",AN117="Other Expenditures"),AO117,IF(AND(LEN(AN117)&gt;2,MID(AN117,2,1)=" ",ISNUMBER(VALUE(LEFT(AN117,1)))),AN117,AP116))</f>
        <v/>
      </c>
      <c r="AQ117" s="36" t="n">
        <f aca="false">IF(AND(AN117&lt;&gt;"",ISNUMBER(AL117),LEFT(AN117,9)&lt;&gt;"Total for",AN117&lt;&gt;"Gross Profit",AN117&lt;&gt;"Net Operating Revenue",AN117&lt;&gt;"Net Other Revenue",AN117&lt;&gt;"Net Revenue"),1,0)</f>
        <v>0</v>
      </c>
      <c r="AR117" s="36" t="str">
        <f aca="false">IF(AQ117=1,IF(AND(LEN(AN117)&gt;7,ISNUMBER(VALUE(LEFT(AN117,6))),MID(AN117,7,1)=" "),LEFT(AN117,6),AN117),"")</f>
        <v/>
      </c>
    </row>
    <row r="118" customFormat="false" ht="15" hidden="false" customHeight="false" outlineLevel="0" collapsed="false">
      <c r="D118" s="36" t="str">
        <f aca="false">TRIM(A118)</f>
        <v/>
      </c>
      <c r="E118" s="36" t="str">
        <f aca="false">IF(D118="Revenue","Revenue",IF(D118="Cost of Goods Sold","COGS",IF(D118="Expenditures","Expense",IF(D118="Other Revenue","Other Revenue",IF(D118="Other Expenditures","Other Expense",E117)))))</f>
        <v/>
      </c>
      <c r="F118" s="36" t="str">
        <f aca="false">IF(OR(D118="Revenue",D118="Cost of Goods Sold",D118="Expenditures",D118="Other Revenue",D118="Other Expenditures"),E118,IF(AND(LEN(D118)&gt;2,MID(D118,2,1)=" ",ISNUMBER(VALUE(LEFT(D118,1)))),D118,F117))</f>
        <v/>
      </c>
      <c r="G118" s="36" t="n">
        <f aca="false">IF(AND(D118&lt;&gt;"",ISNUMBER(B118),LEFT(D118,9)&lt;&gt;"Total for",D118&lt;&gt;"Gross Profit",D118&lt;&gt;"Net Operating Revenue",D118&lt;&gt;"Net Other Revenue",D118&lt;&gt;"Net Revenue"),1,0)</f>
        <v>0</v>
      </c>
      <c r="H118" s="36" t="str">
        <f aca="false">IF(G118=1,IF(AND(LEN(D118)&gt;7,ISNUMBER(VALUE(LEFT(D118,6))),MID(D118,7,1)=" "),LEFT(D118,6),D118),"")</f>
        <v/>
      </c>
      <c r="M118" s="36" t="str">
        <f aca="false">TRIM(J118)</f>
        <v/>
      </c>
      <c r="N118" s="36" t="str">
        <f aca="false">IF(M118="Revenue","Revenue",IF(M118="Cost of Goods Sold","COGS",IF(M118="Expenditures","Expense",IF(M118="Other Revenue","Other Revenue",IF(M118="Other Expenditures","Other Expense",N117)))))</f>
        <v/>
      </c>
      <c r="O118" s="36" t="str">
        <f aca="false">IF(OR(M118="Revenue",M118="Cost of Goods Sold",M118="Expenditures",M118="Other Revenue",M118="Other Expenditures"),N118,IF(AND(LEN(M118)&gt;2,MID(M118,2,1)=" ",ISNUMBER(VALUE(LEFT(M118,1)))),M118,O117))</f>
        <v/>
      </c>
      <c r="P118" s="36" t="n">
        <f aca="false">IF(AND(M118&lt;&gt;"",ISNUMBER(K118),LEFT(M118,9)&lt;&gt;"Total for",M118&lt;&gt;"Gross Profit",M118&lt;&gt;"Net Operating Revenue",M118&lt;&gt;"Net Other Revenue",M118&lt;&gt;"Net Revenue"),1,0)</f>
        <v>0</v>
      </c>
      <c r="Q118" s="36" t="str">
        <f aca="false">IF(P118=1,IF(AND(LEN(M118)&gt;7,ISNUMBER(VALUE(LEFT(M118,6))),MID(M118,7,1)=" "),LEFT(M118,6),M118),"")</f>
        <v/>
      </c>
      <c r="V118" s="36" t="str">
        <f aca="false">TRIM(S118)</f>
        <v/>
      </c>
      <c r="W118" s="36" t="str">
        <f aca="false">IF(V118="Revenue","Revenue",IF(V118="Cost of Goods Sold","COGS",IF(V118="Expenditures","Expense",IF(V118="Other Revenue","Other Revenue",IF(V118="Other Expenditures","Other Expense",W117)))))</f>
        <v/>
      </c>
      <c r="X118" s="36" t="str">
        <f aca="false">IF(OR(V118="Revenue",V118="Cost of Goods Sold",V118="Expenditures",V118="Other Revenue",V118="Other Expenditures"),W118,IF(AND(LEN(V118)&gt;2,MID(V118,2,1)=" ",ISNUMBER(VALUE(LEFT(V118,1)))),V118,X117))</f>
        <v/>
      </c>
      <c r="Y118" s="36" t="n">
        <f aca="false">IF(AND(V118&lt;&gt;"",ISNUMBER(T118),LEFT(V118,9)&lt;&gt;"Total for",V118&lt;&gt;"Gross Profit",V118&lt;&gt;"Net Operating Revenue",V118&lt;&gt;"Net Other Revenue",V118&lt;&gt;"Net Revenue"),1,0)</f>
        <v>0</v>
      </c>
      <c r="Z118" s="36" t="str">
        <f aca="false">IF(Y118=1,IF(AND(LEN(V118)&gt;7,ISNUMBER(VALUE(LEFT(V118,6))),MID(V118,7,1)=" "),LEFT(V118,6),V118),"")</f>
        <v/>
      </c>
      <c r="AE118" s="36" t="str">
        <f aca="false">TRIM(AB118)</f>
        <v/>
      </c>
      <c r="AF118" s="36" t="str">
        <f aca="false">IF(AE118="Revenue","Revenue",IF(AE118="Cost of Goods Sold","COGS",IF(AE118="Expenditures","Expense",IF(AE118="Other Revenue","Other Revenue",IF(AE118="Other Expenditures","Other Expense",AF117)))))</f>
        <v/>
      </c>
      <c r="AG118" s="36" t="str">
        <f aca="false">IF(OR(AE118="Revenue",AE118="Cost of Goods Sold",AE118="Expenditures",AE118="Other Revenue",AE118="Other Expenditures"),AF118,IF(AND(LEN(AE118)&gt;2,MID(AE118,2,1)=" ",ISNUMBER(VALUE(LEFT(AE118,1)))),AE118,AG117))</f>
        <v/>
      </c>
      <c r="AH118" s="36" t="n">
        <f aca="false">IF(AND(AE118&lt;&gt;"",ISNUMBER(AC118),LEFT(AE118,9)&lt;&gt;"Total for",AE118&lt;&gt;"Gross Profit",AE118&lt;&gt;"Net Operating Revenue",AE118&lt;&gt;"Net Other Revenue",AE118&lt;&gt;"Net Revenue"),1,0)</f>
        <v>0</v>
      </c>
      <c r="AI118" s="36" t="str">
        <f aca="false">IF(AH118=1,IF(AND(LEN(AE118)&gt;7,ISNUMBER(VALUE(LEFT(AE118,6))),MID(AE118,7,1)=" "),LEFT(AE118,6),AE118),"")</f>
        <v/>
      </c>
      <c r="AN118" s="36" t="str">
        <f aca="false">TRIM(AK118)</f>
        <v/>
      </c>
      <c r="AO118" s="36" t="str">
        <f aca="false">IF(AN118="Revenue","Revenue",IF(AN118="Cost of Goods Sold","COGS",IF(AN118="Expenditures","Expense",IF(AN118="Other Revenue","Other Revenue",IF(AN118="Other Expenditures","Other Expense",AO117)))))</f>
        <v/>
      </c>
      <c r="AP118" s="36" t="str">
        <f aca="false">IF(OR(AN118="Revenue",AN118="Cost of Goods Sold",AN118="Expenditures",AN118="Other Revenue",AN118="Other Expenditures"),AO118,IF(AND(LEN(AN118)&gt;2,MID(AN118,2,1)=" ",ISNUMBER(VALUE(LEFT(AN118,1)))),AN118,AP117))</f>
        <v/>
      </c>
      <c r="AQ118" s="36" t="n">
        <f aca="false">IF(AND(AN118&lt;&gt;"",ISNUMBER(AL118),LEFT(AN118,9)&lt;&gt;"Total for",AN118&lt;&gt;"Gross Profit",AN118&lt;&gt;"Net Operating Revenue",AN118&lt;&gt;"Net Other Revenue",AN118&lt;&gt;"Net Revenue"),1,0)</f>
        <v>0</v>
      </c>
      <c r="AR118" s="36" t="str">
        <f aca="false">IF(AQ118=1,IF(AND(LEN(AN118)&gt;7,ISNUMBER(VALUE(LEFT(AN118,6))),MID(AN118,7,1)=" "),LEFT(AN118,6),AN118),"")</f>
        <v/>
      </c>
    </row>
    <row r="119" customFormat="false" ht="15" hidden="false" customHeight="false" outlineLevel="0" collapsed="false">
      <c r="D119" s="36" t="str">
        <f aca="false">TRIM(A119)</f>
        <v/>
      </c>
      <c r="E119" s="36" t="str">
        <f aca="false">IF(D119="Revenue","Revenue",IF(D119="Cost of Goods Sold","COGS",IF(D119="Expenditures","Expense",IF(D119="Other Revenue","Other Revenue",IF(D119="Other Expenditures","Other Expense",E118)))))</f>
        <v/>
      </c>
      <c r="F119" s="36" t="str">
        <f aca="false">IF(OR(D119="Revenue",D119="Cost of Goods Sold",D119="Expenditures",D119="Other Revenue",D119="Other Expenditures"),E119,IF(AND(LEN(D119)&gt;2,MID(D119,2,1)=" ",ISNUMBER(VALUE(LEFT(D119,1)))),D119,F118))</f>
        <v/>
      </c>
      <c r="G119" s="36" t="n">
        <f aca="false">IF(AND(D119&lt;&gt;"",ISNUMBER(B119),LEFT(D119,9)&lt;&gt;"Total for",D119&lt;&gt;"Gross Profit",D119&lt;&gt;"Net Operating Revenue",D119&lt;&gt;"Net Other Revenue",D119&lt;&gt;"Net Revenue"),1,0)</f>
        <v>0</v>
      </c>
      <c r="H119" s="36" t="str">
        <f aca="false">IF(G119=1,IF(AND(LEN(D119)&gt;7,ISNUMBER(VALUE(LEFT(D119,6))),MID(D119,7,1)=" "),LEFT(D119,6),D119),"")</f>
        <v/>
      </c>
      <c r="M119" s="36" t="str">
        <f aca="false">TRIM(J119)</f>
        <v/>
      </c>
      <c r="N119" s="36" t="str">
        <f aca="false">IF(M119="Revenue","Revenue",IF(M119="Cost of Goods Sold","COGS",IF(M119="Expenditures","Expense",IF(M119="Other Revenue","Other Revenue",IF(M119="Other Expenditures","Other Expense",N118)))))</f>
        <v/>
      </c>
      <c r="O119" s="36" t="str">
        <f aca="false">IF(OR(M119="Revenue",M119="Cost of Goods Sold",M119="Expenditures",M119="Other Revenue",M119="Other Expenditures"),N119,IF(AND(LEN(M119)&gt;2,MID(M119,2,1)=" ",ISNUMBER(VALUE(LEFT(M119,1)))),M119,O118))</f>
        <v/>
      </c>
      <c r="P119" s="36" t="n">
        <f aca="false">IF(AND(M119&lt;&gt;"",ISNUMBER(K119),LEFT(M119,9)&lt;&gt;"Total for",M119&lt;&gt;"Gross Profit",M119&lt;&gt;"Net Operating Revenue",M119&lt;&gt;"Net Other Revenue",M119&lt;&gt;"Net Revenue"),1,0)</f>
        <v>0</v>
      </c>
      <c r="Q119" s="36" t="str">
        <f aca="false">IF(P119=1,IF(AND(LEN(M119)&gt;7,ISNUMBER(VALUE(LEFT(M119,6))),MID(M119,7,1)=" "),LEFT(M119,6),M119),"")</f>
        <v/>
      </c>
      <c r="V119" s="36" t="str">
        <f aca="false">TRIM(S119)</f>
        <v/>
      </c>
      <c r="W119" s="36" t="str">
        <f aca="false">IF(V119="Revenue","Revenue",IF(V119="Cost of Goods Sold","COGS",IF(V119="Expenditures","Expense",IF(V119="Other Revenue","Other Revenue",IF(V119="Other Expenditures","Other Expense",W118)))))</f>
        <v/>
      </c>
      <c r="X119" s="36" t="str">
        <f aca="false">IF(OR(V119="Revenue",V119="Cost of Goods Sold",V119="Expenditures",V119="Other Revenue",V119="Other Expenditures"),W119,IF(AND(LEN(V119)&gt;2,MID(V119,2,1)=" ",ISNUMBER(VALUE(LEFT(V119,1)))),V119,X118))</f>
        <v/>
      </c>
      <c r="Y119" s="36" t="n">
        <f aca="false">IF(AND(V119&lt;&gt;"",ISNUMBER(T119),LEFT(V119,9)&lt;&gt;"Total for",V119&lt;&gt;"Gross Profit",V119&lt;&gt;"Net Operating Revenue",V119&lt;&gt;"Net Other Revenue",V119&lt;&gt;"Net Revenue"),1,0)</f>
        <v>0</v>
      </c>
      <c r="Z119" s="36" t="str">
        <f aca="false">IF(Y119=1,IF(AND(LEN(V119)&gt;7,ISNUMBER(VALUE(LEFT(V119,6))),MID(V119,7,1)=" "),LEFT(V119,6),V119),"")</f>
        <v/>
      </c>
      <c r="AE119" s="36" t="str">
        <f aca="false">TRIM(AB119)</f>
        <v/>
      </c>
      <c r="AF119" s="36" t="str">
        <f aca="false">IF(AE119="Revenue","Revenue",IF(AE119="Cost of Goods Sold","COGS",IF(AE119="Expenditures","Expense",IF(AE119="Other Revenue","Other Revenue",IF(AE119="Other Expenditures","Other Expense",AF118)))))</f>
        <v/>
      </c>
      <c r="AG119" s="36" t="str">
        <f aca="false">IF(OR(AE119="Revenue",AE119="Cost of Goods Sold",AE119="Expenditures",AE119="Other Revenue",AE119="Other Expenditures"),AF119,IF(AND(LEN(AE119)&gt;2,MID(AE119,2,1)=" ",ISNUMBER(VALUE(LEFT(AE119,1)))),AE119,AG118))</f>
        <v/>
      </c>
      <c r="AH119" s="36" t="n">
        <f aca="false">IF(AND(AE119&lt;&gt;"",ISNUMBER(AC119),LEFT(AE119,9)&lt;&gt;"Total for",AE119&lt;&gt;"Gross Profit",AE119&lt;&gt;"Net Operating Revenue",AE119&lt;&gt;"Net Other Revenue",AE119&lt;&gt;"Net Revenue"),1,0)</f>
        <v>0</v>
      </c>
      <c r="AI119" s="36" t="str">
        <f aca="false">IF(AH119=1,IF(AND(LEN(AE119)&gt;7,ISNUMBER(VALUE(LEFT(AE119,6))),MID(AE119,7,1)=" "),LEFT(AE119,6),AE119),"")</f>
        <v/>
      </c>
      <c r="AN119" s="36" t="str">
        <f aca="false">TRIM(AK119)</f>
        <v/>
      </c>
      <c r="AO119" s="36" t="str">
        <f aca="false">IF(AN119="Revenue","Revenue",IF(AN119="Cost of Goods Sold","COGS",IF(AN119="Expenditures","Expense",IF(AN119="Other Revenue","Other Revenue",IF(AN119="Other Expenditures","Other Expense",AO118)))))</f>
        <v/>
      </c>
      <c r="AP119" s="36" t="str">
        <f aca="false">IF(OR(AN119="Revenue",AN119="Cost of Goods Sold",AN119="Expenditures",AN119="Other Revenue",AN119="Other Expenditures"),AO119,IF(AND(LEN(AN119)&gt;2,MID(AN119,2,1)=" ",ISNUMBER(VALUE(LEFT(AN119,1)))),AN119,AP118))</f>
        <v/>
      </c>
      <c r="AQ119" s="36" t="n">
        <f aca="false">IF(AND(AN119&lt;&gt;"",ISNUMBER(AL119),LEFT(AN119,9)&lt;&gt;"Total for",AN119&lt;&gt;"Gross Profit",AN119&lt;&gt;"Net Operating Revenue",AN119&lt;&gt;"Net Other Revenue",AN119&lt;&gt;"Net Revenue"),1,0)</f>
        <v>0</v>
      </c>
      <c r="AR119" s="36" t="str">
        <f aca="false">IF(AQ119=1,IF(AND(LEN(AN119)&gt;7,ISNUMBER(VALUE(LEFT(AN119,6))),MID(AN119,7,1)=" "),LEFT(AN119,6),AN119),"")</f>
        <v/>
      </c>
    </row>
    <row r="120" customFormat="false" ht="15" hidden="false" customHeight="false" outlineLevel="0" collapsed="false">
      <c r="D120" s="36" t="str">
        <f aca="false">TRIM(A120)</f>
        <v/>
      </c>
      <c r="E120" s="36" t="str">
        <f aca="false">IF(D120="Revenue","Revenue",IF(D120="Cost of Goods Sold","COGS",IF(D120="Expenditures","Expense",IF(D120="Other Revenue","Other Revenue",IF(D120="Other Expenditures","Other Expense",E119)))))</f>
        <v/>
      </c>
      <c r="F120" s="36" t="str">
        <f aca="false">IF(OR(D120="Revenue",D120="Cost of Goods Sold",D120="Expenditures",D120="Other Revenue",D120="Other Expenditures"),E120,IF(AND(LEN(D120)&gt;2,MID(D120,2,1)=" ",ISNUMBER(VALUE(LEFT(D120,1)))),D120,F119))</f>
        <v/>
      </c>
      <c r="G120" s="36" t="n">
        <f aca="false">IF(AND(D120&lt;&gt;"",ISNUMBER(B120),LEFT(D120,9)&lt;&gt;"Total for",D120&lt;&gt;"Gross Profit",D120&lt;&gt;"Net Operating Revenue",D120&lt;&gt;"Net Other Revenue",D120&lt;&gt;"Net Revenue"),1,0)</f>
        <v>0</v>
      </c>
      <c r="H120" s="36" t="str">
        <f aca="false">IF(G120=1,IF(AND(LEN(D120)&gt;7,ISNUMBER(VALUE(LEFT(D120,6))),MID(D120,7,1)=" "),LEFT(D120,6),D120),"")</f>
        <v/>
      </c>
      <c r="M120" s="36" t="str">
        <f aca="false">TRIM(J120)</f>
        <v/>
      </c>
      <c r="N120" s="36" t="str">
        <f aca="false">IF(M120="Revenue","Revenue",IF(M120="Cost of Goods Sold","COGS",IF(M120="Expenditures","Expense",IF(M120="Other Revenue","Other Revenue",IF(M120="Other Expenditures","Other Expense",N119)))))</f>
        <v/>
      </c>
      <c r="O120" s="36" t="str">
        <f aca="false">IF(OR(M120="Revenue",M120="Cost of Goods Sold",M120="Expenditures",M120="Other Revenue",M120="Other Expenditures"),N120,IF(AND(LEN(M120)&gt;2,MID(M120,2,1)=" ",ISNUMBER(VALUE(LEFT(M120,1)))),M120,O119))</f>
        <v/>
      </c>
      <c r="P120" s="36" t="n">
        <f aca="false">IF(AND(M120&lt;&gt;"",ISNUMBER(K120),LEFT(M120,9)&lt;&gt;"Total for",M120&lt;&gt;"Gross Profit",M120&lt;&gt;"Net Operating Revenue",M120&lt;&gt;"Net Other Revenue",M120&lt;&gt;"Net Revenue"),1,0)</f>
        <v>0</v>
      </c>
      <c r="Q120" s="36" t="str">
        <f aca="false">IF(P120=1,IF(AND(LEN(M120)&gt;7,ISNUMBER(VALUE(LEFT(M120,6))),MID(M120,7,1)=" "),LEFT(M120,6),M120),"")</f>
        <v/>
      </c>
      <c r="V120" s="36" t="str">
        <f aca="false">TRIM(S120)</f>
        <v/>
      </c>
      <c r="W120" s="36" t="str">
        <f aca="false">IF(V120="Revenue","Revenue",IF(V120="Cost of Goods Sold","COGS",IF(V120="Expenditures","Expense",IF(V120="Other Revenue","Other Revenue",IF(V120="Other Expenditures","Other Expense",W119)))))</f>
        <v/>
      </c>
      <c r="X120" s="36" t="str">
        <f aca="false">IF(OR(V120="Revenue",V120="Cost of Goods Sold",V120="Expenditures",V120="Other Revenue",V120="Other Expenditures"),W120,IF(AND(LEN(V120)&gt;2,MID(V120,2,1)=" ",ISNUMBER(VALUE(LEFT(V120,1)))),V120,X119))</f>
        <v/>
      </c>
      <c r="Y120" s="36" t="n">
        <f aca="false">IF(AND(V120&lt;&gt;"",ISNUMBER(T120),LEFT(V120,9)&lt;&gt;"Total for",V120&lt;&gt;"Gross Profit",V120&lt;&gt;"Net Operating Revenue",V120&lt;&gt;"Net Other Revenue",V120&lt;&gt;"Net Revenue"),1,0)</f>
        <v>0</v>
      </c>
      <c r="Z120" s="36" t="str">
        <f aca="false">IF(Y120=1,IF(AND(LEN(V120)&gt;7,ISNUMBER(VALUE(LEFT(V120,6))),MID(V120,7,1)=" "),LEFT(V120,6),V120),"")</f>
        <v/>
      </c>
      <c r="AE120" s="36" t="str">
        <f aca="false">TRIM(AB120)</f>
        <v/>
      </c>
      <c r="AF120" s="36" t="str">
        <f aca="false">IF(AE120="Revenue","Revenue",IF(AE120="Cost of Goods Sold","COGS",IF(AE120="Expenditures","Expense",IF(AE120="Other Revenue","Other Revenue",IF(AE120="Other Expenditures","Other Expense",AF119)))))</f>
        <v/>
      </c>
      <c r="AG120" s="36" t="str">
        <f aca="false">IF(OR(AE120="Revenue",AE120="Cost of Goods Sold",AE120="Expenditures",AE120="Other Revenue",AE120="Other Expenditures"),AF120,IF(AND(LEN(AE120)&gt;2,MID(AE120,2,1)=" ",ISNUMBER(VALUE(LEFT(AE120,1)))),AE120,AG119))</f>
        <v/>
      </c>
      <c r="AH120" s="36" t="n">
        <f aca="false">IF(AND(AE120&lt;&gt;"",ISNUMBER(AC120),LEFT(AE120,9)&lt;&gt;"Total for",AE120&lt;&gt;"Gross Profit",AE120&lt;&gt;"Net Operating Revenue",AE120&lt;&gt;"Net Other Revenue",AE120&lt;&gt;"Net Revenue"),1,0)</f>
        <v>0</v>
      </c>
      <c r="AI120" s="36" t="str">
        <f aca="false">IF(AH120=1,IF(AND(LEN(AE120)&gt;7,ISNUMBER(VALUE(LEFT(AE120,6))),MID(AE120,7,1)=" "),LEFT(AE120,6),AE120),"")</f>
        <v/>
      </c>
      <c r="AN120" s="36" t="str">
        <f aca="false">TRIM(AK120)</f>
        <v/>
      </c>
      <c r="AO120" s="36" t="str">
        <f aca="false">IF(AN120="Revenue","Revenue",IF(AN120="Cost of Goods Sold","COGS",IF(AN120="Expenditures","Expense",IF(AN120="Other Revenue","Other Revenue",IF(AN120="Other Expenditures","Other Expense",AO119)))))</f>
        <v/>
      </c>
      <c r="AP120" s="36" t="str">
        <f aca="false">IF(OR(AN120="Revenue",AN120="Cost of Goods Sold",AN120="Expenditures",AN120="Other Revenue",AN120="Other Expenditures"),AO120,IF(AND(LEN(AN120)&gt;2,MID(AN120,2,1)=" ",ISNUMBER(VALUE(LEFT(AN120,1)))),AN120,AP119))</f>
        <v/>
      </c>
      <c r="AQ120" s="36" t="n">
        <f aca="false">IF(AND(AN120&lt;&gt;"",ISNUMBER(AL120),LEFT(AN120,9)&lt;&gt;"Total for",AN120&lt;&gt;"Gross Profit",AN120&lt;&gt;"Net Operating Revenue",AN120&lt;&gt;"Net Other Revenue",AN120&lt;&gt;"Net Revenue"),1,0)</f>
        <v>0</v>
      </c>
      <c r="AR120" s="36" t="str">
        <f aca="false">IF(AQ120=1,IF(AND(LEN(AN120)&gt;7,ISNUMBER(VALUE(LEFT(AN120,6))),MID(AN120,7,1)=" "),LEFT(AN120,6),AN120),"")</f>
        <v/>
      </c>
    </row>
    <row r="121" customFormat="false" ht="15" hidden="false" customHeight="false" outlineLevel="0" collapsed="false">
      <c r="D121" s="36" t="str">
        <f aca="false">TRIM(A121)</f>
        <v/>
      </c>
      <c r="E121" s="36" t="str">
        <f aca="false">IF(D121="Revenue","Revenue",IF(D121="Cost of Goods Sold","COGS",IF(D121="Expenditures","Expense",IF(D121="Other Revenue","Other Revenue",IF(D121="Other Expenditures","Other Expense",E120)))))</f>
        <v/>
      </c>
      <c r="F121" s="36" t="str">
        <f aca="false">IF(OR(D121="Revenue",D121="Cost of Goods Sold",D121="Expenditures",D121="Other Revenue",D121="Other Expenditures"),E121,IF(AND(LEN(D121)&gt;2,MID(D121,2,1)=" ",ISNUMBER(VALUE(LEFT(D121,1)))),D121,F120))</f>
        <v/>
      </c>
      <c r="G121" s="36" t="n">
        <f aca="false">IF(AND(D121&lt;&gt;"",ISNUMBER(B121),LEFT(D121,9)&lt;&gt;"Total for",D121&lt;&gt;"Gross Profit",D121&lt;&gt;"Net Operating Revenue",D121&lt;&gt;"Net Other Revenue",D121&lt;&gt;"Net Revenue"),1,0)</f>
        <v>0</v>
      </c>
      <c r="H121" s="36" t="str">
        <f aca="false">IF(G121=1,IF(AND(LEN(D121)&gt;7,ISNUMBER(VALUE(LEFT(D121,6))),MID(D121,7,1)=" "),LEFT(D121,6),D121),"")</f>
        <v/>
      </c>
      <c r="M121" s="36" t="str">
        <f aca="false">TRIM(J121)</f>
        <v/>
      </c>
      <c r="N121" s="36" t="str">
        <f aca="false">IF(M121="Revenue","Revenue",IF(M121="Cost of Goods Sold","COGS",IF(M121="Expenditures","Expense",IF(M121="Other Revenue","Other Revenue",IF(M121="Other Expenditures","Other Expense",N120)))))</f>
        <v/>
      </c>
      <c r="O121" s="36" t="str">
        <f aca="false">IF(OR(M121="Revenue",M121="Cost of Goods Sold",M121="Expenditures",M121="Other Revenue",M121="Other Expenditures"),N121,IF(AND(LEN(M121)&gt;2,MID(M121,2,1)=" ",ISNUMBER(VALUE(LEFT(M121,1)))),M121,O120))</f>
        <v/>
      </c>
      <c r="P121" s="36" t="n">
        <f aca="false">IF(AND(M121&lt;&gt;"",ISNUMBER(K121),LEFT(M121,9)&lt;&gt;"Total for",M121&lt;&gt;"Gross Profit",M121&lt;&gt;"Net Operating Revenue",M121&lt;&gt;"Net Other Revenue",M121&lt;&gt;"Net Revenue"),1,0)</f>
        <v>0</v>
      </c>
      <c r="Q121" s="36" t="str">
        <f aca="false">IF(P121=1,IF(AND(LEN(M121)&gt;7,ISNUMBER(VALUE(LEFT(M121,6))),MID(M121,7,1)=" "),LEFT(M121,6),M121),"")</f>
        <v/>
      </c>
      <c r="V121" s="36" t="str">
        <f aca="false">TRIM(S121)</f>
        <v/>
      </c>
      <c r="W121" s="36" t="str">
        <f aca="false">IF(V121="Revenue","Revenue",IF(V121="Cost of Goods Sold","COGS",IF(V121="Expenditures","Expense",IF(V121="Other Revenue","Other Revenue",IF(V121="Other Expenditures","Other Expense",W120)))))</f>
        <v/>
      </c>
      <c r="X121" s="36" t="str">
        <f aca="false">IF(OR(V121="Revenue",V121="Cost of Goods Sold",V121="Expenditures",V121="Other Revenue",V121="Other Expenditures"),W121,IF(AND(LEN(V121)&gt;2,MID(V121,2,1)=" ",ISNUMBER(VALUE(LEFT(V121,1)))),V121,X120))</f>
        <v/>
      </c>
      <c r="Y121" s="36" t="n">
        <f aca="false">IF(AND(V121&lt;&gt;"",ISNUMBER(T121),LEFT(V121,9)&lt;&gt;"Total for",V121&lt;&gt;"Gross Profit",V121&lt;&gt;"Net Operating Revenue",V121&lt;&gt;"Net Other Revenue",V121&lt;&gt;"Net Revenue"),1,0)</f>
        <v>0</v>
      </c>
      <c r="Z121" s="36" t="str">
        <f aca="false">IF(Y121=1,IF(AND(LEN(V121)&gt;7,ISNUMBER(VALUE(LEFT(V121,6))),MID(V121,7,1)=" "),LEFT(V121,6),V121),"")</f>
        <v/>
      </c>
      <c r="AE121" s="36" t="str">
        <f aca="false">TRIM(AB121)</f>
        <v/>
      </c>
      <c r="AF121" s="36" t="str">
        <f aca="false">IF(AE121="Revenue","Revenue",IF(AE121="Cost of Goods Sold","COGS",IF(AE121="Expenditures","Expense",IF(AE121="Other Revenue","Other Revenue",IF(AE121="Other Expenditures","Other Expense",AF120)))))</f>
        <v/>
      </c>
      <c r="AG121" s="36" t="str">
        <f aca="false">IF(OR(AE121="Revenue",AE121="Cost of Goods Sold",AE121="Expenditures",AE121="Other Revenue",AE121="Other Expenditures"),AF121,IF(AND(LEN(AE121)&gt;2,MID(AE121,2,1)=" ",ISNUMBER(VALUE(LEFT(AE121,1)))),AE121,AG120))</f>
        <v/>
      </c>
      <c r="AH121" s="36" t="n">
        <f aca="false">IF(AND(AE121&lt;&gt;"",ISNUMBER(AC121),LEFT(AE121,9)&lt;&gt;"Total for",AE121&lt;&gt;"Gross Profit",AE121&lt;&gt;"Net Operating Revenue",AE121&lt;&gt;"Net Other Revenue",AE121&lt;&gt;"Net Revenue"),1,0)</f>
        <v>0</v>
      </c>
      <c r="AI121" s="36" t="str">
        <f aca="false">IF(AH121=1,IF(AND(LEN(AE121)&gt;7,ISNUMBER(VALUE(LEFT(AE121,6))),MID(AE121,7,1)=" "),LEFT(AE121,6),AE121),"")</f>
        <v/>
      </c>
      <c r="AN121" s="36" t="str">
        <f aca="false">TRIM(AK121)</f>
        <v/>
      </c>
      <c r="AO121" s="36" t="str">
        <f aca="false">IF(AN121="Revenue","Revenue",IF(AN121="Cost of Goods Sold","COGS",IF(AN121="Expenditures","Expense",IF(AN121="Other Revenue","Other Revenue",IF(AN121="Other Expenditures","Other Expense",AO120)))))</f>
        <v/>
      </c>
      <c r="AP121" s="36" t="str">
        <f aca="false">IF(OR(AN121="Revenue",AN121="Cost of Goods Sold",AN121="Expenditures",AN121="Other Revenue",AN121="Other Expenditures"),AO121,IF(AND(LEN(AN121)&gt;2,MID(AN121,2,1)=" ",ISNUMBER(VALUE(LEFT(AN121,1)))),AN121,AP120))</f>
        <v/>
      </c>
      <c r="AQ121" s="36" t="n">
        <f aca="false">IF(AND(AN121&lt;&gt;"",ISNUMBER(AL121),LEFT(AN121,9)&lt;&gt;"Total for",AN121&lt;&gt;"Gross Profit",AN121&lt;&gt;"Net Operating Revenue",AN121&lt;&gt;"Net Other Revenue",AN121&lt;&gt;"Net Revenue"),1,0)</f>
        <v>0</v>
      </c>
      <c r="AR121" s="36" t="str">
        <f aca="false">IF(AQ121=1,IF(AND(LEN(AN121)&gt;7,ISNUMBER(VALUE(LEFT(AN121,6))),MID(AN121,7,1)=" "),LEFT(AN121,6),AN121),"")</f>
        <v/>
      </c>
    </row>
    <row r="122" customFormat="false" ht="15" hidden="false" customHeight="false" outlineLevel="0" collapsed="false">
      <c r="D122" s="36" t="str">
        <f aca="false">TRIM(A122)</f>
        <v/>
      </c>
      <c r="E122" s="36" t="str">
        <f aca="false">IF(D122="Revenue","Revenue",IF(D122="Cost of Goods Sold","COGS",IF(D122="Expenditures","Expense",IF(D122="Other Revenue","Other Revenue",IF(D122="Other Expenditures","Other Expense",E121)))))</f>
        <v/>
      </c>
      <c r="F122" s="36" t="str">
        <f aca="false">IF(OR(D122="Revenue",D122="Cost of Goods Sold",D122="Expenditures",D122="Other Revenue",D122="Other Expenditures"),E122,IF(AND(LEN(D122)&gt;2,MID(D122,2,1)=" ",ISNUMBER(VALUE(LEFT(D122,1)))),D122,F121))</f>
        <v/>
      </c>
      <c r="G122" s="36" t="n">
        <f aca="false">IF(AND(D122&lt;&gt;"",ISNUMBER(B122),LEFT(D122,9)&lt;&gt;"Total for",D122&lt;&gt;"Gross Profit",D122&lt;&gt;"Net Operating Revenue",D122&lt;&gt;"Net Other Revenue",D122&lt;&gt;"Net Revenue"),1,0)</f>
        <v>0</v>
      </c>
      <c r="H122" s="36" t="str">
        <f aca="false">IF(G122=1,IF(AND(LEN(D122)&gt;7,ISNUMBER(VALUE(LEFT(D122,6))),MID(D122,7,1)=" "),LEFT(D122,6),D122),"")</f>
        <v/>
      </c>
      <c r="M122" s="36" t="str">
        <f aca="false">TRIM(J122)</f>
        <v/>
      </c>
      <c r="N122" s="36" t="str">
        <f aca="false">IF(M122="Revenue","Revenue",IF(M122="Cost of Goods Sold","COGS",IF(M122="Expenditures","Expense",IF(M122="Other Revenue","Other Revenue",IF(M122="Other Expenditures","Other Expense",N121)))))</f>
        <v/>
      </c>
      <c r="O122" s="36" t="str">
        <f aca="false">IF(OR(M122="Revenue",M122="Cost of Goods Sold",M122="Expenditures",M122="Other Revenue",M122="Other Expenditures"),N122,IF(AND(LEN(M122)&gt;2,MID(M122,2,1)=" ",ISNUMBER(VALUE(LEFT(M122,1)))),M122,O121))</f>
        <v/>
      </c>
      <c r="P122" s="36" t="n">
        <f aca="false">IF(AND(M122&lt;&gt;"",ISNUMBER(K122),LEFT(M122,9)&lt;&gt;"Total for",M122&lt;&gt;"Gross Profit",M122&lt;&gt;"Net Operating Revenue",M122&lt;&gt;"Net Other Revenue",M122&lt;&gt;"Net Revenue"),1,0)</f>
        <v>0</v>
      </c>
      <c r="Q122" s="36" t="str">
        <f aca="false">IF(P122=1,IF(AND(LEN(M122)&gt;7,ISNUMBER(VALUE(LEFT(M122,6))),MID(M122,7,1)=" "),LEFT(M122,6),M122),"")</f>
        <v/>
      </c>
      <c r="V122" s="36" t="str">
        <f aca="false">TRIM(S122)</f>
        <v/>
      </c>
      <c r="W122" s="36" t="str">
        <f aca="false">IF(V122="Revenue","Revenue",IF(V122="Cost of Goods Sold","COGS",IF(V122="Expenditures","Expense",IF(V122="Other Revenue","Other Revenue",IF(V122="Other Expenditures","Other Expense",W121)))))</f>
        <v/>
      </c>
      <c r="X122" s="36" t="str">
        <f aca="false">IF(OR(V122="Revenue",V122="Cost of Goods Sold",V122="Expenditures",V122="Other Revenue",V122="Other Expenditures"),W122,IF(AND(LEN(V122)&gt;2,MID(V122,2,1)=" ",ISNUMBER(VALUE(LEFT(V122,1)))),V122,X121))</f>
        <v/>
      </c>
      <c r="Y122" s="36" t="n">
        <f aca="false">IF(AND(V122&lt;&gt;"",ISNUMBER(T122),LEFT(V122,9)&lt;&gt;"Total for",V122&lt;&gt;"Gross Profit",V122&lt;&gt;"Net Operating Revenue",V122&lt;&gt;"Net Other Revenue",V122&lt;&gt;"Net Revenue"),1,0)</f>
        <v>0</v>
      </c>
      <c r="Z122" s="36" t="str">
        <f aca="false">IF(Y122=1,IF(AND(LEN(V122)&gt;7,ISNUMBER(VALUE(LEFT(V122,6))),MID(V122,7,1)=" "),LEFT(V122,6),V122),"")</f>
        <v/>
      </c>
      <c r="AE122" s="36" t="str">
        <f aca="false">TRIM(AB122)</f>
        <v/>
      </c>
      <c r="AF122" s="36" t="str">
        <f aca="false">IF(AE122="Revenue","Revenue",IF(AE122="Cost of Goods Sold","COGS",IF(AE122="Expenditures","Expense",IF(AE122="Other Revenue","Other Revenue",IF(AE122="Other Expenditures","Other Expense",AF121)))))</f>
        <v/>
      </c>
      <c r="AG122" s="36" t="str">
        <f aca="false">IF(OR(AE122="Revenue",AE122="Cost of Goods Sold",AE122="Expenditures",AE122="Other Revenue",AE122="Other Expenditures"),AF122,IF(AND(LEN(AE122)&gt;2,MID(AE122,2,1)=" ",ISNUMBER(VALUE(LEFT(AE122,1)))),AE122,AG121))</f>
        <v/>
      </c>
      <c r="AH122" s="36" t="n">
        <f aca="false">IF(AND(AE122&lt;&gt;"",ISNUMBER(AC122),LEFT(AE122,9)&lt;&gt;"Total for",AE122&lt;&gt;"Gross Profit",AE122&lt;&gt;"Net Operating Revenue",AE122&lt;&gt;"Net Other Revenue",AE122&lt;&gt;"Net Revenue"),1,0)</f>
        <v>0</v>
      </c>
      <c r="AI122" s="36" t="str">
        <f aca="false">IF(AH122=1,IF(AND(LEN(AE122)&gt;7,ISNUMBER(VALUE(LEFT(AE122,6))),MID(AE122,7,1)=" "),LEFT(AE122,6),AE122),"")</f>
        <v/>
      </c>
      <c r="AN122" s="36" t="str">
        <f aca="false">TRIM(AK122)</f>
        <v/>
      </c>
      <c r="AO122" s="36" t="str">
        <f aca="false">IF(AN122="Revenue","Revenue",IF(AN122="Cost of Goods Sold","COGS",IF(AN122="Expenditures","Expense",IF(AN122="Other Revenue","Other Revenue",IF(AN122="Other Expenditures","Other Expense",AO121)))))</f>
        <v/>
      </c>
      <c r="AP122" s="36" t="str">
        <f aca="false">IF(OR(AN122="Revenue",AN122="Cost of Goods Sold",AN122="Expenditures",AN122="Other Revenue",AN122="Other Expenditures"),AO122,IF(AND(LEN(AN122)&gt;2,MID(AN122,2,1)=" ",ISNUMBER(VALUE(LEFT(AN122,1)))),AN122,AP121))</f>
        <v/>
      </c>
      <c r="AQ122" s="36" t="n">
        <f aca="false">IF(AND(AN122&lt;&gt;"",ISNUMBER(AL122),LEFT(AN122,9)&lt;&gt;"Total for",AN122&lt;&gt;"Gross Profit",AN122&lt;&gt;"Net Operating Revenue",AN122&lt;&gt;"Net Other Revenue",AN122&lt;&gt;"Net Revenue"),1,0)</f>
        <v>0</v>
      </c>
      <c r="AR122" s="36" t="str">
        <f aca="false">IF(AQ122=1,IF(AND(LEN(AN122)&gt;7,ISNUMBER(VALUE(LEFT(AN122,6))),MID(AN122,7,1)=" "),LEFT(AN122,6),AN122),"")</f>
        <v/>
      </c>
    </row>
    <row r="123" customFormat="false" ht="15" hidden="false" customHeight="false" outlineLevel="0" collapsed="false">
      <c r="D123" s="36" t="str">
        <f aca="false">TRIM(A123)</f>
        <v/>
      </c>
      <c r="E123" s="36" t="str">
        <f aca="false">IF(D123="Revenue","Revenue",IF(D123="Cost of Goods Sold","COGS",IF(D123="Expenditures","Expense",IF(D123="Other Revenue","Other Revenue",IF(D123="Other Expenditures","Other Expense",E122)))))</f>
        <v/>
      </c>
      <c r="F123" s="36" t="str">
        <f aca="false">IF(OR(D123="Revenue",D123="Cost of Goods Sold",D123="Expenditures",D123="Other Revenue",D123="Other Expenditures"),E123,IF(AND(LEN(D123)&gt;2,MID(D123,2,1)=" ",ISNUMBER(VALUE(LEFT(D123,1)))),D123,F122))</f>
        <v/>
      </c>
      <c r="G123" s="36" t="n">
        <f aca="false">IF(AND(D123&lt;&gt;"",ISNUMBER(B123),LEFT(D123,9)&lt;&gt;"Total for",D123&lt;&gt;"Gross Profit",D123&lt;&gt;"Net Operating Revenue",D123&lt;&gt;"Net Other Revenue",D123&lt;&gt;"Net Revenue"),1,0)</f>
        <v>0</v>
      </c>
      <c r="H123" s="36" t="str">
        <f aca="false">IF(G123=1,IF(AND(LEN(D123)&gt;7,ISNUMBER(VALUE(LEFT(D123,6))),MID(D123,7,1)=" "),LEFT(D123,6),D123),"")</f>
        <v/>
      </c>
      <c r="M123" s="36" t="str">
        <f aca="false">TRIM(J123)</f>
        <v/>
      </c>
      <c r="N123" s="36" t="str">
        <f aca="false">IF(M123="Revenue","Revenue",IF(M123="Cost of Goods Sold","COGS",IF(M123="Expenditures","Expense",IF(M123="Other Revenue","Other Revenue",IF(M123="Other Expenditures","Other Expense",N122)))))</f>
        <v/>
      </c>
      <c r="O123" s="36" t="str">
        <f aca="false">IF(OR(M123="Revenue",M123="Cost of Goods Sold",M123="Expenditures",M123="Other Revenue",M123="Other Expenditures"),N123,IF(AND(LEN(M123)&gt;2,MID(M123,2,1)=" ",ISNUMBER(VALUE(LEFT(M123,1)))),M123,O122))</f>
        <v/>
      </c>
      <c r="P123" s="36" t="n">
        <f aca="false">IF(AND(M123&lt;&gt;"",ISNUMBER(K123),LEFT(M123,9)&lt;&gt;"Total for",M123&lt;&gt;"Gross Profit",M123&lt;&gt;"Net Operating Revenue",M123&lt;&gt;"Net Other Revenue",M123&lt;&gt;"Net Revenue"),1,0)</f>
        <v>0</v>
      </c>
      <c r="Q123" s="36" t="str">
        <f aca="false">IF(P123=1,IF(AND(LEN(M123)&gt;7,ISNUMBER(VALUE(LEFT(M123,6))),MID(M123,7,1)=" "),LEFT(M123,6),M123),"")</f>
        <v/>
      </c>
      <c r="V123" s="36" t="str">
        <f aca="false">TRIM(S123)</f>
        <v/>
      </c>
      <c r="W123" s="36" t="str">
        <f aca="false">IF(V123="Revenue","Revenue",IF(V123="Cost of Goods Sold","COGS",IF(V123="Expenditures","Expense",IF(V123="Other Revenue","Other Revenue",IF(V123="Other Expenditures","Other Expense",W122)))))</f>
        <v/>
      </c>
      <c r="X123" s="36" t="str">
        <f aca="false">IF(OR(V123="Revenue",V123="Cost of Goods Sold",V123="Expenditures",V123="Other Revenue",V123="Other Expenditures"),W123,IF(AND(LEN(V123)&gt;2,MID(V123,2,1)=" ",ISNUMBER(VALUE(LEFT(V123,1)))),V123,X122))</f>
        <v/>
      </c>
      <c r="Y123" s="36" t="n">
        <f aca="false">IF(AND(V123&lt;&gt;"",ISNUMBER(T123),LEFT(V123,9)&lt;&gt;"Total for",V123&lt;&gt;"Gross Profit",V123&lt;&gt;"Net Operating Revenue",V123&lt;&gt;"Net Other Revenue",V123&lt;&gt;"Net Revenue"),1,0)</f>
        <v>0</v>
      </c>
      <c r="Z123" s="36" t="str">
        <f aca="false">IF(Y123=1,IF(AND(LEN(V123)&gt;7,ISNUMBER(VALUE(LEFT(V123,6))),MID(V123,7,1)=" "),LEFT(V123,6),V123),"")</f>
        <v/>
      </c>
      <c r="AE123" s="36" t="str">
        <f aca="false">TRIM(AB123)</f>
        <v/>
      </c>
      <c r="AF123" s="36" t="str">
        <f aca="false">IF(AE123="Revenue","Revenue",IF(AE123="Cost of Goods Sold","COGS",IF(AE123="Expenditures","Expense",IF(AE123="Other Revenue","Other Revenue",IF(AE123="Other Expenditures","Other Expense",AF122)))))</f>
        <v/>
      </c>
      <c r="AG123" s="36" t="str">
        <f aca="false">IF(OR(AE123="Revenue",AE123="Cost of Goods Sold",AE123="Expenditures",AE123="Other Revenue",AE123="Other Expenditures"),AF123,IF(AND(LEN(AE123)&gt;2,MID(AE123,2,1)=" ",ISNUMBER(VALUE(LEFT(AE123,1)))),AE123,AG122))</f>
        <v/>
      </c>
      <c r="AH123" s="36" t="n">
        <f aca="false">IF(AND(AE123&lt;&gt;"",ISNUMBER(AC123),LEFT(AE123,9)&lt;&gt;"Total for",AE123&lt;&gt;"Gross Profit",AE123&lt;&gt;"Net Operating Revenue",AE123&lt;&gt;"Net Other Revenue",AE123&lt;&gt;"Net Revenue"),1,0)</f>
        <v>0</v>
      </c>
      <c r="AI123" s="36" t="str">
        <f aca="false">IF(AH123=1,IF(AND(LEN(AE123)&gt;7,ISNUMBER(VALUE(LEFT(AE123,6))),MID(AE123,7,1)=" "),LEFT(AE123,6),AE123),"")</f>
        <v/>
      </c>
      <c r="AN123" s="36" t="str">
        <f aca="false">TRIM(AK123)</f>
        <v/>
      </c>
      <c r="AO123" s="36" t="str">
        <f aca="false">IF(AN123="Revenue","Revenue",IF(AN123="Cost of Goods Sold","COGS",IF(AN123="Expenditures","Expense",IF(AN123="Other Revenue","Other Revenue",IF(AN123="Other Expenditures","Other Expense",AO122)))))</f>
        <v/>
      </c>
      <c r="AP123" s="36" t="str">
        <f aca="false">IF(OR(AN123="Revenue",AN123="Cost of Goods Sold",AN123="Expenditures",AN123="Other Revenue",AN123="Other Expenditures"),AO123,IF(AND(LEN(AN123)&gt;2,MID(AN123,2,1)=" ",ISNUMBER(VALUE(LEFT(AN123,1)))),AN123,AP122))</f>
        <v/>
      </c>
      <c r="AQ123" s="36" t="n">
        <f aca="false">IF(AND(AN123&lt;&gt;"",ISNUMBER(AL123),LEFT(AN123,9)&lt;&gt;"Total for",AN123&lt;&gt;"Gross Profit",AN123&lt;&gt;"Net Operating Revenue",AN123&lt;&gt;"Net Other Revenue",AN123&lt;&gt;"Net Revenue"),1,0)</f>
        <v>0</v>
      </c>
      <c r="AR123" s="36" t="str">
        <f aca="false">IF(AQ123=1,IF(AND(LEN(AN123)&gt;7,ISNUMBER(VALUE(LEFT(AN123,6))),MID(AN123,7,1)=" "),LEFT(AN123,6),AN123),"")</f>
        <v/>
      </c>
    </row>
    <row r="124" customFormat="false" ht="15" hidden="false" customHeight="false" outlineLevel="0" collapsed="false">
      <c r="D124" s="36" t="str">
        <f aca="false">TRIM(A124)</f>
        <v/>
      </c>
      <c r="E124" s="36" t="str">
        <f aca="false">IF(D124="Revenue","Revenue",IF(D124="Cost of Goods Sold","COGS",IF(D124="Expenditures","Expense",IF(D124="Other Revenue","Other Revenue",IF(D124="Other Expenditures","Other Expense",E123)))))</f>
        <v/>
      </c>
      <c r="F124" s="36" t="str">
        <f aca="false">IF(OR(D124="Revenue",D124="Cost of Goods Sold",D124="Expenditures",D124="Other Revenue",D124="Other Expenditures"),E124,IF(AND(LEN(D124)&gt;2,MID(D124,2,1)=" ",ISNUMBER(VALUE(LEFT(D124,1)))),D124,F123))</f>
        <v/>
      </c>
      <c r="G124" s="36" t="n">
        <f aca="false">IF(AND(D124&lt;&gt;"",ISNUMBER(B124),LEFT(D124,9)&lt;&gt;"Total for",D124&lt;&gt;"Gross Profit",D124&lt;&gt;"Net Operating Revenue",D124&lt;&gt;"Net Other Revenue",D124&lt;&gt;"Net Revenue"),1,0)</f>
        <v>0</v>
      </c>
      <c r="H124" s="36" t="str">
        <f aca="false">IF(G124=1,IF(AND(LEN(D124)&gt;7,ISNUMBER(VALUE(LEFT(D124,6))),MID(D124,7,1)=" "),LEFT(D124,6),D124),"")</f>
        <v/>
      </c>
      <c r="M124" s="36" t="str">
        <f aca="false">TRIM(J124)</f>
        <v/>
      </c>
      <c r="N124" s="36" t="str">
        <f aca="false">IF(M124="Revenue","Revenue",IF(M124="Cost of Goods Sold","COGS",IF(M124="Expenditures","Expense",IF(M124="Other Revenue","Other Revenue",IF(M124="Other Expenditures","Other Expense",N123)))))</f>
        <v/>
      </c>
      <c r="O124" s="36" t="str">
        <f aca="false">IF(OR(M124="Revenue",M124="Cost of Goods Sold",M124="Expenditures",M124="Other Revenue",M124="Other Expenditures"),N124,IF(AND(LEN(M124)&gt;2,MID(M124,2,1)=" ",ISNUMBER(VALUE(LEFT(M124,1)))),M124,O123))</f>
        <v/>
      </c>
      <c r="P124" s="36" t="n">
        <f aca="false">IF(AND(M124&lt;&gt;"",ISNUMBER(K124),LEFT(M124,9)&lt;&gt;"Total for",M124&lt;&gt;"Gross Profit",M124&lt;&gt;"Net Operating Revenue",M124&lt;&gt;"Net Other Revenue",M124&lt;&gt;"Net Revenue"),1,0)</f>
        <v>0</v>
      </c>
      <c r="Q124" s="36" t="str">
        <f aca="false">IF(P124=1,IF(AND(LEN(M124)&gt;7,ISNUMBER(VALUE(LEFT(M124,6))),MID(M124,7,1)=" "),LEFT(M124,6),M124),"")</f>
        <v/>
      </c>
      <c r="V124" s="36" t="str">
        <f aca="false">TRIM(S124)</f>
        <v/>
      </c>
      <c r="W124" s="36" t="str">
        <f aca="false">IF(V124="Revenue","Revenue",IF(V124="Cost of Goods Sold","COGS",IF(V124="Expenditures","Expense",IF(V124="Other Revenue","Other Revenue",IF(V124="Other Expenditures","Other Expense",W123)))))</f>
        <v/>
      </c>
      <c r="X124" s="36" t="str">
        <f aca="false">IF(OR(V124="Revenue",V124="Cost of Goods Sold",V124="Expenditures",V124="Other Revenue",V124="Other Expenditures"),W124,IF(AND(LEN(V124)&gt;2,MID(V124,2,1)=" ",ISNUMBER(VALUE(LEFT(V124,1)))),V124,X123))</f>
        <v/>
      </c>
      <c r="Y124" s="36" t="n">
        <f aca="false">IF(AND(V124&lt;&gt;"",ISNUMBER(T124),LEFT(V124,9)&lt;&gt;"Total for",V124&lt;&gt;"Gross Profit",V124&lt;&gt;"Net Operating Revenue",V124&lt;&gt;"Net Other Revenue",V124&lt;&gt;"Net Revenue"),1,0)</f>
        <v>0</v>
      </c>
      <c r="Z124" s="36" t="str">
        <f aca="false">IF(Y124=1,IF(AND(LEN(V124)&gt;7,ISNUMBER(VALUE(LEFT(V124,6))),MID(V124,7,1)=" "),LEFT(V124,6),V124),"")</f>
        <v/>
      </c>
      <c r="AE124" s="36" t="str">
        <f aca="false">TRIM(AB124)</f>
        <v/>
      </c>
      <c r="AF124" s="36" t="str">
        <f aca="false">IF(AE124="Revenue","Revenue",IF(AE124="Cost of Goods Sold","COGS",IF(AE124="Expenditures","Expense",IF(AE124="Other Revenue","Other Revenue",IF(AE124="Other Expenditures","Other Expense",AF123)))))</f>
        <v/>
      </c>
      <c r="AG124" s="36" t="str">
        <f aca="false">IF(OR(AE124="Revenue",AE124="Cost of Goods Sold",AE124="Expenditures",AE124="Other Revenue",AE124="Other Expenditures"),AF124,IF(AND(LEN(AE124)&gt;2,MID(AE124,2,1)=" ",ISNUMBER(VALUE(LEFT(AE124,1)))),AE124,AG123))</f>
        <v/>
      </c>
      <c r="AH124" s="36" t="n">
        <f aca="false">IF(AND(AE124&lt;&gt;"",ISNUMBER(AC124),LEFT(AE124,9)&lt;&gt;"Total for",AE124&lt;&gt;"Gross Profit",AE124&lt;&gt;"Net Operating Revenue",AE124&lt;&gt;"Net Other Revenue",AE124&lt;&gt;"Net Revenue"),1,0)</f>
        <v>0</v>
      </c>
      <c r="AI124" s="36" t="str">
        <f aca="false">IF(AH124=1,IF(AND(LEN(AE124)&gt;7,ISNUMBER(VALUE(LEFT(AE124,6))),MID(AE124,7,1)=" "),LEFT(AE124,6),AE124),"")</f>
        <v/>
      </c>
      <c r="AN124" s="36" t="str">
        <f aca="false">TRIM(AK124)</f>
        <v/>
      </c>
      <c r="AO124" s="36" t="str">
        <f aca="false">IF(AN124="Revenue","Revenue",IF(AN124="Cost of Goods Sold","COGS",IF(AN124="Expenditures","Expense",IF(AN124="Other Revenue","Other Revenue",IF(AN124="Other Expenditures","Other Expense",AO123)))))</f>
        <v/>
      </c>
      <c r="AP124" s="36" t="str">
        <f aca="false">IF(OR(AN124="Revenue",AN124="Cost of Goods Sold",AN124="Expenditures",AN124="Other Revenue",AN124="Other Expenditures"),AO124,IF(AND(LEN(AN124)&gt;2,MID(AN124,2,1)=" ",ISNUMBER(VALUE(LEFT(AN124,1)))),AN124,AP123))</f>
        <v/>
      </c>
      <c r="AQ124" s="36" t="n">
        <f aca="false">IF(AND(AN124&lt;&gt;"",ISNUMBER(AL124),LEFT(AN124,9)&lt;&gt;"Total for",AN124&lt;&gt;"Gross Profit",AN124&lt;&gt;"Net Operating Revenue",AN124&lt;&gt;"Net Other Revenue",AN124&lt;&gt;"Net Revenue"),1,0)</f>
        <v>0</v>
      </c>
      <c r="AR124" s="36" t="str">
        <f aca="false">IF(AQ124=1,IF(AND(LEN(AN124)&gt;7,ISNUMBER(VALUE(LEFT(AN124,6))),MID(AN124,7,1)=" "),LEFT(AN124,6),AN124),"")</f>
        <v/>
      </c>
    </row>
    <row r="125" customFormat="false" ht="15" hidden="false" customHeight="false" outlineLevel="0" collapsed="false">
      <c r="D125" s="36" t="str">
        <f aca="false">TRIM(A125)</f>
        <v/>
      </c>
      <c r="E125" s="36" t="str">
        <f aca="false">IF(D125="Revenue","Revenue",IF(D125="Cost of Goods Sold","COGS",IF(D125="Expenditures","Expense",IF(D125="Other Revenue","Other Revenue",IF(D125="Other Expenditures","Other Expense",E124)))))</f>
        <v/>
      </c>
      <c r="F125" s="36" t="str">
        <f aca="false">IF(OR(D125="Revenue",D125="Cost of Goods Sold",D125="Expenditures",D125="Other Revenue",D125="Other Expenditures"),E125,IF(AND(LEN(D125)&gt;2,MID(D125,2,1)=" ",ISNUMBER(VALUE(LEFT(D125,1)))),D125,F124))</f>
        <v/>
      </c>
      <c r="G125" s="36" t="n">
        <f aca="false">IF(AND(D125&lt;&gt;"",ISNUMBER(B125),LEFT(D125,9)&lt;&gt;"Total for",D125&lt;&gt;"Gross Profit",D125&lt;&gt;"Net Operating Revenue",D125&lt;&gt;"Net Other Revenue",D125&lt;&gt;"Net Revenue"),1,0)</f>
        <v>0</v>
      </c>
      <c r="H125" s="36" t="str">
        <f aca="false">IF(G125=1,IF(AND(LEN(D125)&gt;7,ISNUMBER(VALUE(LEFT(D125,6))),MID(D125,7,1)=" "),LEFT(D125,6),D125),"")</f>
        <v/>
      </c>
      <c r="M125" s="36" t="str">
        <f aca="false">TRIM(J125)</f>
        <v/>
      </c>
      <c r="N125" s="36" t="str">
        <f aca="false">IF(M125="Revenue","Revenue",IF(M125="Cost of Goods Sold","COGS",IF(M125="Expenditures","Expense",IF(M125="Other Revenue","Other Revenue",IF(M125="Other Expenditures","Other Expense",N124)))))</f>
        <v/>
      </c>
      <c r="O125" s="36" t="str">
        <f aca="false">IF(OR(M125="Revenue",M125="Cost of Goods Sold",M125="Expenditures",M125="Other Revenue",M125="Other Expenditures"),N125,IF(AND(LEN(M125)&gt;2,MID(M125,2,1)=" ",ISNUMBER(VALUE(LEFT(M125,1)))),M125,O124))</f>
        <v/>
      </c>
      <c r="P125" s="36" t="n">
        <f aca="false">IF(AND(M125&lt;&gt;"",ISNUMBER(K125),LEFT(M125,9)&lt;&gt;"Total for",M125&lt;&gt;"Gross Profit",M125&lt;&gt;"Net Operating Revenue",M125&lt;&gt;"Net Other Revenue",M125&lt;&gt;"Net Revenue"),1,0)</f>
        <v>0</v>
      </c>
      <c r="Q125" s="36" t="str">
        <f aca="false">IF(P125=1,IF(AND(LEN(M125)&gt;7,ISNUMBER(VALUE(LEFT(M125,6))),MID(M125,7,1)=" "),LEFT(M125,6),M125),"")</f>
        <v/>
      </c>
      <c r="V125" s="36" t="str">
        <f aca="false">TRIM(S125)</f>
        <v/>
      </c>
      <c r="W125" s="36" t="str">
        <f aca="false">IF(V125="Revenue","Revenue",IF(V125="Cost of Goods Sold","COGS",IF(V125="Expenditures","Expense",IF(V125="Other Revenue","Other Revenue",IF(V125="Other Expenditures","Other Expense",W124)))))</f>
        <v/>
      </c>
      <c r="X125" s="36" t="str">
        <f aca="false">IF(OR(V125="Revenue",V125="Cost of Goods Sold",V125="Expenditures",V125="Other Revenue",V125="Other Expenditures"),W125,IF(AND(LEN(V125)&gt;2,MID(V125,2,1)=" ",ISNUMBER(VALUE(LEFT(V125,1)))),V125,X124))</f>
        <v/>
      </c>
      <c r="Y125" s="36" t="n">
        <f aca="false">IF(AND(V125&lt;&gt;"",ISNUMBER(T125),LEFT(V125,9)&lt;&gt;"Total for",V125&lt;&gt;"Gross Profit",V125&lt;&gt;"Net Operating Revenue",V125&lt;&gt;"Net Other Revenue",V125&lt;&gt;"Net Revenue"),1,0)</f>
        <v>0</v>
      </c>
      <c r="Z125" s="36" t="str">
        <f aca="false">IF(Y125=1,IF(AND(LEN(V125)&gt;7,ISNUMBER(VALUE(LEFT(V125,6))),MID(V125,7,1)=" "),LEFT(V125,6),V125),"")</f>
        <v/>
      </c>
      <c r="AE125" s="36" t="str">
        <f aca="false">TRIM(AB125)</f>
        <v/>
      </c>
      <c r="AF125" s="36" t="str">
        <f aca="false">IF(AE125="Revenue","Revenue",IF(AE125="Cost of Goods Sold","COGS",IF(AE125="Expenditures","Expense",IF(AE125="Other Revenue","Other Revenue",IF(AE125="Other Expenditures","Other Expense",AF124)))))</f>
        <v/>
      </c>
      <c r="AG125" s="36" t="str">
        <f aca="false">IF(OR(AE125="Revenue",AE125="Cost of Goods Sold",AE125="Expenditures",AE125="Other Revenue",AE125="Other Expenditures"),AF125,IF(AND(LEN(AE125)&gt;2,MID(AE125,2,1)=" ",ISNUMBER(VALUE(LEFT(AE125,1)))),AE125,AG124))</f>
        <v/>
      </c>
      <c r="AH125" s="36" t="n">
        <f aca="false">IF(AND(AE125&lt;&gt;"",ISNUMBER(AC125),LEFT(AE125,9)&lt;&gt;"Total for",AE125&lt;&gt;"Gross Profit",AE125&lt;&gt;"Net Operating Revenue",AE125&lt;&gt;"Net Other Revenue",AE125&lt;&gt;"Net Revenue"),1,0)</f>
        <v>0</v>
      </c>
      <c r="AI125" s="36" t="str">
        <f aca="false">IF(AH125=1,IF(AND(LEN(AE125)&gt;7,ISNUMBER(VALUE(LEFT(AE125,6))),MID(AE125,7,1)=" "),LEFT(AE125,6),AE125),"")</f>
        <v/>
      </c>
      <c r="AN125" s="36" t="str">
        <f aca="false">TRIM(AK125)</f>
        <v/>
      </c>
      <c r="AO125" s="36" t="str">
        <f aca="false">IF(AN125="Revenue","Revenue",IF(AN125="Cost of Goods Sold","COGS",IF(AN125="Expenditures","Expense",IF(AN125="Other Revenue","Other Revenue",IF(AN125="Other Expenditures","Other Expense",AO124)))))</f>
        <v/>
      </c>
      <c r="AP125" s="36" t="str">
        <f aca="false">IF(OR(AN125="Revenue",AN125="Cost of Goods Sold",AN125="Expenditures",AN125="Other Revenue",AN125="Other Expenditures"),AO125,IF(AND(LEN(AN125)&gt;2,MID(AN125,2,1)=" ",ISNUMBER(VALUE(LEFT(AN125,1)))),AN125,AP124))</f>
        <v/>
      </c>
      <c r="AQ125" s="36" t="n">
        <f aca="false">IF(AND(AN125&lt;&gt;"",ISNUMBER(AL125),LEFT(AN125,9)&lt;&gt;"Total for",AN125&lt;&gt;"Gross Profit",AN125&lt;&gt;"Net Operating Revenue",AN125&lt;&gt;"Net Other Revenue",AN125&lt;&gt;"Net Revenue"),1,0)</f>
        <v>0</v>
      </c>
      <c r="AR125" s="36" t="str">
        <f aca="false">IF(AQ125=1,IF(AND(LEN(AN125)&gt;7,ISNUMBER(VALUE(LEFT(AN125,6))),MID(AN125,7,1)=" "),LEFT(AN125,6),AN125),"")</f>
        <v/>
      </c>
    </row>
    <row r="126" customFormat="false" ht="15" hidden="false" customHeight="false" outlineLevel="0" collapsed="false">
      <c r="D126" s="36" t="str">
        <f aca="false">TRIM(A126)</f>
        <v/>
      </c>
      <c r="E126" s="36" t="str">
        <f aca="false">IF(D126="Revenue","Revenue",IF(D126="Cost of Goods Sold","COGS",IF(D126="Expenditures","Expense",IF(D126="Other Revenue","Other Revenue",IF(D126="Other Expenditures","Other Expense",E125)))))</f>
        <v/>
      </c>
      <c r="F126" s="36" t="str">
        <f aca="false">IF(OR(D126="Revenue",D126="Cost of Goods Sold",D126="Expenditures",D126="Other Revenue",D126="Other Expenditures"),E126,IF(AND(LEN(D126)&gt;2,MID(D126,2,1)=" ",ISNUMBER(VALUE(LEFT(D126,1)))),D126,F125))</f>
        <v/>
      </c>
      <c r="G126" s="36" t="n">
        <f aca="false">IF(AND(D126&lt;&gt;"",ISNUMBER(B126),LEFT(D126,9)&lt;&gt;"Total for",D126&lt;&gt;"Gross Profit",D126&lt;&gt;"Net Operating Revenue",D126&lt;&gt;"Net Other Revenue",D126&lt;&gt;"Net Revenue"),1,0)</f>
        <v>0</v>
      </c>
      <c r="H126" s="36" t="str">
        <f aca="false">IF(G126=1,IF(AND(LEN(D126)&gt;7,ISNUMBER(VALUE(LEFT(D126,6))),MID(D126,7,1)=" "),LEFT(D126,6),D126),"")</f>
        <v/>
      </c>
      <c r="M126" s="36" t="str">
        <f aca="false">TRIM(J126)</f>
        <v/>
      </c>
      <c r="N126" s="36" t="str">
        <f aca="false">IF(M126="Revenue","Revenue",IF(M126="Cost of Goods Sold","COGS",IF(M126="Expenditures","Expense",IF(M126="Other Revenue","Other Revenue",IF(M126="Other Expenditures","Other Expense",N125)))))</f>
        <v/>
      </c>
      <c r="O126" s="36" t="str">
        <f aca="false">IF(OR(M126="Revenue",M126="Cost of Goods Sold",M126="Expenditures",M126="Other Revenue",M126="Other Expenditures"),N126,IF(AND(LEN(M126)&gt;2,MID(M126,2,1)=" ",ISNUMBER(VALUE(LEFT(M126,1)))),M126,O125))</f>
        <v/>
      </c>
      <c r="P126" s="36" t="n">
        <f aca="false">IF(AND(M126&lt;&gt;"",ISNUMBER(K126),LEFT(M126,9)&lt;&gt;"Total for",M126&lt;&gt;"Gross Profit",M126&lt;&gt;"Net Operating Revenue",M126&lt;&gt;"Net Other Revenue",M126&lt;&gt;"Net Revenue"),1,0)</f>
        <v>0</v>
      </c>
      <c r="Q126" s="36" t="str">
        <f aca="false">IF(P126=1,IF(AND(LEN(M126)&gt;7,ISNUMBER(VALUE(LEFT(M126,6))),MID(M126,7,1)=" "),LEFT(M126,6),M126),"")</f>
        <v/>
      </c>
      <c r="V126" s="36" t="str">
        <f aca="false">TRIM(S126)</f>
        <v/>
      </c>
      <c r="W126" s="36" t="str">
        <f aca="false">IF(V126="Revenue","Revenue",IF(V126="Cost of Goods Sold","COGS",IF(V126="Expenditures","Expense",IF(V126="Other Revenue","Other Revenue",IF(V126="Other Expenditures","Other Expense",W125)))))</f>
        <v/>
      </c>
      <c r="X126" s="36" t="str">
        <f aca="false">IF(OR(V126="Revenue",V126="Cost of Goods Sold",V126="Expenditures",V126="Other Revenue",V126="Other Expenditures"),W126,IF(AND(LEN(V126)&gt;2,MID(V126,2,1)=" ",ISNUMBER(VALUE(LEFT(V126,1)))),V126,X125))</f>
        <v/>
      </c>
      <c r="Y126" s="36" t="n">
        <f aca="false">IF(AND(V126&lt;&gt;"",ISNUMBER(T126),LEFT(V126,9)&lt;&gt;"Total for",V126&lt;&gt;"Gross Profit",V126&lt;&gt;"Net Operating Revenue",V126&lt;&gt;"Net Other Revenue",V126&lt;&gt;"Net Revenue"),1,0)</f>
        <v>0</v>
      </c>
      <c r="Z126" s="36" t="str">
        <f aca="false">IF(Y126=1,IF(AND(LEN(V126)&gt;7,ISNUMBER(VALUE(LEFT(V126,6))),MID(V126,7,1)=" "),LEFT(V126,6),V126),"")</f>
        <v/>
      </c>
      <c r="AE126" s="36" t="str">
        <f aca="false">TRIM(AB126)</f>
        <v/>
      </c>
      <c r="AF126" s="36" t="str">
        <f aca="false">IF(AE126="Revenue","Revenue",IF(AE126="Cost of Goods Sold","COGS",IF(AE126="Expenditures","Expense",IF(AE126="Other Revenue","Other Revenue",IF(AE126="Other Expenditures","Other Expense",AF125)))))</f>
        <v/>
      </c>
      <c r="AG126" s="36" t="str">
        <f aca="false">IF(OR(AE126="Revenue",AE126="Cost of Goods Sold",AE126="Expenditures",AE126="Other Revenue",AE126="Other Expenditures"),AF126,IF(AND(LEN(AE126)&gt;2,MID(AE126,2,1)=" ",ISNUMBER(VALUE(LEFT(AE126,1)))),AE126,AG125))</f>
        <v/>
      </c>
      <c r="AH126" s="36" t="n">
        <f aca="false">IF(AND(AE126&lt;&gt;"",ISNUMBER(AC126),LEFT(AE126,9)&lt;&gt;"Total for",AE126&lt;&gt;"Gross Profit",AE126&lt;&gt;"Net Operating Revenue",AE126&lt;&gt;"Net Other Revenue",AE126&lt;&gt;"Net Revenue"),1,0)</f>
        <v>0</v>
      </c>
      <c r="AI126" s="36" t="str">
        <f aca="false">IF(AH126=1,IF(AND(LEN(AE126)&gt;7,ISNUMBER(VALUE(LEFT(AE126,6))),MID(AE126,7,1)=" "),LEFT(AE126,6),AE126),"")</f>
        <v/>
      </c>
      <c r="AN126" s="36" t="str">
        <f aca="false">TRIM(AK126)</f>
        <v/>
      </c>
      <c r="AO126" s="36" t="str">
        <f aca="false">IF(AN126="Revenue","Revenue",IF(AN126="Cost of Goods Sold","COGS",IF(AN126="Expenditures","Expense",IF(AN126="Other Revenue","Other Revenue",IF(AN126="Other Expenditures","Other Expense",AO125)))))</f>
        <v/>
      </c>
      <c r="AP126" s="36" t="str">
        <f aca="false">IF(OR(AN126="Revenue",AN126="Cost of Goods Sold",AN126="Expenditures",AN126="Other Revenue",AN126="Other Expenditures"),AO126,IF(AND(LEN(AN126)&gt;2,MID(AN126,2,1)=" ",ISNUMBER(VALUE(LEFT(AN126,1)))),AN126,AP125))</f>
        <v/>
      </c>
      <c r="AQ126" s="36" t="n">
        <f aca="false">IF(AND(AN126&lt;&gt;"",ISNUMBER(AL126),LEFT(AN126,9)&lt;&gt;"Total for",AN126&lt;&gt;"Gross Profit",AN126&lt;&gt;"Net Operating Revenue",AN126&lt;&gt;"Net Other Revenue",AN126&lt;&gt;"Net Revenue"),1,0)</f>
        <v>0</v>
      </c>
      <c r="AR126" s="36" t="str">
        <f aca="false">IF(AQ126=1,IF(AND(LEN(AN126)&gt;7,ISNUMBER(VALUE(LEFT(AN126,6))),MID(AN126,7,1)=" "),LEFT(AN126,6),AN126),"")</f>
        <v/>
      </c>
    </row>
    <row r="127" customFormat="false" ht="15" hidden="false" customHeight="false" outlineLevel="0" collapsed="false">
      <c r="D127" s="36" t="str">
        <f aca="false">TRIM(A127)</f>
        <v/>
      </c>
      <c r="E127" s="36" t="str">
        <f aca="false">IF(D127="Revenue","Revenue",IF(D127="Cost of Goods Sold","COGS",IF(D127="Expenditures","Expense",IF(D127="Other Revenue","Other Revenue",IF(D127="Other Expenditures","Other Expense",E126)))))</f>
        <v/>
      </c>
      <c r="F127" s="36" t="str">
        <f aca="false">IF(OR(D127="Revenue",D127="Cost of Goods Sold",D127="Expenditures",D127="Other Revenue",D127="Other Expenditures"),E127,IF(AND(LEN(D127)&gt;2,MID(D127,2,1)=" ",ISNUMBER(VALUE(LEFT(D127,1)))),D127,F126))</f>
        <v/>
      </c>
      <c r="G127" s="36" t="n">
        <f aca="false">IF(AND(D127&lt;&gt;"",ISNUMBER(B127),LEFT(D127,9)&lt;&gt;"Total for",D127&lt;&gt;"Gross Profit",D127&lt;&gt;"Net Operating Revenue",D127&lt;&gt;"Net Other Revenue",D127&lt;&gt;"Net Revenue"),1,0)</f>
        <v>0</v>
      </c>
      <c r="H127" s="36" t="str">
        <f aca="false">IF(G127=1,IF(AND(LEN(D127)&gt;7,ISNUMBER(VALUE(LEFT(D127,6))),MID(D127,7,1)=" "),LEFT(D127,6),D127),"")</f>
        <v/>
      </c>
      <c r="M127" s="36" t="str">
        <f aca="false">TRIM(J127)</f>
        <v/>
      </c>
      <c r="N127" s="36" t="str">
        <f aca="false">IF(M127="Revenue","Revenue",IF(M127="Cost of Goods Sold","COGS",IF(M127="Expenditures","Expense",IF(M127="Other Revenue","Other Revenue",IF(M127="Other Expenditures","Other Expense",N126)))))</f>
        <v/>
      </c>
      <c r="O127" s="36" t="str">
        <f aca="false">IF(OR(M127="Revenue",M127="Cost of Goods Sold",M127="Expenditures",M127="Other Revenue",M127="Other Expenditures"),N127,IF(AND(LEN(M127)&gt;2,MID(M127,2,1)=" ",ISNUMBER(VALUE(LEFT(M127,1)))),M127,O126))</f>
        <v/>
      </c>
      <c r="P127" s="36" t="n">
        <f aca="false">IF(AND(M127&lt;&gt;"",ISNUMBER(K127),LEFT(M127,9)&lt;&gt;"Total for",M127&lt;&gt;"Gross Profit",M127&lt;&gt;"Net Operating Revenue",M127&lt;&gt;"Net Other Revenue",M127&lt;&gt;"Net Revenue"),1,0)</f>
        <v>0</v>
      </c>
      <c r="Q127" s="36" t="str">
        <f aca="false">IF(P127=1,IF(AND(LEN(M127)&gt;7,ISNUMBER(VALUE(LEFT(M127,6))),MID(M127,7,1)=" "),LEFT(M127,6),M127),"")</f>
        <v/>
      </c>
      <c r="V127" s="36" t="str">
        <f aca="false">TRIM(S127)</f>
        <v/>
      </c>
      <c r="W127" s="36" t="str">
        <f aca="false">IF(V127="Revenue","Revenue",IF(V127="Cost of Goods Sold","COGS",IF(V127="Expenditures","Expense",IF(V127="Other Revenue","Other Revenue",IF(V127="Other Expenditures","Other Expense",W126)))))</f>
        <v/>
      </c>
      <c r="X127" s="36" t="str">
        <f aca="false">IF(OR(V127="Revenue",V127="Cost of Goods Sold",V127="Expenditures",V127="Other Revenue",V127="Other Expenditures"),W127,IF(AND(LEN(V127)&gt;2,MID(V127,2,1)=" ",ISNUMBER(VALUE(LEFT(V127,1)))),V127,X126))</f>
        <v/>
      </c>
      <c r="Y127" s="36" t="n">
        <f aca="false">IF(AND(V127&lt;&gt;"",ISNUMBER(T127),LEFT(V127,9)&lt;&gt;"Total for",V127&lt;&gt;"Gross Profit",V127&lt;&gt;"Net Operating Revenue",V127&lt;&gt;"Net Other Revenue",V127&lt;&gt;"Net Revenue"),1,0)</f>
        <v>0</v>
      </c>
      <c r="Z127" s="36" t="str">
        <f aca="false">IF(Y127=1,IF(AND(LEN(V127)&gt;7,ISNUMBER(VALUE(LEFT(V127,6))),MID(V127,7,1)=" "),LEFT(V127,6),V127),"")</f>
        <v/>
      </c>
      <c r="AE127" s="36" t="str">
        <f aca="false">TRIM(AB127)</f>
        <v/>
      </c>
      <c r="AF127" s="36" t="str">
        <f aca="false">IF(AE127="Revenue","Revenue",IF(AE127="Cost of Goods Sold","COGS",IF(AE127="Expenditures","Expense",IF(AE127="Other Revenue","Other Revenue",IF(AE127="Other Expenditures","Other Expense",AF126)))))</f>
        <v/>
      </c>
      <c r="AG127" s="36" t="str">
        <f aca="false">IF(OR(AE127="Revenue",AE127="Cost of Goods Sold",AE127="Expenditures",AE127="Other Revenue",AE127="Other Expenditures"),AF127,IF(AND(LEN(AE127)&gt;2,MID(AE127,2,1)=" ",ISNUMBER(VALUE(LEFT(AE127,1)))),AE127,AG126))</f>
        <v/>
      </c>
      <c r="AH127" s="36" t="n">
        <f aca="false">IF(AND(AE127&lt;&gt;"",ISNUMBER(AC127),LEFT(AE127,9)&lt;&gt;"Total for",AE127&lt;&gt;"Gross Profit",AE127&lt;&gt;"Net Operating Revenue",AE127&lt;&gt;"Net Other Revenue",AE127&lt;&gt;"Net Revenue"),1,0)</f>
        <v>0</v>
      </c>
      <c r="AI127" s="36" t="str">
        <f aca="false">IF(AH127=1,IF(AND(LEN(AE127)&gt;7,ISNUMBER(VALUE(LEFT(AE127,6))),MID(AE127,7,1)=" "),LEFT(AE127,6),AE127),"")</f>
        <v/>
      </c>
      <c r="AN127" s="36" t="str">
        <f aca="false">TRIM(AK127)</f>
        <v/>
      </c>
      <c r="AO127" s="36" t="str">
        <f aca="false">IF(AN127="Revenue","Revenue",IF(AN127="Cost of Goods Sold","COGS",IF(AN127="Expenditures","Expense",IF(AN127="Other Revenue","Other Revenue",IF(AN127="Other Expenditures","Other Expense",AO126)))))</f>
        <v/>
      </c>
      <c r="AP127" s="36" t="str">
        <f aca="false">IF(OR(AN127="Revenue",AN127="Cost of Goods Sold",AN127="Expenditures",AN127="Other Revenue",AN127="Other Expenditures"),AO127,IF(AND(LEN(AN127)&gt;2,MID(AN127,2,1)=" ",ISNUMBER(VALUE(LEFT(AN127,1)))),AN127,AP126))</f>
        <v/>
      </c>
      <c r="AQ127" s="36" t="n">
        <f aca="false">IF(AND(AN127&lt;&gt;"",ISNUMBER(AL127),LEFT(AN127,9)&lt;&gt;"Total for",AN127&lt;&gt;"Gross Profit",AN127&lt;&gt;"Net Operating Revenue",AN127&lt;&gt;"Net Other Revenue",AN127&lt;&gt;"Net Revenue"),1,0)</f>
        <v>0</v>
      </c>
      <c r="AR127" s="36" t="str">
        <f aca="false">IF(AQ127=1,IF(AND(LEN(AN127)&gt;7,ISNUMBER(VALUE(LEFT(AN127,6))),MID(AN127,7,1)=" "),LEFT(AN127,6),AN127),"")</f>
        <v/>
      </c>
    </row>
    <row r="128" customFormat="false" ht="15" hidden="false" customHeight="false" outlineLevel="0" collapsed="false">
      <c r="D128" s="36" t="str">
        <f aca="false">TRIM(A128)</f>
        <v/>
      </c>
      <c r="E128" s="36" t="str">
        <f aca="false">IF(D128="Revenue","Revenue",IF(D128="Cost of Goods Sold","COGS",IF(D128="Expenditures","Expense",IF(D128="Other Revenue","Other Revenue",IF(D128="Other Expenditures","Other Expense",E127)))))</f>
        <v/>
      </c>
      <c r="F128" s="36" t="str">
        <f aca="false">IF(OR(D128="Revenue",D128="Cost of Goods Sold",D128="Expenditures",D128="Other Revenue",D128="Other Expenditures"),E128,IF(AND(LEN(D128)&gt;2,MID(D128,2,1)=" ",ISNUMBER(VALUE(LEFT(D128,1)))),D128,F127))</f>
        <v/>
      </c>
      <c r="G128" s="36" t="n">
        <f aca="false">IF(AND(D128&lt;&gt;"",ISNUMBER(B128),LEFT(D128,9)&lt;&gt;"Total for",D128&lt;&gt;"Gross Profit",D128&lt;&gt;"Net Operating Revenue",D128&lt;&gt;"Net Other Revenue",D128&lt;&gt;"Net Revenue"),1,0)</f>
        <v>0</v>
      </c>
      <c r="H128" s="36" t="str">
        <f aca="false">IF(G128=1,IF(AND(LEN(D128)&gt;7,ISNUMBER(VALUE(LEFT(D128,6))),MID(D128,7,1)=" "),LEFT(D128,6),D128),"")</f>
        <v/>
      </c>
      <c r="M128" s="36" t="str">
        <f aca="false">TRIM(J128)</f>
        <v/>
      </c>
      <c r="N128" s="36" t="str">
        <f aca="false">IF(M128="Revenue","Revenue",IF(M128="Cost of Goods Sold","COGS",IF(M128="Expenditures","Expense",IF(M128="Other Revenue","Other Revenue",IF(M128="Other Expenditures","Other Expense",N127)))))</f>
        <v/>
      </c>
      <c r="O128" s="36" t="str">
        <f aca="false">IF(OR(M128="Revenue",M128="Cost of Goods Sold",M128="Expenditures",M128="Other Revenue",M128="Other Expenditures"),N128,IF(AND(LEN(M128)&gt;2,MID(M128,2,1)=" ",ISNUMBER(VALUE(LEFT(M128,1)))),M128,O127))</f>
        <v/>
      </c>
      <c r="P128" s="36" t="n">
        <f aca="false">IF(AND(M128&lt;&gt;"",ISNUMBER(K128),LEFT(M128,9)&lt;&gt;"Total for",M128&lt;&gt;"Gross Profit",M128&lt;&gt;"Net Operating Revenue",M128&lt;&gt;"Net Other Revenue",M128&lt;&gt;"Net Revenue"),1,0)</f>
        <v>0</v>
      </c>
      <c r="Q128" s="36" t="str">
        <f aca="false">IF(P128=1,IF(AND(LEN(M128)&gt;7,ISNUMBER(VALUE(LEFT(M128,6))),MID(M128,7,1)=" "),LEFT(M128,6),M128),"")</f>
        <v/>
      </c>
      <c r="V128" s="36" t="str">
        <f aca="false">TRIM(S128)</f>
        <v/>
      </c>
      <c r="W128" s="36" t="str">
        <f aca="false">IF(V128="Revenue","Revenue",IF(V128="Cost of Goods Sold","COGS",IF(V128="Expenditures","Expense",IF(V128="Other Revenue","Other Revenue",IF(V128="Other Expenditures","Other Expense",W127)))))</f>
        <v/>
      </c>
      <c r="X128" s="36" t="str">
        <f aca="false">IF(OR(V128="Revenue",V128="Cost of Goods Sold",V128="Expenditures",V128="Other Revenue",V128="Other Expenditures"),W128,IF(AND(LEN(V128)&gt;2,MID(V128,2,1)=" ",ISNUMBER(VALUE(LEFT(V128,1)))),V128,X127))</f>
        <v/>
      </c>
      <c r="Y128" s="36" t="n">
        <f aca="false">IF(AND(V128&lt;&gt;"",ISNUMBER(T128),LEFT(V128,9)&lt;&gt;"Total for",V128&lt;&gt;"Gross Profit",V128&lt;&gt;"Net Operating Revenue",V128&lt;&gt;"Net Other Revenue",V128&lt;&gt;"Net Revenue"),1,0)</f>
        <v>0</v>
      </c>
      <c r="Z128" s="36" t="str">
        <f aca="false">IF(Y128=1,IF(AND(LEN(V128)&gt;7,ISNUMBER(VALUE(LEFT(V128,6))),MID(V128,7,1)=" "),LEFT(V128,6),V128),"")</f>
        <v/>
      </c>
      <c r="AE128" s="36" t="str">
        <f aca="false">TRIM(AB128)</f>
        <v/>
      </c>
      <c r="AF128" s="36" t="str">
        <f aca="false">IF(AE128="Revenue","Revenue",IF(AE128="Cost of Goods Sold","COGS",IF(AE128="Expenditures","Expense",IF(AE128="Other Revenue","Other Revenue",IF(AE128="Other Expenditures","Other Expense",AF127)))))</f>
        <v/>
      </c>
      <c r="AG128" s="36" t="str">
        <f aca="false">IF(OR(AE128="Revenue",AE128="Cost of Goods Sold",AE128="Expenditures",AE128="Other Revenue",AE128="Other Expenditures"),AF128,IF(AND(LEN(AE128)&gt;2,MID(AE128,2,1)=" ",ISNUMBER(VALUE(LEFT(AE128,1)))),AE128,AG127))</f>
        <v/>
      </c>
      <c r="AH128" s="36" t="n">
        <f aca="false">IF(AND(AE128&lt;&gt;"",ISNUMBER(AC128),LEFT(AE128,9)&lt;&gt;"Total for",AE128&lt;&gt;"Gross Profit",AE128&lt;&gt;"Net Operating Revenue",AE128&lt;&gt;"Net Other Revenue",AE128&lt;&gt;"Net Revenue"),1,0)</f>
        <v>0</v>
      </c>
      <c r="AI128" s="36" t="str">
        <f aca="false">IF(AH128=1,IF(AND(LEN(AE128)&gt;7,ISNUMBER(VALUE(LEFT(AE128,6))),MID(AE128,7,1)=" "),LEFT(AE128,6),AE128),"")</f>
        <v/>
      </c>
      <c r="AN128" s="36" t="str">
        <f aca="false">TRIM(AK128)</f>
        <v/>
      </c>
      <c r="AO128" s="36" t="str">
        <f aca="false">IF(AN128="Revenue","Revenue",IF(AN128="Cost of Goods Sold","COGS",IF(AN128="Expenditures","Expense",IF(AN128="Other Revenue","Other Revenue",IF(AN128="Other Expenditures","Other Expense",AO127)))))</f>
        <v/>
      </c>
      <c r="AP128" s="36" t="str">
        <f aca="false">IF(OR(AN128="Revenue",AN128="Cost of Goods Sold",AN128="Expenditures",AN128="Other Revenue",AN128="Other Expenditures"),AO128,IF(AND(LEN(AN128)&gt;2,MID(AN128,2,1)=" ",ISNUMBER(VALUE(LEFT(AN128,1)))),AN128,AP127))</f>
        <v/>
      </c>
      <c r="AQ128" s="36" t="n">
        <f aca="false">IF(AND(AN128&lt;&gt;"",ISNUMBER(AL128),LEFT(AN128,9)&lt;&gt;"Total for",AN128&lt;&gt;"Gross Profit",AN128&lt;&gt;"Net Operating Revenue",AN128&lt;&gt;"Net Other Revenue",AN128&lt;&gt;"Net Revenue"),1,0)</f>
        <v>0</v>
      </c>
      <c r="AR128" s="36" t="str">
        <f aca="false">IF(AQ128=1,IF(AND(LEN(AN128)&gt;7,ISNUMBER(VALUE(LEFT(AN128,6))),MID(AN128,7,1)=" "),LEFT(AN128,6),AN128),"")</f>
        <v/>
      </c>
    </row>
    <row r="129" customFormat="false" ht="15" hidden="false" customHeight="false" outlineLevel="0" collapsed="false">
      <c r="D129" s="36" t="str">
        <f aca="false">TRIM(A129)</f>
        <v/>
      </c>
      <c r="E129" s="36" t="str">
        <f aca="false">IF(D129="Revenue","Revenue",IF(D129="Cost of Goods Sold","COGS",IF(D129="Expenditures","Expense",IF(D129="Other Revenue","Other Revenue",IF(D129="Other Expenditures","Other Expense",E128)))))</f>
        <v/>
      </c>
      <c r="F129" s="36" t="str">
        <f aca="false">IF(OR(D129="Revenue",D129="Cost of Goods Sold",D129="Expenditures",D129="Other Revenue",D129="Other Expenditures"),E129,IF(AND(LEN(D129)&gt;2,MID(D129,2,1)=" ",ISNUMBER(VALUE(LEFT(D129,1)))),D129,F128))</f>
        <v/>
      </c>
      <c r="G129" s="36" t="n">
        <f aca="false">IF(AND(D129&lt;&gt;"",ISNUMBER(B129),LEFT(D129,9)&lt;&gt;"Total for",D129&lt;&gt;"Gross Profit",D129&lt;&gt;"Net Operating Revenue",D129&lt;&gt;"Net Other Revenue",D129&lt;&gt;"Net Revenue"),1,0)</f>
        <v>0</v>
      </c>
      <c r="H129" s="36" t="str">
        <f aca="false">IF(G129=1,IF(AND(LEN(D129)&gt;7,ISNUMBER(VALUE(LEFT(D129,6))),MID(D129,7,1)=" "),LEFT(D129,6),D129),"")</f>
        <v/>
      </c>
      <c r="M129" s="36" t="str">
        <f aca="false">TRIM(J129)</f>
        <v/>
      </c>
      <c r="N129" s="36" t="str">
        <f aca="false">IF(M129="Revenue","Revenue",IF(M129="Cost of Goods Sold","COGS",IF(M129="Expenditures","Expense",IF(M129="Other Revenue","Other Revenue",IF(M129="Other Expenditures","Other Expense",N128)))))</f>
        <v/>
      </c>
      <c r="O129" s="36" t="str">
        <f aca="false">IF(OR(M129="Revenue",M129="Cost of Goods Sold",M129="Expenditures",M129="Other Revenue",M129="Other Expenditures"),N129,IF(AND(LEN(M129)&gt;2,MID(M129,2,1)=" ",ISNUMBER(VALUE(LEFT(M129,1)))),M129,O128))</f>
        <v/>
      </c>
      <c r="P129" s="36" t="n">
        <f aca="false">IF(AND(M129&lt;&gt;"",ISNUMBER(K129),LEFT(M129,9)&lt;&gt;"Total for",M129&lt;&gt;"Gross Profit",M129&lt;&gt;"Net Operating Revenue",M129&lt;&gt;"Net Other Revenue",M129&lt;&gt;"Net Revenue"),1,0)</f>
        <v>0</v>
      </c>
      <c r="Q129" s="36" t="str">
        <f aca="false">IF(P129=1,IF(AND(LEN(M129)&gt;7,ISNUMBER(VALUE(LEFT(M129,6))),MID(M129,7,1)=" "),LEFT(M129,6),M129),"")</f>
        <v/>
      </c>
      <c r="V129" s="36" t="str">
        <f aca="false">TRIM(S129)</f>
        <v/>
      </c>
      <c r="W129" s="36" t="str">
        <f aca="false">IF(V129="Revenue","Revenue",IF(V129="Cost of Goods Sold","COGS",IF(V129="Expenditures","Expense",IF(V129="Other Revenue","Other Revenue",IF(V129="Other Expenditures","Other Expense",W128)))))</f>
        <v/>
      </c>
      <c r="X129" s="36" t="str">
        <f aca="false">IF(OR(V129="Revenue",V129="Cost of Goods Sold",V129="Expenditures",V129="Other Revenue",V129="Other Expenditures"),W129,IF(AND(LEN(V129)&gt;2,MID(V129,2,1)=" ",ISNUMBER(VALUE(LEFT(V129,1)))),V129,X128))</f>
        <v/>
      </c>
      <c r="Y129" s="36" t="n">
        <f aca="false">IF(AND(V129&lt;&gt;"",ISNUMBER(T129),LEFT(V129,9)&lt;&gt;"Total for",V129&lt;&gt;"Gross Profit",V129&lt;&gt;"Net Operating Revenue",V129&lt;&gt;"Net Other Revenue",V129&lt;&gt;"Net Revenue"),1,0)</f>
        <v>0</v>
      </c>
      <c r="Z129" s="36" t="str">
        <f aca="false">IF(Y129=1,IF(AND(LEN(V129)&gt;7,ISNUMBER(VALUE(LEFT(V129,6))),MID(V129,7,1)=" "),LEFT(V129,6),V129),"")</f>
        <v/>
      </c>
      <c r="AE129" s="36" t="str">
        <f aca="false">TRIM(AB129)</f>
        <v/>
      </c>
      <c r="AF129" s="36" t="str">
        <f aca="false">IF(AE129="Revenue","Revenue",IF(AE129="Cost of Goods Sold","COGS",IF(AE129="Expenditures","Expense",IF(AE129="Other Revenue","Other Revenue",IF(AE129="Other Expenditures","Other Expense",AF128)))))</f>
        <v/>
      </c>
      <c r="AG129" s="36" t="str">
        <f aca="false">IF(OR(AE129="Revenue",AE129="Cost of Goods Sold",AE129="Expenditures",AE129="Other Revenue",AE129="Other Expenditures"),AF129,IF(AND(LEN(AE129)&gt;2,MID(AE129,2,1)=" ",ISNUMBER(VALUE(LEFT(AE129,1)))),AE129,AG128))</f>
        <v/>
      </c>
      <c r="AH129" s="36" t="n">
        <f aca="false">IF(AND(AE129&lt;&gt;"",ISNUMBER(AC129),LEFT(AE129,9)&lt;&gt;"Total for",AE129&lt;&gt;"Gross Profit",AE129&lt;&gt;"Net Operating Revenue",AE129&lt;&gt;"Net Other Revenue",AE129&lt;&gt;"Net Revenue"),1,0)</f>
        <v>0</v>
      </c>
      <c r="AI129" s="36" t="str">
        <f aca="false">IF(AH129=1,IF(AND(LEN(AE129)&gt;7,ISNUMBER(VALUE(LEFT(AE129,6))),MID(AE129,7,1)=" "),LEFT(AE129,6),AE129),"")</f>
        <v/>
      </c>
      <c r="AN129" s="36" t="str">
        <f aca="false">TRIM(AK129)</f>
        <v/>
      </c>
      <c r="AO129" s="36" t="str">
        <f aca="false">IF(AN129="Revenue","Revenue",IF(AN129="Cost of Goods Sold","COGS",IF(AN129="Expenditures","Expense",IF(AN129="Other Revenue","Other Revenue",IF(AN129="Other Expenditures","Other Expense",AO128)))))</f>
        <v/>
      </c>
      <c r="AP129" s="36" t="str">
        <f aca="false">IF(OR(AN129="Revenue",AN129="Cost of Goods Sold",AN129="Expenditures",AN129="Other Revenue",AN129="Other Expenditures"),AO129,IF(AND(LEN(AN129)&gt;2,MID(AN129,2,1)=" ",ISNUMBER(VALUE(LEFT(AN129,1)))),AN129,AP128))</f>
        <v/>
      </c>
      <c r="AQ129" s="36" t="n">
        <f aca="false">IF(AND(AN129&lt;&gt;"",ISNUMBER(AL129),LEFT(AN129,9)&lt;&gt;"Total for",AN129&lt;&gt;"Gross Profit",AN129&lt;&gt;"Net Operating Revenue",AN129&lt;&gt;"Net Other Revenue",AN129&lt;&gt;"Net Revenue"),1,0)</f>
        <v>0</v>
      </c>
      <c r="AR129" s="36" t="str">
        <f aca="false">IF(AQ129=1,IF(AND(LEN(AN129)&gt;7,ISNUMBER(VALUE(LEFT(AN129,6))),MID(AN129,7,1)=" "),LEFT(AN129,6),AN129),"")</f>
        <v/>
      </c>
    </row>
    <row r="130" customFormat="false" ht="15" hidden="false" customHeight="false" outlineLevel="0" collapsed="false">
      <c r="D130" s="36" t="str">
        <f aca="false">TRIM(A130)</f>
        <v/>
      </c>
      <c r="E130" s="36" t="str">
        <f aca="false">IF(D130="Revenue","Revenue",IF(D130="Cost of Goods Sold","COGS",IF(D130="Expenditures","Expense",IF(D130="Other Revenue","Other Revenue",IF(D130="Other Expenditures","Other Expense",E129)))))</f>
        <v/>
      </c>
      <c r="F130" s="36" t="str">
        <f aca="false">IF(OR(D130="Revenue",D130="Cost of Goods Sold",D130="Expenditures",D130="Other Revenue",D130="Other Expenditures"),E130,IF(AND(LEN(D130)&gt;2,MID(D130,2,1)=" ",ISNUMBER(VALUE(LEFT(D130,1)))),D130,F129))</f>
        <v/>
      </c>
      <c r="G130" s="36" t="n">
        <f aca="false">IF(AND(D130&lt;&gt;"",ISNUMBER(B130),LEFT(D130,9)&lt;&gt;"Total for",D130&lt;&gt;"Gross Profit",D130&lt;&gt;"Net Operating Revenue",D130&lt;&gt;"Net Other Revenue",D130&lt;&gt;"Net Revenue"),1,0)</f>
        <v>0</v>
      </c>
      <c r="H130" s="36" t="str">
        <f aca="false">IF(G130=1,IF(AND(LEN(D130)&gt;7,ISNUMBER(VALUE(LEFT(D130,6))),MID(D130,7,1)=" "),LEFT(D130,6),D130),"")</f>
        <v/>
      </c>
      <c r="M130" s="36" t="str">
        <f aca="false">TRIM(J130)</f>
        <v/>
      </c>
      <c r="N130" s="36" t="str">
        <f aca="false">IF(M130="Revenue","Revenue",IF(M130="Cost of Goods Sold","COGS",IF(M130="Expenditures","Expense",IF(M130="Other Revenue","Other Revenue",IF(M130="Other Expenditures","Other Expense",N129)))))</f>
        <v/>
      </c>
      <c r="O130" s="36" t="str">
        <f aca="false">IF(OR(M130="Revenue",M130="Cost of Goods Sold",M130="Expenditures",M130="Other Revenue",M130="Other Expenditures"),N130,IF(AND(LEN(M130)&gt;2,MID(M130,2,1)=" ",ISNUMBER(VALUE(LEFT(M130,1)))),M130,O129))</f>
        <v/>
      </c>
      <c r="P130" s="36" t="n">
        <f aca="false">IF(AND(M130&lt;&gt;"",ISNUMBER(K130),LEFT(M130,9)&lt;&gt;"Total for",M130&lt;&gt;"Gross Profit",M130&lt;&gt;"Net Operating Revenue",M130&lt;&gt;"Net Other Revenue",M130&lt;&gt;"Net Revenue"),1,0)</f>
        <v>0</v>
      </c>
      <c r="Q130" s="36" t="str">
        <f aca="false">IF(P130=1,IF(AND(LEN(M130)&gt;7,ISNUMBER(VALUE(LEFT(M130,6))),MID(M130,7,1)=" "),LEFT(M130,6),M130),"")</f>
        <v/>
      </c>
      <c r="V130" s="36" t="str">
        <f aca="false">TRIM(S130)</f>
        <v/>
      </c>
      <c r="W130" s="36" t="str">
        <f aca="false">IF(V130="Revenue","Revenue",IF(V130="Cost of Goods Sold","COGS",IF(V130="Expenditures","Expense",IF(V130="Other Revenue","Other Revenue",IF(V130="Other Expenditures","Other Expense",W129)))))</f>
        <v/>
      </c>
      <c r="X130" s="36" t="str">
        <f aca="false">IF(OR(V130="Revenue",V130="Cost of Goods Sold",V130="Expenditures",V130="Other Revenue",V130="Other Expenditures"),W130,IF(AND(LEN(V130)&gt;2,MID(V130,2,1)=" ",ISNUMBER(VALUE(LEFT(V130,1)))),V130,X129))</f>
        <v/>
      </c>
      <c r="Y130" s="36" t="n">
        <f aca="false">IF(AND(V130&lt;&gt;"",ISNUMBER(T130),LEFT(V130,9)&lt;&gt;"Total for",V130&lt;&gt;"Gross Profit",V130&lt;&gt;"Net Operating Revenue",V130&lt;&gt;"Net Other Revenue",V130&lt;&gt;"Net Revenue"),1,0)</f>
        <v>0</v>
      </c>
      <c r="Z130" s="36" t="str">
        <f aca="false">IF(Y130=1,IF(AND(LEN(V130)&gt;7,ISNUMBER(VALUE(LEFT(V130,6))),MID(V130,7,1)=" "),LEFT(V130,6),V130),"")</f>
        <v/>
      </c>
      <c r="AE130" s="36" t="str">
        <f aca="false">TRIM(AB130)</f>
        <v/>
      </c>
      <c r="AF130" s="36" t="str">
        <f aca="false">IF(AE130="Revenue","Revenue",IF(AE130="Cost of Goods Sold","COGS",IF(AE130="Expenditures","Expense",IF(AE130="Other Revenue","Other Revenue",IF(AE130="Other Expenditures","Other Expense",AF129)))))</f>
        <v/>
      </c>
      <c r="AG130" s="36" t="str">
        <f aca="false">IF(OR(AE130="Revenue",AE130="Cost of Goods Sold",AE130="Expenditures",AE130="Other Revenue",AE130="Other Expenditures"),AF130,IF(AND(LEN(AE130)&gt;2,MID(AE130,2,1)=" ",ISNUMBER(VALUE(LEFT(AE130,1)))),AE130,AG129))</f>
        <v/>
      </c>
      <c r="AH130" s="36" t="n">
        <f aca="false">IF(AND(AE130&lt;&gt;"",ISNUMBER(AC130),LEFT(AE130,9)&lt;&gt;"Total for",AE130&lt;&gt;"Gross Profit",AE130&lt;&gt;"Net Operating Revenue",AE130&lt;&gt;"Net Other Revenue",AE130&lt;&gt;"Net Revenue"),1,0)</f>
        <v>0</v>
      </c>
      <c r="AI130" s="36" t="str">
        <f aca="false">IF(AH130=1,IF(AND(LEN(AE130)&gt;7,ISNUMBER(VALUE(LEFT(AE130,6))),MID(AE130,7,1)=" "),LEFT(AE130,6),AE130),"")</f>
        <v/>
      </c>
      <c r="AN130" s="36" t="str">
        <f aca="false">TRIM(AK130)</f>
        <v/>
      </c>
      <c r="AO130" s="36" t="str">
        <f aca="false">IF(AN130="Revenue","Revenue",IF(AN130="Cost of Goods Sold","COGS",IF(AN130="Expenditures","Expense",IF(AN130="Other Revenue","Other Revenue",IF(AN130="Other Expenditures","Other Expense",AO129)))))</f>
        <v/>
      </c>
      <c r="AP130" s="36" t="str">
        <f aca="false">IF(OR(AN130="Revenue",AN130="Cost of Goods Sold",AN130="Expenditures",AN130="Other Revenue",AN130="Other Expenditures"),AO130,IF(AND(LEN(AN130)&gt;2,MID(AN130,2,1)=" ",ISNUMBER(VALUE(LEFT(AN130,1)))),AN130,AP129))</f>
        <v/>
      </c>
      <c r="AQ130" s="36" t="n">
        <f aca="false">IF(AND(AN130&lt;&gt;"",ISNUMBER(AL130),LEFT(AN130,9)&lt;&gt;"Total for",AN130&lt;&gt;"Gross Profit",AN130&lt;&gt;"Net Operating Revenue",AN130&lt;&gt;"Net Other Revenue",AN130&lt;&gt;"Net Revenue"),1,0)</f>
        <v>0</v>
      </c>
      <c r="AR130" s="36" t="str">
        <f aca="false">IF(AQ130=1,IF(AND(LEN(AN130)&gt;7,ISNUMBER(VALUE(LEFT(AN130,6))),MID(AN130,7,1)=" "),LEFT(AN130,6),AN130),"")</f>
        <v/>
      </c>
    </row>
    <row r="131" customFormat="false" ht="15" hidden="false" customHeight="false" outlineLevel="0" collapsed="false">
      <c r="D131" s="36" t="str">
        <f aca="false">TRIM(A131)</f>
        <v/>
      </c>
      <c r="E131" s="36" t="str">
        <f aca="false">IF(D131="Revenue","Revenue",IF(D131="Cost of Goods Sold","COGS",IF(D131="Expenditures","Expense",IF(D131="Other Revenue","Other Revenue",IF(D131="Other Expenditures","Other Expense",E130)))))</f>
        <v/>
      </c>
      <c r="F131" s="36" t="str">
        <f aca="false">IF(OR(D131="Revenue",D131="Cost of Goods Sold",D131="Expenditures",D131="Other Revenue",D131="Other Expenditures"),E131,IF(AND(LEN(D131)&gt;2,MID(D131,2,1)=" ",ISNUMBER(VALUE(LEFT(D131,1)))),D131,F130))</f>
        <v/>
      </c>
      <c r="G131" s="36" t="n">
        <f aca="false">IF(AND(D131&lt;&gt;"",ISNUMBER(B131),LEFT(D131,9)&lt;&gt;"Total for",D131&lt;&gt;"Gross Profit",D131&lt;&gt;"Net Operating Revenue",D131&lt;&gt;"Net Other Revenue",D131&lt;&gt;"Net Revenue"),1,0)</f>
        <v>0</v>
      </c>
      <c r="H131" s="36" t="str">
        <f aca="false">IF(G131=1,IF(AND(LEN(D131)&gt;7,ISNUMBER(VALUE(LEFT(D131,6))),MID(D131,7,1)=" "),LEFT(D131,6),D131),"")</f>
        <v/>
      </c>
      <c r="M131" s="36" t="str">
        <f aca="false">TRIM(J131)</f>
        <v/>
      </c>
      <c r="N131" s="36" t="str">
        <f aca="false">IF(M131="Revenue","Revenue",IF(M131="Cost of Goods Sold","COGS",IF(M131="Expenditures","Expense",IF(M131="Other Revenue","Other Revenue",IF(M131="Other Expenditures","Other Expense",N130)))))</f>
        <v/>
      </c>
      <c r="O131" s="36" t="str">
        <f aca="false">IF(OR(M131="Revenue",M131="Cost of Goods Sold",M131="Expenditures",M131="Other Revenue",M131="Other Expenditures"),N131,IF(AND(LEN(M131)&gt;2,MID(M131,2,1)=" ",ISNUMBER(VALUE(LEFT(M131,1)))),M131,O130))</f>
        <v/>
      </c>
      <c r="P131" s="36" t="n">
        <f aca="false">IF(AND(M131&lt;&gt;"",ISNUMBER(K131),LEFT(M131,9)&lt;&gt;"Total for",M131&lt;&gt;"Gross Profit",M131&lt;&gt;"Net Operating Revenue",M131&lt;&gt;"Net Other Revenue",M131&lt;&gt;"Net Revenue"),1,0)</f>
        <v>0</v>
      </c>
      <c r="Q131" s="36" t="str">
        <f aca="false">IF(P131=1,IF(AND(LEN(M131)&gt;7,ISNUMBER(VALUE(LEFT(M131,6))),MID(M131,7,1)=" "),LEFT(M131,6),M131),"")</f>
        <v/>
      </c>
      <c r="V131" s="36" t="str">
        <f aca="false">TRIM(S131)</f>
        <v/>
      </c>
      <c r="W131" s="36" t="str">
        <f aca="false">IF(V131="Revenue","Revenue",IF(V131="Cost of Goods Sold","COGS",IF(V131="Expenditures","Expense",IF(V131="Other Revenue","Other Revenue",IF(V131="Other Expenditures","Other Expense",W130)))))</f>
        <v/>
      </c>
      <c r="X131" s="36" t="str">
        <f aca="false">IF(OR(V131="Revenue",V131="Cost of Goods Sold",V131="Expenditures",V131="Other Revenue",V131="Other Expenditures"),W131,IF(AND(LEN(V131)&gt;2,MID(V131,2,1)=" ",ISNUMBER(VALUE(LEFT(V131,1)))),V131,X130))</f>
        <v/>
      </c>
      <c r="Y131" s="36" t="n">
        <f aca="false">IF(AND(V131&lt;&gt;"",ISNUMBER(T131),LEFT(V131,9)&lt;&gt;"Total for",V131&lt;&gt;"Gross Profit",V131&lt;&gt;"Net Operating Revenue",V131&lt;&gt;"Net Other Revenue",V131&lt;&gt;"Net Revenue"),1,0)</f>
        <v>0</v>
      </c>
      <c r="Z131" s="36" t="str">
        <f aca="false">IF(Y131=1,IF(AND(LEN(V131)&gt;7,ISNUMBER(VALUE(LEFT(V131,6))),MID(V131,7,1)=" "),LEFT(V131,6),V131),"")</f>
        <v/>
      </c>
      <c r="AE131" s="36" t="str">
        <f aca="false">TRIM(AB131)</f>
        <v/>
      </c>
      <c r="AF131" s="36" t="str">
        <f aca="false">IF(AE131="Revenue","Revenue",IF(AE131="Cost of Goods Sold","COGS",IF(AE131="Expenditures","Expense",IF(AE131="Other Revenue","Other Revenue",IF(AE131="Other Expenditures","Other Expense",AF130)))))</f>
        <v/>
      </c>
      <c r="AG131" s="36" t="str">
        <f aca="false">IF(OR(AE131="Revenue",AE131="Cost of Goods Sold",AE131="Expenditures",AE131="Other Revenue",AE131="Other Expenditures"),AF131,IF(AND(LEN(AE131)&gt;2,MID(AE131,2,1)=" ",ISNUMBER(VALUE(LEFT(AE131,1)))),AE131,AG130))</f>
        <v/>
      </c>
      <c r="AH131" s="36" t="n">
        <f aca="false">IF(AND(AE131&lt;&gt;"",ISNUMBER(AC131),LEFT(AE131,9)&lt;&gt;"Total for",AE131&lt;&gt;"Gross Profit",AE131&lt;&gt;"Net Operating Revenue",AE131&lt;&gt;"Net Other Revenue",AE131&lt;&gt;"Net Revenue"),1,0)</f>
        <v>0</v>
      </c>
      <c r="AI131" s="36" t="str">
        <f aca="false">IF(AH131=1,IF(AND(LEN(AE131)&gt;7,ISNUMBER(VALUE(LEFT(AE131,6))),MID(AE131,7,1)=" "),LEFT(AE131,6),AE131),"")</f>
        <v/>
      </c>
      <c r="AN131" s="36" t="str">
        <f aca="false">TRIM(AK131)</f>
        <v/>
      </c>
      <c r="AO131" s="36" t="str">
        <f aca="false">IF(AN131="Revenue","Revenue",IF(AN131="Cost of Goods Sold","COGS",IF(AN131="Expenditures","Expense",IF(AN131="Other Revenue","Other Revenue",IF(AN131="Other Expenditures","Other Expense",AO130)))))</f>
        <v/>
      </c>
      <c r="AP131" s="36" t="str">
        <f aca="false">IF(OR(AN131="Revenue",AN131="Cost of Goods Sold",AN131="Expenditures",AN131="Other Revenue",AN131="Other Expenditures"),AO131,IF(AND(LEN(AN131)&gt;2,MID(AN131,2,1)=" ",ISNUMBER(VALUE(LEFT(AN131,1)))),AN131,AP130))</f>
        <v/>
      </c>
      <c r="AQ131" s="36" t="n">
        <f aca="false">IF(AND(AN131&lt;&gt;"",ISNUMBER(AL131),LEFT(AN131,9)&lt;&gt;"Total for",AN131&lt;&gt;"Gross Profit",AN131&lt;&gt;"Net Operating Revenue",AN131&lt;&gt;"Net Other Revenue",AN131&lt;&gt;"Net Revenue"),1,0)</f>
        <v>0</v>
      </c>
      <c r="AR131" s="36" t="str">
        <f aca="false">IF(AQ131=1,IF(AND(LEN(AN131)&gt;7,ISNUMBER(VALUE(LEFT(AN131,6))),MID(AN131,7,1)=" "),LEFT(AN131,6),AN131),"")</f>
        <v/>
      </c>
    </row>
    <row r="132" customFormat="false" ht="15" hidden="false" customHeight="false" outlineLevel="0" collapsed="false">
      <c r="D132" s="36" t="str">
        <f aca="false">TRIM(A132)</f>
        <v/>
      </c>
      <c r="E132" s="36" t="str">
        <f aca="false">IF(D132="Revenue","Revenue",IF(D132="Cost of Goods Sold","COGS",IF(D132="Expenditures","Expense",IF(D132="Other Revenue","Other Revenue",IF(D132="Other Expenditures","Other Expense",E131)))))</f>
        <v/>
      </c>
      <c r="F132" s="36" t="str">
        <f aca="false">IF(OR(D132="Revenue",D132="Cost of Goods Sold",D132="Expenditures",D132="Other Revenue",D132="Other Expenditures"),E132,IF(AND(LEN(D132)&gt;2,MID(D132,2,1)=" ",ISNUMBER(VALUE(LEFT(D132,1)))),D132,F131))</f>
        <v/>
      </c>
      <c r="G132" s="36" t="n">
        <f aca="false">IF(AND(D132&lt;&gt;"",ISNUMBER(B132),LEFT(D132,9)&lt;&gt;"Total for",D132&lt;&gt;"Gross Profit",D132&lt;&gt;"Net Operating Revenue",D132&lt;&gt;"Net Other Revenue",D132&lt;&gt;"Net Revenue"),1,0)</f>
        <v>0</v>
      </c>
      <c r="H132" s="36" t="str">
        <f aca="false">IF(G132=1,IF(AND(LEN(D132)&gt;7,ISNUMBER(VALUE(LEFT(D132,6))),MID(D132,7,1)=" "),LEFT(D132,6),D132),"")</f>
        <v/>
      </c>
      <c r="M132" s="36" t="str">
        <f aca="false">TRIM(J132)</f>
        <v/>
      </c>
      <c r="N132" s="36" t="str">
        <f aca="false">IF(M132="Revenue","Revenue",IF(M132="Cost of Goods Sold","COGS",IF(M132="Expenditures","Expense",IF(M132="Other Revenue","Other Revenue",IF(M132="Other Expenditures","Other Expense",N131)))))</f>
        <v/>
      </c>
      <c r="O132" s="36" t="str">
        <f aca="false">IF(OR(M132="Revenue",M132="Cost of Goods Sold",M132="Expenditures",M132="Other Revenue",M132="Other Expenditures"),N132,IF(AND(LEN(M132)&gt;2,MID(M132,2,1)=" ",ISNUMBER(VALUE(LEFT(M132,1)))),M132,O131))</f>
        <v/>
      </c>
      <c r="P132" s="36" t="n">
        <f aca="false">IF(AND(M132&lt;&gt;"",ISNUMBER(K132),LEFT(M132,9)&lt;&gt;"Total for",M132&lt;&gt;"Gross Profit",M132&lt;&gt;"Net Operating Revenue",M132&lt;&gt;"Net Other Revenue",M132&lt;&gt;"Net Revenue"),1,0)</f>
        <v>0</v>
      </c>
      <c r="Q132" s="36" t="str">
        <f aca="false">IF(P132=1,IF(AND(LEN(M132)&gt;7,ISNUMBER(VALUE(LEFT(M132,6))),MID(M132,7,1)=" "),LEFT(M132,6),M132),"")</f>
        <v/>
      </c>
      <c r="V132" s="36" t="str">
        <f aca="false">TRIM(S132)</f>
        <v/>
      </c>
      <c r="W132" s="36" t="str">
        <f aca="false">IF(V132="Revenue","Revenue",IF(V132="Cost of Goods Sold","COGS",IF(V132="Expenditures","Expense",IF(V132="Other Revenue","Other Revenue",IF(V132="Other Expenditures","Other Expense",W131)))))</f>
        <v/>
      </c>
      <c r="X132" s="36" t="str">
        <f aca="false">IF(OR(V132="Revenue",V132="Cost of Goods Sold",V132="Expenditures",V132="Other Revenue",V132="Other Expenditures"),W132,IF(AND(LEN(V132)&gt;2,MID(V132,2,1)=" ",ISNUMBER(VALUE(LEFT(V132,1)))),V132,X131))</f>
        <v/>
      </c>
      <c r="Y132" s="36" t="n">
        <f aca="false">IF(AND(V132&lt;&gt;"",ISNUMBER(T132),LEFT(V132,9)&lt;&gt;"Total for",V132&lt;&gt;"Gross Profit",V132&lt;&gt;"Net Operating Revenue",V132&lt;&gt;"Net Other Revenue",V132&lt;&gt;"Net Revenue"),1,0)</f>
        <v>0</v>
      </c>
      <c r="Z132" s="36" t="str">
        <f aca="false">IF(Y132=1,IF(AND(LEN(V132)&gt;7,ISNUMBER(VALUE(LEFT(V132,6))),MID(V132,7,1)=" "),LEFT(V132,6),V132),"")</f>
        <v/>
      </c>
      <c r="AE132" s="36" t="str">
        <f aca="false">TRIM(AB132)</f>
        <v/>
      </c>
      <c r="AF132" s="36" t="str">
        <f aca="false">IF(AE132="Revenue","Revenue",IF(AE132="Cost of Goods Sold","COGS",IF(AE132="Expenditures","Expense",IF(AE132="Other Revenue","Other Revenue",IF(AE132="Other Expenditures","Other Expense",AF131)))))</f>
        <v/>
      </c>
      <c r="AG132" s="36" t="str">
        <f aca="false">IF(OR(AE132="Revenue",AE132="Cost of Goods Sold",AE132="Expenditures",AE132="Other Revenue",AE132="Other Expenditures"),AF132,IF(AND(LEN(AE132)&gt;2,MID(AE132,2,1)=" ",ISNUMBER(VALUE(LEFT(AE132,1)))),AE132,AG131))</f>
        <v/>
      </c>
      <c r="AH132" s="36" t="n">
        <f aca="false">IF(AND(AE132&lt;&gt;"",ISNUMBER(AC132),LEFT(AE132,9)&lt;&gt;"Total for",AE132&lt;&gt;"Gross Profit",AE132&lt;&gt;"Net Operating Revenue",AE132&lt;&gt;"Net Other Revenue",AE132&lt;&gt;"Net Revenue"),1,0)</f>
        <v>0</v>
      </c>
      <c r="AI132" s="36" t="str">
        <f aca="false">IF(AH132=1,IF(AND(LEN(AE132)&gt;7,ISNUMBER(VALUE(LEFT(AE132,6))),MID(AE132,7,1)=" "),LEFT(AE132,6),AE132),"")</f>
        <v/>
      </c>
      <c r="AN132" s="36" t="str">
        <f aca="false">TRIM(AK132)</f>
        <v/>
      </c>
      <c r="AO132" s="36" t="str">
        <f aca="false">IF(AN132="Revenue","Revenue",IF(AN132="Cost of Goods Sold","COGS",IF(AN132="Expenditures","Expense",IF(AN132="Other Revenue","Other Revenue",IF(AN132="Other Expenditures","Other Expense",AO131)))))</f>
        <v/>
      </c>
      <c r="AP132" s="36" t="str">
        <f aca="false">IF(OR(AN132="Revenue",AN132="Cost of Goods Sold",AN132="Expenditures",AN132="Other Revenue",AN132="Other Expenditures"),AO132,IF(AND(LEN(AN132)&gt;2,MID(AN132,2,1)=" ",ISNUMBER(VALUE(LEFT(AN132,1)))),AN132,AP131))</f>
        <v/>
      </c>
      <c r="AQ132" s="36" t="n">
        <f aca="false">IF(AND(AN132&lt;&gt;"",ISNUMBER(AL132),LEFT(AN132,9)&lt;&gt;"Total for",AN132&lt;&gt;"Gross Profit",AN132&lt;&gt;"Net Operating Revenue",AN132&lt;&gt;"Net Other Revenue",AN132&lt;&gt;"Net Revenue"),1,0)</f>
        <v>0</v>
      </c>
      <c r="AR132" s="36" t="str">
        <f aca="false">IF(AQ132=1,IF(AND(LEN(AN132)&gt;7,ISNUMBER(VALUE(LEFT(AN132,6))),MID(AN132,7,1)=" "),LEFT(AN132,6),AN132),"")</f>
        <v/>
      </c>
    </row>
    <row r="133" customFormat="false" ht="15" hidden="false" customHeight="false" outlineLevel="0" collapsed="false">
      <c r="D133" s="36" t="str">
        <f aca="false">TRIM(A133)</f>
        <v/>
      </c>
      <c r="E133" s="36" t="str">
        <f aca="false">IF(D133="Revenue","Revenue",IF(D133="Cost of Goods Sold","COGS",IF(D133="Expenditures","Expense",IF(D133="Other Revenue","Other Revenue",IF(D133="Other Expenditures","Other Expense",E132)))))</f>
        <v/>
      </c>
      <c r="F133" s="36" t="str">
        <f aca="false">IF(OR(D133="Revenue",D133="Cost of Goods Sold",D133="Expenditures",D133="Other Revenue",D133="Other Expenditures"),E133,IF(AND(LEN(D133)&gt;2,MID(D133,2,1)=" ",ISNUMBER(VALUE(LEFT(D133,1)))),D133,F132))</f>
        <v/>
      </c>
      <c r="G133" s="36" t="n">
        <f aca="false">IF(AND(D133&lt;&gt;"",ISNUMBER(B133),LEFT(D133,9)&lt;&gt;"Total for",D133&lt;&gt;"Gross Profit",D133&lt;&gt;"Net Operating Revenue",D133&lt;&gt;"Net Other Revenue",D133&lt;&gt;"Net Revenue"),1,0)</f>
        <v>0</v>
      </c>
      <c r="H133" s="36" t="str">
        <f aca="false">IF(G133=1,IF(AND(LEN(D133)&gt;7,ISNUMBER(VALUE(LEFT(D133,6))),MID(D133,7,1)=" "),LEFT(D133,6),D133),"")</f>
        <v/>
      </c>
      <c r="M133" s="36" t="str">
        <f aca="false">TRIM(J133)</f>
        <v/>
      </c>
      <c r="N133" s="36" t="str">
        <f aca="false">IF(M133="Revenue","Revenue",IF(M133="Cost of Goods Sold","COGS",IF(M133="Expenditures","Expense",IF(M133="Other Revenue","Other Revenue",IF(M133="Other Expenditures","Other Expense",N132)))))</f>
        <v/>
      </c>
      <c r="O133" s="36" t="str">
        <f aca="false">IF(OR(M133="Revenue",M133="Cost of Goods Sold",M133="Expenditures",M133="Other Revenue",M133="Other Expenditures"),N133,IF(AND(LEN(M133)&gt;2,MID(M133,2,1)=" ",ISNUMBER(VALUE(LEFT(M133,1)))),M133,O132))</f>
        <v/>
      </c>
      <c r="P133" s="36" t="n">
        <f aca="false">IF(AND(M133&lt;&gt;"",ISNUMBER(K133),LEFT(M133,9)&lt;&gt;"Total for",M133&lt;&gt;"Gross Profit",M133&lt;&gt;"Net Operating Revenue",M133&lt;&gt;"Net Other Revenue",M133&lt;&gt;"Net Revenue"),1,0)</f>
        <v>0</v>
      </c>
      <c r="Q133" s="36" t="str">
        <f aca="false">IF(P133=1,IF(AND(LEN(M133)&gt;7,ISNUMBER(VALUE(LEFT(M133,6))),MID(M133,7,1)=" "),LEFT(M133,6),M133),"")</f>
        <v/>
      </c>
      <c r="V133" s="36" t="str">
        <f aca="false">TRIM(S133)</f>
        <v/>
      </c>
      <c r="W133" s="36" t="str">
        <f aca="false">IF(V133="Revenue","Revenue",IF(V133="Cost of Goods Sold","COGS",IF(V133="Expenditures","Expense",IF(V133="Other Revenue","Other Revenue",IF(V133="Other Expenditures","Other Expense",W132)))))</f>
        <v/>
      </c>
      <c r="X133" s="36" t="str">
        <f aca="false">IF(OR(V133="Revenue",V133="Cost of Goods Sold",V133="Expenditures",V133="Other Revenue",V133="Other Expenditures"),W133,IF(AND(LEN(V133)&gt;2,MID(V133,2,1)=" ",ISNUMBER(VALUE(LEFT(V133,1)))),V133,X132))</f>
        <v/>
      </c>
      <c r="Y133" s="36" t="n">
        <f aca="false">IF(AND(V133&lt;&gt;"",ISNUMBER(T133),LEFT(V133,9)&lt;&gt;"Total for",V133&lt;&gt;"Gross Profit",V133&lt;&gt;"Net Operating Revenue",V133&lt;&gt;"Net Other Revenue",V133&lt;&gt;"Net Revenue"),1,0)</f>
        <v>0</v>
      </c>
      <c r="Z133" s="36" t="str">
        <f aca="false">IF(Y133=1,IF(AND(LEN(V133)&gt;7,ISNUMBER(VALUE(LEFT(V133,6))),MID(V133,7,1)=" "),LEFT(V133,6),V133),"")</f>
        <v/>
      </c>
      <c r="AE133" s="36" t="str">
        <f aca="false">TRIM(AB133)</f>
        <v/>
      </c>
      <c r="AF133" s="36" t="str">
        <f aca="false">IF(AE133="Revenue","Revenue",IF(AE133="Cost of Goods Sold","COGS",IF(AE133="Expenditures","Expense",IF(AE133="Other Revenue","Other Revenue",IF(AE133="Other Expenditures","Other Expense",AF132)))))</f>
        <v/>
      </c>
      <c r="AG133" s="36" t="str">
        <f aca="false">IF(OR(AE133="Revenue",AE133="Cost of Goods Sold",AE133="Expenditures",AE133="Other Revenue",AE133="Other Expenditures"),AF133,IF(AND(LEN(AE133)&gt;2,MID(AE133,2,1)=" ",ISNUMBER(VALUE(LEFT(AE133,1)))),AE133,AG132))</f>
        <v/>
      </c>
      <c r="AH133" s="36" t="n">
        <f aca="false">IF(AND(AE133&lt;&gt;"",ISNUMBER(AC133),LEFT(AE133,9)&lt;&gt;"Total for",AE133&lt;&gt;"Gross Profit",AE133&lt;&gt;"Net Operating Revenue",AE133&lt;&gt;"Net Other Revenue",AE133&lt;&gt;"Net Revenue"),1,0)</f>
        <v>0</v>
      </c>
      <c r="AI133" s="36" t="str">
        <f aca="false">IF(AH133=1,IF(AND(LEN(AE133)&gt;7,ISNUMBER(VALUE(LEFT(AE133,6))),MID(AE133,7,1)=" "),LEFT(AE133,6),AE133),"")</f>
        <v/>
      </c>
      <c r="AN133" s="36" t="str">
        <f aca="false">TRIM(AK133)</f>
        <v/>
      </c>
      <c r="AO133" s="36" t="str">
        <f aca="false">IF(AN133="Revenue","Revenue",IF(AN133="Cost of Goods Sold","COGS",IF(AN133="Expenditures","Expense",IF(AN133="Other Revenue","Other Revenue",IF(AN133="Other Expenditures","Other Expense",AO132)))))</f>
        <v/>
      </c>
      <c r="AP133" s="36" t="str">
        <f aca="false">IF(OR(AN133="Revenue",AN133="Cost of Goods Sold",AN133="Expenditures",AN133="Other Revenue",AN133="Other Expenditures"),AO133,IF(AND(LEN(AN133)&gt;2,MID(AN133,2,1)=" ",ISNUMBER(VALUE(LEFT(AN133,1)))),AN133,AP132))</f>
        <v/>
      </c>
      <c r="AQ133" s="36" t="n">
        <f aca="false">IF(AND(AN133&lt;&gt;"",ISNUMBER(AL133),LEFT(AN133,9)&lt;&gt;"Total for",AN133&lt;&gt;"Gross Profit",AN133&lt;&gt;"Net Operating Revenue",AN133&lt;&gt;"Net Other Revenue",AN133&lt;&gt;"Net Revenue"),1,0)</f>
        <v>0</v>
      </c>
      <c r="AR133" s="36" t="str">
        <f aca="false">IF(AQ133=1,IF(AND(LEN(AN133)&gt;7,ISNUMBER(VALUE(LEFT(AN133,6))),MID(AN133,7,1)=" "),LEFT(AN133,6),AN133),"")</f>
        <v/>
      </c>
    </row>
    <row r="134" customFormat="false" ht="15" hidden="false" customHeight="false" outlineLevel="0" collapsed="false">
      <c r="D134" s="36" t="str">
        <f aca="false">TRIM(A134)</f>
        <v/>
      </c>
      <c r="E134" s="36" t="str">
        <f aca="false">IF(D134="Revenue","Revenue",IF(D134="Cost of Goods Sold","COGS",IF(D134="Expenditures","Expense",IF(D134="Other Revenue","Other Revenue",IF(D134="Other Expenditures","Other Expense",E133)))))</f>
        <v/>
      </c>
      <c r="F134" s="36" t="str">
        <f aca="false">IF(OR(D134="Revenue",D134="Cost of Goods Sold",D134="Expenditures",D134="Other Revenue",D134="Other Expenditures"),E134,IF(AND(LEN(D134)&gt;2,MID(D134,2,1)=" ",ISNUMBER(VALUE(LEFT(D134,1)))),D134,F133))</f>
        <v/>
      </c>
      <c r="G134" s="36" t="n">
        <f aca="false">IF(AND(D134&lt;&gt;"",ISNUMBER(B134),LEFT(D134,9)&lt;&gt;"Total for",D134&lt;&gt;"Gross Profit",D134&lt;&gt;"Net Operating Revenue",D134&lt;&gt;"Net Other Revenue",D134&lt;&gt;"Net Revenue"),1,0)</f>
        <v>0</v>
      </c>
      <c r="H134" s="36" t="str">
        <f aca="false">IF(G134=1,IF(AND(LEN(D134)&gt;7,ISNUMBER(VALUE(LEFT(D134,6))),MID(D134,7,1)=" "),LEFT(D134,6),D134),"")</f>
        <v/>
      </c>
      <c r="M134" s="36" t="str">
        <f aca="false">TRIM(J134)</f>
        <v/>
      </c>
      <c r="N134" s="36" t="str">
        <f aca="false">IF(M134="Revenue","Revenue",IF(M134="Cost of Goods Sold","COGS",IF(M134="Expenditures","Expense",IF(M134="Other Revenue","Other Revenue",IF(M134="Other Expenditures","Other Expense",N133)))))</f>
        <v/>
      </c>
      <c r="O134" s="36" t="str">
        <f aca="false">IF(OR(M134="Revenue",M134="Cost of Goods Sold",M134="Expenditures",M134="Other Revenue",M134="Other Expenditures"),N134,IF(AND(LEN(M134)&gt;2,MID(M134,2,1)=" ",ISNUMBER(VALUE(LEFT(M134,1)))),M134,O133))</f>
        <v/>
      </c>
      <c r="P134" s="36" t="n">
        <f aca="false">IF(AND(M134&lt;&gt;"",ISNUMBER(K134),LEFT(M134,9)&lt;&gt;"Total for",M134&lt;&gt;"Gross Profit",M134&lt;&gt;"Net Operating Revenue",M134&lt;&gt;"Net Other Revenue",M134&lt;&gt;"Net Revenue"),1,0)</f>
        <v>0</v>
      </c>
      <c r="Q134" s="36" t="str">
        <f aca="false">IF(P134=1,IF(AND(LEN(M134)&gt;7,ISNUMBER(VALUE(LEFT(M134,6))),MID(M134,7,1)=" "),LEFT(M134,6),M134),"")</f>
        <v/>
      </c>
      <c r="V134" s="36" t="str">
        <f aca="false">TRIM(S134)</f>
        <v/>
      </c>
      <c r="W134" s="36" t="str">
        <f aca="false">IF(V134="Revenue","Revenue",IF(V134="Cost of Goods Sold","COGS",IF(V134="Expenditures","Expense",IF(V134="Other Revenue","Other Revenue",IF(V134="Other Expenditures","Other Expense",W133)))))</f>
        <v/>
      </c>
      <c r="X134" s="36" t="str">
        <f aca="false">IF(OR(V134="Revenue",V134="Cost of Goods Sold",V134="Expenditures",V134="Other Revenue",V134="Other Expenditures"),W134,IF(AND(LEN(V134)&gt;2,MID(V134,2,1)=" ",ISNUMBER(VALUE(LEFT(V134,1)))),V134,X133))</f>
        <v/>
      </c>
      <c r="Y134" s="36" t="n">
        <f aca="false">IF(AND(V134&lt;&gt;"",ISNUMBER(T134),LEFT(V134,9)&lt;&gt;"Total for",V134&lt;&gt;"Gross Profit",V134&lt;&gt;"Net Operating Revenue",V134&lt;&gt;"Net Other Revenue",V134&lt;&gt;"Net Revenue"),1,0)</f>
        <v>0</v>
      </c>
      <c r="Z134" s="36" t="str">
        <f aca="false">IF(Y134=1,IF(AND(LEN(V134)&gt;7,ISNUMBER(VALUE(LEFT(V134,6))),MID(V134,7,1)=" "),LEFT(V134,6),V134),"")</f>
        <v/>
      </c>
      <c r="AE134" s="36" t="str">
        <f aca="false">TRIM(AB134)</f>
        <v/>
      </c>
      <c r="AF134" s="36" t="str">
        <f aca="false">IF(AE134="Revenue","Revenue",IF(AE134="Cost of Goods Sold","COGS",IF(AE134="Expenditures","Expense",IF(AE134="Other Revenue","Other Revenue",IF(AE134="Other Expenditures","Other Expense",AF133)))))</f>
        <v/>
      </c>
      <c r="AG134" s="36" t="str">
        <f aca="false">IF(OR(AE134="Revenue",AE134="Cost of Goods Sold",AE134="Expenditures",AE134="Other Revenue",AE134="Other Expenditures"),AF134,IF(AND(LEN(AE134)&gt;2,MID(AE134,2,1)=" ",ISNUMBER(VALUE(LEFT(AE134,1)))),AE134,AG133))</f>
        <v/>
      </c>
      <c r="AH134" s="36" t="n">
        <f aca="false">IF(AND(AE134&lt;&gt;"",ISNUMBER(AC134),LEFT(AE134,9)&lt;&gt;"Total for",AE134&lt;&gt;"Gross Profit",AE134&lt;&gt;"Net Operating Revenue",AE134&lt;&gt;"Net Other Revenue",AE134&lt;&gt;"Net Revenue"),1,0)</f>
        <v>0</v>
      </c>
      <c r="AI134" s="36" t="str">
        <f aca="false">IF(AH134=1,IF(AND(LEN(AE134)&gt;7,ISNUMBER(VALUE(LEFT(AE134,6))),MID(AE134,7,1)=" "),LEFT(AE134,6),AE134),"")</f>
        <v/>
      </c>
      <c r="AN134" s="36" t="str">
        <f aca="false">TRIM(AK134)</f>
        <v/>
      </c>
      <c r="AO134" s="36" t="str">
        <f aca="false">IF(AN134="Revenue","Revenue",IF(AN134="Cost of Goods Sold","COGS",IF(AN134="Expenditures","Expense",IF(AN134="Other Revenue","Other Revenue",IF(AN134="Other Expenditures","Other Expense",AO133)))))</f>
        <v/>
      </c>
      <c r="AP134" s="36" t="str">
        <f aca="false">IF(OR(AN134="Revenue",AN134="Cost of Goods Sold",AN134="Expenditures",AN134="Other Revenue",AN134="Other Expenditures"),AO134,IF(AND(LEN(AN134)&gt;2,MID(AN134,2,1)=" ",ISNUMBER(VALUE(LEFT(AN134,1)))),AN134,AP133))</f>
        <v/>
      </c>
      <c r="AQ134" s="36" t="n">
        <f aca="false">IF(AND(AN134&lt;&gt;"",ISNUMBER(AL134),LEFT(AN134,9)&lt;&gt;"Total for",AN134&lt;&gt;"Gross Profit",AN134&lt;&gt;"Net Operating Revenue",AN134&lt;&gt;"Net Other Revenue",AN134&lt;&gt;"Net Revenue"),1,0)</f>
        <v>0</v>
      </c>
      <c r="AR134" s="36" t="str">
        <f aca="false">IF(AQ134=1,IF(AND(LEN(AN134)&gt;7,ISNUMBER(VALUE(LEFT(AN134,6))),MID(AN134,7,1)=" "),LEFT(AN134,6),AN134),"")</f>
        <v/>
      </c>
    </row>
    <row r="135" customFormat="false" ht="15" hidden="false" customHeight="false" outlineLevel="0" collapsed="false">
      <c r="D135" s="36" t="str">
        <f aca="false">TRIM(A135)</f>
        <v/>
      </c>
      <c r="E135" s="36" t="str">
        <f aca="false">IF(D135="Revenue","Revenue",IF(D135="Cost of Goods Sold","COGS",IF(D135="Expenditures","Expense",IF(D135="Other Revenue","Other Revenue",IF(D135="Other Expenditures","Other Expense",E134)))))</f>
        <v/>
      </c>
      <c r="F135" s="36" t="str">
        <f aca="false">IF(OR(D135="Revenue",D135="Cost of Goods Sold",D135="Expenditures",D135="Other Revenue",D135="Other Expenditures"),E135,IF(AND(LEN(D135)&gt;2,MID(D135,2,1)=" ",ISNUMBER(VALUE(LEFT(D135,1)))),D135,F134))</f>
        <v/>
      </c>
      <c r="G135" s="36" t="n">
        <f aca="false">IF(AND(D135&lt;&gt;"",ISNUMBER(B135),LEFT(D135,9)&lt;&gt;"Total for",D135&lt;&gt;"Gross Profit",D135&lt;&gt;"Net Operating Revenue",D135&lt;&gt;"Net Other Revenue",D135&lt;&gt;"Net Revenue"),1,0)</f>
        <v>0</v>
      </c>
      <c r="H135" s="36" t="str">
        <f aca="false">IF(G135=1,IF(AND(LEN(D135)&gt;7,ISNUMBER(VALUE(LEFT(D135,6))),MID(D135,7,1)=" "),LEFT(D135,6),D135),"")</f>
        <v/>
      </c>
      <c r="M135" s="36" t="str">
        <f aca="false">TRIM(J135)</f>
        <v/>
      </c>
      <c r="N135" s="36" t="str">
        <f aca="false">IF(M135="Revenue","Revenue",IF(M135="Cost of Goods Sold","COGS",IF(M135="Expenditures","Expense",IF(M135="Other Revenue","Other Revenue",IF(M135="Other Expenditures","Other Expense",N134)))))</f>
        <v/>
      </c>
      <c r="O135" s="36" t="str">
        <f aca="false">IF(OR(M135="Revenue",M135="Cost of Goods Sold",M135="Expenditures",M135="Other Revenue",M135="Other Expenditures"),N135,IF(AND(LEN(M135)&gt;2,MID(M135,2,1)=" ",ISNUMBER(VALUE(LEFT(M135,1)))),M135,O134))</f>
        <v/>
      </c>
      <c r="P135" s="36" t="n">
        <f aca="false">IF(AND(M135&lt;&gt;"",ISNUMBER(K135),LEFT(M135,9)&lt;&gt;"Total for",M135&lt;&gt;"Gross Profit",M135&lt;&gt;"Net Operating Revenue",M135&lt;&gt;"Net Other Revenue",M135&lt;&gt;"Net Revenue"),1,0)</f>
        <v>0</v>
      </c>
      <c r="Q135" s="36" t="str">
        <f aca="false">IF(P135=1,IF(AND(LEN(M135)&gt;7,ISNUMBER(VALUE(LEFT(M135,6))),MID(M135,7,1)=" "),LEFT(M135,6),M135),"")</f>
        <v/>
      </c>
      <c r="V135" s="36" t="str">
        <f aca="false">TRIM(S135)</f>
        <v/>
      </c>
      <c r="W135" s="36" t="str">
        <f aca="false">IF(V135="Revenue","Revenue",IF(V135="Cost of Goods Sold","COGS",IF(V135="Expenditures","Expense",IF(V135="Other Revenue","Other Revenue",IF(V135="Other Expenditures","Other Expense",W134)))))</f>
        <v/>
      </c>
      <c r="X135" s="36" t="str">
        <f aca="false">IF(OR(V135="Revenue",V135="Cost of Goods Sold",V135="Expenditures",V135="Other Revenue",V135="Other Expenditures"),W135,IF(AND(LEN(V135)&gt;2,MID(V135,2,1)=" ",ISNUMBER(VALUE(LEFT(V135,1)))),V135,X134))</f>
        <v/>
      </c>
      <c r="Y135" s="36" t="n">
        <f aca="false">IF(AND(V135&lt;&gt;"",ISNUMBER(T135),LEFT(V135,9)&lt;&gt;"Total for",V135&lt;&gt;"Gross Profit",V135&lt;&gt;"Net Operating Revenue",V135&lt;&gt;"Net Other Revenue",V135&lt;&gt;"Net Revenue"),1,0)</f>
        <v>0</v>
      </c>
      <c r="Z135" s="36" t="str">
        <f aca="false">IF(Y135=1,IF(AND(LEN(V135)&gt;7,ISNUMBER(VALUE(LEFT(V135,6))),MID(V135,7,1)=" "),LEFT(V135,6),V135),"")</f>
        <v/>
      </c>
      <c r="AE135" s="36" t="str">
        <f aca="false">TRIM(AB135)</f>
        <v/>
      </c>
      <c r="AF135" s="36" t="str">
        <f aca="false">IF(AE135="Revenue","Revenue",IF(AE135="Cost of Goods Sold","COGS",IF(AE135="Expenditures","Expense",IF(AE135="Other Revenue","Other Revenue",IF(AE135="Other Expenditures","Other Expense",AF134)))))</f>
        <v/>
      </c>
      <c r="AG135" s="36" t="str">
        <f aca="false">IF(OR(AE135="Revenue",AE135="Cost of Goods Sold",AE135="Expenditures",AE135="Other Revenue",AE135="Other Expenditures"),AF135,IF(AND(LEN(AE135)&gt;2,MID(AE135,2,1)=" ",ISNUMBER(VALUE(LEFT(AE135,1)))),AE135,AG134))</f>
        <v/>
      </c>
      <c r="AH135" s="36" t="n">
        <f aca="false">IF(AND(AE135&lt;&gt;"",ISNUMBER(AC135),LEFT(AE135,9)&lt;&gt;"Total for",AE135&lt;&gt;"Gross Profit",AE135&lt;&gt;"Net Operating Revenue",AE135&lt;&gt;"Net Other Revenue",AE135&lt;&gt;"Net Revenue"),1,0)</f>
        <v>0</v>
      </c>
      <c r="AI135" s="36" t="str">
        <f aca="false">IF(AH135=1,IF(AND(LEN(AE135)&gt;7,ISNUMBER(VALUE(LEFT(AE135,6))),MID(AE135,7,1)=" "),LEFT(AE135,6),AE135),"")</f>
        <v/>
      </c>
      <c r="AN135" s="36" t="str">
        <f aca="false">TRIM(AK135)</f>
        <v/>
      </c>
      <c r="AO135" s="36" t="str">
        <f aca="false">IF(AN135="Revenue","Revenue",IF(AN135="Cost of Goods Sold","COGS",IF(AN135="Expenditures","Expense",IF(AN135="Other Revenue","Other Revenue",IF(AN135="Other Expenditures","Other Expense",AO134)))))</f>
        <v/>
      </c>
      <c r="AP135" s="36" t="str">
        <f aca="false">IF(OR(AN135="Revenue",AN135="Cost of Goods Sold",AN135="Expenditures",AN135="Other Revenue",AN135="Other Expenditures"),AO135,IF(AND(LEN(AN135)&gt;2,MID(AN135,2,1)=" ",ISNUMBER(VALUE(LEFT(AN135,1)))),AN135,AP134))</f>
        <v/>
      </c>
      <c r="AQ135" s="36" t="n">
        <f aca="false">IF(AND(AN135&lt;&gt;"",ISNUMBER(AL135),LEFT(AN135,9)&lt;&gt;"Total for",AN135&lt;&gt;"Gross Profit",AN135&lt;&gt;"Net Operating Revenue",AN135&lt;&gt;"Net Other Revenue",AN135&lt;&gt;"Net Revenue"),1,0)</f>
        <v>0</v>
      </c>
      <c r="AR135" s="36" t="str">
        <f aca="false">IF(AQ135=1,IF(AND(LEN(AN135)&gt;7,ISNUMBER(VALUE(LEFT(AN135,6))),MID(AN135,7,1)=" "),LEFT(AN135,6),AN135),"")</f>
        <v/>
      </c>
    </row>
    <row r="136" customFormat="false" ht="15" hidden="false" customHeight="false" outlineLevel="0" collapsed="false">
      <c r="D136" s="36" t="str">
        <f aca="false">TRIM(A136)</f>
        <v/>
      </c>
      <c r="E136" s="36" t="str">
        <f aca="false">IF(D136="Revenue","Revenue",IF(D136="Cost of Goods Sold","COGS",IF(D136="Expenditures","Expense",IF(D136="Other Revenue","Other Revenue",IF(D136="Other Expenditures","Other Expense",E135)))))</f>
        <v/>
      </c>
      <c r="F136" s="36" t="str">
        <f aca="false">IF(OR(D136="Revenue",D136="Cost of Goods Sold",D136="Expenditures",D136="Other Revenue",D136="Other Expenditures"),E136,IF(AND(LEN(D136)&gt;2,MID(D136,2,1)=" ",ISNUMBER(VALUE(LEFT(D136,1)))),D136,F135))</f>
        <v/>
      </c>
      <c r="G136" s="36" t="n">
        <f aca="false">IF(AND(D136&lt;&gt;"",ISNUMBER(B136),LEFT(D136,9)&lt;&gt;"Total for",D136&lt;&gt;"Gross Profit",D136&lt;&gt;"Net Operating Revenue",D136&lt;&gt;"Net Other Revenue",D136&lt;&gt;"Net Revenue"),1,0)</f>
        <v>0</v>
      </c>
      <c r="H136" s="36" t="str">
        <f aca="false">IF(G136=1,IF(AND(LEN(D136)&gt;7,ISNUMBER(VALUE(LEFT(D136,6))),MID(D136,7,1)=" "),LEFT(D136,6),D136),"")</f>
        <v/>
      </c>
      <c r="M136" s="36" t="str">
        <f aca="false">TRIM(J136)</f>
        <v/>
      </c>
      <c r="N136" s="36" t="str">
        <f aca="false">IF(M136="Revenue","Revenue",IF(M136="Cost of Goods Sold","COGS",IF(M136="Expenditures","Expense",IF(M136="Other Revenue","Other Revenue",IF(M136="Other Expenditures","Other Expense",N135)))))</f>
        <v/>
      </c>
      <c r="O136" s="36" t="str">
        <f aca="false">IF(OR(M136="Revenue",M136="Cost of Goods Sold",M136="Expenditures",M136="Other Revenue",M136="Other Expenditures"),N136,IF(AND(LEN(M136)&gt;2,MID(M136,2,1)=" ",ISNUMBER(VALUE(LEFT(M136,1)))),M136,O135))</f>
        <v/>
      </c>
      <c r="P136" s="36" t="n">
        <f aca="false">IF(AND(M136&lt;&gt;"",ISNUMBER(K136),LEFT(M136,9)&lt;&gt;"Total for",M136&lt;&gt;"Gross Profit",M136&lt;&gt;"Net Operating Revenue",M136&lt;&gt;"Net Other Revenue",M136&lt;&gt;"Net Revenue"),1,0)</f>
        <v>0</v>
      </c>
      <c r="Q136" s="36" t="str">
        <f aca="false">IF(P136=1,IF(AND(LEN(M136)&gt;7,ISNUMBER(VALUE(LEFT(M136,6))),MID(M136,7,1)=" "),LEFT(M136,6),M136),"")</f>
        <v/>
      </c>
      <c r="V136" s="36" t="str">
        <f aca="false">TRIM(S136)</f>
        <v/>
      </c>
      <c r="W136" s="36" t="str">
        <f aca="false">IF(V136="Revenue","Revenue",IF(V136="Cost of Goods Sold","COGS",IF(V136="Expenditures","Expense",IF(V136="Other Revenue","Other Revenue",IF(V136="Other Expenditures","Other Expense",W135)))))</f>
        <v/>
      </c>
      <c r="X136" s="36" t="str">
        <f aca="false">IF(OR(V136="Revenue",V136="Cost of Goods Sold",V136="Expenditures",V136="Other Revenue",V136="Other Expenditures"),W136,IF(AND(LEN(V136)&gt;2,MID(V136,2,1)=" ",ISNUMBER(VALUE(LEFT(V136,1)))),V136,X135))</f>
        <v/>
      </c>
      <c r="Y136" s="36" t="n">
        <f aca="false">IF(AND(V136&lt;&gt;"",ISNUMBER(T136),LEFT(V136,9)&lt;&gt;"Total for",V136&lt;&gt;"Gross Profit",V136&lt;&gt;"Net Operating Revenue",V136&lt;&gt;"Net Other Revenue",V136&lt;&gt;"Net Revenue"),1,0)</f>
        <v>0</v>
      </c>
      <c r="Z136" s="36" t="str">
        <f aca="false">IF(Y136=1,IF(AND(LEN(V136)&gt;7,ISNUMBER(VALUE(LEFT(V136,6))),MID(V136,7,1)=" "),LEFT(V136,6),V136),"")</f>
        <v/>
      </c>
      <c r="AE136" s="36" t="str">
        <f aca="false">TRIM(AB136)</f>
        <v/>
      </c>
      <c r="AF136" s="36" t="str">
        <f aca="false">IF(AE136="Revenue","Revenue",IF(AE136="Cost of Goods Sold","COGS",IF(AE136="Expenditures","Expense",IF(AE136="Other Revenue","Other Revenue",IF(AE136="Other Expenditures","Other Expense",AF135)))))</f>
        <v/>
      </c>
      <c r="AG136" s="36" t="str">
        <f aca="false">IF(OR(AE136="Revenue",AE136="Cost of Goods Sold",AE136="Expenditures",AE136="Other Revenue",AE136="Other Expenditures"),AF136,IF(AND(LEN(AE136)&gt;2,MID(AE136,2,1)=" ",ISNUMBER(VALUE(LEFT(AE136,1)))),AE136,AG135))</f>
        <v/>
      </c>
      <c r="AH136" s="36" t="n">
        <f aca="false">IF(AND(AE136&lt;&gt;"",ISNUMBER(AC136),LEFT(AE136,9)&lt;&gt;"Total for",AE136&lt;&gt;"Gross Profit",AE136&lt;&gt;"Net Operating Revenue",AE136&lt;&gt;"Net Other Revenue",AE136&lt;&gt;"Net Revenue"),1,0)</f>
        <v>0</v>
      </c>
      <c r="AI136" s="36" t="str">
        <f aca="false">IF(AH136=1,IF(AND(LEN(AE136)&gt;7,ISNUMBER(VALUE(LEFT(AE136,6))),MID(AE136,7,1)=" "),LEFT(AE136,6),AE136),"")</f>
        <v/>
      </c>
      <c r="AN136" s="36" t="str">
        <f aca="false">TRIM(AK136)</f>
        <v/>
      </c>
      <c r="AO136" s="36" t="str">
        <f aca="false">IF(AN136="Revenue","Revenue",IF(AN136="Cost of Goods Sold","COGS",IF(AN136="Expenditures","Expense",IF(AN136="Other Revenue","Other Revenue",IF(AN136="Other Expenditures","Other Expense",AO135)))))</f>
        <v/>
      </c>
      <c r="AP136" s="36" t="str">
        <f aca="false">IF(OR(AN136="Revenue",AN136="Cost of Goods Sold",AN136="Expenditures",AN136="Other Revenue",AN136="Other Expenditures"),AO136,IF(AND(LEN(AN136)&gt;2,MID(AN136,2,1)=" ",ISNUMBER(VALUE(LEFT(AN136,1)))),AN136,AP135))</f>
        <v/>
      </c>
      <c r="AQ136" s="36" t="n">
        <f aca="false">IF(AND(AN136&lt;&gt;"",ISNUMBER(AL136),LEFT(AN136,9)&lt;&gt;"Total for",AN136&lt;&gt;"Gross Profit",AN136&lt;&gt;"Net Operating Revenue",AN136&lt;&gt;"Net Other Revenue",AN136&lt;&gt;"Net Revenue"),1,0)</f>
        <v>0</v>
      </c>
      <c r="AR136" s="36" t="str">
        <f aca="false">IF(AQ136=1,IF(AND(LEN(AN136)&gt;7,ISNUMBER(VALUE(LEFT(AN136,6))),MID(AN136,7,1)=" "),LEFT(AN136,6),AN136),"")</f>
        <v/>
      </c>
    </row>
    <row r="137" customFormat="false" ht="15" hidden="false" customHeight="false" outlineLevel="0" collapsed="false">
      <c r="D137" s="36" t="str">
        <f aca="false">TRIM(A137)</f>
        <v/>
      </c>
      <c r="E137" s="36" t="str">
        <f aca="false">IF(D137="Revenue","Revenue",IF(D137="Cost of Goods Sold","COGS",IF(D137="Expenditures","Expense",IF(D137="Other Revenue","Other Revenue",IF(D137="Other Expenditures","Other Expense",E136)))))</f>
        <v/>
      </c>
      <c r="F137" s="36" t="str">
        <f aca="false">IF(OR(D137="Revenue",D137="Cost of Goods Sold",D137="Expenditures",D137="Other Revenue",D137="Other Expenditures"),E137,IF(AND(LEN(D137)&gt;2,MID(D137,2,1)=" ",ISNUMBER(VALUE(LEFT(D137,1)))),D137,F136))</f>
        <v/>
      </c>
      <c r="G137" s="36" t="n">
        <f aca="false">IF(AND(D137&lt;&gt;"",ISNUMBER(B137),LEFT(D137,9)&lt;&gt;"Total for",D137&lt;&gt;"Gross Profit",D137&lt;&gt;"Net Operating Revenue",D137&lt;&gt;"Net Other Revenue",D137&lt;&gt;"Net Revenue"),1,0)</f>
        <v>0</v>
      </c>
      <c r="H137" s="36" t="str">
        <f aca="false">IF(G137=1,IF(AND(LEN(D137)&gt;7,ISNUMBER(VALUE(LEFT(D137,6))),MID(D137,7,1)=" "),LEFT(D137,6),D137),"")</f>
        <v/>
      </c>
      <c r="M137" s="36" t="str">
        <f aca="false">TRIM(J137)</f>
        <v/>
      </c>
      <c r="N137" s="36" t="str">
        <f aca="false">IF(M137="Revenue","Revenue",IF(M137="Cost of Goods Sold","COGS",IF(M137="Expenditures","Expense",IF(M137="Other Revenue","Other Revenue",IF(M137="Other Expenditures","Other Expense",N136)))))</f>
        <v/>
      </c>
      <c r="O137" s="36" t="str">
        <f aca="false">IF(OR(M137="Revenue",M137="Cost of Goods Sold",M137="Expenditures",M137="Other Revenue",M137="Other Expenditures"),N137,IF(AND(LEN(M137)&gt;2,MID(M137,2,1)=" ",ISNUMBER(VALUE(LEFT(M137,1)))),M137,O136))</f>
        <v/>
      </c>
      <c r="P137" s="36" t="n">
        <f aca="false">IF(AND(M137&lt;&gt;"",ISNUMBER(K137),LEFT(M137,9)&lt;&gt;"Total for",M137&lt;&gt;"Gross Profit",M137&lt;&gt;"Net Operating Revenue",M137&lt;&gt;"Net Other Revenue",M137&lt;&gt;"Net Revenue"),1,0)</f>
        <v>0</v>
      </c>
      <c r="Q137" s="36" t="str">
        <f aca="false">IF(P137=1,IF(AND(LEN(M137)&gt;7,ISNUMBER(VALUE(LEFT(M137,6))),MID(M137,7,1)=" "),LEFT(M137,6),M137),"")</f>
        <v/>
      </c>
      <c r="V137" s="36" t="str">
        <f aca="false">TRIM(S137)</f>
        <v/>
      </c>
      <c r="W137" s="36" t="str">
        <f aca="false">IF(V137="Revenue","Revenue",IF(V137="Cost of Goods Sold","COGS",IF(V137="Expenditures","Expense",IF(V137="Other Revenue","Other Revenue",IF(V137="Other Expenditures","Other Expense",W136)))))</f>
        <v/>
      </c>
      <c r="X137" s="36" t="str">
        <f aca="false">IF(OR(V137="Revenue",V137="Cost of Goods Sold",V137="Expenditures",V137="Other Revenue",V137="Other Expenditures"),W137,IF(AND(LEN(V137)&gt;2,MID(V137,2,1)=" ",ISNUMBER(VALUE(LEFT(V137,1)))),V137,X136))</f>
        <v/>
      </c>
      <c r="Y137" s="36" t="n">
        <f aca="false">IF(AND(V137&lt;&gt;"",ISNUMBER(T137),LEFT(V137,9)&lt;&gt;"Total for",V137&lt;&gt;"Gross Profit",V137&lt;&gt;"Net Operating Revenue",V137&lt;&gt;"Net Other Revenue",V137&lt;&gt;"Net Revenue"),1,0)</f>
        <v>0</v>
      </c>
      <c r="Z137" s="36" t="str">
        <f aca="false">IF(Y137=1,IF(AND(LEN(V137)&gt;7,ISNUMBER(VALUE(LEFT(V137,6))),MID(V137,7,1)=" "),LEFT(V137,6),V137),"")</f>
        <v/>
      </c>
      <c r="AE137" s="36" t="str">
        <f aca="false">TRIM(AB137)</f>
        <v/>
      </c>
      <c r="AF137" s="36" t="str">
        <f aca="false">IF(AE137="Revenue","Revenue",IF(AE137="Cost of Goods Sold","COGS",IF(AE137="Expenditures","Expense",IF(AE137="Other Revenue","Other Revenue",IF(AE137="Other Expenditures","Other Expense",AF136)))))</f>
        <v/>
      </c>
      <c r="AG137" s="36" t="str">
        <f aca="false">IF(OR(AE137="Revenue",AE137="Cost of Goods Sold",AE137="Expenditures",AE137="Other Revenue",AE137="Other Expenditures"),AF137,IF(AND(LEN(AE137)&gt;2,MID(AE137,2,1)=" ",ISNUMBER(VALUE(LEFT(AE137,1)))),AE137,AG136))</f>
        <v/>
      </c>
      <c r="AH137" s="36" t="n">
        <f aca="false">IF(AND(AE137&lt;&gt;"",ISNUMBER(AC137),LEFT(AE137,9)&lt;&gt;"Total for",AE137&lt;&gt;"Gross Profit",AE137&lt;&gt;"Net Operating Revenue",AE137&lt;&gt;"Net Other Revenue",AE137&lt;&gt;"Net Revenue"),1,0)</f>
        <v>0</v>
      </c>
      <c r="AI137" s="36" t="str">
        <f aca="false">IF(AH137=1,IF(AND(LEN(AE137)&gt;7,ISNUMBER(VALUE(LEFT(AE137,6))),MID(AE137,7,1)=" "),LEFT(AE137,6),AE137),"")</f>
        <v/>
      </c>
      <c r="AN137" s="36" t="str">
        <f aca="false">TRIM(AK137)</f>
        <v/>
      </c>
      <c r="AO137" s="36" t="str">
        <f aca="false">IF(AN137="Revenue","Revenue",IF(AN137="Cost of Goods Sold","COGS",IF(AN137="Expenditures","Expense",IF(AN137="Other Revenue","Other Revenue",IF(AN137="Other Expenditures","Other Expense",AO136)))))</f>
        <v/>
      </c>
      <c r="AP137" s="36" t="str">
        <f aca="false">IF(OR(AN137="Revenue",AN137="Cost of Goods Sold",AN137="Expenditures",AN137="Other Revenue",AN137="Other Expenditures"),AO137,IF(AND(LEN(AN137)&gt;2,MID(AN137,2,1)=" ",ISNUMBER(VALUE(LEFT(AN137,1)))),AN137,AP136))</f>
        <v/>
      </c>
      <c r="AQ137" s="36" t="n">
        <f aca="false">IF(AND(AN137&lt;&gt;"",ISNUMBER(AL137),LEFT(AN137,9)&lt;&gt;"Total for",AN137&lt;&gt;"Gross Profit",AN137&lt;&gt;"Net Operating Revenue",AN137&lt;&gt;"Net Other Revenue",AN137&lt;&gt;"Net Revenue"),1,0)</f>
        <v>0</v>
      </c>
      <c r="AR137" s="36" t="str">
        <f aca="false">IF(AQ137=1,IF(AND(LEN(AN137)&gt;7,ISNUMBER(VALUE(LEFT(AN137,6))),MID(AN137,7,1)=" "),LEFT(AN137,6),AN137),"")</f>
        <v/>
      </c>
    </row>
    <row r="138" customFormat="false" ht="15" hidden="false" customHeight="false" outlineLevel="0" collapsed="false">
      <c r="D138" s="36" t="str">
        <f aca="false">TRIM(A138)</f>
        <v/>
      </c>
      <c r="E138" s="36" t="str">
        <f aca="false">IF(D138="Revenue","Revenue",IF(D138="Cost of Goods Sold","COGS",IF(D138="Expenditures","Expense",IF(D138="Other Revenue","Other Revenue",IF(D138="Other Expenditures","Other Expense",E137)))))</f>
        <v/>
      </c>
      <c r="F138" s="36" t="str">
        <f aca="false">IF(OR(D138="Revenue",D138="Cost of Goods Sold",D138="Expenditures",D138="Other Revenue",D138="Other Expenditures"),E138,IF(AND(LEN(D138)&gt;2,MID(D138,2,1)=" ",ISNUMBER(VALUE(LEFT(D138,1)))),D138,F137))</f>
        <v/>
      </c>
      <c r="G138" s="36" t="n">
        <f aca="false">IF(AND(D138&lt;&gt;"",ISNUMBER(B138),LEFT(D138,9)&lt;&gt;"Total for",D138&lt;&gt;"Gross Profit",D138&lt;&gt;"Net Operating Revenue",D138&lt;&gt;"Net Other Revenue",D138&lt;&gt;"Net Revenue"),1,0)</f>
        <v>0</v>
      </c>
      <c r="H138" s="36" t="str">
        <f aca="false">IF(G138=1,IF(AND(LEN(D138)&gt;7,ISNUMBER(VALUE(LEFT(D138,6))),MID(D138,7,1)=" "),LEFT(D138,6),D138),"")</f>
        <v/>
      </c>
      <c r="M138" s="36" t="str">
        <f aca="false">TRIM(J138)</f>
        <v/>
      </c>
      <c r="N138" s="36" t="str">
        <f aca="false">IF(M138="Revenue","Revenue",IF(M138="Cost of Goods Sold","COGS",IF(M138="Expenditures","Expense",IF(M138="Other Revenue","Other Revenue",IF(M138="Other Expenditures","Other Expense",N137)))))</f>
        <v/>
      </c>
      <c r="O138" s="36" t="str">
        <f aca="false">IF(OR(M138="Revenue",M138="Cost of Goods Sold",M138="Expenditures",M138="Other Revenue",M138="Other Expenditures"),N138,IF(AND(LEN(M138)&gt;2,MID(M138,2,1)=" ",ISNUMBER(VALUE(LEFT(M138,1)))),M138,O137))</f>
        <v/>
      </c>
      <c r="P138" s="36" t="n">
        <f aca="false">IF(AND(M138&lt;&gt;"",ISNUMBER(K138),LEFT(M138,9)&lt;&gt;"Total for",M138&lt;&gt;"Gross Profit",M138&lt;&gt;"Net Operating Revenue",M138&lt;&gt;"Net Other Revenue",M138&lt;&gt;"Net Revenue"),1,0)</f>
        <v>0</v>
      </c>
      <c r="Q138" s="36" t="str">
        <f aca="false">IF(P138=1,IF(AND(LEN(M138)&gt;7,ISNUMBER(VALUE(LEFT(M138,6))),MID(M138,7,1)=" "),LEFT(M138,6),M138),"")</f>
        <v/>
      </c>
      <c r="V138" s="36" t="str">
        <f aca="false">TRIM(S138)</f>
        <v/>
      </c>
      <c r="W138" s="36" t="str">
        <f aca="false">IF(V138="Revenue","Revenue",IF(V138="Cost of Goods Sold","COGS",IF(V138="Expenditures","Expense",IF(V138="Other Revenue","Other Revenue",IF(V138="Other Expenditures","Other Expense",W137)))))</f>
        <v/>
      </c>
      <c r="X138" s="36" t="str">
        <f aca="false">IF(OR(V138="Revenue",V138="Cost of Goods Sold",V138="Expenditures",V138="Other Revenue",V138="Other Expenditures"),W138,IF(AND(LEN(V138)&gt;2,MID(V138,2,1)=" ",ISNUMBER(VALUE(LEFT(V138,1)))),V138,X137))</f>
        <v/>
      </c>
      <c r="Y138" s="36" t="n">
        <f aca="false">IF(AND(V138&lt;&gt;"",ISNUMBER(T138),LEFT(V138,9)&lt;&gt;"Total for",V138&lt;&gt;"Gross Profit",V138&lt;&gt;"Net Operating Revenue",V138&lt;&gt;"Net Other Revenue",V138&lt;&gt;"Net Revenue"),1,0)</f>
        <v>0</v>
      </c>
      <c r="Z138" s="36" t="str">
        <f aca="false">IF(Y138=1,IF(AND(LEN(V138)&gt;7,ISNUMBER(VALUE(LEFT(V138,6))),MID(V138,7,1)=" "),LEFT(V138,6),V138),"")</f>
        <v/>
      </c>
      <c r="AE138" s="36" t="str">
        <f aca="false">TRIM(AB138)</f>
        <v/>
      </c>
      <c r="AF138" s="36" t="str">
        <f aca="false">IF(AE138="Revenue","Revenue",IF(AE138="Cost of Goods Sold","COGS",IF(AE138="Expenditures","Expense",IF(AE138="Other Revenue","Other Revenue",IF(AE138="Other Expenditures","Other Expense",AF137)))))</f>
        <v/>
      </c>
      <c r="AG138" s="36" t="str">
        <f aca="false">IF(OR(AE138="Revenue",AE138="Cost of Goods Sold",AE138="Expenditures",AE138="Other Revenue",AE138="Other Expenditures"),AF138,IF(AND(LEN(AE138)&gt;2,MID(AE138,2,1)=" ",ISNUMBER(VALUE(LEFT(AE138,1)))),AE138,AG137))</f>
        <v/>
      </c>
      <c r="AH138" s="36" t="n">
        <f aca="false">IF(AND(AE138&lt;&gt;"",ISNUMBER(AC138),LEFT(AE138,9)&lt;&gt;"Total for",AE138&lt;&gt;"Gross Profit",AE138&lt;&gt;"Net Operating Revenue",AE138&lt;&gt;"Net Other Revenue",AE138&lt;&gt;"Net Revenue"),1,0)</f>
        <v>0</v>
      </c>
      <c r="AI138" s="36" t="str">
        <f aca="false">IF(AH138=1,IF(AND(LEN(AE138)&gt;7,ISNUMBER(VALUE(LEFT(AE138,6))),MID(AE138,7,1)=" "),LEFT(AE138,6),AE138),"")</f>
        <v/>
      </c>
      <c r="AN138" s="36" t="str">
        <f aca="false">TRIM(AK138)</f>
        <v/>
      </c>
      <c r="AO138" s="36" t="str">
        <f aca="false">IF(AN138="Revenue","Revenue",IF(AN138="Cost of Goods Sold","COGS",IF(AN138="Expenditures","Expense",IF(AN138="Other Revenue","Other Revenue",IF(AN138="Other Expenditures","Other Expense",AO137)))))</f>
        <v/>
      </c>
      <c r="AP138" s="36" t="str">
        <f aca="false">IF(OR(AN138="Revenue",AN138="Cost of Goods Sold",AN138="Expenditures",AN138="Other Revenue",AN138="Other Expenditures"),AO138,IF(AND(LEN(AN138)&gt;2,MID(AN138,2,1)=" ",ISNUMBER(VALUE(LEFT(AN138,1)))),AN138,AP137))</f>
        <v/>
      </c>
      <c r="AQ138" s="36" t="n">
        <f aca="false">IF(AND(AN138&lt;&gt;"",ISNUMBER(AL138),LEFT(AN138,9)&lt;&gt;"Total for",AN138&lt;&gt;"Gross Profit",AN138&lt;&gt;"Net Operating Revenue",AN138&lt;&gt;"Net Other Revenue",AN138&lt;&gt;"Net Revenue"),1,0)</f>
        <v>0</v>
      </c>
      <c r="AR138" s="36" t="str">
        <f aca="false">IF(AQ138=1,IF(AND(LEN(AN138)&gt;7,ISNUMBER(VALUE(LEFT(AN138,6))),MID(AN138,7,1)=" "),LEFT(AN138,6),AN138),"")</f>
        <v/>
      </c>
    </row>
    <row r="139" customFormat="false" ht="15" hidden="false" customHeight="false" outlineLevel="0" collapsed="false">
      <c r="D139" s="36" t="str">
        <f aca="false">TRIM(A139)</f>
        <v/>
      </c>
      <c r="E139" s="36" t="str">
        <f aca="false">IF(D139="Revenue","Revenue",IF(D139="Cost of Goods Sold","COGS",IF(D139="Expenditures","Expense",IF(D139="Other Revenue","Other Revenue",IF(D139="Other Expenditures","Other Expense",E138)))))</f>
        <v/>
      </c>
      <c r="F139" s="36" t="str">
        <f aca="false">IF(OR(D139="Revenue",D139="Cost of Goods Sold",D139="Expenditures",D139="Other Revenue",D139="Other Expenditures"),E139,IF(AND(LEN(D139)&gt;2,MID(D139,2,1)=" ",ISNUMBER(VALUE(LEFT(D139,1)))),D139,F138))</f>
        <v/>
      </c>
      <c r="G139" s="36" t="n">
        <f aca="false">IF(AND(D139&lt;&gt;"",ISNUMBER(B139),LEFT(D139,9)&lt;&gt;"Total for",D139&lt;&gt;"Gross Profit",D139&lt;&gt;"Net Operating Revenue",D139&lt;&gt;"Net Other Revenue",D139&lt;&gt;"Net Revenue"),1,0)</f>
        <v>0</v>
      </c>
      <c r="H139" s="36" t="str">
        <f aca="false">IF(G139=1,IF(AND(LEN(D139)&gt;7,ISNUMBER(VALUE(LEFT(D139,6))),MID(D139,7,1)=" "),LEFT(D139,6),D139),"")</f>
        <v/>
      </c>
      <c r="M139" s="36" t="str">
        <f aca="false">TRIM(J139)</f>
        <v/>
      </c>
      <c r="N139" s="36" t="str">
        <f aca="false">IF(M139="Revenue","Revenue",IF(M139="Cost of Goods Sold","COGS",IF(M139="Expenditures","Expense",IF(M139="Other Revenue","Other Revenue",IF(M139="Other Expenditures","Other Expense",N138)))))</f>
        <v/>
      </c>
      <c r="O139" s="36" t="str">
        <f aca="false">IF(OR(M139="Revenue",M139="Cost of Goods Sold",M139="Expenditures",M139="Other Revenue",M139="Other Expenditures"),N139,IF(AND(LEN(M139)&gt;2,MID(M139,2,1)=" ",ISNUMBER(VALUE(LEFT(M139,1)))),M139,O138))</f>
        <v/>
      </c>
      <c r="P139" s="36" t="n">
        <f aca="false">IF(AND(M139&lt;&gt;"",ISNUMBER(K139),LEFT(M139,9)&lt;&gt;"Total for",M139&lt;&gt;"Gross Profit",M139&lt;&gt;"Net Operating Revenue",M139&lt;&gt;"Net Other Revenue",M139&lt;&gt;"Net Revenue"),1,0)</f>
        <v>0</v>
      </c>
      <c r="Q139" s="36" t="str">
        <f aca="false">IF(P139=1,IF(AND(LEN(M139)&gt;7,ISNUMBER(VALUE(LEFT(M139,6))),MID(M139,7,1)=" "),LEFT(M139,6),M139),"")</f>
        <v/>
      </c>
      <c r="V139" s="36" t="str">
        <f aca="false">TRIM(S139)</f>
        <v/>
      </c>
      <c r="W139" s="36" t="str">
        <f aca="false">IF(V139="Revenue","Revenue",IF(V139="Cost of Goods Sold","COGS",IF(V139="Expenditures","Expense",IF(V139="Other Revenue","Other Revenue",IF(V139="Other Expenditures","Other Expense",W138)))))</f>
        <v/>
      </c>
      <c r="X139" s="36" t="str">
        <f aca="false">IF(OR(V139="Revenue",V139="Cost of Goods Sold",V139="Expenditures",V139="Other Revenue",V139="Other Expenditures"),W139,IF(AND(LEN(V139)&gt;2,MID(V139,2,1)=" ",ISNUMBER(VALUE(LEFT(V139,1)))),V139,X138))</f>
        <v/>
      </c>
      <c r="Y139" s="36" t="n">
        <f aca="false">IF(AND(V139&lt;&gt;"",ISNUMBER(T139),LEFT(V139,9)&lt;&gt;"Total for",V139&lt;&gt;"Gross Profit",V139&lt;&gt;"Net Operating Revenue",V139&lt;&gt;"Net Other Revenue",V139&lt;&gt;"Net Revenue"),1,0)</f>
        <v>0</v>
      </c>
      <c r="Z139" s="36" t="str">
        <f aca="false">IF(Y139=1,IF(AND(LEN(V139)&gt;7,ISNUMBER(VALUE(LEFT(V139,6))),MID(V139,7,1)=" "),LEFT(V139,6),V139),"")</f>
        <v/>
      </c>
      <c r="AE139" s="36" t="str">
        <f aca="false">TRIM(AB139)</f>
        <v/>
      </c>
      <c r="AF139" s="36" t="str">
        <f aca="false">IF(AE139="Revenue","Revenue",IF(AE139="Cost of Goods Sold","COGS",IF(AE139="Expenditures","Expense",IF(AE139="Other Revenue","Other Revenue",IF(AE139="Other Expenditures","Other Expense",AF138)))))</f>
        <v/>
      </c>
      <c r="AG139" s="36" t="str">
        <f aca="false">IF(OR(AE139="Revenue",AE139="Cost of Goods Sold",AE139="Expenditures",AE139="Other Revenue",AE139="Other Expenditures"),AF139,IF(AND(LEN(AE139)&gt;2,MID(AE139,2,1)=" ",ISNUMBER(VALUE(LEFT(AE139,1)))),AE139,AG138))</f>
        <v/>
      </c>
      <c r="AH139" s="36" t="n">
        <f aca="false">IF(AND(AE139&lt;&gt;"",ISNUMBER(AC139),LEFT(AE139,9)&lt;&gt;"Total for",AE139&lt;&gt;"Gross Profit",AE139&lt;&gt;"Net Operating Revenue",AE139&lt;&gt;"Net Other Revenue",AE139&lt;&gt;"Net Revenue"),1,0)</f>
        <v>0</v>
      </c>
      <c r="AI139" s="36" t="str">
        <f aca="false">IF(AH139=1,IF(AND(LEN(AE139)&gt;7,ISNUMBER(VALUE(LEFT(AE139,6))),MID(AE139,7,1)=" "),LEFT(AE139,6),AE139),"")</f>
        <v/>
      </c>
      <c r="AN139" s="36" t="str">
        <f aca="false">TRIM(AK139)</f>
        <v/>
      </c>
      <c r="AO139" s="36" t="str">
        <f aca="false">IF(AN139="Revenue","Revenue",IF(AN139="Cost of Goods Sold","COGS",IF(AN139="Expenditures","Expense",IF(AN139="Other Revenue","Other Revenue",IF(AN139="Other Expenditures","Other Expense",AO138)))))</f>
        <v/>
      </c>
      <c r="AP139" s="36" t="str">
        <f aca="false">IF(OR(AN139="Revenue",AN139="Cost of Goods Sold",AN139="Expenditures",AN139="Other Revenue",AN139="Other Expenditures"),AO139,IF(AND(LEN(AN139)&gt;2,MID(AN139,2,1)=" ",ISNUMBER(VALUE(LEFT(AN139,1)))),AN139,AP138))</f>
        <v/>
      </c>
      <c r="AQ139" s="36" t="n">
        <f aca="false">IF(AND(AN139&lt;&gt;"",ISNUMBER(AL139),LEFT(AN139,9)&lt;&gt;"Total for",AN139&lt;&gt;"Gross Profit",AN139&lt;&gt;"Net Operating Revenue",AN139&lt;&gt;"Net Other Revenue",AN139&lt;&gt;"Net Revenue"),1,0)</f>
        <v>0</v>
      </c>
      <c r="AR139" s="36" t="str">
        <f aca="false">IF(AQ139=1,IF(AND(LEN(AN139)&gt;7,ISNUMBER(VALUE(LEFT(AN139,6))),MID(AN139,7,1)=" "),LEFT(AN139,6),AN139),"")</f>
        <v/>
      </c>
    </row>
    <row r="140" customFormat="false" ht="15" hidden="false" customHeight="false" outlineLevel="0" collapsed="false">
      <c r="D140" s="36" t="str">
        <f aca="false">TRIM(A140)</f>
        <v/>
      </c>
      <c r="E140" s="36" t="str">
        <f aca="false">IF(D140="Revenue","Revenue",IF(D140="Cost of Goods Sold","COGS",IF(D140="Expenditures","Expense",IF(D140="Other Revenue","Other Revenue",IF(D140="Other Expenditures","Other Expense",E139)))))</f>
        <v/>
      </c>
      <c r="F140" s="36" t="str">
        <f aca="false">IF(OR(D140="Revenue",D140="Cost of Goods Sold",D140="Expenditures",D140="Other Revenue",D140="Other Expenditures"),E140,IF(AND(LEN(D140)&gt;2,MID(D140,2,1)=" ",ISNUMBER(VALUE(LEFT(D140,1)))),D140,F139))</f>
        <v/>
      </c>
      <c r="G140" s="36" t="n">
        <f aca="false">IF(AND(D140&lt;&gt;"",ISNUMBER(B140),LEFT(D140,9)&lt;&gt;"Total for",D140&lt;&gt;"Gross Profit",D140&lt;&gt;"Net Operating Revenue",D140&lt;&gt;"Net Other Revenue",D140&lt;&gt;"Net Revenue"),1,0)</f>
        <v>0</v>
      </c>
      <c r="H140" s="36" t="str">
        <f aca="false">IF(G140=1,IF(AND(LEN(D140)&gt;7,ISNUMBER(VALUE(LEFT(D140,6))),MID(D140,7,1)=" "),LEFT(D140,6),D140),"")</f>
        <v/>
      </c>
      <c r="M140" s="36" t="str">
        <f aca="false">TRIM(J140)</f>
        <v/>
      </c>
      <c r="N140" s="36" t="str">
        <f aca="false">IF(M140="Revenue","Revenue",IF(M140="Cost of Goods Sold","COGS",IF(M140="Expenditures","Expense",IF(M140="Other Revenue","Other Revenue",IF(M140="Other Expenditures","Other Expense",N139)))))</f>
        <v/>
      </c>
      <c r="O140" s="36" t="str">
        <f aca="false">IF(OR(M140="Revenue",M140="Cost of Goods Sold",M140="Expenditures",M140="Other Revenue",M140="Other Expenditures"),N140,IF(AND(LEN(M140)&gt;2,MID(M140,2,1)=" ",ISNUMBER(VALUE(LEFT(M140,1)))),M140,O139))</f>
        <v/>
      </c>
      <c r="P140" s="36" t="n">
        <f aca="false">IF(AND(M140&lt;&gt;"",ISNUMBER(K140),LEFT(M140,9)&lt;&gt;"Total for",M140&lt;&gt;"Gross Profit",M140&lt;&gt;"Net Operating Revenue",M140&lt;&gt;"Net Other Revenue",M140&lt;&gt;"Net Revenue"),1,0)</f>
        <v>0</v>
      </c>
      <c r="Q140" s="36" t="str">
        <f aca="false">IF(P140=1,IF(AND(LEN(M140)&gt;7,ISNUMBER(VALUE(LEFT(M140,6))),MID(M140,7,1)=" "),LEFT(M140,6),M140),"")</f>
        <v/>
      </c>
      <c r="V140" s="36" t="str">
        <f aca="false">TRIM(S140)</f>
        <v/>
      </c>
      <c r="W140" s="36" t="str">
        <f aca="false">IF(V140="Revenue","Revenue",IF(V140="Cost of Goods Sold","COGS",IF(V140="Expenditures","Expense",IF(V140="Other Revenue","Other Revenue",IF(V140="Other Expenditures","Other Expense",W139)))))</f>
        <v/>
      </c>
      <c r="X140" s="36" t="str">
        <f aca="false">IF(OR(V140="Revenue",V140="Cost of Goods Sold",V140="Expenditures",V140="Other Revenue",V140="Other Expenditures"),W140,IF(AND(LEN(V140)&gt;2,MID(V140,2,1)=" ",ISNUMBER(VALUE(LEFT(V140,1)))),V140,X139))</f>
        <v/>
      </c>
      <c r="Y140" s="36" t="n">
        <f aca="false">IF(AND(V140&lt;&gt;"",ISNUMBER(T140),LEFT(V140,9)&lt;&gt;"Total for",V140&lt;&gt;"Gross Profit",V140&lt;&gt;"Net Operating Revenue",V140&lt;&gt;"Net Other Revenue",V140&lt;&gt;"Net Revenue"),1,0)</f>
        <v>0</v>
      </c>
      <c r="Z140" s="36" t="str">
        <f aca="false">IF(Y140=1,IF(AND(LEN(V140)&gt;7,ISNUMBER(VALUE(LEFT(V140,6))),MID(V140,7,1)=" "),LEFT(V140,6),V140),"")</f>
        <v/>
      </c>
      <c r="AE140" s="36" t="str">
        <f aca="false">TRIM(AB140)</f>
        <v/>
      </c>
      <c r="AF140" s="36" t="str">
        <f aca="false">IF(AE140="Revenue","Revenue",IF(AE140="Cost of Goods Sold","COGS",IF(AE140="Expenditures","Expense",IF(AE140="Other Revenue","Other Revenue",IF(AE140="Other Expenditures","Other Expense",AF139)))))</f>
        <v/>
      </c>
      <c r="AG140" s="36" t="str">
        <f aca="false">IF(OR(AE140="Revenue",AE140="Cost of Goods Sold",AE140="Expenditures",AE140="Other Revenue",AE140="Other Expenditures"),AF140,IF(AND(LEN(AE140)&gt;2,MID(AE140,2,1)=" ",ISNUMBER(VALUE(LEFT(AE140,1)))),AE140,AG139))</f>
        <v/>
      </c>
      <c r="AH140" s="36" t="n">
        <f aca="false">IF(AND(AE140&lt;&gt;"",ISNUMBER(AC140),LEFT(AE140,9)&lt;&gt;"Total for",AE140&lt;&gt;"Gross Profit",AE140&lt;&gt;"Net Operating Revenue",AE140&lt;&gt;"Net Other Revenue",AE140&lt;&gt;"Net Revenue"),1,0)</f>
        <v>0</v>
      </c>
      <c r="AI140" s="36" t="str">
        <f aca="false">IF(AH140=1,IF(AND(LEN(AE140)&gt;7,ISNUMBER(VALUE(LEFT(AE140,6))),MID(AE140,7,1)=" "),LEFT(AE140,6),AE140),"")</f>
        <v/>
      </c>
      <c r="AN140" s="36" t="str">
        <f aca="false">TRIM(AK140)</f>
        <v/>
      </c>
      <c r="AO140" s="36" t="str">
        <f aca="false">IF(AN140="Revenue","Revenue",IF(AN140="Cost of Goods Sold","COGS",IF(AN140="Expenditures","Expense",IF(AN140="Other Revenue","Other Revenue",IF(AN140="Other Expenditures","Other Expense",AO139)))))</f>
        <v/>
      </c>
      <c r="AP140" s="36" t="str">
        <f aca="false">IF(OR(AN140="Revenue",AN140="Cost of Goods Sold",AN140="Expenditures",AN140="Other Revenue",AN140="Other Expenditures"),AO140,IF(AND(LEN(AN140)&gt;2,MID(AN140,2,1)=" ",ISNUMBER(VALUE(LEFT(AN140,1)))),AN140,AP139))</f>
        <v/>
      </c>
      <c r="AQ140" s="36" t="n">
        <f aca="false">IF(AND(AN140&lt;&gt;"",ISNUMBER(AL140),LEFT(AN140,9)&lt;&gt;"Total for",AN140&lt;&gt;"Gross Profit",AN140&lt;&gt;"Net Operating Revenue",AN140&lt;&gt;"Net Other Revenue",AN140&lt;&gt;"Net Revenue"),1,0)</f>
        <v>0</v>
      </c>
      <c r="AR140" s="36" t="str">
        <f aca="false">IF(AQ140=1,IF(AND(LEN(AN140)&gt;7,ISNUMBER(VALUE(LEFT(AN140,6))),MID(AN140,7,1)=" "),LEFT(AN140,6),AN140),"")</f>
        <v/>
      </c>
    </row>
    <row r="141" customFormat="false" ht="15" hidden="false" customHeight="false" outlineLevel="0" collapsed="false">
      <c r="D141" s="36" t="str">
        <f aca="false">TRIM(A141)</f>
        <v/>
      </c>
      <c r="E141" s="36" t="str">
        <f aca="false">IF(D141="Revenue","Revenue",IF(D141="Cost of Goods Sold","COGS",IF(D141="Expenditures","Expense",IF(D141="Other Revenue","Other Revenue",IF(D141="Other Expenditures","Other Expense",E140)))))</f>
        <v/>
      </c>
      <c r="F141" s="36" t="str">
        <f aca="false">IF(OR(D141="Revenue",D141="Cost of Goods Sold",D141="Expenditures",D141="Other Revenue",D141="Other Expenditures"),E141,IF(AND(LEN(D141)&gt;2,MID(D141,2,1)=" ",ISNUMBER(VALUE(LEFT(D141,1)))),D141,F140))</f>
        <v/>
      </c>
      <c r="G141" s="36" t="n">
        <f aca="false">IF(AND(D141&lt;&gt;"",ISNUMBER(B141),LEFT(D141,9)&lt;&gt;"Total for",D141&lt;&gt;"Gross Profit",D141&lt;&gt;"Net Operating Revenue",D141&lt;&gt;"Net Other Revenue",D141&lt;&gt;"Net Revenue"),1,0)</f>
        <v>0</v>
      </c>
      <c r="H141" s="36" t="str">
        <f aca="false">IF(G141=1,IF(AND(LEN(D141)&gt;7,ISNUMBER(VALUE(LEFT(D141,6))),MID(D141,7,1)=" "),LEFT(D141,6),D141),"")</f>
        <v/>
      </c>
      <c r="M141" s="36" t="str">
        <f aca="false">TRIM(J141)</f>
        <v/>
      </c>
      <c r="N141" s="36" t="str">
        <f aca="false">IF(M141="Revenue","Revenue",IF(M141="Cost of Goods Sold","COGS",IF(M141="Expenditures","Expense",IF(M141="Other Revenue","Other Revenue",IF(M141="Other Expenditures","Other Expense",N140)))))</f>
        <v/>
      </c>
      <c r="O141" s="36" t="str">
        <f aca="false">IF(OR(M141="Revenue",M141="Cost of Goods Sold",M141="Expenditures",M141="Other Revenue",M141="Other Expenditures"),N141,IF(AND(LEN(M141)&gt;2,MID(M141,2,1)=" ",ISNUMBER(VALUE(LEFT(M141,1)))),M141,O140))</f>
        <v/>
      </c>
      <c r="P141" s="36" t="n">
        <f aca="false">IF(AND(M141&lt;&gt;"",ISNUMBER(K141),LEFT(M141,9)&lt;&gt;"Total for",M141&lt;&gt;"Gross Profit",M141&lt;&gt;"Net Operating Revenue",M141&lt;&gt;"Net Other Revenue",M141&lt;&gt;"Net Revenue"),1,0)</f>
        <v>0</v>
      </c>
      <c r="Q141" s="36" t="str">
        <f aca="false">IF(P141=1,IF(AND(LEN(M141)&gt;7,ISNUMBER(VALUE(LEFT(M141,6))),MID(M141,7,1)=" "),LEFT(M141,6),M141),"")</f>
        <v/>
      </c>
      <c r="V141" s="36" t="str">
        <f aca="false">TRIM(S141)</f>
        <v/>
      </c>
      <c r="W141" s="36" t="str">
        <f aca="false">IF(V141="Revenue","Revenue",IF(V141="Cost of Goods Sold","COGS",IF(V141="Expenditures","Expense",IF(V141="Other Revenue","Other Revenue",IF(V141="Other Expenditures","Other Expense",W140)))))</f>
        <v/>
      </c>
      <c r="X141" s="36" t="str">
        <f aca="false">IF(OR(V141="Revenue",V141="Cost of Goods Sold",V141="Expenditures",V141="Other Revenue",V141="Other Expenditures"),W141,IF(AND(LEN(V141)&gt;2,MID(V141,2,1)=" ",ISNUMBER(VALUE(LEFT(V141,1)))),V141,X140))</f>
        <v/>
      </c>
      <c r="Y141" s="36" t="n">
        <f aca="false">IF(AND(V141&lt;&gt;"",ISNUMBER(T141),LEFT(V141,9)&lt;&gt;"Total for",V141&lt;&gt;"Gross Profit",V141&lt;&gt;"Net Operating Revenue",V141&lt;&gt;"Net Other Revenue",V141&lt;&gt;"Net Revenue"),1,0)</f>
        <v>0</v>
      </c>
      <c r="Z141" s="36" t="str">
        <f aca="false">IF(Y141=1,IF(AND(LEN(V141)&gt;7,ISNUMBER(VALUE(LEFT(V141,6))),MID(V141,7,1)=" "),LEFT(V141,6),V141),"")</f>
        <v/>
      </c>
      <c r="AE141" s="36" t="str">
        <f aca="false">TRIM(AB141)</f>
        <v/>
      </c>
      <c r="AF141" s="36" t="str">
        <f aca="false">IF(AE141="Revenue","Revenue",IF(AE141="Cost of Goods Sold","COGS",IF(AE141="Expenditures","Expense",IF(AE141="Other Revenue","Other Revenue",IF(AE141="Other Expenditures","Other Expense",AF140)))))</f>
        <v/>
      </c>
      <c r="AG141" s="36" t="str">
        <f aca="false">IF(OR(AE141="Revenue",AE141="Cost of Goods Sold",AE141="Expenditures",AE141="Other Revenue",AE141="Other Expenditures"),AF141,IF(AND(LEN(AE141)&gt;2,MID(AE141,2,1)=" ",ISNUMBER(VALUE(LEFT(AE141,1)))),AE141,AG140))</f>
        <v/>
      </c>
      <c r="AH141" s="36" t="n">
        <f aca="false">IF(AND(AE141&lt;&gt;"",ISNUMBER(AC141),LEFT(AE141,9)&lt;&gt;"Total for",AE141&lt;&gt;"Gross Profit",AE141&lt;&gt;"Net Operating Revenue",AE141&lt;&gt;"Net Other Revenue",AE141&lt;&gt;"Net Revenue"),1,0)</f>
        <v>0</v>
      </c>
      <c r="AI141" s="36" t="str">
        <f aca="false">IF(AH141=1,IF(AND(LEN(AE141)&gt;7,ISNUMBER(VALUE(LEFT(AE141,6))),MID(AE141,7,1)=" "),LEFT(AE141,6),AE141),"")</f>
        <v/>
      </c>
      <c r="AN141" s="36" t="str">
        <f aca="false">TRIM(AK141)</f>
        <v/>
      </c>
      <c r="AO141" s="36" t="str">
        <f aca="false">IF(AN141="Revenue","Revenue",IF(AN141="Cost of Goods Sold","COGS",IF(AN141="Expenditures","Expense",IF(AN141="Other Revenue","Other Revenue",IF(AN141="Other Expenditures","Other Expense",AO140)))))</f>
        <v/>
      </c>
      <c r="AP141" s="36" t="str">
        <f aca="false">IF(OR(AN141="Revenue",AN141="Cost of Goods Sold",AN141="Expenditures",AN141="Other Revenue",AN141="Other Expenditures"),AO141,IF(AND(LEN(AN141)&gt;2,MID(AN141,2,1)=" ",ISNUMBER(VALUE(LEFT(AN141,1)))),AN141,AP140))</f>
        <v/>
      </c>
      <c r="AQ141" s="36" t="n">
        <f aca="false">IF(AND(AN141&lt;&gt;"",ISNUMBER(AL141),LEFT(AN141,9)&lt;&gt;"Total for",AN141&lt;&gt;"Gross Profit",AN141&lt;&gt;"Net Operating Revenue",AN141&lt;&gt;"Net Other Revenue",AN141&lt;&gt;"Net Revenue"),1,0)</f>
        <v>0</v>
      </c>
      <c r="AR141" s="36" t="str">
        <f aca="false">IF(AQ141=1,IF(AND(LEN(AN141)&gt;7,ISNUMBER(VALUE(LEFT(AN141,6))),MID(AN141,7,1)=" "),LEFT(AN141,6),AN141),"")</f>
        <v/>
      </c>
    </row>
    <row r="142" customFormat="false" ht="15" hidden="false" customHeight="false" outlineLevel="0" collapsed="false">
      <c r="D142" s="36" t="str">
        <f aca="false">TRIM(A142)</f>
        <v/>
      </c>
      <c r="E142" s="36" t="str">
        <f aca="false">IF(D142="Revenue","Revenue",IF(D142="Cost of Goods Sold","COGS",IF(D142="Expenditures","Expense",IF(D142="Other Revenue","Other Revenue",IF(D142="Other Expenditures","Other Expense",E141)))))</f>
        <v/>
      </c>
      <c r="F142" s="36" t="str">
        <f aca="false">IF(OR(D142="Revenue",D142="Cost of Goods Sold",D142="Expenditures",D142="Other Revenue",D142="Other Expenditures"),E142,IF(AND(LEN(D142)&gt;2,MID(D142,2,1)=" ",ISNUMBER(VALUE(LEFT(D142,1)))),D142,F141))</f>
        <v/>
      </c>
      <c r="G142" s="36" t="n">
        <f aca="false">IF(AND(D142&lt;&gt;"",ISNUMBER(B142),LEFT(D142,9)&lt;&gt;"Total for",D142&lt;&gt;"Gross Profit",D142&lt;&gt;"Net Operating Revenue",D142&lt;&gt;"Net Other Revenue",D142&lt;&gt;"Net Revenue"),1,0)</f>
        <v>0</v>
      </c>
      <c r="H142" s="36" t="str">
        <f aca="false">IF(G142=1,IF(AND(LEN(D142)&gt;7,ISNUMBER(VALUE(LEFT(D142,6))),MID(D142,7,1)=" "),LEFT(D142,6),D142),"")</f>
        <v/>
      </c>
      <c r="M142" s="36" t="str">
        <f aca="false">TRIM(J142)</f>
        <v/>
      </c>
      <c r="N142" s="36" t="str">
        <f aca="false">IF(M142="Revenue","Revenue",IF(M142="Cost of Goods Sold","COGS",IF(M142="Expenditures","Expense",IF(M142="Other Revenue","Other Revenue",IF(M142="Other Expenditures","Other Expense",N141)))))</f>
        <v/>
      </c>
      <c r="O142" s="36" t="str">
        <f aca="false">IF(OR(M142="Revenue",M142="Cost of Goods Sold",M142="Expenditures",M142="Other Revenue",M142="Other Expenditures"),N142,IF(AND(LEN(M142)&gt;2,MID(M142,2,1)=" ",ISNUMBER(VALUE(LEFT(M142,1)))),M142,O141))</f>
        <v/>
      </c>
      <c r="P142" s="36" t="n">
        <f aca="false">IF(AND(M142&lt;&gt;"",ISNUMBER(K142),LEFT(M142,9)&lt;&gt;"Total for",M142&lt;&gt;"Gross Profit",M142&lt;&gt;"Net Operating Revenue",M142&lt;&gt;"Net Other Revenue",M142&lt;&gt;"Net Revenue"),1,0)</f>
        <v>0</v>
      </c>
      <c r="Q142" s="36" t="str">
        <f aca="false">IF(P142=1,IF(AND(LEN(M142)&gt;7,ISNUMBER(VALUE(LEFT(M142,6))),MID(M142,7,1)=" "),LEFT(M142,6),M142),"")</f>
        <v/>
      </c>
      <c r="V142" s="36" t="str">
        <f aca="false">TRIM(S142)</f>
        <v/>
      </c>
      <c r="W142" s="36" t="str">
        <f aca="false">IF(V142="Revenue","Revenue",IF(V142="Cost of Goods Sold","COGS",IF(V142="Expenditures","Expense",IF(V142="Other Revenue","Other Revenue",IF(V142="Other Expenditures","Other Expense",W141)))))</f>
        <v/>
      </c>
      <c r="X142" s="36" t="str">
        <f aca="false">IF(OR(V142="Revenue",V142="Cost of Goods Sold",V142="Expenditures",V142="Other Revenue",V142="Other Expenditures"),W142,IF(AND(LEN(V142)&gt;2,MID(V142,2,1)=" ",ISNUMBER(VALUE(LEFT(V142,1)))),V142,X141))</f>
        <v/>
      </c>
      <c r="Y142" s="36" t="n">
        <f aca="false">IF(AND(V142&lt;&gt;"",ISNUMBER(T142),LEFT(V142,9)&lt;&gt;"Total for",V142&lt;&gt;"Gross Profit",V142&lt;&gt;"Net Operating Revenue",V142&lt;&gt;"Net Other Revenue",V142&lt;&gt;"Net Revenue"),1,0)</f>
        <v>0</v>
      </c>
      <c r="Z142" s="36" t="str">
        <f aca="false">IF(Y142=1,IF(AND(LEN(V142)&gt;7,ISNUMBER(VALUE(LEFT(V142,6))),MID(V142,7,1)=" "),LEFT(V142,6),V142),"")</f>
        <v/>
      </c>
      <c r="AE142" s="36" t="str">
        <f aca="false">TRIM(AB142)</f>
        <v/>
      </c>
      <c r="AF142" s="36" t="str">
        <f aca="false">IF(AE142="Revenue","Revenue",IF(AE142="Cost of Goods Sold","COGS",IF(AE142="Expenditures","Expense",IF(AE142="Other Revenue","Other Revenue",IF(AE142="Other Expenditures","Other Expense",AF141)))))</f>
        <v/>
      </c>
      <c r="AG142" s="36" t="str">
        <f aca="false">IF(OR(AE142="Revenue",AE142="Cost of Goods Sold",AE142="Expenditures",AE142="Other Revenue",AE142="Other Expenditures"),AF142,IF(AND(LEN(AE142)&gt;2,MID(AE142,2,1)=" ",ISNUMBER(VALUE(LEFT(AE142,1)))),AE142,AG141))</f>
        <v/>
      </c>
      <c r="AH142" s="36" t="n">
        <f aca="false">IF(AND(AE142&lt;&gt;"",ISNUMBER(AC142),LEFT(AE142,9)&lt;&gt;"Total for",AE142&lt;&gt;"Gross Profit",AE142&lt;&gt;"Net Operating Revenue",AE142&lt;&gt;"Net Other Revenue",AE142&lt;&gt;"Net Revenue"),1,0)</f>
        <v>0</v>
      </c>
      <c r="AI142" s="36" t="str">
        <f aca="false">IF(AH142=1,IF(AND(LEN(AE142)&gt;7,ISNUMBER(VALUE(LEFT(AE142,6))),MID(AE142,7,1)=" "),LEFT(AE142,6),AE142),"")</f>
        <v/>
      </c>
      <c r="AN142" s="36" t="str">
        <f aca="false">TRIM(AK142)</f>
        <v/>
      </c>
      <c r="AO142" s="36" t="str">
        <f aca="false">IF(AN142="Revenue","Revenue",IF(AN142="Cost of Goods Sold","COGS",IF(AN142="Expenditures","Expense",IF(AN142="Other Revenue","Other Revenue",IF(AN142="Other Expenditures","Other Expense",AO141)))))</f>
        <v/>
      </c>
      <c r="AP142" s="36" t="str">
        <f aca="false">IF(OR(AN142="Revenue",AN142="Cost of Goods Sold",AN142="Expenditures",AN142="Other Revenue",AN142="Other Expenditures"),AO142,IF(AND(LEN(AN142)&gt;2,MID(AN142,2,1)=" ",ISNUMBER(VALUE(LEFT(AN142,1)))),AN142,AP141))</f>
        <v/>
      </c>
      <c r="AQ142" s="36" t="n">
        <f aca="false">IF(AND(AN142&lt;&gt;"",ISNUMBER(AL142),LEFT(AN142,9)&lt;&gt;"Total for",AN142&lt;&gt;"Gross Profit",AN142&lt;&gt;"Net Operating Revenue",AN142&lt;&gt;"Net Other Revenue",AN142&lt;&gt;"Net Revenue"),1,0)</f>
        <v>0</v>
      </c>
      <c r="AR142" s="36" t="str">
        <f aca="false">IF(AQ142=1,IF(AND(LEN(AN142)&gt;7,ISNUMBER(VALUE(LEFT(AN142,6))),MID(AN142,7,1)=" "),LEFT(AN142,6),AN142),"")</f>
        <v/>
      </c>
    </row>
    <row r="143" customFormat="false" ht="15" hidden="false" customHeight="false" outlineLevel="0" collapsed="false">
      <c r="D143" s="36" t="str">
        <f aca="false">TRIM(A143)</f>
        <v/>
      </c>
      <c r="E143" s="36" t="str">
        <f aca="false">IF(D143="Revenue","Revenue",IF(D143="Cost of Goods Sold","COGS",IF(D143="Expenditures","Expense",IF(D143="Other Revenue","Other Revenue",IF(D143="Other Expenditures","Other Expense",E142)))))</f>
        <v/>
      </c>
      <c r="F143" s="36" t="str">
        <f aca="false">IF(OR(D143="Revenue",D143="Cost of Goods Sold",D143="Expenditures",D143="Other Revenue",D143="Other Expenditures"),E143,IF(AND(LEN(D143)&gt;2,MID(D143,2,1)=" ",ISNUMBER(VALUE(LEFT(D143,1)))),D143,F142))</f>
        <v/>
      </c>
      <c r="G143" s="36" t="n">
        <f aca="false">IF(AND(D143&lt;&gt;"",ISNUMBER(B143),LEFT(D143,9)&lt;&gt;"Total for",D143&lt;&gt;"Gross Profit",D143&lt;&gt;"Net Operating Revenue",D143&lt;&gt;"Net Other Revenue",D143&lt;&gt;"Net Revenue"),1,0)</f>
        <v>0</v>
      </c>
      <c r="H143" s="36" t="str">
        <f aca="false">IF(G143=1,IF(AND(LEN(D143)&gt;7,ISNUMBER(VALUE(LEFT(D143,6))),MID(D143,7,1)=" "),LEFT(D143,6),D143),"")</f>
        <v/>
      </c>
      <c r="M143" s="36" t="str">
        <f aca="false">TRIM(J143)</f>
        <v/>
      </c>
      <c r="N143" s="36" t="str">
        <f aca="false">IF(M143="Revenue","Revenue",IF(M143="Cost of Goods Sold","COGS",IF(M143="Expenditures","Expense",IF(M143="Other Revenue","Other Revenue",IF(M143="Other Expenditures","Other Expense",N142)))))</f>
        <v/>
      </c>
      <c r="O143" s="36" t="str">
        <f aca="false">IF(OR(M143="Revenue",M143="Cost of Goods Sold",M143="Expenditures",M143="Other Revenue",M143="Other Expenditures"),N143,IF(AND(LEN(M143)&gt;2,MID(M143,2,1)=" ",ISNUMBER(VALUE(LEFT(M143,1)))),M143,O142))</f>
        <v/>
      </c>
      <c r="P143" s="36" t="n">
        <f aca="false">IF(AND(M143&lt;&gt;"",ISNUMBER(K143),LEFT(M143,9)&lt;&gt;"Total for",M143&lt;&gt;"Gross Profit",M143&lt;&gt;"Net Operating Revenue",M143&lt;&gt;"Net Other Revenue",M143&lt;&gt;"Net Revenue"),1,0)</f>
        <v>0</v>
      </c>
      <c r="Q143" s="36" t="str">
        <f aca="false">IF(P143=1,IF(AND(LEN(M143)&gt;7,ISNUMBER(VALUE(LEFT(M143,6))),MID(M143,7,1)=" "),LEFT(M143,6),M143),"")</f>
        <v/>
      </c>
      <c r="V143" s="36" t="str">
        <f aca="false">TRIM(S143)</f>
        <v/>
      </c>
      <c r="W143" s="36" t="str">
        <f aca="false">IF(V143="Revenue","Revenue",IF(V143="Cost of Goods Sold","COGS",IF(V143="Expenditures","Expense",IF(V143="Other Revenue","Other Revenue",IF(V143="Other Expenditures","Other Expense",W142)))))</f>
        <v/>
      </c>
      <c r="X143" s="36" t="str">
        <f aca="false">IF(OR(V143="Revenue",V143="Cost of Goods Sold",V143="Expenditures",V143="Other Revenue",V143="Other Expenditures"),W143,IF(AND(LEN(V143)&gt;2,MID(V143,2,1)=" ",ISNUMBER(VALUE(LEFT(V143,1)))),V143,X142))</f>
        <v/>
      </c>
      <c r="Y143" s="36" t="n">
        <f aca="false">IF(AND(V143&lt;&gt;"",ISNUMBER(T143),LEFT(V143,9)&lt;&gt;"Total for",V143&lt;&gt;"Gross Profit",V143&lt;&gt;"Net Operating Revenue",V143&lt;&gt;"Net Other Revenue",V143&lt;&gt;"Net Revenue"),1,0)</f>
        <v>0</v>
      </c>
      <c r="Z143" s="36" t="str">
        <f aca="false">IF(Y143=1,IF(AND(LEN(V143)&gt;7,ISNUMBER(VALUE(LEFT(V143,6))),MID(V143,7,1)=" "),LEFT(V143,6),V143),"")</f>
        <v/>
      </c>
      <c r="AE143" s="36" t="str">
        <f aca="false">TRIM(AB143)</f>
        <v/>
      </c>
      <c r="AF143" s="36" t="str">
        <f aca="false">IF(AE143="Revenue","Revenue",IF(AE143="Cost of Goods Sold","COGS",IF(AE143="Expenditures","Expense",IF(AE143="Other Revenue","Other Revenue",IF(AE143="Other Expenditures","Other Expense",AF142)))))</f>
        <v/>
      </c>
      <c r="AG143" s="36" t="str">
        <f aca="false">IF(OR(AE143="Revenue",AE143="Cost of Goods Sold",AE143="Expenditures",AE143="Other Revenue",AE143="Other Expenditures"),AF143,IF(AND(LEN(AE143)&gt;2,MID(AE143,2,1)=" ",ISNUMBER(VALUE(LEFT(AE143,1)))),AE143,AG142))</f>
        <v/>
      </c>
      <c r="AH143" s="36" t="n">
        <f aca="false">IF(AND(AE143&lt;&gt;"",ISNUMBER(AC143),LEFT(AE143,9)&lt;&gt;"Total for",AE143&lt;&gt;"Gross Profit",AE143&lt;&gt;"Net Operating Revenue",AE143&lt;&gt;"Net Other Revenue",AE143&lt;&gt;"Net Revenue"),1,0)</f>
        <v>0</v>
      </c>
      <c r="AI143" s="36" t="str">
        <f aca="false">IF(AH143=1,IF(AND(LEN(AE143)&gt;7,ISNUMBER(VALUE(LEFT(AE143,6))),MID(AE143,7,1)=" "),LEFT(AE143,6),AE143),"")</f>
        <v/>
      </c>
      <c r="AN143" s="36" t="str">
        <f aca="false">TRIM(AK143)</f>
        <v/>
      </c>
      <c r="AO143" s="36" t="str">
        <f aca="false">IF(AN143="Revenue","Revenue",IF(AN143="Cost of Goods Sold","COGS",IF(AN143="Expenditures","Expense",IF(AN143="Other Revenue","Other Revenue",IF(AN143="Other Expenditures","Other Expense",AO142)))))</f>
        <v/>
      </c>
      <c r="AP143" s="36" t="str">
        <f aca="false">IF(OR(AN143="Revenue",AN143="Cost of Goods Sold",AN143="Expenditures",AN143="Other Revenue",AN143="Other Expenditures"),AO143,IF(AND(LEN(AN143)&gt;2,MID(AN143,2,1)=" ",ISNUMBER(VALUE(LEFT(AN143,1)))),AN143,AP142))</f>
        <v/>
      </c>
      <c r="AQ143" s="36" t="n">
        <f aca="false">IF(AND(AN143&lt;&gt;"",ISNUMBER(AL143),LEFT(AN143,9)&lt;&gt;"Total for",AN143&lt;&gt;"Gross Profit",AN143&lt;&gt;"Net Operating Revenue",AN143&lt;&gt;"Net Other Revenue",AN143&lt;&gt;"Net Revenue"),1,0)</f>
        <v>0</v>
      </c>
      <c r="AR143" s="36" t="str">
        <f aca="false">IF(AQ143=1,IF(AND(LEN(AN143)&gt;7,ISNUMBER(VALUE(LEFT(AN143,6))),MID(AN143,7,1)=" "),LEFT(AN143,6),AN143),"")</f>
        <v/>
      </c>
    </row>
    <row r="144" customFormat="false" ht="15" hidden="false" customHeight="false" outlineLevel="0" collapsed="false">
      <c r="D144" s="36" t="str">
        <f aca="false">TRIM(A144)</f>
        <v/>
      </c>
      <c r="E144" s="36" t="str">
        <f aca="false">IF(D144="Revenue","Revenue",IF(D144="Cost of Goods Sold","COGS",IF(D144="Expenditures","Expense",IF(D144="Other Revenue","Other Revenue",IF(D144="Other Expenditures","Other Expense",E143)))))</f>
        <v/>
      </c>
      <c r="F144" s="36" t="str">
        <f aca="false">IF(OR(D144="Revenue",D144="Cost of Goods Sold",D144="Expenditures",D144="Other Revenue",D144="Other Expenditures"),E144,IF(AND(LEN(D144)&gt;2,MID(D144,2,1)=" ",ISNUMBER(VALUE(LEFT(D144,1)))),D144,F143))</f>
        <v/>
      </c>
      <c r="G144" s="36" t="n">
        <f aca="false">IF(AND(D144&lt;&gt;"",ISNUMBER(B144),LEFT(D144,9)&lt;&gt;"Total for",D144&lt;&gt;"Gross Profit",D144&lt;&gt;"Net Operating Revenue",D144&lt;&gt;"Net Other Revenue",D144&lt;&gt;"Net Revenue"),1,0)</f>
        <v>0</v>
      </c>
      <c r="H144" s="36" t="str">
        <f aca="false">IF(G144=1,IF(AND(LEN(D144)&gt;7,ISNUMBER(VALUE(LEFT(D144,6))),MID(D144,7,1)=" "),LEFT(D144,6),D144),"")</f>
        <v/>
      </c>
      <c r="M144" s="36" t="str">
        <f aca="false">TRIM(J144)</f>
        <v/>
      </c>
      <c r="N144" s="36" t="str">
        <f aca="false">IF(M144="Revenue","Revenue",IF(M144="Cost of Goods Sold","COGS",IF(M144="Expenditures","Expense",IF(M144="Other Revenue","Other Revenue",IF(M144="Other Expenditures","Other Expense",N143)))))</f>
        <v/>
      </c>
      <c r="O144" s="36" t="str">
        <f aca="false">IF(OR(M144="Revenue",M144="Cost of Goods Sold",M144="Expenditures",M144="Other Revenue",M144="Other Expenditures"),N144,IF(AND(LEN(M144)&gt;2,MID(M144,2,1)=" ",ISNUMBER(VALUE(LEFT(M144,1)))),M144,O143))</f>
        <v/>
      </c>
      <c r="P144" s="36" t="n">
        <f aca="false">IF(AND(M144&lt;&gt;"",ISNUMBER(K144),LEFT(M144,9)&lt;&gt;"Total for",M144&lt;&gt;"Gross Profit",M144&lt;&gt;"Net Operating Revenue",M144&lt;&gt;"Net Other Revenue",M144&lt;&gt;"Net Revenue"),1,0)</f>
        <v>0</v>
      </c>
      <c r="Q144" s="36" t="str">
        <f aca="false">IF(P144=1,IF(AND(LEN(M144)&gt;7,ISNUMBER(VALUE(LEFT(M144,6))),MID(M144,7,1)=" "),LEFT(M144,6),M144),"")</f>
        <v/>
      </c>
      <c r="V144" s="36" t="str">
        <f aca="false">TRIM(S144)</f>
        <v/>
      </c>
      <c r="W144" s="36" t="str">
        <f aca="false">IF(V144="Revenue","Revenue",IF(V144="Cost of Goods Sold","COGS",IF(V144="Expenditures","Expense",IF(V144="Other Revenue","Other Revenue",IF(V144="Other Expenditures","Other Expense",W143)))))</f>
        <v/>
      </c>
      <c r="X144" s="36" t="str">
        <f aca="false">IF(OR(V144="Revenue",V144="Cost of Goods Sold",V144="Expenditures",V144="Other Revenue",V144="Other Expenditures"),W144,IF(AND(LEN(V144)&gt;2,MID(V144,2,1)=" ",ISNUMBER(VALUE(LEFT(V144,1)))),V144,X143))</f>
        <v/>
      </c>
      <c r="Y144" s="36" t="n">
        <f aca="false">IF(AND(V144&lt;&gt;"",ISNUMBER(T144),LEFT(V144,9)&lt;&gt;"Total for",V144&lt;&gt;"Gross Profit",V144&lt;&gt;"Net Operating Revenue",V144&lt;&gt;"Net Other Revenue",V144&lt;&gt;"Net Revenue"),1,0)</f>
        <v>0</v>
      </c>
      <c r="Z144" s="36" t="str">
        <f aca="false">IF(Y144=1,IF(AND(LEN(V144)&gt;7,ISNUMBER(VALUE(LEFT(V144,6))),MID(V144,7,1)=" "),LEFT(V144,6),V144),"")</f>
        <v/>
      </c>
      <c r="AE144" s="36" t="str">
        <f aca="false">TRIM(AB144)</f>
        <v/>
      </c>
      <c r="AF144" s="36" t="str">
        <f aca="false">IF(AE144="Revenue","Revenue",IF(AE144="Cost of Goods Sold","COGS",IF(AE144="Expenditures","Expense",IF(AE144="Other Revenue","Other Revenue",IF(AE144="Other Expenditures","Other Expense",AF143)))))</f>
        <v/>
      </c>
      <c r="AG144" s="36" t="str">
        <f aca="false">IF(OR(AE144="Revenue",AE144="Cost of Goods Sold",AE144="Expenditures",AE144="Other Revenue",AE144="Other Expenditures"),AF144,IF(AND(LEN(AE144)&gt;2,MID(AE144,2,1)=" ",ISNUMBER(VALUE(LEFT(AE144,1)))),AE144,AG143))</f>
        <v/>
      </c>
      <c r="AH144" s="36" t="n">
        <f aca="false">IF(AND(AE144&lt;&gt;"",ISNUMBER(AC144),LEFT(AE144,9)&lt;&gt;"Total for",AE144&lt;&gt;"Gross Profit",AE144&lt;&gt;"Net Operating Revenue",AE144&lt;&gt;"Net Other Revenue",AE144&lt;&gt;"Net Revenue"),1,0)</f>
        <v>0</v>
      </c>
      <c r="AI144" s="36" t="str">
        <f aca="false">IF(AH144=1,IF(AND(LEN(AE144)&gt;7,ISNUMBER(VALUE(LEFT(AE144,6))),MID(AE144,7,1)=" "),LEFT(AE144,6),AE144),"")</f>
        <v/>
      </c>
      <c r="AN144" s="36" t="str">
        <f aca="false">TRIM(AK144)</f>
        <v/>
      </c>
      <c r="AO144" s="36" t="str">
        <f aca="false">IF(AN144="Revenue","Revenue",IF(AN144="Cost of Goods Sold","COGS",IF(AN144="Expenditures","Expense",IF(AN144="Other Revenue","Other Revenue",IF(AN144="Other Expenditures","Other Expense",AO143)))))</f>
        <v/>
      </c>
      <c r="AP144" s="36" t="str">
        <f aca="false">IF(OR(AN144="Revenue",AN144="Cost of Goods Sold",AN144="Expenditures",AN144="Other Revenue",AN144="Other Expenditures"),AO144,IF(AND(LEN(AN144)&gt;2,MID(AN144,2,1)=" ",ISNUMBER(VALUE(LEFT(AN144,1)))),AN144,AP143))</f>
        <v/>
      </c>
      <c r="AQ144" s="36" t="n">
        <f aca="false">IF(AND(AN144&lt;&gt;"",ISNUMBER(AL144),LEFT(AN144,9)&lt;&gt;"Total for",AN144&lt;&gt;"Gross Profit",AN144&lt;&gt;"Net Operating Revenue",AN144&lt;&gt;"Net Other Revenue",AN144&lt;&gt;"Net Revenue"),1,0)</f>
        <v>0</v>
      </c>
      <c r="AR144" s="36" t="str">
        <f aca="false">IF(AQ144=1,IF(AND(LEN(AN144)&gt;7,ISNUMBER(VALUE(LEFT(AN144,6))),MID(AN144,7,1)=" "),LEFT(AN144,6),AN144),"")</f>
        <v/>
      </c>
    </row>
    <row r="145" customFormat="false" ht="15" hidden="false" customHeight="false" outlineLevel="0" collapsed="false">
      <c r="D145" s="36" t="str">
        <f aca="false">TRIM(A145)</f>
        <v/>
      </c>
      <c r="E145" s="36" t="str">
        <f aca="false">IF(D145="Revenue","Revenue",IF(D145="Cost of Goods Sold","COGS",IF(D145="Expenditures","Expense",IF(D145="Other Revenue","Other Revenue",IF(D145="Other Expenditures","Other Expense",E144)))))</f>
        <v/>
      </c>
      <c r="F145" s="36" t="str">
        <f aca="false">IF(OR(D145="Revenue",D145="Cost of Goods Sold",D145="Expenditures",D145="Other Revenue",D145="Other Expenditures"),E145,IF(AND(LEN(D145)&gt;2,MID(D145,2,1)=" ",ISNUMBER(VALUE(LEFT(D145,1)))),D145,F144))</f>
        <v/>
      </c>
      <c r="G145" s="36" t="n">
        <f aca="false">IF(AND(D145&lt;&gt;"",ISNUMBER(B145),LEFT(D145,9)&lt;&gt;"Total for",D145&lt;&gt;"Gross Profit",D145&lt;&gt;"Net Operating Revenue",D145&lt;&gt;"Net Other Revenue",D145&lt;&gt;"Net Revenue"),1,0)</f>
        <v>0</v>
      </c>
      <c r="H145" s="36" t="str">
        <f aca="false">IF(G145=1,IF(AND(LEN(D145)&gt;7,ISNUMBER(VALUE(LEFT(D145,6))),MID(D145,7,1)=" "),LEFT(D145,6),D145),"")</f>
        <v/>
      </c>
      <c r="M145" s="36" t="str">
        <f aca="false">TRIM(J145)</f>
        <v/>
      </c>
      <c r="N145" s="36" t="str">
        <f aca="false">IF(M145="Revenue","Revenue",IF(M145="Cost of Goods Sold","COGS",IF(M145="Expenditures","Expense",IF(M145="Other Revenue","Other Revenue",IF(M145="Other Expenditures","Other Expense",N144)))))</f>
        <v/>
      </c>
      <c r="O145" s="36" t="str">
        <f aca="false">IF(OR(M145="Revenue",M145="Cost of Goods Sold",M145="Expenditures",M145="Other Revenue",M145="Other Expenditures"),N145,IF(AND(LEN(M145)&gt;2,MID(M145,2,1)=" ",ISNUMBER(VALUE(LEFT(M145,1)))),M145,O144))</f>
        <v/>
      </c>
      <c r="P145" s="36" t="n">
        <f aca="false">IF(AND(M145&lt;&gt;"",ISNUMBER(K145),LEFT(M145,9)&lt;&gt;"Total for",M145&lt;&gt;"Gross Profit",M145&lt;&gt;"Net Operating Revenue",M145&lt;&gt;"Net Other Revenue",M145&lt;&gt;"Net Revenue"),1,0)</f>
        <v>0</v>
      </c>
      <c r="Q145" s="36" t="str">
        <f aca="false">IF(P145=1,IF(AND(LEN(M145)&gt;7,ISNUMBER(VALUE(LEFT(M145,6))),MID(M145,7,1)=" "),LEFT(M145,6),M145),"")</f>
        <v/>
      </c>
      <c r="V145" s="36" t="str">
        <f aca="false">TRIM(S145)</f>
        <v/>
      </c>
      <c r="W145" s="36" t="str">
        <f aca="false">IF(V145="Revenue","Revenue",IF(V145="Cost of Goods Sold","COGS",IF(V145="Expenditures","Expense",IF(V145="Other Revenue","Other Revenue",IF(V145="Other Expenditures","Other Expense",W144)))))</f>
        <v/>
      </c>
      <c r="X145" s="36" t="str">
        <f aca="false">IF(OR(V145="Revenue",V145="Cost of Goods Sold",V145="Expenditures",V145="Other Revenue",V145="Other Expenditures"),W145,IF(AND(LEN(V145)&gt;2,MID(V145,2,1)=" ",ISNUMBER(VALUE(LEFT(V145,1)))),V145,X144))</f>
        <v/>
      </c>
      <c r="Y145" s="36" t="n">
        <f aca="false">IF(AND(V145&lt;&gt;"",ISNUMBER(T145),LEFT(V145,9)&lt;&gt;"Total for",V145&lt;&gt;"Gross Profit",V145&lt;&gt;"Net Operating Revenue",V145&lt;&gt;"Net Other Revenue",V145&lt;&gt;"Net Revenue"),1,0)</f>
        <v>0</v>
      </c>
      <c r="Z145" s="36" t="str">
        <f aca="false">IF(Y145=1,IF(AND(LEN(V145)&gt;7,ISNUMBER(VALUE(LEFT(V145,6))),MID(V145,7,1)=" "),LEFT(V145,6),V145),"")</f>
        <v/>
      </c>
      <c r="AE145" s="36" t="str">
        <f aca="false">TRIM(AB145)</f>
        <v/>
      </c>
      <c r="AF145" s="36" t="str">
        <f aca="false">IF(AE145="Revenue","Revenue",IF(AE145="Cost of Goods Sold","COGS",IF(AE145="Expenditures","Expense",IF(AE145="Other Revenue","Other Revenue",IF(AE145="Other Expenditures","Other Expense",AF144)))))</f>
        <v/>
      </c>
      <c r="AG145" s="36" t="str">
        <f aca="false">IF(OR(AE145="Revenue",AE145="Cost of Goods Sold",AE145="Expenditures",AE145="Other Revenue",AE145="Other Expenditures"),AF145,IF(AND(LEN(AE145)&gt;2,MID(AE145,2,1)=" ",ISNUMBER(VALUE(LEFT(AE145,1)))),AE145,AG144))</f>
        <v/>
      </c>
      <c r="AH145" s="36" t="n">
        <f aca="false">IF(AND(AE145&lt;&gt;"",ISNUMBER(AC145),LEFT(AE145,9)&lt;&gt;"Total for",AE145&lt;&gt;"Gross Profit",AE145&lt;&gt;"Net Operating Revenue",AE145&lt;&gt;"Net Other Revenue",AE145&lt;&gt;"Net Revenue"),1,0)</f>
        <v>0</v>
      </c>
      <c r="AI145" s="36" t="str">
        <f aca="false">IF(AH145=1,IF(AND(LEN(AE145)&gt;7,ISNUMBER(VALUE(LEFT(AE145,6))),MID(AE145,7,1)=" "),LEFT(AE145,6),AE145),"")</f>
        <v/>
      </c>
      <c r="AN145" s="36" t="str">
        <f aca="false">TRIM(AK145)</f>
        <v/>
      </c>
      <c r="AO145" s="36" t="str">
        <f aca="false">IF(AN145="Revenue","Revenue",IF(AN145="Cost of Goods Sold","COGS",IF(AN145="Expenditures","Expense",IF(AN145="Other Revenue","Other Revenue",IF(AN145="Other Expenditures","Other Expense",AO144)))))</f>
        <v/>
      </c>
      <c r="AP145" s="36" t="str">
        <f aca="false">IF(OR(AN145="Revenue",AN145="Cost of Goods Sold",AN145="Expenditures",AN145="Other Revenue",AN145="Other Expenditures"),AO145,IF(AND(LEN(AN145)&gt;2,MID(AN145,2,1)=" ",ISNUMBER(VALUE(LEFT(AN145,1)))),AN145,AP144))</f>
        <v/>
      </c>
      <c r="AQ145" s="36" t="n">
        <f aca="false">IF(AND(AN145&lt;&gt;"",ISNUMBER(AL145),LEFT(AN145,9)&lt;&gt;"Total for",AN145&lt;&gt;"Gross Profit",AN145&lt;&gt;"Net Operating Revenue",AN145&lt;&gt;"Net Other Revenue",AN145&lt;&gt;"Net Revenue"),1,0)</f>
        <v>0</v>
      </c>
      <c r="AR145" s="36" t="str">
        <f aca="false">IF(AQ145=1,IF(AND(LEN(AN145)&gt;7,ISNUMBER(VALUE(LEFT(AN145,6))),MID(AN145,7,1)=" "),LEFT(AN145,6),AN145),"")</f>
        <v/>
      </c>
    </row>
    <row r="146" customFormat="false" ht="15" hidden="false" customHeight="false" outlineLevel="0" collapsed="false">
      <c r="D146" s="36" t="str">
        <f aca="false">TRIM(A146)</f>
        <v/>
      </c>
      <c r="E146" s="36" t="str">
        <f aca="false">IF(D146="Revenue","Revenue",IF(D146="Cost of Goods Sold","COGS",IF(D146="Expenditures","Expense",IF(D146="Other Revenue","Other Revenue",IF(D146="Other Expenditures","Other Expense",E145)))))</f>
        <v/>
      </c>
      <c r="F146" s="36" t="str">
        <f aca="false">IF(OR(D146="Revenue",D146="Cost of Goods Sold",D146="Expenditures",D146="Other Revenue",D146="Other Expenditures"),E146,IF(AND(LEN(D146)&gt;2,MID(D146,2,1)=" ",ISNUMBER(VALUE(LEFT(D146,1)))),D146,F145))</f>
        <v/>
      </c>
      <c r="G146" s="36" t="n">
        <f aca="false">IF(AND(D146&lt;&gt;"",ISNUMBER(B146),LEFT(D146,9)&lt;&gt;"Total for",D146&lt;&gt;"Gross Profit",D146&lt;&gt;"Net Operating Revenue",D146&lt;&gt;"Net Other Revenue",D146&lt;&gt;"Net Revenue"),1,0)</f>
        <v>0</v>
      </c>
      <c r="H146" s="36" t="str">
        <f aca="false">IF(G146=1,IF(AND(LEN(D146)&gt;7,ISNUMBER(VALUE(LEFT(D146,6))),MID(D146,7,1)=" "),LEFT(D146,6),D146),"")</f>
        <v/>
      </c>
      <c r="M146" s="36" t="str">
        <f aca="false">TRIM(J146)</f>
        <v/>
      </c>
      <c r="N146" s="36" t="str">
        <f aca="false">IF(M146="Revenue","Revenue",IF(M146="Cost of Goods Sold","COGS",IF(M146="Expenditures","Expense",IF(M146="Other Revenue","Other Revenue",IF(M146="Other Expenditures","Other Expense",N145)))))</f>
        <v/>
      </c>
      <c r="O146" s="36" t="str">
        <f aca="false">IF(OR(M146="Revenue",M146="Cost of Goods Sold",M146="Expenditures",M146="Other Revenue",M146="Other Expenditures"),N146,IF(AND(LEN(M146)&gt;2,MID(M146,2,1)=" ",ISNUMBER(VALUE(LEFT(M146,1)))),M146,O145))</f>
        <v/>
      </c>
      <c r="P146" s="36" t="n">
        <f aca="false">IF(AND(M146&lt;&gt;"",ISNUMBER(K146),LEFT(M146,9)&lt;&gt;"Total for",M146&lt;&gt;"Gross Profit",M146&lt;&gt;"Net Operating Revenue",M146&lt;&gt;"Net Other Revenue",M146&lt;&gt;"Net Revenue"),1,0)</f>
        <v>0</v>
      </c>
      <c r="Q146" s="36" t="str">
        <f aca="false">IF(P146=1,IF(AND(LEN(M146)&gt;7,ISNUMBER(VALUE(LEFT(M146,6))),MID(M146,7,1)=" "),LEFT(M146,6),M146),"")</f>
        <v/>
      </c>
      <c r="V146" s="36" t="str">
        <f aca="false">TRIM(S146)</f>
        <v/>
      </c>
      <c r="W146" s="36" t="str">
        <f aca="false">IF(V146="Revenue","Revenue",IF(V146="Cost of Goods Sold","COGS",IF(V146="Expenditures","Expense",IF(V146="Other Revenue","Other Revenue",IF(V146="Other Expenditures","Other Expense",W145)))))</f>
        <v/>
      </c>
      <c r="X146" s="36" t="str">
        <f aca="false">IF(OR(V146="Revenue",V146="Cost of Goods Sold",V146="Expenditures",V146="Other Revenue",V146="Other Expenditures"),W146,IF(AND(LEN(V146)&gt;2,MID(V146,2,1)=" ",ISNUMBER(VALUE(LEFT(V146,1)))),V146,X145))</f>
        <v/>
      </c>
      <c r="Y146" s="36" t="n">
        <f aca="false">IF(AND(V146&lt;&gt;"",ISNUMBER(T146),LEFT(V146,9)&lt;&gt;"Total for",V146&lt;&gt;"Gross Profit",V146&lt;&gt;"Net Operating Revenue",V146&lt;&gt;"Net Other Revenue",V146&lt;&gt;"Net Revenue"),1,0)</f>
        <v>0</v>
      </c>
      <c r="Z146" s="36" t="str">
        <f aca="false">IF(Y146=1,IF(AND(LEN(V146)&gt;7,ISNUMBER(VALUE(LEFT(V146,6))),MID(V146,7,1)=" "),LEFT(V146,6),V146),"")</f>
        <v/>
      </c>
      <c r="AE146" s="36" t="str">
        <f aca="false">TRIM(AB146)</f>
        <v/>
      </c>
      <c r="AF146" s="36" t="str">
        <f aca="false">IF(AE146="Revenue","Revenue",IF(AE146="Cost of Goods Sold","COGS",IF(AE146="Expenditures","Expense",IF(AE146="Other Revenue","Other Revenue",IF(AE146="Other Expenditures","Other Expense",AF145)))))</f>
        <v/>
      </c>
      <c r="AG146" s="36" t="str">
        <f aca="false">IF(OR(AE146="Revenue",AE146="Cost of Goods Sold",AE146="Expenditures",AE146="Other Revenue",AE146="Other Expenditures"),AF146,IF(AND(LEN(AE146)&gt;2,MID(AE146,2,1)=" ",ISNUMBER(VALUE(LEFT(AE146,1)))),AE146,AG145))</f>
        <v/>
      </c>
      <c r="AH146" s="36" t="n">
        <f aca="false">IF(AND(AE146&lt;&gt;"",ISNUMBER(AC146),LEFT(AE146,9)&lt;&gt;"Total for",AE146&lt;&gt;"Gross Profit",AE146&lt;&gt;"Net Operating Revenue",AE146&lt;&gt;"Net Other Revenue",AE146&lt;&gt;"Net Revenue"),1,0)</f>
        <v>0</v>
      </c>
      <c r="AI146" s="36" t="str">
        <f aca="false">IF(AH146=1,IF(AND(LEN(AE146)&gt;7,ISNUMBER(VALUE(LEFT(AE146,6))),MID(AE146,7,1)=" "),LEFT(AE146,6),AE146),"")</f>
        <v/>
      </c>
      <c r="AN146" s="36" t="str">
        <f aca="false">TRIM(AK146)</f>
        <v/>
      </c>
      <c r="AO146" s="36" t="str">
        <f aca="false">IF(AN146="Revenue","Revenue",IF(AN146="Cost of Goods Sold","COGS",IF(AN146="Expenditures","Expense",IF(AN146="Other Revenue","Other Revenue",IF(AN146="Other Expenditures","Other Expense",AO145)))))</f>
        <v/>
      </c>
      <c r="AP146" s="36" t="str">
        <f aca="false">IF(OR(AN146="Revenue",AN146="Cost of Goods Sold",AN146="Expenditures",AN146="Other Revenue",AN146="Other Expenditures"),AO146,IF(AND(LEN(AN146)&gt;2,MID(AN146,2,1)=" ",ISNUMBER(VALUE(LEFT(AN146,1)))),AN146,AP145))</f>
        <v/>
      </c>
      <c r="AQ146" s="36" t="n">
        <f aca="false">IF(AND(AN146&lt;&gt;"",ISNUMBER(AL146),LEFT(AN146,9)&lt;&gt;"Total for",AN146&lt;&gt;"Gross Profit",AN146&lt;&gt;"Net Operating Revenue",AN146&lt;&gt;"Net Other Revenue",AN146&lt;&gt;"Net Revenue"),1,0)</f>
        <v>0</v>
      </c>
      <c r="AR146" s="36" t="str">
        <f aca="false">IF(AQ146=1,IF(AND(LEN(AN146)&gt;7,ISNUMBER(VALUE(LEFT(AN146,6))),MID(AN146,7,1)=" "),LEFT(AN146,6),AN146),"")</f>
        <v/>
      </c>
    </row>
    <row r="147" customFormat="false" ht="15" hidden="false" customHeight="false" outlineLevel="0" collapsed="false">
      <c r="D147" s="36" t="str">
        <f aca="false">TRIM(A147)</f>
        <v/>
      </c>
      <c r="E147" s="36" t="str">
        <f aca="false">IF(D147="Revenue","Revenue",IF(D147="Cost of Goods Sold","COGS",IF(D147="Expenditures","Expense",IF(D147="Other Revenue","Other Revenue",IF(D147="Other Expenditures","Other Expense",E146)))))</f>
        <v/>
      </c>
      <c r="F147" s="36" t="str">
        <f aca="false">IF(OR(D147="Revenue",D147="Cost of Goods Sold",D147="Expenditures",D147="Other Revenue",D147="Other Expenditures"),E147,IF(AND(LEN(D147)&gt;2,MID(D147,2,1)=" ",ISNUMBER(VALUE(LEFT(D147,1)))),D147,F146))</f>
        <v/>
      </c>
      <c r="G147" s="36" t="n">
        <f aca="false">IF(AND(D147&lt;&gt;"",ISNUMBER(B147),LEFT(D147,9)&lt;&gt;"Total for",D147&lt;&gt;"Gross Profit",D147&lt;&gt;"Net Operating Revenue",D147&lt;&gt;"Net Other Revenue",D147&lt;&gt;"Net Revenue"),1,0)</f>
        <v>0</v>
      </c>
      <c r="H147" s="36" t="str">
        <f aca="false">IF(G147=1,IF(AND(LEN(D147)&gt;7,ISNUMBER(VALUE(LEFT(D147,6))),MID(D147,7,1)=" "),LEFT(D147,6),D147),"")</f>
        <v/>
      </c>
      <c r="M147" s="36" t="str">
        <f aca="false">TRIM(J147)</f>
        <v/>
      </c>
      <c r="N147" s="36" t="str">
        <f aca="false">IF(M147="Revenue","Revenue",IF(M147="Cost of Goods Sold","COGS",IF(M147="Expenditures","Expense",IF(M147="Other Revenue","Other Revenue",IF(M147="Other Expenditures","Other Expense",N146)))))</f>
        <v/>
      </c>
      <c r="O147" s="36" t="str">
        <f aca="false">IF(OR(M147="Revenue",M147="Cost of Goods Sold",M147="Expenditures",M147="Other Revenue",M147="Other Expenditures"),N147,IF(AND(LEN(M147)&gt;2,MID(M147,2,1)=" ",ISNUMBER(VALUE(LEFT(M147,1)))),M147,O146))</f>
        <v/>
      </c>
      <c r="P147" s="36" t="n">
        <f aca="false">IF(AND(M147&lt;&gt;"",ISNUMBER(K147),LEFT(M147,9)&lt;&gt;"Total for",M147&lt;&gt;"Gross Profit",M147&lt;&gt;"Net Operating Revenue",M147&lt;&gt;"Net Other Revenue",M147&lt;&gt;"Net Revenue"),1,0)</f>
        <v>0</v>
      </c>
      <c r="Q147" s="36" t="str">
        <f aca="false">IF(P147=1,IF(AND(LEN(M147)&gt;7,ISNUMBER(VALUE(LEFT(M147,6))),MID(M147,7,1)=" "),LEFT(M147,6),M147),"")</f>
        <v/>
      </c>
      <c r="V147" s="36" t="str">
        <f aca="false">TRIM(S147)</f>
        <v/>
      </c>
      <c r="W147" s="36" t="str">
        <f aca="false">IF(V147="Revenue","Revenue",IF(V147="Cost of Goods Sold","COGS",IF(V147="Expenditures","Expense",IF(V147="Other Revenue","Other Revenue",IF(V147="Other Expenditures","Other Expense",W146)))))</f>
        <v/>
      </c>
      <c r="X147" s="36" t="str">
        <f aca="false">IF(OR(V147="Revenue",V147="Cost of Goods Sold",V147="Expenditures",V147="Other Revenue",V147="Other Expenditures"),W147,IF(AND(LEN(V147)&gt;2,MID(V147,2,1)=" ",ISNUMBER(VALUE(LEFT(V147,1)))),V147,X146))</f>
        <v/>
      </c>
      <c r="Y147" s="36" t="n">
        <f aca="false">IF(AND(V147&lt;&gt;"",ISNUMBER(T147),LEFT(V147,9)&lt;&gt;"Total for",V147&lt;&gt;"Gross Profit",V147&lt;&gt;"Net Operating Revenue",V147&lt;&gt;"Net Other Revenue",V147&lt;&gt;"Net Revenue"),1,0)</f>
        <v>0</v>
      </c>
      <c r="Z147" s="36" t="str">
        <f aca="false">IF(Y147=1,IF(AND(LEN(V147)&gt;7,ISNUMBER(VALUE(LEFT(V147,6))),MID(V147,7,1)=" "),LEFT(V147,6),V147),"")</f>
        <v/>
      </c>
      <c r="AE147" s="36" t="str">
        <f aca="false">TRIM(AB147)</f>
        <v/>
      </c>
      <c r="AF147" s="36" t="str">
        <f aca="false">IF(AE147="Revenue","Revenue",IF(AE147="Cost of Goods Sold","COGS",IF(AE147="Expenditures","Expense",IF(AE147="Other Revenue","Other Revenue",IF(AE147="Other Expenditures","Other Expense",AF146)))))</f>
        <v/>
      </c>
      <c r="AG147" s="36" t="str">
        <f aca="false">IF(OR(AE147="Revenue",AE147="Cost of Goods Sold",AE147="Expenditures",AE147="Other Revenue",AE147="Other Expenditures"),AF147,IF(AND(LEN(AE147)&gt;2,MID(AE147,2,1)=" ",ISNUMBER(VALUE(LEFT(AE147,1)))),AE147,AG146))</f>
        <v/>
      </c>
      <c r="AH147" s="36" t="n">
        <f aca="false">IF(AND(AE147&lt;&gt;"",ISNUMBER(AC147),LEFT(AE147,9)&lt;&gt;"Total for",AE147&lt;&gt;"Gross Profit",AE147&lt;&gt;"Net Operating Revenue",AE147&lt;&gt;"Net Other Revenue",AE147&lt;&gt;"Net Revenue"),1,0)</f>
        <v>0</v>
      </c>
      <c r="AI147" s="36" t="str">
        <f aca="false">IF(AH147=1,IF(AND(LEN(AE147)&gt;7,ISNUMBER(VALUE(LEFT(AE147,6))),MID(AE147,7,1)=" "),LEFT(AE147,6),AE147),"")</f>
        <v/>
      </c>
      <c r="AN147" s="36" t="str">
        <f aca="false">TRIM(AK147)</f>
        <v/>
      </c>
      <c r="AO147" s="36" t="str">
        <f aca="false">IF(AN147="Revenue","Revenue",IF(AN147="Cost of Goods Sold","COGS",IF(AN147="Expenditures","Expense",IF(AN147="Other Revenue","Other Revenue",IF(AN147="Other Expenditures","Other Expense",AO146)))))</f>
        <v/>
      </c>
      <c r="AP147" s="36" t="str">
        <f aca="false">IF(OR(AN147="Revenue",AN147="Cost of Goods Sold",AN147="Expenditures",AN147="Other Revenue",AN147="Other Expenditures"),AO147,IF(AND(LEN(AN147)&gt;2,MID(AN147,2,1)=" ",ISNUMBER(VALUE(LEFT(AN147,1)))),AN147,AP146))</f>
        <v/>
      </c>
      <c r="AQ147" s="36" t="n">
        <f aca="false">IF(AND(AN147&lt;&gt;"",ISNUMBER(AL147),LEFT(AN147,9)&lt;&gt;"Total for",AN147&lt;&gt;"Gross Profit",AN147&lt;&gt;"Net Operating Revenue",AN147&lt;&gt;"Net Other Revenue",AN147&lt;&gt;"Net Revenue"),1,0)</f>
        <v>0</v>
      </c>
      <c r="AR147" s="36" t="str">
        <f aca="false">IF(AQ147=1,IF(AND(LEN(AN147)&gt;7,ISNUMBER(VALUE(LEFT(AN147,6))),MID(AN147,7,1)=" "),LEFT(AN147,6),AN147),"")</f>
        <v/>
      </c>
    </row>
    <row r="148" customFormat="false" ht="15" hidden="false" customHeight="false" outlineLevel="0" collapsed="false">
      <c r="D148" s="36" t="str">
        <f aca="false">TRIM(A148)</f>
        <v/>
      </c>
      <c r="E148" s="36" t="str">
        <f aca="false">IF(D148="Revenue","Revenue",IF(D148="Cost of Goods Sold","COGS",IF(D148="Expenditures","Expense",IF(D148="Other Revenue","Other Revenue",IF(D148="Other Expenditures","Other Expense",E147)))))</f>
        <v/>
      </c>
      <c r="F148" s="36" t="str">
        <f aca="false">IF(OR(D148="Revenue",D148="Cost of Goods Sold",D148="Expenditures",D148="Other Revenue",D148="Other Expenditures"),E148,IF(AND(LEN(D148)&gt;2,MID(D148,2,1)=" ",ISNUMBER(VALUE(LEFT(D148,1)))),D148,F147))</f>
        <v/>
      </c>
      <c r="G148" s="36" t="n">
        <f aca="false">IF(AND(D148&lt;&gt;"",ISNUMBER(B148),LEFT(D148,9)&lt;&gt;"Total for",D148&lt;&gt;"Gross Profit",D148&lt;&gt;"Net Operating Revenue",D148&lt;&gt;"Net Other Revenue",D148&lt;&gt;"Net Revenue"),1,0)</f>
        <v>0</v>
      </c>
      <c r="H148" s="36" t="str">
        <f aca="false">IF(G148=1,IF(AND(LEN(D148)&gt;7,ISNUMBER(VALUE(LEFT(D148,6))),MID(D148,7,1)=" "),LEFT(D148,6),D148),"")</f>
        <v/>
      </c>
      <c r="M148" s="36" t="str">
        <f aca="false">TRIM(J148)</f>
        <v/>
      </c>
      <c r="N148" s="36" t="str">
        <f aca="false">IF(M148="Revenue","Revenue",IF(M148="Cost of Goods Sold","COGS",IF(M148="Expenditures","Expense",IF(M148="Other Revenue","Other Revenue",IF(M148="Other Expenditures","Other Expense",N147)))))</f>
        <v/>
      </c>
      <c r="O148" s="36" t="str">
        <f aca="false">IF(OR(M148="Revenue",M148="Cost of Goods Sold",M148="Expenditures",M148="Other Revenue",M148="Other Expenditures"),N148,IF(AND(LEN(M148)&gt;2,MID(M148,2,1)=" ",ISNUMBER(VALUE(LEFT(M148,1)))),M148,O147))</f>
        <v/>
      </c>
      <c r="P148" s="36" t="n">
        <f aca="false">IF(AND(M148&lt;&gt;"",ISNUMBER(K148),LEFT(M148,9)&lt;&gt;"Total for",M148&lt;&gt;"Gross Profit",M148&lt;&gt;"Net Operating Revenue",M148&lt;&gt;"Net Other Revenue",M148&lt;&gt;"Net Revenue"),1,0)</f>
        <v>0</v>
      </c>
      <c r="Q148" s="36" t="str">
        <f aca="false">IF(P148=1,IF(AND(LEN(M148)&gt;7,ISNUMBER(VALUE(LEFT(M148,6))),MID(M148,7,1)=" "),LEFT(M148,6),M148),"")</f>
        <v/>
      </c>
      <c r="V148" s="36" t="str">
        <f aca="false">TRIM(S148)</f>
        <v/>
      </c>
      <c r="W148" s="36" t="str">
        <f aca="false">IF(V148="Revenue","Revenue",IF(V148="Cost of Goods Sold","COGS",IF(V148="Expenditures","Expense",IF(V148="Other Revenue","Other Revenue",IF(V148="Other Expenditures","Other Expense",W147)))))</f>
        <v/>
      </c>
      <c r="X148" s="36" t="str">
        <f aca="false">IF(OR(V148="Revenue",V148="Cost of Goods Sold",V148="Expenditures",V148="Other Revenue",V148="Other Expenditures"),W148,IF(AND(LEN(V148)&gt;2,MID(V148,2,1)=" ",ISNUMBER(VALUE(LEFT(V148,1)))),V148,X147))</f>
        <v/>
      </c>
      <c r="Y148" s="36" t="n">
        <f aca="false">IF(AND(V148&lt;&gt;"",ISNUMBER(T148),LEFT(V148,9)&lt;&gt;"Total for",V148&lt;&gt;"Gross Profit",V148&lt;&gt;"Net Operating Revenue",V148&lt;&gt;"Net Other Revenue",V148&lt;&gt;"Net Revenue"),1,0)</f>
        <v>0</v>
      </c>
      <c r="Z148" s="36" t="str">
        <f aca="false">IF(Y148=1,IF(AND(LEN(V148)&gt;7,ISNUMBER(VALUE(LEFT(V148,6))),MID(V148,7,1)=" "),LEFT(V148,6),V148),"")</f>
        <v/>
      </c>
      <c r="AE148" s="36" t="str">
        <f aca="false">TRIM(AB148)</f>
        <v/>
      </c>
      <c r="AF148" s="36" t="str">
        <f aca="false">IF(AE148="Revenue","Revenue",IF(AE148="Cost of Goods Sold","COGS",IF(AE148="Expenditures","Expense",IF(AE148="Other Revenue","Other Revenue",IF(AE148="Other Expenditures","Other Expense",AF147)))))</f>
        <v/>
      </c>
      <c r="AG148" s="36" t="str">
        <f aca="false">IF(OR(AE148="Revenue",AE148="Cost of Goods Sold",AE148="Expenditures",AE148="Other Revenue",AE148="Other Expenditures"),AF148,IF(AND(LEN(AE148)&gt;2,MID(AE148,2,1)=" ",ISNUMBER(VALUE(LEFT(AE148,1)))),AE148,AG147))</f>
        <v/>
      </c>
      <c r="AH148" s="36" t="n">
        <f aca="false">IF(AND(AE148&lt;&gt;"",ISNUMBER(AC148),LEFT(AE148,9)&lt;&gt;"Total for",AE148&lt;&gt;"Gross Profit",AE148&lt;&gt;"Net Operating Revenue",AE148&lt;&gt;"Net Other Revenue",AE148&lt;&gt;"Net Revenue"),1,0)</f>
        <v>0</v>
      </c>
      <c r="AI148" s="36" t="str">
        <f aca="false">IF(AH148=1,IF(AND(LEN(AE148)&gt;7,ISNUMBER(VALUE(LEFT(AE148,6))),MID(AE148,7,1)=" "),LEFT(AE148,6),AE148),"")</f>
        <v/>
      </c>
      <c r="AN148" s="36" t="str">
        <f aca="false">TRIM(AK148)</f>
        <v/>
      </c>
      <c r="AO148" s="36" t="str">
        <f aca="false">IF(AN148="Revenue","Revenue",IF(AN148="Cost of Goods Sold","COGS",IF(AN148="Expenditures","Expense",IF(AN148="Other Revenue","Other Revenue",IF(AN148="Other Expenditures","Other Expense",AO147)))))</f>
        <v/>
      </c>
      <c r="AP148" s="36" t="str">
        <f aca="false">IF(OR(AN148="Revenue",AN148="Cost of Goods Sold",AN148="Expenditures",AN148="Other Revenue",AN148="Other Expenditures"),AO148,IF(AND(LEN(AN148)&gt;2,MID(AN148,2,1)=" ",ISNUMBER(VALUE(LEFT(AN148,1)))),AN148,AP147))</f>
        <v/>
      </c>
      <c r="AQ148" s="36" t="n">
        <f aca="false">IF(AND(AN148&lt;&gt;"",ISNUMBER(AL148),LEFT(AN148,9)&lt;&gt;"Total for",AN148&lt;&gt;"Gross Profit",AN148&lt;&gt;"Net Operating Revenue",AN148&lt;&gt;"Net Other Revenue",AN148&lt;&gt;"Net Revenue"),1,0)</f>
        <v>0</v>
      </c>
      <c r="AR148" s="36" t="str">
        <f aca="false">IF(AQ148=1,IF(AND(LEN(AN148)&gt;7,ISNUMBER(VALUE(LEFT(AN148,6))),MID(AN148,7,1)=" "),LEFT(AN148,6),AN148),"")</f>
        <v/>
      </c>
    </row>
    <row r="149" customFormat="false" ht="15" hidden="false" customHeight="false" outlineLevel="0" collapsed="false">
      <c r="D149" s="36" t="str">
        <f aca="false">TRIM(A149)</f>
        <v/>
      </c>
      <c r="E149" s="36" t="str">
        <f aca="false">IF(D149="Revenue","Revenue",IF(D149="Cost of Goods Sold","COGS",IF(D149="Expenditures","Expense",IF(D149="Other Revenue","Other Revenue",IF(D149="Other Expenditures","Other Expense",E148)))))</f>
        <v/>
      </c>
      <c r="F149" s="36" t="str">
        <f aca="false">IF(OR(D149="Revenue",D149="Cost of Goods Sold",D149="Expenditures",D149="Other Revenue",D149="Other Expenditures"),E149,IF(AND(LEN(D149)&gt;2,MID(D149,2,1)=" ",ISNUMBER(VALUE(LEFT(D149,1)))),D149,F148))</f>
        <v/>
      </c>
      <c r="G149" s="36" t="n">
        <f aca="false">IF(AND(D149&lt;&gt;"",ISNUMBER(B149),LEFT(D149,9)&lt;&gt;"Total for",D149&lt;&gt;"Gross Profit",D149&lt;&gt;"Net Operating Revenue",D149&lt;&gt;"Net Other Revenue",D149&lt;&gt;"Net Revenue"),1,0)</f>
        <v>0</v>
      </c>
      <c r="H149" s="36" t="str">
        <f aca="false">IF(G149=1,IF(AND(LEN(D149)&gt;7,ISNUMBER(VALUE(LEFT(D149,6))),MID(D149,7,1)=" "),LEFT(D149,6),D149),"")</f>
        <v/>
      </c>
      <c r="M149" s="36" t="str">
        <f aca="false">TRIM(J149)</f>
        <v/>
      </c>
      <c r="N149" s="36" t="str">
        <f aca="false">IF(M149="Revenue","Revenue",IF(M149="Cost of Goods Sold","COGS",IF(M149="Expenditures","Expense",IF(M149="Other Revenue","Other Revenue",IF(M149="Other Expenditures","Other Expense",N148)))))</f>
        <v/>
      </c>
      <c r="O149" s="36" t="str">
        <f aca="false">IF(OR(M149="Revenue",M149="Cost of Goods Sold",M149="Expenditures",M149="Other Revenue",M149="Other Expenditures"),N149,IF(AND(LEN(M149)&gt;2,MID(M149,2,1)=" ",ISNUMBER(VALUE(LEFT(M149,1)))),M149,O148))</f>
        <v/>
      </c>
      <c r="P149" s="36" t="n">
        <f aca="false">IF(AND(M149&lt;&gt;"",ISNUMBER(K149),LEFT(M149,9)&lt;&gt;"Total for",M149&lt;&gt;"Gross Profit",M149&lt;&gt;"Net Operating Revenue",M149&lt;&gt;"Net Other Revenue",M149&lt;&gt;"Net Revenue"),1,0)</f>
        <v>0</v>
      </c>
      <c r="Q149" s="36" t="str">
        <f aca="false">IF(P149=1,IF(AND(LEN(M149)&gt;7,ISNUMBER(VALUE(LEFT(M149,6))),MID(M149,7,1)=" "),LEFT(M149,6),M149),"")</f>
        <v/>
      </c>
      <c r="V149" s="36" t="str">
        <f aca="false">TRIM(S149)</f>
        <v/>
      </c>
      <c r="W149" s="36" t="str">
        <f aca="false">IF(V149="Revenue","Revenue",IF(V149="Cost of Goods Sold","COGS",IF(V149="Expenditures","Expense",IF(V149="Other Revenue","Other Revenue",IF(V149="Other Expenditures","Other Expense",W148)))))</f>
        <v/>
      </c>
      <c r="X149" s="36" t="str">
        <f aca="false">IF(OR(V149="Revenue",V149="Cost of Goods Sold",V149="Expenditures",V149="Other Revenue",V149="Other Expenditures"),W149,IF(AND(LEN(V149)&gt;2,MID(V149,2,1)=" ",ISNUMBER(VALUE(LEFT(V149,1)))),V149,X148))</f>
        <v/>
      </c>
      <c r="Y149" s="36" t="n">
        <f aca="false">IF(AND(V149&lt;&gt;"",ISNUMBER(T149),LEFT(V149,9)&lt;&gt;"Total for",V149&lt;&gt;"Gross Profit",V149&lt;&gt;"Net Operating Revenue",V149&lt;&gt;"Net Other Revenue",V149&lt;&gt;"Net Revenue"),1,0)</f>
        <v>0</v>
      </c>
      <c r="Z149" s="36" t="str">
        <f aca="false">IF(Y149=1,IF(AND(LEN(V149)&gt;7,ISNUMBER(VALUE(LEFT(V149,6))),MID(V149,7,1)=" "),LEFT(V149,6),V149),"")</f>
        <v/>
      </c>
      <c r="AE149" s="36" t="str">
        <f aca="false">TRIM(AB149)</f>
        <v/>
      </c>
      <c r="AF149" s="36" t="str">
        <f aca="false">IF(AE149="Revenue","Revenue",IF(AE149="Cost of Goods Sold","COGS",IF(AE149="Expenditures","Expense",IF(AE149="Other Revenue","Other Revenue",IF(AE149="Other Expenditures","Other Expense",AF148)))))</f>
        <v/>
      </c>
      <c r="AG149" s="36" t="str">
        <f aca="false">IF(OR(AE149="Revenue",AE149="Cost of Goods Sold",AE149="Expenditures",AE149="Other Revenue",AE149="Other Expenditures"),AF149,IF(AND(LEN(AE149)&gt;2,MID(AE149,2,1)=" ",ISNUMBER(VALUE(LEFT(AE149,1)))),AE149,AG148))</f>
        <v/>
      </c>
      <c r="AH149" s="36" t="n">
        <f aca="false">IF(AND(AE149&lt;&gt;"",ISNUMBER(AC149),LEFT(AE149,9)&lt;&gt;"Total for",AE149&lt;&gt;"Gross Profit",AE149&lt;&gt;"Net Operating Revenue",AE149&lt;&gt;"Net Other Revenue",AE149&lt;&gt;"Net Revenue"),1,0)</f>
        <v>0</v>
      </c>
      <c r="AI149" s="36" t="str">
        <f aca="false">IF(AH149=1,IF(AND(LEN(AE149)&gt;7,ISNUMBER(VALUE(LEFT(AE149,6))),MID(AE149,7,1)=" "),LEFT(AE149,6),AE149),"")</f>
        <v/>
      </c>
      <c r="AN149" s="36" t="str">
        <f aca="false">TRIM(AK149)</f>
        <v/>
      </c>
      <c r="AO149" s="36" t="str">
        <f aca="false">IF(AN149="Revenue","Revenue",IF(AN149="Cost of Goods Sold","COGS",IF(AN149="Expenditures","Expense",IF(AN149="Other Revenue","Other Revenue",IF(AN149="Other Expenditures","Other Expense",AO148)))))</f>
        <v/>
      </c>
      <c r="AP149" s="36" t="str">
        <f aca="false">IF(OR(AN149="Revenue",AN149="Cost of Goods Sold",AN149="Expenditures",AN149="Other Revenue",AN149="Other Expenditures"),AO149,IF(AND(LEN(AN149)&gt;2,MID(AN149,2,1)=" ",ISNUMBER(VALUE(LEFT(AN149,1)))),AN149,AP148))</f>
        <v/>
      </c>
      <c r="AQ149" s="36" t="n">
        <f aca="false">IF(AND(AN149&lt;&gt;"",ISNUMBER(AL149),LEFT(AN149,9)&lt;&gt;"Total for",AN149&lt;&gt;"Gross Profit",AN149&lt;&gt;"Net Operating Revenue",AN149&lt;&gt;"Net Other Revenue",AN149&lt;&gt;"Net Revenue"),1,0)</f>
        <v>0</v>
      </c>
      <c r="AR149" s="36" t="str">
        <f aca="false">IF(AQ149=1,IF(AND(LEN(AN149)&gt;7,ISNUMBER(VALUE(LEFT(AN149,6))),MID(AN149,7,1)=" "),LEFT(AN149,6),AN149),"")</f>
        <v/>
      </c>
    </row>
    <row r="150" customFormat="false" ht="15" hidden="false" customHeight="false" outlineLevel="0" collapsed="false">
      <c r="D150" s="36" t="str">
        <f aca="false">TRIM(A150)</f>
        <v/>
      </c>
      <c r="E150" s="36" t="str">
        <f aca="false">IF(D150="Revenue","Revenue",IF(D150="Cost of Goods Sold","COGS",IF(D150="Expenditures","Expense",IF(D150="Other Revenue","Other Revenue",IF(D150="Other Expenditures","Other Expense",E149)))))</f>
        <v/>
      </c>
      <c r="F150" s="36" t="str">
        <f aca="false">IF(OR(D150="Revenue",D150="Cost of Goods Sold",D150="Expenditures",D150="Other Revenue",D150="Other Expenditures"),E150,IF(AND(LEN(D150)&gt;2,MID(D150,2,1)=" ",ISNUMBER(VALUE(LEFT(D150,1)))),D150,F149))</f>
        <v/>
      </c>
      <c r="G150" s="36" t="n">
        <f aca="false">IF(AND(D150&lt;&gt;"",ISNUMBER(B150),LEFT(D150,9)&lt;&gt;"Total for",D150&lt;&gt;"Gross Profit",D150&lt;&gt;"Net Operating Revenue",D150&lt;&gt;"Net Other Revenue",D150&lt;&gt;"Net Revenue"),1,0)</f>
        <v>0</v>
      </c>
      <c r="H150" s="36" t="str">
        <f aca="false">IF(G150=1,IF(AND(LEN(D150)&gt;7,ISNUMBER(VALUE(LEFT(D150,6))),MID(D150,7,1)=" "),LEFT(D150,6),D150),"")</f>
        <v/>
      </c>
      <c r="M150" s="36" t="str">
        <f aca="false">TRIM(J150)</f>
        <v/>
      </c>
      <c r="N150" s="36" t="str">
        <f aca="false">IF(M150="Revenue","Revenue",IF(M150="Cost of Goods Sold","COGS",IF(M150="Expenditures","Expense",IF(M150="Other Revenue","Other Revenue",IF(M150="Other Expenditures","Other Expense",N149)))))</f>
        <v/>
      </c>
      <c r="O150" s="36" t="str">
        <f aca="false">IF(OR(M150="Revenue",M150="Cost of Goods Sold",M150="Expenditures",M150="Other Revenue",M150="Other Expenditures"),N150,IF(AND(LEN(M150)&gt;2,MID(M150,2,1)=" ",ISNUMBER(VALUE(LEFT(M150,1)))),M150,O149))</f>
        <v/>
      </c>
      <c r="P150" s="36" t="n">
        <f aca="false">IF(AND(M150&lt;&gt;"",ISNUMBER(K150),LEFT(M150,9)&lt;&gt;"Total for",M150&lt;&gt;"Gross Profit",M150&lt;&gt;"Net Operating Revenue",M150&lt;&gt;"Net Other Revenue",M150&lt;&gt;"Net Revenue"),1,0)</f>
        <v>0</v>
      </c>
      <c r="Q150" s="36" t="str">
        <f aca="false">IF(P150=1,IF(AND(LEN(M150)&gt;7,ISNUMBER(VALUE(LEFT(M150,6))),MID(M150,7,1)=" "),LEFT(M150,6),M150),"")</f>
        <v/>
      </c>
      <c r="V150" s="36" t="str">
        <f aca="false">TRIM(S150)</f>
        <v/>
      </c>
      <c r="W150" s="36" t="str">
        <f aca="false">IF(V150="Revenue","Revenue",IF(V150="Cost of Goods Sold","COGS",IF(V150="Expenditures","Expense",IF(V150="Other Revenue","Other Revenue",IF(V150="Other Expenditures","Other Expense",W149)))))</f>
        <v/>
      </c>
      <c r="X150" s="36" t="str">
        <f aca="false">IF(OR(V150="Revenue",V150="Cost of Goods Sold",V150="Expenditures",V150="Other Revenue",V150="Other Expenditures"),W150,IF(AND(LEN(V150)&gt;2,MID(V150,2,1)=" ",ISNUMBER(VALUE(LEFT(V150,1)))),V150,X149))</f>
        <v/>
      </c>
      <c r="Y150" s="36" t="n">
        <f aca="false">IF(AND(V150&lt;&gt;"",ISNUMBER(T150),LEFT(V150,9)&lt;&gt;"Total for",V150&lt;&gt;"Gross Profit",V150&lt;&gt;"Net Operating Revenue",V150&lt;&gt;"Net Other Revenue",V150&lt;&gt;"Net Revenue"),1,0)</f>
        <v>0</v>
      </c>
      <c r="Z150" s="36" t="str">
        <f aca="false">IF(Y150=1,IF(AND(LEN(V150)&gt;7,ISNUMBER(VALUE(LEFT(V150,6))),MID(V150,7,1)=" "),LEFT(V150,6),V150),"")</f>
        <v/>
      </c>
      <c r="AE150" s="36" t="str">
        <f aca="false">TRIM(AB150)</f>
        <v/>
      </c>
      <c r="AF150" s="36" t="str">
        <f aca="false">IF(AE150="Revenue","Revenue",IF(AE150="Cost of Goods Sold","COGS",IF(AE150="Expenditures","Expense",IF(AE150="Other Revenue","Other Revenue",IF(AE150="Other Expenditures","Other Expense",AF149)))))</f>
        <v/>
      </c>
      <c r="AG150" s="36" t="str">
        <f aca="false">IF(OR(AE150="Revenue",AE150="Cost of Goods Sold",AE150="Expenditures",AE150="Other Revenue",AE150="Other Expenditures"),AF150,IF(AND(LEN(AE150)&gt;2,MID(AE150,2,1)=" ",ISNUMBER(VALUE(LEFT(AE150,1)))),AE150,AG149))</f>
        <v/>
      </c>
      <c r="AH150" s="36" t="n">
        <f aca="false">IF(AND(AE150&lt;&gt;"",ISNUMBER(AC150),LEFT(AE150,9)&lt;&gt;"Total for",AE150&lt;&gt;"Gross Profit",AE150&lt;&gt;"Net Operating Revenue",AE150&lt;&gt;"Net Other Revenue",AE150&lt;&gt;"Net Revenue"),1,0)</f>
        <v>0</v>
      </c>
      <c r="AI150" s="36" t="str">
        <f aca="false">IF(AH150=1,IF(AND(LEN(AE150)&gt;7,ISNUMBER(VALUE(LEFT(AE150,6))),MID(AE150,7,1)=" "),LEFT(AE150,6),AE150),"")</f>
        <v/>
      </c>
      <c r="AN150" s="36" t="str">
        <f aca="false">TRIM(AK150)</f>
        <v/>
      </c>
      <c r="AO150" s="36" t="str">
        <f aca="false">IF(AN150="Revenue","Revenue",IF(AN150="Cost of Goods Sold","COGS",IF(AN150="Expenditures","Expense",IF(AN150="Other Revenue","Other Revenue",IF(AN150="Other Expenditures","Other Expense",AO149)))))</f>
        <v/>
      </c>
      <c r="AP150" s="36" t="str">
        <f aca="false">IF(OR(AN150="Revenue",AN150="Cost of Goods Sold",AN150="Expenditures",AN150="Other Revenue",AN150="Other Expenditures"),AO150,IF(AND(LEN(AN150)&gt;2,MID(AN150,2,1)=" ",ISNUMBER(VALUE(LEFT(AN150,1)))),AN150,AP149))</f>
        <v/>
      </c>
      <c r="AQ150" s="36" t="n">
        <f aca="false">IF(AND(AN150&lt;&gt;"",ISNUMBER(AL150),LEFT(AN150,9)&lt;&gt;"Total for",AN150&lt;&gt;"Gross Profit",AN150&lt;&gt;"Net Operating Revenue",AN150&lt;&gt;"Net Other Revenue",AN150&lt;&gt;"Net Revenue"),1,0)</f>
        <v>0</v>
      </c>
      <c r="AR150" s="36" t="str">
        <f aca="false">IF(AQ150=1,IF(AND(LEN(AN150)&gt;7,ISNUMBER(VALUE(LEFT(AN150,6))),MID(AN150,7,1)=" "),LEFT(AN150,6),AN150),"")</f>
        <v/>
      </c>
    </row>
    <row r="151" customFormat="false" ht="15" hidden="false" customHeight="false" outlineLevel="0" collapsed="false">
      <c r="D151" s="36" t="str">
        <f aca="false">TRIM(A151)</f>
        <v/>
      </c>
      <c r="E151" s="36" t="str">
        <f aca="false">IF(D151="Revenue","Revenue",IF(D151="Cost of Goods Sold","COGS",IF(D151="Expenditures","Expense",IF(D151="Other Revenue","Other Revenue",IF(D151="Other Expenditures","Other Expense",E150)))))</f>
        <v/>
      </c>
      <c r="F151" s="36" t="str">
        <f aca="false">IF(OR(D151="Revenue",D151="Cost of Goods Sold",D151="Expenditures",D151="Other Revenue",D151="Other Expenditures"),E151,IF(AND(LEN(D151)&gt;2,MID(D151,2,1)=" ",ISNUMBER(VALUE(LEFT(D151,1)))),D151,F150))</f>
        <v/>
      </c>
      <c r="G151" s="36" t="n">
        <f aca="false">IF(AND(D151&lt;&gt;"",ISNUMBER(B151),LEFT(D151,9)&lt;&gt;"Total for",D151&lt;&gt;"Gross Profit",D151&lt;&gt;"Net Operating Revenue",D151&lt;&gt;"Net Other Revenue",D151&lt;&gt;"Net Revenue"),1,0)</f>
        <v>0</v>
      </c>
      <c r="H151" s="36" t="str">
        <f aca="false">IF(G151=1,IF(AND(LEN(D151)&gt;7,ISNUMBER(VALUE(LEFT(D151,6))),MID(D151,7,1)=" "),LEFT(D151,6),D151),"")</f>
        <v/>
      </c>
      <c r="M151" s="36" t="str">
        <f aca="false">TRIM(J151)</f>
        <v/>
      </c>
      <c r="N151" s="36" t="str">
        <f aca="false">IF(M151="Revenue","Revenue",IF(M151="Cost of Goods Sold","COGS",IF(M151="Expenditures","Expense",IF(M151="Other Revenue","Other Revenue",IF(M151="Other Expenditures","Other Expense",N150)))))</f>
        <v/>
      </c>
      <c r="O151" s="36" t="str">
        <f aca="false">IF(OR(M151="Revenue",M151="Cost of Goods Sold",M151="Expenditures",M151="Other Revenue",M151="Other Expenditures"),N151,IF(AND(LEN(M151)&gt;2,MID(M151,2,1)=" ",ISNUMBER(VALUE(LEFT(M151,1)))),M151,O150))</f>
        <v/>
      </c>
      <c r="P151" s="36" t="n">
        <f aca="false">IF(AND(M151&lt;&gt;"",ISNUMBER(K151),LEFT(M151,9)&lt;&gt;"Total for",M151&lt;&gt;"Gross Profit",M151&lt;&gt;"Net Operating Revenue",M151&lt;&gt;"Net Other Revenue",M151&lt;&gt;"Net Revenue"),1,0)</f>
        <v>0</v>
      </c>
      <c r="Q151" s="36" t="str">
        <f aca="false">IF(P151=1,IF(AND(LEN(M151)&gt;7,ISNUMBER(VALUE(LEFT(M151,6))),MID(M151,7,1)=" "),LEFT(M151,6),M151),"")</f>
        <v/>
      </c>
      <c r="V151" s="36" t="str">
        <f aca="false">TRIM(S151)</f>
        <v/>
      </c>
      <c r="W151" s="36" t="str">
        <f aca="false">IF(V151="Revenue","Revenue",IF(V151="Cost of Goods Sold","COGS",IF(V151="Expenditures","Expense",IF(V151="Other Revenue","Other Revenue",IF(V151="Other Expenditures","Other Expense",W150)))))</f>
        <v/>
      </c>
      <c r="X151" s="36" t="str">
        <f aca="false">IF(OR(V151="Revenue",V151="Cost of Goods Sold",V151="Expenditures",V151="Other Revenue",V151="Other Expenditures"),W151,IF(AND(LEN(V151)&gt;2,MID(V151,2,1)=" ",ISNUMBER(VALUE(LEFT(V151,1)))),V151,X150))</f>
        <v/>
      </c>
      <c r="Y151" s="36" t="n">
        <f aca="false">IF(AND(V151&lt;&gt;"",ISNUMBER(T151),LEFT(V151,9)&lt;&gt;"Total for",V151&lt;&gt;"Gross Profit",V151&lt;&gt;"Net Operating Revenue",V151&lt;&gt;"Net Other Revenue",V151&lt;&gt;"Net Revenue"),1,0)</f>
        <v>0</v>
      </c>
      <c r="Z151" s="36" t="str">
        <f aca="false">IF(Y151=1,IF(AND(LEN(V151)&gt;7,ISNUMBER(VALUE(LEFT(V151,6))),MID(V151,7,1)=" "),LEFT(V151,6),V151),"")</f>
        <v/>
      </c>
      <c r="AE151" s="36" t="str">
        <f aca="false">TRIM(AB151)</f>
        <v/>
      </c>
      <c r="AF151" s="36" t="str">
        <f aca="false">IF(AE151="Revenue","Revenue",IF(AE151="Cost of Goods Sold","COGS",IF(AE151="Expenditures","Expense",IF(AE151="Other Revenue","Other Revenue",IF(AE151="Other Expenditures","Other Expense",AF150)))))</f>
        <v/>
      </c>
      <c r="AG151" s="36" t="str">
        <f aca="false">IF(OR(AE151="Revenue",AE151="Cost of Goods Sold",AE151="Expenditures",AE151="Other Revenue",AE151="Other Expenditures"),AF151,IF(AND(LEN(AE151)&gt;2,MID(AE151,2,1)=" ",ISNUMBER(VALUE(LEFT(AE151,1)))),AE151,AG150))</f>
        <v/>
      </c>
      <c r="AH151" s="36" t="n">
        <f aca="false">IF(AND(AE151&lt;&gt;"",ISNUMBER(AC151),LEFT(AE151,9)&lt;&gt;"Total for",AE151&lt;&gt;"Gross Profit",AE151&lt;&gt;"Net Operating Revenue",AE151&lt;&gt;"Net Other Revenue",AE151&lt;&gt;"Net Revenue"),1,0)</f>
        <v>0</v>
      </c>
      <c r="AI151" s="36" t="str">
        <f aca="false">IF(AH151=1,IF(AND(LEN(AE151)&gt;7,ISNUMBER(VALUE(LEFT(AE151,6))),MID(AE151,7,1)=" "),LEFT(AE151,6),AE151),"")</f>
        <v/>
      </c>
      <c r="AN151" s="36" t="str">
        <f aca="false">TRIM(AK151)</f>
        <v/>
      </c>
      <c r="AO151" s="36" t="str">
        <f aca="false">IF(AN151="Revenue","Revenue",IF(AN151="Cost of Goods Sold","COGS",IF(AN151="Expenditures","Expense",IF(AN151="Other Revenue","Other Revenue",IF(AN151="Other Expenditures","Other Expense",AO150)))))</f>
        <v/>
      </c>
      <c r="AP151" s="36" t="str">
        <f aca="false">IF(OR(AN151="Revenue",AN151="Cost of Goods Sold",AN151="Expenditures",AN151="Other Revenue",AN151="Other Expenditures"),AO151,IF(AND(LEN(AN151)&gt;2,MID(AN151,2,1)=" ",ISNUMBER(VALUE(LEFT(AN151,1)))),AN151,AP150))</f>
        <v/>
      </c>
      <c r="AQ151" s="36" t="n">
        <f aca="false">IF(AND(AN151&lt;&gt;"",ISNUMBER(AL151),LEFT(AN151,9)&lt;&gt;"Total for",AN151&lt;&gt;"Gross Profit",AN151&lt;&gt;"Net Operating Revenue",AN151&lt;&gt;"Net Other Revenue",AN151&lt;&gt;"Net Revenue"),1,0)</f>
        <v>0</v>
      </c>
      <c r="AR151" s="36" t="str">
        <f aca="false">IF(AQ151=1,IF(AND(LEN(AN151)&gt;7,ISNUMBER(VALUE(LEFT(AN151,6))),MID(AN151,7,1)=" "),LEFT(AN151,6),AN151),"")</f>
        <v/>
      </c>
    </row>
    <row r="152" customFormat="false" ht="15" hidden="false" customHeight="false" outlineLevel="0" collapsed="false">
      <c r="D152" s="36" t="str">
        <f aca="false">TRIM(A152)</f>
        <v/>
      </c>
      <c r="E152" s="36" t="str">
        <f aca="false">IF(D152="Revenue","Revenue",IF(D152="Cost of Goods Sold","COGS",IF(D152="Expenditures","Expense",IF(D152="Other Revenue","Other Revenue",IF(D152="Other Expenditures","Other Expense",E151)))))</f>
        <v/>
      </c>
      <c r="F152" s="36" t="str">
        <f aca="false">IF(OR(D152="Revenue",D152="Cost of Goods Sold",D152="Expenditures",D152="Other Revenue",D152="Other Expenditures"),E152,IF(AND(LEN(D152)&gt;2,MID(D152,2,1)=" ",ISNUMBER(VALUE(LEFT(D152,1)))),D152,F151))</f>
        <v/>
      </c>
      <c r="G152" s="36" t="n">
        <f aca="false">IF(AND(D152&lt;&gt;"",ISNUMBER(B152),LEFT(D152,9)&lt;&gt;"Total for",D152&lt;&gt;"Gross Profit",D152&lt;&gt;"Net Operating Revenue",D152&lt;&gt;"Net Other Revenue",D152&lt;&gt;"Net Revenue"),1,0)</f>
        <v>0</v>
      </c>
      <c r="H152" s="36" t="str">
        <f aca="false">IF(G152=1,IF(AND(LEN(D152)&gt;7,ISNUMBER(VALUE(LEFT(D152,6))),MID(D152,7,1)=" "),LEFT(D152,6),D152),"")</f>
        <v/>
      </c>
      <c r="M152" s="36" t="str">
        <f aca="false">TRIM(J152)</f>
        <v/>
      </c>
      <c r="N152" s="36" t="str">
        <f aca="false">IF(M152="Revenue","Revenue",IF(M152="Cost of Goods Sold","COGS",IF(M152="Expenditures","Expense",IF(M152="Other Revenue","Other Revenue",IF(M152="Other Expenditures","Other Expense",N151)))))</f>
        <v/>
      </c>
      <c r="O152" s="36" t="str">
        <f aca="false">IF(OR(M152="Revenue",M152="Cost of Goods Sold",M152="Expenditures",M152="Other Revenue",M152="Other Expenditures"),N152,IF(AND(LEN(M152)&gt;2,MID(M152,2,1)=" ",ISNUMBER(VALUE(LEFT(M152,1)))),M152,O151))</f>
        <v/>
      </c>
      <c r="P152" s="36" t="n">
        <f aca="false">IF(AND(M152&lt;&gt;"",ISNUMBER(K152),LEFT(M152,9)&lt;&gt;"Total for",M152&lt;&gt;"Gross Profit",M152&lt;&gt;"Net Operating Revenue",M152&lt;&gt;"Net Other Revenue",M152&lt;&gt;"Net Revenue"),1,0)</f>
        <v>0</v>
      </c>
      <c r="Q152" s="36" t="str">
        <f aca="false">IF(P152=1,IF(AND(LEN(M152)&gt;7,ISNUMBER(VALUE(LEFT(M152,6))),MID(M152,7,1)=" "),LEFT(M152,6),M152),"")</f>
        <v/>
      </c>
      <c r="V152" s="36" t="str">
        <f aca="false">TRIM(S152)</f>
        <v/>
      </c>
      <c r="W152" s="36" t="str">
        <f aca="false">IF(V152="Revenue","Revenue",IF(V152="Cost of Goods Sold","COGS",IF(V152="Expenditures","Expense",IF(V152="Other Revenue","Other Revenue",IF(V152="Other Expenditures","Other Expense",W151)))))</f>
        <v/>
      </c>
      <c r="X152" s="36" t="str">
        <f aca="false">IF(OR(V152="Revenue",V152="Cost of Goods Sold",V152="Expenditures",V152="Other Revenue",V152="Other Expenditures"),W152,IF(AND(LEN(V152)&gt;2,MID(V152,2,1)=" ",ISNUMBER(VALUE(LEFT(V152,1)))),V152,X151))</f>
        <v/>
      </c>
      <c r="Y152" s="36" t="n">
        <f aca="false">IF(AND(V152&lt;&gt;"",ISNUMBER(T152),LEFT(V152,9)&lt;&gt;"Total for",V152&lt;&gt;"Gross Profit",V152&lt;&gt;"Net Operating Revenue",V152&lt;&gt;"Net Other Revenue",V152&lt;&gt;"Net Revenue"),1,0)</f>
        <v>0</v>
      </c>
      <c r="Z152" s="36" t="str">
        <f aca="false">IF(Y152=1,IF(AND(LEN(V152)&gt;7,ISNUMBER(VALUE(LEFT(V152,6))),MID(V152,7,1)=" "),LEFT(V152,6),V152),"")</f>
        <v/>
      </c>
      <c r="AE152" s="36" t="str">
        <f aca="false">TRIM(AB152)</f>
        <v/>
      </c>
      <c r="AF152" s="36" t="str">
        <f aca="false">IF(AE152="Revenue","Revenue",IF(AE152="Cost of Goods Sold","COGS",IF(AE152="Expenditures","Expense",IF(AE152="Other Revenue","Other Revenue",IF(AE152="Other Expenditures","Other Expense",AF151)))))</f>
        <v/>
      </c>
      <c r="AG152" s="36" t="str">
        <f aca="false">IF(OR(AE152="Revenue",AE152="Cost of Goods Sold",AE152="Expenditures",AE152="Other Revenue",AE152="Other Expenditures"),AF152,IF(AND(LEN(AE152)&gt;2,MID(AE152,2,1)=" ",ISNUMBER(VALUE(LEFT(AE152,1)))),AE152,AG151))</f>
        <v/>
      </c>
      <c r="AH152" s="36" t="n">
        <f aca="false">IF(AND(AE152&lt;&gt;"",ISNUMBER(AC152),LEFT(AE152,9)&lt;&gt;"Total for",AE152&lt;&gt;"Gross Profit",AE152&lt;&gt;"Net Operating Revenue",AE152&lt;&gt;"Net Other Revenue",AE152&lt;&gt;"Net Revenue"),1,0)</f>
        <v>0</v>
      </c>
      <c r="AI152" s="36" t="str">
        <f aca="false">IF(AH152=1,IF(AND(LEN(AE152)&gt;7,ISNUMBER(VALUE(LEFT(AE152,6))),MID(AE152,7,1)=" "),LEFT(AE152,6),AE152),"")</f>
        <v/>
      </c>
      <c r="AN152" s="36" t="str">
        <f aca="false">TRIM(AK152)</f>
        <v/>
      </c>
      <c r="AO152" s="36" t="str">
        <f aca="false">IF(AN152="Revenue","Revenue",IF(AN152="Cost of Goods Sold","COGS",IF(AN152="Expenditures","Expense",IF(AN152="Other Revenue","Other Revenue",IF(AN152="Other Expenditures","Other Expense",AO151)))))</f>
        <v/>
      </c>
      <c r="AP152" s="36" t="str">
        <f aca="false">IF(OR(AN152="Revenue",AN152="Cost of Goods Sold",AN152="Expenditures",AN152="Other Revenue",AN152="Other Expenditures"),AO152,IF(AND(LEN(AN152)&gt;2,MID(AN152,2,1)=" ",ISNUMBER(VALUE(LEFT(AN152,1)))),AN152,AP151))</f>
        <v/>
      </c>
      <c r="AQ152" s="36" t="n">
        <f aca="false">IF(AND(AN152&lt;&gt;"",ISNUMBER(AL152),LEFT(AN152,9)&lt;&gt;"Total for",AN152&lt;&gt;"Gross Profit",AN152&lt;&gt;"Net Operating Revenue",AN152&lt;&gt;"Net Other Revenue",AN152&lt;&gt;"Net Revenue"),1,0)</f>
        <v>0</v>
      </c>
      <c r="AR152" s="36" t="str">
        <f aca="false">IF(AQ152=1,IF(AND(LEN(AN152)&gt;7,ISNUMBER(VALUE(LEFT(AN152,6))),MID(AN152,7,1)=" "),LEFT(AN152,6),AN152),"")</f>
        <v/>
      </c>
    </row>
    <row r="153" customFormat="false" ht="15" hidden="false" customHeight="false" outlineLevel="0" collapsed="false">
      <c r="D153" s="36" t="str">
        <f aca="false">TRIM(A153)</f>
        <v/>
      </c>
      <c r="E153" s="36" t="str">
        <f aca="false">IF(D153="Revenue","Revenue",IF(D153="Cost of Goods Sold","COGS",IF(D153="Expenditures","Expense",IF(D153="Other Revenue","Other Revenue",IF(D153="Other Expenditures","Other Expense",E152)))))</f>
        <v/>
      </c>
      <c r="F153" s="36" t="str">
        <f aca="false">IF(OR(D153="Revenue",D153="Cost of Goods Sold",D153="Expenditures",D153="Other Revenue",D153="Other Expenditures"),E153,IF(AND(LEN(D153)&gt;2,MID(D153,2,1)=" ",ISNUMBER(VALUE(LEFT(D153,1)))),D153,F152))</f>
        <v/>
      </c>
      <c r="G153" s="36" t="n">
        <f aca="false">IF(AND(D153&lt;&gt;"",ISNUMBER(B153),LEFT(D153,9)&lt;&gt;"Total for",D153&lt;&gt;"Gross Profit",D153&lt;&gt;"Net Operating Revenue",D153&lt;&gt;"Net Other Revenue",D153&lt;&gt;"Net Revenue"),1,0)</f>
        <v>0</v>
      </c>
      <c r="H153" s="36" t="str">
        <f aca="false">IF(G153=1,IF(AND(LEN(D153)&gt;7,ISNUMBER(VALUE(LEFT(D153,6))),MID(D153,7,1)=" "),LEFT(D153,6),D153),"")</f>
        <v/>
      </c>
      <c r="M153" s="36" t="str">
        <f aca="false">TRIM(J153)</f>
        <v/>
      </c>
      <c r="N153" s="36" t="str">
        <f aca="false">IF(M153="Revenue","Revenue",IF(M153="Cost of Goods Sold","COGS",IF(M153="Expenditures","Expense",IF(M153="Other Revenue","Other Revenue",IF(M153="Other Expenditures","Other Expense",N152)))))</f>
        <v/>
      </c>
      <c r="O153" s="36" t="str">
        <f aca="false">IF(OR(M153="Revenue",M153="Cost of Goods Sold",M153="Expenditures",M153="Other Revenue",M153="Other Expenditures"),N153,IF(AND(LEN(M153)&gt;2,MID(M153,2,1)=" ",ISNUMBER(VALUE(LEFT(M153,1)))),M153,O152))</f>
        <v/>
      </c>
      <c r="P153" s="36" t="n">
        <f aca="false">IF(AND(M153&lt;&gt;"",ISNUMBER(K153),LEFT(M153,9)&lt;&gt;"Total for",M153&lt;&gt;"Gross Profit",M153&lt;&gt;"Net Operating Revenue",M153&lt;&gt;"Net Other Revenue",M153&lt;&gt;"Net Revenue"),1,0)</f>
        <v>0</v>
      </c>
      <c r="Q153" s="36" t="str">
        <f aca="false">IF(P153=1,IF(AND(LEN(M153)&gt;7,ISNUMBER(VALUE(LEFT(M153,6))),MID(M153,7,1)=" "),LEFT(M153,6),M153),"")</f>
        <v/>
      </c>
      <c r="V153" s="36" t="str">
        <f aca="false">TRIM(S153)</f>
        <v/>
      </c>
      <c r="W153" s="36" t="str">
        <f aca="false">IF(V153="Revenue","Revenue",IF(V153="Cost of Goods Sold","COGS",IF(V153="Expenditures","Expense",IF(V153="Other Revenue","Other Revenue",IF(V153="Other Expenditures","Other Expense",W152)))))</f>
        <v/>
      </c>
      <c r="X153" s="36" t="str">
        <f aca="false">IF(OR(V153="Revenue",V153="Cost of Goods Sold",V153="Expenditures",V153="Other Revenue",V153="Other Expenditures"),W153,IF(AND(LEN(V153)&gt;2,MID(V153,2,1)=" ",ISNUMBER(VALUE(LEFT(V153,1)))),V153,X152))</f>
        <v/>
      </c>
      <c r="Y153" s="36" t="n">
        <f aca="false">IF(AND(V153&lt;&gt;"",ISNUMBER(T153),LEFT(V153,9)&lt;&gt;"Total for",V153&lt;&gt;"Gross Profit",V153&lt;&gt;"Net Operating Revenue",V153&lt;&gt;"Net Other Revenue",V153&lt;&gt;"Net Revenue"),1,0)</f>
        <v>0</v>
      </c>
      <c r="Z153" s="36" t="str">
        <f aca="false">IF(Y153=1,IF(AND(LEN(V153)&gt;7,ISNUMBER(VALUE(LEFT(V153,6))),MID(V153,7,1)=" "),LEFT(V153,6),V153),"")</f>
        <v/>
      </c>
      <c r="AE153" s="36" t="str">
        <f aca="false">TRIM(AB153)</f>
        <v/>
      </c>
      <c r="AF153" s="36" t="str">
        <f aca="false">IF(AE153="Revenue","Revenue",IF(AE153="Cost of Goods Sold","COGS",IF(AE153="Expenditures","Expense",IF(AE153="Other Revenue","Other Revenue",IF(AE153="Other Expenditures","Other Expense",AF152)))))</f>
        <v/>
      </c>
      <c r="AG153" s="36" t="str">
        <f aca="false">IF(OR(AE153="Revenue",AE153="Cost of Goods Sold",AE153="Expenditures",AE153="Other Revenue",AE153="Other Expenditures"),AF153,IF(AND(LEN(AE153)&gt;2,MID(AE153,2,1)=" ",ISNUMBER(VALUE(LEFT(AE153,1)))),AE153,AG152))</f>
        <v/>
      </c>
      <c r="AH153" s="36" t="n">
        <f aca="false">IF(AND(AE153&lt;&gt;"",ISNUMBER(AC153),LEFT(AE153,9)&lt;&gt;"Total for",AE153&lt;&gt;"Gross Profit",AE153&lt;&gt;"Net Operating Revenue",AE153&lt;&gt;"Net Other Revenue",AE153&lt;&gt;"Net Revenue"),1,0)</f>
        <v>0</v>
      </c>
      <c r="AI153" s="36" t="str">
        <f aca="false">IF(AH153=1,IF(AND(LEN(AE153)&gt;7,ISNUMBER(VALUE(LEFT(AE153,6))),MID(AE153,7,1)=" "),LEFT(AE153,6),AE153),"")</f>
        <v/>
      </c>
      <c r="AN153" s="36" t="str">
        <f aca="false">TRIM(AK153)</f>
        <v/>
      </c>
      <c r="AO153" s="36" t="str">
        <f aca="false">IF(AN153="Revenue","Revenue",IF(AN153="Cost of Goods Sold","COGS",IF(AN153="Expenditures","Expense",IF(AN153="Other Revenue","Other Revenue",IF(AN153="Other Expenditures","Other Expense",AO152)))))</f>
        <v/>
      </c>
      <c r="AP153" s="36" t="str">
        <f aca="false">IF(OR(AN153="Revenue",AN153="Cost of Goods Sold",AN153="Expenditures",AN153="Other Revenue",AN153="Other Expenditures"),AO153,IF(AND(LEN(AN153)&gt;2,MID(AN153,2,1)=" ",ISNUMBER(VALUE(LEFT(AN153,1)))),AN153,AP152))</f>
        <v/>
      </c>
      <c r="AQ153" s="36" t="n">
        <f aca="false">IF(AND(AN153&lt;&gt;"",ISNUMBER(AL153),LEFT(AN153,9)&lt;&gt;"Total for",AN153&lt;&gt;"Gross Profit",AN153&lt;&gt;"Net Operating Revenue",AN153&lt;&gt;"Net Other Revenue",AN153&lt;&gt;"Net Revenue"),1,0)</f>
        <v>0</v>
      </c>
      <c r="AR153" s="36" t="str">
        <f aca="false">IF(AQ153=1,IF(AND(LEN(AN153)&gt;7,ISNUMBER(VALUE(LEFT(AN153,6))),MID(AN153,7,1)=" "),LEFT(AN153,6),AN153),"")</f>
        <v/>
      </c>
    </row>
    <row r="154" customFormat="false" ht="15" hidden="false" customHeight="false" outlineLevel="0" collapsed="false">
      <c r="D154" s="36" t="str">
        <f aca="false">TRIM(A154)</f>
        <v/>
      </c>
      <c r="E154" s="36" t="str">
        <f aca="false">IF(D154="Revenue","Revenue",IF(D154="Cost of Goods Sold","COGS",IF(D154="Expenditures","Expense",IF(D154="Other Revenue","Other Revenue",IF(D154="Other Expenditures","Other Expense",E153)))))</f>
        <v/>
      </c>
      <c r="F154" s="36" t="str">
        <f aca="false">IF(OR(D154="Revenue",D154="Cost of Goods Sold",D154="Expenditures",D154="Other Revenue",D154="Other Expenditures"),E154,IF(AND(LEN(D154)&gt;2,MID(D154,2,1)=" ",ISNUMBER(VALUE(LEFT(D154,1)))),D154,F153))</f>
        <v/>
      </c>
      <c r="G154" s="36" t="n">
        <f aca="false">IF(AND(D154&lt;&gt;"",ISNUMBER(B154),LEFT(D154,9)&lt;&gt;"Total for",D154&lt;&gt;"Gross Profit",D154&lt;&gt;"Net Operating Revenue",D154&lt;&gt;"Net Other Revenue",D154&lt;&gt;"Net Revenue"),1,0)</f>
        <v>0</v>
      </c>
      <c r="H154" s="36" t="str">
        <f aca="false">IF(G154=1,IF(AND(LEN(D154)&gt;7,ISNUMBER(VALUE(LEFT(D154,6))),MID(D154,7,1)=" "),LEFT(D154,6),D154),"")</f>
        <v/>
      </c>
      <c r="M154" s="36" t="str">
        <f aca="false">TRIM(J154)</f>
        <v/>
      </c>
      <c r="N154" s="36" t="str">
        <f aca="false">IF(M154="Revenue","Revenue",IF(M154="Cost of Goods Sold","COGS",IF(M154="Expenditures","Expense",IF(M154="Other Revenue","Other Revenue",IF(M154="Other Expenditures","Other Expense",N153)))))</f>
        <v/>
      </c>
      <c r="O154" s="36" t="str">
        <f aca="false">IF(OR(M154="Revenue",M154="Cost of Goods Sold",M154="Expenditures",M154="Other Revenue",M154="Other Expenditures"),N154,IF(AND(LEN(M154)&gt;2,MID(M154,2,1)=" ",ISNUMBER(VALUE(LEFT(M154,1)))),M154,O153))</f>
        <v/>
      </c>
      <c r="P154" s="36" t="n">
        <f aca="false">IF(AND(M154&lt;&gt;"",ISNUMBER(K154),LEFT(M154,9)&lt;&gt;"Total for",M154&lt;&gt;"Gross Profit",M154&lt;&gt;"Net Operating Revenue",M154&lt;&gt;"Net Other Revenue",M154&lt;&gt;"Net Revenue"),1,0)</f>
        <v>0</v>
      </c>
      <c r="Q154" s="36" t="str">
        <f aca="false">IF(P154=1,IF(AND(LEN(M154)&gt;7,ISNUMBER(VALUE(LEFT(M154,6))),MID(M154,7,1)=" "),LEFT(M154,6),M154),"")</f>
        <v/>
      </c>
      <c r="V154" s="36" t="str">
        <f aca="false">TRIM(S154)</f>
        <v/>
      </c>
      <c r="W154" s="36" t="str">
        <f aca="false">IF(V154="Revenue","Revenue",IF(V154="Cost of Goods Sold","COGS",IF(V154="Expenditures","Expense",IF(V154="Other Revenue","Other Revenue",IF(V154="Other Expenditures","Other Expense",W153)))))</f>
        <v/>
      </c>
      <c r="X154" s="36" t="str">
        <f aca="false">IF(OR(V154="Revenue",V154="Cost of Goods Sold",V154="Expenditures",V154="Other Revenue",V154="Other Expenditures"),W154,IF(AND(LEN(V154)&gt;2,MID(V154,2,1)=" ",ISNUMBER(VALUE(LEFT(V154,1)))),V154,X153))</f>
        <v/>
      </c>
      <c r="Y154" s="36" t="n">
        <f aca="false">IF(AND(V154&lt;&gt;"",ISNUMBER(T154),LEFT(V154,9)&lt;&gt;"Total for",V154&lt;&gt;"Gross Profit",V154&lt;&gt;"Net Operating Revenue",V154&lt;&gt;"Net Other Revenue",V154&lt;&gt;"Net Revenue"),1,0)</f>
        <v>0</v>
      </c>
      <c r="Z154" s="36" t="str">
        <f aca="false">IF(Y154=1,IF(AND(LEN(V154)&gt;7,ISNUMBER(VALUE(LEFT(V154,6))),MID(V154,7,1)=" "),LEFT(V154,6),V154),"")</f>
        <v/>
      </c>
      <c r="AE154" s="36" t="str">
        <f aca="false">TRIM(AB154)</f>
        <v/>
      </c>
      <c r="AF154" s="36" t="str">
        <f aca="false">IF(AE154="Revenue","Revenue",IF(AE154="Cost of Goods Sold","COGS",IF(AE154="Expenditures","Expense",IF(AE154="Other Revenue","Other Revenue",IF(AE154="Other Expenditures","Other Expense",AF153)))))</f>
        <v/>
      </c>
      <c r="AG154" s="36" t="str">
        <f aca="false">IF(OR(AE154="Revenue",AE154="Cost of Goods Sold",AE154="Expenditures",AE154="Other Revenue",AE154="Other Expenditures"),AF154,IF(AND(LEN(AE154)&gt;2,MID(AE154,2,1)=" ",ISNUMBER(VALUE(LEFT(AE154,1)))),AE154,AG153))</f>
        <v/>
      </c>
      <c r="AH154" s="36" t="n">
        <f aca="false">IF(AND(AE154&lt;&gt;"",ISNUMBER(AC154),LEFT(AE154,9)&lt;&gt;"Total for",AE154&lt;&gt;"Gross Profit",AE154&lt;&gt;"Net Operating Revenue",AE154&lt;&gt;"Net Other Revenue",AE154&lt;&gt;"Net Revenue"),1,0)</f>
        <v>0</v>
      </c>
      <c r="AI154" s="36" t="str">
        <f aca="false">IF(AH154=1,IF(AND(LEN(AE154)&gt;7,ISNUMBER(VALUE(LEFT(AE154,6))),MID(AE154,7,1)=" "),LEFT(AE154,6),AE154),"")</f>
        <v/>
      </c>
      <c r="AN154" s="36" t="str">
        <f aca="false">TRIM(AK154)</f>
        <v/>
      </c>
      <c r="AO154" s="36" t="str">
        <f aca="false">IF(AN154="Revenue","Revenue",IF(AN154="Cost of Goods Sold","COGS",IF(AN154="Expenditures","Expense",IF(AN154="Other Revenue","Other Revenue",IF(AN154="Other Expenditures","Other Expense",AO153)))))</f>
        <v/>
      </c>
      <c r="AP154" s="36" t="str">
        <f aca="false">IF(OR(AN154="Revenue",AN154="Cost of Goods Sold",AN154="Expenditures",AN154="Other Revenue",AN154="Other Expenditures"),AO154,IF(AND(LEN(AN154)&gt;2,MID(AN154,2,1)=" ",ISNUMBER(VALUE(LEFT(AN154,1)))),AN154,AP153))</f>
        <v/>
      </c>
      <c r="AQ154" s="36" t="n">
        <f aca="false">IF(AND(AN154&lt;&gt;"",ISNUMBER(AL154),LEFT(AN154,9)&lt;&gt;"Total for",AN154&lt;&gt;"Gross Profit",AN154&lt;&gt;"Net Operating Revenue",AN154&lt;&gt;"Net Other Revenue",AN154&lt;&gt;"Net Revenue"),1,0)</f>
        <v>0</v>
      </c>
      <c r="AR154" s="36" t="str">
        <f aca="false">IF(AQ154=1,IF(AND(LEN(AN154)&gt;7,ISNUMBER(VALUE(LEFT(AN154,6))),MID(AN154,7,1)=" "),LEFT(AN154,6),AN154),"")</f>
        <v/>
      </c>
    </row>
    <row r="155" customFormat="false" ht="15" hidden="false" customHeight="false" outlineLevel="0" collapsed="false">
      <c r="D155" s="36" t="str">
        <f aca="false">TRIM(A155)</f>
        <v/>
      </c>
      <c r="E155" s="36" t="str">
        <f aca="false">IF(D155="Revenue","Revenue",IF(D155="Cost of Goods Sold","COGS",IF(D155="Expenditures","Expense",IF(D155="Other Revenue","Other Revenue",IF(D155="Other Expenditures","Other Expense",E154)))))</f>
        <v/>
      </c>
      <c r="F155" s="36" t="str">
        <f aca="false">IF(OR(D155="Revenue",D155="Cost of Goods Sold",D155="Expenditures",D155="Other Revenue",D155="Other Expenditures"),E155,IF(AND(LEN(D155)&gt;2,MID(D155,2,1)=" ",ISNUMBER(VALUE(LEFT(D155,1)))),D155,F154))</f>
        <v/>
      </c>
      <c r="G155" s="36" t="n">
        <f aca="false">IF(AND(D155&lt;&gt;"",ISNUMBER(B155),LEFT(D155,9)&lt;&gt;"Total for",D155&lt;&gt;"Gross Profit",D155&lt;&gt;"Net Operating Revenue",D155&lt;&gt;"Net Other Revenue",D155&lt;&gt;"Net Revenue"),1,0)</f>
        <v>0</v>
      </c>
      <c r="H155" s="36" t="str">
        <f aca="false">IF(G155=1,IF(AND(LEN(D155)&gt;7,ISNUMBER(VALUE(LEFT(D155,6))),MID(D155,7,1)=" "),LEFT(D155,6),D155),"")</f>
        <v/>
      </c>
      <c r="M155" s="36" t="str">
        <f aca="false">TRIM(J155)</f>
        <v/>
      </c>
      <c r="N155" s="36" t="str">
        <f aca="false">IF(M155="Revenue","Revenue",IF(M155="Cost of Goods Sold","COGS",IF(M155="Expenditures","Expense",IF(M155="Other Revenue","Other Revenue",IF(M155="Other Expenditures","Other Expense",N154)))))</f>
        <v/>
      </c>
      <c r="O155" s="36" t="str">
        <f aca="false">IF(OR(M155="Revenue",M155="Cost of Goods Sold",M155="Expenditures",M155="Other Revenue",M155="Other Expenditures"),N155,IF(AND(LEN(M155)&gt;2,MID(M155,2,1)=" ",ISNUMBER(VALUE(LEFT(M155,1)))),M155,O154))</f>
        <v/>
      </c>
      <c r="P155" s="36" t="n">
        <f aca="false">IF(AND(M155&lt;&gt;"",ISNUMBER(K155),LEFT(M155,9)&lt;&gt;"Total for",M155&lt;&gt;"Gross Profit",M155&lt;&gt;"Net Operating Revenue",M155&lt;&gt;"Net Other Revenue",M155&lt;&gt;"Net Revenue"),1,0)</f>
        <v>0</v>
      </c>
      <c r="Q155" s="36" t="str">
        <f aca="false">IF(P155=1,IF(AND(LEN(M155)&gt;7,ISNUMBER(VALUE(LEFT(M155,6))),MID(M155,7,1)=" "),LEFT(M155,6),M155),"")</f>
        <v/>
      </c>
      <c r="V155" s="36" t="str">
        <f aca="false">TRIM(S155)</f>
        <v/>
      </c>
      <c r="W155" s="36" t="str">
        <f aca="false">IF(V155="Revenue","Revenue",IF(V155="Cost of Goods Sold","COGS",IF(V155="Expenditures","Expense",IF(V155="Other Revenue","Other Revenue",IF(V155="Other Expenditures","Other Expense",W154)))))</f>
        <v/>
      </c>
      <c r="X155" s="36" t="str">
        <f aca="false">IF(OR(V155="Revenue",V155="Cost of Goods Sold",V155="Expenditures",V155="Other Revenue",V155="Other Expenditures"),W155,IF(AND(LEN(V155)&gt;2,MID(V155,2,1)=" ",ISNUMBER(VALUE(LEFT(V155,1)))),V155,X154))</f>
        <v/>
      </c>
      <c r="Y155" s="36" t="n">
        <f aca="false">IF(AND(V155&lt;&gt;"",ISNUMBER(T155),LEFT(V155,9)&lt;&gt;"Total for",V155&lt;&gt;"Gross Profit",V155&lt;&gt;"Net Operating Revenue",V155&lt;&gt;"Net Other Revenue",V155&lt;&gt;"Net Revenue"),1,0)</f>
        <v>0</v>
      </c>
      <c r="Z155" s="36" t="str">
        <f aca="false">IF(Y155=1,IF(AND(LEN(V155)&gt;7,ISNUMBER(VALUE(LEFT(V155,6))),MID(V155,7,1)=" "),LEFT(V155,6),V155),"")</f>
        <v/>
      </c>
      <c r="AE155" s="36" t="str">
        <f aca="false">TRIM(AB155)</f>
        <v/>
      </c>
      <c r="AF155" s="36" t="str">
        <f aca="false">IF(AE155="Revenue","Revenue",IF(AE155="Cost of Goods Sold","COGS",IF(AE155="Expenditures","Expense",IF(AE155="Other Revenue","Other Revenue",IF(AE155="Other Expenditures","Other Expense",AF154)))))</f>
        <v/>
      </c>
      <c r="AG155" s="36" t="str">
        <f aca="false">IF(OR(AE155="Revenue",AE155="Cost of Goods Sold",AE155="Expenditures",AE155="Other Revenue",AE155="Other Expenditures"),AF155,IF(AND(LEN(AE155)&gt;2,MID(AE155,2,1)=" ",ISNUMBER(VALUE(LEFT(AE155,1)))),AE155,AG154))</f>
        <v/>
      </c>
      <c r="AH155" s="36" t="n">
        <f aca="false">IF(AND(AE155&lt;&gt;"",ISNUMBER(AC155),LEFT(AE155,9)&lt;&gt;"Total for",AE155&lt;&gt;"Gross Profit",AE155&lt;&gt;"Net Operating Revenue",AE155&lt;&gt;"Net Other Revenue",AE155&lt;&gt;"Net Revenue"),1,0)</f>
        <v>0</v>
      </c>
      <c r="AI155" s="36" t="str">
        <f aca="false">IF(AH155=1,IF(AND(LEN(AE155)&gt;7,ISNUMBER(VALUE(LEFT(AE155,6))),MID(AE155,7,1)=" "),LEFT(AE155,6),AE155),"")</f>
        <v/>
      </c>
      <c r="AN155" s="36" t="str">
        <f aca="false">TRIM(AK155)</f>
        <v/>
      </c>
      <c r="AO155" s="36" t="str">
        <f aca="false">IF(AN155="Revenue","Revenue",IF(AN155="Cost of Goods Sold","COGS",IF(AN155="Expenditures","Expense",IF(AN155="Other Revenue","Other Revenue",IF(AN155="Other Expenditures","Other Expense",AO154)))))</f>
        <v/>
      </c>
      <c r="AP155" s="36" t="str">
        <f aca="false">IF(OR(AN155="Revenue",AN155="Cost of Goods Sold",AN155="Expenditures",AN155="Other Revenue",AN155="Other Expenditures"),AO155,IF(AND(LEN(AN155)&gt;2,MID(AN155,2,1)=" ",ISNUMBER(VALUE(LEFT(AN155,1)))),AN155,AP154))</f>
        <v/>
      </c>
      <c r="AQ155" s="36" t="n">
        <f aca="false">IF(AND(AN155&lt;&gt;"",ISNUMBER(AL155),LEFT(AN155,9)&lt;&gt;"Total for",AN155&lt;&gt;"Gross Profit",AN155&lt;&gt;"Net Operating Revenue",AN155&lt;&gt;"Net Other Revenue",AN155&lt;&gt;"Net Revenue"),1,0)</f>
        <v>0</v>
      </c>
      <c r="AR155" s="36" t="str">
        <f aca="false">IF(AQ155=1,IF(AND(LEN(AN155)&gt;7,ISNUMBER(VALUE(LEFT(AN155,6))),MID(AN155,7,1)=" "),LEFT(AN155,6),AN155),"")</f>
        <v/>
      </c>
    </row>
    <row r="156" customFormat="false" ht="15" hidden="false" customHeight="false" outlineLevel="0" collapsed="false">
      <c r="D156" s="36" t="str">
        <f aca="false">TRIM(A156)</f>
        <v/>
      </c>
      <c r="E156" s="36" t="str">
        <f aca="false">IF(D156="Revenue","Revenue",IF(D156="Cost of Goods Sold","COGS",IF(D156="Expenditures","Expense",IF(D156="Other Revenue","Other Revenue",IF(D156="Other Expenditures","Other Expense",E155)))))</f>
        <v/>
      </c>
      <c r="F156" s="36" t="str">
        <f aca="false">IF(OR(D156="Revenue",D156="Cost of Goods Sold",D156="Expenditures",D156="Other Revenue",D156="Other Expenditures"),E156,IF(AND(LEN(D156)&gt;2,MID(D156,2,1)=" ",ISNUMBER(VALUE(LEFT(D156,1)))),D156,F155))</f>
        <v/>
      </c>
      <c r="G156" s="36" t="n">
        <f aca="false">IF(AND(D156&lt;&gt;"",ISNUMBER(B156),LEFT(D156,9)&lt;&gt;"Total for",D156&lt;&gt;"Gross Profit",D156&lt;&gt;"Net Operating Revenue",D156&lt;&gt;"Net Other Revenue",D156&lt;&gt;"Net Revenue"),1,0)</f>
        <v>0</v>
      </c>
      <c r="H156" s="36" t="str">
        <f aca="false">IF(G156=1,IF(AND(LEN(D156)&gt;7,ISNUMBER(VALUE(LEFT(D156,6))),MID(D156,7,1)=" "),LEFT(D156,6),D156),"")</f>
        <v/>
      </c>
      <c r="M156" s="36" t="str">
        <f aca="false">TRIM(J156)</f>
        <v/>
      </c>
      <c r="N156" s="36" t="str">
        <f aca="false">IF(M156="Revenue","Revenue",IF(M156="Cost of Goods Sold","COGS",IF(M156="Expenditures","Expense",IF(M156="Other Revenue","Other Revenue",IF(M156="Other Expenditures","Other Expense",N155)))))</f>
        <v/>
      </c>
      <c r="O156" s="36" t="str">
        <f aca="false">IF(OR(M156="Revenue",M156="Cost of Goods Sold",M156="Expenditures",M156="Other Revenue",M156="Other Expenditures"),N156,IF(AND(LEN(M156)&gt;2,MID(M156,2,1)=" ",ISNUMBER(VALUE(LEFT(M156,1)))),M156,O155))</f>
        <v/>
      </c>
      <c r="P156" s="36" t="n">
        <f aca="false">IF(AND(M156&lt;&gt;"",ISNUMBER(K156),LEFT(M156,9)&lt;&gt;"Total for",M156&lt;&gt;"Gross Profit",M156&lt;&gt;"Net Operating Revenue",M156&lt;&gt;"Net Other Revenue",M156&lt;&gt;"Net Revenue"),1,0)</f>
        <v>0</v>
      </c>
      <c r="Q156" s="36" t="str">
        <f aca="false">IF(P156=1,IF(AND(LEN(M156)&gt;7,ISNUMBER(VALUE(LEFT(M156,6))),MID(M156,7,1)=" "),LEFT(M156,6),M156),"")</f>
        <v/>
      </c>
      <c r="V156" s="36" t="str">
        <f aca="false">TRIM(S156)</f>
        <v/>
      </c>
      <c r="W156" s="36" t="str">
        <f aca="false">IF(V156="Revenue","Revenue",IF(V156="Cost of Goods Sold","COGS",IF(V156="Expenditures","Expense",IF(V156="Other Revenue","Other Revenue",IF(V156="Other Expenditures","Other Expense",W155)))))</f>
        <v/>
      </c>
      <c r="X156" s="36" t="str">
        <f aca="false">IF(OR(V156="Revenue",V156="Cost of Goods Sold",V156="Expenditures",V156="Other Revenue",V156="Other Expenditures"),W156,IF(AND(LEN(V156)&gt;2,MID(V156,2,1)=" ",ISNUMBER(VALUE(LEFT(V156,1)))),V156,X155))</f>
        <v/>
      </c>
      <c r="Y156" s="36" t="n">
        <f aca="false">IF(AND(V156&lt;&gt;"",ISNUMBER(T156),LEFT(V156,9)&lt;&gt;"Total for",V156&lt;&gt;"Gross Profit",V156&lt;&gt;"Net Operating Revenue",V156&lt;&gt;"Net Other Revenue",V156&lt;&gt;"Net Revenue"),1,0)</f>
        <v>0</v>
      </c>
      <c r="Z156" s="36" t="str">
        <f aca="false">IF(Y156=1,IF(AND(LEN(V156)&gt;7,ISNUMBER(VALUE(LEFT(V156,6))),MID(V156,7,1)=" "),LEFT(V156,6),V156),"")</f>
        <v/>
      </c>
      <c r="AE156" s="36" t="str">
        <f aca="false">TRIM(AB156)</f>
        <v/>
      </c>
      <c r="AF156" s="36" t="str">
        <f aca="false">IF(AE156="Revenue","Revenue",IF(AE156="Cost of Goods Sold","COGS",IF(AE156="Expenditures","Expense",IF(AE156="Other Revenue","Other Revenue",IF(AE156="Other Expenditures","Other Expense",AF155)))))</f>
        <v/>
      </c>
      <c r="AG156" s="36" t="str">
        <f aca="false">IF(OR(AE156="Revenue",AE156="Cost of Goods Sold",AE156="Expenditures",AE156="Other Revenue",AE156="Other Expenditures"),AF156,IF(AND(LEN(AE156)&gt;2,MID(AE156,2,1)=" ",ISNUMBER(VALUE(LEFT(AE156,1)))),AE156,AG155))</f>
        <v/>
      </c>
      <c r="AH156" s="36" t="n">
        <f aca="false">IF(AND(AE156&lt;&gt;"",ISNUMBER(AC156),LEFT(AE156,9)&lt;&gt;"Total for",AE156&lt;&gt;"Gross Profit",AE156&lt;&gt;"Net Operating Revenue",AE156&lt;&gt;"Net Other Revenue",AE156&lt;&gt;"Net Revenue"),1,0)</f>
        <v>0</v>
      </c>
      <c r="AI156" s="36" t="str">
        <f aca="false">IF(AH156=1,IF(AND(LEN(AE156)&gt;7,ISNUMBER(VALUE(LEFT(AE156,6))),MID(AE156,7,1)=" "),LEFT(AE156,6),AE156),"")</f>
        <v/>
      </c>
      <c r="AN156" s="36" t="str">
        <f aca="false">TRIM(AK156)</f>
        <v/>
      </c>
      <c r="AO156" s="36" t="str">
        <f aca="false">IF(AN156="Revenue","Revenue",IF(AN156="Cost of Goods Sold","COGS",IF(AN156="Expenditures","Expense",IF(AN156="Other Revenue","Other Revenue",IF(AN156="Other Expenditures","Other Expense",AO155)))))</f>
        <v/>
      </c>
      <c r="AP156" s="36" t="str">
        <f aca="false">IF(OR(AN156="Revenue",AN156="Cost of Goods Sold",AN156="Expenditures",AN156="Other Revenue",AN156="Other Expenditures"),AO156,IF(AND(LEN(AN156)&gt;2,MID(AN156,2,1)=" ",ISNUMBER(VALUE(LEFT(AN156,1)))),AN156,AP155))</f>
        <v/>
      </c>
      <c r="AQ156" s="36" t="n">
        <f aca="false">IF(AND(AN156&lt;&gt;"",ISNUMBER(AL156),LEFT(AN156,9)&lt;&gt;"Total for",AN156&lt;&gt;"Gross Profit",AN156&lt;&gt;"Net Operating Revenue",AN156&lt;&gt;"Net Other Revenue",AN156&lt;&gt;"Net Revenue"),1,0)</f>
        <v>0</v>
      </c>
      <c r="AR156" s="36" t="str">
        <f aca="false">IF(AQ156=1,IF(AND(LEN(AN156)&gt;7,ISNUMBER(VALUE(LEFT(AN156,6))),MID(AN156,7,1)=" "),LEFT(AN156,6),AN156),"")</f>
        <v/>
      </c>
    </row>
    <row r="157" customFormat="false" ht="15" hidden="false" customHeight="false" outlineLevel="0" collapsed="false">
      <c r="D157" s="36" t="str">
        <f aca="false">TRIM(A157)</f>
        <v/>
      </c>
      <c r="E157" s="36" t="str">
        <f aca="false">IF(D157="Revenue","Revenue",IF(D157="Cost of Goods Sold","COGS",IF(D157="Expenditures","Expense",IF(D157="Other Revenue","Other Revenue",IF(D157="Other Expenditures","Other Expense",E156)))))</f>
        <v/>
      </c>
      <c r="F157" s="36" t="str">
        <f aca="false">IF(OR(D157="Revenue",D157="Cost of Goods Sold",D157="Expenditures",D157="Other Revenue",D157="Other Expenditures"),E157,IF(AND(LEN(D157)&gt;2,MID(D157,2,1)=" ",ISNUMBER(VALUE(LEFT(D157,1)))),D157,F156))</f>
        <v/>
      </c>
      <c r="G157" s="36" t="n">
        <f aca="false">IF(AND(D157&lt;&gt;"",ISNUMBER(B157),LEFT(D157,9)&lt;&gt;"Total for",D157&lt;&gt;"Gross Profit",D157&lt;&gt;"Net Operating Revenue",D157&lt;&gt;"Net Other Revenue",D157&lt;&gt;"Net Revenue"),1,0)</f>
        <v>0</v>
      </c>
      <c r="H157" s="36" t="str">
        <f aca="false">IF(G157=1,IF(AND(LEN(D157)&gt;7,ISNUMBER(VALUE(LEFT(D157,6))),MID(D157,7,1)=" "),LEFT(D157,6),D157),"")</f>
        <v/>
      </c>
      <c r="M157" s="36" t="str">
        <f aca="false">TRIM(J157)</f>
        <v/>
      </c>
      <c r="N157" s="36" t="str">
        <f aca="false">IF(M157="Revenue","Revenue",IF(M157="Cost of Goods Sold","COGS",IF(M157="Expenditures","Expense",IF(M157="Other Revenue","Other Revenue",IF(M157="Other Expenditures","Other Expense",N156)))))</f>
        <v/>
      </c>
      <c r="O157" s="36" t="str">
        <f aca="false">IF(OR(M157="Revenue",M157="Cost of Goods Sold",M157="Expenditures",M157="Other Revenue",M157="Other Expenditures"),N157,IF(AND(LEN(M157)&gt;2,MID(M157,2,1)=" ",ISNUMBER(VALUE(LEFT(M157,1)))),M157,O156))</f>
        <v/>
      </c>
      <c r="P157" s="36" t="n">
        <f aca="false">IF(AND(M157&lt;&gt;"",ISNUMBER(K157),LEFT(M157,9)&lt;&gt;"Total for",M157&lt;&gt;"Gross Profit",M157&lt;&gt;"Net Operating Revenue",M157&lt;&gt;"Net Other Revenue",M157&lt;&gt;"Net Revenue"),1,0)</f>
        <v>0</v>
      </c>
      <c r="Q157" s="36" t="str">
        <f aca="false">IF(P157=1,IF(AND(LEN(M157)&gt;7,ISNUMBER(VALUE(LEFT(M157,6))),MID(M157,7,1)=" "),LEFT(M157,6),M157),"")</f>
        <v/>
      </c>
      <c r="V157" s="36" t="str">
        <f aca="false">TRIM(S157)</f>
        <v/>
      </c>
      <c r="W157" s="36" t="str">
        <f aca="false">IF(V157="Revenue","Revenue",IF(V157="Cost of Goods Sold","COGS",IF(V157="Expenditures","Expense",IF(V157="Other Revenue","Other Revenue",IF(V157="Other Expenditures","Other Expense",W156)))))</f>
        <v/>
      </c>
      <c r="X157" s="36" t="str">
        <f aca="false">IF(OR(V157="Revenue",V157="Cost of Goods Sold",V157="Expenditures",V157="Other Revenue",V157="Other Expenditures"),W157,IF(AND(LEN(V157)&gt;2,MID(V157,2,1)=" ",ISNUMBER(VALUE(LEFT(V157,1)))),V157,X156))</f>
        <v/>
      </c>
      <c r="Y157" s="36" t="n">
        <f aca="false">IF(AND(V157&lt;&gt;"",ISNUMBER(T157),LEFT(V157,9)&lt;&gt;"Total for",V157&lt;&gt;"Gross Profit",V157&lt;&gt;"Net Operating Revenue",V157&lt;&gt;"Net Other Revenue",V157&lt;&gt;"Net Revenue"),1,0)</f>
        <v>0</v>
      </c>
      <c r="Z157" s="36" t="str">
        <f aca="false">IF(Y157=1,IF(AND(LEN(V157)&gt;7,ISNUMBER(VALUE(LEFT(V157,6))),MID(V157,7,1)=" "),LEFT(V157,6),V157),"")</f>
        <v/>
      </c>
      <c r="AE157" s="36" t="str">
        <f aca="false">TRIM(AB157)</f>
        <v/>
      </c>
      <c r="AF157" s="36" t="str">
        <f aca="false">IF(AE157="Revenue","Revenue",IF(AE157="Cost of Goods Sold","COGS",IF(AE157="Expenditures","Expense",IF(AE157="Other Revenue","Other Revenue",IF(AE157="Other Expenditures","Other Expense",AF156)))))</f>
        <v/>
      </c>
      <c r="AG157" s="36" t="str">
        <f aca="false">IF(OR(AE157="Revenue",AE157="Cost of Goods Sold",AE157="Expenditures",AE157="Other Revenue",AE157="Other Expenditures"),AF157,IF(AND(LEN(AE157)&gt;2,MID(AE157,2,1)=" ",ISNUMBER(VALUE(LEFT(AE157,1)))),AE157,AG156))</f>
        <v/>
      </c>
      <c r="AH157" s="36" t="n">
        <f aca="false">IF(AND(AE157&lt;&gt;"",ISNUMBER(AC157),LEFT(AE157,9)&lt;&gt;"Total for",AE157&lt;&gt;"Gross Profit",AE157&lt;&gt;"Net Operating Revenue",AE157&lt;&gt;"Net Other Revenue",AE157&lt;&gt;"Net Revenue"),1,0)</f>
        <v>0</v>
      </c>
      <c r="AI157" s="36" t="str">
        <f aca="false">IF(AH157=1,IF(AND(LEN(AE157)&gt;7,ISNUMBER(VALUE(LEFT(AE157,6))),MID(AE157,7,1)=" "),LEFT(AE157,6),AE157),"")</f>
        <v/>
      </c>
      <c r="AN157" s="36" t="str">
        <f aca="false">TRIM(AK157)</f>
        <v/>
      </c>
      <c r="AO157" s="36" t="str">
        <f aca="false">IF(AN157="Revenue","Revenue",IF(AN157="Cost of Goods Sold","COGS",IF(AN157="Expenditures","Expense",IF(AN157="Other Revenue","Other Revenue",IF(AN157="Other Expenditures","Other Expense",AO156)))))</f>
        <v/>
      </c>
      <c r="AP157" s="36" t="str">
        <f aca="false">IF(OR(AN157="Revenue",AN157="Cost of Goods Sold",AN157="Expenditures",AN157="Other Revenue",AN157="Other Expenditures"),AO157,IF(AND(LEN(AN157)&gt;2,MID(AN157,2,1)=" ",ISNUMBER(VALUE(LEFT(AN157,1)))),AN157,AP156))</f>
        <v/>
      </c>
      <c r="AQ157" s="36" t="n">
        <f aca="false">IF(AND(AN157&lt;&gt;"",ISNUMBER(AL157),LEFT(AN157,9)&lt;&gt;"Total for",AN157&lt;&gt;"Gross Profit",AN157&lt;&gt;"Net Operating Revenue",AN157&lt;&gt;"Net Other Revenue",AN157&lt;&gt;"Net Revenue"),1,0)</f>
        <v>0</v>
      </c>
      <c r="AR157" s="36" t="str">
        <f aca="false">IF(AQ157=1,IF(AND(LEN(AN157)&gt;7,ISNUMBER(VALUE(LEFT(AN157,6))),MID(AN157,7,1)=" "),LEFT(AN157,6),AN157),"")</f>
        <v/>
      </c>
    </row>
    <row r="158" customFormat="false" ht="15" hidden="false" customHeight="false" outlineLevel="0" collapsed="false">
      <c r="D158" s="36" t="str">
        <f aca="false">TRIM(A158)</f>
        <v/>
      </c>
      <c r="E158" s="36" t="str">
        <f aca="false">IF(D158="Revenue","Revenue",IF(D158="Cost of Goods Sold","COGS",IF(D158="Expenditures","Expense",IF(D158="Other Revenue","Other Revenue",IF(D158="Other Expenditures","Other Expense",E157)))))</f>
        <v/>
      </c>
      <c r="F158" s="36" t="str">
        <f aca="false">IF(OR(D158="Revenue",D158="Cost of Goods Sold",D158="Expenditures",D158="Other Revenue",D158="Other Expenditures"),E158,IF(AND(LEN(D158)&gt;2,MID(D158,2,1)=" ",ISNUMBER(VALUE(LEFT(D158,1)))),D158,F157))</f>
        <v/>
      </c>
      <c r="G158" s="36" t="n">
        <f aca="false">IF(AND(D158&lt;&gt;"",ISNUMBER(B158),LEFT(D158,9)&lt;&gt;"Total for",D158&lt;&gt;"Gross Profit",D158&lt;&gt;"Net Operating Revenue",D158&lt;&gt;"Net Other Revenue",D158&lt;&gt;"Net Revenue"),1,0)</f>
        <v>0</v>
      </c>
      <c r="H158" s="36" t="str">
        <f aca="false">IF(G158=1,IF(AND(LEN(D158)&gt;7,ISNUMBER(VALUE(LEFT(D158,6))),MID(D158,7,1)=" "),LEFT(D158,6),D158),"")</f>
        <v/>
      </c>
      <c r="M158" s="36" t="str">
        <f aca="false">TRIM(J158)</f>
        <v/>
      </c>
      <c r="N158" s="36" t="str">
        <f aca="false">IF(M158="Revenue","Revenue",IF(M158="Cost of Goods Sold","COGS",IF(M158="Expenditures","Expense",IF(M158="Other Revenue","Other Revenue",IF(M158="Other Expenditures","Other Expense",N157)))))</f>
        <v/>
      </c>
      <c r="O158" s="36" t="str">
        <f aca="false">IF(OR(M158="Revenue",M158="Cost of Goods Sold",M158="Expenditures",M158="Other Revenue",M158="Other Expenditures"),N158,IF(AND(LEN(M158)&gt;2,MID(M158,2,1)=" ",ISNUMBER(VALUE(LEFT(M158,1)))),M158,O157))</f>
        <v/>
      </c>
      <c r="P158" s="36" t="n">
        <f aca="false">IF(AND(M158&lt;&gt;"",ISNUMBER(K158),LEFT(M158,9)&lt;&gt;"Total for",M158&lt;&gt;"Gross Profit",M158&lt;&gt;"Net Operating Revenue",M158&lt;&gt;"Net Other Revenue",M158&lt;&gt;"Net Revenue"),1,0)</f>
        <v>0</v>
      </c>
      <c r="Q158" s="36" t="str">
        <f aca="false">IF(P158=1,IF(AND(LEN(M158)&gt;7,ISNUMBER(VALUE(LEFT(M158,6))),MID(M158,7,1)=" "),LEFT(M158,6),M158),"")</f>
        <v/>
      </c>
      <c r="V158" s="36" t="str">
        <f aca="false">TRIM(S158)</f>
        <v/>
      </c>
      <c r="W158" s="36" t="str">
        <f aca="false">IF(V158="Revenue","Revenue",IF(V158="Cost of Goods Sold","COGS",IF(V158="Expenditures","Expense",IF(V158="Other Revenue","Other Revenue",IF(V158="Other Expenditures","Other Expense",W157)))))</f>
        <v/>
      </c>
      <c r="X158" s="36" t="str">
        <f aca="false">IF(OR(V158="Revenue",V158="Cost of Goods Sold",V158="Expenditures",V158="Other Revenue",V158="Other Expenditures"),W158,IF(AND(LEN(V158)&gt;2,MID(V158,2,1)=" ",ISNUMBER(VALUE(LEFT(V158,1)))),V158,X157))</f>
        <v/>
      </c>
      <c r="Y158" s="36" t="n">
        <f aca="false">IF(AND(V158&lt;&gt;"",ISNUMBER(T158),LEFT(V158,9)&lt;&gt;"Total for",V158&lt;&gt;"Gross Profit",V158&lt;&gt;"Net Operating Revenue",V158&lt;&gt;"Net Other Revenue",V158&lt;&gt;"Net Revenue"),1,0)</f>
        <v>0</v>
      </c>
      <c r="Z158" s="36" t="str">
        <f aca="false">IF(Y158=1,IF(AND(LEN(V158)&gt;7,ISNUMBER(VALUE(LEFT(V158,6))),MID(V158,7,1)=" "),LEFT(V158,6),V158),"")</f>
        <v/>
      </c>
      <c r="AE158" s="36" t="str">
        <f aca="false">TRIM(AB158)</f>
        <v/>
      </c>
      <c r="AF158" s="36" t="str">
        <f aca="false">IF(AE158="Revenue","Revenue",IF(AE158="Cost of Goods Sold","COGS",IF(AE158="Expenditures","Expense",IF(AE158="Other Revenue","Other Revenue",IF(AE158="Other Expenditures","Other Expense",AF157)))))</f>
        <v/>
      </c>
      <c r="AG158" s="36" t="str">
        <f aca="false">IF(OR(AE158="Revenue",AE158="Cost of Goods Sold",AE158="Expenditures",AE158="Other Revenue",AE158="Other Expenditures"),AF158,IF(AND(LEN(AE158)&gt;2,MID(AE158,2,1)=" ",ISNUMBER(VALUE(LEFT(AE158,1)))),AE158,AG157))</f>
        <v/>
      </c>
      <c r="AH158" s="36" t="n">
        <f aca="false">IF(AND(AE158&lt;&gt;"",ISNUMBER(AC158),LEFT(AE158,9)&lt;&gt;"Total for",AE158&lt;&gt;"Gross Profit",AE158&lt;&gt;"Net Operating Revenue",AE158&lt;&gt;"Net Other Revenue",AE158&lt;&gt;"Net Revenue"),1,0)</f>
        <v>0</v>
      </c>
      <c r="AI158" s="36" t="str">
        <f aca="false">IF(AH158=1,IF(AND(LEN(AE158)&gt;7,ISNUMBER(VALUE(LEFT(AE158,6))),MID(AE158,7,1)=" "),LEFT(AE158,6),AE158),"")</f>
        <v/>
      </c>
      <c r="AN158" s="36" t="str">
        <f aca="false">TRIM(AK158)</f>
        <v/>
      </c>
      <c r="AO158" s="36" t="str">
        <f aca="false">IF(AN158="Revenue","Revenue",IF(AN158="Cost of Goods Sold","COGS",IF(AN158="Expenditures","Expense",IF(AN158="Other Revenue","Other Revenue",IF(AN158="Other Expenditures","Other Expense",AO157)))))</f>
        <v/>
      </c>
      <c r="AP158" s="36" t="str">
        <f aca="false">IF(OR(AN158="Revenue",AN158="Cost of Goods Sold",AN158="Expenditures",AN158="Other Revenue",AN158="Other Expenditures"),AO158,IF(AND(LEN(AN158)&gt;2,MID(AN158,2,1)=" ",ISNUMBER(VALUE(LEFT(AN158,1)))),AN158,AP157))</f>
        <v/>
      </c>
      <c r="AQ158" s="36" t="n">
        <f aca="false">IF(AND(AN158&lt;&gt;"",ISNUMBER(AL158),LEFT(AN158,9)&lt;&gt;"Total for",AN158&lt;&gt;"Gross Profit",AN158&lt;&gt;"Net Operating Revenue",AN158&lt;&gt;"Net Other Revenue",AN158&lt;&gt;"Net Revenue"),1,0)</f>
        <v>0</v>
      </c>
      <c r="AR158" s="36" t="str">
        <f aca="false">IF(AQ158=1,IF(AND(LEN(AN158)&gt;7,ISNUMBER(VALUE(LEFT(AN158,6))),MID(AN158,7,1)=" "),LEFT(AN158,6),AN158),"")</f>
        <v/>
      </c>
    </row>
    <row r="159" customFormat="false" ht="15" hidden="false" customHeight="false" outlineLevel="0" collapsed="false">
      <c r="D159" s="36" t="str">
        <f aca="false">TRIM(A159)</f>
        <v/>
      </c>
      <c r="E159" s="36" t="str">
        <f aca="false">IF(D159="Revenue","Revenue",IF(D159="Cost of Goods Sold","COGS",IF(D159="Expenditures","Expense",IF(D159="Other Revenue","Other Revenue",IF(D159="Other Expenditures","Other Expense",E158)))))</f>
        <v/>
      </c>
      <c r="F159" s="36" t="str">
        <f aca="false">IF(OR(D159="Revenue",D159="Cost of Goods Sold",D159="Expenditures",D159="Other Revenue",D159="Other Expenditures"),E159,IF(AND(LEN(D159)&gt;2,MID(D159,2,1)=" ",ISNUMBER(VALUE(LEFT(D159,1)))),D159,F158))</f>
        <v/>
      </c>
      <c r="G159" s="36" t="n">
        <f aca="false">IF(AND(D159&lt;&gt;"",ISNUMBER(B159),LEFT(D159,9)&lt;&gt;"Total for",D159&lt;&gt;"Gross Profit",D159&lt;&gt;"Net Operating Revenue",D159&lt;&gt;"Net Other Revenue",D159&lt;&gt;"Net Revenue"),1,0)</f>
        <v>0</v>
      </c>
      <c r="H159" s="36" t="str">
        <f aca="false">IF(G159=1,IF(AND(LEN(D159)&gt;7,ISNUMBER(VALUE(LEFT(D159,6))),MID(D159,7,1)=" "),LEFT(D159,6),D159),"")</f>
        <v/>
      </c>
      <c r="M159" s="36" t="str">
        <f aca="false">TRIM(J159)</f>
        <v/>
      </c>
      <c r="N159" s="36" t="str">
        <f aca="false">IF(M159="Revenue","Revenue",IF(M159="Cost of Goods Sold","COGS",IF(M159="Expenditures","Expense",IF(M159="Other Revenue","Other Revenue",IF(M159="Other Expenditures","Other Expense",N158)))))</f>
        <v/>
      </c>
      <c r="O159" s="36" t="str">
        <f aca="false">IF(OR(M159="Revenue",M159="Cost of Goods Sold",M159="Expenditures",M159="Other Revenue",M159="Other Expenditures"),N159,IF(AND(LEN(M159)&gt;2,MID(M159,2,1)=" ",ISNUMBER(VALUE(LEFT(M159,1)))),M159,O158))</f>
        <v/>
      </c>
      <c r="P159" s="36" t="n">
        <f aca="false">IF(AND(M159&lt;&gt;"",ISNUMBER(K159),LEFT(M159,9)&lt;&gt;"Total for",M159&lt;&gt;"Gross Profit",M159&lt;&gt;"Net Operating Revenue",M159&lt;&gt;"Net Other Revenue",M159&lt;&gt;"Net Revenue"),1,0)</f>
        <v>0</v>
      </c>
      <c r="Q159" s="36" t="str">
        <f aca="false">IF(P159=1,IF(AND(LEN(M159)&gt;7,ISNUMBER(VALUE(LEFT(M159,6))),MID(M159,7,1)=" "),LEFT(M159,6),M159),"")</f>
        <v/>
      </c>
      <c r="V159" s="36" t="str">
        <f aca="false">TRIM(S159)</f>
        <v/>
      </c>
      <c r="W159" s="36" t="str">
        <f aca="false">IF(V159="Revenue","Revenue",IF(V159="Cost of Goods Sold","COGS",IF(V159="Expenditures","Expense",IF(V159="Other Revenue","Other Revenue",IF(V159="Other Expenditures","Other Expense",W158)))))</f>
        <v/>
      </c>
      <c r="X159" s="36" t="str">
        <f aca="false">IF(OR(V159="Revenue",V159="Cost of Goods Sold",V159="Expenditures",V159="Other Revenue",V159="Other Expenditures"),W159,IF(AND(LEN(V159)&gt;2,MID(V159,2,1)=" ",ISNUMBER(VALUE(LEFT(V159,1)))),V159,X158))</f>
        <v/>
      </c>
      <c r="Y159" s="36" t="n">
        <f aca="false">IF(AND(V159&lt;&gt;"",ISNUMBER(T159),LEFT(V159,9)&lt;&gt;"Total for",V159&lt;&gt;"Gross Profit",V159&lt;&gt;"Net Operating Revenue",V159&lt;&gt;"Net Other Revenue",V159&lt;&gt;"Net Revenue"),1,0)</f>
        <v>0</v>
      </c>
      <c r="Z159" s="36" t="str">
        <f aca="false">IF(Y159=1,IF(AND(LEN(V159)&gt;7,ISNUMBER(VALUE(LEFT(V159,6))),MID(V159,7,1)=" "),LEFT(V159,6),V159),"")</f>
        <v/>
      </c>
      <c r="AE159" s="36" t="str">
        <f aca="false">TRIM(AB159)</f>
        <v/>
      </c>
      <c r="AF159" s="36" t="str">
        <f aca="false">IF(AE159="Revenue","Revenue",IF(AE159="Cost of Goods Sold","COGS",IF(AE159="Expenditures","Expense",IF(AE159="Other Revenue","Other Revenue",IF(AE159="Other Expenditures","Other Expense",AF158)))))</f>
        <v/>
      </c>
      <c r="AG159" s="36" t="str">
        <f aca="false">IF(OR(AE159="Revenue",AE159="Cost of Goods Sold",AE159="Expenditures",AE159="Other Revenue",AE159="Other Expenditures"),AF159,IF(AND(LEN(AE159)&gt;2,MID(AE159,2,1)=" ",ISNUMBER(VALUE(LEFT(AE159,1)))),AE159,AG158))</f>
        <v/>
      </c>
      <c r="AH159" s="36" t="n">
        <f aca="false">IF(AND(AE159&lt;&gt;"",ISNUMBER(AC159),LEFT(AE159,9)&lt;&gt;"Total for",AE159&lt;&gt;"Gross Profit",AE159&lt;&gt;"Net Operating Revenue",AE159&lt;&gt;"Net Other Revenue",AE159&lt;&gt;"Net Revenue"),1,0)</f>
        <v>0</v>
      </c>
      <c r="AI159" s="36" t="str">
        <f aca="false">IF(AH159=1,IF(AND(LEN(AE159)&gt;7,ISNUMBER(VALUE(LEFT(AE159,6))),MID(AE159,7,1)=" "),LEFT(AE159,6),AE159),"")</f>
        <v/>
      </c>
      <c r="AN159" s="36" t="str">
        <f aca="false">TRIM(AK159)</f>
        <v/>
      </c>
      <c r="AO159" s="36" t="str">
        <f aca="false">IF(AN159="Revenue","Revenue",IF(AN159="Cost of Goods Sold","COGS",IF(AN159="Expenditures","Expense",IF(AN159="Other Revenue","Other Revenue",IF(AN159="Other Expenditures","Other Expense",AO158)))))</f>
        <v/>
      </c>
      <c r="AP159" s="36" t="str">
        <f aca="false">IF(OR(AN159="Revenue",AN159="Cost of Goods Sold",AN159="Expenditures",AN159="Other Revenue",AN159="Other Expenditures"),AO159,IF(AND(LEN(AN159)&gt;2,MID(AN159,2,1)=" ",ISNUMBER(VALUE(LEFT(AN159,1)))),AN159,AP158))</f>
        <v/>
      </c>
      <c r="AQ159" s="36" t="n">
        <f aca="false">IF(AND(AN159&lt;&gt;"",ISNUMBER(AL159),LEFT(AN159,9)&lt;&gt;"Total for",AN159&lt;&gt;"Gross Profit",AN159&lt;&gt;"Net Operating Revenue",AN159&lt;&gt;"Net Other Revenue",AN159&lt;&gt;"Net Revenue"),1,0)</f>
        <v>0</v>
      </c>
      <c r="AR159" s="36" t="str">
        <f aca="false">IF(AQ159=1,IF(AND(LEN(AN159)&gt;7,ISNUMBER(VALUE(LEFT(AN159,6))),MID(AN159,7,1)=" "),LEFT(AN159,6),AN159),"")</f>
        <v/>
      </c>
    </row>
    <row r="160" customFormat="false" ht="15" hidden="false" customHeight="false" outlineLevel="0" collapsed="false">
      <c r="D160" s="36" t="str">
        <f aca="false">TRIM(A160)</f>
        <v/>
      </c>
      <c r="E160" s="36" t="str">
        <f aca="false">IF(D160="Revenue","Revenue",IF(D160="Cost of Goods Sold","COGS",IF(D160="Expenditures","Expense",IF(D160="Other Revenue","Other Revenue",IF(D160="Other Expenditures","Other Expense",E159)))))</f>
        <v/>
      </c>
      <c r="F160" s="36" t="str">
        <f aca="false">IF(OR(D160="Revenue",D160="Cost of Goods Sold",D160="Expenditures",D160="Other Revenue",D160="Other Expenditures"),E160,IF(AND(LEN(D160)&gt;2,MID(D160,2,1)=" ",ISNUMBER(VALUE(LEFT(D160,1)))),D160,F159))</f>
        <v/>
      </c>
      <c r="G160" s="36" t="n">
        <f aca="false">IF(AND(D160&lt;&gt;"",ISNUMBER(B160),LEFT(D160,9)&lt;&gt;"Total for",D160&lt;&gt;"Gross Profit",D160&lt;&gt;"Net Operating Revenue",D160&lt;&gt;"Net Other Revenue",D160&lt;&gt;"Net Revenue"),1,0)</f>
        <v>0</v>
      </c>
      <c r="H160" s="36" t="str">
        <f aca="false">IF(G160=1,IF(AND(LEN(D160)&gt;7,ISNUMBER(VALUE(LEFT(D160,6))),MID(D160,7,1)=" "),LEFT(D160,6),D160),"")</f>
        <v/>
      </c>
      <c r="M160" s="36" t="str">
        <f aca="false">TRIM(J160)</f>
        <v/>
      </c>
      <c r="N160" s="36" t="str">
        <f aca="false">IF(M160="Revenue","Revenue",IF(M160="Cost of Goods Sold","COGS",IF(M160="Expenditures","Expense",IF(M160="Other Revenue","Other Revenue",IF(M160="Other Expenditures","Other Expense",N159)))))</f>
        <v/>
      </c>
      <c r="O160" s="36" t="str">
        <f aca="false">IF(OR(M160="Revenue",M160="Cost of Goods Sold",M160="Expenditures",M160="Other Revenue",M160="Other Expenditures"),N160,IF(AND(LEN(M160)&gt;2,MID(M160,2,1)=" ",ISNUMBER(VALUE(LEFT(M160,1)))),M160,O159))</f>
        <v/>
      </c>
      <c r="P160" s="36" t="n">
        <f aca="false">IF(AND(M160&lt;&gt;"",ISNUMBER(K160),LEFT(M160,9)&lt;&gt;"Total for",M160&lt;&gt;"Gross Profit",M160&lt;&gt;"Net Operating Revenue",M160&lt;&gt;"Net Other Revenue",M160&lt;&gt;"Net Revenue"),1,0)</f>
        <v>0</v>
      </c>
      <c r="Q160" s="36" t="str">
        <f aca="false">IF(P160=1,IF(AND(LEN(M160)&gt;7,ISNUMBER(VALUE(LEFT(M160,6))),MID(M160,7,1)=" "),LEFT(M160,6),M160),"")</f>
        <v/>
      </c>
      <c r="V160" s="36" t="str">
        <f aca="false">TRIM(S160)</f>
        <v/>
      </c>
      <c r="W160" s="36" t="str">
        <f aca="false">IF(V160="Revenue","Revenue",IF(V160="Cost of Goods Sold","COGS",IF(V160="Expenditures","Expense",IF(V160="Other Revenue","Other Revenue",IF(V160="Other Expenditures","Other Expense",W159)))))</f>
        <v/>
      </c>
      <c r="X160" s="36" t="str">
        <f aca="false">IF(OR(V160="Revenue",V160="Cost of Goods Sold",V160="Expenditures",V160="Other Revenue",V160="Other Expenditures"),W160,IF(AND(LEN(V160)&gt;2,MID(V160,2,1)=" ",ISNUMBER(VALUE(LEFT(V160,1)))),V160,X159))</f>
        <v/>
      </c>
      <c r="Y160" s="36" t="n">
        <f aca="false">IF(AND(V160&lt;&gt;"",ISNUMBER(T160),LEFT(V160,9)&lt;&gt;"Total for",V160&lt;&gt;"Gross Profit",V160&lt;&gt;"Net Operating Revenue",V160&lt;&gt;"Net Other Revenue",V160&lt;&gt;"Net Revenue"),1,0)</f>
        <v>0</v>
      </c>
      <c r="Z160" s="36" t="str">
        <f aca="false">IF(Y160=1,IF(AND(LEN(V160)&gt;7,ISNUMBER(VALUE(LEFT(V160,6))),MID(V160,7,1)=" "),LEFT(V160,6),V160),"")</f>
        <v/>
      </c>
      <c r="AE160" s="36" t="str">
        <f aca="false">TRIM(AB160)</f>
        <v/>
      </c>
      <c r="AF160" s="36" t="str">
        <f aca="false">IF(AE160="Revenue","Revenue",IF(AE160="Cost of Goods Sold","COGS",IF(AE160="Expenditures","Expense",IF(AE160="Other Revenue","Other Revenue",IF(AE160="Other Expenditures","Other Expense",AF159)))))</f>
        <v/>
      </c>
      <c r="AG160" s="36" t="str">
        <f aca="false">IF(OR(AE160="Revenue",AE160="Cost of Goods Sold",AE160="Expenditures",AE160="Other Revenue",AE160="Other Expenditures"),AF160,IF(AND(LEN(AE160)&gt;2,MID(AE160,2,1)=" ",ISNUMBER(VALUE(LEFT(AE160,1)))),AE160,AG159))</f>
        <v/>
      </c>
      <c r="AH160" s="36" t="n">
        <f aca="false">IF(AND(AE160&lt;&gt;"",ISNUMBER(AC160),LEFT(AE160,9)&lt;&gt;"Total for",AE160&lt;&gt;"Gross Profit",AE160&lt;&gt;"Net Operating Revenue",AE160&lt;&gt;"Net Other Revenue",AE160&lt;&gt;"Net Revenue"),1,0)</f>
        <v>0</v>
      </c>
      <c r="AI160" s="36" t="str">
        <f aca="false">IF(AH160=1,IF(AND(LEN(AE160)&gt;7,ISNUMBER(VALUE(LEFT(AE160,6))),MID(AE160,7,1)=" "),LEFT(AE160,6),AE160),"")</f>
        <v/>
      </c>
      <c r="AN160" s="36" t="str">
        <f aca="false">TRIM(AK160)</f>
        <v/>
      </c>
      <c r="AO160" s="36" t="str">
        <f aca="false">IF(AN160="Revenue","Revenue",IF(AN160="Cost of Goods Sold","COGS",IF(AN160="Expenditures","Expense",IF(AN160="Other Revenue","Other Revenue",IF(AN160="Other Expenditures","Other Expense",AO159)))))</f>
        <v/>
      </c>
      <c r="AP160" s="36" t="str">
        <f aca="false">IF(OR(AN160="Revenue",AN160="Cost of Goods Sold",AN160="Expenditures",AN160="Other Revenue",AN160="Other Expenditures"),AO160,IF(AND(LEN(AN160)&gt;2,MID(AN160,2,1)=" ",ISNUMBER(VALUE(LEFT(AN160,1)))),AN160,AP159))</f>
        <v/>
      </c>
      <c r="AQ160" s="36" t="n">
        <f aca="false">IF(AND(AN160&lt;&gt;"",ISNUMBER(AL160),LEFT(AN160,9)&lt;&gt;"Total for",AN160&lt;&gt;"Gross Profit",AN160&lt;&gt;"Net Operating Revenue",AN160&lt;&gt;"Net Other Revenue",AN160&lt;&gt;"Net Revenue"),1,0)</f>
        <v>0</v>
      </c>
      <c r="AR160" s="36" t="str">
        <f aca="false">IF(AQ160=1,IF(AND(LEN(AN160)&gt;7,ISNUMBER(VALUE(LEFT(AN160,6))),MID(AN160,7,1)=" "),LEFT(AN160,6),AN160),"")</f>
        <v/>
      </c>
    </row>
    <row r="161" customFormat="false" ht="15" hidden="false" customHeight="false" outlineLevel="0" collapsed="false">
      <c r="D161" s="36" t="str">
        <f aca="false">TRIM(A161)</f>
        <v/>
      </c>
      <c r="E161" s="36" t="str">
        <f aca="false">IF(D161="Revenue","Revenue",IF(D161="Cost of Goods Sold","COGS",IF(D161="Expenditures","Expense",IF(D161="Other Revenue","Other Revenue",IF(D161="Other Expenditures","Other Expense",E160)))))</f>
        <v/>
      </c>
      <c r="F161" s="36" t="str">
        <f aca="false">IF(OR(D161="Revenue",D161="Cost of Goods Sold",D161="Expenditures",D161="Other Revenue",D161="Other Expenditures"),E161,IF(AND(LEN(D161)&gt;2,MID(D161,2,1)=" ",ISNUMBER(VALUE(LEFT(D161,1)))),D161,F160))</f>
        <v/>
      </c>
      <c r="G161" s="36" t="n">
        <f aca="false">IF(AND(D161&lt;&gt;"",ISNUMBER(B161),LEFT(D161,9)&lt;&gt;"Total for",D161&lt;&gt;"Gross Profit",D161&lt;&gt;"Net Operating Revenue",D161&lt;&gt;"Net Other Revenue",D161&lt;&gt;"Net Revenue"),1,0)</f>
        <v>0</v>
      </c>
      <c r="H161" s="36" t="str">
        <f aca="false">IF(G161=1,IF(AND(LEN(D161)&gt;7,ISNUMBER(VALUE(LEFT(D161,6))),MID(D161,7,1)=" "),LEFT(D161,6),D161),"")</f>
        <v/>
      </c>
      <c r="M161" s="36" t="str">
        <f aca="false">TRIM(J161)</f>
        <v/>
      </c>
      <c r="N161" s="36" t="str">
        <f aca="false">IF(M161="Revenue","Revenue",IF(M161="Cost of Goods Sold","COGS",IF(M161="Expenditures","Expense",IF(M161="Other Revenue","Other Revenue",IF(M161="Other Expenditures","Other Expense",N160)))))</f>
        <v/>
      </c>
      <c r="O161" s="36" t="str">
        <f aca="false">IF(OR(M161="Revenue",M161="Cost of Goods Sold",M161="Expenditures",M161="Other Revenue",M161="Other Expenditures"),N161,IF(AND(LEN(M161)&gt;2,MID(M161,2,1)=" ",ISNUMBER(VALUE(LEFT(M161,1)))),M161,O160))</f>
        <v/>
      </c>
      <c r="P161" s="36" t="n">
        <f aca="false">IF(AND(M161&lt;&gt;"",ISNUMBER(K161),LEFT(M161,9)&lt;&gt;"Total for",M161&lt;&gt;"Gross Profit",M161&lt;&gt;"Net Operating Revenue",M161&lt;&gt;"Net Other Revenue",M161&lt;&gt;"Net Revenue"),1,0)</f>
        <v>0</v>
      </c>
      <c r="Q161" s="36" t="str">
        <f aca="false">IF(P161=1,IF(AND(LEN(M161)&gt;7,ISNUMBER(VALUE(LEFT(M161,6))),MID(M161,7,1)=" "),LEFT(M161,6),M161),"")</f>
        <v/>
      </c>
      <c r="V161" s="36" t="str">
        <f aca="false">TRIM(S161)</f>
        <v/>
      </c>
      <c r="W161" s="36" t="str">
        <f aca="false">IF(V161="Revenue","Revenue",IF(V161="Cost of Goods Sold","COGS",IF(V161="Expenditures","Expense",IF(V161="Other Revenue","Other Revenue",IF(V161="Other Expenditures","Other Expense",W160)))))</f>
        <v/>
      </c>
      <c r="X161" s="36" t="str">
        <f aca="false">IF(OR(V161="Revenue",V161="Cost of Goods Sold",V161="Expenditures",V161="Other Revenue",V161="Other Expenditures"),W161,IF(AND(LEN(V161)&gt;2,MID(V161,2,1)=" ",ISNUMBER(VALUE(LEFT(V161,1)))),V161,X160))</f>
        <v/>
      </c>
      <c r="Y161" s="36" t="n">
        <f aca="false">IF(AND(V161&lt;&gt;"",ISNUMBER(T161),LEFT(V161,9)&lt;&gt;"Total for",V161&lt;&gt;"Gross Profit",V161&lt;&gt;"Net Operating Revenue",V161&lt;&gt;"Net Other Revenue",V161&lt;&gt;"Net Revenue"),1,0)</f>
        <v>0</v>
      </c>
      <c r="Z161" s="36" t="str">
        <f aca="false">IF(Y161=1,IF(AND(LEN(V161)&gt;7,ISNUMBER(VALUE(LEFT(V161,6))),MID(V161,7,1)=" "),LEFT(V161,6),V161),"")</f>
        <v/>
      </c>
      <c r="AE161" s="36" t="str">
        <f aca="false">TRIM(AB161)</f>
        <v/>
      </c>
      <c r="AF161" s="36" t="str">
        <f aca="false">IF(AE161="Revenue","Revenue",IF(AE161="Cost of Goods Sold","COGS",IF(AE161="Expenditures","Expense",IF(AE161="Other Revenue","Other Revenue",IF(AE161="Other Expenditures","Other Expense",AF160)))))</f>
        <v/>
      </c>
      <c r="AG161" s="36" t="str">
        <f aca="false">IF(OR(AE161="Revenue",AE161="Cost of Goods Sold",AE161="Expenditures",AE161="Other Revenue",AE161="Other Expenditures"),AF161,IF(AND(LEN(AE161)&gt;2,MID(AE161,2,1)=" ",ISNUMBER(VALUE(LEFT(AE161,1)))),AE161,AG160))</f>
        <v/>
      </c>
      <c r="AH161" s="36" t="n">
        <f aca="false">IF(AND(AE161&lt;&gt;"",ISNUMBER(AC161),LEFT(AE161,9)&lt;&gt;"Total for",AE161&lt;&gt;"Gross Profit",AE161&lt;&gt;"Net Operating Revenue",AE161&lt;&gt;"Net Other Revenue",AE161&lt;&gt;"Net Revenue"),1,0)</f>
        <v>0</v>
      </c>
      <c r="AI161" s="36" t="str">
        <f aca="false">IF(AH161=1,IF(AND(LEN(AE161)&gt;7,ISNUMBER(VALUE(LEFT(AE161,6))),MID(AE161,7,1)=" "),LEFT(AE161,6),AE161),"")</f>
        <v/>
      </c>
      <c r="AN161" s="36" t="str">
        <f aca="false">TRIM(AK161)</f>
        <v/>
      </c>
      <c r="AO161" s="36" t="str">
        <f aca="false">IF(AN161="Revenue","Revenue",IF(AN161="Cost of Goods Sold","COGS",IF(AN161="Expenditures","Expense",IF(AN161="Other Revenue","Other Revenue",IF(AN161="Other Expenditures","Other Expense",AO160)))))</f>
        <v/>
      </c>
      <c r="AP161" s="36" t="str">
        <f aca="false">IF(OR(AN161="Revenue",AN161="Cost of Goods Sold",AN161="Expenditures",AN161="Other Revenue",AN161="Other Expenditures"),AO161,IF(AND(LEN(AN161)&gt;2,MID(AN161,2,1)=" ",ISNUMBER(VALUE(LEFT(AN161,1)))),AN161,AP160))</f>
        <v/>
      </c>
      <c r="AQ161" s="36" t="n">
        <f aca="false">IF(AND(AN161&lt;&gt;"",ISNUMBER(AL161),LEFT(AN161,9)&lt;&gt;"Total for",AN161&lt;&gt;"Gross Profit",AN161&lt;&gt;"Net Operating Revenue",AN161&lt;&gt;"Net Other Revenue",AN161&lt;&gt;"Net Revenue"),1,0)</f>
        <v>0</v>
      </c>
      <c r="AR161" s="36" t="str">
        <f aca="false">IF(AQ161=1,IF(AND(LEN(AN161)&gt;7,ISNUMBER(VALUE(LEFT(AN161,6))),MID(AN161,7,1)=" "),LEFT(AN161,6),AN161),"")</f>
        <v/>
      </c>
    </row>
    <row r="162" customFormat="false" ht="15" hidden="false" customHeight="false" outlineLevel="0" collapsed="false">
      <c r="D162" s="36" t="str">
        <f aca="false">TRIM(A162)</f>
        <v/>
      </c>
      <c r="E162" s="36" t="str">
        <f aca="false">IF(D162="Revenue","Revenue",IF(D162="Cost of Goods Sold","COGS",IF(D162="Expenditures","Expense",IF(D162="Other Revenue","Other Revenue",IF(D162="Other Expenditures","Other Expense",E161)))))</f>
        <v/>
      </c>
      <c r="F162" s="36" t="str">
        <f aca="false">IF(OR(D162="Revenue",D162="Cost of Goods Sold",D162="Expenditures",D162="Other Revenue",D162="Other Expenditures"),E162,IF(AND(LEN(D162)&gt;2,MID(D162,2,1)=" ",ISNUMBER(VALUE(LEFT(D162,1)))),D162,F161))</f>
        <v/>
      </c>
      <c r="G162" s="36" t="n">
        <f aca="false">IF(AND(D162&lt;&gt;"",ISNUMBER(B162),LEFT(D162,9)&lt;&gt;"Total for",D162&lt;&gt;"Gross Profit",D162&lt;&gt;"Net Operating Revenue",D162&lt;&gt;"Net Other Revenue",D162&lt;&gt;"Net Revenue"),1,0)</f>
        <v>0</v>
      </c>
      <c r="H162" s="36" t="str">
        <f aca="false">IF(G162=1,IF(AND(LEN(D162)&gt;7,ISNUMBER(VALUE(LEFT(D162,6))),MID(D162,7,1)=" "),LEFT(D162,6),D162),"")</f>
        <v/>
      </c>
      <c r="M162" s="36" t="str">
        <f aca="false">TRIM(J162)</f>
        <v/>
      </c>
      <c r="N162" s="36" t="str">
        <f aca="false">IF(M162="Revenue","Revenue",IF(M162="Cost of Goods Sold","COGS",IF(M162="Expenditures","Expense",IF(M162="Other Revenue","Other Revenue",IF(M162="Other Expenditures","Other Expense",N161)))))</f>
        <v/>
      </c>
      <c r="O162" s="36" t="str">
        <f aca="false">IF(OR(M162="Revenue",M162="Cost of Goods Sold",M162="Expenditures",M162="Other Revenue",M162="Other Expenditures"),N162,IF(AND(LEN(M162)&gt;2,MID(M162,2,1)=" ",ISNUMBER(VALUE(LEFT(M162,1)))),M162,O161))</f>
        <v/>
      </c>
      <c r="P162" s="36" t="n">
        <f aca="false">IF(AND(M162&lt;&gt;"",ISNUMBER(K162),LEFT(M162,9)&lt;&gt;"Total for",M162&lt;&gt;"Gross Profit",M162&lt;&gt;"Net Operating Revenue",M162&lt;&gt;"Net Other Revenue",M162&lt;&gt;"Net Revenue"),1,0)</f>
        <v>0</v>
      </c>
      <c r="Q162" s="36" t="str">
        <f aca="false">IF(P162=1,IF(AND(LEN(M162)&gt;7,ISNUMBER(VALUE(LEFT(M162,6))),MID(M162,7,1)=" "),LEFT(M162,6),M162),"")</f>
        <v/>
      </c>
      <c r="V162" s="36" t="str">
        <f aca="false">TRIM(S162)</f>
        <v/>
      </c>
      <c r="W162" s="36" t="str">
        <f aca="false">IF(V162="Revenue","Revenue",IF(V162="Cost of Goods Sold","COGS",IF(V162="Expenditures","Expense",IF(V162="Other Revenue","Other Revenue",IF(V162="Other Expenditures","Other Expense",W161)))))</f>
        <v/>
      </c>
      <c r="X162" s="36" t="str">
        <f aca="false">IF(OR(V162="Revenue",V162="Cost of Goods Sold",V162="Expenditures",V162="Other Revenue",V162="Other Expenditures"),W162,IF(AND(LEN(V162)&gt;2,MID(V162,2,1)=" ",ISNUMBER(VALUE(LEFT(V162,1)))),V162,X161))</f>
        <v/>
      </c>
      <c r="Y162" s="36" t="n">
        <f aca="false">IF(AND(V162&lt;&gt;"",ISNUMBER(T162),LEFT(V162,9)&lt;&gt;"Total for",V162&lt;&gt;"Gross Profit",V162&lt;&gt;"Net Operating Revenue",V162&lt;&gt;"Net Other Revenue",V162&lt;&gt;"Net Revenue"),1,0)</f>
        <v>0</v>
      </c>
      <c r="Z162" s="36" t="str">
        <f aca="false">IF(Y162=1,IF(AND(LEN(V162)&gt;7,ISNUMBER(VALUE(LEFT(V162,6))),MID(V162,7,1)=" "),LEFT(V162,6),V162),"")</f>
        <v/>
      </c>
      <c r="AE162" s="36" t="str">
        <f aca="false">TRIM(AB162)</f>
        <v/>
      </c>
      <c r="AF162" s="36" t="str">
        <f aca="false">IF(AE162="Revenue","Revenue",IF(AE162="Cost of Goods Sold","COGS",IF(AE162="Expenditures","Expense",IF(AE162="Other Revenue","Other Revenue",IF(AE162="Other Expenditures","Other Expense",AF161)))))</f>
        <v/>
      </c>
      <c r="AG162" s="36" t="str">
        <f aca="false">IF(OR(AE162="Revenue",AE162="Cost of Goods Sold",AE162="Expenditures",AE162="Other Revenue",AE162="Other Expenditures"),AF162,IF(AND(LEN(AE162)&gt;2,MID(AE162,2,1)=" ",ISNUMBER(VALUE(LEFT(AE162,1)))),AE162,AG161))</f>
        <v/>
      </c>
      <c r="AH162" s="36" t="n">
        <f aca="false">IF(AND(AE162&lt;&gt;"",ISNUMBER(AC162),LEFT(AE162,9)&lt;&gt;"Total for",AE162&lt;&gt;"Gross Profit",AE162&lt;&gt;"Net Operating Revenue",AE162&lt;&gt;"Net Other Revenue",AE162&lt;&gt;"Net Revenue"),1,0)</f>
        <v>0</v>
      </c>
      <c r="AI162" s="36" t="str">
        <f aca="false">IF(AH162=1,IF(AND(LEN(AE162)&gt;7,ISNUMBER(VALUE(LEFT(AE162,6))),MID(AE162,7,1)=" "),LEFT(AE162,6),AE162),"")</f>
        <v/>
      </c>
      <c r="AN162" s="36" t="str">
        <f aca="false">TRIM(AK162)</f>
        <v/>
      </c>
      <c r="AO162" s="36" t="str">
        <f aca="false">IF(AN162="Revenue","Revenue",IF(AN162="Cost of Goods Sold","COGS",IF(AN162="Expenditures","Expense",IF(AN162="Other Revenue","Other Revenue",IF(AN162="Other Expenditures","Other Expense",AO161)))))</f>
        <v/>
      </c>
      <c r="AP162" s="36" t="str">
        <f aca="false">IF(OR(AN162="Revenue",AN162="Cost of Goods Sold",AN162="Expenditures",AN162="Other Revenue",AN162="Other Expenditures"),AO162,IF(AND(LEN(AN162)&gt;2,MID(AN162,2,1)=" ",ISNUMBER(VALUE(LEFT(AN162,1)))),AN162,AP161))</f>
        <v/>
      </c>
      <c r="AQ162" s="36" t="n">
        <f aca="false">IF(AND(AN162&lt;&gt;"",ISNUMBER(AL162),LEFT(AN162,9)&lt;&gt;"Total for",AN162&lt;&gt;"Gross Profit",AN162&lt;&gt;"Net Operating Revenue",AN162&lt;&gt;"Net Other Revenue",AN162&lt;&gt;"Net Revenue"),1,0)</f>
        <v>0</v>
      </c>
      <c r="AR162" s="36" t="str">
        <f aca="false">IF(AQ162=1,IF(AND(LEN(AN162)&gt;7,ISNUMBER(VALUE(LEFT(AN162,6))),MID(AN162,7,1)=" "),LEFT(AN162,6),AN162),"")</f>
        <v/>
      </c>
    </row>
    <row r="163" customFormat="false" ht="15" hidden="false" customHeight="false" outlineLevel="0" collapsed="false">
      <c r="D163" s="36" t="str">
        <f aca="false">TRIM(A163)</f>
        <v/>
      </c>
      <c r="E163" s="36" t="str">
        <f aca="false">IF(D163="Revenue","Revenue",IF(D163="Cost of Goods Sold","COGS",IF(D163="Expenditures","Expense",IF(D163="Other Revenue","Other Revenue",IF(D163="Other Expenditures","Other Expense",E162)))))</f>
        <v/>
      </c>
      <c r="F163" s="36" t="str">
        <f aca="false">IF(OR(D163="Revenue",D163="Cost of Goods Sold",D163="Expenditures",D163="Other Revenue",D163="Other Expenditures"),E163,IF(AND(LEN(D163)&gt;2,MID(D163,2,1)=" ",ISNUMBER(VALUE(LEFT(D163,1)))),D163,F162))</f>
        <v/>
      </c>
      <c r="G163" s="36" t="n">
        <f aca="false">IF(AND(D163&lt;&gt;"",ISNUMBER(B163),LEFT(D163,9)&lt;&gt;"Total for",D163&lt;&gt;"Gross Profit",D163&lt;&gt;"Net Operating Revenue",D163&lt;&gt;"Net Other Revenue",D163&lt;&gt;"Net Revenue"),1,0)</f>
        <v>0</v>
      </c>
      <c r="H163" s="36" t="str">
        <f aca="false">IF(G163=1,IF(AND(LEN(D163)&gt;7,ISNUMBER(VALUE(LEFT(D163,6))),MID(D163,7,1)=" "),LEFT(D163,6),D163),"")</f>
        <v/>
      </c>
      <c r="M163" s="36" t="str">
        <f aca="false">TRIM(J163)</f>
        <v/>
      </c>
      <c r="N163" s="36" t="str">
        <f aca="false">IF(M163="Revenue","Revenue",IF(M163="Cost of Goods Sold","COGS",IF(M163="Expenditures","Expense",IF(M163="Other Revenue","Other Revenue",IF(M163="Other Expenditures","Other Expense",N162)))))</f>
        <v/>
      </c>
      <c r="O163" s="36" t="str">
        <f aca="false">IF(OR(M163="Revenue",M163="Cost of Goods Sold",M163="Expenditures",M163="Other Revenue",M163="Other Expenditures"),N163,IF(AND(LEN(M163)&gt;2,MID(M163,2,1)=" ",ISNUMBER(VALUE(LEFT(M163,1)))),M163,O162))</f>
        <v/>
      </c>
      <c r="P163" s="36" t="n">
        <f aca="false">IF(AND(M163&lt;&gt;"",ISNUMBER(K163),LEFT(M163,9)&lt;&gt;"Total for",M163&lt;&gt;"Gross Profit",M163&lt;&gt;"Net Operating Revenue",M163&lt;&gt;"Net Other Revenue",M163&lt;&gt;"Net Revenue"),1,0)</f>
        <v>0</v>
      </c>
      <c r="Q163" s="36" t="str">
        <f aca="false">IF(P163=1,IF(AND(LEN(M163)&gt;7,ISNUMBER(VALUE(LEFT(M163,6))),MID(M163,7,1)=" "),LEFT(M163,6),M163),"")</f>
        <v/>
      </c>
      <c r="V163" s="36" t="str">
        <f aca="false">TRIM(S163)</f>
        <v/>
      </c>
      <c r="W163" s="36" t="str">
        <f aca="false">IF(V163="Revenue","Revenue",IF(V163="Cost of Goods Sold","COGS",IF(V163="Expenditures","Expense",IF(V163="Other Revenue","Other Revenue",IF(V163="Other Expenditures","Other Expense",W162)))))</f>
        <v/>
      </c>
      <c r="X163" s="36" t="str">
        <f aca="false">IF(OR(V163="Revenue",V163="Cost of Goods Sold",V163="Expenditures",V163="Other Revenue",V163="Other Expenditures"),W163,IF(AND(LEN(V163)&gt;2,MID(V163,2,1)=" ",ISNUMBER(VALUE(LEFT(V163,1)))),V163,X162))</f>
        <v/>
      </c>
      <c r="Y163" s="36" t="n">
        <f aca="false">IF(AND(V163&lt;&gt;"",ISNUMBER(T163),LEFT(V163,9)&lt;&gt;"Total for",V163&lt;&gt;"Gross Profit",V163&lt;&gt;"Net Operating Revenue",V163&lt;&gt;"Net Other Revenue",V163&lt;&gt;"Net Revenue"),1,0)</f>
        <v>0</v>
      </c>
      <c r="Z163" s="36" t="str">
        <f aca="false">IF(Y163=1,IF(AND(LEN(V163)&gt;7,ISNUMBER(VALUE(LEFT(V163,6))),MID(V163,7,1)=" "),LEFT(V163,6),V163),"")</f>
        <v/>
      </c>
      <c r="AE163" s="36" t="str">
        <f aca="false">TRIM(AB163)</f>
        <v/>
      </c>
      <c r="AF163" s="36" t="str">
        <f aca="false">IF(AE163="Revenue","Revenue",IF(AE163="Cost of Goods Sold","COGS",IF(AE163="Expenditures","Expense",IF(AE163="Other Revenue","Other Revenue",IF(AE163="Other Expenditures","Other Expense",AF162)))))</f>
        <v/>
      </c>
      <c r="AG163" s="36" t="str">
        <f aca="false">IF(OR(AE163="Revenue",AE163="Cost of Goods Sold",AE163="Expenditures",AE163="Other Revenue",AE163="Other Expenditures"),AF163,IF(AND(LEN(AE163)&gt;2,MID(AE163,2,1)=" ",ISNUMBER(VALUE(LEFT(AE163,1)))),AE163,AG162))</f>
        <v/>
      </c>
      <c r="AH163" s="36" t="n">
        <f aca="false">IF(AND(AE163&lt;&gt;"",ISNUMBER(AC163),LEFT(AE163,9)&lt;&gt;"Total for",AE163&lt;&gt;"Gross Profit",AE163&lt;&gt;"Net Operating Revenue",AE163&lt;&gt;"Net Other Revenue",AE163&lt;&gt;"Net Revenue"),1,0)</f>
        <v>0</v>
      </c>
      <c r="AI163" s="36" t="str">
        <f aca="false">IF(AH163=1,IF(AND(LEN(AE163)&gt;7,ISNUMBER(VALUE(LEFT(AE163,6))),MID(AE163,7,1)=" "),LEFT(AE163,6),AE163),"")</f>
        <v/>
      </c>
      <c r="AN163" s="36" t="str">
        <f aca="false">TRIM(AK163)</f>
        <v/>
      </c>
      <c r="AO163" s="36" t="str">
        <f aca="false">IF(AN163="Revenue","Revenue",IF(AN163="Cost of Goods Sold","COGS",IF(AN163="Expenditures","Expense",IF(AN163="Other Revenue","Other Revenue",IF(AN163="Other Expenditures","Other Expense",AO162)))))</f>
        <v/>
      </c>
      <c r="AP163" s="36" t="str">
        <f aca="false">IF(OR(AN163="Revenue",AN163="Cost of Goods Sold",AN163="Expenditures",AN163="Other Revenue",AN163="Other Expenditures"),AO163,IF(AND(LEN(AN163)&gt;2,MID(AN163,2,1)=" ",ISNUMBER(VALUE(LEFT(AN163,1)))),AN163,AP162))</f>
        <v/>
      </c>
      <c r="AQ163" s="36" t="n">
        <f aca="false">IF(AND(AN163&lt;&gt;"",ISNUMBER(AL163),LEFT(AN163,9)&lt;&gt;"Total for",AN163&lt;&gt;"Gross Profit",AN163&lt;&gt;"Net Operating Revenue",AN163&lt;&gt;"Net Other Revenue",AN163&lt;&gt;"Net Revenue"),1,0)</f>
        <v>0</v>
      </c>
      <c r="AR163" s="36" t="str">
        <f aca="false">IF(AQ163=1,IF(AND(LEN(AN163)&gt;7,ISNUMBER(VALUE(LEFT(AN163,6))),MID(AN163,7,1)=" "),LEFT(AN163,6),AN163),"")</f>
        <v/>
      </c>
    </row>
    <row r="164" customFormat="false" ht="15" hidden="false" customHeight="false" outlineLevel="0" collapsed="false">
      <c r="D164" s="36" t="str">
        <f aca="false">TRIM(A164)</f>
        <v/>
      </c>
      <c r="E164" s="36" t="str">
        <f aca="false">IF(D164="Revenue","Revenue",IF(D164="Cost of Goods Sold","COGS",IF(D164="Expenditures","Expense",IF(D164="Other Revenue","Other Revenue",IF(D164="Other Expenditures","Other Expense",E163)))))</f>
        <v/>
      </c>
      <c r="F164" s="36" t="str">
        <f aca="false">IF(OR(D164="Revenue",D164="Cost of Goods Sold",D164="Expenditures",D164="Other Revenue",D164="Other Expenditures"),E164,IF(AND(LEN(D164)&gt;2,MID(D164,2,1)=" ",ISNUMBER(VALUE(LEFT(D164,1)))),D164,F163))</f>
        <v/>
      </c>
      <c r="G164" s="36" t="n">
        <f aca="false">IF(AND(D164&lt;&gt;"",ISNUMBER(B164),LEFT(D164,9)&lt;&gt;"Total for",D164&lt;&gt;"Gross Profit",D164&lt;&gt;"Net Operating Revenue",D164&lt;&gt;"Net Other Revenue",D164&lt;&gt;"Net Revenue"),1,0)</f>
        <v>0</v>
      </c>
      <c r="H164" s="36" t="str">
        <f aca="false">IF(G164=1,IF(AND(LEN(D164)&gt;7,ISNUMBER(VALUE(LEFT(D164,6))),MID(D164,7,1)=" "),LEFT(D164,6),D164),"")</f>
        <v/>
      </c>
      <c r="M164" s="36" t="str">
        <f aca="false">TRIM(J164)</f>
        <v/>
      </c>
      <c r="N164" s="36" t="str">
        <f aca="false">IF(M164="Revenue","Revenue",IF(M164="Cost of Goods Sold","COGS",IF(M164="Expenditures","Expense",IF(M164="Other Revenue","Other Revenue",IF(M164="Other Expenditures","Other Expense",N163)))))</f>
        <v/>
      </c>
      <c r="O164" s="36" t="str">
        <f aca="false">IF(OR(M164="Revenue",M164="Cost of Goods Sold",M164="Expenditures",M164="Other Revenue",M164="Other Expenditures"),N164,IF(AND(LEN(M164)&gt;2,MID(M164,2,1)=" ",ISNUMBER(VALUE(LEFT(M164,1)))),M164,O163))</f>
        <v/>
      </c>
      <c r="P164" s="36" t="n">
        <f aca="false">IF(AND(M164&lt;&gt;"",ISNUMBER(K164),LEFT(M164,9)&lt;&gt;"Total for",M164&lt;&gt;"Gross Profit",M164&lt;&gt;"Net Operating Revenue",M164&lt;&gt;"Net Other Revenue",M164&lt;&gt;"Net Revenue"),1,0)</f>
        <v>0</v>
      </c>
      <c r="Q164" s="36" t="str">
        <f aca="false">IF(P164=1,IF(AND(LEN(M164)&gt;7,ISNUMBER(VALUE(LEFT(M164,6))),MID(M164,7,1)=" "),LEFT(M164,6),M164),"")</f>
        <v/>
      </c>
      <c r="V164" s="36" t="str">
        <f aca="false">TRIM(S164)</f>
        <v/>
      </c>
      <c r="W164" s="36" t="str">
        <f aca="false">IF(V164="Revenue","Revenue",IF(V164="Cost of Goods Sold","COGS",IF(V164="Expenditures","Expense",IF(V164="Other Revenue","Other Revenue",IF(V164="Other Expenditures","Other Expense",W163)))))</f>
        <v/>
      </c>
      <c r="X164" s="36" t="str">
        <f aca="false">IF(OR(V164="Revenue",V164="Cost of Goods Sold",V164="Expenditures",V164="Other Revenue",V164="Other Expenditures"),W164,IF(AND(LEN(V164)&gt;2,MID(V164,2,1)=" ",ISNUMBER(VALUE(LEFT(V164,1)))),V164,X163))</f>
        <v/>
      </c>
      <c r="Y164" s="36" t="n">
        <f aca="false">IF(AND(V164&lt;&gt;"",ISNUMBER(T164),LEFT(V164,9)&lt;&gt;"Total for",V164&lt;&gt;"Gross Profit",V164&lt;&gt;"Net Operating Revenue",V164&lt;&gt;"Net Other Revenue",V164&lt;&gt;"Net Revenue"),1,0)</f>
        <v>0</v>
      </c>
      <c r="Z164" s="36" t="str">
        <f aca="false">IF(Y164=1,IF(AND(LEN(V164)&gt;7,ISNUMBER(VALUE(LEFT(V164,6))),MID(V164,7,1)=" "),LEFT(V164,6),V164),"")</f>
        <v/>
      </c>
      <c r="AE164" s="36" t="str">
        <f aca="false">TRIM(AB164)</f>
        <v/>
      </c>
      <c r="AF164" s="36" t="str">
        <f aca="false">IF(AE164="Revenue","Revenue",IF(AE164="Cost of Goods Sold","COGS",IF(AE164="Expenditures","Expense",IF(AE164="Other Revenue","Other Revenue",IF(AE164="Other Expenditures","Other Expense",AF163)))))</f>
        <v/>
      </c>
      <c r="AG164" s="36" t="str">
        <f aca="false">IF(OR(AE164="Revenue",AE164="Cost of Goods Sold",AE164="Expenditures",AE164="Other Revenue",AE164="Other Expenditures"),AF164,IF(AND(LEN(AE164)&gt;2,MID(AE164,2,1)=" ",ISNUMBER(VALUE(LEFT(AE164,1)))),AE164,AG163))</f>
        <v/>
      </c>
      <c r="AH164" s="36" t="n">
        <f aca="false">IF(AND(AE164&lt;&gt;"",ISNUMBER(AC164),LEFT(AE164,9)&lt;&gt;"Total for",AE164&lt;&gt;"Gross Profit",AE164&lt;&gt;"Net Operating Revenue",AE164&lt;&gt;"Net Other Revenue",AE164&lt;&gt;"Net Revenue"),1,0)</f>
        <v>0</v>
      </c>
      <c r="AI164" s="36" t="str">
        <f aca="false">IF(AH164=1,IF(AND(LEN(AE164)&gt;7,ISNUMBER(VALUE(LEFT(AE164,6))),MID(AE164,7,1)=" "),LEFT(AE164,6),AE164),"")</f>
        <v/>
      </c>
      <c r="AN164" s="36" t="str">
        <f aca="false">TRIM(AK164)</f>
        <v/>
      </c>
      <c r="AO164" s="36" t="str">
        <f aca="false">IF(AN164="Revenue","Revenue",IF(AN164="Cost of Goods Sold","COGS",IF(AN164="Expenditures","Expense",IF(AN164="Other Revenue","Other Revenue",IF(AN164="Other Expenditures","Other Expense",AO163)))))</f>
        <v/>
      </c>
      <c r="AP164" s="36" t="str">
        <f aca="false">IF(OR(AN164="Revenue",AN164="Cost of Goods Sold",AN164="Expenditures",AN164="Other Revenue",AN164="Other Expenditures"),AO164,IF(AND(LEN(AN164)&gt;2,MID(AN164,2,1)=" ",ISNUMBER(VALUE(LEFT(AN164,1)))),AN164,AP163))</f>
        <v/>
      </c>
      <c r="AQ164" s="36" t="n">
        <f aca="false">IF(AND(AN164&lt;&gt;"",ISNUMBER(AL164),LEFT(AN164,9)&lt;&gt;"Total for",AN164&lt;&gt;"Gross Profit",AN164&lt;&gt;"Net Operating Revenue",AN164&lt;&gt;"Net Other Revenue",AN164&lt;&gt;"Net Revenue"),1,0)</f>
        <v>0</v>
      </c>
      <c r="AR164" s="36" t="str">
        <f aca="false">IF(AQ164=1,IF(AND(LEN(AN164)&gt;7,ISNUMBER(VALUE(LEFT(AN164,6))),MID(AN164,7,1)=" "),LEFT(AN164,6),AN164),"")</f>
        <v/>
      </c>
    </row>
    <row r="165" customFormat="false" ht="15" hidden="false" customHeight="false" outlineLevel="0" collapsed="false">
      <c r="D165" s="36" t="str">
        <f aca="false">TRIM(A165)</f>
        <v/>
      </c>
      <c r="E165" s="36" t="str">
        <f aca="false">IF(D165="Revenue","Revenue",IF(D165="Cost of Goods Sold","COGS",IF(D165="Expenditures","Expense",IF(D165="Other Revenue","Other Revenue",IF(D165="Other Expenditures","Other Expense",E164)))))</f>
        <v/>
      </c>
      <c r="F165" s="36" t="str">
        <f aca="false">IF(OR(D165="Revenue",D165="Cost of Goods Sold",D165="Expenditures",D165="Other Revenue",D165="Other Expenditures"),E165,IF(AND(LEN(D165)&gt;2,MID(D165,2,1)=" ",ISNUMBER(VALUE(LEFT(D165,1)))),D165,F164))</f>
        <v/>
      </c>
      <c r="G165" s="36" t="n">
        <f aca="false">IF(AND(D165&lt;&gt;"",ISNUMBER(B165),LEFT(D165,9)&lt;&gt;"Total for",D165&lt;&gt;"Gross Profit",D165&lt;&gt;"Net Operating Revenue",D165&lt;&gt;"Net Other Revenue",D165&lt;&gt;"Net Revenue"),1,0)</f>
        <v>0</v>
      </c>
      <c r="H165" s="36" t="str">
        <f aca="false">IF(G165=1,IF(AND(LEN(D165)&gt;7,ISNUMBER(VALUE(LEFT(D165,6))),MID(D165,7,1)=" "),LEFT(D165,6),D165),"")</f>
        <v/>
      </c>
      <c r="M165" s="36" t="str">
        <f aca="false">TRIM(J165)</f>
        <v/>
      </c>
      <c r="N165" s="36" t="str">
        <f aca="false">IF(M165="Revenue","Revenue",IF(M165="Cost of Goods Sold","COGS",IF(M165="Expenditures","Expense",IF(M165="Other Revenue","Other Revenue",IF(M165="Other Expenditures","Other Expense",N164)))))</f>
        <v/>
      </c>
      <c r="O165" s="36" t="str">
        <f aca="false">IF(OR(M165="Revenue",M165="Cost of Goods Sold",M165="Expenditures",M165="Other Revenue",M165="Other Expenditures"),N165,IF(AND(LEN(M165)&gt;2,MID(M165,2,1)=" ",ISNUMBER(VALUE(LEFT(M165,1)))),M165,O164))</f>
        <v/>
      </c>
      <c r="P165" s="36" t="n">
        <f aca="false">IF(AND(M165&lt;&gt;"",ISNUMBER(K165),LEFT(M165,9)&lt;&gt;"Total for",M165&lt;&gt;"Gross Profit",M165&lt;&gt;"Net Operating Revenue",M165&lt;&gt;"Net Other Revenue",M165&lt;&gt;"Net Revenue"),1,0)</f>
        <v>0</v>
      </c>
      <c r="Q165" s="36" t="str">
        <f aca="false">IF(P165=1,IF(AND(LEN(M165)&gt;7,ISNUMBER(VALUE(LEFT(M165,6))),MID(M165,7,1)=" "),LEFT(M165,6),M165),"")</f>
        <v/>
      </c>
      <c r="V165" s="36" t="str">
        <f aca="false">TRIM(S165)</f>
        <v/>
      </c>
      <c r="W165" s="36" t="str">
        <f aca="false">IF(V165="Revenue","Revenue",IF(V165="Cost of Goods Sold","COGS",IF(V165="Expenditures","Expense",IF(V165="Other Revenue","Other Revenue",IF(V165="Other Expenditures","Other Expense",W164)))))</f>
        <v/>
      </c>
      <c r="X165" s="36" t="str">
        <f aca="false">IF(OR(V165="Revenue",V165="Cost of Goods Sold",V165="Expenditures",V165="Other Revenue",V165="Other Expenditures"),W165,IF(AND(LEN(V165)&gt;2,MID(V165,2,1)=" ",ISNUMBER(VALUE(LEFT(V165,1)))),V165,X164))</f>
        <v/>
      </c>
      <c r="Y165" s="36" t="n">
        <f aca="false">IF(AND(V165&lt;&gt;"",ISNUMBER(T165),LEFT(V165,9)&lt;&gt;"Total for",V165&lt;&gt;"Gross Profit",V165&lt;&gt;"Net Operating Revenue",V165&lt;&gt;"Net Other Revenue",V165&lt;&gt;"Net Revenue"),1,0)</f>
        <v>0</v>
      </c>
      <c r="Z165" s="36" t="str">
        <f aca="false">IF(Y165=1,IF(AND(LEN(V165)&gt;7,ISNUMBER(VALUE(LEFT(V165,6))),MID(V165,7,1)=" "),LEFT(V165,6),V165),"")</f>
        <v/>
      </c>
      <c r="AE165" s="36" t="str">
        <f aca="false">TRIM(AB165)</f>
        <v/>
      </c>
      <c r="AF165" s="36" t="str">
        <f aca="false">IF(AE165="Revenue","Revenue",IF(AE165="Cost of Goods Sold","COGS",IF(AE165="Expenditures","Expense",IF(AE165="Other Revenue","Other Revenue",IF(AE165="Other Expenditures","Other Expense",AF164)))))</f>
        <v/>
      </c>
      <c r="AG165" s="36" t="str">
        <f aca="false">IF(OR(AE165="Revenue",AE165="Cost of Goods Sold",AE165="Expenditures",AE165="Other Revenue",AE165="Other Expenditures"),AF165,IF(AND(LEN(AE165)&gt;2,MID(AE165,2,1)=" ",ISNUMBER(VALUE(LEFT(AE165,1)))),AE165,AG164))</f>
        <v/>
      </c>
      <c r="AH165" s="36" t="n">
        <f aca="false">IF(AND(AE165&lt;&gt;"",ISNUMBER(AC165),LEFT(AE165,9)&lt;&gt;"Total for",AE165&lt;&gt;"Gross Profit",AE165&lt;&gt;"Net Operating Revenue",AE165&lt;&gt;"Net Other Revenue",AE165&lt;&gt;"Net Revenue"),1,0)</f>
        <v>0</v>
      </c>
      <c r="AI165" s="36" t="str">
        <f aca="false">IF(AH165=1,IF(AND(LEN(AE165)&gt;7,ISNUMBER(VALUE(LEFT(AE165,6))),MID(AE165,7,1)=" "),LEFT(AE165,6),AE165),"")</f>
        <v/>
      </c>
      <c r="AN165" s="36" t="str">
        <f aca="false">TRIM(AK165)</f>
        <v/>
      </c>
      <c r="AO165" s="36" t="str">
        <f aca="false">IF(AN165="Revenue","Revenue",IF(AN165="Cost of Goods Sold","COGS",IF(AN165="Expenditures","Expense",IF(AN165="Other Revenue","Other Revenue",IF(AN165="Other Expenditures","Other Expense",AO164)))))</f>
        <v/>
      </c>
      <c r="AP165" s="36" t="str">
        <f aca="false">IF(OR(AN165="Revenue",AN165="Cost of Goods Sold",AN165="Expenditures",AN165="Other Revenue",AN165="Other Expenditures"),AO165,IF(AND(LEN(AN165)&gt;2,MID(AN165,2,1)=" ",ISNUMBER(VALUE(LEFT(AN165,1)))),AN165,AP164))</f>
        <v/>
      </c>
      <c r="AQ165" s="36" t="n">
        <f aca="false">IF(AND(AN165&lt;&gt;"",ISNUMBER(AL165),LEFT(AN165,9)&lt;&gt;"Total for",AN165&lt;&gt;"Gross Profit",AN165&lt;&gt;"Net Operating Revenue",AN165&lt;&gt;"Net Other Revenue",AN165&lt;&gt;"Net Revenue"),1,0)</f>
        <v>0</v>
      </c>
      <c r="AR165" s="36" t="str">
        <f aca="false">IF(AQ165=1,IF(AND(LEN(AN165)&gt;7,ISNUMBER(VALUE(LEFT(AN165,6))),MID(AN165,7,1)=" "),LEFT(AN165,6),AN165),"")</f>
        <v/>
      </c>
    </row>
    <row r="166" customFormat="false" ht="15" hidden="false" customHeight="false" outlineLevel="0" collapsed="false">
      <c r="D166" s="36" t="str">
        <f aca="false">TRIM(A166)</f>
        <v/>
      </c>
      <c r="E166" s="36" t="str">
        <f aca="false">IF(D166="Revenue","Revenue",IF(D166="Cost of Goods Sold","COGS",IF(D166="Expenditures","Expense",IF(D166="Other Revenue","Other Revenue",IF(D166="Other Expenditures","Other Expense",E165)))))</f>
        <v/>
      </c>
      <c r="F166" s="36" t="str">
        <f aca="false">IF(OR(D166="Revenue",D166="Cost of Goods Sold",D166="Expenditures",D166="Other Revenue",D166="Other Expenditures"),E166,IF(AND(LEN(D166)&gt;2,MID(D166,2,1)=" ",ISNUMBER(VALUE(LEFT(D166,1)))),D166,F165))</f>
        <v/>
      </c>
      <c r="G166" s="36" t="n">
        <f aca="false">IF(AND(D166&lt;&gt;"",ISNUMBER(B166),LEFT(D166,9)&lt;&gt;"Total for",D166&lt;&gt;"Gross Profit",D166&lt;&gt;"Net Operating Revenue",D166&lt;&gt;"Net Other Revenue",D166&lt;&gt;"Net Revenue"),1,0)</f>
        <v>0</v>
      </c>
      <c r="H166" s="36" t="str">
        <f aca="false">IF(G166=1,IF(AND(LEN(D166)&gt;7,ISNUMBER(VALUE(LEFT(D166,6))),MID(D166,7,1)=" "),LEFT(D166,6),D166),"")</f>
        <v/>
      </c>
      <c r="M166" s="36" t="str">
        <f aca="false">TRIM(J166)</f>
        <v/>
      </c>
      <c r="N166" s="36" t="str">
        <f aca="false">IF(M166="Revenue","Revenue",IF(M166="Cost of Goods Sold","COGS",IF(M166="Expenditures","Expense",IF(M166="Other Revenue","Other Revenue",IF(M166="Other Expenditures","Other Expense",N165)))))</f>
        <v/>
      </c>
      <c r="O166" s="36" t="str">
        <f aca="false">IF(OR(M166="Revenue",M166="Cost of Goods Sold",M166="Expenditures",M166="Other Revenue",M166="Other Expenditures"),N166,IF(AND(LEN(M166)&gt;2,MID(M166,2,1)=" ",ISNUMBER(VALUE(LEFT(M166,1)))),M166,O165))</f>
        <v/>
      </c>
      <c r="P166" s="36" t="n">
        <f aca="false">IF(AND(M166&lt;&gt;"",ISNUMBER(K166),LEFT(M166,9)&lt;&gt;"Total for",M166&lt;&gt;"Gross Profit",M166&lt;&gt;"Net Operating Revenue",M166&lt;&gt;"Net Other Revenue",M166&lt;&gt;"Net Revenue"),1,0)</f>
        <v>0</v>
      </c>
      <c r="Q166" s="36" t="str">
        <f aca="false">IF(P166=1,IF(AND(LEN(M166)&gt;7,ISNUMBER(VALUE(LEFT(M166,6))),MID(M166,7,1)=" "),LEFT(M166,6),M166),"")</f>
        <v/>
      </c>
      <c r="V166" s="36" t="str">
        <f aca="false">TRIM(S166)</f>
        <v/>
      </c>
      <c r="W166" s="36" t="str">
        <f aca="false">IF(V166="Revenue","Revenue",IF(V166="Cost of Goods Sold","COGS",IF(V166="Expenditures","Expense",IF(V166="Other Revenue","Other Revenue",IF(V166="Other Expenditures","Other Expense",W165)))))</f>
        <v/>
      </c>
      <c r="X166" s="36" t="str">
        <f aca="false">IF(OR(V166="Revenue",V166="Cost of Goods Sold",V166="Expenditures",V166="Other Revenue",V166="Other Expenditures"),W166,IF(AND(LEN(V166)&gt;2,MID(V166,2,1)=" ",ISNUMBER(VALUE(LEFT(V166,1)))),V166,X165))</f>
        <v/>
      </c>
      <c r="Y166" s="36" t="n">
        <f aca="false">IF(AND(V166&lt;&gt;"",ISNUMBER(T166),LEFT(V166,9)&lt;&gt;"Total for",V166&lt;&gt;"Gross Profit",V166&lt;&gt;"Net Operating Revenue",V166&lt;&gt;"Net Other Revenue",V166&lt;&gt;"Net Revenue"),1,0)</f>
        <v>0</v>
      </c>
      <c r="Z166" s="36" t="str">
        <f aca="false">IF(Y166=1,IF(AND(LEN(V166)&gt;7,ISNUMBER(VALUE(LEFT(V166,6))),MID(V166,7,1)=" "),LEFT(V166,6),V166),"")</f>
        <v/>
      </c>
      <c r="AE166" s="36" t="str">
        <f aca="false">TRIM(AB166)</f>
        <v/>
      </c>
      <c r="AF166" s="36" t="str">
        <f aca="false">IF(AE166="Revenue","Revenue",IF(AE166="Cost of Goods Sold","COGS",IF(AE166="Expenditures","Expense",IF(AE166="Other Revenue","Other Revenue",IF(AE166="Other Expenditures","Other Expense",AF165)))))</f>
        <v/>
      </c>
      <c r="AG166" s="36" t="str">
        <f aca="false">IF(OR(AE166="Revenue",AE166="Cost of Goods Sold",AE166="Expenditures",AE166="Other Revenue",AE166="Other Expenditures"),AF166,IF(AND(LEN(AE166)&gt;2,MID(AE166,2,1)=" ",ISNUMBER(VALUE(LEFT(AE166,1)))),AE166,AG165))</f>
        <v/>
      </c>
      <c r="AH166" s="36" t="n">
        <f aca="false">IF(AND(AE166&lt;&gt;"",ISNUMBER(AC166),LEFT(AE166,9)&lt;&gt;"Total for",AE166&lt;&gt;"Gross Profit",AE166&lt;&gt;"Net Operating Revenue",AE166&lt;&gt;"Net Other Revenue",AE166&lt;&gt;"Net Revenue"),1,0)</f>
        <v>0</v>
      </c>
      <c r="AI166" s="36" t="str">
        <f aca="false">IF(AH166=1,IF(AND(LEN(AE166)&gt;7,ISNUMBER(VALUE(LEFT(AE166,6))),MID(AE166,7,1)=" "),LEFT(AE166,6),AE166),"")</f>
        <v/>
      </c>
      <c r="AN166" s="36" t="str">
        <f aca="false">TRIM(AK166)</f>
        <v/>
      </c>
      <c r="AO166" s="36" t="str">
        <f aca="false">IF(AN166="Revenue","Revenue",IF(AN166="Cost of Goods Sold","COGS",IF(AN166="Expenditures","Expense",IF(AN166="Other Revenue","Other Revenue",IF(AN166="Other Expenditures","Other Expense",AO165)))))</f>
        <v/>
      </c>
      <c r="AP166" s="36" t="str">
        <f aca="false">IF(OR(AN166="Revenue",AN166="Cost of Goods Sold",AN166="Expenditures",AN166="Other Revenue",AN166="Other Expenditures"),AO166,IF(AND(LEN(AN166)&gt;2,MID(AN166,2,1)=" ",ISNUMBER(VALUE(LEFT(AN166,1)))),AN166,AP165))</f>
        <v/>
      </c>
      <c r="AQ166" s="36" t="n">
        <f aca="false">IF(AND(AN166&lt;&gt;"",ISNUMBER(AL166),LEFT(AN166,9)&lt;&gt;"Total for",AN166&lt;&gt;"Gross Profit",AN166&lt;&gt;"Net Operating Revenue",AN166&lt;&gt;"Net Other Revenue",AN166&lt;&gt;"Net Revenue"),1,0)</f>
        <v>0</v>
      </c>
      <c r="AR166" s="36" t="str">
        <f aca="false">IF(AQ166=1,IF(AND(LEN(AN166)&gt;7,ISNUMBER(VALUE(LEFT(AN166,6))),MID(AN166,7,1)=" "),LEFT(AN166,6),AN166),"")</f>
        <v/>
      </c>
    </row>
    <row r="167" customFormat="false" ht="15" hidden="false" customHeight="false" outlineLevel="0" collapsed="false">
      <c r="D167" s="36" t="str">
        <f aca="false">TRIM(A167)</f>
        <v/>
      </c>
      <c r="E167" s="36" t="str">
        <f aca="false">IF(D167="Revenue","Revenue",IF(D167="Cost of Goods Sold","COGS",IF(D167="Expenditures","Expense",IF(D167="Other Revenue","Other Revenue",IF(D167="Other Expenditures","Other Expense",E166)))))</f>
        <v/>
      </c>
      <c r="F167" s="36" t="str">
        <f aca="false">IF(OR(D167="Revenue",D167="Cost of Goods Sold",D167="Expenditures",D167="Other Revenue",D167="Other Expenditures"),E167,IF(AND(LEN(D167)&gt;2,MID(D167,2,1)=" ",ISNUMBER(VALUE(LEFT(D167,1)))),D167,F166))</f>
        <v/>
      </c>
      <c r="G167" s="36" t="n">
        <f aca="false">IF(AND(D167&lt;&gt;"",ISNUMBER(B167),LEFT(D167,9)&lt;&gt;"Total for",D167&lt;&gt;"Gross Profit",D167&lt;&gt;"Net Operating Revenue",D167&lt;&gt;"Net Other Revenue",D167&lt;&gt;"Net Revenue"),1,0)</f>
        <v>0</v>
      </c>
      <c r="H167" s="36" t="str">
        <f aca="false">IF(G167=1,IF(AND(LEN(D167)&gt;7,ISNUMBER(VALUE(LEFT(D167,6))),MID(D167,7,1)=" "),LEFT(D167,6),D167),"")</f>
        <v/>
      </c>
      <c r="M167" s="36" t="str">
        <f aca="false">TRIM(J167)</f>
        <v/>
      </c>
      <c r="N167" s="36" t="str">
        <f aca="false">IF(M167="Revenue","Revenue",IF(M167="Cost of Goods Sold","COGS",IF(M167="Expenditures","Expense",IF(M167="Other Revenue","Other Revenue",IF(M167="Other Expenditures","Other Expense",N166)))))</f>
        <v/>
      </c>
      <c r="O167" s="36" t="str">
        <f aca="false">IF(OR(M167="Revenue",M167="Cost of Goods Sold",M167="Expenditures",M167="Other Revenue",M167="Other Expenditures"),N167,IF(AND(LEN(M167)&gt;2,MID(M167,2,1)=" ",ISNUMBER(VALUE(LEFT(M167,1)))),M167,O166))</f>
        <v/>
      </c>
      <c r="P167" s="36" t="n">
        <f aca="false">IF(AND(M167&lt;&gt;"",ISNUMBER(K167),LEFT(M167,9)&lt;&gt;"Total for",M167&lt;&gt;"Gross Profit",M167&lt;&gt;"Net Operating Revenue",M167&lt;&gt;"Net Other Revenue",M167&lt;&gt;"Net Revenue"),1,0)</f>
        <v>0</v>
      </c>
      <c r="Q167" s="36" t="str">
        <f aca="false">IF(P167=1,IF(AND(LEN(M167)&gt;7,ISNUMBER(VALUE(LEFT(M167,6))),MID(M167,7,1)=" "),LEFT(M167,6),M167),"")</f>
        <v/>
      </c>
      <c r="V167" s="36" t="str">
        <f aca="false">TRIM(S167)</f>
        <v/>
      </c>
      <c r="W167" s="36" t="str">
        <f aca="false">IF(V167="Revenue","Revenue",IF(V167="Cost of Goods Sold","COGS",IF(V167="Expenditures","Expense",IF(V167="Other Revenue","Other Revenue",IF(V167="Other Expenditures","Other Expense",W166)))))</f>
        <v/>
      </c>
      <c r="X167" s="36" t="str">
        <f aca="false">IF(OR(V167="Revenue",V167="Cost of Goods Sold",V167="Expenditures",V167="Other Revenue",V167="Other Expenditures"),W167,IF(AND(LEN(V167)&gt;2,MID(V167,2,1)=" ",ISNUMBER(VALUE(LEFT(V167,1)))),V167,X166))</f>
        <v/>
      </c>
      <c r="Y167" s="36" t="n">
        <f aca="false">IF(AND(V167&lt;&gt;"",ISNUMBER(T167),LEFT(V167,9)&lt;&gt;"Total for",V167&lt;&gt;"Gross Profit",V167&lt;&gt;"Net Operating Revenue",V167&lt;&gt;"Net Other Revenue",V167&lt;&gt;"Net Revenue"),1,0)</f>
        <v>0</v>
      </c>
      <c r="Z167" s="36" t="str">
        <f aca="false">IF(Y167=1,IF(AND(LEN(V167)&gt;7,ISNUMBER(VALUE(LEFT(V167,6))),MID(V167,7,1)=" "),LEFT(V167,6),V167),"")</f>
        <v/>
      </c>
      <c r="AE167" s="36" t="str">
        <f aca="false">TRIM(AB167)</f>
        <v/>
      </c>
      <c r="AF167" s="36" t="str">
        <f aca="false">IF(AE167="Revenue","Revenue",IF(AE167="Cost of Goods Sold","COGS",IF(AE167="Expenditures","Expense",IF(AE167="Other Revenue","Other Revenue",IF(AE167="Other Expenditures","Other Expense",AF166)))))</f>
        <v/>
      </c>
      <c r="AG167" s="36" t="str">
        <f aca="false">IF(OR(AE167="Revenue",AE167="Cost of Goods Sold",AE167="Expenditures",AE167="Other Revenue",AE167="Other Expenditures"),AF167,IF(AND(LEN(AE167)&gt;2,MID(AE167,2,1)=" ",ISNUMBER(VALUE(LEFT(AE167,1)))),AE167,AG166))</f>
        <v/>
      </c>
      <c r="AH167" s="36" t="n">
        <f aca="false">IF(AND(AE167&lt;&gt;"",ISNUMBER(AC167),LEFT(AE167,9)&lt;&gt;"Total for",AE167&lt;&gt;"Gross Profit",AE167&lt;&gt;"Net Operating Revenue",AE167&lt;&gt;"Net Other Revenue",AE167&lt;&gt;"Net Revenue"),1,0)</f>
        <v>0</v>
      </c>
      <c r="AI167" s="36" t="str">
        <f aca="false">IF(AH167=1,IF(AND(LEN(AE167)&gt;7,ISNUMBER(VALUE(LEFT(AE167,6))),MID(AE167,7,1)=" "),LEFT(AE167,6),AE167),"")</f>
        <v/>
      </c>
      <c r="AN167" s="36" t="str">
        <f aca="false">TRIM(AK167)</f>
        <v/>
      </c>
      <c r="AO167" s="36" t="str">
        <f aca="false">IF(AN167="Revenue","Revenue",IF(AN167="Cost of Goods Sold","COGS",IF(AN167="Expenditures","Expense",IF(AN167="Other Revenue","Other Revenue",IF(AN167="Other Expenditures","Other Expense",AO166)))))</f>
        <v/>
      </c>
      <c r="AP167" s="36" t="str">
        <f aca="false">IF(OR(AN167="Revenue",AN167="Cost of Goods Sold",AN167="Expenditures",AN167="Other Revenue",AN167="Other Expenditures"),AO167,IF(AND(LEN(AN167)&gt;2,MID(AN167,2,1)=" ",ISNUMBER(VALUE(LEFT(AN167,1)))),AN167,AP166))</f>
        <v/>
      </c>
      <c r="AQ167" s="36" t="n">
        <f aca="false">IF(AND(AN167&lt;&gt;"",ISNUMBER(AL167),LEFT(AN167,9)&lt;&gt;"Total for",AN167&lt;&gt;"Gross Profit",AN167&lt;&gt;"Net Operating Revenue",AN167&lt;&gt;"Net Other Revenue",AN167&lt;&gt;"Net Revenue"),1,0)</f>
        <v>0</v>
      </c>
      <c r="AR167" s="36" t="str">
        <f aca="false">IF(AQ167=1,IF(AND(LEN(AN167)&gt;7,ISNUMBER(VALUE(LEFT(AN167,6))),MID(AN167,7,1)=" "),LEFT(AN167,6),AN167),"")</f>
        <v/>
      </c>
    </row>
    <row r="168" customFormat="false" ht="15" hidden="false" customHeight="false" outlineLevel="0" collapsed="false">
      <c r="D168" s="36" t="str">
        <f aca="false">TRIM(A168)</f>
        <v/>
      </c>
      <c r="E168" s="36" t="str">
        <f aca="false">IF(D168="Revenue","Revenue",IF(D168="Cost of Goods Sold","COGS",IF(D168="Expenditures","Expense",IF(D168="Other Revenue","Other Revenue",IF(D168="Other Expenditures","Other Expense",E167)))))</f>
        <v/>
      </c>
      <c r="F168" s="36" t="str">
        <f aca="false">IF(OR(D168="Revenue",D168="Cost of Goods Sold",D168="Expenditures",D168="Other Revenue",D168="Other Expenditures"),E168,IF(AND(LEN(D168)&gt;2,MID(D168,2,1)=" ",ISNUMBER(VALUE(LEFT(D168,1)))),D168,F167))</f>
        <v/>
      </c>
      <c r="G168" s="36" t="n">
        <f aca="false">IF(AND(D168&lt;&gt;"",ISNUMBER(B168),LEFT(D168,9)&lt;&gt;"Total for",D168&lt;&gt;"Gross Profit",D168&lt;&gt;"Net Operating Revenue",D168&lt;&gt;"Net Other Revenue",D168&lt;&gt;"Net Revenue"),1,0)</f>
        <v>0</v>
      </c>
      <c r="H168" s="36" t="str">
        <f aca="false">IF(G168=1,IF(AND(LEN(D168)&gt;7,ISNUMBER(VALUE(LEFT(D168,6))),MID(D168,7,1)=" "),LEFT(D168,6),D168),"")</f>
        <v/>
      </c>
      <c r="M168" s="36" t="str">
        <f aca="false">TRIM(J168)</f>
        <v/>
      </c>
      <c r="N168" s="36" t="str">
        <f aca="false">IF(M168="Revenue","Revenue",IF(M168="Cost of Goods Sold","COGS",IF(M168="Expenditures","Expense",IF(M168="Other Revenue","Other Revenue",IF(M168="Other Expenditures","Other Expense",N167)))))</f>
        <v/>
      </c>
      <c r="O168" s="36" t="str">
        <f aca="false">IF(OR(M168="Revenue",M168="Cost of Goods Sold",M168="Expenditures",M168="Other Revenue",M168="Other Expenditures"),N168,IF(AND(LEN(M168)&gt;2,MID(M168,2,1)=" ",ISNUMBER(VALUE(LEFT(M168,1)))),M168,O167))</f>
        <v/>
      </c>
      <c r="P168" s="36" t="n">
        <f aca="false">IF(AND(M168&lt;&gt;"",ISNUMBER(K168),LEFT(M168,9)&lt;&gt;"Total for",M168&lt;&gt;"Gross Profit",M168&lt;&gt;"Net Operating Revenue",M168&lt;&gt;"Net Other Revenue",M168&lt;&gt;"Net Revenue"),1,0)</f>
        <v>0</v>
      </c>
      <c r="Q168" s="36" t="str">
        <f aca="false">IF(P168=1,IF(AND(LEN(M168)&gt;7,ISNUMBER(VALUE(LEFT(M168,6))),MID(M168,7,1)=" "),LEFT(M168,6),M168),"")</f>
        <v/>
      </c>
      <c r="V168" s="36" t="str">
        <f aca="false">TRIM(S168)</f>
        <v/>
      </c>
      <c r="W168" s="36" t="str">
        <f aca="false">IF(V168="Revenue","Revenue",IF(V168="Cost of Goods Sold","COGS",IF(V168="Expenditures","Expense",IF(V168="Other Revenue","Other Revenue",IF(V168="Other Expenditures","Other Expense",W167)))))</f>
        <v/>
      </c>
      <c r="X168" s="36" t="str">
        <f aca="false">IF(OR(V168="Revenue",V168="Cost of Goods Sold",V168="Expenditures",V168="Other Revenue",V168="Other Expenditures"),W168,IF(AND(LEN(V168)&gt;2,MID(V168,2,1)=" ",ISNUMBER(VALUE(LEFT(V168,1)))),V168,X167))</f>
        <v/>
      </c>
      <c r="Y168" s="36" t="n">
        <f aca="false">IF(AND(V168&lt;&gt;"",ISNUMBER(T168),LEFT(V168,9)&lt;&gt;"Total for",V168&lt;&gt;"Gross Profit",V168&lt;&gt;"Net Operating Revenue",V168&lt;&gt;"Net Other Revenue",V168&lt;&gt;"Net Revenue"),1,0)</f>
        <v>0</v>
      </c>
      <c r="Z168" s="36" t="str">
        <f aca="false">IF(Y168=1,IF(AND(LEN(V168)&gt;7,ISNUMBER(VALUE(LEFT(V168,6))),MID(V168,7,1)=" "),LEFT(V168,6),V168),"")</f>
        <v/>
      </c>
      <c r="AE168" s="36" t="str">
        <f aca="false">TRIM(AB168)</f>
        <v/>
      </c>
      <c r="AF168" s="36" t="str">
        <f aca="false">IF(AE168="Revenue","Revenue",IF(AE168="Cost of Goods Sold","COGS",IF(AE168="Expenditures","Expense",IF(AE168="Other Revenue","Other Revenue",IF(AE168="Other Expenditures","Other Expense",AF167)))))</f>
        <v/>
      </c>
      <c r="AG168" s="36" t="str">
        <f aca="false">IF(OR(AE168="Revenue",AE168="Cost of Goods Sold",AE168="Expenditures",AE168="Other Revenue",AE168="Other Expenditures"),AF168,IF(AND(LEN(AE168)&gt;2,MID(AE168,2,1)=" ",ISNUMBER(VALUE(LEFT(AE168,1)))),AE168,AG167))</f>
        <v/>
      </c>
      <c r="AH168" s="36" t="n">
        <f aca="false">IF(AND(AE168&lt;&gt;"",ISNUMBER(AC168),LEFT(AE168,9)&lt;&gt;"Total for",AE168&lt;&gt;"Gross Profit",AE168&lt;&gt;"Net Operating Revenue",AE168&lt;&gt;"Net Other Revenue",AE168&lt;&gt;"Net Revenue"),1,0)</f>
        <v>0</v>
      </c>
      <c r="AI168" s="36" t="str">
        <f aca="false">IF(AH168=1,IF(AND(LEN(AE168)&gt;7,ISNUMBER(VALUE(LEFT(AE168,6))),MID(AE168,7,1)=" "),LEFT(AE168,6),AE168),"")</f>
        <v/>
      </c>
      <c r="AN168" s="36" t="str">
        <f aca="false">TRIM(AK168)</f>
        <v/>
      </c>
      <c r="AO168" s="36" t="str">
        <f aca="false">IF(AN168="Revenue","Revenue",IF(AN168="Cost of Goods Sold","COGS",IF(AN168="Expenditures","Expense",IF(AN168="Other Revenue","Other Revenue",IF(AN168="Other Expenditures","Other Expense",AO167)))))</f>
        <v/>
      </c>
      <c r="AP168" s="36" t="str">
        <f aca="false">IF(OR(AN168="Revenue",AN168="Cost of Goods Sold",AN168="Expenditures",AN168="Other Revenue",AN168="Other Expenditures"),AO168,IF(AND(LEN(AN168)&gt;2,MID(AN168,2,1)=" ",ISNUMBER(VALUE(LEFT(AN168,1)))),AN168,AP167))</f>
        <v/>
      </c>
      <c r="AQ168" s="36" t="n">
        <f aca="false">IF(AND(AN168&lt;&gt;"",ISNUMBER(AL168),LEFT(AN168,9)&lt;&gt;"Total for",AN168&lt;&gt;"Gross Profit",AN168&lt;&gt;"Net Operating Revenue",AN168&lt;&gt;"Net Other Revenue",AN168&lt;&gt;"Net Revenue"),1,0)</f>
        <v>0</v>
      </c>
      <c r="AR168" s="36" t="str">
        <f aca="false">IF(AQ168=1,IF(AND(LEN(AN168)&gt;7,ISNUMBER(VALUE(LEFT(AN168,6))),MID(AN168,7,1)=" "),LEFT(AN168,6),AN168),"")</f>
        <v/>
      </c>
    </row>
    <row r="169" customFormat="false" ht="15" hidden="false" customHeight="false" outlineLevel="0" collapsed="false">
      <c r="D169" s="36" t="str">
        <f aca="false">TRIM(A169)</f>
        <v/>
      </c>
      <c r="E169" s="36" t="str">
        <f aca="false">IF(D169="Revenue","Revenue",IF(D169="Cost of Goods Sold","COGS",IF(D169="Expenditures","Expense",IF(D169="Other Revenue","Other Revenue",IF(D169="Other Expenditures","Other Expense",E168)))))</f>
        <v/>
      </c>
      <c r="F169" s="36" t="str">
        <f aca="false">IF(OR(D169="Revenue",D169="Cost of Goods Sold",D169="Expenditures",D169="Other Revenue",D169="Other Expenditures"),E169,IF(AND(LEN(D169)&gt;2,MID(D169,2,1)=" ",ISNUMBER(VALUE(LEFT(D169,1)))),D169,F168))</f>
        <v/>
      </c>
      <c r="G169" s="36" t="n">
        <f aca="false">IF(AND(D169&lt;&gt;"",ISNUMBER(B169),LEFT(D169,9)&lt;&gt;"Total for",D169&lt;&gt;"Gross Profit",D169&lt;&gt;"Net Operating Revenue",D169&lt;&gt;"Net Other Revenue",D169&lt;&gt;"Net Revenue"),1,0)</f>
        <v>0</v>
      </c>
      <c r="H169" s="36" t="str">
        <f aca="false">IF(G169=1,IF(AND(LEN(D169)&gt;7,ISNUMBER(VALUE(LEFT(D169,6))),MID(D169,7,1)=" "),LEFT(D169,6),D169),"")</f>
        <v/>
      </c>
      <c r="M169" s="36" t="str">
        <f aca="false">TRIM(J169)</f>
        <v/>
      </c>
      <c r="N169" s="36" t="str">
        <f aca="false">IF(M169="Revenue","Revenue",IF(M169="Cost of Goods Sold","COGS",IF(M169="Expenditures","Expense",IF(M169="Other Revenue","Other Revenue",IF(M169="Other Expenditures","Other Expense",N168)))))</f>
        <v/>
      </c>
      <c r="O169" s="36" t="str">
        <f aca="false">IF(OR(M169="Revenue",M169="Cost of Goods Sold",M169="Expenditures",M169="Other Revenue",M169="Other Expenditures"),N169,IF(AND(LEN(M169)&gt;2,MID(M169,2,1)=" ",ISNUMBER(VALUE(LEFT(M169,1)))),M169,O168))</f>
        <v/>
      </c>
      <c r="P169" s="36" t="n">
        <f aca="false">IF(AND(M169&lt;&gt;"",ISNUMBER(K169),LEFT(M169,9)&lt;&gt;"Total for",M169&lt;&gt;"Gross Profit",M169&lt;&gt;"Net Operating Revenue",M169&lt;&gt;"Net Other Revenue",M169&lt;&gt;"Net Revenue"),1,0)</f>
        <v>0</v>
      </c>
      <c r="Q169" s="36" t="str">
        <f aca="false">IF(P169=1,IF(AND(LEN(M169)&gt;7,ISNUMBER(VALUE(LEFT(M169,6))),MID(M169,7,1)=" "),LEFT(M169,6),M169),"")</f>
        <v/>
      </c>
      <c r="V169" s="36" t="str">
        <f aca="false">TRIM(S169)</f>
        <v/>
      </c>
      <c r="W169" s="36" t="str">
        <f aca="false">IF(V169="Revenue","Revenue",IF(V169="Cost of Goods Sold","COGS",IF(V169="Expenditures","Expense",IF(V169="Other Revenue","Other Revenue",IF(V169="Other Expenditures","Other Expense",W168)))))</f>
        <v/>
      </c>
      <c r="X169" s="36" t="str">
        <f aca="false">IF(OR(V169="Revenue",V169="Cost of Goods Sold",V169="Expenditures",V169="Other Revenue",V169="Other Expenditures"),W169,IF(AND(LEN(V169)&gt;2,MID(V169,2,1)=" ",ISNUMBER(VALUE(LEFT(V169,1)))),V169,X168))</f>
        <v/>
      </c>
      <c r="Y169" s="36" t="n">
        <f aca="false">IF(AND(V169&lt;&gt;"",ISNUMBER(T169),LEFT(V169,9)&lt;&gt;"Total for",V169&lt;&gt;"Gross Profit",V169&lt;&gt;"Net Operating Revenue",V169&lt;&gt;"Net Other Revenue",V169&lt;&gt;"Net Revenue"),1,0)</f>
        <v>0</v>
      </c>
      <c r="Z169" s="36" t="str">
        <f aca="false">IF(Y169=1,IF(AND(LEN(V169)&gt;7,ISNUMBER(VALUE(LEFT(V169,6))),MID(V169,7,1)=" "),LEFT(V169,6),V169),"")</f>
        <v/>
      </c>
      <c r="AE169" s="36" t="str">
        <f aca="false">TRIM(AB169)</f>
        <v/>
      </c>
      <c r="AF169" s="36" t="str">
        <f aca="false">IF(AE169="Revenue","Revenue",IF(AE169="Cost of Goods Sold","COGS",IF(AE169="Expenditures","Expense",IF(AE169="Other Revenue","Other Revenue",IF(AE169="Other Expenditures","Other Expense",AF168)))))</f>
        <v/>
      </c>
      <c r="AG169" s="36" t="str">
        <f aca="false">IF(OR(AE169="Revenue",AE169="Cost of Goods Sold",AE169="Expenditures",AE169="Other Revenue",AE169="Other Expenditures"),AF169,IF(AND(LEN(AE169)&gt;2,MID(AE169,2,1)=" ",ISNUMBER(VALUE(LEFT(AE169,1)))),AE169,AG168))</f>
        <v/>
      </c>
      <c r="AH169" s="36" t="n">
        <f aca="false">IF(AND(AE169&lt;&gt;"",ISNUMBER(AC169),LEFT(AE169,9)&lt;&gt;"Total for",AE169&lt;&gt;"Gross Profit",AE169&lt;&gt;"Net Operating Revenue",AE169&lt;&gt;"Net Other Revenue",AE169&lt;&gt;"Net Revenue"),1,0)</f>
        <v>0</v>
      </c>
      <c r="AI169" s="36" t="str">
        <f aca="false">IF(AH169=1,IF(AND(LEN(AE169)&gt;7,ISNUMBER(VALUE(LEFT(AE169,6))),MID(AE169,7,1)=" "),LEFT(AE169,6),AE169),"")</f>
        <v/>
      </c>
      <c r="AN169" s="36" t="str">
        <f aca="false">TRIM(AK169)</f>
        <v/>
      </c>
      <c r="AO169" s="36" t="str">
        <f aca="false">IF(AN169="Revenue","Revenue",IF(AN169="Cost of Goods Sold","COGS",IF(AN169="Expenditures","Expense",IF(AN169="Other Revenue","Other Revenue",IF(AN169="Other Expenditures","Other Expense",AO168)))))</f>
        <v/>
      </c>
      <c r="AP169" s="36" t="str">
        <f aca="false">IF(OR(AN169="Revenue",AN169="Cost of Goods Sold",AN169="Expenditures",AN169="Other Revenue",AN169="Other Expenditures"),AO169,IF(AND(LEN(AN169)&gt;2,MID(AN169,2,1)=" ",ISNUMBER(VALUE(LEFT(AN169,1)))),AN169,AP168))</f>
        <v/>
      </c>
      <c r="AQ169" s="36" t="n">
        <f aca="false">IF(AND(AN169&lt;&gt;"",ISNUMBER(AL169),LEFT(AN169,9)&lt;&gt;"Total for",AN169&lt;&gt;"Gross Profit",AN169&lt;&gt;"Net Operating Revenue",AN169&lt;&gt;"Net Other Revenue",AN169&lt;&gt;"Net Revenue"),1,0)</f>
        <v>0</v>
      </c>
      <c r="AR169" s="36" t="str">
        <f aca="false">IF(AQ169=1,IF(AND(LEN(AN169)&gt;7,ISNUMBER(VALUE(LEFT(AN169,6))),MID(AN169,7,1)=" "),LEFT(AN169,6),AN169),"")</f>
        <v/>
      </c>
    </row>
    <row r="170" customFormat="false" ht="15" hidden="false" customHeight="false" outlineLevel="0" collapsed="false">
      <c r="D170" s="36" t="str">
        <f aca="false">TRIM(A170)</f>
        <v/>
      </c>
      <c r="E170" s="36" t="str">
        <f aca="false">IF(D170="Revenue","Revenue",IF(D170="Cost of Goods Sold","COGS",IF(D170="Expenditures","Expense",IF(D170="Other Revenue","Other Revenue",IF(D170="Other Expenditures","Other Expense",E169)))))</f>
        <v/>
      </c>
      <c r="F170" s="36" t="str">
        <f aca="false">IF(OR(D170="Revenue",D170="Cost of Goods Sold",D170="Expenditures",D170="Other Revenue",D170="Other Expenditures"),E170,IF(AND(LEN(D170)&gt;2,MID(D170,2,1)=" ",ISNUMBER(VALUE(LEFT(D170,1)))),D170,F169))</f>
        <v/>
      </c>
      <c r="G170" s="36" t="n">
        <f aca="false">IF(AND(D170&lt;&gt;"",ISNUMBER(B170),LEFT(D170,9)&lt;&gt;"Total for",D170&lt;&gt;"Gross Profit",D170&lt;&gt;"Net Operating Revenue",D170&lt;&gt;"Net Other Revenue",D170&lt;&gt;"Net Revenue"),1,0)</f>
        <v>0</v>
      </c>
      <c r="H170" s="36" t="str">
        <f aca="false">IF(G170=1,IF(AND(LEN(D170)&gt;7,ISNUMBER(VALUE(LEFT(D170,6))),MID(D170,7,1)=" "),LEFT(D170,6),D170),"")</f>
        <v/>
      </c>
      <c r="M170" s="36" t="str">
        <f aca="false">TRIM(J170)</f>
        <v/>
      </c>
      <c r="N170" s="36" t="str">
        <f aca="false">IF(M170="Revenue","Revenue",IF(M170="Cost of Goods Sold","COGS",IF(M170="Expenditures","Expense",IF(M170="Other Revenue","Other Revenue",IF(M170="Other Expenditures","Other Expense",N169)))))</f>
        <v/>
      </c>
      <c r="O170" s="36" t="str">
        <f aca="false">IF(OR(M170="Revenue",M170="Cost of Goods Sold",M170="Expenditures",M170="Other Revenue",M170="Other Expenditures"),N170,IF(AND(LEN(M170)&gt;2,MID(M170,2,1)=" ",ISNUMBER(VALUE(LEFT(M170,1)))),M170,O169))</f>
        <v/>
      </c>
      <c r="P170" s="36" t="n">
        <f aca="false">IF(AND(M170&lt;&gt;"",ISNUMBER(K170),LEFT(M170,9)&lt;&gt;"Total for",M170&lt;&gt;"Gross Profit",M170&lt;&gt;"Net Operating Revenue",M170&lt;&gt;"Net Other Revenue",M170&lt;&gt;"Net Revenue"),1,0)</f>
        <v>0</v>
      </c>
      <c r="Q170" s="36" t="str">
        <f aca="false">IF(P170=1,IF(AND(LEN(M170)&gt;7,ISNUMBER(VALUE(LEFT(M170,6))),MID(M170,7,1)=" "),LEFT(M170,6),M170),"")</f>
        <v/>
      </c>
      <c r="V170" s="36" t="str">
        <f aca="false">TRIM(S170)</f>
        <v/>
      </c>
      <c r="W170" s="36" t="str">
        <f aca="false">IF(V170="Revenue","Revenue",IF(V170="Cost of Goods Sold","COGS",IF(V170="Expenditures","Expense",IF(V170="Other Revenue","Other Revenue",IF(V170="Other Expenditures","Other Expense",W169)))))</f>
        <v/>
      </c>
      <c r="X170" s="36" t="str">
        <f aca="false">IF(OR(V170="Revenue",V170="Cost of Goods Sold",V170="Expenditures",V170="Other Revenue",V170="Other Expenditures"),W170,IF(AND(LEN(V170)&gt;2,MID(V170,2,1)=" ",ISNUMBER(VALUE(LEFT(V170,1)))),V170,X169))</f>
        <v/>
      </c>
      <c r="Y170" s="36" t="n">
        <f aca="false">IF(AND(V170&lt;&gt;"",ISNUMBER(T170),LEFT(V170,9)&lt;&gt;"Total for",V170&lt;&gt;"Gross Profit",V170&lt;&gt;"Net Operating Revenue",V170&lt;&gt;"Net Other Revenue",V170&lt;&gt;"Net Revenue"),1,0)</f>
        <v>0</v>
      </c>
      <c r="Z170" s="36" t="str">
        <f aca="false">IF(Y170=1,IF(AND(LEN(V170)&gt;7,ISNUMBER(VALUE(LEFT(V170,6))),MID(V170,7,1)=" "),LEFT(V170,6),V170),"")</f>
        <v/>
      </c>
      <c r="AE170" s="36" t="str">
        <f aca="false">TRIM(AB170)</f>
        <v/>
      </c>
      <c r="AF170" s="36" t="str">
        <f aca="false">IF(AE170="Revenue","Revenue",IF(AE170="Cost of Goods Sold","COGS",IF(AE170="Expenditures","Expense",IF(AE170="Other Revenue","Other Revenue",IF(AE170="Other Expenditures","Other Expense",AF169)))))</f>
        <v/>
      </c>
      <c r="AG170" s="36" t="str">
        <f aca="false">IF(OR(AE170="Revenue",AE170="Cost of Goods Sold",AE170="Expenditures",AE170="Other Revenue",AE170="Other Expenditures"),AF170,IF(AND(LEN(AE170)&gt;2,MID(AE170,2,1)=" ",ISNUMBER(VALUE(LEFT(AE170,1)))),AE170,AG169))</f>
        <v/>
      </c>
      <c r="AH170" s="36" t="n">
        <f aca="false">IF(AND(AE170&lt;&gt;"",ISNUMBER(AC170),LEFT(AE170,9)&lt;&gt;"Total for",AE170&lt;&gt;"Gross Profit",AE170&lt;&gt;"Net Operating Revenue",AE170&lt;&gt;"Net Other Revenue",AE170&lt;&gt;"Net Revenue"),1,0)</f>
        <v>0</v>
      </c>
      <c r="AI170" s="36" t="str">
        <f aca="false">IF(AH170=1,IF(AND(LEN(AE170)&gt;7,ISNUMBER(VALUE(LEFT(AE170,6))),MID(AE170,7,1)=" "),LEFT(AE170,6),AE170),"")</f>
        <v/>
      </c>
      <c r="AN170" s="36" t="str">
        <f aca="false">TRIM(AK170)</f>
        <v/>
      </c>
      <c r="AO170" s="36" t="str">
        <f aca="false">IF(AN170="Revenue","Revenue",IF(AN170="Cost of Goods Sold","COGS",IF(AN170="Expenditures","Expense",IF(AN170="Other Revenue","Other Revenue",IF(AN170="Other Expenditures","Other Expense",AO169)))))</f>
        <v/>
      </c>
      <c r="AP170" s="36" t="str">
        <f aca="false">IF(OR(AN170="Revenue",AN170="Cost of Goods Sold",AN170="Expenditures",AN170="Other Revenue",AN170="Other Expenditures"),AO170,IF(AND(LEN(AN170)&gt;2,MID(AN170,2,1)=" ",ISNUMBER(VALUE(LEFT(AN170,1)))),AN170,AP169))</f>
        <v/>
      </c>
      <c r="AQ170" s="36" t="n">
        <f aca="false">IF(AND(AN170&lt;&gt;"",ISNUMBER(AL170),LEFT(AN170,9)&lt;&gt;"Total for",AN170&lt;&gt;"Gross Profit",AN170&lt;&gt;"Net Operating Revenue",AN170&lt;&gt;"Net Other Revenue",AN170&lt;&gt;"Net Revenue"),1,0)</f>
        <v>0</v>
      </c>
      <c r="AR170" s="36" t="str">
        <f aca="false">IF(AQ170=1,IF(AND(LEN(AN170)&gt;7,ISNUMBER(VALUE(LEFT(AN170,6))),MID(AN170,7,1)=" "),LEFT(AN170,6),AN170),"")</f>
        <v/>
      </c>
    </row>
    <row r="171" customFormat="false" ht="15" hidden="false" customHeight="false" outlineLevel="0" collapsed="false">
      <c r="D171" s="36" t="str">
        <f aca="false">TRIM(A171)</f>
        <v/>
      </c>
      <c r="E171" s="36" t="str">
        <f aca="false">IF(D171="Revenue","Revenue",IF(D171="Cost of Goods Sold","COGS",IF(D171="Expenditures","Expense",IF(D171="Other Revenue","Other Revenue",IF(D171="Other Expenditures","Other Expense",E170)))))</f>
        <v/>
      </c>
      <c r="F171" s="36" t="str">
        <f aca="false">IF(OR(D171="Revenue",D171="Cost of Goods Sold",D171="Expenditures",D171="Other Revenue",D171="Other Expenditures"),E171,IF(AND(LEN(D171)&gt;2,MID(D171,2,1)=" ",ISNUMBER(VALUE(LEFT(D171,1)))),D171,F170))</f>
        <v/>
      </c>
      <c r="G171" s="36" t="n">
        <f aca="false">IF(AND(D171&lt;&gt;"",ISNUMBER(B171),LEFT(D171,9)&lt;&gt;"Total for",D171&lt;&gt;"Gross Profit",D171&lt;&gt;"Net Operating Revenue",D171&lt;&gt;"Net Other Revenue",D171&lt;&gt;"Net Revenue"),1,0)</f>
        <v>0</v>
      </c>
      <c r="H171" s="36" t="str">
        <f aca="false">IF(G171=1,IF(AND(LEN(D171)&gt;7,ISNUMBER(VALUE(LEFT(D171,6))),MID(D171,7,1)=" "),LEFT(D171,6),D171),"")</f>
        <v/>
      </c>
      <c r="M171" s="36" t="str">
        <f aca="false">TRIM(J171)</f>
        <v/>
      </c>
      <c r="N171" s="36" t="str">
        <f aca="false">IF(M171="Revenue","Revenue",IF(M171="Cost of Goods Sold","COGS",IF(M171="Expenditures","Expense",IF(M171="Other Revenue","Other Revenue",IF(M171="Other Expenditures","Other Expense",N170)))))</f>
        <v/>
      </c>
      <c r="O171" s="36" t="str">
        <f aca="false">IF(OR(M171="Revenue",M171="Cost of Goods Sold",M171="Expenditures",M171="Other Revenue",M171="Other Expenditures"),N171,IF(AND(LEN(M171)&gt;2,MID(M171,2,1)=" ",ISNUMBER(VALUE(LEFT(M171,1)))),M171,O170))</f>
        <v/>
      </c>
      <c r="P171" s="36" t="n">
        <f aca="false">IF(AND(M171&lt;&gt;"",ISNUMBER(K171),LEFT(M171,9)&lt;&gt;"Total for",M171&lt;&gt;"Gross Profit",M171&lt;&gt;"Net Operating Revenue",M171&lt;&gt;"Net Other Revenue",M171&lt;&gt;"Net Revenue"),1,0)</f>
        <v>0</v>
      </c>
      <c r="Q171" s="36" t="str">
        <f aca="false">IF(P171=1,IF(AND(LEN(M171)&gt;7,ISNUMBER(VALUE(LEFT(M171,6))),MID(M171,7,1)=" "),LEFT(M171,6),M171),"")</f>
        <v/>
      </c>
      <c r="V171" s="36" t="str">
        <f aca="false">TRIM(S171)</f>
        <v/>
      </c>
      <c r="W171" s="36" t="str">
        <f aca="false">IF(V171="Revenue","Revenue",IF(V171="Cost of Goods Sold","COGS",IF(V171="Expenditures","Expense",IF(V171="Other Revenue","Other Revenue",IF(V171="Other Expenditures","Other Expense",W170)))))</f>
        <v/>
      </c>
      <c r="X171" s="36" t="str">
        <f aca="false">IF(OR(V171="Revenue",V171="Cost of Goods Sold",V171="Expenditures",V171="Other Revenue",V171="Other Expenditures"),W171,IF(AND(LEN(V171)&gt;2,MID(V171,2,1)=" ",ISNUMBER(VALUE(LEFT(V171,1)))),V171,X170))</f>
        <v/>
      </c>
      <c r="Y171" s="36" t="n">
        <f aca="false">IF(AND(V171&lt;&gt;"",ISNUMBER(T171),LEFT(V171,9)&lt;&gt;"Total for",V171&lt;&gt;"Gross Profit",V171&lt;&gt;"Net Operating Revenue",V171&lt;&gt;"Net Other Revenue",V171&lt;&gt;"Net Revenue"),1,0)</f>
        <v>0</v>
      </c>
      <c r="Z171" s="36" t="str">
        <f aca="false">IF(Y171=1,IF(AND(LEN(V171)&gt;7,ISNUMBER(VALUE(LEFT(V171,6))),MID(V171,7,1)=" "),LEFT(V171,6),V171),"")</f>
        <v/>
      </c>
      <c r="AE171" s="36" t="str">
        <f aca="false">TRIM(AB171)</f>
        <v/>
      </c>
      <c r="AF171" s="36" t="str">
        <f aca="false">IF(AE171="Revenue","Revenue",IF(AE171="Cost of Goods Sold","COGS",IF(AE171="Expenditures","Expense",IF(AE171="Other Revenue","Other Revenue",IF(AE171="Other Expenditures","Other Expense",AF170)))))</f>
        <v/>
      </c>
      <c r="AG171" s="36" t="str">
        <f aca="false">IF(OR(AE171="Revenue",AE171="Cost of Goods Sold",AE171="Expenditures",AE171="Other Revenue",AE171="Other Expenditures"),AF171,IF(AND(LEN(AE171)&gt;2,MID(AE171,2,1)=" ",ISNUMBER(VALUE(LEFT(AE171,1)))),AE171,AG170))</f>
        <v/>
      </c>
      <c r="AH171" s="36" t="n">
        <f aca="false">IF(AND(AE171&lt;&gt;"",ISNUMBER(AC171),LEFT(AE171,9)&lt;&gt;"Total for",AE171&lt;&gt;"Gross Profit",AE171&lt;&gt;"Net Operating Revenue",AE171&lt;&gt;"Net Other Revenue",AE171&lt;&gt;"Net Revenue"),1,0)</f>
        <v>0</v>
      </c>
      <c r="AI171" s="36" t="str">
        <f aca="false">IF(AH171=1,IF(AND(LEN(AE171)&gt;7,ISNUMBER(VALUE(LEFT(AE171,6))),MID(AE171,7,1)=" "),LEFT(AE171,6),AE171),"")</f>
        <v/>
      </c>
      <c r="AN171" s="36" t="str">
        <f aca="false">TRIM(AK171)</f>
        <v/>
      </c>
      <c r="AO171" s="36" t="str">
        <f aca="false">IF(AN171="Revenue","Revenue",IF(AN171="Cost of Goods Sold","COGS",IF(AN171="Expenditures","Expense",IF(AN171="Other Revenue","Other Revenue",IF(AN171="Other Expenditures","Other Expense",AO170)))))</f>
        <v/>
      </c>
      <c r="AP171" s="36" t="str">
        <f aca="false">IF(OR(AN171="Revenue",AN171="Cost of Goods Sold",AN171="Expenditures",AN171="Other Revenue",AN171="Other Expenditures"),AO171,IF(AND(LEN(AN171)&gt;2,MID(AN171,2,1)=" ",ISNUMBER(VALUE(LEFT(AN171,1)))),AN171,AP170))</f>
        <v/>
      </c>
      <c r="AQ171" s="36" t="n">
        <f aca="false">IF(AND(AN171&lt;&gt;"",ISNUMBER(AL171),LEFT(AN171,9)&lt;&gt;"Total for",AN171&lt;&gt;"Gross Profit",AN171&lt;&gt;"Net Operating Revenue",AN171&lt;&gt;"Net Other Revenue",AN171&lt;&gt;"Net Revenue"),1,0)</f>
        <v>0</v>
      </c>
      <c r="AR171" s="36" t="str">
        <f aca="false">IF(AQ171=1,IF(AND(LEN(AN171)&gt;7,ISNUMBER(VALUE(LEFT(AN171,6))),MID(AN171,7,1)=" "),LEFT(AN171,6),AN171),"")</f>
        <v/>
      </c>
    </row>
    <row r="172" customFormat="false" ht="15" hidden="false" customHeight="false" outlineLevel="0" collapsed="false">
      <c r="D172" s="36" t="str">
        <f aca="false">TRIM(A172)</f>
        <v/>
      </c>
      <c r="E172" s="36" t="str">
        <f aca="false">IF(D172="Revenue","Revenue",IF(D172="Cost of Goods Sold","COGS",IF(D172="Expenditures","Expense",IF(D172="Other Revenue","Other Revenue",IF(D172="Other Expenditures","Other Expense",E171)))))</f>
        <v/>
      </c>
      <c r="F172" s="36" t="str">
        <f aca="false">IF(OR(D172="Revenue",D172="Cost of Goods Sold",D172="Expenditures",D172="Other Revenue",D172="Other Expenditures"),E172,IF(AND(LEN(D172)&gt;2,MID(D172,2,1)=" ",ISNUMBER(VALUE(LEFT(D172,1)))),D172,F171))</f>
        <v/>
      </c>
      <c r="G172" s="36" t="n">
        <f aca="false">IF(AND(D172&lt;&gt;"",ISNUMBER(B172),LEFT(D172,9)&lt;&gt;"Total for",D172&lt;&gt;"Gross Profit",D172&lt;&gt;"Net Operating Revenue",D172&lt;&gt;"Net Other Revenue",D172&lt;&gt;"Net Revenue"),1,0)</f>
        <v>0</v>
      </c>
      <c r="H172" s="36" t="str">
        <f aca="false">IF(G172=1,IF(AND(LEN(D172)&gt;7,ISNUMBER(VALUE(LEFT(D172,6))),MID(D172,7,1)=" "),LEFT(D172,6),D172),"")</f>
        <v/>
      </c>
      <c r="M172" s="36" t="str">
        <f aca="false">TRIM(J172)</f>
        <v/>
      </c>
      <c r="N172" s="36" t="str">
        <f aca="false">IF(M172="Revenue","Revenue",IF(M172="Cost of Goods Sold","COGS",IF(M172="Expenditures","Expense",IF(M172="Other Revenue","Other Revenue",IF(M172="Other Expenditures","Other Expense",N171)))))</f>
        <v/>
      </c>
      <c r="O172" s="36" t="str">
        <f aca="false">IF(OR(M172="Revenue",M172="Cost of Goods Sold",M172="Expenditures",M172="Other Revenue",M172="Other Expenditures"),N172,IF(AND(LEN(M172)&gt;2,MID(M172,2,1)=" ",ISNUMBER(VALUE(LEFT(M172,1)))),M172,O171))</f>
        <v/>
      </c>
      <c r="P172" s="36" t="n">
        <f aca="false">IF(AND(M172&lt;&gt;"",ISNUMBER(K172),LEFT(M172,9)&lt;&gt;"Total for",M172&lt;&gt;"Gross Profit",M172&lt;&gt;"Net Operating Revenue",M172&lt;&gt;"Net Other Revenue",M172&lt;&gt;"Net Revenue"),1,0)</f>
        <v>0</v>
      </c>
      <c r="Q172" s="36" t="str">
        <f aca="false">IF(P172=1,IF(AND(LEN(M172)&gt;7,ISNUMBER(VALUE(LEFT(M172,6))),MID(M172,7,1)=" "),LEFT(M172,6),M172),"")</f>
        <v/>
      </c>
      <c r="V172" s="36" t="str">
        <f aca="false">TRIM(S172)</f>
        <v/>
      </c>
      <c r="W172" s="36" t="str">
        <f aca="false">IF(V172="Revenue","Revenue",IF(V172="Cost of Goods Sold","COGS",IF(V172="Expenditures","Expense",IF(V172="Other Revenue","Other Revenue",IF(V172="Other Expenditures","Other Expense",W171)))))</f>
        <v/>
      </c>
      <c r="X172" s="36" t="str">
        <f aca="false">IF(OR(V172="Revenue",V172="Cost of Goods Sold",V172="Expenditures",V172="Other Revenue",V172="Other Expenditures"),W172,IF(AND(LEN(V172)&gt;2,MID(V172,2,1)=" ",ISNUMBER(VALUE(LEFT(V172,1)))),V172,X171))</f>
        <v/>
      </c>
      <c r="Y172" s="36" t="n">
        <f aca="false">IF(AND(V172&lt;&gt;"",ISNUMBER(T172),LEFT(V172,9)&lt;&gt;"Total for",V172&lt;&gt;"Gross Profit",V172&lt;&gt;"Net Operating Revenue",V172&lt;&gt;"Net Other Revenue",V172&lt;&gt;"Net Revenue"),1,0)</f>
        <v>0</v>
      </c>
      <c r="Z172" s="36" t="str">
        <f aca="false">IF(Y172=1,IF(AND(LEN(V172)&gt;7,ISNUMBER(VALUE(LEFT(V172,6))),MID(V172,7,1)=" "),LEFT(V172,6),V172),"")</f>
        <v/>
      </c>
      <c r="AE172" s="36" t="str">
        <f aca="false">TRIM(AB172)</f>
        <v/>
      </c>
      <c r="AF172" s="36" t="str">
        <f aca="false">IF(AE172="Revenue","Revenue",IF(AE172="Cost of Goods Sold","COGS",IF(AE172="Expenditures","Expense",IF(AE172="Other Revenue","Other Revenue",IF(AE172="Other Expenditures","Other Expense",AF171)))))</f>
        <v/>
      </c>
      <c r="AG172" s="36" t="str">
        <f aca="false">IF(OR(AE172="Revenue",AE172="Cost of Goods Sold",AE172="Expenditures",AE172="Other Revenue",AE172="Other Expenditures"),AF172,IF(AND(LEN(AE172)&gt;2,MID(AE172,2,1)=" ",ISNUMBER(VALUE(LEFT(AE172,1)))),AE172,AG171))</f>
        <v/>
      </c>
      <c r="AH172" s="36" t="n">
        <f aca="false">IF(AND(AE172&lt;&gt;"",ISNUMBER(AC172),LEFT(AE172,9)&lt;&gt;"Total for",AE172&lt;&gt;"Gross Profit",AE172&lt;&gt;"Net Operating Revenue",AE172&lt;&gt;"Net Other Revenue",AE172&lt;&gt;"Net Revenue"),1,0)</f>
        <v>0</v>
      </c>
      <c r="AI172" s="36" t="str">
        <f aca="false">IF(AH172=1,IF(AND(LEN(AE172)&gt;7,ISNUMBER(VALUE(LEFT(AE172,6))),MID(AE172,7,1)=" "),LEFT(AE172,6),AE172),"")</f>
        <v/>
      </c>
      <c r="AN172" s="36" t="str">
        <f aca="false">TRIM(AK172)</f>
        <v/>
      </c>
      <c r="AO172" s="36" t="str">
        <f aca="false">IF(AN172="Revenue","Revenue",IF(AN172="Cost of Goods Sold","COGS",IF(AN172="Expenditures","Expense",IF(AN172="Other Revenue","Other Revenue",IF(AN172="Other Expenditures","Other Expense",AO171)))))</f>
        <v/>
      </c>
      <c r="AP172" s="36" t="str">
        <f aca="false">IF(OR(AN172="Revenue",AN172="Cost of Goods Sold",AN172="Expenditures",AN172="Other Revenue",AN172="Other Expenditures"),AO172,IF(AND(LEN(AN172)&gt;2,MID(AN172,2,1)=" ",ISNUMBER(VALUE(LEFT(AN172,1)))),AN172,AP171))</f>
        <v/>
      </c>
      <c r="AQ172" s="36" t="n">
        <f aca="false">IF(AND(AN172&lt;&gt;"",ISNUMBER(AL172),LEFT(AN172,9)&lt;&gt;"Total for",AN172&lt;&gt;"Gross Profit",AN172&lt;&gt;"Net Operating Revenue",AN172&lt;&gt;"Net Other Revenue",AN172&lt;&gt;"Net Revenue"),1,0)</f>
        <v>0</v>
      </c>
      <c r="AR172" s="36" t="str">
        <f aca="false">IF(AQ172=1,IF(AND(LEN(AN172)&gt;7,ISNUMBER(VALUE(LEFT(AN172,6))),MID(AN172,7,1)=" "),LEFT(AN172,6),AN172),"")</f>
        <v/>
      </c>
    </row>
    <row r="173" customFormat="false" ht="15" hidden="false" customHeight="false" outlineLevel="0" collapsed="false">
      <c r="D173" s="36" t="str">
        <f aca="false">TRIM(A173)</f>
        <v/>
      </c>
      <c r="E173" s="36" t="str">
        <f aca="false">IF(D173="Revenue","Revenue",IF(D173="Cost of Goods Sold","COGS",IF(D173="Expenditures","Expense",IF(D173="Other Revenue","Other Revenue",IF(D173="Other Expenditures","Other Expense",E172)))))</f>
        <v/>
      </c>
      <c r="F173" s="36" t="str">
        <f aca="false">IF(OR(D173="Revenue",D173="Cost of Goods Sold",D173="Expenditures",D173="Other Revenue",D173="Other Expenditures"),E173,IF(AND(LEN(D173)&gt;2,MID(D173,2,1)=" ",ISNUMBER(VALUE(LEFT(D173,1)))),D173,F172))</f>
        <v/>
      </c>
      <c r="G173" s="36" t="n">
        <f aca="false">IF(AND(D173&lt;&gt;"",ISNUMBER(B173),LEFT(D173,9)&lt;&gt;"Total for",D173&lt;&gt;"Gross Profit",D173&lt;&gt;"Net Operating Revenue",D173&lt;&gt;"Net Other Revenue",D173&lt;&gt;"Net Revenue"),1,0)</f>
        <v>0</v>
      </c>
      <c r="H173" s="36" t="str">
        <f aca="false">IF(G173=1,IF(AND(LEN(D173)&gt;7,ISNUMBER(VALUE(LEFT(D173,6))),MID(D173,7,1)=" "),LEFT(D173,6),D173),"")</f>
        <v/>
      </c>
      <c r="M173" s="36" t="str">
        <f aca="false">TRIM(J173)</f>
        <v/>
      </c>
      <c r="N173" s="36" t="str">
        <f aca="false">IF(M173="Revenue","Revenue",IF(M173="Cost of Goods Sold","COGS",IF(M173="Expenditures","Expense",IF(M173="Other Revenue","Other Revenue",IF(M173="Other Expenditures","Other Expense",N172)))))</f>
        <v/>
      </c>
      <c r="O173" s="36" t="str">
        <f aca="false">IF(OR(M173="Revenue",M173="Cost of Goods Sold",M173="Expenditures",M173="Other Revenue",M173="Other Expenditures"),N173,IF(AND(LEN(M173)&gt;2,MID(M173,2,1)=" ",ISNUMBER(VALUE(LEFT(M173,1)))),M173,O172))</f>
        <v/>
      </c>
      <c r="P173" s="36" t="n">
        <f aca="false">IF(AND(M173&lt;&gt;"",ISNUMBER(K173),LEFT(M173,9)&lt;&gt;"Total for",M173&lt;&gt;"Gross Profit",M173&lt;&gt;"Net Operating Revenue",M173&lt;&gt;"Net Other Revenue",M173&lt;&gt;"Net Revenue"),1,0)</f>
        <v>0</v>
      </c>
      <c r="Q173" s="36" t="str">
        <f aca="false">IF(P173=1,IF(AND(LEN(M173)&gt;7,ISNUMBER(VALUE(LEFT(M173,6))),MID(M173,7,1)=" "),LEFT(M173,6),M173),"")</f>
        <v/>
      </c>
      <c r="V173" s="36" t="str">
        <f aca="false">TRIM(S173)</f>
        <v/>
      </c>
      <c r="W173" s="36" t="str">
        <f aca="false">IF(V173="Revenue","Revenue",IF(V173="Cost of Goods Sold","COGS",IF(V173="Expenditures","Expense",IF(V173="Other Revenue","Other Revenue",IF(V173="Other Expenditures","Other Expense",W172)))))</f>
        <v/>
      </c>
      <c r="X173" s="36" t="str">
        <f aca="false">IF(OR(V173="Revenue",V173="Cost of Goods Sold",V173="Expenditures",V173="Other Revenue",V173="Other Expenditures"),W173,IF(AND(LEN(V173)&gt;2,MID(V173,2,1)=" ",ISNUMBER(VALUE(LEFT(V173,1)))),V173,X172))</f>
        <v/>
      </c>
      <c r="Y173" s="36" t="n">
        <f aca="false">IF(AND(V173&lt;&gt;"",ISNUMBER(T173),LEFT(V173,9)&lt;&gt;"Total for",V173&lt;&gt;"Gross Profit",V173&lt;&gt;"Net Operating Revenue",V173&lt;&gt;"Net Other Revenue",V173&lt;&gt;"Net Revenue"),1,0)</f>
        <v>0</v>
      </c>
      <c r="Z173" s="36" t="str">
        <f aca="false">IF(Y173=1,IF(AND(LEN(V173)&gt;7,ISNUMBER(VALUE(LEFT(V173,6))),MID(V173,7,1)=" "),LEFT(V173,6),V173),"")</f>
        <v/>
      </c>
      <c r="AE173" s="36" t="str">
        <f aca="false">TRIM(AB173)</f>
        <v/>
      </c>
      <c r="AF173" s="36" t="str">
        <f aca="false">IF(AE173="Revenue","Revenue",IF(AE173="Cost of Goods Sold","COGS",IF(AE173="Expenditures","Expense",IF(AE173="Other Revenue","Other Revenue",IF(AE173="Other Expenditures","Other Expense",AF172)))))</f>
        <v/>
      </c>
      <c r="AG173" s="36" t="str">
        <f aca="false">IF(OR(AE173="Revenue",AE173="Cost of Goods Sold",AE173="Expenditures",AE173="Other Revenue",AE173="Other Expenditures"),AF173,IF(AND(LEN(AE173)&gt;2,MID(AE173,2,1)=" ",ISNUMBER(VALUE(LEFT(AE173,1)))),AE173,AG172))</f>
        <v/>
      </c>
      <c r="AH173" s="36" t="n">
        <f aca="false">IF(AND(AE173&lt;&gt;"",ISNUMBER(AC173),LEFT(AE173,9)&lt;&gt;"Total for",AE173&lt;&gt;"Gross Profit",AE173&lt;&gt;"Net Operating Revenue",AE173&lt;&gt;"Net Other Revenue",AE173&lt;&gt;"Net Revenue"),1,0)</f>
        <v>0</v>
      </c>
      <c r="AI173" s="36" t="str">
        <f aca="false">IF(AH173=1,IF(AND(LEN(AE173)&gt;7,ISNUMBER(VALUE(LEFT(AE173,6))),MID(AE173,7,1)=" "),LEFT(AE173,6),AE173),"")</f>
        <v/>
      </c>
      <c r="AN173" s="36" t="str">
        <f aca="false">TRIM(AK173)</f>
        <v/>
      </c>
      <c r="AO173" s="36" t="str">
        <f aca="false">IF(AN173="Revenue","Revenue",IF(AN173="Cost of Goods Sold","COGS",IF(AN173="Expenditures","Expense",IF(AN173="Other Revenue","Other Revenue",IF(AN173="Other Expenditures","Other Expense",AO172)))))</f>
        <v/>
      </c>
      <c r="AP173" s="36" t="str">
        <f aca="false">IF(OR(AN173="Revenue",AN173="Cost of Goods Sold",AN173="Expenditures",AN173="Other Revenue",AN173="Other Expenditures"),AO173,IF(AND(LEN(AN173)&gt;2,MID(AN173,2,1)=" ",ISNUMBER(VALUE(LEFT(AN173,1)))),AN173,AP172))</f>
        <v/>
      </c>
      <c r="AQ173" s="36" t="n">
        <f aca="false">IF(AND(AN173&lt;&gt;"",ISNUMBER(AL173),LEFT(AN173,9)&lt;&gt;"Total for",AN173&lt;&gt;"Gross Profit",AN173&lt;&gt;"Net Operating Revenue",AN173&lt;&gt;"Net Other Revenue",AN173&lt;&gt;"Net Revenue"),1,0)</f>
        <v>0</v>
      </c>
      <c r="AR173" s="36" t="str">
        <f aca="false">IF(AQ173=1,IF(AND(LEN(AN173)&gt;7,ISNUMBER(VALUE(LEFT(AN173,6))),MID(AN173,7,1)=" "),LEFT(AN173,6),AN173),"")</f>
        <v/>
      </c>
    </row>
    <row r="174" customFormat="false" ht="15" hidden="false" customHeight="false" outlineLevel="0" collapsed="false">
      <c r="D174" s="36" t="str">
        <f aca="false">TRIM(A174)</f>
        <v/>
      </c>
      <c r="E174" s="36" t="str">
        <f aca="false">IF(D174="Revenue","Revenue",IF(D174="Cost of Goods Sold","COGS",IF(D174="Expenditures","Expense",IF(D174="Other Revenue","Other Revenue",IF(D174="Other Expenditures","Other Expense",E173)))))</f>
        <v/>
      </c>
      <c r="F174" s="36" t="str">
        <f aca="false">IF(OR(D174="Revenue",D174="Cost of Goods Sold",D174="Expenditures",D174="Other Revenue",D174="Other Expenditures"),E174,IF(AND(LEN(D174)&gt;2,MID(D174,2,1)=" ",ISNUMBER(VALUE(LEFT(D174,1)))),D174,F173))</f>
        <v/>
      </c>
      <c r="G174" s="36" t="n">
        <f aca="false">IF(AND(D174&lt;&gt;"",ISNUMBER(B174),LEFT(D174,9)&lt;&gt;"Total for",D174&lt;&gt;"Gross Profit",D174&lt;&gt;"Net Operating Revenue",D174&lt;&gt;"Net Other Revenue",D174&lt;&gt;"Net Revenue"),1,0)</f>
        <v>0</v>
      </c>
      <c r="H174" s="36" t="str">
        <f aca="false">IF(G174=1,IF(AND(LEN(D174)&gt;7,ISNUMBER(VALUE(LEFT(D174,6))),MID(D174,7,1)=" "),LEFT(D174,6),D174),"")</f>
        <v/>
      </c>
      <c r="M174" s="36" t="str">
        <f aca="false">TRIM(J174)</f>
        <v/>
      </c>
      <c r="N174" s="36" t="str">
        <f aca="false">IF(M174="Revenue","Revenue",IF(M174="Cost of Goods Sold","COGS",IF(M174="Expenditures","Expense",IF(M174="Other Revenue","Other Revenue",IF(M174="Other Expenditures","Other Expense",N173)))))</f>
        <v/>
      </c>
      <c r="O174" s="36" t="str">
        <f aca="false">IF(OR(M174="Revenue",M174="Cost of Goods Sold",M174="Expenditures",M174="Other Revenue",M174="Other Expenditures"),N174,IF(AND(LEN(M174)&gt;2,MID(M174,2,1)=" ",ISNUMBER(VALUE(LEFT(M174,1)))),M174,O173))</f>
        <v/>
      </c>
      <c r="P174" s="36" t="n">
        <f aca="false">IF(AND(M174&lt;&gt;"",ISNUMBER(K174),LEFT(M174,9)&lt;&gt;"Total for",M174&lt;&gt;"Gross Profit",M174&lt;&gt;"Net Operating Revenue",M174&lt;&gt;"Net Other Revenue",M174&lt;&gt;"Net Revenue"),1,0)</f>
        <v>0</v>
      </c>
      <c r="Q174" s="36" t="str">
        <f aca="false">IF(P174=1,IF(AND(LEN(M174)&gt;7,ISNUMBER(VALUE(LEFT(M174,6))),MID(M174,7,1)=" "),LEFT(M174,6),M174),"")</f>
        <v/>
      </c>
      <c r="V174" s="36" t="str">
        <f aca="false">TRIM(S174)</f>
        <v/>
      </c>
      <c r="W174" s="36" t="str">
        <f aca="false">IF(V174="Revenue","Revenue",IF(V174="Cost of Goods Sold","COGS",IF(V174="Expenditures","Expense",IF(V174="Other Revenue","Other Revenue",IF(V174="Other Expenditures","Other Expense",W173)))))</f>
        <v/>
      </c>
      <c r="X174" s="36" t="str">
        <f aca="false">IF(OR(V174="Revenue",V174="Cost of Goods Sold",V174="Expenditures",V174="Other Revenue",V174="Other Expenditures"),W174,IF(AND(LEN(V174)&gt;2,MID(V174,2,1)=" ",ISNUMBER(VALUE(LEFT(V174,1)))),V174,X173))</f>
        <v/>
      </c>
      <c r="Y174" s="36" t="n">
        <f aca="false">IF(AND(V174&lt;&gt;"",ISNUMBER(T174),LEFT(V174,9)&lt;&gt;"Total for",V174&lt;&gt;"Gross Profit",V174&lt;&gt;"Net Operating Revenue",V174&lt;&gt;"Net Other Revenue",V174&lt;&gt;"Net Revenue"),1,0)</f>
        <v>0</v>
      </c>
      <c r="Z174" s="36" t="str">
        <f aca="false">IF(Y174=1,IF(AND(LEN(V174)&gt;7,ISNUMBER(VALUE(LEFT(V174,6))),MID(V174,7,1)=" "),LEFT(V174,6),V174),"")</f>
        <v/>
      </c>
      <c r="AE174" s="36" t="str">
        <f aca="false">TRIM(AB174)</f>
        <v/>
      </c>
      <c r="AF174" s="36" t="str">
        <f aca="false">IF(AE174="Revenue","Revenue",IF(AE174="Cost of Goods Sold","COGS",IF(AE174="Expenditures","Expense",IF(AE174="Other Revenue","Other Revenue",IF(AE174="Other Expenditures","Other Expense",AF173)))))</f>
        <v/>
      </c>
      <c r="AG174" s="36" t="str">
        <f aca="false">IF(OR(AE174="Revenue",AE174="Cost of Goods Sold",AE174="Expenditures",AE174="Other Revenue",AE174="Other Expenditures"),AF174,IF(AND(LEN(AE174)&gt;2,MID(AE174,2,1)=" ",ISNUMBER(VALUE(LEFT(AE174,1)))),AE174,AG173))</f>
        <v/>
      </c>
      <c r="AH174" s="36" t="n">
        <f aca="false">IF(AND(AE174&lt;&gt;"",ISNUMBER(AC174),LEFT(AE174,9)&lt;&gt;"Total for",AE174&lt;&gt;"Gross Profit",AE174&lt;&gt;"Net Operating Revenue",AE174&lt;&gt;"Net Other Revenue",AE174&lt;&gt;"Net Revenue"),1,0)</f>
        <v>0</v>
      </c>
      <c r="AI174" s="36" t="str">
        <f aca="false">IF(AH174=1,IF(AND(LEN(AE174)&gt;7,ISNUMBER(VALUE(LEFT(AE174,6))),MID(AE174,7,1)=" "),LEFT(AE174,6),AE174),"")</f>
        <v/>
      </c>
      <c r="AN174" s="36" t="str">
        <f aca="false">TRIM(AK174)</f>
        <v/>
      </c>
      <c r="AO174" s="36" t="str">
        <f aca="false">IF(AN174="Revenue","Revenue",IF(AN174="Cost of Goods Sold","COGS",IF(AN174="Expenditures","Expense",IF(AN174="Other Revenue","Other Revenue",IF(AN174="Other Expenditures","Other Expense",AO173)))))</f>
        <v/>
      </c>
      <c r="AP174" s="36" t="str">
        <f aca="false">IF(OR(AN174="Revenue",AN174="Cost of Goods Sold",AN174="Expenditures",AN174="Other Revenue",AN174="Other Expenditures"),AO174,IF(AND(LEN(AN174)&gt;2,MID(AN174,2,1)=" ",ISNUMBER(VALUE(LEFT(AN174,1)))),AN174,AP173))</f>
        <v/>
      </c>
      <c r="AQ174" s="36" t="n">
        <f aca="false">IF(AND(AN174&lt;&gt;"",ISNUMBER(AL174),LEFT(AN174,9)&lt;&gt;"Total for",AN174&lt;&gt;"Gross Profit",AN174&lt;&gt;"Net Operating Revenue",AN174&lt;&gt;"Net Other Revenue",AN174&lt;&gt;"Net Revenue"),1,0)</f>
        <v>0</v>
      </c>
      <c r="AR174" s="36" t="str">
        <f aca="false">IF(AQ174=1,IF(AND(LEN(AN174)&gt;7,ISNUMBER(VALUE(LEFT(AN174,6))),MID(AN174,7,1)=" "),LEFT(AN174,6),AN174),"")</f>
        <v/>
      </c>
    </row>
    <row r="175" customFormat="false" ht="15" hidden="false" customHeight="false" outlineLevel="0" collapsed="false">
      <c r="D175" s="36" t="str">
        <f aca="false">TRIM(A175)</f>
        <v/>
      </c>
      <c r="E175" s="36" t="str">
        <f aca="false">IF(D175="Revenue","Revenue",IF(D175="Cost of Goods Sold","COGS",IF(D175="Expenditures","Expense",IF(D175="Other Revenue","Other Revenue",IF(D175="Other Expenditures","Other Expense",E174)))))</f>
        <v/>
      </c>
      <c r="F175" s="36" t="str">
        <f aca="false">IF(OR(D175="Revenue",D175="Cost of Goods Sold",D175="Expenditures",D175="Other Revenue",D175="Other Expenditures"),E175,IF(AND(LEN(D175)&gt;2,MID(D175,2,1)=" ",ISNUMBER(VALUE(LEFT(D175,1)))),D175,F174))</f>
        <v/>
      </c>
      <c r="G175" s="36" t="n">
        <f aca="false">IF(AND(D175&lt;&gt;"",ISNUMBER(B175),LEFT(D175,9)&lt;&gt;"Total for",D175&lt;&gt;"Gross Profit",D175&lt;&gt;"Net Operating Revenue",D175&lt;&gt;"Net Other Revenue",D175&lt;&gt;"Net Revenue"),1,0)</f>
        <v>0</v>
      </c>
      <c r="H175" s="36" t="str">
        <f aca="false">IF(G175=1,IF(AND(LEN(D175)&gt;7,ISNUMBER(VALUE(LEFT(D175,6))),MID(D175,7,1)=" "),LEFT(D175,6),D175),"")</f>
        <v/>
      </c>
      <c r="M175" s="36" t="str">
        <f aca="false">TRIM(J175)</f>
        <v/>
      </c>
      <c r="N175" s="36" t="str">
        <f aca="false">IF(M175="Revenue","Revenue",IF(M175="Cost of Goods Sold","COGS",IF(M175="Expenditures","Expense",IF(M175="Other Revenue","Other Revenue",IF(M175="Other Expenditures","Other Expense",N174)))))</f>
        <v/>
      </c>
      <c r="O175" s="36" t="str">
        <f aca="false">IF(OR(M175="Revenue",M175="Cost of Goods Sold",M175="Expenditures",M175="Other Revenue",M175="Other Expenditures"),N175,IF(AND(LEN(M175)&gt;2,MID(M175,2,1)=" ",ISNUMBER(VALUE(LEFT(M175,1)))),M175,O174))</f>
        <v/>
      </c>
      <c r="P175" s="36" t="n">
        <f aca="false">IF(AND(M175&lt;&gt;"",ISNUMBER(K175),LEFT(M175,9)&lt;&gt;"Total for",M175&lt;&gt;"Gross Profit",M175&lt;&gt;"Net Operating Revenue",M175&lt;&gt;"Net Other Revenue",M175&lt;&gt;"Net Revenue"),1,0)</f>
        <v>0</v>
      </c>
      <c r="Q175" s="36" t="str">
        <f aca="false">IF(P175=1,IF(AND(LEN(M175)&gt;7,ISNUMBER(VALUE(LEFT(M175,6))),MID(M175,7,1)=" "),LEFT(M175,6),M175),"")</f>
        <v/>
      </c>
      <c r="V175" s="36" t="str">
        <f aca="false">TRIM(S175)</f>
        <v/>
      </c>
      <c r="W175" s="36" t="str">
        <f aca="false">IF(V175="Revenue","Revenue",IF(V175="Cost of Goods Sold","COGS",IF(V175="Expenditures","Expense",IF(V175="Other Revenue","Other Revenue",IF(V175="Other Expenditures","Other Expense",W174)))))</f>
        <v/>
      </c>
      <c r="X175" s="36" t="str">
        <f aca="false">IF(OR(V175="Revenue",V175="Cost of Goods Sold",V175="Expenditures",V175="Other Revenue",V175="Other Expenditures"),W175,IF(AND(LEN(V175)&gt;2,MID(V175,2,1)=" ",ISNUMBER(VALUE(LEFT(V175,1)))),V175,X174))</f>
        <v/>
      </c>
      <c r="Y175" s="36" t="n">
        <f aca="false">IF(AND(V175&lt;&gt;"",ISNUMBER(T175),LEFT(V175,9)&lt;&gt;"Total for",V175&lt;&gt;"Gross Profit",V175&lt;&gt;"Net Operating Revenue",V175&lt;&gt;"Net Other Revenue",V175&lt;&gt;"Net Revenue"),1,0)</f>
        <v>0</v>
      </c>
      <c r="Z175" s="36" t="str">
        <f aca="false">IF(Y175=1,IF(AND(LEN(V175)&gt;7,ISNUMBER(VALUE(LEFT(V175,6))),MID(V175,7,1)=" "),LEFT(V175,6),V175),"")</f>
        <v/>
      </c>
      <c r="AE175" s="36" t="str">
        <f aca="false">TRIM(AB175)</f>
        <v/>
      </c>
      <c r="AF175" s="36" t="str">
        <f aca="false">IF(AE175="Revenue","Revenue",IF(AE175="Cost of Goods Sold","COGS",IF(AE175="Expenditures","Expense",IF(AE175="Other Revenue","Other Revenue",IF(AE175="Other Expenditures","Other Expense",AF174)))))</f>
        <v/>
      </c>
      <c r="AG175" s="36" t="str">
        <f aca="false">IF(OR(AE175="Revenue",AE175="Cost of Goods Sold",AE175="Expenditures",AE175="Other Revenue",AE175="Other Expenditures"),AF175,IF(AND(LEN(AE175)&gt;2,MID(AE175,2,1)=" ",ISNUMBER(VALUE(LEFT(AE175,1)))),AE175,AG174))</f>
        <v/>
      </c>
      <c r="AH175" s="36" t="n">
        <f aca="false">IF(AND(AE175&lt;&gt;"",ISNUMBER(AC175),LEFT(AE175,9)&lt;&gt;"Total for",AE175&lt;&gt;"Gross Profit",AE175&lt;&gt;"Net Operating Revenue",AE175&lt;&gt;"Net Other Revenue",AE175&lt;&gt;"Net Revenue"),1,0)</f>
        <v>0</v>
      </c>
      <c r="AI175" s="36" t="str">
        <f aca="false">IF(AH175=1,IF(AND(LEN(AE175)&gt;7,ISNUMBER(VALUE(LEFT(AE175,6))),MID(AE175,7,1)=" "),LEFT(AE175,6),AE175),"")</f>
        <v/>
      </c>
      <c r="AN175" s="36" t="str">
        <f aca="false">TRIM(AK175)</f>
        <v/>
      </c>
      <c r="AO175" s="36" t="str">
        <f aca="false">IF(AN175="Revenue","Revenue",IF(AN175="Cost of Goods Sold","COGS",IF(AN175="Expenditures","Expense",IF(AN175="Other Revenue","Other Revenue",IF(AN175="Other Expenditures","Other Expense",AO174)))))</f>
        <v/>
      </c>
      <c r="AP175" s="36" t="str">
        <f aca="false">IF(OR(AN175="Revenue",AN175="Cost of Goods Sold",AN175="Expenditures",AN175="Other Revenue",AN175="Other Expenditures"),AO175,IF(AND(LEN(AN175)&gt;2,MID(AN175,2,1)=" ",ISNUMBER(VALUE(LEFT(AN175,1)))),AN175,AP174))</f>
        <v/>
      </c>
      <c r="AQ175" s="36" t="n">
        <f aca="false">IF(AND(AN175&lt;&gt;"",ISNUMBER(AL175),LEFT(AN175,9)&lt;&gt;"Total for",AN175&lt;&gt;"Gross Profit",AN175&lt;&gt;"Net Operating Revenue",AN175&lt;&gt;"Net Other Revenue",AN175&lt;&gt;"Net Revenue"),1,0)</f>
        <v>0</v>
      </c>
      <c r="AR175" s="36" t="str">
        <f aca="false">IF(AQ175=1,IF(AND(LEN(AN175)&gt;7,ISNUMBER(VALUE(LEFT(AN175,6))),MID(AN175,7,1)=" "),LEFT(AN175,6),AN175),"")</f>
        <v/>
      </c>
    </row>
    <row r="176" customFormat="false" ht="15" hidden="false" customHeight="false" outlineLevel="0" collapsed="false">
      <c r="D176" s="36" t="str">
        <f aca="false">TRIM(A176)</f>
        <v/>
      </c>
      <c r="E176" s="36" t="str">
        <f aca="false">IF(D176="Revenue","Revenue",IF(D176="Cost of Goods Sold","COGS",IF(D176="Expenditures","Expense",IF(D176="Other Revenue","Other Revenue",IF(D176="Other Expenditures","Other Expense",E175)))))</f>
        <v/>
      </c>
      <c r="F176" s="36" t="str">
        <f aca="false">IF(OR(D176="Revenue",D176="Cost of Goods Sold",D176="Expenditures",D176="Other Revenue",D176="Other Expenditures"),E176,IF(AND(LEN(D176)&gt;2,MID(D176,2,1)=" ",ISNUMBER(VALUE(LEFT(D176,1)))),D176,F175))</f>
        <v/>
      </c>
      <c r="G176" s="36" t="n">
        <f aca="false">IF(AND(D176&lt;&gt;"",ISNUMBER(B176),LEFT(D176,9)&lt;&gt;"Total for",D176&lt;&gt;"Gross Profit",D176&lt;&gt;"Net Operating Revenue",D176&lt;&gt;"Net Other Revenue",D176&lt;&gt;"Net Revenue"),1,0)</f>
        <v>0</v>
      </c>
      <c r="H176" s="36" t="str">
        <f aca="false">IF(G176=1,IF(AND(LEN(D176)&gt;7,ISNUMBER(VALUE(LEFT(D176,6))),MID(D176,7,1)=" "),LEFT(D176,6),D176),"")</f>
        <v/>
      </c>
      <c r="M176" s="36" t="str">
        <f aca="false">TRIM(J176)</f>
        <v/>
      </c>
      <c r="N176" s="36" t="str">
        <f aca="false">IF(M176="Revenue","Revenue",IF(M176="Cost of Goods Sold","COGS",IF(M176="Expenditures","Expense",IF(M176="Other Revenue","Other Revenue",IF(M176="Other Expenditures","Other Expense",N175)))))</f>
        <v/>
      </c>
      <c r="O176" s="36" t="str">
        <f aca="false">IF(OR(M176="Revenue",M176="Cost of Goods Sold",M176="Expenditures",M176="Other Revenue",M176="Other Expenditures"),N176,IF(AND(LEN(M176)&gt;2,MID(M176,2,1)=" ",ISNUMBER(VALUE(LEFT(M176,1)))),M176,O175))</f>
        <v/>
      </c>
      <c r="P176" s="36" t="n">
        <f aca="false">IF(AND(M176&lt;&gt;"",ISNUMBER(K176),LEFT(M176,9)&lt;&gt;"Total for",M176&lt;&gt;"Gross Profit",M176&lt;&gt;"Net Operating Revenue",M176&lt;&gt;"Net Other Revenue",M176&lt;&gt;"Net Revenue"),1,0)</f>
        <v>0</v>
      </c>
      <c r="Q176" s="36" t="str">
        <f aca="false">IF(P176=1,IF(AND(LEN(M176)&gt;7,ISNUMBER(VALUE(LEFT(M176,6))),MID(M176,7,1)=" "),LEFT(M176,6),M176),"")</f>
        <v/>
      </c>
      <c r="V176" s="36" t="str">
        <f aca="false">TRIM(S176)</f>
        <v/>
      </c>
      <c r="W176" s="36" t="str">
        <f aca="false">IF(V176="Revenue","Revenue",IF(V176="Cost of Goods Sold","COGS",IF(V176="Expenditures","Expense",IF(V176="Other Revenue","Other Revenue",IF(V176="Other Expenditures","Other Expense",W175)))))</f>
        <v/>
      </c>
      <c r="X176" s="36" t="str">
        <f aca="false">IF(OR(V176="Revenue",V176="Cost of Goods Sold",V176="Expenditures",V176="Other Revenue",V176="Other Expenditures"),W176,IF(AND(LEN(V176)&gt;2,MID(V176,2,1)=" ",ISNUMBER(VALUE(LEFT(V176,1)))),V176,X175))</f>
        <v/>
      </c>
      <c r="Y176" s="36" t="n">
        <f aca="false">IF(AND(V176&lt;&gt;"",ISNUMBER(T176),LEFT(V176,9)&lt;&gt;"Total for",V176&lt;&gt;"Gross Profit",V176&lt;&gt;"Net Operating Revenue",V176&lt;&gt;"Net Other Revenue",V176&lt;&gt;"Net Revenue"),1,0)</f>
        <v>0</v>
      </c>
      <c r="Z176" s="36" t="str">
        <f aca="false">IF(Y176=1,IF(AND(LEN(V176)&gt;7,ISNUMBER(VALUE(LEFT(V176,6))),MID(V176,7,1)=" "),LEFT(V176,6),V176),"")</f>
        <v/>
      </c>
      <c r="AE176" s="36" t="str">
        <f aca="false">TRIM(AB176)</f>
        <v/>
      </c>
      <c r="AF176" s="36" t="str">
        <f aca="false">IF(AE176="Revenue","Revenue",IF(AE176="Cost of Goods Sold","COGS",IF(AE176="Expenditures","Expense",IF(AE176="Other Revenue","Other Revenue",IF(AE176="Other Expenditures","Other Expense",AF175)))))</f>
        <v/>
      </c>
      <c r="AG176" s="36" t="str">
        <f aca="false">IF(OR(AE176="Revenue",AE176="Cost of Goods Sold",AE176="Expenditures",AE176="Other Revenue",AE176="Other Expenditures"),AF176,IF(AND(LEN(AE176)&gt;2,MID(AE176,2,1)=" ",ISNUMBER(VALUE(LEFT(AE176,1)))),AE176,AG175))</f>
        <v/>
      </c>
      <c r="AH176" s="36" t="n">
        <f aca="false">IF(AND(AE176&lt;&gt;"",ISNUMBER(AC176),LEFT(AE176,9)&lt;&gt;"Total for",AE176&lt;&gt;"Gross Profit",AE176&lt;&gt;"Net Operating Revenue",AE176&lt;&gt;"Net Other Revenue",AE176&lt;&gt;"Net Revenue"),1,0)</f>
        <v>0</v>
      </c>
      <c r="AI176" s="36" t="str">
        <f aca="false">IF(AH176=1,IF(AND(LEN(AE176)&gt;7,ISNUMBER(VALUE(LEFT(AE176,6))),MID(AE176,7,1)=" "),LEFT(AE176,6),AE176),"")</f>
        <v/>
      </c>
      <c r="AN176" s="36" t="str">
        <f aca="false">TRIM(AK176)</f>
        <v/>
      </c>
      <c r="AO176" s="36" t="str">
        <f aca="false">IF(AN176="Revenue","Revenue",IF(AN176="Cost of Goods Sold","COGS",IF(AN176="Expenditures","Expense",IF(AN176="Other Revenue","Other Revenue",IF(AN176="Other Expenditures","Other Expense",AO175)))))</f>
        <v/>
      </c>
      <c r="AP176" s="36" t="str">
        <f aca="false">IF(OR(AN176="Revenue",AN176="Cost of Goods Sold",AN176="Expenditures",AN176="Other Revenue",AN176="Other Expenditures"),AO176,IF(AND(LEN(AN176)&gt;2,MID(AN176,2,1)=" ",ISNUMBER(VALUE(LEFT(AN176,1)))),AN176,AP175))</f>
        <v/>
      </c>
      <c r="AQ176" s="36" t="n">
        <f aca="false">IF(AND(AN176&lt;&gt;"",ISNUMBER(AL176),LEFT(AN176,9)&lt;&gt;"Total for",AN176&lt;&gt;"Gross Profit",AN176&lt;&gt;"Net Operating Revenue",AN176&lt;&gt;"Net Other Revenue",AN176&lt;&gt;"Net Revenue"),1,0)</f>
        <v>0</v>
      </c>
      <c r="AR176" s="36" t="str">
        <f aca="false">IF(AQ176=1,IF(AND(LEN(AN176)&gt;7,ISNUMBER(VALUE(LEFT(AN176,6))),MID(AN176,7,1)=" "),LEFT(AN176,6),AN176),"")</f>
        <v/>
      </c>
    </row>
    <row r="177" customFormat="false" ht="15" hidden="false" customHeight="false" outlineLevel="0" collapsed="false">
      <c r="D177" s="36" t="str">
        <f aca="false">TRIM(A177)</f>
        <v/>
      </c>
      <c r="E177" s="36" t="str">
        <f aca="false">IF(D177="Revenue","Revenue",IF(D177="Cost of Goods Sold","COGS",IF(D177="Expenditures","Expense",IF(D177="Other Revenue","Other Revenue",IF(D177="Other Expenditures","Other Expense",E176)))))</f>
        <v/>
      </c>
      <c r="F177" s="36" t="str">
        <f aca="false">IF(OR(D177="Revenue",D177="Cost of Goods Sold",D177="Expenditures",D177="Other Revenue",D177="Other Expenditures"),E177,IF(AND(LEN(D177)&gt;2,MID(D177,2,1)=" ",ISNUMBER(VALUE(LEFT(D177,1)))),D177,F176))</f>
        <v/>
      </c>
      <c r="G177" s="36" t="n">
        <f aca="false">IF(AND(D177&lt;&gt;"",ISNUMBER(B177),LEFT(D177,9)&lt;&gt;"Total for",D177&lt;&gt;"Gross Profit",D177&lt;&gt;"Net Operating Revenue",D177&lt;&gt;"Net Other Revenue",D177&lt;&gt;"Net Revenue"),1,0)</f>
        <v>0</v>
      </c>
      <c r="H177" s="36" t="str">
        <f aca="false">IF(G177=1,IF(AND(LEN(D177)&gt;7,ISNUMBER(VALUE(LEFT(D177,6))),MID(D177,7,1)=" "),LEFT(D177,6),D177),"")</f>
        <v/>
      </c>
      <c r="M177" s="36" t="str">
        <f aca="false">TRIM(J177)</f>
        <v/>
      </c>
      <c r="N177" s="36" t="str">
        <f aca="false">IF(M177="Revenue","Revenue",IF(M177="Cost of Goods Sold","COGS",IF(M177="Expenditures","Expense",IF(M177="Other Revenue","Other Revenue",IF(M177="Other Expenditures","Other Expense",N176)))))</f>
        <v/>
      </c>
      <c r="O177" s="36" t="str">
        <f aca="false">IF(OR(M177="Revenue",M177="Cost of Goods Sold",M177="Expenditures",M177="Other Revenue",M177="Other Expenditures"),N177,IF(AND(LEN(M177)&gt;2,MID(M177,2,1)=" ",ISNUMBER(VALUE(LEFT(M177,1)))),M177,O176))</f>
        <v/>
      </c>
      <c r="P177" s="36" t="n">
        <f aca="false">IF(AND(M177&lt;&gt;"",ISNUMBER(K177),LEFT(M177,9)&lt;&gt;"Total for",M177&lt;&gt;"Gross Profit",M177&lt;&gt;"Net Operating Revenue",M177&lt;&gt;"Net Other Revenue",M177&lt;&gt;"Net Revenue"),1,0)</f>
        <v>0</v>
      </c>
      <c r="Q177" s="36" t="str">
        <f aca="false">IF(P177=1,IF(AND(LEN(M177)&gt;7,ISNUMBER(VALUE(LEFT(M177,6))),MID(M177,7,1)=" "),LEFT(M177,6),M177),"")</f>
        <v/>
      </c>
      <c r="V177" s="36" t="str">
        <f aca="false">TRIM(S177)</f>
        <v/>
      </c>
      <c r="W177" s="36" t="str">
        <f aca="false">IF(V177="Revenue","Revenue",IF(V177="Cost of Goods Sold","COGS",IF(V177="Expenditures","Expense",IF(V177="Other Revenue","Other Revenue",IF(V177="Other Expenditures","Other Expense",W176)))))</f>
        <v/>
      </c>
      <c r="X177" s="36" t="str">
        <f aca="false">IF(OR(V177="Revenue",V177="Cost of Goods Sold",V177="Expenditures",V177="Other Revenue",V177="Other Expenditures"),W177,IF(AND(LEN(V177)&gt;2,MID(V177,2,1)=" ",ISNUMBER(VALUE(LEFT(V177,1)))),V177,X176))</f>
        <v/>
      </c>
      <c r="Y177" s="36" t="n">
        <f aca="false">IF(AND(V177&lt;&gt;"",ISNUMBER(T177),LEFT(V177,9)&lt;&gt;"Total for",V177&lt;&gt;"Gross Profit",V177&lt;&gt;"Net Operating Revenue",V177&lt;&gt;"Net Other Revenue",V177&lt;&gt;"Net Revenue"),1,0)</f>
        <v>0</v>
      </c>
      <c r="Z177" s="36" t="str">
        <f aca="false">IF(Y177=1,IF(AND(LEN(V177)&gt;7,ISNUMBER(VALUE(LEFT(V177,6))),MID(V177,7,1)=" "),LEFT(V177,6),V177),"")</f>
        <v/>
      </c>
      <c r="AE177" s="36" t="str">
        <f aca="false">TRIM(AB177)</f>
        <v/>
      </c>
      <c r="AF177" s="36" t="str">
        <f aca="false">IF(AE177="Revenue","Revenue",IF(AE177="Cost of Goods Sold","COGS",IF(AE177="Expenditures","Expense",IF(AE177="Other Revenue","Other Revenue",IF(AE177="Other Expenditures","Other Expense",AF176)))))</f>
        <v/>
      </c>
      <c r="AG177" s="36" t="str">
        <f aca="false">IF(OR(AE177="Revenue",AE177="Cost of Goods Sold",AE177="Expenditures",AE177="Other Revenue",AE177="Other Expenditures"),AF177,IF(AND(LEN(AE177)&gt;2,MID(AE177,2,1)=" ",ISNUMBER(VALUE(LEFT(AE177,1)))),AE177,AG176))</f>
        <v/>
      </c>
      <c r="AH177" s="36" t="n">
        <f aca="false">IF(AND(AE177&lt;&gt;"",ISNUMBER(AC177),LEFT(AE177,9)&lt;&gt;"Total for",AE177&lt;&gt;"Gross Profit",AE177&lt;&gt;"Net Operating Revenue",AE177&lt;&gt;"Net Other Revenue",AE177&lt;&gt;"Net Revenue"),1,0)</f>
        <v>0</v>
      </c>
      <c r="AI177" s="36" t="str">
        <f aca="false">IF(AH177=1,IF(AND(LEN(AE177)&gt;7,ISNUMBER(VALUE(LEFT(AE177,6))),MID(AE177,7,1)=" "),LEFT(AE177,6),AE177),"")</f>
        <v/>
      </c>
      <c r="AN177" s="36" t="str">
        <f aca="false">TRIM(AK177)</f>
        <v/>
      </c>
      <c r="AO177" s="36" t="str">
        <f aca="false">IF(AN177="Revenue","Revenue",IF(AN177="Cost of Goods Sold","COGS",IF(AN177="Expenditures","Expense",IF(AN177="Other Revenue","Other Revenue",IF(AN177="Other Expenditures","Other Expense",AO176)))))</f>
        <v/>
      </c>
      <c r="AP177" s="36" t="str">
        <f aca="false">IF(OR(AN177="Revenue",AN177="Cost of Goods Sold",AN177="Expenditures",AN177="Other Revenue",AN177="Other Expenditures"),AO177,IF(AND(LEN(AN177)&gt;2,MID(AN177,2,1)=" ",ISNUMBER(VALUE(LEFT(AN177,1)))),AN177,AP176))</f>
        <v/>
      </c>
      <c r="AQ177" s="36" t="n">
        <f aca="false">IF(AND(AN177&lt;&gt;"",ISNUMBER(AL177),LEFT(AN177,9)&lt;&gt;"Total for",AN177&lt;&gt;"Gross Profit",AN177&lt;&gt;"Net Operating Revenue",AN177&lt;&gt;"Net Other Revenue",AN177&lt;&gt;"Net Revenue"),1,0)</f>
        <v>0</v>
      </c>
      <c r="AR177" s="36" t="str">
        <f aca="false">IF(AQ177=1,IF(AND(LEN(AN177)&gt;7,ISNUMBER(VALUE(LEFT(AN177,6))),MID(AN177,7,1)=" "),LEFT(AN177,6),AN177),"")</f>
        <v/>
      </c>
    </row>
    <row r="178" customFormat="false" ht="15" hidden="false" customHeight="false" outlineLevel="0" collapsed="false">
      <c r="D178" s="36" t="str">
        <f aca="false">TRIM(A178)</f>
        <v/>
      </c>
      <c r="E178" s="36" t="str">
        <f aca="false">IF(D178="Revenue","Revenue",IF(D178="Cost of Goods Sold","COGS",IF(D178="Expenditures","Expense",IF(D178="Other Revenue","Other Revenue",IF(D178="Other Expenditures","Other Expense",E177)))))</f>
        <v/>
      </c>
      <c r="F178" s="36" t="str">
        <f aca="false">IF(OR(D178="Revenue",D178="Cost of Goods Sold",D178="Expenditures",D178="Other Revenue",D178="Other Expenditures"),E178,IF(AND(LEN(D178)&gt;2,MID(D178,2,1)=" ",ISNUMBER(VALUE(LEFT(D178,1)))),D178,F177))</f>
        <v/>
      </c>
      <c r="G178" s="36" t="n">
        <f aca="false">IF(AND(D178&lt;&gt;"",ISNUMBER(B178),LEFT(D178,9)&lt;&gt;"Total for",D178&lt;&gt;"Gross Profit",D178&lt;&gt;"Net Operating Revenue",D178&lt;&gt;"Net Other Revenue",D178&lt;&gt;"Net Revenue"),1,0)</f>
        <v>0</v>
      </c>
      <c r="H178" s="36" t="str">
        <f aca="false">IF(G178=1,IF(AND(LEN(D178)&gt;7,ISNUMBER(VALUE(LEFT(D178,6))),MID(D178,7,1)=" "),LEFT(D178,6),D178),"")</f>
        <v/>
      </c>
      <c r="M178" s="36" t="str">
        <f aca="false">TRIM(J178)</f>
        <v/>
      </c>
      <c r="N178" s="36" t="str">
        <f aca="false">IF(M178="Revenue","Revenue",IF(M178="Cost of Goods Sold","COGS",IF(M178="Expenditures","Expense",IF(M178="Other Revenue","Other Revenue",IF(M178="Other Expenditures","Other Expense",N177)))))</f>
        <v/>
      </c>
      <c r="O178" s="36" t="str">
        <f aca="false">IF(OR(M178="Revenue",M178="Cost of Goods Sold",M178="Expenditures",M178="Other Revenue",M178="Other Expenditures"),N178,IF(AND(LEN(M178)&gt;2,MID(M178,2,1)=" ",ISNUMBER(VALUE(LEFT(M178,1)))),M178,O177))</f>
        <v/>
      </c>
      <c r="P178" s="36" t="n">
        <f aca="false">IF(AND(M178&lt;&gt;"",ISNUMBER(K178),LEFT(M178,9)&lt;&gt;"Total for",M178&lt;&gt;"Gross Profit",M178&lt;&gt;"Net Operating Revenue",M178&lt;&gt;"Net Other Revenue",M178&lt;&gt;"Net Revenue"),1,0)</f>
        <v>0</v>
      </c>
      <c r="Q178" s="36" t="str">
        <f aca="false">IF(P178=1,IF(AND(LEN(M178)&gt;7,ISNUMBER(VALUE(LEFT(M178,6))),MID(M178,7,1)=" "),LEFT(M178,6),M178),"")</f>
        <v/>
      </c>
      <c r="V178" s="36" t="str">
        <f aca="false">TRIM(S178)</f>
        <v/>
      </c>
      <c r="W178" s="36" t="str">
        <f aca="false">IF(V178="Revenue","Revenue",IF(V178="Cost of Goods Sold","COGS",IF(V178="Expenditures","Expense",IF(V178="Other Revenue","Other Revenue",IF(V178="Other Expenditures","Other Expense",W177)))))</f>
        <v/>
      </c>
      <c r="X178" s="36" t="str">
        <f aca="false">IF(OR(V178="Revenue",V178="Cost of Goods Sold",V178="Expenditures",V178="Other Revenue",V178="Other Expenditures"),W178,IF(AND(LEN(V178)&gt;2,MID(V178,2,1)=" ",ISNUMBER(VALUE(LEFT(V178,1)))),V178,X177))</f>
        <v/>
      </c>
      <c r="Y178" s="36" t="n">
        <f aca="false">IF(AND(V178&lt;&gt;"",ISNUMBER(T178),LEFT(V178,9)&lt;&gt;"Total for",V178&lt;&gt;"Gross Profit",V178&lt;&gt;"Net Operating Revenue",V178&lt;&gt;"Net Other Revenue",V178&lt;&gt;"Net Revenue"),1,0)</f>
        <v>0</v>
      </c>
      <c r="Z178" s="36" t="str">
        <f aca="false">IF(Y178=1,IF(AND(LEN(V178)&gt;7,ISNUMBER(VALUE(LEFT(V178,6))),MID(V178,7,1)=" "),LEFT(V178,6),V178),"")</f>
        <v/>
      </c>
      <c r="AE178" s="36" t="str">
        <f aca="false">TRIM(AB178)</f>
        <v/>
      </c>
      <c r="AF178" s="36" t="str">
        <f aca="false">IF(AE178="Revenue","Revenue",IF(AE178="Cost of Goods Sold","COGS",IF(AE178="Expenditures","Expense",IF(AE178="Other Revenue","Other Revenue",IF(AE178="Other Expenditures","Other Expense",AF177)))))</f>
        <v/>
      </c>
      <c r="AG178" s="36" t="str">
        <f aca="false">IF(OR(AE178="Revenue",AE178="Cost of Goods Sold",AE178="Expenditures",AE178="Other Revenue",AE178="Other Expenditures"),AF178,IF(AND(LEN(AE178)&gt;2,MID(AE178,2,1)=" ",ISNUMBER(VALUE(LEFT(AE178,1)))),AE178,AG177))</f>
        <v/>
      </c>
      <c r="AH178" s="36" t="n">
        <f aca="false">IF(AND(AE178&lt;&gt;"",ISNUMBER(AC178),LEFT(AE178,9)&lt;&gt;"Total for",AE178&lt;&gt;"Gross Profit",AE178&lt;&gt;"Net Operating Revenue",AE178&lt;&gt;"Net Other Revenue",AE178&lt;&gt;"Net Revenue"),1,0)</f>
        <v>0</v>
      </c>
      <c r="AI178" s="36" t="str">
        <f aca="false">IF(AH178=1,IF(AND(LEN(AE178)&gt;7,ISNUMBER(VALUE(LEFT(AE178,6))),MID(AE178,7,1)=" "),LEFT(AE178,6),AE178),"")</f>
        <v/>
      </c>
      <c r="AN178" s="36" t="str">
        <f aca="false">TRIM(AK178)</f>
        <v/>
      </c>
      <c r="AO178" s="36" t="str">
        <f aca="false">IF(AN178="Revenue","Revenue",IF(AN178="Cost of Goods Sold","COGS",IF(AN178="Expenditures","Expense",IF(AN178="Other Revenue","Other Revenue",IF(AN178="Other Expenditures","Other Expense",AO177)))))</f>
        <v/>
      </c>
      <c r="AP178" s="36" t="str">
        <f aca="false">IF(OR(AN178="Revenue",AN178="Cost of Goods Sold",AN178="Expenditures",AN178="Other Revenue",AN178="Other Expenditures"),AO178,IF(AND(LEN(AN178)&gt;2,MID(AN178,2,1)=" ",ISNUMBER(VALUE(LEFT(AN178,1)))),AN178,AP177))</f>
        <v/>
      </c>
      <c r="AQ178" s="36" t="n">
        <f aca="false">IF(AND(AN178&lt;&gt;"",ISNUMBER(AL178),LEFT(AN178,9)&lt;&gt;"Total for",AN178&lt;&gt;"Gross Profit",AN178&lt;&gt;"Net Operating Revenue",AN178&lt;&gt;"Net Other Revenue",AN178&lt;&gt;"Net Revenue"),1,0)</f>
        <v>0</v>
      </c>
      <c r="AR178" s="36" t="str">
        <f aca="false">IF(AQ178=1,IF(AND(LEN(AN178)&gt;7,ISNUMBER(VALUE(LEFT(AN178,6))),MID(AN178,7,1)=" "),LEFT(AN178,6),AN178),"")</f>
        <v/>
      </c>
    </row>
    <row r="179" customFormat="false" ht="15" hidden="false" customHeight="false" outlineLevel="0" collapsed="false">
      <c r="D179" s="36" t="str">
        <f aca="false">TRIM(A179)</f>
        <v/>
      </c>
      <c r="E179" s="36" t="str">
        <f aca="false">IF(D179="Revenue","Revenue",IF(D179="Cost of Goods Sold","COGS",IF(D179="Expenditures","Expense",IF(D179="Other Revenue","Other Revenue",IF(D179="Other Expenditures","Other Expense",E178)))))</f>
        <v/>
      </c>
      <c r="F179" s="36" t="str">
        <f aca="false">IF(OR(D179="Revenue",D179="Cost of Goods Sold",D179="Expenditures",D179="Other Revenue",D179="Other Expenditures"),E179,IF(AND(LEN(D179)&gt;2,MID(D179,2,1)=" ",ISNUMBER(VALUE(LEFT(D179,1)))),D179,F178))</f>
        <v/>
      </c>
      <c r="G179" s="36" t="n">
        <f aca="false">IF(AND(D179&lt;&gt;"",ISNUMBER(B179),LEFT(D179,9)&lt;&gt;"Total for",D179&lt;&gt;"Gross Profit",D179&lt;&gt;"Net Operating Revenue",D179&lt;&gt;"Net Other Revenue",D179&lt;&gt;"Net Revenue"),1,0)</f>
        <v>0</v>
      </c>
      <c r="H179" s="36" t="str">
        <f aca="false">IF(G179=1,IF(AND(LEN(D179)&gt;7,ISNUMBER(VALUE(LEFT(D179,6))),MID(D179,7,1)=" "),LEFT(D179,6),D179),"")</f>
        <v/>
      </c>
      <c r="M179" s="36" t="str">
        <f aca="false">TRIM(J179)</f>
        <v/>
      </c>
      <c r="N179" s="36" t="str">
        <f aca="false">IF(M179="Revenue","Revenue",IF(M179="Cost of Goods Sold","COGS",IF(M179="Expenditures","Expense",IF(M179="Other Revenue","Other Revenue",IF(M179="Other Expenditures","Other Expense",N178)))))</f>
        <v/>
      </c>
      <c r="O179" s="36" t="str">
        <f aca="false">IF(OR(M179="Revenue",M179="Cost of Goods Sold",M179="Expenditures",M179="Other Revenue",M179="Other Expenditures"),N179,IF(AND(LEN(M179)&gt;2,MID(M179,2,1)=" ",ISNUMBER(VALUE(LEFT(M179,1)))),M179,O178))</f>
        <v/>
      </c>
      <c r="P179" s="36" t="n">
        <f aca="false">IF(AND(M179&lt;&gt;"",ISNUMBER(K179),LEFT(M179,9)&lt;&gt;"Total for",M179&lt;&gt;"Gross Profit",M179&lt;&gt;"Net Operating Revenue",M179&lt;&gt;"Net Other Revenue",M179&lt;&gt;"Net Revenue"),1,0)</f>
        <v>0</v>
      </c>
      <c r="Q179" s="36" t="str">
        <f aca="false">IF(P179=1,IF(AND(LEN(M179)&gt;7,ISNUMBER(VALUE(LEFT(M179,6))),MID(M179,7,1)=" "),LEFT(M179,6),M179),"")</f>
        <v/>
      </c>
      <c r="V179" s="36" t="str">
        <f aca="false">TRIM(S179)</f>
        <v/>
      </c>
      <c r="W179" s="36" t="str">
        <f aca="false">IF(V179="Revenue","Revenue",IF(V179="Cost of Goods Sold","COGS",IF(V179="Expenditures","Expense",IF(V179="Other Revenue","Other Revenue",IF(V179="Other Expenditures","Other Expense",W178)))))</f>
        <v/>
      </c>
      <c r="X179" s="36" t="str">
        <f aca="false">IF(OR(V179="Revenue",V179="Cost of Goods Sold",V179="Expenditures",V179="Other Revenue",V179="Other Expenditures"),W179,IF(AND(LEN(V179)&gt;2,MID(V179,2,1)=" ",ISNUMBER(VALUE(LEFT(V179,1)))),V179,X178))</f>
        <v/>
      </c>
      <c r="Y179" s="36" t="n">
        <f aca="false">IF(AND(V179&lt;&gt;"",ISNUMBER(T179),LEFT(V179,9)&lt;&gt;"Total for",V179&lt;&gt;"Gross Profit",V179&lt;&gt;"Net Operating Revenue",V179&lt;&gt;"Net Other Revenue",V179&lt;&gt;"Net Revenue"),1,0)</f>
        <v>0</v>
      </c>
      <c r="Z179" s="36" t="str">
        <f aca="false">IF(Y179=1,IF(AND(LEN(V179)&gt;7,ISNUMBER(VALUE(LEFT(V179,6))),MID(V179,7,1)=" "),LEFT(V179,6),V179),"")</f>
        <v/>
      </c>
      <c r="AE179" s="36" t="str">
        <f aca="false">TRIM(AB179)</f>
        <v/>
      </c>
      <c r="AF179" s="36" t="str">
        <f aca="false">IF(AE179="Revenue","Revenue",IF(AE179="Cost of Goods Sold","COGS",IF(AE179="Expenditures","Expense",IF(AE179="Other Revenue","Other Revenue",IF(AE179="Other Expenditures","Other Expense",AF178)))))</f>
        <v/>
      </c>
      <c r="AG179" s="36" t="str">
        <f aca="false">IF(OR(AE179="Revenue",AE179="Cost of Goods Sold",AE179="Expenditures",AE179="Other Revenue",AE179="Other Expenditures"),AF179,IF(AND(LEN(AE179)&gt;2,MID(AE179,2,1)=" ",ISNUMBER(VALUE(LEFT(AE179,1)))),AE179,AG178))</f>
        <v/>
      </c>
      <c r="AH179" s="36" t="n">
        <f aca="false">IF(AND(AE179&lt;&gt;"",ISNUMBER(AC179),LEFT(AE179,9)&lt;&gt;"Total for",AE179&lt;&gt;"Gross Profit",AE179&lt;&gt;"Net Operating Revenue",AE179&lt;&gt;"Net Other Revenue",AE179&lt;&gt;"Net Revenue"),1,0)</f>
        <v>0</v>
      </c>
      <c r="AI179" s="36" t="str">
        <f aca="false">IF(AH179=1,IF(AND(LEN(AE179)&gt;7,ISNUMBER(VALUE(LEFT(AE179,6))),MID(AE179,7,1)=" "),LEFT(AE179,6),AE179),"")</f>
        <v/>
      </c>
      <c r="AN179" s="36" t="str">
        <f aca="false">TRIM(AK179)</f>
        <v/>
      </c>
      <c r="AO179" s="36" t="str">
        <f aca="false">IF(AN179="Revenue","Revenue",IF(AN179="Cost of Goods Sold","COGS",IF(AN179="Expenditures","Expense",IF(AN179="Other Revenue","Other Revenue",IF(AN179="Other Expenditures","Other Expense",AO178)))))</f>
        <v/>
      </c>
      <c r="AP179" s="36" t="str">
        <f aca="false">IF(OR(AN179="Revenue",AN179="Cost of Goods Sold",AN179="Expenditures",AN179="Other Revenue",AN179="Other Expenditures"),AO179,IF(AND(LEN(AN179)&gt;2,MID(AN179,2,1)=" ",ISNUMBER(VALUE(LEFT(AN179,1)))),AN179,AP178))</f>
        <v/>
      </c>
      <c r="AQ179" s="36" t="n">
        <f aca="false">IF(AND(AN179&lt;&gt;"",ISNUMBER(AL179),LEFT(AN179,9)&lt;&gt;"Total for",AN179&lt;&gt;"Gross Profit",AN179&lt;&gt;"Net Operating Revenue",AN179&lt;&gt;"Net Other Revenue",AN179&lt;&gt;"Net Revenue"),1,0)</f>
        <v>0</v>
      </c>
      <c r="AR179" s="36" t="str">
        <f aca="false">IF(AQ179=1,IF(AND(LEN(AN179)&gt;7,ISNUMBER(VALUE(LEFT(AN179,6))),MID(AN179,7,1)=" "),LEFT(AN179,6),AN179),"")</f>
        <v/>
      </c>
    </row>
    <row r="180" customFormat="false" ht="15" hidden="false" customHeight="false" outlineLevel="0" collapsed="false">
      <c r="D180" s="36" t="str">
        <f aca="false">TRIM(A180)</f>
        <v/>
      </c>
      <c r="E180" s="36" t="str">
        <f aca="false">IF(D180="Revenue","Revenue",IF(D180="Cost of Goods Sold","COGS",IF(D180="Expenditures","Expense",IF(D180="Other Revenue","Other Revenue",IF(D180="Other Expenditures","Other Expense",E179)))))</f>
        <v/>
      </c>
      <c r="F180" s="36" t="str">
        <f aca="false">IF(OR(D180="Revenue",D180="Cost of Goods Sold",D180="Expenditures",D180="Other Revenue",D180="Other Expenditures"),E180,IF(AND(LEN(D180)&gt;2,MID(D180,2,1)=" ",ISNUMBER(VALUE(LEFT(D180,1)))),D180,F179))</f>
        <v/>
      </c>
      <c r="G180" s="36" t="n">
        <f aca="false">IF(AND(D180&lt;&gt;"",ISNUMBER(B180),LEFT(D180,9)&lt;&gt;"Total for",D180&lt;&gt;"Gross Profit",D180&lt;&gt;"Net Operating Revenue",D180&lt;&gt;"Net Other Revenue",D180&lt;&gt;"Net Revenue"),1,0)</f>
        <v>0</v>
      </c>
      <c r="H180" s="36" t="str">
        <f aca="false">IF(G180=1,IF(AND(LEN(D180)&gt;7,ISNUMBER(VALUE(LEFT(D180,6))),MID(D180,7,1)=" "),LEFT(D180,6),D180),"")</f>
        <v/>
      </c>
      <c r="M180" s="36" t="str">
        <f aca="false">TRIM(J180)</f>
        <v/>
      </c>
      <c r="N180" s="36" t="str">
        <f aca="false">IF(M180="Revenue","Revenue",IF(M180="Cost of Goods Sold","COGS",IF(M180="Expenditures","Expense",IF(M180="Other Revenue","Other Revenue",IF(M180="Other Expenditures","Other Expense",N179)))))</f>
        <v/>
      </c>
      <c r="O180" s="36" t="str">
        <f aca="false">IF(OR(M180="Revenue",M180="Cost of Goods Sold",M180="Expenditures",M180="Other Revenue",M180="Other Expenditures"),N180,IF(AND(LEN(M180)&gt;2,MID(M180,2,1)=" ",ISNUMBER(VALUE(LEFT(M180,1)))),M180,O179))</f>
        <v/>
      </c>
      <c r="P180" s="36" t="n">
        <f aca="false">IF(AND(M180&lt;&gt;"",ISNUMBER(K180),LEFT(M180,9)&lt;&gt;"Total for",M180&lt;&gt;"Gross Profit",M180&lt;&gt;"Net Operating Revenue",M180&lt;&gt;"Net Other Revenue",M180&lt;&gt;"Net Revenue"),1,0)</f>
        <v>0</v>
      </c>
      <c r="Q180" s="36" t="str">
        <f aca="false">IF(P180=1,IF(AND(LEN(M180)&gt;7,ISNUMBER(VALUE(LEFT(M180,6))),MID(M180,7,1)=" "),LEFT(M180,6),M180),"")</f>
        <v/>
      </c>
      <c r="V180" s="36" t="str">
        <f aca="false">TRIM(S180)</f>
        <v/>
      </c>
      <c r="W180" s="36" t="str">
        <f aca="false">IF(V180="Revenue","Revenue",IF(V180="Cost of Goods Sold","COGS",IF(V180="Expenditures","Expense",IF(V180="Other Revenue","Other Revenue",IF(V180="Other Expenditures","Other Expense",W179)))))</f>
        <v/>
      </c>
      <c r="X180" s="36" t="str">
        <f aca="false">IF(OR(V180="Revenue",V180="Cost of Goods Sold",V180="Expenditures",V180="Other Revenue",V180="Other Expenditures"),W180,IF(AND(LEN(V180)&gt;2,MID(V180,2,1)=" ",ISNUMBER(VALUE(LEFT(V180,1)))),V180,X179))</f>
        <v/>
      </c>
      <c r="Y180" s="36" t="n">
        <f aca="false">IF(AND(V180&lt;&gt;"",ISNUMBER(T180),LEFT(V180,9)&lt;&gt;"Total for",V180&lt;&gt;"Gross Profit",V180&lt;&gt;"Net Operating Revenue",V180&lt;&gt;"Net Other Revenue",V180&lt;&gt;"Net Revenue"),1,0)</f>
        <v>0</v>
      </c>
      <c r="Z180" s="36" t="str">
        <f aca="false">IF(Y180=1,IF(AND(LEN(V180)&gt;7,ISNUMBER(VALUE(LEFT(V180,6))),MID(V180,7,1)=" "),LEFT(V180,6),V180),"")</f>
        <v/>
      </c>
      <c r="AE180" s="36" t="str">
        <f aca="false">TRIM(AB180)</f>
        <v/>
      </c>
      <c r="AF180" s="36" t="str">
        <f aca="false">IF(AE180="Revenue","Revenue",IF(AE180="Cost of Goods Sold","COGS",IF(AE180="Expenditures","Expense",IF(AE180="Other Revenue","Other Revenue",IF(AE180="Other Expenditures","Other Expense",AF179)))))</f>
        <v/>
      </c>
      <c r="AG180" s="36" t="str">
        <f aca="false">IF(OR(AE180="Revenue",AE180="Cost of Goods Sold",AE180="Expenditures",AE180="Other Revenue",AE180="Other Expenditures"),AF180,IF(AND(LEN(AE180)&gt;2,MID(AE180,2,1)=" ",ISNUMBER(VALUE(LEFT(AE180,1)))),AE180,AG179))</f>
        <v/>
      </c>
      <c r="AH180" s="36" t="n">
        <f aca="false">IF(AND(AE180&lt;&gt;"",ISNUMBER(AC180),LEFT(AE180,9)&lt;&gt;"Total for",AE180&lt;&gt;"Gross Profit",AE180&lt;&gt;"Net Operating Revenue",AE180&lt;&gt;"Net Other Revenue",AE180&lt;&gt;"Net Revenue"),1,0)</f>
        <v>0</v>
      </c>
      <c r="AI180" s="36" t="str">
        <f aca="false">IF(AH180=1,IF(AND(LEN(AE180)&gt;7,ISNUMBER(VALUE(LEFT(AE180,6))),MID(AE180,7,1)=" "),LEFT(AE180,6),AE180),"")</f>
        <v/>
      </c>
      <c r="AN180" s="36" t="str">
        <f aca="false">TRIM(AK180)</f>
        <v/>
      </c>
      <c r="AO180" s="36" t="str">
        <f aca="false">IF(AN180="Revenue","Revenue",IF(AN180="Cost of Goods Sold","COGS",IF(AN180="Expenditures","Expense",IF(AN180="Other Revenue","Other Revenue",IF(AN180="Other Expenditures","Other Expense",AO179)))))</f>
        <v/>
      </c>
      <c r="AP180" s="36" t="str">
        <f aca="false">IF(OR(AN180="Revenue",AN180="Cost of Goods Sold",AN180="Expenditures",AN180="Other Revenue",AN180="Other Expenditures"),AO180,IF(AND(LEN(AN180)&gt;2,MID(AN180,2,1)=" ",ISNUMBER(VALUE(LEFT(AN180,1)))),AN180,AP179))</f>
        <v/>
      </c>
      <c r="AQ180" s="36" t="n">
        <f aca="false">IF(AND(AN180&lt;&gt;"",ISNUMBER(AL180),LEFT(AN180,9)&lt;&gt;"Total for",AN180&lt;&gt;"Gross Profit",AN180&lt;&gt;"Net Operating Revenue",AN180&lt;&gt;"Net Other Revenue",AN180&lt;&gt;"Net Revenue"),1,0)</f>
        <v>0</v>
      </c>
      <c r="AR180" s="36" t="str">
        <f aca="false">IF(AQ180=1,IF(AND(LEN(AN180)&gt;7,ISNUMBER(VALUE(LEFT(AN180,6))),MID(AN180,7,1)=" "),LEFT(AN180,6),AN180),"")</f>
        <v/>
      </c>
    </row>
    <row r="181" customFormat="false" ht="15" hidden="false" customHeight="false" outlineLevel="0" collapsed="false">
      <c r="D181" s="36" t="str">
        <f aca="false">TRIM(A181)</f>
        <v/>
      </c>
      <c r="E181" s="36" t="str">
        <f aca="false">IF(D181="Revenue","Revenue",IF(D181="Cost of Goods Sold","COGS",IF(D181="Expenditures","Expense",IF(D181="Other Revenue","Other Revenue",IF(D181="Other Expenditures","Other Expense",E180)))))</f>
        <v/>
      </c>
      <c r="F181" s="36" t="str">
        <f aca="false">IF(OR(D181="Revenue",D181="Cost of Goods Sold",D181="Expenditures",D181="Other Revenue",D181="Other Expenditures"),E181,IF(AND(LEN(D181)&gt;2,MID(D181,2,1)=" ",ISNUMBER(VALUE(LEFT(D181,1)))),D181,F180))</f>
        <v/>
      </c>
      <c r="G181" s="36" t="n">
        <f aca="false">IF(AND(D181&lt;&gt;"",ISNUMBER(B181),LEFT(D181,9)&lt;&gt;"Total for",D181&lt;&gt;"Gross Profit",D181&lt;&gt;"Net Operating Revenue",D181&lt;&gt;"Net Other Revenue",D181&lt;&gt;"Net Revenue"),1,0)</f>
        <v>0</v>
      </c>
      <c r="H181" s="36" t="str">
        <f aca="false">IF(G181=1,IF(AND(LEN(D181)&gt;7,ISNUMBER(VALUE(LEFT(D181,6))),MID(D181,7,1)=" "),LEFT(D181,6),D181),"")</f>
        <v/>
      </c>
      <c r="M181" s="36" t="str">
        <f aca="false">TRIM(J181)</f>
        <v/>
      </c>
      <c r="N181" s="36" t="str">
        <f aca="false">IF(M181="Revenue","Revenue",IF(M181="Cost of Goods Sold","COGS",IF(M181="Expenditures","Expense",IF(M181="Other Revenue","Other Revenue",IF(M181="Other Expenditures","Other Expense",N180)))))</f>
        <v/>
      </c>
      <c r="O181" s="36" t="str">
        <f aca="false">IF(OR(M181="Revenue",M181="Cost of Goods Sold",M181="Expenditures",M181="Other Revenue",M181="Other Expenditures"),N181,IF(AND(LEN(M181)&gt;2,MID(M181,2,1)=" ",ISNUMBER(VALUE(LEFT(M181,1)))),M181,O180))</f>
        <v/>
      </c>
      <c r="P181" s="36" t="n">
        <f aca="false">IF(AND(M181&lt;&gt;"",ISNUMBER(K181),LEFT(M181,9)&lt;&gt;"Total for",M181&lt;&gt;"Gross Profit",M181&lt;&gt;"Net Operating Revenue",M181&lt;&gt;"Net Other Revenue",M181&lt;&gt;"Net Revenue"),1,0)</f>
        <v>0</v>
      </c>
      <c r="Q181" s="36" t="str">
        <f aca="false">IF(P181=1,IF(AND(LEN(M181)&gt;7,ISNUMBER(VALUE(LEFT(M181,6))),MID(M181,7,1)=" "),LEFT(M181,6),M181),"")</f>
        <v/>
      </c>
      <c r="V181" s="36" t="str">
        <f aca="false">TRIM(S181)</f>
        <v/>
      </c>
      <c r="W181" s="36" t="str">
        <f aca="false">IF(V181="Revenue","Revenue",IF(V181="Cost of Goods Sold","COGS",IF(V181="Expenditures","Expense",IF(V181="Other Revenue","Other Revenue",IF(V181="Other Expenditures","Other Expense",W180)))))</f>
        <v/>
      </c>
      <c r="X181" s="36" t="str">
        <f aca="false">IF(OR(V181="Revenue",V181="Cost of Goods Sold",V181="Expenditures",V181="Other Revenue",V181="Other Expenditures"),W181,IF(AND(LEN(V181)&gt;2,MID(V181,2,1)=" ",ISNUMBER(VALUE(LEFT(V181,1)))),V181,X180))</f>
        <v/>
      </c>
      <c r="Y181" s="36" t="n">
        <f aca="false">IF(AND(V181&lt;&gt;"",ISNUMBER(T181),LEFT(V181,9)&lt;&gt;"Total for",V181&lt;&gt;"Gross Profit",V181&lt;&gt;"Net Operating Revenue",V181&lt;&gt;"Net Other Revenue",V181&lt;&gt;"Net Revenue"),1,0)</f>
        <v>0</v>
      </c>
      <c r="Z181" s="36" t="str">
        <f aca="false">IF(Y181=1,IF(AND(LEN(V181)&gt;7,ISNUMBER(VALUE(LEFT(V181,6))),MID(V181,7,1)=" "),LEFT(V181,6),V181),"")</f>
        <v/>
      </c>
      <c r="AE181" s="36" t="str">
        <f aca="false">TRIM(AB181)</f>
        <v/>
      </c>
      <c r="AF181" s="36" t="str">
        <f aca="false">IF(AE181="Revenue","Revenue",IF(AE181="Cost of Goods Sold","COGS",IF(AE181="Expenditures","Expense",IF(AE181="Other Revenue","Other Revenue",IF(AE181="Other Expenditures","Other Expense",AF180)))))</f>
        <v/>
      </c>
      <c r="AG181" s="36" t="str">
        <f aca="false">IF(OR(AE181="Revenue",AE181="Cost of Goods Sold",AE181="Expenditures",AE181="Other Revenue",AE181="Other Expenditures"),AF181,IF(AND(LEN(AE181)&gt;2,MID(AE181,2,1)=" ",ISNUMBER(VALUE(LEFT(AE181,1)))),AE181,AG180))</f>
        <v/>
      </c>
      <c r="AH181" s="36" t="n">
        <f aca="false">IF(AND(AE181&lt;&gt;"",ISNUMBER(AC181),LEFT(AE181,9)&lt;&gt;"Total for",AE181&lt;&gt;"Gross Profit",AE181&lt;&gt;"Net Operating Revenue",AE181&lt;&gt;"Net Other Revenue",AE181&lt;&gt;"Net Revenue"),1,0)</f>
        <v>0</v>
      </c>
      <c r="AI181" s="36" t="str">
        <f aca="false">IF(AH181=1,IF(AND(LEN(AE181)&gt;7,ISNUMBER(VALUE(LEFT(AE181,6))),MID(AE181,7,1)=" "),LEFT(AE181,6),AE181),"")</f>
        <v/>
      </c>
      <c r="AN181" s="36" t="str">
        <f aca="false">TRIM(AK181)</f>
        <v/>
      </c>
      <c r="AO181" s="36" t="str">
        <f aca="false">IF(AN181="Revenue","Revenue",IF(AN181="Cost of Goods Sold","COGS",IF(AN181="Expenditures","Expense",IF(AN181="Other Revenue","Other Revenue",IF(AN181="Other Expenditures","Other Expense",AO180)))))</f>
        <v/>
      </c>
      <c r="AP181" s="36" t="str">
        <f aca="false">IF(OR(AN181="Revenue",AN181="Cost of Goods Sold",AN181="Expenditures",AN181="Other Revenue",AN181="Other Expenditures"),AO181,IF(AND(LEN(AN181)&gt;2,MID(AN181,2,1)=" ",ISNUMBER(VALUE(LEFT(AN181,1)))),AN181,AP180))</f>
        <v/>
      </c>
      <c r="AQ181" s="36" t="n">
        <f aca="false">IF(AND(AN181&lt;&gt;"",ISNUMBER(AL181),LEFT(AN181,9)&lt;&gt;"Total for",AN181&lt;&gt;"Gross Profit",AN181&lt;&gt;"Net Operating Revenue",AN181&lt;&gt;"Net Other Revenue",AN181&lt;&gt;"Net Revenue"),1,0)</f>
        <v>0</v>
      </c>
      <c r="AR181" s="36" t="str">
        <f aca="false">IF(AQ181=1,IF(AND(LEN(AN181)&gt;7,ISNUMBER(VALUE(LEFT(AN181,6))),MID(AN181,7,1)=" "),LEFT(AN181,6),AN181),"")</f>
        <v/>
      </c>
    </row>
    <row r="182" customFormat="false" ht="15" hidden="false" customHeight="false" outlineLevel="0" collapsed="false">
      <c r="D182" s="36" t="str">
        <f aca="false">TRIM(A182)</f>
        <v/>
      </c>
      <c r="E182" s="36" t="str">
        <f aca="false">IF(D182="Revenue","Revenue",IF(D182="Cost of Goods Sold","COGS",IF(D182="Expenditures","Expense",IF(D182="Other Revenue","Other Revenue",IF(D182="Other Expenditures","Other Expense",E181)))))</f>
        <v/>
      </c>
      <c r="F182" s="36" t="str">
        <f aca="false">IF(OR(D182="Revenue",D182="Cost of Goods Sold",D182="Expenditures",D182="Other Revenue",D182="Other Expenditures"),E182,IF(AND(LEN(D182)&gt;2,MID(D182,2,1)=" ",ISNUMBER(VALUE(LEFT(D182,1)))),D182,F181))</f>
        <v/>
      </c>
      <c r="G182" s="36" t="n">
        <f aca="false">IF(AND(D182&lt;&gt;"",ISNUMBER(B182),LEFT(D182,9)&lt;&gt;"Total for",D182&lt;&gt;"Gross Profit",D182&lt;&gt;"Net Operating Revenue",D182&lt;&gt;"Net Other Revenue",D182&lt;&gt;"Net Revenue"),1,0)</f>
        <v>0</v>
      </c>
      <c r="H182" s="36" t="str">
        <f aca="false">IF(G182=1,IF(AND(LEN(D182)&gt;7,ISNUMBER(VALUE(LEFT(D182,6))),MID(D182,7,1)=" "),LEFT(D182,6),D182),"")</f>
        <v/>
      </c>
      <c r="M182" s="36" t="str">
        <f aca="false">TRIM(J182)</f>
        <v/>
      </c>
      <c r="N182" s="36" t="str">
        <f aca="false">IF(M182="Revenue","Revenue",IF(M182="Cost of Goods Sold","COGS",IF(M182="Expenditures","Expense",IF(M182="Other Revenue","Other Revenue",IF(M182="Other Expenditures","Other Expense",N181)))))</f>
        <v/>
      </c>
      <c r="O182" s="36" t="str">
        <f aca="false">IF(OR(M182="Revenue",M182="Cost of Goods Sold",M182="Expenditures",M182="Other Revenue",M182="Other Expenditures"),N182,IF(AND(LEN(M182)&gt;2,MID(M182,2,1)=" ",ISNUMBER(VALUE(LEFT(M182,1)))),M182,O181))</f>
        <v/>
      </c>
      <c r="P182" s="36" t="n">
        <f aca="false">IF(AND(M182&lt;&gt;"",ISNUMBER(K182),LEFT(M182,9)&lt;&gt;"Total for",M182&lt;&gt;"Gross Profit",M182&lt;&gt;"Net Operating Revenue",M182&lt;&gt;"Net Other Revenue",M182&lt;&gt;"Net Revenue"),1,0)</f>
        <v>0</v>
      </c>
      <c r="Q182" s="36" t="str">
        <f aca="false">IF(P182=1,IF(AND(LEN(M182)&gt;7,ISNUMBER(VALUE(LEFT(M182,6))),MID(M182,7,1)=" "),LEFT(M182,6),M182),"")</f>
        <v/>
      </c>
      <c r="V182" s="36" t="str">
        <f aca="false">TRIM(S182)</f>
        <v/>
      </c>
      <c r="W182" s="36" t="str">
        <f aca="false">IF(V182="Revenue","Revenue",IF(V182="Cost of Goods Sold","COGS",IF(V182="Expenditures","Expense",IF(V182="Other Revenue","Other Revenue",IF(V182="Other Expenditures","Other Expense",W181)))))</f>
        <v/>
      </c>
      <c r="X182" s="36" t="str">
        <f aca="false">IF(OR(V182="Revenue",V182="Cost of Goods Sold",V182="Expenditures",V182="Other Revenue",V182="Other Expenditures"),W182,IF(AND(LEN(V182)&gt;2,MID(V182,2,1)=" ",ISNUMBER(VALUE(LEFT(V182,1)))),V182,X181))</f>
        <v/>
      </c>
      <c r="Y182" s="36" t="n">
        <f aca="false">IF(AND(V182&lt;&gt;"",ISNUMBER(T182),LEFT(V182,9)&lt;&gt;"Total for",V182&lt;&gt;"Gross Profit",V182&lt;&gt;"Net Operating Revenue",V182&lt;&gt;"Net Other Revenue",V182&lt;&gt;"Net Revenue"),1,0)</f>
        <v>0</v>
      </c>
      <c r="Z182" s="36" t="str">
        <f aca="false">IF(Y182=1,IF(AND(LEN(V182)&gt;7,ISNUMBER(VALUE(LEFT(V182,6))),MID(V182,7,1)=" "),LEFT(V182,6),V182),"")</f>
        <v/>
      </c>
      <c r="AE182" s="36" t="str">
        <f aca="false">TRIM(AB182)</f>
        <v/>
      </c>
      <c r="AF182" s="36" t="str">
        <f aca="false">IF(AE182="Revenue","Revenue",IF(AE182="Cost of Goods Sold","COGS",IF(AE182="Expenditures","Expense",IF(AE182="Other Revenue","Other Revenue",IF(AE182="Other Expenditures","Other Expense",AF181)))))</f>
        <v/>
      </c>
      <c r="AG182" s="36" t="str">
        <f aca="false">IF(OR(AE182="Revenue",AE182="Cost of Goods Sold",AE182="Expenditures",AE182="Other Revenue",AE182="Other Expenditures"),AF182,IF(AND(LEN(AE182)&gt;2,MID(AE182,2,1)=" ",ISNUMBER(VALUE(LEFT(AE182,1)))),AE182,AG181))</f>
        <v/>
      </c>
      <c r="AH182" s="36" t="n">
        <f aca="false">IF(AND(AE182&lt;&gt;"",ISNUMBER(AC182),LEFT(AE182,9)&lt;&gt;"Total for",AE182&lt;&gt;"Gross Profit",AE182&lt;&gt;"Net Operating Revenue",AE182&lt;&gt;"Net Other Revenue",AE182&lt;&gt;"Net Revenue"),1,0)</f>
        <v>0</v>
      </c>
      <c r="AI182" s="36" t="str">
        <f aca="false">IF(AH182=1,IF(AND(LEN(AE182)&gt;7,ISNUMBER(VALUE(LEFT(AE182,6))),MID(AE182,7,1)=" "),LEFT(AE182,6),AE182),"")</f>
        <v/>
      </c>
      <c r="AN182" s="36" t="str">
        <f aca="false">TRIM(AK182)</f>
        <v/>
      </c>
      <c r="AO182" s="36" t="str">
        <f aca="false">IF(AN182="Revenue","Revenue",IF(AN182="Cost of Goods Sold","COGS",IF(AN182="Expenditures","Expense",IF(AN182="Other Revenue","Other Revenue",IF(AN182="Other Expenditures","Other Expense",AO181)))))</f>
        <v/>
      </c>
      <c r="AP182" s="36" t="str">
        <f aca="false">IF(OR(AN182="Revenue",AN182="Cost of Goods Sold",AN182="Expenditures",AN182="Other Revenue",AN182="Other Expenditures"),AO182,IF(AND(LEN(AN182)&gt;2,MID(AN182,2,1)=" ",ISNUMBER(VALUE(LEFT(AN182,1)))),AN182,AP181))</f>
        <v/>
      </c>
      <c r="AQ182" s="36" t="n">
        <f aca="false">IF(AND(AN182&lt;&gt;"",ISNUMBER(AL182),LEFT(AN182,9)&lt;&gt;"Total for",AN182&lt;&gt;"Gross Profit",AN182&lt;&gt;"Net Operating Revenue",AN182&lt;&gt;"Net Other Revenue",AN182&lt;&gt;"Net Revenue"),1,0)</f>
        <v>0</v>
      </c>
      <c r="AR182" s="36" t="str">
        <f aca="false">IF(AQ182=1,IF(AND(LEN(AN182)&gt;7,ISNUMBER(VALUE(LEFT(AN182,6))),MID(AN182,7,1)=" "),LEFT(AN182,6),AN182),"")</f>
        <v/>
      </c>
    </row>
    <row r="183" customFormat="false" ht="15" hidden="false" customHeight="false" outlineLevel="0" collapsed="false">
      <c r="D183" s="36" t="str">
        <f aca="false">TRIM(A183)</f>
        <v/>
      </c>
      <c r="E183" s="36" t="str">
        <f aca="false">IF(D183="Revenue","Revenue",IF(D183="Cost of Goods Sold","COGS",IF(D183="Expenditures","Expense",IF(D183="Other Revenue","Other Revenue",IF(D183="Other Expenditures","Other Expense",E182)))))</f>
        <v/>
      </c>
      <c r="F183" s="36" t="str">
        <f aca="false">IF(OR(D183="Revenue",D183="Cost of Goods Sold",D183="Expenditures",D183="Other Revenue",D183="Other Expenditures"),E183,IF(AND(LEN(D183)&gt;2,MID(D183,2,1)=" ",ISNUMBER(VALUE(LEFT(D183,1)))),D183,F182))</f>
        <v/>
      </c>
      <c r="G183" s="36" t="n">
        <f aca="false">IF(AND(D183&lt;&gt;"",ISNUMBER(B183),LEFT(D183,9)&lt;&gt;"Total for",D183&lt;&gt;"Gross Profit",D183&lt;&gt;"Net Operating Revenue",D183&lt;&gt;"Net Other Revenue",D183&lt;&gt;"Net Revenue"),1,0)</f>
        <v>0</v>
      </c>
      <c r="H183" s="36" t="str">
        <f aca="false">IF(G183=1,IF(AND(LEN(D183)&gt;7,ISNUMBER(VALUE(LEFT(D183,6))),MID(D183,7,1)=" "),LEFT(D183,6),D183),"")</f>
        <v/>
      </c>
      <c r="M183" s="36" t="str">
        <f aca="false">TRIM(J183)</f>
        <v/>
      </c>
      <c r="N183" s="36" t="str">
        <f aca="false">IF(M183="Revenue","Revenue",IF(M183="Cost of Goods Sold","COGS",IF(M183="Expenditures","Expense",IF(M183="Other Revenue","Other Revenue",IF(M183="Other Expenditures","Other Expense",N182)))))</f>
        <v/>
      </c>
      <c r="O183" s="36" t="str">
        <f aca="false">IF(OR(M183="Revenue",M183="Cost of Goods Sold",M183="Expenditures",M183="Other Revenue",M183="Other Expenditures"),N183,IF(AND(LEN(M183)&gt;2,MID(M183,2,1)=" ",ISNUMBER(VALUE(LEFT(M183,1)))),M183,O182))</f>
        <v/>
      </c>
      <c r="P183" s="36" t="n">
        <f aca="false">IF(AND(M183&lt;&gt;"",ISNUMBER(K183),LEFT(M183,9)&lt;&gt;"Total for",M183&lt;&gt;"Gross Profit",M183&lt;&gt;"Net Operating Revenue",M183&lt;&gt;"Net Other Revenue",M183&lt;&gt;"Net Revenue"),1,0)</f>
        <v>0</v>
      </c>
      <c r="Q183" s="36" t="str">
        <f aca="false">IF(P183=1,IF(AND(LEN(M183)&gt;7,ISNUMBER(VALUE(LEFT(M183,6))),MID(M183,7,1)=" "),LEFT(M183,6),M183),"")</f>
        <v/>
      </c>
      <c r="V183" s="36" t="str">
        <f aca="false">TRIM(S183)</f>
        <v/>
      </c>
      <c r="W183" s="36" t="str">
        <f aca="false">IF(V183="Revenue","Revenue",IF(V183="Cost of Goods Sold","COGS",IF(V183="Expenditures","Expense",IF(V183="Other Revenue","Other Revenue",IF(V183="Other Expenditures","Other Expense",W182)))))</f>
        <v/>
      </c>
      <c r="X183" s="36" t="str">
        <f aca="false">IF(OR(V183="Revenue",V183="Cost of Goods Sold",V183="Expenditures",V183="Other Revenue",V183="Other Expenditures"),W183,IF(AND(LEN(V183)&gt;2,MID(V183,2,1)=" ",ISNUMBER(VALUE(LEFT(V183,1)))),V183,X182))</f>
        <v/>
      </c>
      <c r="Y183" s="36" t="n">
        <f aca="false">IF(AND(V183&lt;&gt;"",ISNUMBER(T183),LEFT(V183,9)&lt;&gt;"Total for",V183&lt;&gt;"Gross Profit",V183&lt;&gt;"Net Operating Revenue",V183&lt;&gt;"Net Other Revenue",V183&lt;&gt;"Net Revenue"),1,0)</f>
        <v>0</v>
      </c>
      <c r="Z183" s="36" t="str">
        <f aca="false">IF(Y183=1,IF(AND(LEN(V183)&gt;7,ISNUMBER(VALUE(LEFT(V183,6))),MID(V183,7,1)=" "),LEFT(V183,6),V183),"")</f>
        <v/>
      </c>
      <c r="AE183" s="36" t="str">
        <f aca="false">TRIM(AB183)</f>
        <v/>
      </c>
      <c r="AF183" s="36" t="str">
        <f aca="false">IF(AE183="Revenue","Revenue",IF(AE183="Cost of Goods Sold","COGS",IF(AE183="Expenditures","Expense",IF(AE183="Other Revenue","Other Revenue",IF(AE183="Other Expenditures","Other Expense",AF182)))))</f>
        <v/>
      </c>
      <c r="AG183" s="36" t="str">
        <f aca="false">IF(OR(AE183="Revenue",AE183="Cost of Goods Sold",AE183="Expenditures",AE183="Other Revenue",AE183="Other Expenditures"),AF183,IF(AND(LEN(AE183)&gt;2,MID(AE183,2,1)=" ",ISNUMBER(VALUE(LEFT(AE183,1)))),AE183,AG182))</f>
        <v/>
      </c>
      <c r="AH183" s="36" t="n">
        <f aca="false">IF(AND(AE183&lt;&gt;"",ISNUMBER(AC183),LEFT(AE183,9)&lt;&gt;"Total for",AE183&lt;&gt;"Gross Profit",AE183&lt;&gt;"Net Operating Revenue",AE183&lt;&gt;"Net Other Revenue",AE183&lt;&gt;"Net Revenue"),1,0)</f>
        <v>0</v>
      </c>
      <c r="AI183" s="36" t="str">
        <f aca="false">IF(AH183=1,IF(AND(LEN(AE183)&gt;7,ISNUMBER(VALUE(LEFT(AE183,6))),MID(AE183,7,1)=" "),LEFT(AE183,6),AE183),"")</f>
        <v/>
      </c>
      <c r="AN183" s="36" t="str">
        <f aca="false">TRIM(AK183)</f>
        <v/>
      </c>
      <c r="AO183" s="36" t="str">
        <f aca="false">IF(AN183="Revenue","Revenue",IF(AN183="Cost of Goods Sold","COGS",IF(AN183="Expenditures","Expense",IF(AN183="Other Revenue","Other Revenue",IF(AN183="Other Expenditures","Other Expense",AO182)))))</f>
        <v/>
      </c>
      <c r="AP183" s="36" t="str">
        <f aca="false">IF(OR(AN183="Revenue",AN183="Cost of Goods Sold",AN183="Expenditures",AN183="Other Revenue",AN183="Other Expenditures"),AO183,IF(AND(LEN(AN183)&gt;2,MID(AN183,2,1)=" ",ISNUMBER(VALUE(LEFT(AN183,1)))),AN183,AP182))</f>
        <v/>
      </c>
      <c r="AQ183" s="36" t="n">
        <f aca="false">IF(AND(AN183&lt;&gt;"",ISNUMBER(AL183),LEFT(AN183,9)&lt;&gt;"Total for",AN183&lt;&gt;"Gross Profit",AN183&lt;&gt;"Net Operating Revenue",AN183&lt;&gt;"Net Other Revenue",AN183&lt;&gt;"Net Revenue"),1,0)</f>
        <v>0</v>
      </c>
      <c r="AR183" s="36" t="str">
        <f aca="false">IF(AQ183=1,IF(AND(LEN(AN183)&gt;7,ISNUMBER(VALUE(LEFT(AN183,6))),MID(AN183,7,1)=" "),LEFT(AN183,6),AN183),"")</f>
        <v/>
      </c>
    </row>
    <row r="184" customFormat="false" ht="15" hidden="false" customHeight="false" outlineLevel="0" collapsed="false">
      <c r="D184" s="36" t="str">
        <f aca="false">TRIM(A184)</f>
        <v/>
      </c>
      <c r="E184" s="36" t="str">
        <f aca="false">IF(D184="Revenue","Revenue",IF(D184="Cost of Goods Sold","COGS",IF(D184="Expenditures","Expense",IF(D184="Other Revenue","Other Revenue",IF(D184="Other Expenditures","Other Expense",E183)))))</f>
        <v/>
      </c>
      <c r="F184" s="36" t="str">
        <f aca="false">IF(OR(D184="Revenue",D184="Cost of Goods Sold",D184="Expenditures",D184="Other Revenue",D184="Other Expenditures"),E184,IF(AND(LEN(D184)&gt;2,MID(D184,2,1)=" ",ISNUMBER(VALUE(LEFT(D184,1)))),D184,F183))</f>
        <v/>
      </c>
      <c r="G184" s="36" t="n">
        <f aca="false">IF(AND(D184&lt;&gt;"",ISNUMBER(B184),LEFT(D184,9)&lt;&gt;"Total for",D184&lt;&gt;"Gross Profit",D184&lt;&gt;"Net Operating Revenue",D184&lt;&gt;"Net Other Revenue",D184&lt;&gt;"Net Revenue"),1,0)</f>
        <v>0</v>
      </c>
      <c r="H184" s="36" t="str">
        <f aca="false">IF(G184=1,IF(AND(LEN(D184)&gt;7,ISNUMBER(VALUE(LEFT(D184,6))),MID(D184,7,1)=" "),LEFT(D184,6),D184),"")</f>
        <v/>
      </c>
      <c r="M184" s="36" t="str">
        <f aca="false">TRIM(J184)</f>
        <v/>
      </c>
      <c r="N184" s="36" t="str">
        <f aca="false">IF(M184="Revenue","Revenue",IF(M184="Cost of Goods Sold","COGS",IF(M184="Expenditures","Expense",IF(M184="Other Revenue","Other Revenue",IF(M184="Other Expenditures","Other Expense",N183)))))</f>
        <v/>
      </c>
      <c r="O184" s="36" t="str">
        <f aca="false">IF(OR(M184="Revenue",M184="Cost of Goods Sold",M184="Expenditures",M184="Other Revenue",M184="Other Expenditures"),N184,IF(AND(LEN(M184)&gt;2,MID(M184,2,1)=" ",ISNUMBER(VALUE(LEFT(M184,1)))),M184,O183))</f>
        <v/>
      </c>
      <c r="P184" s="36" t="n">
        <f aca="false">IF(AND(M184&lt;&gt;"",ISNUMBER(K184),LEFT(M184,9)&lt;&gt;"Total for",M184&lt;&gt;"Gross Profit",M184&lt;&gt;"Net Operating Revenue",M184&lt;&gt;"Net Other Revenue",M184&lt;&gt;"Net Revenue"),1,0)</f>
        <v>0</v>
      </c>
      <c r="Q184" s="36" t="str">
        <f aca="false">IF(P184=1,IF(AND(LEN(M184)&gt;7,ISNUMBER(VALUE(LEFT(M184,6))),MID(M184,7,1)=" "),LEFT(M184,6),M184),"")</f>
        <v/>
      </c>
      <c r="V184" s="36" t="str">
        <f aca="false">TRIM(S184)</f>
        <v/>
      </c>
      <c r="W184" s="36" t="str">
        <f aca="false">IF(V184="Revenue","Revenue",IF(V184="Cost of Goods Sold","COGS",IF(V184="Expenditures","Expense",IF(V184="Other Revenue","Other Revenue",IF(V184="Other Expenditures","Other Expense",W183)))))</f>
        <v/>
      </c>
      <c r="X184" s="36" t="str">
        <f aca="false">IF(OR(V184="Revenue",V184="Cost of Goods Sold",V184="Expenditures",V184="Other Revenue",V184="Other Expenditures"),W184,IF(AND(LEN(V184)&gt;2,MID(V184,2,1)=" ",ISNUMBER(VALUE(LEFT(V184,1)))),V184,X183))</f>
        <v/>
      </c>
      <c r="Y184" s="36" t="n">
        <f aca="false">IF(AND(V184&lt;&gt;"",ISNUMBER(T184),LEFT(V184,9)&lt;&gt;"Total for",V184&lt;&gt;"Gross Profit",V184&lt;&gt;"Net Operating Revenue",V184&lt;&gt;"Net Other Revenue",V184&lt;&gt;"Net Revenue"),1,0)</f>
        <v>0</v>
      </c>
      <c r="Z184" s="36" t="str">
        <f aca="false">IF(Y184=1,IF(AND(LEN(V184)&gt;7,ISNUMBER(VALUE(LEFT(V184,6))),MID(V184,7,1)=" "),LEFT(V184,6),V184),"")</f>
        <v/>
      </c>
      <c r="AE184" s="36" t="str">
        <f aca="false">TRIM(AB184)</f>
        <v/>
      </c>
      <c r="AF184" s="36" t="str">
        <f aca="false">IF(AE184="Revenue","Revenue",IF(AE184="Cost of Goods Sold","COGS",IF(AE184="Expenditures","Expense",IF(AE184="Other Revenue","Other Revenue",IF(AE184="Other Expenditures","Other Expense",AF183)))))</f>
        <v/>
      </c>
      <c r="AG184" s="36" t="str">
        <f aca="false">IF(OR(AE184="Revenue",AE184="Cost of Goods Sold",AE184="Expenditures",AE184="Other Revenue",AE184="Other Expenditures"),AF184,IF(AND(LEN(AE184)&gt;2,MID(AE184,2,1)=" ",ISNUMBER(VALUE(LEFT(AE184,1)))),AE184,AG183))</f>
        <v/>
      </c>
      <c r="AH184" s="36" t="n">
        <f aca="false">IF(AND(AE184&lt;&gt;"",ISNUMBER(AC184),LEFT(AE184,9)&lt;&gt;"Total for",AE184&lt;&gt;"Gross Profit",AE184&lt;&gt;"Net Operating Revenue",AE184&lt;&gt;"Net Other Revenue",AE184&lt;&gt;"Net Revenue"),1,0)</f>
        <v>0</v>
      </c>
      <c r="AI184" s="36" t="str">
        <f aca="false">IF(AH184=1,IF(AND(LEN(AE184)&gt;7,ISNUMBER(VALUE(LEFT(AE184,6))),MID(AE184,7,1)=" "),LEFT(AE184,6),AE184),"")</f>
        <v/>
      </c>
      <c r="AN184" s="36" t="str">
        <f aca="false">TRIM(AK184)</f>
        <v/>
      </c>
      <c r="AO184" s="36" t="str">
        <f aca="false">IF(AN184="Revenue","Revenue",IF(AN184="Cost of Goods Sold","COGS",IF(AN184="Expenditures","Expense",IF(AN184="Other Revenue","Other Revenue",IF(AN184="Other Expenditures","Other Expense",AO183)))))</f>
        <v/>
      </c>
      <c r="AP184" s="36" t="str">
        <f aca="false">IF(OR(AN184="Revenue",AN184="Cost of Goods Sold",AN184="Expenditures",AN184="Other Revenue",AN184="Other Expenditures"),AO184,IF(AND(LEN(AN184)&gt;2,MID(AN184,2,1)=" ",ISNUMBER(VALUE(LEFT(AN184,1)))),AN184,AP183))</f>
        <v/>
      </c>
      <c r="AQ184" s="36" t="n">
        <f aca="false">IF(AND(AN184&lt;&gt;"",ISNUMBER(AL184),LEFT(AN184,9)&lt;&gt;"Total for",AN184&lt;&gt;"Gross Profit",AN184&lt;&gt;"Net Operating Revenue",AN184&lt;&gt;"Net Other Revenue",AN184&lt;&gt;"Net Revenue"),1,0)</f>
        <v>0</v>
      </c>
      <c r="AR184" s="36" t="str">
        <f aca="false">IF(AQ184=1,IF(AND(LEN(AN184)&gt;7,ISNUMBER(VALUE(LEFT(AN184,6))),MID(AN184,7,1)=" "),LEFT(AN184,6),AN184),"")</f>
        <v/>
      </c>
    </row>
    <row r="185" customFormat="false" ht="15" hidden="false" customHeight="false" outlineLevel="0" collapsed="false">
      <c r="D185" s="36" t="str">
        <f aca="false">TRIM(A185)</f>
        <v/>
      </c>
      <c r="E185" s="36" t="str">
        <f aca="false">IF(D185="Revenue","Revenue",IF(D185="Cost of Goods Sold","COGS",IF(D185="Expenditures","Expense",IF(D185="Other Revenue","Other Revenue",IF(D185="Other Expenditures","Other Expense",E184)))))</f>
        <v/>
      </c>
      <c r="F185" s="36" t="str">
        <f aca="false">IF(OR(D185="Revenue",D185="Cost of Goods Sold",D185="Expenditures",D185="Other Revenue",D185="Other Expenditures"),E185,IF(AND(LEN(D185)&gt;2,MID(D185,2,1)=" ",ISNUMBER(VALUE(LEFT(D185,1)))),D185,F184))</f>
        <v/>
      </c>
      <c r="G185" s="36" t="n">
        <f aca="false">IF(AND(D185&lt;&gt;"",ISNUMBER(B185),LEFT(D185,9)&lt;&gt;"Total for",D185&lt;&gt;"Gross Profit",D185&lt;&gt;"Net Operating Revenue",D185&lt;&gt;"Net Other Revenue",D185&lt;&gt;"Net Revenue"),1,0)</f>
        <v>0</v>
      </c>
      <c r="H185" s="36" t="str">
        <f aca="false">IF(G185=1,IF(AND(LEN(D185)&gt;7,ISNUMBER(VALUE(LEFT(D185,6))),MID(D185,7,1)=" "),LEFT(D185,6),D185),"")</f>
        <v/>
      </c>
      <c r="M185" s="36" t="str">
        <f aca="false">TRIM(J185)</f>
        <v/>
      </c>
      <c r="N185" s="36" t="str">
        <f aca="false">IF(M185="Revenue","Revenue",IF(M185="Cost of Goods Sold","COGS",IF(M185="Expenditures","Expense",IF(M185="Other Revenue","Other Revenue",IF(M185="Other Expenditures","Other Expense",N184)))))</f>
        <v/>
      </c>
      <c r="O185" s="36" t="str">
        <f aca="false">IF(OR(M185="Revenue",M185="Cost of Goods Sold",M185="Expenditures",M185="Other Revenue",M185="Other Expenditures"),N185,IF(AND(LEN(M185)&gt;2,MID(M185,2,1)=" ",ISNUMBER(VALUE(LEFT(M185,1)))),M185,O184))</f>
        <v/>
      </c>
      <c r="P185" s="36" t="n">
        <f aca="false">IF(AND(M185&lt;&gt;"",ISNUMBER(K185),LEFT(M185,9)&lt;&gt;"Total for",M185&lt;&gt;"Gross Profit",M185&lt;&gt;"Net Operating Revenue",M185&lt;&gt;"Net Other Revenue",M185&lt;&gt;"Net Revenue"),1,0)</f>
        <v>0</v>
      </c>
      <c r="Q185" s="36" t="str">
        <f aca="false">IF(P185=1,IF(AND(LEN(M185)&gt;7,ISNUMBER(VALUE(LEFT(M185,6))),MID(M185,7,1)=" "),LEFT(M185,6),M185),"")</f>
        <v/>
      </c>
      <c r="V185" s="36" t="str">
        <f aca="false">TRIM(S185)</f>
        <v/>
      </c>
      <c r="W185" s="36" t="str">
        <f aca="false">IF(V185="Revenue","Revenue",IF(V185="Cost of Goods Sold","COGS",IF(V185="Expenditures","Expense",IF(V185="Other Revenue","Other Revenue",IF(V185="Other Expenditures","Other Expense",W184)))))</f>
        <v/>
      </c>
      <c r="X185" s="36" t="str">
        <f aca="false">IF(OR(V185="Revenue",V185="Cost of Goods Sold",V185="Expenditures",V185="Other Revenue",V185="Other Expenditures"),W185,IF(AND(LEN(V185)&gt;2,MID(V185,2,1)=" ",ISNUMBER(VALUE(LEFT(V185,1)))),V185,X184))</f>
        <v/>
      </c>
      <c r="Y185" s="36" t="n">
        <f aca="false">IF(AND(V185&lt;&gt;"",ISNUMBER(T185),LEFT(V185,9)&lt;&gt;"Total for",V185&lt;&gt;"Gross Profit",V185&lt;&gt;"Net Operating Revenue",V185&lt;&gt;"Net Other Revenue",V185&lt;&gt;"Net Revenue"),1,0)</f>
        <v>0</v>
      </c>
      <c r="Z185" s="36" t="str">
        <f aca="false">IF(Y185=1,IF(AND(LEN(V185)&gt;7,ISNUMBER(VALUE(LEFT(V185,6))),MID(V185,7,1)=" "),LEFT(V185,6),V185),"")</f>
        <v/>
      </c>
      <c r="AE185" s="36" t="str">
        <f aca="false">TRIM(AB185)</f>
        <v/>
      </c>
      <c r="AF185" s="36" t="str">
        <f aca="false">IF(AE185="Revenue","Revenue",IF(AE185="Cost of Goods Sold","COGS",IF(AE185="Expenditures","Expense",IF(AE185="Other Revenue","Other Revenue",IF(AE185="Other Expenditures","Other Expense",AF184)))))</f>
        <v/>
      </c>
      <c r="AG185" s="36" t="str">
        <f aca="false">IF(OR(AE185="Revenue",AE185="Cost of Goods Sold",AE185="Expenditures",AE185="Other Revenue",AE185="Other Expenditures"),AF185,IF(AND(LEN(AE185)&gt;2,MID(AE185,2,1)=" ",ISNUMBER(VALUE(LEFT(AE185,1)))),AE185,AG184))</f>
        <v/>
      </c>
      <c r="AH185" s="36" t="n">
        <f aca="false">IF(AND(AE185&lt;&gt;"",ISNUMBER(AC185),LEFT(AE185,9)&lt;&gt;"Total for",AE185&lt;&gt;"Gross Profit",AE185&lt;&gt;"Net Operating Revenue",AE185&lt;&gt;"Net Other Revenue",AE185&lt;&gt;"Net Revenue"),1,0)</f>
        <v>0</v>
      </c>
      <c r="AI185" s="36" t="str">
        <f aca="false">IF(AH185=1,IF(AND(LEN(AE185)&gt;7,ISNUMBER(VALUE(LEFT(AE185,6))),MID(AE185,7,1)=" "),LEFT(AE185,6),AE185),"")</f>
        <v/>
      </c>
      <c r="AN185" s="36" t="str">
        <f aca="false">TRIM(AK185)</f>
        <v/>
      </c>
      <c r="AO185" s="36" t="str">
        <f aca="false">IF(AN185="Revenue","Revenue",IF(AN185="Cost of Goods Sold","COGS",IF(AN185="Expenditures","Expense",IF(AN185="Other Revenue","Other Revenue",IF(AN185="Other Expenditures","Other Expense",AO184)))))</f>
        <v/>
      </c>
      <c r="AP185" s="36" t="str">
        <f aca="false">IF(OR(AN185="Revenue",AN185="Cost of Goods Sold",AN185="Expenditures",AN185="Other Revenue",AN185="Other Expenditures"),AO185,IF(AND(LEN(AN185)&gt;2,MID(AN185,2,1)=" ",ISNUMBER(VALUE(LEFT(AN185,1)))),AN185,AP184))</f>
        <v/>
      </c>
      <c r="AQ185" s="36" t="n">
        <f aca="false">IF(AND(AN185&lt;&gt;"",ISNUMBER(AL185),LEFT(AN185,9)&lt;&gt;"Total for",AN185&lt;&gt;"Gross Profit",AN185&lt;&gt;"Net Operating Revenue",AN185&lt;&gt;"Net Other Revenue",AN185&lt;&gt;"Net Revenue"),1,0)</f>
        <v>0</v>
      </c>
      <c r="AR185" s="36" t="str">
        <f aca="false">IF(AQ185=1,IF(AND(LEN(AN185)&gt;7,ISNUMBER(VALUE(LEFT(AN185,6))),MID(AN185,7,1)=" "),LEFT(AN185,6),AN185),"")</f>
        <v/>
      </c>
    </row>
    <row r="186" customFormat="false" ht="15" hidden="false" customHeight="false" outlineLevel="0" collapsed="false">
      <c r="D186" s="36" t="str">
        <f aca="false">TRIM(A186)</f>
        <v/>
      </c>
      <c r="E186" s="36" t="str">
        <f aca="false">IF(D186="Revenue","Revenue",IF(D186="Cost of Goods Sold","COGS",IF(D186="Expenditures","Expense",IF(D186="Other Revenue","Other Revenue",IF(D186="Other Expenditures","Other Expense",E185)))))</f>
        <v/>
      </c>
      <c r="F186" s="36" t="str">
        <f aca="false">IF(OR(D186="Revenue",D186="Cost of Goods Sold",D186="Expenditures",D186="Other Revenue",D186="Other Expenditures"),E186,IF(AND(LEN(D186)&gt;2,MID(D186,2,1)=" ",ISNUMBER(VALUE(LEFT(D186,1)))),D186,F185))</f>
        <v/>
      </c>
      <c r="G186" s="36" t="n">
        <f aca="false">IF(AND(D186&lt;&gt;"",ISNUMBER(B186),LEFT(D186,9)&lt;&gt;"Total for",D186&lt;&gt;"Gross Profit",D186&lt;&gt;"Net Operating Revenue",D186&lt;&gt;"Net Other Revenue",D186&lt;&gt;"Net Revenue"),1,0)</f>
        <v>0</v>
      </c>
      <c r="H186" s="36" t="str">
        <f aca="false">IF(G186=1,IF(AND(LEN(D186)&gt;7,ISNUMBER(VALUE(LEFT(D186,6))),MID(D186,7,1)=" "),LEFT(D186,6),D186),"")</f>
        <v/>
      </c>
      <c r="M186" s="36" t="str">
        <f aca="false">TRIM(J186)</f>
        <v/>
      </c>
      <c r="N186" s="36" t="str">
        <f aca="false">IF(M186="Revenue","Revenue",IF(M186="Cost of Goods Sold","COGS",IF(M186="Expenditures","Expense",IF(M186="Other Revenue","Other Revenue",IF(M186="Other Expenditures","Other Expense",N185)))))</f>
        <v/>
      </c>
      <c r="O186" s="36" t="str">
        <f aca="false">IF(OR(M186="Revenue",M186="Cost of Goods Sold",M186="Expenditures",M186="Other Revenue",M186="Other Expenditures"),N186,IF(AND(LEN(M186)&gt;2,MID(M186,2,1)=" ",ISNUMBER(VALUE(LEFT(M186,1)))),M186,O185))</f>
        <v/>
      </c>
      <c r="P186" s="36" t="n">
        <f aca="false">IF(AND(M186&lt;&gt;"",ISNUMBER(K186),LEFT(M186,9)&lt;&gt;"Total for",M186&lt;&gt;"Gross Profit",M186&lt;&gt;"Net Operating Revenue",M186&lt;&gt;"Net Other Revenue",M186&lt;&gt;"Net Revenue"),1,0)</f>
        <v>0</v>
      </c>
      <c r="Q186" s="36" t="str">
        <f aca="false">IF(P186=1,IF(AND(LEN(M186)&gt;7,ISNUMBER(VALUE(LEFT(M186,6))),MID(M186,7,1)=" "),LEFT(M186,6),M186),"")</f>
        <v/>
      </c>
      <c r="V186" s="36" t="str">
        <f aca="false">TRIM(S186)</f>
        <v/>
      </c>
      <c r="W186" s="36" t="str">
        <f aca="false">IF(V186="Revenue","Revenue",IF(V186="Cost of Goods Sold","COGS",IF(V186="Expenditures","Expense",IF(V186="Other Revenue","Other Revenue",IF(V186="Other Expenditures","Other Expense",W185)))))</f>
        <v/>
      </c>
      <c r="X186" s="36" t="str">
        <f aca="false">IF(OR(V186="Revenue",V186="Cost of Goods Sold",V186="Expenditures",V186="Other Revenue",V186="Other Expenditures"),W186,IF(AND(LEN(V186)&gt;2,MID(V186,2,1)=" ",ISNUMBER(VALUE(LEFT(V186,1)))),V186,X185))</f>
        <v/>
      </c>
      <c r="Y186" s="36" t="n">
        <f aca="false">IF(AND(V186&lt;&gt;"",ISNUMBER(T186),LEFT(V186,9)&lt;&gt;"Total for",V186&lt;&gt;"Gross Profit",V186&lt;&gt;"Net Operating Revenue",V186&lt;&gt;"Net Other Revenue",V186&lt;&gt;"Net Revenue"),1,0)</f>
        <v>0</v>
      </c>
      <c r="Z186" s="36" t="str">
        <f aca="false">IF(Y186=1,IF(AND(LEN(V186)&gt;7,ISNUMBER(VALUE(LEFT(V186,6))),MID(V186,7,1)=" "),LEFT(V186,6),V186),"")</f>
        <v/>
      </c>
      <c r="AE186" s="36" t="str">
        <f aca="false">TRIM(AB186)</f>
        <v/>
      </c>
      <c r="AF186" s="36" t="str">
        <f aca="false">IF(AE186="Revenue","Revenue",IF(AE186="Cost of Goods Sold","COGS",IF(AE186="Expenditures","Expense",IF(AE186="Other Revenue","Other Revenue",IF(AE186="Other Expenditures","Other Expense",AF185)))))</f>
        <v/>
      </c>
      <c r="AG186" s="36" t="str">
        <f aca="false">IF(OR(AE186="Revenue",AE186="Cost of Goods Sold",AE186="Expenditures",AE186="Other Revenue",AE186="Other Expenditures"),AF186,IF(AND(LEN(AE186)&gt;2,MID(AE186,2,1)=" ",ISNUMBER(VALUE(LEFT(AE186,1)))),AE186,AG185))</f>
        <v/>
      </c>
      <c r="AH186" s="36" t="n">
        <f aca="false">IF(AND(AE186&lt;&gt;"",ISNUMBER(AC186),LEFT(AE186,9)&lt;&gt;"Total for",AE186&lt;&gt;"Gross Profit",AE186&lt;&gt;"Net Operating Revenue",AE186&lt;&gt;"Net Other Revenue",AE186&lt;&gt;"Net Revenue"),1,0)</f>
        <v>0</v>
      </c>
      <c r="AI186" s="36" t="str">
        <f aca="false">IF(AH186=1,IF(AND(LEN(AE186)&gt;7,ISNUMBER(VALUE(LEFT(AE186,6))),MID(AE186,7,1)=" "),LEFT(AE186,6),AE186),"")</f>
        <v/>
      </c>
      <c r="AN186" s="36" t="str">
        <f aca="false">TRIM(AK186)</f>
        <v/>
      </c>
      <c r="AO186" s="36" t="str">
        <f aca="false">IF(AN186="Revenue","Revenue",IF(AN186="Cost of Goods Sold","COGS",IF(AN186="Expenditures","Expense",IF(AN186="Other Revenue","Other Revenue",IF(AN186="Other Expenditures","Other Expense",AO185)))))</f>
        <v/>
      </c>
      <c r="AP186" s="36" t="str">
        <f aca="false">IF(OR(AN186="Revenue",AN186="Cost of Goods Sold",AN186="Expenditures",AN186="Other Revenue",AN186="Other Expenditures"),AO186,IF(AND(LEN(AN186)&gt;2,MID(AN186,2,1)=" ",ISNUMBER(VALUE(LEFT(AN186,1)))),AN186,AP185))</f>
        <v/>
      </c>
      <c r="AQ186" s="36" t="n">
        <f aca="false">IF(AND(AN186&lt;&gt;"",ISNUMBER(AL186),LEFT(AN186,9)&lt;&gt;"Total for",AN186&lt;&gt;"Gross Profit",AN186&lt;&gt;"Net Operating Revenue",AN186&lt;&gt;"Net Other Revenue",AN186&lt;&gt;"Net Revenue"),1,0)</f>
        <v>0</v>
      </c>
      <c r="AR186" s="36" t="str">
        <f aca="false">IF(AQ186=1,IF(AND(LEN(AN186)&gt;7,ISNUMBER(VALUE(LEFT(AN186,6))),MID(AN186,7,1)=" "),LEFT(AN186,6),AN186),"")</f>
        <v/>
      </c>
    </row>
    <row r="187" customFormat="false" ht="15" hidden="false" customHeight="false" outlineLevel="0" collapsed="false">
      <c r="D187" s="36" t="str">
        <f aca="false">TRIM(A187)</f>
        <v/>
      </c>
      <c r="E187" s="36" t="str">
        <f aca="false">IF(D187="Revenue","Revenue",IF(D187="Cost of Goods Sold","COGS",IF(D187="Expenditures","Expense",IF(D187="Other Revenue","Other Revenue",IF(D187="Other Expenditures","Other Expense",E186)))))</f>
        <v/>
      </c>
      <c r="F187" s="36" t="str">
        <f aca="false">IF(OR(D187="Revenue",D187="Cost of Goods Sold",D187="Expenditures",D187="Other Revenue",D187="Other Expenditures"),E187,IF(AND(LEN(D187)&gt;2,MID(D187,2,1)=" ",ISNUMBER(VALUE(LEFT(D187,1)))),D187,F186))</f>
        <v/>
      </c>
      <c r="G187" s="36" t="n">
        <f aca="false">IF(AND(D187&lt;&gt;"",ISNUMBER(B187),LEFT(D187,9)&lt;&gt;"Total for",D187&lt;&gt;"Gross Profit",D187&lt;&gt;"Net Operating Revenue",D187&lt;&gt;"Net Other Revenue",D187&lt;&gt;"Net Revenue"),1,0)</f>
        <v>0</v>
      </c>
      <c r="H187" s="36" t="str">
        <f aca="false">IF(G187=1,IF(AND(LEN(D187)&gt;7,ISNUMBER(VALUE(LEFT(D187,6))),MID(D187,7,1)=" "),LEFT(D187,6),D187),"")</f>
        <v/>
      </c>
      <c r="M187" s="36" t="str">
        <f aca="false">TRIM(J187)</f>
        <v/>
      </c>
      <c r="N187" s="36" t="str">
        <f aca="false">IF(M187="Revenue","Revenue",IF(M187="Cost of Goods Sold","COGS",IF(M187="Expenditures","Expense",IF(M187="Other Revenue","Other Revenue",IF(M187="Other Expenditures","Other Expense",N186)))))</f>
        <v/>
      </c>
      <c r="O187" s="36" t="str">
        <f aca="false">IF(OR(M187="Revenue",M187="Cost of Goods Sold",M187="Expenditures",M187="Other Revenue",M187="Other Expenditures"),N187,IF(AND(LEN(M187)&gt;2,MID(M187,2,1)=" ",ISNUMBER(VALUE(LEFT(M187,1)))),M187,O186))</f>
        <v/>
      </c>
      <c r="P187" s="36" t="n">
        <f aca="false">IF(AND(M187&lt;&gt;"",ISNUMBER(K187),LEFT(M187,9)&lt;&gt;"Total for",M187&lt;&gt;"Gross Profit",M187&lt;&gt;"Net Operating Revenue",M187&lt;&gt;"Net Other Revenue",M187&lt;&gt;"Net Revenue"),1,0)</f>
        <v>0</v>
      </c>
      <c r="Q187" s="36" t="str">
        <f aca="false">IF(P187=1,IF(AND(LEN(M187)&gt;7,ISNUMBER(VALUE(LEFT(M187,6))),MID(M187,7,1)=" "),LEFT(M187,6),M187),"")</f>
        <v/>
      </c>
      <c r="V187" s="36" t="str">
        <f aca="false">TRIM(S187)</f>
        <v/>
      </c>
      <c r="W187" s="36" t="str">
        <f aca="false">IF(V187="Revenue","Revenue",IF(V187="Cost of Goods Sold","COGS",IF(V187="Expenditures","Expense",IF(V187="Other Revenue","Other Revenue",IF(V187="Other Expenditures","Other Expense",W186)))))</f>
        <v/>
      </c>
      <c r="X187" s="36" t="str">
        <f aca="false">IF(OR(V187="Revenue",V187="Cost of Goods Sold",V187="Expenditures",V187="Other Revenue",V187="Other Expenditures"),W187,IF(AND(LEN(V187)&gt;2,MID(V187,2,1)=" ",ISNUMBER(VALUE(LEFT(V187,1)))),V187,X186))</f>
        <v/>
      </c>
      <c r="Y187" s="36" t="n">
        <f aca="false">IF(AND(V187&lt;&gt;"",ISNUMBER(T187),LEFT(V187,9)&lt;&gt;"Total for",V187&lt;&gt;"Gross Profit",V187&lt;&gt;"Net Operating Revenue",V187&lt;&gt;"Net Other Revenue",V187&lt;&gt;"Net Revenue"),1,0)</f>
        <v>0</v>
      </c>
      <c r="Z187" s="36" t="str">
        <f aca="false">IF(Y187=1,IF(AND(LEN(V187)&gt;7,ISNUMBER(VALUE(LEFT(V187,6))),MID(V187,7,1)=" "),LEFT(V187,6),V187),"")</f>
        <v/>
      </c>
      <c r="AE187" s="36" t="str">
        <f aca="false">TRIM(AB187)</f>
        <v/>
      </c>
      <c r="AF187" s="36" t="str">
        <f aca="false">IF(AE187="Revenue","Revenue",IF(AE187="Cost of Goods Sold","COGS",IF(AE187="Expenditures","Expense",IF(AE187="Other Revenue","Other Revenue",IF(AE187="Other Expenditures","Other Expense",AF186)))))</f>
        <v/>
      </c>
      <c r="AG187" s="36" t="str">
        <f aca="false">IF(OR(AE187="Revenue",AE187="Cost of Goods Sold",AE187="Expenditures",AE187="Other Revenue",AE187="Other Expenditures"),AF187,IF(AND(LEN(AE187)&gt;2,MID(AE187,2,1)=" ",ISNUMBER(VALUE(LEFT(AE187,1)))),AE187,AG186))</f>
        <v/>
      </c>
      <c r="AH187" s="36" t="n">
        <f aca="false">IF(AND(AE187&lt;&gt;"",ISNUMBER(AC187),LEFT(AE187,9)&lt;&gt;"Total for",AE187&lt;&gt;"Gross Profit",AE187&lt;&gt;"Net Operating Revenue",AE187&lt;&gt;"Net Other Revenue",AE187&lt;&gt;"Net Revenue"),1,0)</f>
        <v>0</v>
      </c>
      <c r="AI187" s="36" t="str">
        <f aca="false">IF(AH187=1,IF(AND(LEN(AE187)&gt;7,ISNUMBER(VALUE(LEFT(AE187,6))),MID(AE187,7,1)=" "),LEFT(AE187,6),AE187),"")</f>
        <v/>
      </c>
      <c r="AN187" s="36" t="str">
        <f aca="false">TRIM(AK187)</f>
        <v/>
      </c>
      <c r="AO187" s="36" t="str">
        <f aca="false">IF(AN187="Revenue","Revenue",IF(AN187="Cost of Goods Sold","COGS",IF(AN187="Expenditures","Expense",IF(AN187="Other Revenue","Other Revenue",IF(AN187="Other Expenditures","Other Expense",AO186)))))</f>
        <v/>
      </c>
      <c r="AP187" s="36" t="str">
        <f aca="false">IF(OR(AN187="Revenue",AN187="Cost of Goods Sold",AN187="Expenditures",AN187="Other Revenue",AN187="Other Expenditures"),AO187,IF(AND(LEN(AN187)&gt;2,MID(AN187,2,1)=" ",ISNUMBER(VALUE(LEFT(AN187,1)))),AN187,AP186))</f>
        <v/>
      </c>
      <c r="AQ187" s="36" t="n">
        <f aca="false">IF(AND(AN187&lt;&gt;"",ISNUMBER(AL187),LEFT(AN187,9)&lt;&gt;"Total for",AN187&lt;&gt;"Gross Profit",AN187&lt;&gt;"Net Operating Revenue",AN187&lt;&gt;"Net Other Revenue",AN187&lt;&gt;"Net Revenue"),1,0)</f>
        <v>0</v>
      </c>
      <c r="AR187" s="36" t="str">
        <f aca="false">IF(AQ187=1,IF(AND(LEN(AN187)&gt;7,ISNUMBER(VALUE(LEFT(AN187,6))),MID(AN187,7,1)=" "),LEFT(AN187,6),AN187),"")</f>
        <v/>
      </c>
    </row>
    <row r="188" customFormat="false" ht="15" hidden="false" customHeight="false" outlineLevel="0" collapsed="false">
      <c r="D188" s="36" t="str">
        <f aca="false">TRIM(A188)</f>
        <v/>
      </c>
      <c r="E188" s="36" t="str">
        <f aca="false">IF(D188="Revenue","Revenue",IF(D188="Cost of Goods Sold","COGS",IF(D188="Expenditures","Expense",IF(D188="Other Revenue","Other Revenue",IF(D188="Other Expenditures","Other Expense",E187)))))</f>
        <v/>
      </c>
      <c r="F188" s="36" t="str">
        <f aca="false">IF(OR(D188="Revenue",D188="Cost of Goods Sold",D188="Expenditures",D188="Other Revenue",D188="Other Expenditures"),E188,IF(AND(LEN(D188)&gt;2,MID(D188,2,1)=" ",ISNUMBER(VALUE(LEFT(D188,1)))),D188,F187))</f>
        <v/>
      </c>
      <c r="G188" s="36" t="n">
        <f aca="false">IF(AND(D188&lt;&gt;"",ISNUMBER(B188),LEFT(D188,9)&lt;&gt;"Total for",D188&lt;&gt;"Gross Profit",D188&lt;&gt;"Net Operating Revenue",D188&lt;&gt;"Net Other Revenue",D188&lt;&gt;"Net Revenue"),1,0)</f>
        <v>0</v>
      </c>
      <c r="H188" s="36" t="str">
        <f aca="false">IF(G188=1,IF(AND(LEN(D188)&gt;7,ISNUMBER(VALUE(LEFT(D188,6))),MID(D188,7,1)=" "),LEFT(D188,6),D188),"")</f>
        <v/>
      </c>
      <c r="M188" s="36" t="str">
        <f aca="false">TRIM(J188)</f>
        <v/>
      </c>
      <c r="N188" s="36" t="str">
        <f aca="false">IF(M188="Revenue","Revenue",IF(M188="Cost of Goods Sold","COGS",IF(M188="Expenditures","Expense",IF(M188="Other Revenue","Other Revenue",IF(M188="Other Expenditures","Other Expense",N187)))))</f>
        <v/>
      </c>
      <c r="O188" s="36" t="str">
        <f aca="false">IF(OR(M188="Revenue",M188="Cost of Goods Sold",M188="Expenditures",M188="Other Revenue",M188="Other Expenditures"),N188,IF(AND(LEN(M188)&gt;2,MID(M188,2,1)=" ",ISNUMBER(VALUE(LEFT(M188,1)))),M188,O187))</f>
        <v/>
      </c>
      <c r="P188" s="36" t="n">
        <f aca="false">IF(AND(M188&lt;&gt;"",ISNUMBER(K188),LEFT(M188,9)&lt;&gt;"Total for",M188&lt;&gt;"Gross Profit",M188&lt;&gt;"Net Operating Revenue",M188&lt;&gt;"Net Other Revenue",M188&lt;&gt;"Net Revenue"),1,0)</f>
        <v>0</v>
      </c>
      <c r="Q188" s="36" t="str">
        <f aca="false">IF(P188=1,IF(AND(LEN(M188)&gt;7,ISNUMBER(VALUE(LEFT(M188,6))),MID(M188,7,1)=" "),LEFT(M188,6),M188),"")</f>
        <v/>
      </c>
      <c r="V188" s="36" t="str">
        <f aca="false">TRIM(S188)</f>
        <v/>
      </c>
      <c r="W188" s="36" t="str">
        <f aca="false">IF(V188="Revenue","Revenue",IF(V188="Cost of Goods Sold","COGS",IF(V188="Expenditures","Expense",IF(V188="Other Revenue","Other Revenue",IF(V188="Other Expenditures","Other Expense",W187)))))</f>
        <v/>
      </c>
      <c r="X188" s="36" t="str">
        <f aca="false">IF(OR(V188="Revenue",V188="Cost of Goods Sold",V188="Expenditures",V188="Other Revenue",V188="Other Expenditures"),W188,IF(AND(LEN(V188)&gt;2,MID(V188,2,1)=" ",ISNUMBER(VALUE(LEFT(V188,1)))),V188,X187))</f>
        <v/>
      </c>
      <c r="Y188" s="36" t="n">
        <f aca="false">IF(AND(V188&lt;&gt;"",ISNUMBER(T188),LEFT(V188,9)&lt;&gt;"Total for",V188&lt;&gt;"Gross Profit",V188&lt;&gt;"Net Operating Revenue",V188&lt;&gt;"Net Other Revenue",V188&lt;&gt;"Net Revenue"),1,0)</f>
        <v>0</v>
      </c>
      <c r="Z188" s="36" t="str">
        <f aca="false">IF(Y188=1,IF(AND(LEN(V188)&gt;7,ISNUMBER(VALUE(LEFT(V188,6))),MID(V188,7,1)=" "),LEFT(V188,6),V188),"")</f>
        <v/>
      </c>
      <c r="AE188" s="36" t="str">
        <f aca="false">TRIM(AB188)</f>
        <v/>
      </c>
      <c r="AF188" s="36" t="str">
        <f aca="false">IF(AE188="Revenue","Revenue",IF(AE188="Cost of Goods Sold","COGS",IF(AE188="Expenditures","Expense",IF(AE188="Other Revenue","Other Revenue",IF(AE188="Other Expenditures","Other Expense",AF187)))))</f>
        <v/>
      </c>
      <c r="AG188" s="36" t="str">
        <f aca="false">IF(OR(AE188="Revenue",AE188="Cost of Goods Sold",AE188="Expenditures",AE188="Other Revenue",AE188="Other Expenditures"),AF188,IF(AND(LEN(AE188)&gt;2,MID(AE188,2,1)=" ",ISNUMBER(VALUE(LEFT(AE188,1)))),AE188,AG187))</f>
        <v/>
      </c>
      <c r="AH188" s="36" t="n">
        <f aca="false">IF(AND(AE188&lt;&gt;"",ISNUMBER(AC188),LEFT(AE188,9)&lt;&gt;"Total for",AE188&lt;&gt;"Gross Profit",AE188&lt;&gt;"Net Operating Revenue",AE188&lt;&gt;"Net Other Revenue",AE188&lt;&gt;"Net Revenue"),1,0)</f>
        <v>0</v>
      </c>
      <c r="AI188" s="36" t="str">
        <f aca="false">IF(AH188=1,IF(AND(LEN(AE188)&gt;7,ISNUMBER(VALUE(LEFT(AE188,6))),MID(AE188,7,1)=" "),LEFT(AE188,6),AE188),"")</f>
        <v/>
      </c>
      <c r="AN188" s="36" t="str">
        <f aca="false">TRIM(AK188)</f>
        <v/>
      </c>
      <c r="AO188" s="36" t="str">
        <f aca="false">IF(AN188="Revenue","Revenue",IF(AN188="Cost of Goods Sold","COGS",IF(AN188="Expenditures","Expense",IF(AN188="Other Revenue","Other Revenue",IF(AN188="Other Expenditures","Other Expense",AO187)))))</f>
        <v/>
      </c>
      <c r="AP188" s="36" t="str">
        <f aca="false">IF(OR(AN188="Revenue",AN188="Cost of Goods Sold",AN188="Expenditures",AN188="Other Revenue",AN188="Other Expenditures"),AO188,IF(AND(LEN(AN188)&gt;2,MID(AN188,2,1)=" ",ISNUMBER(VALUE(LEFT(AN188,1)))),AN188,AP187))</f>
        <v/>
      </c>
      <c r="AQ188" s="36" t="n">
        <f aca="false">IF(AND(AN188&lt;&gt;"",ISNUMBER(AL188),LEFT(AN188,9)&lt;&gt;"Total for",AN188&lt;&gt;"Gross Profit",AN188&lt;&gt;"Net Operating Revenue",AN188&lt;&gt;"Net Other Revenue",AN188&lt;&gt;"Net Revenue"),1,0)</f>
        <v>0</v>
      </c>
      <c r="AR188" s="36" t="str">
        <f aca="false">IF(AQ188=1,IF(AND(LEN(AN188)&gt;7,ISNUMBER(VALUE(LEFT(AN188,6))),MID(AN188,7,1)=" "),LEFT(AN188,6),AN188),"")</f>
        <v/>
      </c>
    </row>
    <row r="189" customFormat="false" ht="15" hidden="false" customHeight="false" outlineLevel="0" collapsed="false">
      <c r="D189" s="36" t="str">
        <f aca="false">TRIM(A189)</f>
        <v/>
      </c>
      <c r="E189" s="36" t="str">
        <f aca="false">IF(D189="Revenue","Revenue",IF(D189="Cost of Goods Sold","COGS",IF(D189="Expenditures","Expense",IF(D189="Other Revenue","Other Revenue",IF(D189="Other Expenditures","Other Expense",E188)))))</f>
        <v/>
      </c>
      <c r="F189" s="36" t="str">
        <f aca="false">IF(OR(D189="Revenue",D189="Cost of Goods Sold",D189="Expenditures",D189="Other Revenue",D189="Other Expenditures"),E189,IF(AND(LEN(D189)&gt;2,MID(D189,2,1)=" ",ISNUMBER(VALUE(LEFT(D189,1)))),D189,F188))</f>
        <v/>
      </c>
      <c r="G189" s="36" t="n">
        <f aca="false">IF(AND(D189&lt;&gt;"",ISNUMBER(B189),LEFT(D189,9)&lt;&gt;"Total for",D189&lt;&gt;"Gross Profit",D189&lt;&gt;"Net Operating Revenue",D189&lt;&gt;"Net Other Revenue",D189&lt;&gt;"Net Revenue"),1,0)</f>
        <v>0</v>
      </c>
      <c r="H189" s="36" t="str">
        <f aca="false">IF(G189=1,IF(AND(LEN(D189)&gt;7,ISNUMBER(VALUE(LEFT(D189,6))),MID(D189,7,1)=" "),LEFT(D189,6),D189),"")</f>
        <v/>
      </c>
      <c r="M189" s="36" t="str">
        <f aca="false">TRIM(J189)</f>
        <v/>
      </c>
      <c r="N189" s="36" t="str">
        <f aca="false">IF(M189="Revenue","Revenue",IF(M189="Cost of Goods Sold","COGS",IF(M189="Expenditures","Expense",IF(M189="Other Revenue","Other Revenue",IF(M189="Other Expenditures","Other Expense",N188)))))</f>
        <v/>
      </c>
      <c r="O189" s="36" t="str">
        <f aca="false">IF(OR(M189="Revenue",M189="Cost of Goods Sold",M189="Expenditures",M189="Other Revenue",M189="Other Expenditures"),N189,IF(AND(LEN(M189)&gt;2,MID(M189,2,1)=" ",ISNUMBER(VALUE(LEFT(M189,1)))),M189,O188))</f>
        <v/>
      </c>
      <c r="P189" s="36" t="n">
        <f aca="false">IF(AND(M189&lt;&gt;"",ISNUMBER(K189),LEFT(M189,9)&lt;&gt;"Total for",M189&lt;&gt;"Gross Profit",M189&lt;&gt;"Net Operating Revenue",M189&lt;&gt;"Net Other Revenue",M189&lt;&gt;"Net Revenue"),1,0)</f>
        <v>0</v>
      </c>
      <c r="Q189" s="36" t="str">
        <f aca="false">IF(P189=1,IF(AND(LEN(M189)&gt;7,ISNUMBER(VALUE(LEFT(M189,6))),MID(M189,7,1)=" "),LEFT(M189,6),M189),"")</f>
        <v/>
      </c>
      <c r="V189" s="36" t="str">
        <f aca="false">TRIM(S189)</f>
        <v/>
      </c>
      <c r="W189" s="36" t="str">
        <f aca="false">IF(V189="Revenue","Revenue",IF(V189="Cost of Goods Sold","COGS",IF(V189="Expenditures","Expense",IF(V189="Other Revenue","Other Revenue",IF(V189="Other Expenditures","Other Expense",W188)))))</f>
        <v/>
      </c>
      <c r="X189" s="36" t="str">
        <f aca="false">IF(OR(V189="Revenue",V189="Cost of Goods Sold",V189="Expenditures",V189="Other Revenue",V189="Other Expenditures"),W189,IF(AND(LEN(V189)&gt;2,MID(V189,2,1)=" ",ISNUMBER(VALUE(LEFT(V189,1)))),V189,X188))</f>
        <v/>
      </c>
      <c r="Y189" s="36" t="n">
        <f aca="false">IF(AND(V189&lt;&gt;"",ISNUMBER(T189),LEFT(V189,9)&lt;&gt;"Total for",V189&lt;&gt;"Gross Profit",V189&lt;&gt;"Net Operating Revenue",V189&lt;&gt;"Net Other Revenue",V189&lt;&gt;"Net Revenue"),1,0)</f>
        <v>0</v>
      </c>
      <c r="Z189" s="36" t="str">
        <f aca="false">IF(Y189=1,IF(AND(LEN(V189)&gt;7,ISNUMBER(VALUE(LEFT(V189,6))),MID(V189,7,1)=" "),LEFT(V189,6),V189),"")</f>
        <v/>
      </c>
      <c r="AE189" s="36" t="str">
        <f aca="false">TRIM(AB189)</f>
        <v/>
      </c>
      <c r="AF189" s="36" t="str">
        <f aca="false">IF(AE189="Revenue","Revenue",IF(AE189="Cost of Goods Sold","COGS",IF(AE189="Expenditures","Expense",IF(AE189="Other Revenue","Other Revenue",IF(AE189="Other Expenditures","Other Expense",AF188)))))</f>
        <v/>
      </c>
      <c r="AG189" s="36" t="str">
        <f aca="false">IF(OR(AE189="Revenue",AE189="Cost of Goods Sold",AE189="Expenditures",AE189="Other Revenue",AE189="Other Expenditures"),AF189,IF(AND(LEN(AE189)&gt;2,MID(AE189,2,1)=" ",ISNUMBER(VALUE(LEFT(AE189,1)))),AE189,AG188))</f>
        <v/>
      </c>
      <c r="AH189" s="36" t="n">
        <f aca="false">IF(AND(AE189&lt;&gt;"",ISNUMBER(AC189),LEFT(AE189,9)&lt;&gt;"Total for",AE189&lt;&gt;"Gross Profit",AE189&lt;&gt;"Net Operating Revenue",AE189&lt;&gt;"Net Other Revenue",AE189&lt;&gt;"Net Revenue"),1,0)</f>
        <v>0</v>
      </c>
      <c r="AI189" s="36" t="str">
        <f aca="false">IF(AH189=1,IF(AND(LEN(AE189)&gt;7,ISNUMBER(VALUE(LEFT(AE189,6))),MID(AE189,7,1)=" "),LEFT(AE189,6),AE189),"")</f>
        <v/>
      </c>
      <c r="AN189" s="36" t="str">
        <f aca="false">TRIM(AK189)</f>
        <v/>
      </c>
      <c r="AO189" s="36" t="str">
        <f aca="false">IF(AN189="Revenue","Revenue",IF(AN189="Cost of Goods Sold","COGS",IF(AN189="Expenditures","Expense",IF(AN189="Other Revenue","Other Revenue",IF(AN189="Other Expenditures","Other Expense",AO188)))))</f>
        <v/>
      </c>
      <c r="AP189" s="36" t="str">
        <f aca="false">IF(OR(AN189="Revenue",AN189="Cost of Goods Sold",AN189="Expenditures",AN189="Other Revenue",AN189="Other Expenditures"),AO189,IF(AND(LEN(AN189)&gt;2,MID(AN189,2,1)=" ",ISNUMBER(VALUE(LEFT(AN189,1)))),AN189,AP188))</f>
        <v/>
      </c>
      <c r="AQ189" s="36" t="n">
        <f aca="false">IF(AND(AN189&lt;&gt;"",ISNUMBER(AL189),LEFT(AN189,9)&lt;&gt;"Total for",AN189&lt;&gt;"Gross Profit",AN189&lt;&gt;"Net Operating Revenue",AN189&lt;&gt;"Net Other Revenue",AN189&lt;&gt;"Net Revenue"),1,0)</f>
        <v>0</v>
      </c>
      <c r="AR189" s="36" t="str">
        <f aca="false">IF(AQ189=1,IF(AND(LEN(AN189)&gt;7,ISNUMBER(VALUE(LEFT(AN189,6))),MID(AN189,7,1)=" "),LEFT(AN189,6),AN189),"")</f>
        <v/>
      </c>
    </row>
    <row r="190" customFormat="false" ht="15" hidden="false" customHeight="false" outlineLevel="0" collapsed="false">
      <c r="D190" s="36" t="str">
        <f aca="false">TRIM(A190)</f>
        <v/>
      </c>
      <c r="E190" s="36" t="str">
        <f aca="false">IF(D190="Revenue","Revenue",IF(D190="Cost of Goods Sold","COGS",IF(D190="Expenditures","Expense",IF(D190="Other Revenue","Other Revenue",IF(D190="Other Expenditures","Other Expense",E189)))))</f>
        <v/>
      </c>
      <c r="F190" s="36" t="str">
        <f aca="false">IF(OR(D190="Revenue",D190="Cost of Goods Sold",D190="Expenditures",D190="Other Revenue",D190="Other Expenditures"),E190,IF(AND(LEN(D190)&gt;2,MID(D190,2,1)=" ",ISNUMBER(VALUE(LEFT(D190,1)))),D190,F189))</f>
        <v/>
      </c>
      <c r="G190" s="36" t="n">
        <f aca="false">IF(AND(D190&lt;&gt;"",ISNUMBER(B190),LEFT(D190,9)&lt;&gt;"Total for",D190&lt;&gt;"Gross Profit",D190&lt;&gt;"Net Operating Revenue",D190&lt;&gt;"Net Other Revenue",D190&lt;&gt;"Net Revenue"),1,0)</f>
        <v>0</v>
      </c>
      <c r="H190" s="36" t="str">
        <f aca="false">IF(G190=1,IF(AND(LEN(D190)&gt;7,ISNUMBER(VALUE(LEFT(D190,6))),MID(D190,7,1)=" "),LEFT(D190,6),D190),"")</f>
        <v/>
      </c>
      <c r="M190" s="36" t="str">
        <f aca="false">TRIM(J190)</f>
        <v/>
      </c>
      <c r="N190" s="36" t="str">
        <f aca="false">IF(M190="Revenue","Revenue",IF(M190="Cost of Goods Sold","COGS",IF(M190="Expenditures","Expense",IF(M190="Other Revenue","Other Revenue",IF(M190="Other Expenditures","Other Expense",N189)))))</f>
        <v/>
      </c>
      <c r="O190" s="36" t="str">
        <f aca="false">IF(OR(M190="Revenue",M190="Cost of Goods Sold",M190="Expenditures",M190="Other Revenue",M190="Other Expenditures"),N190,IF(AND(LEN(M190)&gt;2,MID(M190,2,1)=" ",ISNUMBER(VALUE(LEFT(M190,1)))),M190,O189))</f>
        <v/>
      </c>
      <c r="P190" s="36" t="n">
        <f aca="false">IF(AND(M190&lt;&gt;"",ISNUMBER(K190),LEFT(M190,9)&lt;&gt;"Total for",M190&lt;&gt;"Gross Profit",M190&lt;&gt;"Net Operating Revenue",M190&lt;&gt;"Net Other Revenue",M190&lt;&gt;"Net Revenue"),1,0)</f>
        <v>0</v>
      </c>
      <c r="Q190" s="36" t="str">
        <f aca="false">IF(P190=1,IF(AND(LEN(M190)&gt;7,ISNUMBER(VALUE(LEFT(M190,6))),MID(M190,7,1)=" "),LEFT(M190,6),M190),"")</f>
        <v/>
      </c>
      <c r="V190" s="36" t="str">
        <f aca="false">TRIM(S190)</f>
        <v/>
      </c>
      <c r="W190" s="36" t="str">
        <f aca="false">IF(V190="Revenue","Revenue",IF(V190="Cost of Goods Sold","COGS",IF(V190="Expenditures","Expense",IF(V190="Other Revenue","Other Revenue",IF(V190="Other Expenditures","Other Expense",W189)))))</f>
        <v/>
      </c>
      <c r="X190" s="36" t="str">
        <f aca="false">IF(OR(V190="Revenue",V190="Cost of Goods Sold",V190="Expenditures",V190="Other Revenue",V190="Other Expenditures"),W190,IF(AND(LEN(V190)&gt;2,MID(V190,2,1)=" ",ISNUMBER(VALUE(LEFT(V190,1)))),V190,X189))</f>
        <v/>
      </c>
      <c r="Y190" s="36" t="n">
        <f aca="false">IF(AND(V190&lt;&gt;"",ISNUMBER(T190),LEFT(V190,9)&lt;&gt;"Total for",V190&lt;&gt;"Gross Profit",V190&lt;&gt;"Net Operating Revenue",V190&lt;&gt;"Net Other Revenue",V190&lt;&gt;"Net Revenue"),1,0)</f>
        <v>0</v>
      </c>
      <c r="Z190" s="36" t="str">
        <f aca="false">IF(Y190=1,IF(AND(LEN(V190)&gt;7,ISNUMBER(VALUE(LEFT(V190,6))),MID(V190,7,1)=" "),LEFT(V190,6),V190),"")</f>
        <v/>
      </c>
      <c r="AE190" s="36" t="str">
        <f aca="false">TRIM(AB190)</f>
        <v/>
      </c>
      <c r="AF190" s="36" t="str">
        <f aca="false">IF(AE190="Revenue","Revenue",IF(AE190="Cost of Goods Sold","COGS",IF(AE190="Expenditures","Expense",IF(AE190="Other Revenue","Other Revenue",IF(AE190="Other Expenditures","Other Expense",AF189)))))</f>
        <v/>
      </c>
      <c r="AG190" s="36" t="str">
        <f aca="false">IF(OR(AE190="Revenue",AE190="Cost of Goods Sold",AE190="Expenditures",AE190="Other Revenue",AE190="Other Expenditures"),AF190,IF(AND(LEN(AE190)&gt;2,MID(AE190,2,1)=" ",ISNUMBER(VALUE(LEFT(AE190,1)))),AE190,AG189))</f>
        <v/>
      </c>
      <c r="AH190" s="36" t="n">
        <f aca="false">IF(AND(AE190&lt;&gt;"",ISNUMBER(AC190),LEFT(AE190,9)&lt;&gt;"Total for",AE190&lt;&gt;"Gross Profit",AE190&lt;&gt;"Net Operating Revenue",AE190&lt;&gt;"Net Other Revenue",AE190&lt;&gt;"Net Revenue"),1,0)</f>
        <v>0</v>
      </c>
      <c r="AI190" s="36" t="str">
        <f aca="false">IF(AH190=1,IF(AND(LEN(AE190)&gt;7,ISNUMBER(VALUE(LEFT(AE190,6))),MID(AE190,7,1)=" "),LEFT(AE190,6),AE190),"")</f>
        <v/>
      </c>
      <c r="AN190" s="36" t="str">
        <f aca="false">TRIM(AK190)</f>
        <v/>
      </c>
      <c r="AO190" s="36" t="str">
        <f aca="false">IF(AN190="Revenue","Revenue",IF(AN190="Cost of Goods Sold","COGS",IF(AN190="Expenditures","Expense",IF(AN190="Other Revenue","Other Revenue",IF(AN190="Other Expenditures","Other Expense",AO189)))))</f>
        <v/>
      </c>
      <c r="AP190" s="36" t="str">
        <f aca="false">IF(OR(AN190="Revenue",AN190="Cost of Goods Sold",AN190="Expenditures",AN190="Other Revenue",AN190="Other Expenditures"),AO190,IF(AND(LEN(AN190)&gt;2,MID(AN190,2,1)=" ",ISNUMBER(VALUE(LEFT(AN190,1)))),AN190,AP189))</f>
        <v/>
      </c>
      <c r="AQ190" s="36" t="n">
        <f aca="false">IF(AND(AN190&lt;&gt;"",ISNUMBER(AL190),LEFT(AN190,9)&lt;&gt;"Total for",AN190&lt;&gt;"Gross Profit",AN190&lt;&gt;"Net Operating Revenue",AN190&lt;&gt;"Net Other Revenue",AN190&lt;&gt;"Net Revenue"),1,0)</f>
        <v>0</v>
      </c>
      <c r="AR190" s="36" t="str">
        <f aca="false">IF(AQ190=1,IF(AND(LEN(AN190)&gt;7,ISNUMBER(VALUE(LEFT(AN190,6))),MID(AN190,7,1)=" "),LEFT(AN190,6),AN190),"")</f>
        <v/>
      </c>
    </row>
    <row r="191" customFormat="false" ht="15" hidden="false" customHeight="false" outlineLevel="0" collapsed="false">
      <c r="D191" s="36" t="str">
        <f aca="false">TRIM(A191)</f>
        <v/>
      </c>
      <c r="E191" s="36" t="str">
        <f aca="false">IF(D191="Revenue","Revenue",IF(D191="Cost of Goods Sold","COGS",IF(D191="Expenditures","Expense",IF(D191="Other Revenue","Other Revenue",IF(D191="Other Expenditures","Other Expense",E190)))))</f>
        <v/>
      </c>
      <c r="F191" s="36" t="str">
        <f aca="false">IF(OR(D191="Revenue",D191="Cost of Goods Sold",D191="Expenditures",D191="Other Revenue",D191="Other Expenditures"),E191,IF(AND(LEN(D191)&gt;2,MID(D191,2,1)=" ",ISNUMBER(VALUE(LEFT(D191,1)))),D191,F190))</f>
        <v/>
      </c>
      <c r="G191" s="36" t="n">
        <f aca="false">IF(AND(D191&lt;&gt;"",ISNUMBER(B191),LEFT(D191,9)&lt;&gt;"Total for",D191&lt;&gt;"Gross Profit",D191&lt;&gt;"Net Operating Revenue",D191&lt;&gt;"Net Other Revenue",D191&lt;&gt;"Net Revenue"),1,0)</f>
        <v>0</v>
      </c>
      <c r="H191" s="36" t="str">
        <f aca="false">IF(G191=1,IF(AND(LEN(D191)&gt;7,ISNUMBER(VALUE(LEFT(D191,6))),MID(D191,7,1)=" "),LEFT(D191,6),D191),"")</f>
        <v/>
      </c>
      <c r="M191" s="36" t="str">
        <f aca="false">TRIM(J191)</f>
        <v/>
      </c>
      <c r="N191" s="36" t="str">
        <f aca="false">IF(M191="Revenue","Revenue",IF(M191="Cost of Goods Sold","COGS",IF(M191="Expenditures","Expense",IF(M191="Other Revenue","Other Revenue",IF(M191="Other Expenditures","Other Expense",N190)))))</f>
        <v/>
      </c>
      <c r="O191" s="36" t="str">
        <f aca="false">IF(OR(M191="Revenue",M191="Cost of Goods Sold",M191="Expenditures",M191="Other Revenue",M191="Other Expenditures"),N191,IF(AND(LEN(M191)&gt;2,MID(M191,2,1)=" ",ISNUMBER(VALUE(LEFT(M191,1)))),M191,O190))</f>
        <v/>
      </c>
      <c r="P191" s="36" t="n">
        <f aca="false">IF(AND(M191&lt;&gt;"",ISNUMBER(K191),LEFT(M191,9)&lt;&gt;"Total for",M191&lt;&gt;"Gross Profit",M191&lt;&gt;"Net Operating Revenue",M191&lt;&gt;"Net Other Revenue",M191&lt;&gt;"Net Revenue"),1,0)</f>
        <v>0</v>
      </c>
      <c r="Q191" s="36" t="str">
        <f aca="false">IF(P191=1,IF(AND(LEN(M191)&gt;7,ISNUMBER(VALUE(LEFT(M191,6))),MID(M191,7,1)=" "),LEFT(M191,6),M191),"")</f>
        <v/>
      </c>
      <c r="V191" s="36" t="str">
        <f aca="false">TRIM(S191)</f>
        <v/>
      </c>
      <c r="W191" s="36" t="str">
        <f aca="false">IF(V191="Revenue","Revenue",IF(V191="Cost of Goods Sold","COGS",IF(V191="Expenditures","Expense",IF(V191="Other Revenue","Other Revenue",IF(V191="Other Expenditures","Other Expense",W190)))))</f>
        <v/>
      </c>
      <c r="X191" s="36" t="str">
        <f aca="false">IF(OR(V191="Revenue",V191="Cost of Goods Sold",V191="Expenditures",V191="Other Revenue",V191="Other Expenditures"),W191,IF(AND(LEN(V191)&gt;2,MID(V191,2,1)=" ",ISNUMBER(VALUE(LEFT(V191,1)))),V191,X190))</f>
        <v/>
      </c>
      <c r="Y191" s="36" t="n">
        <f aca="false">IF(AND(V191&lt;&gt;"",ISNUMBER(T191),LEFT(V191,9)&lt;&gt;"Total for",V191&lt;&gt;"Gross Profit",V191&lt;&gt;"Net Operating Revenue",V191&lt;&gt;"Net Other Revenue",V191&lt;&gt;"Net Revenue"),1,0)</f>
        <v>0</v>
      </c>
      <c r="Z191" s="36" t="str">
        <f aca="false">IF(Y191=1,IF(AND(LEN(V191)&gt;7,ISNUMBER(VALUE(LEFT(V191,6))),MID(V191,7,1)=" "),LEFT(V191,6),V191),"")</f>
        <v/>
      </c>
      <c r="AE191" s="36" t="str">
        <f aca="false">TRIM(AB191)</f>
        <v/>
      </c>
      <c r="AF191" s="36" t="str">
        <f aca="false">IF(AE191="Revenue","Revenue",IF(AE191="Cost of Goods Sold","COGS",IF(AE191="Expenditures","Expense",IF(AE191="Other Revenue","Other Revenue",IF(AE191="Other Expenditures","Other Expense",AF190)))))</f>
        <v/>
      </c>
      <c r="AG191" s="36" t="str">
        <f aca="false">IF(OR(AE191="Revenue",AE191="Cost of Goods Sold",AE191="Expenditures",AE191="Other Revenue",AE191="Other Expenditures"),AF191,IF(AND(LEN(AE191)&gt;2,MID(AE191,2,1)=" ",ISNUMBER(VALUE(LEFT(AE191,1)))),AE191,AG190))</f>
        <v/>
      </c>
      <c r="AH191" s="36" t="n">
        <f aca="false">IF(AND(AE191&lt;&gt;"",ISNUMBER(AC191),LEFT(AE191,9)&lt;&gt;"Total for",AE191&lt;&gt;"Gross Profit",AE191&lt;&gt;"Net Operating Revenue",AE191&lt;&gt;"Net Other Revenue",AE191&lt;&gt;"Net Revenue"),1,0)</f>
        <v>0</v>
      </c>
      <c r="AI191" s="36" t="str">
        <f aca="false">IF(AH191=1,IF(AND(LEN(AE191)&gt;7,ISNUMBER(VALUE(LEFT(AE191,6))),MID(AE191,7,1)=" "),LEFT(AE191,6),AE191),"")</f>
        <v/>
      </c>
      <c r="AN191" s="36" t="str">
        <f aca="false">TRIM(AK191)</f>
        <v/>
      </c>
      <c r="AO191" s="36" t="str">
        <f aca="false">IF(AN191="Revenue","Revenue",IF(AN191="Cost of Goods Sold","COGS",IF(AN191="Expenditures","Expense",IF(AN191="Other Revenue","Other Revenue",IF(AN191="Other Expenditures","Other Expense",AO190)))))</f>
        <v/>
      </c>
      <c r="AP191" s="36" t="str">
        <f aca="false">IF(OR(AN191="Revenue",AN191="Cost of Goods Sold",AN191="Expenditures",AN191="Other Revenue",AN191="Other Expenditures"),AO191,IF(AND(LEN(AN191)&gt;2,MID(AN191,2,1)=" ",ISNUMBER(VALUE(LEFT(AN191,1)))),AN191,AP190))</f>
        <v/>
      </c>
      <c r="AQ191" s="36" t="n">
        <f aca="false">IF(AND(AN191&lt;&gt;"",ISNUMBER(AL191),LEFT(AN191,9)&lt;&gt;"Total for",AN191&lt;&gt;"Gross Profit",AN191&lt;&gt;"Net Operating Revenue",AN191&lt;&gt;"Net Other Revenue",AN191&lt;&gt;"Net Revenue"),1,0)</f>
        <v>0</v>
      </c>
      <c r="AR191" s="36" t="str">
        <f aca="false">IF(AQ191=1,IF(AND(LEN(AN191)&gt;7,ISNUMBER(VALUE(LEFT(AN191,6))),MID(AN191,7,1)=" "),LEFT(AN191,6),AN191),"")</f>
        <v/>
      </c>
    </row>
    <row r="192" customFormat="false" ht="15" hidden="false" customHeight="false" outlineLevel="0" collapsed="false">
      <c r="D192" s="36" t="str">
        <f aca="false">TRIM(A192)</f>
        <v/>
      </c>
      <c r="E192" s="36" t="str">
        <f aca="false">IF(D192="Revenue","Revenue",IF(D192="Cost of Goods Sold","COGS",IF(D192="Expenditures","Expense",IF(D192="Other Revenue","Other Revenue",IF(D192="Other Expenditures","Other Expense",E191)))))</f>
        <v/>
      </c>
      <c r="F192" s="36" t="str">
        <f aca="false">IF(OR(D192="Revenue",D192="Cost of Goods Sold",D192="Expenditures",D192="Other Revenue",D192="Other Expenditures"),E192,IF(AND(LEN(D192)&gt;2,MID(D192,2,1)=" ",ISNUMBER(VALUE(LEFT(D192,1)))),D192,F191))</f>
        <v/>
      </c>
      <c r="G192" s="36" t="n">
        <f aca="false">IF(AND(D192&lt;&gt;"",ISNUMBER(B192),LEFT(D192,9)&lt;&gt;"Total for",D192&lt;&gt;"Gross Profit",D192&lt;&gt;"Net Operating Revenue",D192&lt;&gt;"Net Other Revenue",D192&lt;&gt;"Net Revenue"),1,0)</f>
        <v>0</v>
      </c>
      <c r="H192" s="36" t="str">
        <f aca="false">IF(G192=1,IF(AND(LEN(D192)&gt;7,ISNUMBER(VALUE(LEFT(D192,6))),MID(D192,7,1)=" "),LEFT(D192,6),D192),"")</f>
        <v/>
      </c>
      <c r="M192" s="36" t="str">
        <f aca="false">TRIM(J192)</f>
        <v/>
      </c>
      <c r="N192" s="36" t="str">
        <f aca="false">IF(M192="Revenue","Revenue",IF(M192="Cost of Goods Sold","COGS",IF(M192="Expenditures","Expense",IF(M192="Other Revenue","Other Revenue",IF(M192="Other Expenditures","Other Expense",N191)))))</f>
        <v/>
      </c>
      <c r="O192" s="36" t="str">
        <f aca="false">IF(OR(M192="Revenue",M192="Cost of Goods Sold",M192="Expenditures",M192="Other Revenue",M192="Other Expenditures"),N192,IF(AND(LEN(M192)&gt;2,MID(M192,2,1)=" ",ISNUMBER(VALUE(LEFT(M192,1)))),M192,O191))</f>
        <v/>
      </c>
      <c r="P192" s="36" t="n">
        <f aca="false">IF(AND(M192&lt;&gt;"",ISNUMBER(K192),LEFT(M192,9)&lt;&gt;"Total for",M192&lt;&gt;"Gross Profit",M192&lt;&gt;"Net Operating Revenue",M192&lt;&gt;"Net Other Revenue",M192&lt;&gt;"Net Revenue"),1,0)</f>
        <v>0</v>
      </c>
      <c r="Q192" s="36" t="str">
        <f aca="false">IF(P192=1,IF(AND(LEN(M192)&gt;7,ISNUMBER(VALUE(LEFT(M192,6))),MID(M192,7,1)=" "),LEFT(M192,6),M192),"")</f>
        <v/>
      </c>
      <c r="V192" s="36" t="str">
        <f aca="false">TRIM(S192)</f>
        <v/>
      </c>
      <c r="W192" s="36" t="str">
        <f aca="false">IF(V192="Revenue","Revenue",IF(V192="Cost of Goods Sold","COGS",IF(V192="Expenditures","Expense",IF(V192="Other Revenue","Other Revenue",IF(V192="Other Expenditures","Other Expense",W191)))))</f>
        <v/>
      </c>
      <c r="X192" s="36" t="str">
        <f aca="false">IF(OR(V192="Revenue",V192="Cost of Goods Sold",V192="Expenditures",V192="Other Revenue",V192="Other Expenditures"),W192,IF(AND(LEN(V192)&gt;2,MID(V192,2,1)=" ",ISNUMBER(VALUE(LEFT(V192,1)))),V192,X191))</f>
        <v/>
      </c>
      <c r="Y192" s="36" t="n">
        <f aca="false">IF(AND(V192&lt;&gt;"",ISNUMBER(T192),LEFT(V192,9)&lt;&gt;"Total for",V192&lt;&gt;"Gross Profit",V192&lt;&gt;"Net Operating Revenue",V192&lt;&gt;"Net Other Revenue",V192&lt;&gt;"Net Revenue"),1,0)</f>
        <v>0</v>
      </c>
      <c r="Z192" s="36" t="str">
        <f aca="false">IF(Y192=1,IF(AND(LEN(V192)&gt;7,ISNUMBER(VALUE(LEFT(V192,6))),MID(V192,7,1)=" "),LEFT(V192,6),V192),"")</f>
        <v/>
      </c>
      <c r="AE192" s="36" t="str">
        <f aca="false">TRIM(AB192)</f>
        <v/>
      </c>
      <c r="AF192" s="36" t="str">
        <f aca="false">IF(AE192="Revenue","Revenue",IF(AE192="Cost of Goods Sold","COGS",IF(AE192="Expenditures","Expense",IF(AE192="Other Revenue","Other Revenue",IF(AE192="Other Expenditures","Other Expense",AF191)))))</f>
        <v/>
      </c>
      <c r="AG192" s="36" t="str">
        <f aca="false">IF(OR(AE192="Revenue",AE192="Cost of Goods Sold",AE192="Expenditures",AE192="Other Revenue",AE192="Other Expenditures"),AF192,IF(AND(LEN(AE192)&gt;2,MID(AE192,2,1)=" ",ISNUMBER(VALUE(LEFT(AE192,1)))),AE192,AG191))</f>
        <v/>
      </c>
      <c r="AH192" s="36" t="n">
        <f aca="false">IF(AND(AE192&lt;&gt;"",ISNUMBER(AC192),LEFT(AE192,9)&lt;&gt;"Total for",AE192&lt;&gt;"Gross Profit",AE192&lt;&gt;"Net Operating Revenue",AE192&lt;&gt;"Net Other Revenue",AE192&lt;&gt;"Net Revenue"),1,0)</f>
        <v>0</v>
      </c>
      <c r="AI192" s="36" t="str">
        <f aca="false">IF(AH192=1,IF(AND(LEN(AE192)&gt;7,ISNUMBER(VALUE(LEFT(AE192,6))),MID(AE192,7,1)=" "),LEFT(AE192,6),AE192),"")</f>
        <v/>
      </c>
      <c r="AN192" s="36" t="str">
        <f aca="false">TRIM(AK192)</f>
        <v/>
      </c>
      <c r="AO192" s="36" t="str">
        <f aca="false">IF(AN192="Revenue","Revenue",IF(AN192="Cost of Goods Sold","COGS",IF(AN192="Expenditures","Expense",IF(AN192="Other Revenue","Other Revenue",IF(AN192="Other Expenditures","Other Expense",AO191)))))</f>
        <v/>
      </c>
      <c r="AP192" s="36" t="str">
        <f aca="false">IF(OR(AN192="Revenue",AN192="Cost of Goods Sold",AN192="Expenditures",AN192="Other Revenue",AN192="Other Expenditures"),AO192,IF(AND(LEN(AN192)&gt;2,MID(AN192,2,1)=" ",ISNUMBER(VALUE(LEFT(AN192,1)))),AN192,AP191))</f>
        <v/>
      </c>
      <c r="AQ192" s="36" t="n">
        <f aca="false">IF(AND(AN192&lt;&gt;"",ISNUMBER(AL192),LEFT(AN192,9)&lt;&gt;"Total for",AN192&lt;&gt;"Gross Profit",AN192&lt;&gt;"Net Operating Revenue",AN192&lt;&gt;"Net Other Revenue",AN192&lt;&gt;"Net Revenue"),1,0)</f>
        <v>0</v>
      </c>
      <c r="AR192" s="36" t="str">
        <f aca="false">IF(AQ192=1,IF(AND(LEN(AN192)&gt;7,ISNUMBER(VALUE(LEFT(AN192,6))),MID(AN192,7,1)=" "),LEFT(AN192,6),AN192),"")</f>
        <v/>
      </c>
    </row>
    <row r="193" customFormat="false" ht="15" hidden="false" customHeight="false" outlineLevel="0" collapsed="false">
      <c r="D193" s="36" t="str">
        <f aca="false">TRIM(A193)</f>
        <v/>
      </c>
      <c r="E193" s="36" t="str">
        <f aca="false">IF(D193="Revenue","Revenue",IF(D193="Cost of Goods Sold","COGS",IF(D193="Expenditures","Expense",IF(D193="Other Revenue","Other Revenue",IF(D193="Other Expenditures","Other Expense",E192)))))</f>
        <v/>
      </c>
      <c r="F193" s="36" t="str">
        <f aca="false">IF(OR(D193="Revenue",D193="Cost of Goods Sold",D193="Expenditures",D193="Other Revenue",D193="Other Expenditures"),E193,IF(AND(LEN(D193)&gt;2,MID(D193,2,1)=" ",ISNUMBER(VALUE(LEFT(D193,1)))),D193,F192))</f>
        <v/>
      </c>
      <c r="G193" s="36" t="n">
        <f aca="false">IF(AND(D193&lt;&gt;"",ISNUMBER(B193),LEFT(D193,9)&lt;&gt;"Total for",D193&lt;&gt;"Gross Profit",D193&lt;&gt;"Net Operating Revenue",D193&lt;&gt;"Net Other Revenue",D193&lt;&gt;"Net Revenue"),1,0)</f>
        <v>0</v>
      </c>
      <c r="H193" s="36" t="str">
        <f aca="false">IF(G193=1,IF(AND(LEN(D193)&gt;7,ISNUMBER(VALUE(LEFT(D193,6))),MID(D193,7,1)=" "),LEFT(D193,6),D193),"")</f>
        <v/>
      </c>
      <c r="M193" s="36" t="str">
        <f aca="false">TRIM(J193)</f>
        <v/>
      </c>
      <c r="N193" s="36" t="str">
        <f aca="false">IF(M193="Revenue","Revenue",IF(M193="Cost of Goods Sold","COGS",IF(M193="Expenditures","Expense",IF(M193="Other Revenue","Other Revenue",IF(M193="Other Expenditures","Other Expense",N192)))))</f>
        <v/>
      </c>
      <c r="O193" s="36" t="str">
        <f aca="false">IF(OR(M193="Revenue",M193="Cost of Goods Sold",M193="Expenditures",M193="Other Revenue",M193="Other Expenditures"),N193,IF(AND(LEN(M193)&gt;2,MID(M193,2,1)=" ",ISNUMBER(VALUE(LEFT(M193,1)))),M193,O192))</f>
        <v/>
      </c>
      <c r="P193" s="36" t="n">
        <f aca="false">IF(AND(M193&lt;&gt;"",ISNUMBER(K193),LEFT(M193,9)&lt;&gt;"Total for",M193&lt;&gt;"Gross Profit",M193&lt;&gt;"Net Operating Revenue",M193&lt;&gt;"Net Other Revenue",M193&lt;&gt;"Net Revenue"),1,0)</f>
        <v>0</v>
      </c>
      <c r="Q193" s="36" t="str">
        <f aca="false">IF(P193=1,IF(AND(LEN(M193)&gt;7,ISNUMBER(VALUE(LEFT(M193,6))),MID(M193,7,1)=" "),LEFT(M193,6),M193),"")</f>
        <v/>
      </c>
      <c r="V193" s="36" t="str">
        <f aca="false">TRIM(S193)</f>
        <v/>
      </c>
      <c r="W193" s="36" t="str">
        <f aca="false">IF(V193="Revenue","Revenue",IF(V193="Cost of Goods Sold","COGS",IF(V193="Expenditures","Expense",IF(V193="Other Revenue","Other Revenue",IF(V193="Other Expenditures","Other Expense",W192)))))</f>
        <v/>
      </c>
      <c r="X193" s="36" t="str">
        <f aca="false">IF(OR(V193="Revenue",V193="Cost of Goods Sold",V193="Expenditures",V193="Other Revenue",V193="Other Expenditures"),W193,IF(AND(LEN(V193)&gt;2,MID(V193,2,1)=" ",ISNUMBER(VALUE(LEFT(V193,1)))),V193,X192))</f>
        <v/>
      </c>
      <c r="Y193" s="36" t="n">
        <f aca="false">IF(AND(V193&lt;&gt;"",ISNUMBER(T193),LEFT(V193,9)&lt;&gt;"Total for",V193&lt;&gt;"Gross Profit",V193&lt;&gt;"Net Operating Revenue",V193&lt;&gt;"Net Other Revenue",V193&lt;&gt;"Net Revenue"),1,0)</f>
        <v>0</v>
      </c>
      <c r="Z193" s="36" t="str">
        <f aca="false">IF(Y193=1,IF(AND(LEN(V193)&gt;7,ISNUMBER(VALUE(LEFT(V193,6))),MID(V193,7,1)=" "),LEFT(V193,6),V193),"")</f>
        <v/>
      </c>
      <c r="AE193" s="36" t="str">
        <f aca="false">TRIM(AB193)</f>
        <v/>
      </c>
      <c r="AF193" s="36" t="str">
        <f aca="false">IF(AE193="Revenue","Revenue",IF(AE193="Cost of Goods Sold","COGS",IF(AE193="Expenditures","Expense",IF(AE193="Other Revenue","Other Revenue",IF(AE193="Other Expenditures","Other Expense",AF192)))))</f>
        <v/>
      </c>
      <c r="AG193" s="36" t="str">
        <f aca="false">IF(OR(AE193="Revenue",AE193="Cost of Goods Sold",AE193="Expenditures",AE193="Other Revenue",AE193="Other Expenditures"),AF193,IF(AND(LEN(AE193)&gt;2,MID(AE193,2,1)=" ",ISNUMBER(VALUE(LEFT(AE193,1)))),AE193,AG192))</f>
        <v/>
      </c>
      <c r="AH193" s="36" t="n">
        <f aca="false">IF(AND(AE193&lt;&gt;"",ISNUMBER(AC193),LEFT(AE193,9)&lt;&gt;"Total for",AE193&lt;&gt;"Gross Profit",AE193&lt;&gt;"Net Operating Revenue",AE193&lt;&gt;"Net Other Revenue",AE193&lt;&gt;"Net Revenue"),1,0)</f>
        <v>0</v>
      </c>
      <c r="AI193" s="36" t="str">
        <f aca="false">IF(AH193=1,IF(AND(LEN(AE193)&gt;7,ISNUMBER(VALUE(LEFT(AE193,6))),MID(AE193,7,1)=" "),LEFT(AE193,6),AE193),"")</f>
        <v/>
      </c>
      <c r="AN193" s="36" t="str">
        <f aca="false">TRIM(AK193)</f>
        <v/>
      </c>
      <c r="AO193" s="36" t="str">
        <f aca="false">IF(AN193="Revenue","Revenue",IF(AN193="Cost of Goods Sold","COGS",IF(AN193="Expenditures","Expense",IF(AN193="Other Revenue","Other Revenue",IF(AN193="Other Expenditures","Other Expense",AO192)))))</f>
        <v/>
      </c>
      <c r="AP193" s="36" t="str">
        <f aca="false">IF(OR(AN193="Revenue",AN193="Cost of Goods Sold",AN193="Expenditures",AN193="Other Revenue",AN193="Other Expenditures"),AO193,IF(AND(LEN(AN193)&gt;2,MID(AN193,2,1)=" ",ISNUMBER(VALUE(LEFT(AN193,1)))),AN193,AP192))</f>
        <v/>
      </c>
      <c r="AQ193" s="36" t="n">
        <f aca="false">IF(AND(AN193&lt;&gt;"",ISNUMBER(AL193),LEFT(AN193,9)&lt;&gt;"Total for",AN193&lt;&gt;"Gross Profit",AN193&lt;&gt;"Net Operating Revenue",AN193&lt;&gt;"Net Other Revenue",AN193&lt;&gt;"Net Revenue"),1,0)</f>
        <v>0</v>
      </c>
      <c r="AR193" s="36" t="str">
        <f aca="false">IF(AQ193=1,IF(AND(LEN(AN193)&gt;7,ISNUMBER(VALUE(LEFT(AN193,6))),MID(AN193,7,1)=" "),LEFT(AN193,6),AN193),"")</f>
        <v/>
      </c>
    </row>
    <row r="194" customFormat="false" ht="15" hidden="false" customHeight="false" outlineLevel="0" collapsed="false">
      <c r="D194" s="36" t="str">
        <f aca="false">TRIM(A194)</f>
        <v/>
      </c>
      <c r="E194" s="36" t="str">
        <f aca="false">IF(D194="Revenue","Revenue",IF(D194="Cost of Goods Sold","COGS",IF(D194="Expenditures","Expense",IF(D194="Other Revenue","Other Revenue",IF(D194="Other Expenditures","Other Expense",E193)))))</f>
        <v/>
      </c>
      <c r="F194" s="36" t="str">
        <f aca="false">IF(OR(D194="Revenue",D194="Cost of Goods Sold",D194="Expenditures",D194="Other Revenue",D194="Other Expenditures"),E194,IF(AND(LEN(D194)&gt;2,MID(D194,2,1)=" ",ISNUMBER(VALUE(LEFT(D194,1)))),D194,F193))</f>
        <v/>
      </c>
      <c r="G194" s="36" t="n">
        <f aca="false">IF(AND(D194&lt;&gt;"",ISNUMBER(B194),LEFT(D194,9)&lt;&gt;"Total for",D194&lt;&gt;"Gross Profit",D194&lt;&gt;"Net Operating Revenue",D194&lt;&gt;"Net Other Revenue",D194&lt;&gt;"Net Revenue"),1,0)</f>
        <v>0</v>
      </c>
      <c r="H194" s="36" t="str">
        <f aca="false">IF(G194=1,IF(AND(LEN(D194)&gt;7,ISNUMBER(VALUE(LEFT(D194,6))),MID(D194,7,1)=" "),LEFT(D194,6),D194),"")</f>
        <v/>
      </c>
      <c r="M194" s="36" t="str">
        <f aca="false">TRIM(J194)</f>
        <v/>
      </c>
      <c r="N194" s="36" t="str">
        <f aca="false">IF(M194="Revenue","Revenue",IF(M194="Cost of Goods Sold","COGS",IF(M194="Expenditures","Expense",IF(M194="Other Revenue","Other Revenue",IF(M194="Other Expenditures","Other Expense",N193)))))</f>
        <v/>
      </c>
      <c r="O194" s="36" t="str">
        <f aca="false">IF(OR(M194="Revenue",M194="Cost of Goods Sold",M194="Expenditures",M194="Other Revenue",M194="Other Expenditures"),N194,IF(AND(LEN(M194)&gt;2,MID(M194,2,1)=" ",ISNUMBER(VALUE(LEFT(M194,1)))),M194,O193))</f>
        <v/>
      </c>
      <c r="P194" s="36" t="n">
        <f aca="false">IF(AND(M194&lt;&gt;"",ISNUMBER(K194),LEFT(M194,9)&lt;&gt;"Total for",M194&lt;&gt;"Gross Profit",M194&lt;&gt;"Net Operating Revenue",M194&lt;&gt;"Net Other Revenue",M194&lt;&gt;"Net Revenue"),1,0)</f>
        <v>0</v>
      </c>
      <c r="Q194" s="36" t="str">
        <f aca="false">IF(P194=1,IF(AND(LEN(M194)&gt;7,ISNUMBER(VALUE(LEFT(M194,6))),MID(M194,7,1)=" "),LEFT(M194,6),M194),"")</f>
        <v/>
      </c>
      <c r="V194" s="36" t="str">
        <f aca="false">TRIM(S194)</f>
        <v/>
      </c>
      <c r="W194" s="36" t="str">
        <f aca="false">IF(V194="Revenue","Revenue",IF(V194="Cost of Goods Sold","COGS",IF(V194="Expenditures","Expense",IF(V194="Other Revenue","Other Revenue",IF(V194="Other Expenditures","Other Expense",W193)))))</f>
        <v/>
      </c>
      <c r="X194" s="36" t="str">
        <f aca="false">IF(OR(V194="Revenue",V194="Cost of Goods Sold",V194="Expenditures",V194="Other Revenue",V194="Other Expenditures"),W194,IF(AND(LEN(V194)&gt;2,MID(V194,2,1)=" ",ISNUMBER(VALUE(LEFT(V194,1)))),V194,X193))</f>
        <v/>
      </c>
      <c r="Y194" s="36" t="n">
        <f aca="false">IF(AND(V194&lt;&gt;"",ISNUMBER(T194),LEFT(V194,9)&lt;&gt;"Total for",V194&lt;&gt;"Gross Profit",V194&lt;&gt;"Net Operating Revenue",V194&lt;&gt;"Net Other Revenue",V194&lt;&gt;"Net Revenue"),1,0)</f>
        <v>0</v>
      </c>
      <c r="Z194" s="36" t="str">
        <f aca="false">IF(Y194=1,IF(AND(LEN(V194)&gt;7,ISNUMBER(VALUE(LEFT(V194,6))),MID(V194,7,1)=" "),LEFT(V194,6),V194),"")</f>
        <v/>
      </c>
      <c r="AE194" s="36" t="str">
        <f aca="false">TRIM(AB194)</f>
        <v/>
      </c>
      <c r="AF194" s="36" t="str">
        <f aca="false">IF(AE194="Revenue","Revenue",IF(AE194="Cost of Goods Sold","COGS",IF(AE194="Expenditures","Expense",IF(AE194="Other Revenue","Other Revenue",IF(AE194="Other Expenditures","Other Expense",AF193)))))</f>
        <v/>
      </c>
      <c r="AG194" s="36" t="str">
        <f aca="false">IF(OR(AE194="Revenue",AE194="Cost of Goods Sold",AE194="Expenditures",AE194="Other Revenue",AE194="Other Expenditures"),AF194,IF(AND(LEN(AE194)&gt;2,MID(AE194,2,1)=" ",ISNUMBER(VALUE(LEFT(AE194,1)))),AE194,AG193))</f>
        <v/>
      </c>
      <c r="AH194" s="36" t="n">
        <f aca="false">IF(AND(AE194&lt;&gt;"",ISNUMBER(AC194),LEFT(AE194,9)&lt;&gt;"Total for",AE194&lt;&gt;"Gross Profit",AE194&lt;&gt;"Net Operating Revenue",AE194&lt;&gt;"Net Other Revenue",AE194&lt;&gt;"Net Revenue"),1,0)</f>
        <v>0</v>
      </c>
      <c r="AI194" s="36" t="str">
        <f aca="false">IF(AH194=1,IF(AND(LEN(AE194)&gt;7,ISNUMBER(VALUE(LEFT(AE194,6))),MID(AE194,7,1)=" "),LEFT(AE194,6),AE194),"")</f>
        <v/>
      </c>
      <c r="AN194" s="36" t="str">
        <f aca="false">TRIM(AK194)</f>
        <v/>
      </c>
      <c r="AO194" s="36" t="str">
        <f aca="false">IF(AN194="Revenue","Revenue",IF(AN194="Cost of Goods Sold","COGS",IF(AN194="Expenditures","Expense",IF(AN194="Other Revenue","Other Revenue",IF(AN194="Other Expenditures","Other Expense",AO193)))))</f>
        <v/>
      </c>
      <c r="AP194" s="36" t="str">
        <f aca="false">IF(OR(AN194="Revenue",AN194="Cost of Goods Sold",AN194="Expenditures",AN194="Other Revenue",AN194="Other Expenditures"),AO194,IF(AND(LEN(AN194)&gt;2,MID(AN194,2,1)=" ",ISNUMBER(VALUE(LEFT(AN194,1)))),AN194,AP193))</f>
        <v/>
      </c>
      <c r="AQ194" s="36" t="n">
        <f aca="false">IF(AND(AN194&lt;&gt;"",ISNUMBER(AL194),LEFT(AN194,9)&lt;&gt;"Total for",AN194&lt;&gt;"Gross Profit",AN194&lt;&gt;"Net Operating Revenue",AN194&lt;&gt;"Net Other Revenue",AN194&lt;&gt;"Net Revenue"),1,0)</f>
        <v>0</v>
      </c>
      <c r="AR194" s="36" t="str">
        <f aca="false">IF(AQ194=1,IF(AND(LEN(AN194)&gt;7,ISNUMBER(VALUE(LEFT(AN194,6))),MID(AN194,7,1)=" "),LEFT(AN194,6),AN194),"")</f>
        <v/>
      </c>
    </row>
    <row r="195" customFormat="false" ht="15" hidden="false" customHeight="false" outlineLevel="0" collapsed="false">
      <c r="D195" s="36" t="str">
        <f aca="false">TRIM(A195)</f>
        <v/>
      </c>
      <c r="E195" s="36" t="str">
        <f aca="false">IF(D195="Revenue","Revenue",IF(D195="Cost of Goods Sold","COGS",IF(D195="Expenditures","Expense",IF(D195="Other Revenue","Other Revenue",IF(D195="Other Expenditures","Other Expense",E194)))))</f>
        <v/>
      </c>
      <c r="F195" s="36" t="str">
        <f aca="false">IF(OR(D195="Revenue",D195="Cost of Goods Sold",D195="Expenditures",D195="Other Revenue",D195="Other Expenditures"),E195,IF(AND(LEN(D195)&gt;2,MID(D195,2,1)=" ",ISNUMBER(VALUE(LEFT(D195,1)))),D195,F194))</f>
        <v/>
      </c>
      <c r="G195" s="36" t="n">
        <f aca="false">IF(AND(D195&lt;&gt;"",ISNUMBER(B195),LEFT(D195,9)&lt;&gt;"Total for",D195&lt;&gt;"Gross Profit",D195&lt;&gt;"Net Operating Revenue",D195&lt;&gt;"Net Other Revenue",D195&lt;&gt;"Net Revenue"),1,0)</f>
        <v>0</v>
      </c>
      <c r="H195" s="36" t="str">
        <f aca="false">IF(G195=1,IF(AND(LEN(D195)&gt;7,ISNUMBER(VALUE(LEFT(D195,6))),MID(D195,7,1)=" "),LEFT(D195,6),D195),"")</f>
        <v/>
      </c>
      <c r="M195" s="36" t="str">
        <f aca="false">TRIM(J195)</f>
        <v/>
      </c>
      <c r="N195" s="36" t="str">
        <f aca="false">IF(M195="Revenue","Revenue",IF(M195="Cost of Goods Sold","COGS",IF(M195="Expenditures","Expense",IF(M195="Other Revenue","Other Revenue",IF(M195="Other Expenditures","Other Expense",N194)))))</f>
        <v/>
      </c>
      <c r="O195" s="36" t="str">
        <f aca="false">IF(OR(M195="Revenue",M195="Cost of Goods Sold",M195="Expenditures",M195="Other Revenue",M195="Other Expenditures"),N195,IF(AND(LEN(M195)&gt;2,MID(M195,2,1)=" ",ISNUMBER(VALUE(LEFT(M195,1)))),M195,O194))</f>
        <v/>
      </c>
      <c r="P195" s="36" t="n">
        <f aca="false">IF(AND(M195&lt;&gt;"",ISNUMBER(K195),LEFT(M195,9)&lt;&gt;"Total for",M195&lt;&gt;"Gross Profit",M195&lt;&gt;"Net Operating Revenue",M195&lt;&gt;"Net Other Revenue",M195&lt;&gt;"Net Revenue"),1,0)</f>
        <v>0</v>
      </c>
      <c r="Q195" s="36" t="str">
        <f aca="false">IF(P195=1,IF(AND(LEN(M195)&gt;7,ISNUMBER(VALUE(LEFT(M195,6))),MID(M195,7,1)=" "),LEFT(M195,6),M195),"")</f>
        <v/>
      </c>
      <c r="V195" s="36" t="str">
        <f aca="false">TRIM(S195)</f>
        <v/>
      </c>
      <c r="W195" s="36" t="str">
        <f aca="false">IF(V195="Revenue","Revenue",IF(V195="Cost of Goods Sold","COGS",IF(V195="Expenditures","Expense",IF(V195="Other Revenue","Other Revenue",IF(V195="Other Expenditures","Other Expense",W194)))))</f>
        <v/>
      </c>
      <c r="X195" s="36" t="str">
        <f aca="false">IF(OR(V195="Revenue",V195="Cost of Goods Sold",V195="Expenditures",V195="Other Revenue",V195="Other Expenditures"),W195,IF(AND(LEN(V195)&gt;2,MID(V195,2,1)=" ",ISNUMBER(VALUE(LEFT(V195,1)))),V195,X194))</f>
        <v/>
      </c>
      <c r="Y195" s="36" t="n">
        <f aca="false">IF(AND(V195&lt;&gt;"",ISNUMBER(T195),LEFT(V195,9)&lt;&gt;"Total for",V195&lt;&gt;"Gross Profit",V195&lt;&gt;"Net Operating Revenue",V195&lt;&gt;"Net Other Revenue",V195&lt;&gt;"Net Revenue"),1,0)</f>
        <v>0</v>
      </c>
      <c r="Z195" s="36" t="str">
        <f aca="false">IF(Y195=1,IF(AND(LEN(V195)&gt;7,ISNUMBER(VALUE(LEFT(V195,6))),MID(V195,7,1)=" "),LEFT(V195,6),V195),"")</f>
        <v/>
      </c>
      <c r="AE195" s="36" t="str">
        <f aca="false">TRIM(AB195)</f>
        <v/>
      </c>
      <c r="AF195" s="36" t="str">
        <f aca="false">IF(AE195="Revenue","Revenue",IF(AE195="Cost of Goods Sold","COGS",IF(AE195="Expenditures","Expense",IF(AE195="Other Revenue","Other Revenue",IF(AE195="Other Expenditures","Other Expense",AF194)))))</f>
        <v/>
      </c>
      <c r="AG195" s="36" t="str">
        <f aca="false">IF(OR(AE195="Revenue",AE195="Cost of Goods Sold",AE195="Expenditures",AE195="Other Revenue",AE195="Other Expenditures"),AF195,IF(AND(LEN(AE195)&gt;2,MID(AE195,2,1)=" ",ISNUMBER(VALUE(LEFT(AE195,1)))),AE195,AG194))</f>
        <v/>
      </c>
      <c r="AH195" s="36" t="n">
        <f aca="false">IF(AND(AE195&lt;&gt;"",ISNUMBER(AC195),LEFT(AE195,9)&lt;&gt;"Total for",AE195&lt;&gt;"Gross Profit",AE195&lt;&gt;"Net Operating Revenue",AE195&lt;&gt;"Net Other Revenue",AE195&lt;&gt;"Net Revenue"),1,0)</f>
        <v>0</v>
      </c>
      <c r="AI195" s="36" t="str">
        <f aca="false">IF(AH195=1,IF(AND(LEN(AE195)&gt;7,ISNUMBER(VALUE(LEFT(AE195,6))),MID(AE195,7,1)=" "),LEFT(AE195,6),AE195),"")</f>
        <v/>
      </c>
      <c r="AN195" s="36" t="str">
        <f aca="false">TRIM(AK195)</f>
        <v/>
      </c>
      <c r="AO195" s="36" t="str">
        <f aca="false">IF(AN195="Revenue","Revenue",IF(AN195="Cost of Goods Sold","COGS",IF(AN195="Expenditures","Expense",IF(AN195="Other Revenue","Other Revenue",IF(AN195="Other Expenditures","Other Expense",AO194)))))</f>
        <v/>
      </c>
      <c r="AP195" s="36" t="str">
        <f aca="false">IF(OR(AN195="Revenue",AN195="Cost of Goods Sold",AN195="Expenditures",AN195="Other Revenue",AN195="Other Expenditures"),AO195,IF(AND(LEN(AN195)&gt;2,MID(AN195,2,1)=" ",ISNUMBER(VALUE(LEFT(AN195,1)))),AN195,AP194))</f>
        <v/>
      </c>
      <c r="AQ195" s="36" t="n">
        <f aca="false">IF(AND(AN195&lt;&gt;"",ISNUMBER(AL195),LEFT(AN195,9)&lt;&gt;"Total for",AN195&lt;&gt;"Gross Profit",AN195&lt;&gt;"Net Operating Revenue",AN195&lt;&gt;"Net Other Revenue",AN195&lt;&gt;"Net Revenue"),1,0)</f>
        <v>0</v>
      </c>
      <c r="AR195" s="36" t="str">
        <f aca="false">IF(AQ195=1,IF(AND(LEN(AN195)&gt;7,ISNUMBER(VALUE(LEFT(AN195,6))),MID(AN195,7,1)=" "),LEFT(AN195,6),AN195),"")</f>
        <v/>
      </c>
    </row>
    <row r="196" customFormat="false" ht="15" hidden="false" customHeight="false" outlineLevel="0" collapsed="false">
      <c r="D196" s="36" t="str">
        <f aca="false">TRIM(A196)</f>
        <v/>
      </c>
      <c r="E196" s="36" t="str">
        <f aca="false">IF(D196="Revenue","Revenue",IF(D196="Cost of Goods Sold","COGS",IF(D196="Expenditures","Expense",IF(D196="Other Revenue","Other Revenue",IF(D196="Other Expenditures","Other Expense",E195)))))</f>
        <v/>
      </c>
      <c r="F196" s="36" t="str">
        <f aca="false">IF(OR(D196="Revenue",D196="Cost of Goods Sold",D196="Expenditures",D196="Other Revenue",D196="Other Expenditures"),E196,IF(AND(LEN(D196)&gt;2,MID(D196,2,1)=" ",ISNUMBER(VALUE(LEFT(D196,1)))),D196,F195))</f>
        <v/>
      </c>
      <c r="G196" s="36" t="n">
        <f aca="false">IF(AND(D196&lt;&gt;"",ISNUMBER(B196),LEFT(D196,9)&lt;&gt;"Total for",D196&lt;&gt;"Gross Profit",D196&lt;&gt;"Net Operating Revenue",D196&lt;&gt;"Net Other Revenue",D196&lt;&gt;"Net Revenue"),1,0)</f>
        <v>0</v>
      </c>
      <c r="H196" s="36" t="str">
        <f aca="false">IF(G196=1,IF(AND(LEN(D196)&gt;7,ISNUMBER(VALUE(LEFT(D196,6))),MID(D196,7,1)=" "),LEFT(D196,6),D196),"")</f>
        <v/>
      </c>
      <c r="M196" s="36" t="str">
        <f aca="false">TRIM(J196)</f>
        <v/>
      </c>
      <c r="N196" s="36" t="str">
        <f aca="false">IF(M196="Revenue","Revenue",IF(M196="Cost of Goods Sold","COGS",IF(M196="Expenditures","Expense",IF(M196="Other Revenue","Other Revenue",IF(M196="Other Expenditures","Other Expense",N195)))))</f>
        <v/>
      </c>
      <c r="O196" s="36" t="str">
        <f aca="false">IF(OR(M196="Revenue",M196="Cost of Goods Sold",M196="Expenditures",M196="Other Revenue",M196="Other Expenditures"),N196,IF(AND(LEN(M196)&gt;2,MID(M196,2,1)=" ",ISNUMBER(VALUE(LEFT(M196,1)))),M196,O195))</f>
        <v/>
      </c>
      <c r="P196" s="36" t="n">
        <f aca="false">IF(AND(M196&lt;&gt;"",ISNUMBER(K196),LEFT(M196,9)&lt;&gt;"Total for",M196&lt;&gt;"Gross Profit",M196&lt;&gt;"Net Operating Revenue",M196&lt;&gt;"Net Other Revenue",M196&lt;&gt;"Net Revenue"),1,0)</f>
        <v>0</v>
      </c>
      <c r="Q196" s="36" t="str">
        <f aca="false">IF(P196=1,IF(AND(LEN(M196)&gt;7,ISNUMBER(VALUE(LEFT(M196,6))),MID(M196,7,1)=" "),LEFT(M196,6),M196),"")</f>
        <v/>
      </c>
      <c r="V196" s="36" t="str">
        <f aca="false">TRIM(S196)</f>
        <v/>
      </c>
      <c r="W196" s="36" t="str">
        <f aca="false">IF(V196="Revenue","Revenue",IF(V196="Cost of Goods Sold","COGS",IF(V196="Expenditures","Expense",IF(V196="Other Revenue","Other Revenue",IF(V196="Other Expenditures","Other Expense",W195)))))</f>
        <v/>
      </c>
      <c r="X196" s="36" t="str">
        <f aca="false">IF(OR(V196="Revenue",V196="Cost of Goods Sold",V196="Expenditures",V196="Other Revenue",V196="Other Expenditures"),W196,IF(AND(LEN(V196)&gt;2,MID(V196,2,1)=" ",ISNUMBER(VALUE(LEFT(V196,1)))),V196,X195))</f>
        <v/>
      </c>
      <c r="Y196" s="36" t="n">
        <f aca="false">IF(AND(V196&lt;&gt;"",ISNUMBER(T196),LEFT(V196,9)&lt;&gt;"Total for",V196&lt;&gt;"Gross Profit",V196&lt;&gt;"Net Operating Revenue",V196&lt;&gt;"Net Other Revenue",V196&lt;&gt;"Net Revenue"),1,0)</f>
        <v>0</v>
      </c>
      <c r="Z196" s="36" t="str">
        <f aca="false">IF(Y196=1,IF(AND(LEN(V196)&gt;7,ISNUMBER(VALUE(LEFT(V196,6))),MID(V196,7,1)=" "),LEFT(V196,6),V196),"")</f>
        <v/>
      </c>
      <c r="AE196" s="36" t="str">
        <f aca="false">TRIM(AB196)</f>
        <v/>
      </c>
      <c r="AF196" s="36" t="str">
        <f aca="false">IF(AE196="Revenue","Revenue",IF(AE196="Cost of Goods Sold","COGS",IF(AE196="Expenditures","Expense",IF(AE196="Other Revenue","Other Revenue",IF(AE196="Other Expenditures","Other Expense",AF195)))))</f>
        <v/>
      </c>
      <c r="AG196" s="36" t="str">
        <f aca="false">IF(OR(AE196="Revenue",AE196="Cost of Goods Sold",AE196="Expenditures",AE196="Other Revenue",AE196="Other Expenditures"),AF196,IF(AND(LEN(AE196)&gt;2,MID(AE196,2,1)=" ",ISNUMBER(VALUE(LEFT(AE196,1)))),AE196,AG195))</f>
        <v/>
      </c>
      <c r="AH196" s="36" t="n">
        <f aca="false">IF(AND(AE196&lt;&gt;"",ISNUMBER(AC196),LEFT(AE196,9)&lt;&gt;"Total for",AE196&lt;&gt;"Gross Profit",AE196&lt;&gt;"Net Operating Revenue",AE196&lt;&gt;"Net Other Revenue",AE196&lt;&gt;"Net Revenue"),1,0)</f>
        <v>0</v>
      </c>
      <c r="AI196" s="36" t="str">
        <f aca="false">IF(AH196=1,IF(AND(LEN(AE196)&gt;7,ISNUMBER(VALUE(LEFT(AE196,6))),MID(AE196,7,1)=" "),LEFT(AE196,6),AE196),"")</f>
        <v/>
      </c>
      <c r="AN196" s="36" t="str">
        <f aca="false">TRIM(AK196)</f>
        <v/>
      </c>
      <c r="AO196" s="36" t="str">
        <f aca="false">IF(AN196="Revenue","Revenue",IF(AN196="Cost of Goods Sold","COGS",IF(AN196="Expenditures","Expense",IF(AN196="Other Revenue","Other Revenue",IF(AN196="Other Expenditures","Other Expense",AO195)))))</f>
        <v/>
      </c>
      <c r="AP196" s="36" t="str">
        <f aca="false">IF(OR(AN196="Revenue",AN196="Cost of Goods Sold",AN196="Expenditures",AN196="Other Revenue",AN196="Other Expenditures"),AO196,IF(AND(LEN(AN196)&gt;2,MID(AN196,2,1)=" ",ISNUMBER(VALUE(LEFT(AN196,1)))),AN196,AP195))</f>
        <v/>
      </c>
      <c r="AQ196" s="36" t="n">
        <f aca="false">IF(AND(AN196&lt;&gt;"",ISNUMBER(AL196),LEFT(AN196,9)&lt;&gt;"Total for",AN196&lt;&gt;"Gross Profit",AN196&lt;&gt;"Net Operating Revenue",AN196&lt;&gt;"Net Other Revenue",AN196&lt;&gt;"Net Revenue"),1,0)</f>
        <v>0</v>
      </c>
      <c r="AR196" s="36" t="str">
        <f aca="false">IF(AQ196=1,IF(AND(LEN(AN196)&gt;7,ISNUMBER(VALUE(LEFT(AN196,6))),MID(AN196,7,1)=" "),LEFT(AN196,6),AN196),"")</f>
        <v/>
      </c>
    </row>
    <row r="197" customFormat="false" ht="15" hidden="false" customHeight="false" outlineLevel="0" collapsed="false">
      <c r="D197" s="36" t="str">
        <f aca="false">TRIM(A197)</f>
        <v/>
      </c>
      <c r="E197" s="36" t="str">
        <f aca="false">IF(D197="Revenue","Revenue",IF(D197="Cost of Goods Sold","COGS",IF(D197="Expenditures","Expense",IF(D197="Other Revenue","Other Revenue",IF(D197="Other Expenditures","Other Expense",E196)))))</f>
        <v/>
      </c>
      <c r="F197" s="36" t="str">
        <f aca="false">IF(OR(D197="Revenue",D197="Cost of Goods Sold",D197="Expenditures",D197="Other Revenue",D197="Other Expenditures"),E197,IF(AND(LEN(D197)&gt;2,MID(D197,2,1)=" ",ISNUMBER(VALUE(LEFT(D197,1)))),D197,F196))</f>
        <v/>
      </c>
      <c r="G197" s="36" t="n">
        <f aca="false">IF(AND(D197&lt;&gt;"",ISNUMBER(B197),LEFT(D197,9)&lt;&gt;"Total for",D197&lt;&gt;"Gross Profit",D197&lt;&gt;"Net Operating Revenue",D197&lt;&gt;"Net Other Revenue",D197&lt;&gt;"Net Revenue"),1,0)</f>
        <v>0</v>
      </c>
      <c r="H197" s="36" t="str">
        <f aca="false">IF(G197=1,IF(AND(LEN(D197)&gt;7,ISNUMBER(VALUE(LEFT(D197,6))),MID(D197,7,1)=" "),LEFT(D197,6),D197),"")</f>
        <v/>
      </c>
      <c r="M197" s="36" t="str">
        <f aca="false">TRIM(J197)</f>
        <v/>
      </c>
      <c r="N197" s="36" t="str">
        <f aca="false">IF(M197="Revenue","Revenue",IF(M197="Cost of Goods Sold","COGS",IF(M197="Expenditures","Expense",IF(M197="Other Revenue","Other Revenue",IF(M197="Other Expenditures","Other Expense",N196)))))</f>
        <v/>
      </c>
      <c r="O197" s="36" t="str">
        <f aca="false">IF(OR(M197="Revenue",M197="Cost of Goods Sold",M197="Expenditures",M197="Other Revenue",M197="Other Expenditures"),N197,IF(AND(LEN(M197)&gt;2,MID(M197,2,1)=" ",ISNUMBER(VALUE(LEFT(M197,1)))),M197,O196))</f>
        <v/>
      </c>
      <c r="P197" s="36" t="n">
        <f aca="false">IF(AND(M197&lt;&gt;"",ISNUMBER(K197),LEFT(M197,9)&lt;&gt;"Total for",M197&lt;&gt;"Gross Profit",M197&lt;&gt;"Net Operating Revenue",M197&lt;&gt;"Net Other Revenue",M197&lt;&gt;"Net Revenue"),1,0)</f>
        <v>0</v>
      </c>
      <c r="Q197" s="36" t="str">
        <f aca="false">IF(P197=1,IF(AND(LEN(M197)&gt;7,ISNUMBER(VALUE(LEFT(M197,6))),MID(M197,7,1)=" "),LEFT(M197,6),M197),"")</f>
        <v/>
      </c>
      <c r="V197" s="36" t="str">
        <f aca="false">TRIM(S197)</f>
        <v/>
      </c>
      <c r="W197" s="36" t="str">
        <f aca="false">IF(V197="Revenue","Revenue",IF(V197="Cost of Goods Sold","COGS",IF(V197="Expenditures","Expense",IF(V197="Other Revenue","Other Revenue",IF(V197="Other Expenditures","Other Expense",W196)))))</f>
        <v/>
      </c>
      <c r="X197" s="36" t="str">
        <f aca="false">IF(OR(V197="Revenue",V197="Cost of Goods Sold",V197="Expenditures",V197="Other Revenue",V197="Other Expenditures"),W197,IF(AND(LEN(V197)&gt;2,MID(V197,2,1)=" ",ISNUMBER(VALUE(LEFT(V197,1)))),V197,X196))</f>
        <v/>
      </c>
      <c r="Y197" s="36" t="n">
        <f aca="false">IF(AND(V197&lt;&gt;"",ISNUMBER(T197),LEFT(V197,9)&lt;&gt;"Total for",V197&lt;&gt;"Gross Profit",V197&lt;&gt;"Net Operating Revenue",V197&lt;&gt;"Net Other Revenue",V197&lt;&gt;"Net Revenue"),1,0)</f>
        <v>0</v>
      </c>
      <c r="Z197" s="36" t="str">
        <f aca="false">IF(Y197=1,IF(AND(LEN(V197)&gt;7,ISNUMBER(VALUE(LEFT(V197,6))),MID(V197,7,1)=" "),LEFT(V197,6),V197),"")</f>
        <v/>
      </c>
      <c r="AE197" s="36" t="str">
        <f aca="false">TRIM(AB197)</f>
        <v/>
      </c>
      <c r="AF197" s="36" t="str">
        <f aca="false">IF(AE197="Revenue","Revenue",IF(AE197="Cost of Goods Sold","COGS",IF(AE197="Expenditures","Expense",IF(AE197="Other Revenue","Other Revenue",IF(AE197="Other Expenditures","Other Expense",AF196)))))</f>
        <v/>
      </c>
      <c r="AG197" s="36" t="str">
        <f aca="false">IF(OR(AE197="Revenue",AE197="Cost of Goods Sold",AE197="Expenditures",AE197="Other Revenue",AE197="Other Expenditures"),AF197,IF(AND(LEN(AE197)&gt;2,MID(AE197,2,1)=" ",ISNUMBER(VALUE(LEFT(AE197,1)))),AE197,AG196))</f>
        <v/>
      </c>
      <c r="AH197" s="36" t="n">
        <f aca="false">IF(AND(AE197&lt;&gt;"",ISNUMBER(AC197),LEFT(AE197,9)&lt;&gt;"Total for",AE197&lt;&gt;"Gross Profit",AE197&lt;&gt;"Net Operating Revenue",AE197&lt;&gt;"Net Other Revenue",AE197&lt;&gt;"Net Revenue"),1,0)</f>
        <v>0</v>
      </c>
      <c r="AI197" s="36" t="str">
        <f aca="false">IF(AH197=1,IF(AND(LEN(AE197)&gt;7,ISNUMBER(VALUE(LEFT(AE197,6))),MID(AE197,7,1)=" "),LEFT(AE197,6),AE197),"")</f>
        <v/>
      </c>
      <c r="AN197" s="36" t="str">
        <f aca="false">TRIM(AK197)</f>
        <v/>
      </c>
      <c r="AO197" s="36" t="str">
        <f aca="false">IF(AN197="Revenue","Revenue",IF(AN197="Cost of Goods Sold","COGS",IF(AN197="Expenditures","Expense",IF(AN197="Other Revenue","Other Revenue",IF(AN197="Other Expenditures","Other Expense",AO196)))))</f>
        <v/>
      </c>
      <c r="AP197" s="36" t="str">
        <f aca="false">IF(OR(AN197="Revenue",AN197="Cost of Goods Sold",AN197="Expenditures",AN197="Other Revenue",AN197="Other Expenditures"),AO197,IF(AND(LEN(AN197)&gt;2,MID(AN197,2,1)=" ",ISNUMBER(VALUE(LEFT(AN197,1)))),AN197,AP196))</f>
        <v/>
      </c>
      <c r="AQ197" s="36" t="n">
        <f aca="false">IF(AND(AN197&lt;&gt;"",ISNUMBER(AL197),LEFT(AN197,9)&lt;&gt;"Total for",AN197&lt;&gt;"Gross Profit",AN197&lt;&gt;"Net Operating Revenue",AN197&lt;&gt;"Net Other Revenue",AN197&lt;&gt;"Net Revenue"),1,0)</f>
        <v>0</v>
      </c>
      <c r="AR197" s="36" t="str">
        <f aca="false">IF(AQ197=1,IF(AND(LEN(AN197)&gt;7,ISNUMBER(VALUE(LEFT(AN197,6))),MID(AN197,7,1)=" "),LEFT(AN197,6),AN197),"")</f>
        <v/>
      </c>
    </row>
    <row r="198" customFormat="false" ht="15" hidden="false" customHeight="false" outlineLevel="0" collapsed="false">
      <c r="D198" s="36" t="str">
        <f aca="false">TRIM(A198)</f>
        <v/>
      </c>
      <c r="E198" s="36" t="str">
        <f aca="false">IF(D198="Revenue","Revenue",IF(D198="Cost of Goods Sold","COGS",IF(D198="Expenditures","Expense",IF(D198="Other Revenue","Other Revenue",IF(D198="Other Expenditures","Other Expense",E197)))))</f>
        <v/>
      </c>
      <c r="F198" s="36" t="str">
        <f aca="false">IF(OR(D198="Revenue",D198="Cost of Goods Sold",D198="Expenditures",D198="Other Revenue",D198="Other Expenditures"),E198,IF(AND(LEN(D198)&gt;2,MID(D198,2,1)=" ",ISNUMBER(VALUE(LEFT(D198,1)))),D198,F197))</f>
        <v/>
      </c>
      <c r="G198" s="36" t="n">
        <f aca="false">IF(AND(D198&lt;&gt;"",ISNUMBER(B198),LEFT(D198,9)&lt;&gt;"Total for",D198&lt;&gt;"Gross Profit",D198&lt;&gt;"Net Operating Revenue",D198&lt;&gt;"Net Other Revenue",D198&lt;&gt;"Net Revenue"),1,0)</f>
        <v>0</v>
      </c>
      <c r="H198" s="36" t="str">
        <f aca="false">IF(G198=1,IF(AND(LEN(D198)&gt;7,ISNUMBER(VALUE(LEFT(D198,6))),MID(D198,7,1)=" "),LEFT(D198,6),D198),"")</f>
        <v/>
      </c>
      <c r="M198" s="36" t="str">
        <f aca="false">TRIM(J198)</f>
        <v/>
      </c>
      <c r="N198" s="36" t="str">
        <f aca="false">IF(M198="Revenue","Revenue",IF(M198="Cost of Goods Sold","COGS",IF(M198="Expenditures","Expense",IF(M198="Other Revenue","Other Revenue",IF(M198="Other Expenditures","Other Expense",N197)))))</f>
        <v/>
      </c>
      <c r="O198" s="36" t="str">
        <f aca="false">IF(OR(M198="Revenue",M198="Cost of Goods Sold",M198="Expenditures",M198="Other Revenue",M198="Other Expenditures"),N198,IF(AND(LEN(M198)&gt;2,MID(M198,2,1)=" ",ISNUMBER(VALUE(LEFT(M198,1)))),M198,O197))</f>
        <v/>
      </c>
      <c r="P198" s="36" t="n">
        <f aca="false">IF(AND(M198&lt;&gt;"",ISNUMBER(K198),LEFT(M198,9)&lt;&gt;"Total for",M198&lt;&gt;"Gross Profit",M198&lt;&gt;"Net Operating Revenue",M198&lt;&gt;"Net Other Revenue",M198&lt;&gt;"Net Revenue"),1,0)</f>
        <v>0</v>
      </c>
      <c r="Q198" s="36" t="str">
        <f aca="false">IF(P198=1,IF(AND(LEN(M198)&gt;7,ISNUMBER(VALUE(LEFT(M198,6))),MID(M198,7,1)=" "),LEFT(M198,6),M198),"")</f>
        <v/>
      </c>
      <c r="V198" s="36" t="str">
        <f aca="false">TRIM(S198)</f>
        <v/>
      </c>
      <c r="W198" s="36" t="str">
        <f aca="false">IF(V198="Revenue","Revenue",IF(V198="Cost of Goods Sold","COGS",IF(V198="Expenditures","Expense",IF(V198="Other Revenue","Other Revenue",IF(V198="Other Expenditures","Other Expense",W197)))))</f>
        <v/>
      </c>
      <c r="X198" s="36" t="str">
        <f aca="false">IF(OR(V198="Revenue",V198="Cost of Goods Sold",V198="Expenditures",V198="Other Revenue",V198="Other Expenditures"),W198,IF(AND(LEN(V198)&gt;2,MID(V198,2,1)=" ",ISNUMBER(VALUE(LEFT(V198,1)))),V198,X197))</f>
        <v/>
      </c>
      <c r="Y198" s="36" t="n">
        <f aca="false">IF(AND(V198&lt;&gt;"",ISNUMBER(T198),LEFT(V198,9)&lt;&gt;"Total for",V198&lt;&gt;"Gross Profit",V198&lt;&gt;"Net Operating Revenue",V198&lt;&gt;"Net Other Revenue",V198&lt;&gt;"Net Revenue"),1,0)</f>
        <v>0</v>
      </c>
      <c r="Z198" s="36" t="str">
        <f aca="false">IF(Y198=1,IF(AND(LEN(V198)&gt;7,ISNUMBER(VALUE(LEFT(V198,6))),MID(V198,7,1)=" "),LEFT(V198,6),V198),"")</f>
        <v/>
      </c>
      <c r="AE198" s="36" t="str">
        <f aca="false">TRIM(AB198)</f>
        <v/>
      </c>
      <c r="AF198" s="36" t="str">
        <f aca="false">IF(AE198="Revenue","Revenue",IF(AE198="Cost of Goods Sold","COGS",IF(AE198="Expenditures","Expense",IF(AE198="Other Revenue","Other Revenue",IF(AE198="Other Expenditures","Other Expense",AF197)))))</f>
        <v/>
      </c>
      <c r="AG198" s="36" t="str">
        <f aca="false">IF(OR(AE198="Revenue",AE198="Cost of Goods Sold",AE198="Expenditures",AE198="Other Revenue",AE198="Other Expenditures"),AF198,IF(AND(LEN(AE198)&gt;2,MID(AE198,2,1)=" ",ISNUMBER(VALUE(LEFT(AE198,1)))),AE198,AG197))</f>
        <v/>
      </c>
      <c r="AH198" s="36" t="n">
        <f aca="false">IF(AND(AE198&lt;&gt;"",ISNUMBER(AC198),LEFT(AE198,9)&lt;&gt;"Total for",AE198&lt;&gt;"Gross Profit",AE198&lt;&gt;"Net Operating Revenue",AE198&lt;&gt;"Net Other Revenue",AE198&lt;&gt;"Net Revenue"),1,0)</f>
        <v>0</v>
      </c>
      <c r="AI198" s="36" t="str">
        <f aca="false">IF(AH198=1,IF(AND(LEN(AE198)&gt;7,ISNUMBER(VALUE(LEFT(AE198,6))),MID(AE198,7,1)=" "),LEFT(AE198,6),AE198),"")</f>
        <v/>
      </c>
      <c r="AN198" s="36" t="str">
        <f aca="false">TRIM(AK198)</f>
        <v/>
      </c>
      <c r="AO198" s="36" t="str">
        <f aca="false">IF(AN198="Revenue","Revenue",IF(AN198="Cost of Goods Sold","COGS",IF(AN198="Expenditures","Expense",IF(AN198="Other Revenue","Other Revenue",IF(AN198="Other Expenditures","Other Expense",AO197)))))</f>
        <v/>
      </c>
      <c r="AP198" s="36" t="str">
        <f aca="false">IF(OR(AN198="Revenue",AN198="Cost of Goods Sold",AN198="Expenditures",AN198="Other Revenue",AN198="Other Expenditures"),AO198,IF(AND(LEN(AN198)&gt;2,MID(AN198,2,1)=" ",ISNUMBER(VALUE(LEFT(AN198,1)))),AN198,AP197))</f>
        <v/>
      </c>
      <c r="AQ198" s="36" t="n">
        <f aca="false">IF(AND(AN198&lt;&gt;"",ISNUMBER(AL198),LEFT(AN198,9)&lt;&gt;"Total for",AN198&lt;&gt;"Gross Profit",AN198&lt;&gt;"Net Operating Revenue",AN198&lt;&gt;"Net Other Revenue",AN198&lt;&gt;"Net Revenue"),1,0)</f>
        <v>0</v>
      </c>
      <c r="AR198" s="36" t="str">
        <f aca="false">IF(AQ198=1,IF(AND(LEN(AN198)&gt;7,ISNUMBER(VALUE(LEFT(AN198,6))),MID(AN198,7,1)=" "),LEFT(AN198,6),AN198),"")</f>
        <v/>
      </c>
    </row>
    <row r="199" customFormat="false" ht="15" hidden="false" customHeight="false" outlineLevel="0" collapsed="false">
      <c r="D199" s="36" t="str">
        <f aca="false">TRIM(A199)</f>
        <v/>
      </c>
      <c r="E199" s="36" t="str">
        <f aca="false">IF(D199="Revenue","Revenue",IF(D199="Cost of Goods Sold","COGS",IF(D199="Expenditures","Expense",IF(D199="Other Revenue","Other Revenue",IF(D199="Other Expenditures","Other Expense",E198)))))</f>
        <v/>
      </c>
      <c r="F199" s="36" t="str">
        <f aca="false">IF(OR(D199="Revenue",D199="Cost of Goods Sold",D199="Expenditures",D199="Other Revenue",D199="Other Expenditures"),E199,IF(AND(LEN(D199)&gt;2,MID(D199,2,1)=" ",ISNUMBER(VALUE(LEFT(D199,1)))),D199,F198))</f>
        <v/>
      </c>
      <c r="G199" s="36" t="n">
        <f aca="false">IF(AND(D199&lt;&gt;"",ISNUMBER(B199),LEFT(D199,9)&lt;&gt;"Total for",D199&lt;&gt;"Gross Profit",D199&lt;&gt;"Net Operating Revenue",D199&lt;&gt;"Net Other Revenue",D199&lt;&gt;"Net Revenue"),1,0)</f>
        <v>0</v>
      </c>
      <c r="H199" s="36" t="str">
        <f aca="false">IF(G199=1,IF(AND(LEN(D199)&gt;7,ISNUMBER(VALUE(LEFT(D199,6))),MID(D199,7,1)=" "),LEFT(D199,6),D199),"")</f>
        <v/>
      </c>
      <c r="M199" s="36" t="str">
        <f aca="false">TRIM(J199)</f>
        <v/>
      </c>
      <c r="N199" s="36" t="str">
        <f aca="false">IF(M199="Revenue","Revenue",IF(M199="Cost of Goods Sold","COGS",IF(M199="Expenditures","Expense",IF(M199="Other Revenue","Other Revenue",IF(M199="Other Expenditures","Other Expense",N198)))))</f>
        <v/>
      </c>
      <c r="O199" s="36" t="str">
        <f aca="false">IF(OR(M199="Revenue",M199="Cost of Goods Sold",M199="Expenditures",M199="Other Revenue",M199="Other Expenditures"),N199,IF(AND(LEN(M199)&gt;2,MID(M199,2,1)=" ",ISNUMBER(VALUE(LEFT(M199,1)))),M199,O198))</f>
        <v/>
      </c>
      <c r="P199" s="36" t="n">
        <f aca="false">IF(AND(M199&lt;&gt;"",ISNUMBER(K199),LEFT(M199,9)&lt;&gt;"Total for",M199&lt;&gt;"Gross Profit",M199&lt;&gt;"Net Operating Revenue",M199&lt;&gt;"Net Other Revenue",M199&lt;&gt;"Net Revenue"),1,0)</f>
        <v>0</v>
      </c>
      <c r="Q199" s="36" t="str">
        <f aca="false">IF(P199=1,IF(AND(LEN(M199)&gt;7,ISNUMBER(VALUE(LEFT(M199,6))),MID(M199,7,1)=" "),LEFT(M199,6),M199),"")</f>
        <v/>
      </c>
      <c r="V199" s="36" t="str">
        <f aca="false">TRIM(S199)</f>
        <v/>
      </c>
      <c r="W199" s="36" t="str">
        <f aca="false">IF(V199="Revenue","Revenue",IF(V199="Cost of Goods Sold","COGS",IF(V199="Expenditures","Expense",IF(V199="Other Revenue","Other Revenue",IF(V199="Other Expenditures","Other Expense",W198)))))</f>
        <v/>
      </c>
      <c r="X199" s="36" t="str">
        <f aca="false">IF(OR(V199="Revenue",V199="Cost of Goods Sold",V199="Expenditures",V199="Other Revenue",V199="Other Expenditures"),W199,IF(AND(LEN(V199)&gt;2,MID(V199,2,1)=" ",ISNUMBER(VALUE(LEFT(V199,1)))),V199,X198))</f>
        <v/>
      </c>
      <c r="Y199" s="36" t="n">
        <f aca="false">IF(AND(V199&lt;&gt;"",ISNUMBER(T199),LEFT(V199,9)&lt;&gt;"Total for",V199&lt;&gt;"Gross Profit",V199&lt;&gt;"Net Operating Revenue",V199&lt;&gt;"Net Other Revenue",V199&lt;&gt;"Net Revenue"),1,0)</f>
        <v>0</v>
      </c>
      <c r="Z199" s="36" t="str">
        <f aca="false">IF(Y199=1,IF(AND(LEN(V199)&gt;7,ISNUMBER(VALUE(LEFT(V199,6))),MID(V199,7,1)=" "),LEFT(V199,6),V199),"")</f>
        <v/>
      </c>
      <c r="AE199" s="36" t="str">
        <f aca="false">TRIM(AB199)</f>
        <v/>
      </c>
      <c r="AF199" s="36" t="str">
        <f aca="false">IF(AE199="Revenue","Revenue",IF(AE199="Cost of Goods Sold","COGS",IF(AE199="Expenditures","Expense",IF(AE199="Other Revenue","Other Revenue",IF(AE199="Other Expenditures","Other Expense",AF198)))))</f>
        <v/>
      </c>
      <c r="AG199" s="36" t="str">
        <f aca="false">IF(OR(AE199="Revenue",AE199="Cost of Goods Sold",AE199="Expenditures",AE199="Other Revenue",AE199="Other Expenditures"),AF199,IF(AND(LEN(AE199)&gt;2,MID(AE199,2,1)=" ",ISNUMBER(VALUE(LEFT(AE199,1)))),AE199,AG198))</f>
        <v/>
      </c>
      <c r="AH199" s="36" t="n">
        <f aca="false">IF(AND(AE199&lt;&gt;"",ISNUMBER(AC199),LEFT(AE199,9)&lt;&gt;"Total for",AE199&lt;&gt;"Gross Profit",AE199&lt;&gt;"Net Operating Revenue",AE199&lt;&gt;"Net Other Revenue",AE199&lt;&gt;"Net Revenue"),1,0)</f>
        <v>0</v>
      </c>
      <c r="AI199" s="36" t="str">
        <f aca="false">IF(AH199=1,IF(AND(LEN(AE199)&gt;7,ISNUMBER(VALUE(LEFT(AE199,6))),MID(AE199,7,1)=" "),LEFT(AE199,6),AE199),"")</f>
        <v/>
      </c>
      <c r="AN199" s="36" t="str">
        <f aca="false">TRIM(AK199)</f>
        <v/>
      </c>
      <c r="AO199" s="36" t="str">
        <f aca="false">IF(AN199="Revenue","Revenue",IF(AN199="Cost of Goods Sold","COGS",IF(AN199="Expenditures","Expense",IF(AN199="Other Revenue","Other Revenue",IF(AN199="Other Expenditures","Other Expense",AO198)))))</f>
        <v/>
      </c>
      <c r="AP199" s="36" t="str">
        <f aca="false">IF(OR(AN199="Revenue",AN199="Cost of Goods Sold",AN199="Expenditures",AN199="Other Revenue",AN199="Other Expenditures"),AO199,IF(AND(LEN(AN199)&gt;2,MID(AN199,2,1)=" ",ISNUMBER(VALUE(LEFT(AN199,1)))),AN199,AP198))</f>
        <v/>
      </c>
      <c r="AQ199" s="36" t="n">
        <f aca="false">IF(AND(AN199&lt;&gt;"",ISNUMBER(AL199),LEFT(AN199,9)&lt;&gt;"Total for",AN199&lt;&gt;"Gross Profit",AN199&lt;&gt;"Net Operating Revenue",AN199&lt;&gt;"Net Other Revenue",AN199&lt;&gt;"Net Revenue"),1,0)</f>
        <v>0</v>
      </c>
      <c r="AR199" s="36" t="str">
        <f aca="false">IF(AQ199=1,IF(AND(LEN(AN199)&gt;7,ISNUMBER(VALUE(LEFT(AN199,6))),MID(AN199,7,1)=" "),LEFT(AN199,6),AN199),"")</f>
        <v/>
      </c>
    </row>
    <row r="200" customFormat="false" ht="15" hidden="false" customHeight="false" outlineLevel="0" collapsed="false">
      <c r="D200" s="36" t="str">
        <f aca="false">TRIM(A200)</f>
        <v/>
      </c>
      <c r="E200" s="36" t="str">
        <f aca="false">IF(D200="Revenue","Revenue",IF(D200="Cost of Goods Sold","COGS",IF(D200="Expenditures","Expense",IF(D200="Other Revenue","Other Revenue",IF(D200="Other Expenditures","Other Expense",E199)))))</f>
        <v/>
      </c>
      <c r="F200" s="36" t="str">
        <f aca="false">IF(OR(D200="Revenue",D200="Cost of Goods Sold",D200="Expenditures",D200="Other Revenue",D200="Other Expenditures"),E200,IF(AND(LEN(D200)&gt;2,MID(D200,2,1)=" ",ISNUMBER(VALUE(LEFT(D200,1)))),D200,F199))</f>
        <v/>
      </c>
      <c r="G200" s="36" t="n">
        <f aca="false">IF(AND(D200&lt;&gt;"",ISNUMBER(B200),LEFT(D200,9)&lt;&gt;"Total for",D200&lt;&gt;"Gross Profit",D200&lt;&gt;"Net Operating Revenue",D200&lt;&gt;"Net Other Revenue",D200&lt;&gt;"Net Revenue"),1,0)</f>
        <v>0</v>
      </c>
      <c r="H200" s="36" t="str">
        <f aca="false">IF(G200=1,IF(AND(LEN(D200)&gt;7,ISNUMBER(VALUE(LEFT(D200,6))),MID(D200,7,1)=" "),LEFT(D200,6),D200),"")</f>
        <v/>
      </c>
      <c r="M200" s="36" t="str">
        <f aca="false">TRIM(J200)</f>
        <v/>
      </c>
      <c r="N200" s="36" t="str">
        <f aca="false">IF(M200="Revenue","Revenue",IF(M200="Cost of Goods Sold","COGS",IF(M200="Expenditures","Expense",IF(M200="Other Revenue","Other Revenue",IF(M200="Other Expenditures","Other Expense",N199)))))</f>
        <v/>
      </c>
      <c r="O200" s="36" t="str">
        <f aca="false">IF(OR(M200="Revenue",M200="Cost of Goods Sold",M200="Expenditures",M200="Other Revenue",M200="Other Expenditures"),N200,IF(AND(LEN(M200)&gt;2,MID(M200,2,1)=" ",ISNUMBER(VALUE(LEFT(M200,1)))),M200,O199))</f>
        <v/>
      </c>
      <c r="P200" s="36" t="n">
        <f aca="false">IF(AND(M200&lt;&gt;"",ISNUMBER(K200),LEFT(M200,9)&lt;&gt;"Total for",M200&lt;&gt;"Gross Profit",M200&lt;&gt;"Net Operating Revenue",M200&lt;&gt;"Net Other Revenue",M200&lt;&gt;"Net Revenue"),1,0)</f>
        <v>0</v>
      </c>
      <c r="Q200" s="36" t="str">
        <f aca="false">IF(P200=1,IF(AND(LEN(M200)&gt;7,ISNUMBER(VALUE(LEFT(M200,6))),MID(M200,7,1)=" "),LEFT(M200,6),M200),"")</f>
        <v/>
      </c>
      <c r="V200" s="36" t="str">
        <f aca="false">TRIM(S200)</f>
        <v/>
      </c>
      <c r="W200" s="36" t="str">
        <f aca="false">IF(V200="Revenue","Revenue",IF(V200="Cost of Goods Sold","COGS",IF(V200="Expenditures","Expense",IF(V200="Other Revenue","Other Revenue",IF(V200="Other Expenditures","Other Expense",W199)))))</f>
        <v/>
      </c>
      <c r="X200" s="36" t="str">
        <f aca="false">IF(OR(V200="Revenue",V200="Cost of Goods Sold",V200="Expenditures",V200="Other Revenue",V200="Other Expenditures"),W200,IF(AND(LEN(V200)&gt;2,MID(V200,2,1)=" ",ISNUMBER(VALUE(LEFT(V200,1)))),V200,X199))</f>
        <v/>
      </c>
      <c r="Y200" s="36" t="n">
        <f aca="false">IF(AND(V200&lt;&gt;"",ISNUMBER(T200),LEFT(V200,9)&lt;&gt;"Total for",V200&lt;&gt;"Gross Profit",V200&lt;&gt;"Net Operating Revenue",V200&lt;&gt;"Net Other Revenue",V200&lt;&gt;"Net Revenue"),1,0)</f>
        <v>0</v>
      </c>
      <c r="Z200" s="36" t="str">
        <f aca="false">IF(Y200=1,IF(AND(LEN(V200)&gt;7,ISNUMBER(VALUE(LEFT(V200,6))),MID(V200,7,1)=" "),LEFT(V200,6),V200),"")</f>
        <v/>
      </c>
      <c r="AE200" s="36" t="str">
        <f aca="false">TRIM(AB200)</f>
        <v/>
      </c>
      <c r="AF200" s="36" t="str">
        <f aca="false">IF(AE200="Revenue","Revenue",IF(AE200="Cost of Goods Sold","COGS",IF(AE200="Expenditures","Expense",IF(AE200="Other Revenue","Other Revenue",IF(AE200="Other Expenditures","Other Expense",AF199)))))</f>
        <v/>
      </c>
      <c r="AG200" s="36" t="str">
        <f aca="false">IF(OR(AE200="Revenue",AE200="Cost of Goods Sold",AE200="Expenditures",AE200="Other Revenue",AE200="Other Expenditures"),AF200,IF(AND(LEN(AE200)&gt;2,MID(AE200,2,1)=" ",ISNUMBER(VALUE(LEFT(AE200,1)))),AE200,AG199))</f>
        <v/>
      </c>
      <c r="AH200" s="36" t="n">
        <f aca="false">IF(AND(AE200&lt;&gt;"",ISNUMBER(AC200),LEFT(AE200,9)&lt;&gt;"Total for",AE200&lt;&gt;"Gross Profit",AE200&lt;&gt;"Net Operating Revenue",AE200&lt;&gt;"Net Other Revenue",AE200&lt;&gt;"Net Revenue"),1,0)</f>
        <v>0</v>
      </c>
      <c r="AI200" s="36" t="str">
        <f aca="false">IF(AH200=1,IF(AND(LEN(AE200)&gt;7,ISNUMBER(VALUE(LEFT(AE200,6))),MID(AE200,7,1)=" "),LEFT(AE200,6),AE200),"")</f>
        <v/>
      </c>
      <c r="AN200" s="36" t="str">
        <f aca="false">TRIM(AK200)</f>
        <v/>
      </c>
      <c r="AO200" s="36" t="str">
        <f aca="false">IF(AN200="Revenue","Revenue",IF(AN200="Cost of Goods Sold","COGS",IF(AN200="Expenditures","Expense",IF(AN200="Other Revenue","Other Revenue",IF(AN200="Other Expenditures","Other Expense",AO199)))))</f>
        <v/>
      </c>
      <c r="AP200" s="36" t="str">
        <f aca="false">IF(OR(AN200="Revenue",AN200="Cost of Goods Sold",AN200="Expenditures",AN200="Other Revenue",AN200="Other Expenditures"),AO200,IF(AND(LEN(AN200)&gt;2,MID(AN200,2,1)=" ",ISNUMBER(VALUE(LEFT(AN200,1)))),AN200,AP199))</f>
        <v/>
      </c>
      <c r="AQ200" s="36" t="n">
        <f aca="false">IF(AND(AN200&lt;&gt;"",ISNUMBER(AL200),LEFT(AN200,9)&lt;&gt;"Total for",AN200&lt;&gt;"Gross Profit",AN200&lt;&gt;"Net Operating Revenue",AN200&lt;&gt;"Net Other Revenue",AN200&lt;&gt;"Net Revenue"),1,0)</f>
        <v>0</v>
      </c>
      <c r="AR200" s="36" t="str">
        <f aca="false">IF(AQ200=1,IF(AND(LEN(AN200)&gt;7,ISNUMBER(VALUE(LEFT(AN200,6))),MID(AN200,7,1)=" "),LEFT(AN200,6),AN200),"")</f>
        <v/>
      </c>
    </row>
    <row r="201" customFormat="false" ht="15" hidden="false" customHeight="false" outlineLevel="0" collapsed="false">
      <c r="D201" s="36" t="str">
        <f aca="false">TRIM(A201)</f>
        <v/>
      </c>
      <c r="E201" s="36" t="str">
        <f aca="false">IF(D201="Revenue","Revenue",IF(D201="Cost of Goods Sold","COGS",IF(D201="Expenditures","Expense",IF(D201="Other Revenue","Other Revenue",IF(D201="Other Expenditures","Other Expense",E200)))))</f>
        <v/>
      </c>
      <c r="F201" s="36" t="str">
        <f aca="false">IF(OR(D201="Revenue",D201="Cost of Goods Sold",D201="Expenditures",D201="Other Revenue",D201="Other Expenditures"),E201,IF(AND(LEN(D201)&gt;2,MID(D201,2,1)=" ",ISNUMBER(VALUE(LEFT(D201,1)))),D201,F200))</f>
        <v/>
      </c>
      <c r="G201" s="36" t="n">
        <f aca="false">IF(AND(D201&lt;&gt;"",ISNUMBER(B201),LEFT(D201,9)&lt;&gt;"Total for",D201&lt;&gt;"Gross Profit",D201&lt;&gt;"Net Operating Revenue",D201&lt;&gt;"Net Other Revenue",D201&lt;&gt;"Net Revenue"),1,0)</f>
        <v>0</v>
      </c>
      <c r="H201" s="36" t="str">
        <f aca="false">IF(G201=1,IF(AND(LEN(D201)&gt;7,ISNUMBER(VALUE(LEFT(D201,6))),MID(D201,7,1)=" "),LEFT(D201,6),D201),"")</f>
        <v/>
      </c>
      <c r="M201" s="36" t="str">
        <f aca="false">TRIM(J201)</f>
        <v/>
      </c>
      <c r="N201" s="36" t="str">
        <f aca="false">IF(M201="Revenue","Revenue",IF(M201="Cost of Goods Sold","COGS",IF(M201="Expenditures","Expense",IF(M201="Other Revenue","Other Revenue",IF(M201="Other Expenditures","Other Expense",N200)))))</f>
        <v/>
      </c>
      <c r="O201" s="36" t="str">
        <f aca="false">IF(OR(M201="Revenue",M201="Cost of Goods Sold",M201="Expenditures",M201="Other Revenue",M201="Other Expenditures"),N201,IF(AND(LEN(M201)&gt;2,MID(M201,2,1)=" ",ISNUMBER(VALUE(LEFT(M201,1)))),M201,O200))</f>
        <v/>
      </c>
      <c r="P201" s="36" t="n">
        <f aca="false">IF(AND(M201&lt;&gt;"",ISNUMBER(K201),LEFT(M201,9)&lt;&gt;"Total for",M201&lt;&gt;"Gross Profit",M201&lt;&gt;"Net Operating Revenue",M201&lt;&gt;"Net Other Revenue",M201&lt;&gt;"Net Revenue"),1,0)</f>
        <v>0</v>
      </c>
      <c r="Q201" s="36" t="str">
        <f aca="false">IF(P201=1,IF(AND(LEN(M201)&gt;7,ISNUMBER(VALUE(LEFT(M201,6))),MID(M201,7,1)=" "),LEFT(M201,6),M201),"")</f>
        <v/>
      </c>
      <c r="V201" s="36" t="str">
        <f aca="false">TRIM(S201)</f>
        <v/>
      </c>
      <c r="W201" s="36" t="str">
        <f aca="false">IF(V201="Revenue","Revenue",IF(V201="Cost of Goods Sold","COGS",IF(V201="Expenditures","Expense",IF(V201="Other Revenue","Other Revenue",IF(V201="Other Expenditures","Other Expense",W200)))))</f>
        <v/>
      </c>
      <c r="X201" s="36" t="str">
        <f aca="false">IF(OR(V201="Revenue",V201="Cost of Goods Sold",V201="Expenditures",V201="Other Revenue",V201="Other Expenditures"),W201,IF(AND(LEN(V201)&gt;2,MID(V201,2,1)=" ",ISNUMBER(VALUE(LEFT(V201,1)))),V201,X200))</f>
        <v/>
      </c>
      <c r="Y201" s="36" t="n">
        <f aca="false">IF(AND(V201&lt;&gt;"",ISNUMBER(T201),LEFT(V201,9)&lt;&gt;"Total for",V201&lt;&gt;"Gross Profit",V201&lt;&gt;"Net Operating Revenue",V201&lt;&gt;"Net Other Revenue",V201&lt;&gt;"Net Revenue"),1,0)</f>
        <v>0</v>
      </c>
      <c r="Z201" s="36" t="str">
        <f aca="false">IF(Y201=1,IF(AND(LEN(V201)&gt;7,ISNUMBER(VALUE(LEFT(V201,6))),MID(V201,7,1)=" "),LEFT(V201,6),V201),"")</f>
        <v/>
      </c>
      <c r="AE201" s="36" t="str">
        <f aca="false">TRIM(AB201)</f>
        <v/>
      </c>
      <c r="AF201" s="36" t="str">
        <f aca="false">IF(AE201="Revenue","Revenue",IF(AE201="Cost of Goods Sold","COGS",IF(AE201="Expenditures","Expense",IF(AE201="Other Revenue","Other Revenue",IF(AE201="Other Expenditures","Other Expense",AF200)))))</f>
        <v/>
      </c>
      <c r="AG201" s="36" t="str">
        <f aca="false">IF(OR(AE201="Revenue",AE201="Cost of Goods Sold",AE201="Expenditures",AE201="Other Revenue",AE201="Other Expenditures"),AF201,IF(AND(LEN(AE201)&gt;2,MID(AE201,2,1)=" ",ISNUMBER(VALUE(LEFT(AE201,1)))),AE201,AG200))</f>
        <v/>
      </c>
      <c r="AH201" s="36" t="n">
        <f aca="false">IF(AND(AE201&lt;&gt;"",ISNUMBER(AC201),LEFT(AE201,9)&lt;&gt;"Total for",AE201&lt;&gt;"Gross Profit",AE201&lt;&gt;"Net Operating Revenue",AE201&lt;&gt;"Net Other Revenue",AE201&lt;&gt;"Net Revenue"),1,0)</f>
        <v>0</v>
      </c>
      <c r="AI201" s="36" t="str">
        <f aca="false">IF(AH201=1,IF(AND(LEN(AE201)&gt;7,ISNUMBER(VALUE(LEFT(AE201,6))),MID(AE201,7,1)=" "),LEFT(AE201,6),AE201),"")</f>
        <v/>
      </c>
      <c r="AN201" s="36" t="str">
        <f aca="false">TRIM(AK201)</f>
        <v/>
      </c>
      <c r="AO201" s="36" t="str">
        <f aca="false">IF(AN201="Revenue","Revenue",IF(AN201="Cost of Goods Sold","COGS",IF(AN201="Expenditures","Expense",IF(AN201="Other Revenue","Other Revenue",IF(AN201="Other Expenditures","Other Expense",AO200)))))</f>
        <v/>
      </c>
      <c r="AP201" s="36" t="str">
        <f aca="false">IF(OR(AN201="Revenue",AN201="Cost of Goods Sold",AN201="Expenditures",AN201="Other Revenue",AN201="Other Expenditures"),AO201,IF(AND(LEN(AN201)&gt;2,MID(AN201,2,1)=" ",ISNUMBER(VALUE(LEFT(AN201,1)))),AN201,AP200))</f>
        <v/>
      </c>
      <c r="AQ201" s="36" t="n">
        <f aca="false">IF(AND(AN201&lt;&gt;"",ISNUMBER(AL201),LEFT(AN201,9)&lt;&gt;"Total for",AN201&lt;&gt;"Gross Profit",AN201&lt;&gt;"Net Operating Revenue",AN201&lt;&gt;"Net Other Revenue",AN201&lt;&gt;"Net Revenue"),1,0)</f>
        <v>0</v>
      </c>
      <c r="AR201" s="36" t="str">
        <f aca="false">IF(AQ201=1,IF(AND(LEN(AN201)&gt;7,ISNUMBER(VALUE(LEFT(AN201,6))),MID(AN201,7,1)=" "),LEFT(AN201,6),AN201),"")</f>
        <v/>
      </c>
    </row>
    <row r="202" customFormat="false" ht="15" hidden="false" customHeight="false" outlineLevel="0" collapsed="false">
      <c r="D202" s="36" t="str">
        <f aca="false">TRIM(A202)</f>
        <v/>
      </c>
      <c r="E202" s="36" t="str">
        <f aca="false">IF(D202="Revenue","Revenue",IF(D202="Cost of Goods Sold","COGS",IF(D202="Expenditures","Expense",IF(D202="Other Revenue","Other Revenue",IF(D202="Other Expenditures","Other Expense",E201)))))</f>
        <v/>
      </c>
      <c r="F202" s="36" t="str">
        <f aca="false">IF(OR(D202="Revenue",D202="Cost of Goods Sold",D202="Expenditures",D202="Other Revenue",D202="Other Expenditures"),E202,IF(AND(LEN(D202)&gt;2,MID(D202,2,1)=" ",ISNUMBER(VALUE(LEFT(D202,1)))),D202,F201))</f>
        <v/>
      </c>
      <c r="G202" s="36" t="n">
        <f aca="false">IF(AND(D202&lt;&gt;"",ISNUMBER(B202),LEFT(D202,9)&lt;&gt;"Total for",D202&lt;&gt;"Gross Profit",D202&lt;&gt;"Net Operating Revenue",D202&lt;&gt;"Net Other Revenue",D202&lt;&gt;"Net Revenue"),1,0)</f>
        <v>0</v>
      </c>
      <c r="H202" s="36" t="str">
        <f aca="false">IF(G202=1,IF(AND(LEN(D202)&gt;7,ISNUMBER(VALUE(LEFT(D202,6))),MID(D202,7,1)=" "),LEFT(D202,6),D202),"")</f>
        <v/>
      </c>
      <c r="M202" s="36" t="str">
        <f aca="false">TRIM(J202)</f>
        <v/>
      </c>
      <c r="N202" s="36" t="str">
        <f aca="false">IF(M202="Revenue","Revenue",IF(M202="Cost of Goods Sold","COGS",IF(M202="Expenditures","Expense",IF(M202="Other Revenue","Other Revenue",IF(M202="Other Expenditures","Other Expense",N201)))))</f>
        <v/>
      </c>
      <c r="O202" s="36" t="str">
        <f aca="false">IF(OR(M202="Revenue",M202="Cost of Goods Sold",M202="Expenditures",M202="Other Revenue",M202="Other Expenditures"),N202,IF(AND(LEN(M202)&gt;2,MID(M202,2,1)=" ",ISNUMBER(VALUE(LEFT(M202,1)))),M202,O201))</f>
        <v/>
      </c>
      <c r="P202" s="36" t="n">
        <f aca="false">IF(AND(M202&lt;&gt;"",ISNUMBER(K202),LEFT(M202,9)&lt;&gt;"Total for",M202&lt;&gt;"Gross Profit",M202&lt;&gt;"Net Operating Revenue",M202&lt;&gt;"Net Other Revenue",M202&lt;&gt;"Net Revenue"),1,0)</f>
        <v>0</v>
      </c>
      <c r="Q202" s="36" t="str">
        <f aca="false">IF(P202=1,IF(AND(LEN(M202)&gt;7,ISNUMBER(VALUE(LEFT(M202,6))),MID(M202,7,1)=" "),LEFT(M202,6),M202),"")</f>
        <v/>
      </c>
      <c r="V202" s="36" t="str">
        <f aca="false">TRIM(S202)</f>
        <v/>
      </c>
      <c r="W202" s="36" t="str">
        <f aca="false">IF(V202="Revenue","Revenue",IF(V202="Cost of Goods Sold","COGS",IF(V202="Expenditures","Expense",IF(V202="Other Revenue","Other Revenue",IF(V202="Other Expenditures","Other Expense",W201)))))</f>
        <v/>
      </c>
      <c r="X202" s="36" t="str">
        <f aca="false">IF(OR(V202="Revenue",V202="Cost of Goods Sold",V202="Expenditures",V202="Other Revenue",V202="Other Expenditures"),W202,IF(AND(LEN(V202)&gt;2,MID(V202,2,1)=" ",ISNUMBER(VALUE(LEFT(V202,1)))),V202,X201))</f>
        <v/>
      </c>
      <c r="Y202" s="36" t="n">
        <f aca="false">IF(AND(V202&lt;&gt;"",ISNUMBER(T202),LEFT(V202,9)&lt;&gt;"Total for",V202&lt;&gt;"Gross Profit",V202&lt;&gt;"Net Operating Revenue",V202&lt;&gt;"Net Other Revenue",V202&lt;&gt;"Net Revenue"),1,0)</f>
        <v>0</v>
      </c>
      <c r="Z202" s="36" t="str">
        <f aca="false">IF(Y202=1,IF(AND(LEN(V202)&gt;7,ISNUMBER(VALUE(LEFT(V202,6))),MID(V202,7,1)=" "),LEFT(V202,6),V202),"")</f>
        <v/>
      </c>
      <c r="AE202" s="36" t="str">
        <f aca="false">TRIM(AB202)</f>
        <v/>
      </c>
      <c r="AF202" s="36" t="str">
        <f aca="false">IF(AE202="Revenue","Revenue",IF(AE202="Cost of Goods Sold","COGS",IF(AE202="Expenditures","Expense",IF(AE202="Other Revenue","Other Revenue",IF(AE202="Other Expenditures","Other Expense",AF201)))))</f>
        <v/>
      </c>
      <c r="AG202" s="36" t="str">
        <f aca="false">IF(OR(AE202="Revenue",AE202="Cost of Goods Sold",AE202="Expenditures",AE202="Other Revenue",AE202="Other Expenditures"),AF202,IF(AND(LEN(AE202)&gt;2,MID(AE202,2,1)=" ",ISNUMBER(VALUE(LEFT(AE202,1)))),AE202,AG201))</f>
        <v/>
      </c>
      <c r="AH202" s="36" t="n">
        <f aca="false">IF(AND(AE202&lt;&gt;"",ISNUMBER(AC202),LEFT(AE202,9)&lt;&gt;"Total for",AE202&lt;&gt;"Gross Profit",AE202&lt;&gt;"Net Operating Revenue",AE202&lt;&gt;"Net Other Revenue",AE202&lt;&gt;"Net Revenue"),1,0)</f>
        <v>0</v>
      </c>
      <c r="AI202" s="36" t="str">
        <f aca="false">IF(AH202=1,IF(AND(LEN(AE202)&gt;7,ISNUMBER(VALUE(LEFT(AE202,6))),MID(AE202,7,1)=" "),LEFT(AE202,6),AE202),"")</f>
        <v/>
      </c>
      <c r="AN202" s="36" t="str">
        <f aca="false">TRIM(AK202)</f>
        <v/>
      </c>
      <c r="AO202" s="36" t="str">
        <f aca="false">IF(AN202="Revenue","Revenue",IF(AN202="Cost of Goods Sold","COGS",IF(AN202="Expenditures","Expense",IF(AN202="Other Revenue","Other Revenue",IF(AN202="Other Expenditures","Other Expense",AO201)))))</f>
        <v/>
      </c>
      <c r="AP202" s="36" t="str">
        <f aca="false">IF(OR(AN202="Revenue",AN202="Cost of Goods Sold",AN202="Expenditures",AN202="Other Revenue",AN202="Other Expenditures"),AO202,IF(AND(LEN(AN202)&gt;2,MID(AN202,2,1)=" ",ISNUMBER(VALUE(LEFT(AN202,1)))),AN202,AP201))</f>
        <v/>
      </c>
      <c r="AQ202" s="36" t="n">
        <f aca="false">IF(AND(AN202&lt;&gt;"",ISNUMBER(AL202),LEFT(AN202,9)&lt;&gt;"Total for",AN202&lt;&gt;"Gross Profit",AN202&lt;&gt;"Net Operating Revenue",AN202&lt;&gt;"Net Other Revenue",AN202&lt;&gt;"Net Revenue"),1,0)</f>
        <v>0</v>
      </c>
      <c r="AR202" s="36" t="str">
        <f aca="false">IF(AQ202=1,IF(AND(LEN(AN202)&gt;7,ISNUMBER(VALUE(LEFT(AN202,6))),MID(AN202,7,1)=" "),LEFT(AN202,6),AN202),"")</f>
        <v/>
      </c>
    </row>
    <row r="203" customFormat="false" ht="15" hidden="false" customHeight="false" outlineLevel="0" collapsed="false">
      <c r="D203" s="36" t="str">
        <f aca="false">TRIM(A203)</f>
        <v/>
      </c>
      <c r="E203" s="36" t="str">
        <f aca="false">IF(D203="Revenue","Revenue",IF(D203="Cost of Goods Sold","COGS",IF(D203="Expenditures","Expense",IF(D203="Other Revenue","Other Revenue",IF(D203="Other Expenditures","Other Expense",E202)))))</f>
        <v/>
      </c>
      <c r="F203" s="36" t="str">
        <f aca="false">IF(OR(D203="Revenue",D203="Cost of Goods Sold",D203="Expenditures",D203="Other Revenue",D203="Other Expenditures"),E203,IF(AND(LEN(D203)&gt;2,MID(D203,2,1)=" ",ISNUMBER(VALUE(LEFT(D203,1)))),D203,F202))</f>
        <v/>
      </c>
      <c r="G203" s="36" t="n">
        <f aca="false">IF(AND(D203&lt;&gt;"",ISNUMBER(B203),LEFT(D203,9)&lt;&gt;"Total for",D203&lt;&gt;"Gross Profit",D203&lt;&gt;"Net Operating Revenue",D203&lt;&gt;"Net Other Revenue",D203&lt;&gt;"Net Revenue"),1,0)</f>
        <v>0</v>
      </c>
      <c r="H203" s="36" t="str">
        <f aca="false">IF(G203=1,IF(AND(LEN(D203)&gt;7,ISNUMBER(VALUE(LEFT(D203,6))),MID(D203,7,1)=" "),LEFT(D203,6),D203),"")</f>
        <v/>
      </c>
      <c r="M203" s="36" t="str">
        <f aca="false">TRIM(J203)</f>
        <v/>
      </c>
      <c r="N203" s="36" t="str">
        <f aca="false">IF(M203="Revenue","Revenue",IF(M203="Cost of Goods Sold","COGS",IF(M203="Expenditures","Expense",IF(M203="Other Revenue","Other Revenue",IF(M203="Other Expenditures","Other Expense",N202)))))</f>
        <v/>
      </c>
      <c r="O203" s="36" t="str">
        <f aca="false">IF(OR(M203="Revenue",M203="Cost of Goods Sold",M203="Expenditures",M203="Other Revenue",M203="Other Expenditures"),N203,IF(AND(LEN(M203)&gt;2,MID(M203,2,1)=" ",ISNUMBER(VALUE(LEFT(M203,1)))),M203,O202))</f>
        <v/>
      </c>
      <c r="P203" s="36" t="n">
        <f aca="false">IF(AND(M203&lt;&gt;"",ISNUMBER(K203),LEFT(M203,9)&lt;&gt;"Total for",M203&lt;&gt;"Gross Profit",M203&lt;&gt;"Net Operating Revenue",M203&lt;&gt;"Net Other Revenue",M203&lt;&gt;"Net Revenue"),1,0)</f>
        <v>0</v>
      </c>
      <c r="Q203" s="36" t="str">
        <f aca="false">IF(P203=1,IF(AND(LEN(M203)&gt;7,ISNUMBER(VALUE(LEFT(M203,6))),MID(M203,7,1)=" "),LEFT(M203,6),M203),"")</f>
        <v/>
      </c>
      <c r="V203" s="36" t="str">
        <f aca="false">TRIM(S203)</f>
        <v/>
      </c>
      <c r="W203" s="36" t="str">
        <f aca="false">IF(V203="Revenue","Revenue",IF(V203="Cost of Goods Sold","COGS",IF(V203="Expenditures","Expense",IF(V203="Other Revenue","Other Revenue",IF(V203="Other Expenditures","Other Expense",W202)))))</f>
        <v/>
      </c>
      <c r="X203" s="36" t="str">
        <f aca="false">IF(OR(V203="Revenue",V203="Cost of Goods Sold",V203="Expenditures",V203="Other Revenue",V203="Other Expenditures"),W203,IF(AND(LEN(V203)&gt;2,MID(V203,2,1)=" ",ISNUMBER(VALUE(LEFT(V203,1)))),V203,X202))</f>
        <v/>
      </c>
      <c r="Y203" s="36" t="n">
        <f aca="false">IF(AND(V203&lt;&gt;"",ISNUMBER(T203),LEFT(V203,9)&lt;&gt;"Total for",V203&lt;&gt;"Gross Profit",V203&lt;&gt;"Net Operating Revenue",V203&lt;&gt;"Net Other Revenue",V203&lt;&gt;"Net Revenue"),1,0)</f>
        <v>0</v>
      </c>
      <c r="Z203" s="36" t="str">
        <f aca="false">IF(Y203=1,IF(AND(LEN(V203)&gt;7,ISNUMBER(VALUE(LEFT(V203,6))),MID(V203,7,1)=" "),LEFT(V203,6),V203),"")</f>
        <v/>
      </c>
      <c r="AE203" s="36" t="str">
        <f aca="false">TRIM(AB203)</f>
        <v/>
      </c>
      <c r="AF203" s="36" t="str">
        <f aca="false">IF(AE203="Revenue","Revenue",IF(AE203="Cost of Goods Sold","COGS",IF(AE203="Expenditures","Expense",IF(AE203="Other Revenue","Other Revenue",IF(AE203="Other Expenditures","Other Expense",AF202)))))</f>
        <v/>
      </c>
      <c r="AG203" s="36" t="str">
        <f aca="false">IF(OR(AE203="Revenue",AE203="Cost of Goods Sold",AE203="Expenditures",AE203="Other Revenue",AE203="Other Expenditures"),AF203,IF(AND(LEN(AE203)&gt;2,MID(AE203,2,1)=" ",ISNUMBER(VALUE(LEFT(AE203,1)))),AE203,AG202))</f>
        <v/>
      </c>
      <c r="AH203" s="36" t="n">
        <f aca="false">IF(AND(AE203&lt;&gt;"",ISNUMBER(AC203),LEFT(AE203,9)&lt;&gt;"Total for",AE203&lt;&gt;"Gross Profit",AE203&lt;&gt;"Net Operating Revenue",AE203&lt;&gt;"Net Other Revenue",AE203&lt;&gt;"Net Revenue"),1,0)</f>
        <v>0</v>
      </c>
      <c r="AI203" s="36" t="str">
        <f aca="false">IF(AH203=1,IF(AND(LEN(AE203)&gt;7,ISNUMBER(VALUE(LEFT(AE203,6))),MID(AE203,7,1)=" "),LEFT(AE203,6),AE203),"")</f>
        <v/>
      </c>
      <c r="AN203" s="36" t="str">
        <f aca="false">TRIM(AK203)</f>
        <v/>
      </c>
      <c r="AO203" s="36" t="str">
        <f aca="false">IF(AN203="Revenue","Revenue",IF(AN203="Cost of Goods Sold","COGS",IF(AN203="Expenditures","Expense",IF(AN203="Other Revenue","Other Revenue",IF(AN203="Other Expenditures","Other Expense",AO202)))))</f>
        <v/>
      </c>
      <c r="AP203" s="36" t="str">
        <f aca="false">IF(OR(AN203="Revenue",AN203="Cost of Goods Sold",AN203="Expenditures",AN203="Other Revenue",AN203="Other Expenditures"),AO203,IF(AND(LEN(AN203)&gt;2,MID(AN203,2,1)=" ",ISNUMBER(VALUE(LEFT(AN203,1)))),AN203,AP202))</f>
        <v/>
      </c>
      <c r="AQ203" s="36" t="n">
        <f aca="false">IF(AND(AN203&lt;&gt;"",ISNUMBER(AL203),LEFT(AN203,9)&lt;&gt;"Total for",AN203&lt;&gt;"Gross Profit",AN203&lt;&gt;"Net Operating Revenue",AN203&lt;&gt;"Net Other Revenue",AN203&lt;&gt;"Net Revenue"),1,0)</f>
        <v>0</v>
      </c>
      <c r="AR203" s="36" t="str">
        <f aca="false">IF(AQ203=1,IF(AND(LEN(AN203)&gt;7,ISNUMBER(VALUE(LEFT(AN203,6))),MID(AN203,7,1)=" "),LEFT(AN203,6),AN203),"")</f>
        <v/>
      </c>
    </row>
    <row r="204" customFormat="false" ht="15" hidden="false" customHeight="false" outlineLevel="0" collapsed="false">
      <c r="D204" s="36" t="str">
        <f aca="false">TRIM(A204)</f>
        <v/>
      </c>
      <c r="E204" s="36" t="str">
        <f aca="false">IF(D204="Revenue","Revenue",IF(D204="Cost of Goods Sold","COGS",IF(D204="Expenditures","Expense",IF(D204="Other Revenue","Other Revenue",IF(D204="Other Expenditures","Other Expense",E203)))))</f>
        <v/>
      </c>
      <c r="F204" s="36" t="str">
        <f aca="false">IF(OR(D204="Revenue",D204="Cost of Goods Sold",D204="Expenditures",D204="Other Revenue",D204="Other Expenditures"),E204,IF(AND(LEN(D204)&gt;2,MID(D204,2,1)=" ",ISNUMBER(VALUE(LEFT(D204,1)))),D204,F203))</f>
        <v/>
      </c>
      <c r="G204" s="36" t="n">
        <f aca="false">IF(AND(D204&lt;&gt;"",ISNUMBER(B204),LEFT(D204,9)&lt;&gt;"Total for",D204&lt;&gt;"Gross Profit",D204&lt;&gt;"Net Operating Revenue",D204&lt;&gt;"Net Other Revenue",D204&lt;&gt;"Net Revenue"),1,0)</f>
        <v>0</v>
      </c>
      <c r="H204" s="36" t="str">
        <f aca="false">IF(G204=1,IF(AND(LEN(D204)&gt;7,ISNUMBER(VALUE(LEFT(D204,6))),MID(D204,7,1)=" "),LEFT(D204,6),D204),"")</f>
        <v/>
      </c>
      <c r="M204" s="36" t="str">
        <f aca="false">TRIM(J204)</f>
        <v/>
      </c>
      <c r="N204" s="36" t="str">
        <f aca="false">IF(M204="Revenue","Revenue",IF(M204="Cost of Goods Sold","COGS",IF(M204="Expenditures","Expense",IF(M204="Other Revenue","Other Revenue",IF(M204="Other Expenditures","Other Expense",N203)))))</f>
        <v/>
      </c>
      <c r="O204" s="36" t="str">
        <f aca="false">IF(OR(M204="Revenue",M204="Cost of Goods Sold",M204="Expenditures",M204="Other Revenue",M204="Other Expenditures"),N204,IF(AND(LEN(M204)&gt;2,MID(M204,2,1)=" ",ISNUMBER(VALUE(LEFT(M204,1)))),M204,O203))</f>
        <v/>
      </c>
      <c r="P204" s="36" t="n">
        <f aca="false">IF(AND(M204&lt;&gt;"",ISNUMBER(K204),LEFT(M204,9)&lt;&gt;"Total for",M204&lt;&gt;"Gross Profit",M204&lt;&gt;"Net Operating Revenue",M204&lt;&gt;"Net Other Revenue",M204&lt;&gt;"Net Revenue"),1,0)</f>
        <v>0</v>
      </c>
      <c r="Q204" s="36" t="str">
        <f aca="false">IF(P204=1,IF(AND(LEN(M204)&gt;7,ISNUMBER(VALUE(LEFT(M204,6))),MID(M204,7,1)=" "),LEFT(M204,6),M204),"")</f>
        <v/>
      </c>
      <c r="V204" s="36" t="str">
        <f aca="false">TRIM(S204)</f>
        <v/>
      </c>
      <c r="W204" s="36" t="str">
        <f aca="false">IF(V204="Revenue","Revenue",IF(V204="Cost of Goods Sold","COGS",IF(V204="Expenditures","Expense",IF(V204="Other Revenue","Other Revenue",IF(V204="Other Expenditures","Other Expense",W203)))))</f>
        <v/>
      </c>
      <c r="X204" s="36" t="str">
        <f aca="false">IF(OR(V204="Revenue",V204="Cost of Goods Sold",V204="Expenditures",V204="Other Revenue",V204="Other Expenditures"),W204,IF(AND(LEN(V204)&gt;2,MID(V204,2,1)=" ",ISNUMBER(VALUE(LEFT(V204,1)))),V204,X203))</f>
        <v/>
      </c>
      <c r="Y204" s="36" t="n">
        <f aca="false">IF(AND(V204&lt;&gt;"",ISNUMBER(T204),LEFT(V204,9)&lt;&gt;"Total for",V204&lt;&gt;"Gross Profit",V204&lt;&gt;"Net Operating Revenue",V204&lt;&gt;"Net Other Revenue",V204&lt;&gt;"Net Revenue"),1,0)</f>
        <v>0</v>
      </c>
      <c r="Z204" s="36" t="str">
        <f aca="false">IF(Y204=1,IF(AND(LEN(V204)&gt;7,ISNUMBER(VALUE(LEFT(V204,6))),MID(V204,7,1)=" "),LEFT(V204,6),V204),"")</f>
        <v/>
      </c>
      <c r="AE204" s="36" t="str">
        <f aca="false">TRIM(AB204)</f>
        <v/>
      </c>
      <c r="AF204" s="36" t="str">
        <f aca="false">IF(AE204="Revenue","Revenue",IF(AE204="Cost of Goods Sold","COGS",IF(AE204="Expenditures","Expense",IF(AE204="Other Revenue","Other Revenue",IF(AE204="Other Expenditures","Other Expense",AF203)))))</f>
        <v/>
      </c>
      <c r="AG204" s="36" t="str">
        <f aca="false">IF(OR(AE204="Revenue",AE204="Cost of Goods Sold",AE204="Expenditures",AE204="Other Revenue",AE204="Other Expenditures"),AF204,IF(AND(LEN(AE204)&gt;2,MID(AE204,2,1)=" ",ISNUMBER(VALUE(LEFT(AE204,1)))),AE204,AG203))</f>
        <v/>
      </c>
      <c r="AH204" s="36" t="n">
        <f aca="false">IF(AND(AE204&lt;&gt;"",ISNUMBER(AC204),LEFT(AE204,9)&lt;&gt;"Total for",AE204&lt;&gt;"Gross Profit",AE204&lt;&gt;"Net Operating Revenue",AE204&lt;&gt;"Net Other Revenue",AE204&lt;&gt;"Net Revenue"),1,0)</f>
        <v>0</v>
      </c>
      <c r="AI204" s="36" t="str">
        <f aca="false">IF(AH204=1,IF(AND(LEN(AE204)&gt;7,ISNUMBER(VALUE(LEFT(AE204,6))),MID(AE204,7,1)=" "),LEFT(AE204,6),AE204),"")</f>
        <v/>
      </c>
      <c r="AN204" s="36" t="str">
        <f aca="false">TRIM(AK204)</f>
        <v/>
      </c>
      <c r="AO204" s="36" t="str">
        <f aca="false">IF(AN204="Revenue","Revenue",IF(AN204="Cost of Goods Sold","COGS",IF(AN204="Expenditures","Expense",IF(AN204="Other Revenue","Other Revenue",IF(AN204="Other Expenditures","Other Expense",AO203)))))</f>
        <v/>
      </c>
      <c r="AP204" s="36" t="str">
        <f aca="false">IF(OR(AN204="Revenue",AN204="Cost of Goods Sold",AN204="Expenditures",AN204="Other Revenue",AN204="Other Expenditures"),AO204,IF(AND(LEN(AN204)&gt;2,MID(AN204,2,1)=" ",ISNUMBER(VALUE(LEFT(AN204,1)))),AN204,AP203))</f>
        <v/>
      </c>
      <c r="AQ204" s="36" t="n">
        <f aca="false">IF(AND(AN204&lt;&gt;"",ISNUMBER(AL204),LEFT(AN204,9)&lt;&gt;"Total for",AN204&lt;&gt;"Gross Profit",AN204&lt;&gt;"Net Operating Revenue",AN204&lt;&gt;"Net Other Revenue",AN204&lt;&gt;"Net Revenue"),1,0)</f>
        <v>0</v>
      </c>
      <c r="AR204" s="36" t="str">
        <f aca="false">IF(AQ204=1,IF(AND(LEN(AN204)&gt;7,ISNUMBER(VALUE(LEFT(AN204,6))),MID(AN204,7,1)=" "),LEFT(AN204,6),AN204),"")</f>
        <v/>
      </c>
    </row>
    <row r="205" customFormat="false" ht="15" hidden="false" customHeight="false" outlineLevel="0" collapsed="false">
      <c r="D205" s="36" t="str">
        <f aca="false">TRIM(A205)</f>
        <v/>
      </c>
      <c r="E205" s="36" t="str">
        <f aca="false">IF(D205="Revenue","Revenue",IF(D205="Cost of Goods Sold","COGS",IF(D205="Expenditures","Expense",IF(D205="Other Revenue","Other Revenue",IF(D205="Other Expenditures","Other Expense",E204)))))</f>
        <v/>
      </c>
      <c r="F205" s="36" t="str">
        <f aca="false">IF(OR(D205="Revenue",D205="Cost of Goods Sold",D205="Expenditures",D205="Other Revenue",D205="Other Expenditures"),E205,IF(AND(LEN(D205)&gt;2,MID(D205,2,1)=" ",ISNUMBER(VALUE(LEFT(D205,1)))),D205,F204))</f>
        <v/>
      </c>
      <c r="G205" s="36" t="n">
        <f aca="false">IF(AND(D205&lt;&gt;"",ISNUMBER(B205),LEFT(D205,9)&lt;&gt;"Total for",D205&lt;&gt;"Gross Profit",D205&lt;&gt;"Net Operating Revenue",D205&lt;&gt;"Net Other Revenue",D205&lt;&gt;"Net Revenue"),1,0)</f>
        <v>0</v>
      </c>
      <c r="H205" s="36" t="str">
        <f aca="false">IF(G205=1,IF(AND(LEN(D205)&gt;7,ISNUMBER(VALUE(LEFT(D205,6))),MID(D205,7,1)=" "),LEFT(D205,6),D205),"")</f>
        <v/>
      </c>
      <c r="M205" s="36" t="str">
        <f aca="false">TRIM(J205)</f>
        <v/>
      </c>
      <c r="N205" s="36" t="str">
        <f aca="false">IF(M205="Revenue","Revenue",IF(M205="Cost of Goods Sold","COGS",IF(M205="Expenditures","Expense",IF(M205="Other Revenue","Other Revenue",IF(M205="Other Expenditures","Other Expense",N204)))))</f>
        <v/>
      </c>
      <c r="O205" s="36" t="str">
        <f aca="false">IF(OR(M205="Revenue",M205="Cost of Goods Sold",M205="Expenditures",M205="Other Revenue",M205="Other Expenditures"),N205,IF(AND(LEN(M205)&gt;2,MID(M205,2,1)=" ",ISNUMBER(VALUE(LEFT(M205,1)))),M205,O204))</f>
        <v/>
      </c>
      <c r="P205" s="36" t="n">
        <f aca="false">IF(AND(M205&lt;&gt;"",ISNUMBER(K205),LEFT(M205,9)&lt;&gt;"Total for",M205&lt;&gt;"Gross Profit",M205&lt;&gt;"Net Operating Revenue",M205&lt;&gt;"Net Other Revenue",M205&lt;&gt;"Net Revenue"),1,0)</f>
        <v>0</v>
      </c>
      <c r="Q205" s="36" t="str">
        <f aca="false">IF(P205=1,IF(AND(LEN(M205)&gt;7,ISNUMBER(VALUE(LEFT(M205,6))),MID(M205,7,1)=" "),LEFT(M205,6),M205),"")</f>
        <v/>
      </c>
      <c r="V205" s="36" t="str">
        <f aca="false">TRIM(S205)</f>
        <v/>
      </c>
      <c r="W205" s="36" t="str">
        <f aca="false">IF(V205="Revenue","Revenue",IF(V205="Cost of Goods Sold","COGS",IF(V205="Expenditures","Expense",IF(V205="Other Revenue","Other Revenue",IF(V205="Other Expenditures","Other Expense",W204)))))</f>
        <v/>
      </c>
      <c r="X205" s="36" t="str">
        <f aca="false">IF(OR(V205="Revenue",V205="Cost of Goods Sold",V205="Expenditures",V205="Other Revenue",V205="Other Expenditures"),W205,IF(AND(LEN(V205)&gt;2,MID(V205,2,1)=" ",ISNUMBER(VALUE(LEFT(V205,1)))),V205,X204))</f>
        <v/>
      </c>
      <c r="Y205" s="36" t="n">
        <f aca="false">IF(AND(V205&lt;&gt;"",ISNUMBER(T205),LEFT(V205,9)&lt;&gt;"Total for",V205&lt;&gt;"Gross Profit",V205&lt;&gt;"Net Operating Revenue",V205&lt;&gt;"Net Other Revenue",V205&lt;&gt;"Net Revenue"),1,0)</f>
        <v>0</v>
      </c>
      <c r="Z205" s="36" t="str">
        <f aca="false">IF(Y205=1,IF(AND(LEN(V205)&gt;7,ISNUMBER(VALUE(LEFT(V205,6))),MID(V205,7,1)=" "),LEFT(V205,6),V205),"")</f>
        <v/>
      </c>
      <c r="AE205" s="36" t="str">
        <f aca="false">TRIM(AB205)</f>
        <v/>
      </c>
      <c r="AF205" s="36" t="str">
        <f aca="false">IF(AE205="Revenue","Revenue",IF(AE205="Cost of Goods Sold","COGS",IF(AE205="Expenditures","Expense",IF(AE205="Other Revenue","Other Revenue",IF(AE205="Other Expenditures","Other Expense",AF204)))))</f>
        <v/>
      </c>
      <c r="AG205" s="36" t="str">
        <f aca="false">IF(OR(AE205="Revenue",AE205="Cost of Goods Sold",AE205="Expenditures",AE205="Other Revenue",AE205="Other Expenditures"),AF205,IF(AND(LEN(AE205)&gt;2,MID(AE205,2,1)=" ",ISNUMBER(VALUE(LEFT(AE205,1)))),AE205,AG204))</f>
        <v/>
      </c>
      <c r="AH205" s="36" t="n">
        <f aca="false">IF(AND(AE205&lt;&gt;"",ISNUMBER(AC205),LEFT(AE205,9)&lt;&gt;"Total for",AE205&lt;&gt;"Gross Profit",AE205&lt;&gt;"Net Operating Revenue",AE205&lt;&gt;"Net Other Revenue",AE205&lt;&gt;"Net Revenue"),1,0)</f>
        <v>0</v>
      </c>
      <c r="AI205" s="36" t="str">
        <f aca="false">IF(AH205=1,IF(AND(LEN(AE205)&gt;7,ISNUMBER(VALUE(LEFT(AE205,6))),MID(AE205,7,1)=" "),LEFT(AE205,6),AE205),"")</f>
        <v/>
      </c>
      <c r="AN205" s="36" t="str">
        <f aca="false">TRIM(AK205)</f>
        <v/>
      </c>
      <c r="AO205" s="36" t="str">
        <f aca="false">IF(AN205="Revenue","Revenue",IF(AN205="Cost of Goods Sold","COGS",IF(AN205="Expenditures","Expense",IF(AN205="Other Revenue","Other Revenue",IF(AN205="Other Expenditures","Other Expense",AO204)))))</f>
        <v/>
      </c>
      <c r="AP205" s="36" t="str">
        <f aca="false">IF(OR(AN205="Revenue",AN205="Cost of Goods Sold",AN205="Expenditures",AN205="Other Revenue",AN205="Other Expenditures"),AO205,IF(AND(LEN(AN205)&gt;2,MID(AN205,2,1)=" ",ISNUMBER(VALUE(LEFT(AN205,1)))),AN205,AP204))</f>
        <v/>
      </c>
      <c r="AQ205" s="36" t="n">
        <f aca="false">IF(AND(AN205&lt;&gt;"",ISNUMBER(AL205),LEFT(AN205,9)&lt;&gt;"Total for",AN205&lt;&gt;"Gross Profit",AN205&lt;&gt;"Net Operating Revenue",AN205&lt;&gt;"Net Other Revenue",AN205&lt;&gt;"Net Revenue"),1,0)</f>
        <v>0</v>
      </c>
      <c r="AR205" s="36" t="str">
        <f aca="false">IF(AQ205=1,IF(AND(LEN(AN205)&gt;7,ISNUMBER(VALUE(LEFT(AN205,6))),MID(AN205,7,1)=" "),LEFT(AN205,6),AN205),"")</f>
        <v/>
      </c>
    </row>
    <row r="206" customFormat="false" ht="15" hidden="false" customHeight="false" outlineLevel="0" collapsed="false">
      <c r="D206" s="36" t="str">
        <f aca="false">TRIM(A206)</f>
        <v/>
      </c>
      <c r="E206" s="36" t="str">
        <f aca="false">IF(D206="Revenue","Revenue",IF(D206="Cost of Goods Sold","COGS",IF(D206="Expenditures","Expense",IF(D206="Other Revenue","Other Revenue",IF(D206="Other Expenditures","Other Expense",E205)))))</f>
        <v/>
      </c>
      <c r="F206" s="36" t="str">
        <f aca="false">IF(OR(D206="Revenue",D206="Cost of Goods Sold",D206="Expenditures",D206="Other Revenue",D206="Other Expenditures"),E206,IF(AND(LEN(D206)&gt;2,MID(D206,2,1)=" ",ISNUMBER(VALUE(LEFT(D206,1)))),D206,F205))</f>
        <v/>
      </c>
      <c r="G206" s="36" t="n">
        <f aca="false">IF(AND(D206&lt;&gt;"",ISNUMBER(B206),LEFT(D206,9)&lt;&gt;"Total for",D206&lt;&gt;"Gross Profit",D206&lt;&gt;"Net Operating Revenue",D206&lt;&gt;"Net Other Revenue",D206&lt;&gt;"Net Revenue"),1,0)</f>
        <v>0</v>
      </c>
      <c r="H206" s="36" t="str">
        <f aca="false">IF(G206=1,IF(AND(LEN(D206)&gt;7,ISNUMBER(VALUE(LEFT(D206,6))),MID(D206,7,1)=" "),LEFT(D206,6),D206),"")</f>
        <v/>
      </c>
      <c r="M206" s="36" t="str">
        <f aca="false">TRIM(J206)</f>
        <v/>
      </c>
      <c r="N206" s="36" t="str">
        <f aca="false">IF(M206="Revenue","Revenue",IF(M206="Cost of Goods Sold","COGS",IF(M206="Expenditures","Expense",IF(M206="Other Revenue","Other Revenue",IF(M206="Other Expenditures","Other Expense",N205)))))</f>
        <v/>
      </c>
      <c r="O206" s="36" t="str">
        <f aca="false">IF(OR(M206="Revenue",M206="Cost of Goods Sold",M206="Expenditures",M206="Other Revenue",M206="Other Expenditures"),N206,IF(AND(LEN(M206)&gt;2,MID(M206,2,1)=" ",ISNUMBER(VALUE(LEFT(M206,1)))),M206,O205))</f>
        <v/>
      </c>
      <c r="P206" s="36" t="n">
        <f aca="false">IF(AND(M206&lt;&gt;"",ISNUMBER(K206),LEFT(M206,9)&lt;&gt;"Total for",M206&lt;&gt;"Gross Profit",M206&lt;&gt;"Net Operating Revenue",M206&lt;&gt;"Net Other Revenue",M206&lt;&gt;"Net Revenue"),1,0)</f>
        <v>0</v>
      </c>
      <c r="Q206" s="36" t="str">
        <f aca="false">IF(P206=1,IF(AND(LEN(M206)&gt;7,ISNUMBER(VALUE(LEFT(M206,6))),MID(M206,7,1)=" "),LEFT(M206,6),M206),"")</f>
        <v/>
      </c>
      <c r="V206" s="36" t="str">
        <f aca="false">TRIM(S206)</f>
        <v/>
      </c>
      <c r="W206" s="36" t="str">
        <f aca="false">IF(V206="Revenue","Revenue",IF(V206="Cost of Goods Sold","COGS",IF(V206="Expenditures","Expense",IF(V206="Other Revenue","Other Revenue",IF(V206="Other Expenditures","Other Expense",W205)))))</f>
        <v/>
      </c>
      <c r="X206" s="36" t="str">
        <f aca="false">IF(OR(V206="Revenue",V206="Cost of Goods Sold",V206="Expenditures",V206="Other Revenue",V206="Other Expenditures"),W206,IF(AND(LEN(V206)&gt;2,MID(V206,2,1)=" ",ISNUMBER(VALUE(LEFT(V206,1)))),V206,X205))</f>
        <v/>
      </c>
      <c r="Y206" s="36" t="n">
        <f aca="false">IF(AND(V206&lt;&gt;"",ISNUMBER(T206),LEFT(V206,9)&lt;&gt;"Total for",V206&lt;&gt;"Gross Profit",V206&lt;&gt;"Net Operating Revenue",V206&lt;&gt;"Net Other Revenue",V206&lt;&gt;"Net Revenue"),1,0)</f>
        <v>0</v>
      </c>
      <c r="Z206" s="36" t="str">
        <f aca="false">IF(Y206=1,IF(AND(LEN(V206)&gt;7,ISNUMBER(VALUE(LEFT(V206,6))),MID(V206,7,1)=" "),LEFT(V206,6),V206),"")</f>
        <v/>
      </c>
      <c r="AE206" s="36" t="str">
        <f aca="false">TRIM(AB206)</f>
        <v/>
      </c>
      <c r="AF206" s="36" t="str">
        <f aca="false">IF(AE206="Revenue","Revenue",IF(AE206="Cost of Goods Sold","COGS",IF(AE206="Expenditures","Expense",IF(AE206="Other Revenue","Other Revenue",IF(AE206="Other Expenditures","Other Expense",AF205)))))</f>
        <v/>
      </c>
      <c r="AG206" s="36" t="str">
        <f aca="false">IF(OR(AE206="Revenue",AE206="Cost of Goods Sold",AE206="Expenditures",AE206="Other Revenue",AE206="Other Expenditures"),AF206,IF(AND(LEN(AE206)&gt;2,MID(AE206,2,1)=" ",ISNUMBER(VALUE(LEFT(AE206,1)))),AE206,AG205))</f>
        <v/>
      </c>
      <c r="AH206" s="36" t="n">
        <f aca="false">IF(AND(AE206&lt;&gt;"",ISNUMBER(AC206),LEFT(AE206,9)&lt;&gt;"Total for",AE206&lt;&gt;"Gross Profit",AE206&lt;&gt;"Net Operating Revenue",AE206&lt;&gt;"Net Other Revenue",AE206&lt;&gt;"Net Revenue"),1,0)</f>
        <v>0</v>
      </c>
      <c r="AI206" s="36" t="str">
        <f aca="false">IF(AH206=1,IF(AND(LEN(AE206)&gt;7,ISNUMBER(VALUE(LEFT(AE206,6))),MID(AE206,7,1)=" "),LEFT(AE206,6),AE206),"")</f>
        <v/>
      </c>
      <c r="AN206" s="36" t="str">
        <f aca="false">TRIM(AK206)</f>
        <v/>
      </c>
      <c r="AO206" s="36" t="str">
        <f aca="false">IF(AN206="Revenue","Revenue",IF(AN206="Cost of Goods Sold","COGS",IF(AN206="Expenditures","Expense",IF(AN206="Other Revenue","Other Revenue",IF(AN206="Other Expenditures","Other Expense",AO205)))))</f>
        <v/>
      </c>
      <c r="AP206" s="36" t="str">
        <f aca="false">IF(OR(AN206="Revenue",AN206="Cost of Goods Sold",AN206="Expenditures",AN206="Other Revenue",AN206="Other Expenditures"),AO206,IF(AND(LEN(AN206)&gt;2,MID(AN206,2,1)=" ",ISNUMBER(VALUE(LEFT(AN206,1)))),AN206,AP205))</f>
        <v/>
      </c>
      <c r="AQ206" s="36" t="n">
        <f aca="false">IF(AND(AN206&lt;&gt;"",ISNUMBER(AL206),LEFT(AN206,9)&lt;&gt;"Total for",AN206&lt;&gt;"Gross Profit",AN206&lt;&gt;"Net Operating Revenue",AN206&lt;&gt;"Net Other Revenue",AN206&lt;&gt;"Net Revenue"),1,0)</f>
        <v>0</v>
      </c>
      <c r="AR206" s="36" t="str">
        <f aca="false">IF(AQ206=1,IF(AND(LEN(AN206)&gt;7,ISNUMBER(VALUE(LEFT(AN206,6))),MID(AN206,7,1)=" "),LEFT(AN206,6),AN206),"")</f>
        <v/>
      </c>
    </row>
    <row r="207" customFormat="false" ht="15" hidden="false" customHeight="false" outlineLevel="0" collapsed="false">
      <c r="D207" s="36" t="str">
        <f aca="false">TRIM(A207)</f>
        <v/>
      </c>
      <c r="E207" s="36" t="str">
        <f aca="false">IF(D207="Revenue","Revenue",IF(D207="Cost of Goods Sold","COGS",IF(D207="Expenditures","Expense",IF(D207="Other Revenue","Other Revenue",IF(D207="Other Expenditures","Other Expense",E206)))))</f>
        <v/>
      </c>
      <c r="F207" s="36" t="str">
        <f aca="false">IF(OR(D207="Revenue",D207="Cost of Goods Sold",D207="Expenditures",D207="Other Revenue",D207="Other Expenditures"),E207,IF(AND(LEN(D207)&gt;2,MID(D207,2,1)=" ",ISNUMBER(VALUE(LEFT(D207,1)))),D207,F206))</f>
        <v/>
      </c>
      <c r="G207" s="36" t="n">
        <f aca="false">IF(AND(D207&lt;&gt;"",ISNUMBER(B207),LEFT(D207,9)&lt;&gt;"Total for",D207&lt;&gt;"Gross Profit",D207&lt;&gt;"Net Operating Revenue",D207&lt;&gt;"Net Other Revenue",D207&lt;&gt;"Net Revenue"),1,0)</f>
        <v>0</v>
      </c>
      <c r="H207" s="36" t="str">
        <f aca="false">IF(G207=1,IF(AND(LEN(D207)&gt;7,ISNUMBER(VALUE(LEFT(D207,6))),MID(D207,7,1)=" "),LEFT(D207,6),D207),"")</f>
        <v/>
      </c>
      <c r="M207" s="36" t="str">
        <f aca="false">TRIM(J207)</f>
        <v/>
      </c>
      <c r="N207" s="36" t="str">
        <f aca="false">IF(M207="Revenue","Revenue",IF(M207="Cost of Goods Sold","COGS",IF(M207="Expenditures","Expense",IF(M207="Other Revenue","Other Revenue",IF(M207="Other Expenditures","Other Expense",N206)))))</f>
        <v/>
      </c>
      <c r="O207" s="36" t="str">
        <f aca="false">IF(OR(M207="Revenue",M207="Cost of Goods Sold",M207="Expenditures",M207="Other Revenue",M207="Other Expenditures"),N207,IF(AND(LEN(M207)&gt;2,MID(M207,2,1)=" ",ISNUMBER(VALUE(LEFT(M207,1)))),M207,O206))</f>
        <v/>
      </c>
      <c r="P207" s="36" t="n">
        <f aca="false">IF(AND(M207&lt;&gt;"",ISNUMBER(K207),LEFT(M207,9)&lt;&gt;"Total for",M207&lt;&gt;"Gross Profit",M207&lt;&gt;"Net Operating Revenue",M207&lt;&gt;"Net Other Revenue",M207&lt;&gt;"Net Revenue"),1,0)</f>
        <v>0</v>
      </c>
      <c r="Q207" s="36" t="str">
        <f aca="false">IF(P207=1,IF(AND(LEN(M207)&gt;7,ISNUMBER(VALUE(LEFT(M207,6))),MID(M207,7,1)=" "),LEFT(M207,6),M207),"")</f>
        <v/>
      </c>
      <c r="V207" s="36" t="str">
        <f aca="false">TRIM(S207)</f>
        <v/>
      </c>
      <c r="W207" s="36" t="str">
        <f aca="false">IF(V207="Revenue","Revenue",IF(V207="Cost of Goods Sold","COGS",IF(V207="Expenditures","Expense",IF(V207="Other Revenue","Other Revenue",IF(V207="Other Expenditures","Other Expense",W206)))))</f>
        <v/>
      </c>
      <c r="X207" s="36" t="str">
        <f aca="false">IF(OR(V207="Revenue",V207="Cost of Goods Sold",V207="Expenditures",V207="Other Revenue",V207="Other Expenditures"),W207,IF(AND(LEN(V207)&gt;2,MID(V207,2,1)=" ",ISNUMBER(VALUE(LEFT(V207,1)))),V207,X206))</f>
        <v/>
      </c>
      <c r="Y207" s="36" t="n">
        <f aca="false">IF(AND(V207&lt;&gt;"",ISNUMBER(T207),LEFT(V207,9)&lt;&gt;"Total for",V207&lt;&gt;"Gross Profit",V207&lt;&gt;"Net Operating Revenue",V207&lt;&gt;"Net Other Revenue",V207&lt;&gt;"Net Revenue"),1,0)</f>
        <v>0</v>
      </c>
      <c r="Z207" s="36" t="str">
        <f aca="false">IF(Y207=1,IF(AND(LEN(V207)&gt;7,ISNUMBER(VALUE(LEFT(V207,6))),MID(V207,7,1)=" "),LEFT(V207,6),V207),"")</f>
        <v/>
      </c>
      <c r="AE207" s="36" t="str">
        <f aca="false">TRIM(AB207)</f>
        <v/>
      </c>
      <c r="AF207" s="36" t="str">
        <f aca="false">IF(AE207="Revenue","Revenue",IF(AE207="Cost of Goods Sold","COGS",IF(AE207="Expenditures","Expense",IF(AE207="Other Revenue","Other Revenue",IF(AE207="Other Expenditures","Other Expense",AF206)))))</f>
        <v/>
      </c>
      <c r="AG207" s="36" t="str">
        <f aca="false">IF(OR(AE207="Revenue",AE207="Cost of Goods Sold",AE207="Expenditures",AE207="Other Revenue",AE207="Other Expenditures"),AF207,IF(AND(LEN(AE207)&gt;2,MID(AE207,2,1)=" ",ISNUMBER(VALUE(LEFT(AE207,1)))),AE207,AG206))</f>
        <v/>
      </c>
      <c r="AH207" s="36" t="n">
        <f aca="false">IF(AND(AE207&lt;&gt;"",ISNUMBER(AC207),LEFT(AE207,9)&lt;&gt;"Total for",AE207&lt;&gt;"Gross Profit",AE207&lt;&gt;"Net Operating Revenue",AE207&lt;&gt;"Net Other Revenue",AE207&lt;&gt;"Net Revenue"),1,0)</f>
        <v>0</v>
      </c>
      <c r="AI207" s="36" t="str">
        <f aca="false">IF(AH207=1,IF(AND(LEN(AE207)&gt;7,ISNUMBER(VALUE(LEFT(AE207,6))),MID(AE207,7,1)=" "),LEFT(AE207,6),AE207),"")</f>
        <v/>
      </c>
      <c r="AN207" s="36" t="str">
        <f aca="false">TRIM(AK207)</f>
        <v/>
      </c>
      <c r="AO207" s="36" t="str">
        <f aca="false">IF(AN207="Revenue","Revenue",IF(AN207="Cost of Goods Sold","COGS",IF(AN207="Expenditures","Expense",IF(AN207="Other Revenue","Other Revenue",IF(AN207="Other Expenditures","Other Expense",AO206)))))</f>
        <v/>
      </c>
      <c r="AP207" s="36" t="str">
        <f aca="false">IF(OR(AN207="Revenue",AN207="Cost of Goods Sold",AN207="Expenditures",AN207="Other Revenue",AN207="Other Expenditures"),AO207,IF(AND(LEN(AN207)&gt;2,MID(AN207,2,1)=" ",ISNUMBER(VALUE(LEFT(AN207,1)))),AN207,AP206))</f>
        <v/>
      </c>
      <c r="AQ207" s="36" t="n">
        <f aca="false">IF(AND(AN207&lt;&gt;"",ISNUMBER(AL207),LEFT(AN207,9)&lt;&gt;"Total for",AN207&lt;&gt;"Gross Profit",AN207&lt;&gt;"Net Operating Revenue",AN207&lt;&gt;"Net Other Revenue",AN207&lt;&gt;"Net Revenue"),1,0)</f>
        <v>0</v>
      </c>
      <c r="AR207" s="36" t="str">
        <f aca="false">IF(AQ207=1,IF(AND(LEN(AN207)&gt;7,ISNUMBER(VALUE(LEFT(AN207,6))),MID(AN207,7,1)=" "),LEFT(AN207,6),AN207),"")</f>
        <v/>
      </c>
    </row>
    <row r="208" customFormat="false" ht="15" hidden="false" customHeight="false" outlineLevel="0" collapsed="false">
      <c r="D208" s="36" t="str">
        <f aca="false">TRIM(A208)</f>
        <v/>
      </c>
      <c r="E208" s="36" t="str">
        <f aca="false">IF(D208="Revenue","Revenue",IF(D208="Cost of Goods Sold","COGS",IF(D208="Expenditures","Expense",IF(D208="Other Revenue","Other Revenue",IF(D208="Other Expenditures","Other Expense",E207)))))</f>
        <v/>
      </c>
      <c r="F208" s="36" t="str">
        <f aca="false">IF(OR(D208="Revenue",D208="Cost of Goods Sold",D208="Expenditures",D208="Other Revenue",D208="Other Expenditures"),E208,IF(AND(LEN(D208)&gt;2,MID(D208,2,1)=" ",ISNUMBER(VALUE(LEFT(D208,1)))),D208,F207))</f>
        <v/>
      </c>
      <c r="G208" s="36" t="n">
        <f aca="false">IF(AND(D208&lt;&gt;"",ISNUMBER(B208),LEFT(D208,9)&lt;&gt;"Total for",D208&lt;&gt;"Gross Profit",D208&lt;&gt;"Net Operating Revenue",D208&lt;&gt;"Net Other Revenue",D208&lt;&gt;"Net Revenue"),1,0)</f>
        <v>0</v>
      </c>
      <c r="H208" s="36" t="str">
        <f aca="false">IF(G208=1,IF(AND(LEN(D208)&gt;7,ISNUMBER(VALUE(LEFT(D208,6))),MID(D208,7,1)=" "),LEFT(D208,6),D208),"")</f>
        <v/>
      </c>
      <c r="M208" s="36" t="str">
        <f aca="false">TRIM(J208)</f>
        <v/>
      </c>
      <c r="N208" s="36" t="str">
        <f aca="false">IF(M208="Revenue","Revenue",IF(M208="Cost of Goods Sold","COGS",IF(M208="Expenditures","Expense",IF(M208="Other Revenue","Other Revenue",IF(M208="Other Expenditures","Other Expense",N207)))))</f>
        <v/>
      </c>
      <c r="O208" s="36" t="str">
        <f aca="false">IF(OR(M208="Revenue",M208="Cost of Goods Sold",M208="Expenditures",M208="Other Revenue",M208="Other Expenditures"),N208,IF(AND(LEN(M208)&gt;2,MID(M208,2,1)=" ",ISNUMBER(VALUE(LEFT(M208,1)))),M208,O207))</f>
        <v/>
      </c>
      <c r="P208" s="36" t="n">
        <f aca="false">IF(AND(M208&lt;&gt;"",ISNUMBER(K208),LEFT(M208,9)&lt;&gt;"Total for",M208&lt;&gt;"Gross Profit",M208&lt;&gt;"Net Operating Revenue",M208&lt;&gt;"Net Other Revenue",M208&lt;&gt;"Net Revenue"),1,0)</f>
        <v>0</v>
      </c>
      <c r="Q208" s="36" t="str">
        <f aca="false">IF(P208=1,IF(AND(LEN(M208)&gt;7,ISNUMBER(VALUE(LEFT(M208,6))),MID(M208,7,1)=" "),LEFT(M208,6),M208),"")</f>
        <v/>
      </c>
      <c r="V208" s="36" t="str">
        <f aca="false">TRIM(S208)</f>
        <v/>
      </c>
      <c r="W208" s="36" t="str">
        <f aca="false">IF(V208="Revenue","Revenue",IF(V208="Cost of Goods Sold","COGS",IF(V208="Expenditures","Expense",IF(V208="Other Revenue","Other Revenue",IF(V208="Other Expenditures","Other Expense",W207)))))</f>
        <v/>
      </c>
      <c r="X208" s="36" t="str">
        <f aca="false">IF(OR(V208="Revenue",V208="Cost of Goods Sold",V208="Expenditures",V208="Other Revenue",V208="Other Expenditures"),W208,IF(AND(LEN(V208)&gt;2,MID(V208,2,1)=" ",ISNUMBER(VALUE(LEFT(V208,1)))),V208,X207))</f>
        <v/>
      </c>
      <c r="Y208" s="36" t="n">
        <f aca="false">IF(AND(V208&lt;&gt;"",ISNUMBER(T208),LEFT(V208,9)&lt;&gt;"Total for",V208&lt;&gt;"Gross Profit",V208&lt;&gt;"Net Operating Revenue",V208&lt;&gt;"Net Other Revenue",V208&lt;&gt;"Net Revenue"),1,0)</f>
        <v>0</v>
      </c>
      <c r="Z208" s="36" t="str">
        <f aca="false">IF(Y208=1,IF(AND(LEN(V208)&gt;7,ISNUMBER(VALUE(LEFT(V208,6))),MID(V208,7,1)=" "),LEFT(V208,6),V208),"")</f>
        <v/>
      </c>
      <c r="AE208" s="36" t="str">
        <f aca="false">TRIM(AB208)</f>
        <v/>
      </c>
      <c r="AF208" s="36" t="str">
        <f aca="false">IF(AE208="Revenue","Revenue",IF(AE208="Cost of Goods Sold","COGS",IF(AE208="Expenditures","Expense",IF(AE208="Other Revenue","Other Revenue",IF(AE208="Other Expenditures","Other Expense",AF207)))))</f>
        <v/>
      </c>
      <c r="AG208" s="36" t="str">
        <f aca="false">IF(OR(AE208="Revenue",AE208="Cost of Goods Sold",AE208="Expenditures",AE208="Other Revenue",AE208="Other Expenditures"),AF208,IF(AND(LEN(AE208)&gt;2,MID(AE208,2,1)=" ",ISNUMBER(VALUE(LEFT(AE208,1)))),AE208,AG207))</f>
        <v/>
      </c>
      <c r="AH208" s="36" t="n">
        <f aca="false">IF(AND(AE208&lt;&gt;"",ISNUMBER(AC208),LEFT(AE208,9)&lt;&gt;"Total for",AE208&lt;&gt;"Gross Profit",AE208&lt;&gt;"Net Operating Revenue",AE208&lt;&gt;"Net Other Revenue",AE208&lt;&gt;"Net Revenue"),1,0)</f>
        <v>0</v>
      </c>
      <c r="AI208" s="36" t="str">
        <f aca="false">IF(AH208=1,IF(AND(LEN(AE208)&gt;7,ISNUMBER(VALUE(LEFT(AE208,6))),MID(AE208,7,1)=" "),LEFT(AE208,6),AE208),"")</f>
        <v/>
      </c>
      <c r="AN208" s="36" t="str">
        <f aca="false">TRIM(AK208)</f>
        <v/>
      </c>
      <c r="AO208" s="36" t="str">
        <f aca="false">IF(AN208="Revenue","Revenue",IF(AN208="Cost of Goods Sold","COGS",IF(AN208="Expenditures","Expense",IF(AN208="Other Revenue","Other Revenue",IF(AN208="Other Expenditures","Other Expense",AO207)))))</f>
        <v/>
      </c>
      <c r="AP208" s="36" t="str">
        <f aca="false">IF(OR(AN208="Revenue",AN208="Cost of Goods Sold",AN208="Expenditures",AN208="Other Revenue",AN208="Other Expenditures"),AO208,IF(AND(LEN(AN208)&gt;2,MID(AN208,2,1)=" ",ISNUMBER(VALUE(LEFT(AN208,1)))),AN208,AP207))</f>
        <v/>
      </c>
      <c r="AQ208" s="36" t="n">
        <f aca="false">IF(AND(AN208&lt;&gt;"",ISNUMBER(AL208),LEFT(AN208,9)&lt;&gt;"Total for",AN208&lt;&gt;"Gross Profit",AN208&lt;&gt;"Net Operating Revenue",AN208&lt;&gt;"Net Other Revenue",AN208&lt;&gt;"Net Revenue"),1,0)</f>
        <v>0</v>
      </c>
      <c r="AR208" s="36" t="str">
        <f aca="false">IF(AQ208=1,IF(AND(LEN(AN208)&gt;7,ISNUMBER(VALUE(LEFT(AN208,6))),MID(AN208,7,1)=" "),LEFT(AN208,6),AN208),"")</f>
        <v/>
      </c>
    </row>
    <row r="209" customFormat="false" ht="15" hidden="false" customHeight="false" outlineLevel="0" collapsed="false">
      <c r="D209" s="36" t="str">
        <f aca="false">TRIM(A209)</f>
        <v/>
      </c>
      <c r="E209" s="36" t="str">
        <f aca="false">IF(D209="Revenue","Revenue",IF(D209="Cost of Goods Sold","COGS",IF(D209="Expenditures","Expense",IF(D209="Other Revenue","Other Revenue",IF(D209="Other Expenditures","Other Expense",E208)))))</f>
        <v/>
      </c>
      <c r="F209" s="36" t="str">
        <f aca="false">IF(OR(D209="Revenue",D209="Cost of Goods Sold",D209="Expenditures",D209="Other Revenue",D209="Other Expenditures"),E209,IF(AND(LEN(D209)&gt;2,MID(D209,2,1)=" ",ISNUMBER(VALUE(LEFT(D209,1)))),D209,F208))</f>
        <v/>
      </c>
      <c r="G209" s="36" t="n">
        <f aca="false">IF(AND(D209&lt;&gt;"",ISNUMBER(B209),LEFT(D209,9)&lt;&gt;"Total for",D209&lt;&gt;"Gross Profit",D209&lt;&gt;"Net Operating Revenue",D209&lt;&gt;"Net Other Revenue",D209&lt;&gt;"Net Revenue"),1,0)</f>
        <v>0</v>
      </c>
      <c r="H209" s="36" t="str">
        <f aca="false">IF(G209=1,IF(AND(LEN(D209)&gt;7,ISNUMBER(VALUE(LEFT(D209,6))),MID(D209,7,1)=" "),LEFT(D209,6),D209),"")</f>
        <v/>
      </c>
      <c r="M209" s="36" t="str">
        <f aca="false">TRIM(J209)</f>
        <v/>
      </c>
      <c r="N209" s="36" t="str">
        <f aca="false">IF(M209="Revenue","Revenue",IF(M209="Cost of Goods Sold","COGS",IF(M209="Expenditures","Expense",IF(M209="Other Revenue","Other Revenue",IF(M209="Other Expenditures","Other Expense",N208)))))</f>
        <v/>
      </c>
      <c r="O209" s="36" t="str">
        <f aca="false">IF(OR(M209="Revenue",M209="Cost of Goods Sold",M209="Expenditures",M209="Other Revenue",M209="Other Expenditures"),N209,IF(AND(LEN(M209)&gt;2,MID(M209,2,1)=" ",ISNUMBER(VALUE(LEFT(M209,1)))),M209,O208))</f>
        <v/>
      </c>
      <c r="P209" s="36" t="n">
        <f aca="false">IF(AND(M209&lt;&gt;"",ISNUMBER(K209),LEFT(M209,9)&lt;&gt;"Total for",M209&lt;&gt;"Gross Profit",M209&lt;&gt;"Net Operating Revenue",M209&lt;&gt;"Net Other Revenue",M209&lt;&gt;"Net Revenue"),1,0)</f>
        <v>0</v>
      </c>
      <c r="Q209" s="36" t="str">
        <f aca="false">IF(P209=1,IF(AND(LEN(M209)&gt;7,ISNUMBER(VALUE(LEFT(M209,6))),MID(M209,7,1)=" "),LEFT(M209,6),M209),"")</f>
        <v/>
      </c>
      <c r="V209" s="36" t="str">
        <f aca="false">TRIM(S209)</f>
        <v/>
      </c>
      <c r="W209" s="36" t="str">
        <f aca="false">IF(V209="Revenue","Revenue",IF(V209="Cost of Goods Sold","COGS",IF(V209="Expenditures","Expense",IF(V209="Other Revenue","Other Revenue",IF(V209="Other Expenditures","Other Expense",W208)))))</f>
        <v/>
      </c>
      <c r="X209" s="36" t="str">
        <f aca="false">IF(OR(V209="Revenue",V209="Cost of Goods Sold",V209="Expenditures",V209="Other Revenue",V209="Other Expenditures"),W209,IF(AND(LEN(V209)&gt;2,MID(V209,2,1)=" ",ISNUMBER(VALUE(LEFT(V209,1)))),V209,X208))</f>
        <v/>
      </c>
      <c r="Y209" s="36" t="n">
        <f aca="false">IF(AND(V209&lt;&gt;"",ISNUMBER(T209),LEFT(V209,9)&lt;&gt;"Total for",V209&lt;&gt;"Gross Profit",V209&lt;&gt;"Net Operating Revenue",V209&lt;&gt;"Net Other Revenue",V209&lt;&gt;"Net Revenue"),1,0)</f>
        <v>0</v>
      </c>
      <c r="Z209" s="36" t="str">
        <f aca="false">IF(Y209=1,IF(AND(LEN(V209)&gt;7,ISNUMBER(VALUE(LEFT(V209,6))),MID(V209,7,1)=" "),LEFT(V209,6),V209),"")</f>
        <v/>
      </c>
      <c r="AE209" s="36" t="str">
        <f aca="false">TRIM(AB209)</f>
        <v/>
      </c>
      <c r="AF209" s="36" t="str">
        <f aca="false">IF(AE209="Revenue","Revenue",IF(AE209="Cost of Goods Sold","COGS",IF(AE209="Expenditures","Expense",IF(AE209="Other Revenue","Other Revenue",IF(AE209="Other Expenditures","Other Expense",AF208)))))</f>
        <v/>
      </c>
      <c r="AG209" s="36" t="str">
        <f aca="false">IF(OR(AE209="Revenue",AE209="Cost of Goods Sold",AE209="Expenditures",AE209="Other Revenue",AE209="Other Expenditures"),AF209,IF(AND(LEN(AE209)&gt;2,MID(AE209,2,1)=" ",ISNUMBER(VALUE(LEFT(AE209,1)))),AE209,AG208))</f>
        <v/>
      </c>
      <c r="AH209" s="36" t="n">
        <f aca="false">IF(AND(AE209&lt;&gt;"",ISNUMBER(AC209),LEFT(AE209,9)&lt;&gt;"Total for",AE209&lt;&gt;"Gross Profit",AE209&lt;&gt;"Net Operating Revenue",AE209&lt;&gt;"Net Other Revenue",AE209&lt;&gt;"Net Revenue"),1,0)</f>
        <v>0</v>
      </c>
      <c r="AI209" s="36" t="str">
        <f aca="false">IF(AH209=1,IF(AND(LEN(AE209)&gt;7,ISNUMBER(VALUE(LEFT(AE209,6))),MID(AE209,7,1)=" "),LEFT(AE209,6),AE209),"")</f>
        <v/>
      </c>
      <c r="AN209" s="36" t="str">
        <f aca="false">TRIM(AK209)</f>
        <v/>
      </c>
      <c r="AO209" s="36" t="str">
        <f aca="false">IF(AN209="Revenue","Revenue",IF(AN209="Cost of Goods Sold","COGS",IF(AN209="Expenditures","Expense",IF(AN209="Other Revenue","Other Revenue",IF(AN209="Other Expenditures","Other Expense",AO208)))))</f>
        <v/>
      </c>
      <c r="AP209" s="36" t="str">
        <f aca="false">IF(OR(AN209="Revenue",AN209="Cost of Goods Sold",AN209="Expenditures",AN209="Other Revenue",AN209="Other Expenditures"),AO209,IF(AND(LEN(AN209)&gt;2,MID(AN209,2,1)=" ",ISNUMBER(VALUE(LEFT(AN209,1)))),AN209,AP208))</f>
        <v/>
      </c>
      <c r="AQ209" s="36" t="n">
        <f aca="false">IF(AND(AN209&lt;&gt;"",ISNUMBER(AL209),LEFT(AN209,9)&lt;&gt;"Total for",AN209&lt;&gt;"Gross Profit",AN209&lt;&gt;"Net Operating Revenue",AN209&lt;&gt;"Net Other Revenue",AN209&lt;&gt;"Net Revenue"),1,0)</f>
        <v>0</v>
      </c>
      <c r="AR209" s="36" t="str">
        <f aca="false">IF(AQ209=1,IF(AND(LEN(AN209)&gt;7,ISNUMBER(VALUE(LEFT(AN209,6))),MID(AN209,7,1)=" "),LEFT(AN209,6),AN209),"")</f>
        <v/>
      </c>
    </row>
    <row r="210" customFormat="false" ht="15" hidden="false" customHeight="false" outlineLevel="0" collapsed="false">
      <c r="D210" s="36" t="str">
        <f aca="false">TRIM(A210)</f>
        <v/>
      </c>
      <c r="E210" s="36" t="str">
        <f aca="false">IF(D210="Revenue","Revenue",IF(D210="Cost of Goods Sold","COGS",IF(D210="Expenditures","Expense",IF(D210="Other Revenue","Other Revenue",IF(D210="Other Expenditures","Other Expense",E209)))))</f>
        <v/>
      </c>
      <c r="F210" s="36" t="str">
        <f aca="false">IF(OR(D210="Revenue",D210="Cost of Goods Sold",D210="Expenditures",D210="Other Revenue",D210="Other Expenditures"),E210,IF(AND(LEN(D210)&gt;2,MID(D210,2,1)=" ",ISNUMBER(VALUE(LEFT(D210,1)))),D210,F209))</f>
        <v/>
      </c>
      <c r="G210" s="36" t="n">
        <f aca="false">IF(AND(D210&lt;&gt;"",ISNUMBER(B210),LEFT(D210,9)&lt;&gt;"Total for",D210&lt;&gt;"Gross Profit",D210&lt;&gt;"Net Operating Revenue",D210&lt;&gt;"Net Other Revenue",D210&lt;&gt;"Net Revenue"),1,0)</f>
        <v>0</v>
      </c>
      <c r="H210" s="36" t="str">
        <f aca="false">IF(G210=1,IF(AND(LEN(D210)&gt;7,ISNUMBER(VALUE(LEFT(D210,6))),MID(D210,7,1)=" "),LEFT(D210,6),D210),"")</f>
        <v/>
      </c>
      <c r="M210" s="36" t="str">
        <f aca="false">TRIM(J210)</f>
        <v/>
      </c>
      <c r="N210" s="36" t="str">
        <f aca="false">IF(M210="Revenue","Revenue",IF(M210="Cost of Goods Sold","COGS",IF(M210="Expenditures","Expense",IF(M210="Other Revenue","Other Revenue",IF(M210="Other Expenditures","Other Expense",N209)))))</f>
        <v/>
      </c>
      <c r="O210" s="36" t="str">
        <f aca="false">IF(OR(M210="Revenue",M210="Cost of Goods Sold",M210="Expenditures",M210="Other Revenue",M210="Other Expenditures"),N210,IF(AND(LEN(M210)&gt;2,MID(M210,2,1)=" ",ISNUMBER(VALUE(LEFT(M210,1)))),M210,O209))</f>
        <v/>
      </c>
      <c r="P210" s="36" t="n">
        <f aca="false">IF(AND(M210&lt;&gt;"",ISNUMBER(K210),LEFT(M210,9)&lt;&gt;"Total for",M210&lt;&gt;"Gross Profit",M210&lt;&gt;"Net Operating Revenue",M210&lt;&gt;"Net Other Revenue",M210&lt;&gt;"Net Revenue"),1,0)</f>
        <v>0</v>
      </c>
      <c r="Q210" s="36" t="str">
        <f aca="false">IF(P210=1,IF(AND(LEN(M210)&gt;7,ISNUMBER(VALUE(LEFT(M210,6))),MID(M210,7,1)=" "),LEFT(M210,6),M210),"")</f>
        <v/>
      </c>
      <c r="V210" s="36" t="str">
        <f aca="false">TRIM(S210)</f>
        <v/>
      </c>
      <c r="W210" s="36" t="str">
        <f aca="false">IF(V210="Revenue","Revenue",IF(V210="Cost of Goods Sold","COGS",IF(V210="Expenditures","Expense",IF(V210="Other Revenue","Other Revenue",IF(V210="Other Expenditures","Other Expense",W209)))))</f>
        <v/>
      </c>
      <c r="X210" s="36" t="str">
        <f aca="false">IF(OR(V210="Revenue",V210="Cost of Goods Sold",V210="Expenditures",V210="Other Revenue",V210="Other Expenditures"),W210,IF(AND(LEN(V210)&gt;2,MID(V210,2,1)=" ",ISNUMBER(VALUE(LEFT(V210,1)))),V210,X209))</f>
        <v/>
      </c>
      <c r="Y210" s="36" t="n">
        <f aca="false">IF(AND(V210&lt;&gt;"",ISNUMBER(T210),LEFT(V210,9)&lt;&gt;"Total for",V210&lt;&gt;"Gross Profit",V210&lt;&gt;"Net Operating Revenue",V210&lt;&gt;"Net Other Revenue",V210&lt;&gt;"Net Revenue"),1,0)</f>
        <v>0</v>
      </c>
      <c r="Z210" s="36" t="str">
        <f aca="false">IF(Y210=1,IF(AND(LEN(V210)&gt;7,ISNUMBER(VALUE(LEFT(V210,6))),MID(V210,7,1)=" "),LEFT(V210,6),V210),"")</f>
        <v/>
      </c>
      <c r="AE210" s="36" t="str">
        <f aca="false">TRIM(AB210)</f>
        <v/>
      </c>
      <c r="AF210" s="36" t="str">
        <f aca="false">IF(AE210="Revenue","Revenue",IF(AE210="Cost of Goods Sold","COGS",IF(AE210="Expenditures","Expense",IF(AE210="Other Revenue","Other Revenue",IF(AE210="Other Expenditures","Other Expense",AF209)))))</f>
        <v/>
      </c>
      <c r="AG210" s="36" t="str">
        <f aca="false">IF(OR(AE210="Revenue",AE210="Cost of Goods Sold",AE210="Expenditures",AE210="Other Revenue",AE210="Other Expenditures"),AF210,IF(AND(LEN(AE210)&gt;2,MID(AE210,2,1)=" ",ISNUMBER(VALUE(LEFT(AE210,1)))),AE210,AG209))</f>
        <v/>
      </c>
      <c r="AH210" s="36" t="n">
        <f aca="false">IF(AND(AE210&lt;&gt;"",ISNUMBER(AC210),LEFT(AE210,9)&lt;&gt;"Total for",AE210&lt;&gt;"Gross Profit",AE210&lt;&gt;"Net Operating Revenue",AE210&lt;&gt;"Net Other Revenue",AE210&lt;&gt;"Net Revenue"),1,0)</f>
        <v>0</v>
      </c>
      <c r="AI210" s="36" t="str">
        <f aca="false">IF(AH210=1,IF(AND(LEN(AE210)&gt;7,ISNUMBER(VALUE(LEFT(AE210,6))),MID(AE210,7,1)=" "),LEFT(AE210,6),AE210),"")</f>
        <v/>
      </c>
      <c r="AN210" s="36" t="str">
        <f aca="false">TRIM(AK210)</f>
        <v/>
      </c>
      <c r="AO210" s="36" t="str">
        <f aca="false">IF(AN210="Revenue","Revenue",IF(AN210="Cost of Goods Sold","COGS",IF(AN210="Expenditures","Expense",IF(AN210="Other Revenue","Other Revenue",IF(AN210="Other Expenditures","Other Expense",AO209)))))</f>
        <v/>
      </c>
      <c r="AP210" s="36" t="str">
        <f aca="false">IF(OR(AN210="Revenue",AN210="Cost of Goods Sold",AN210="Expenditures",AN210="Other Revenue",AN210="Other Expenditures"),AO210,IF(AND(LEN(AN210)&gt;2,MID(AN210,2,1)=" ",ISNUMBER(VALUE(LEFT(AN210,1)))),AN210,AP209))</f>
        <v/>
      </c>
      <c r="AQ210" s="36" t="n">
        <f aca="false">IF(AND(AN210&lt;&gt;"",ISNUMBER(AL210),LEFT(AN210,9)&lt;&gt;"Total for",AN210&lt;&gt;"Gross Profit",AN210&lt;&gt;"Net Operating Revenue",AN210&lt;&gt;"Net Other Revenue",AN210&lt;&gt;"Net Revenue"),1,0)</f>
        <v>0</v>
      </c>
      <c r="AR210" s="36" t="str">
        <f aca="false">IF(AQ210=1,IF(AND(LEN(AN210)&gt;7,ISNUMBER(VALUE(LEFT(AN210,6))),MID(AN210,7,1)=" "),LEFT(AN210,6),AN210),"")</f>
        <v/>
      </c>
    </row>
    <row r="211" customFormat="false" ht="15" hidden="false" customHeight="false" outlineLevel="0" collapsed="false">
      <c r="D211" s="36" t="str">
        <f aca="false">TRIM(A211)</f>
        <v/>
      </c>
      <c r="E211" s="36" t="str">
        <f aca="false">IF(D211="Revenue","Revenue",IF(D211="Cost of Goods Sold","COGS",IF(D211="Expenditures","Expense",IF(D211="Other Revenue","Other Revenue",IF(D211="Other Expenditures","Other Expense",E210)))))</f>
        <v/>
      </c>
      <c r="F211" s="36" t="str">
        <f aca="false">IF(OR(D211="Revenue",D211="Cost of Goods Sold",D211="Expenditures",D211="Other Revenue",D211="Other Expenditures"),E211,IF(AND(LEN(D211)&gt;2,MID(D211,2,1)=" ",ISNUMBER(VALUE(LEFT(D211,1)))),D211,F210))</f>
        <v/>
      </c>
      <c r="G211" s="36" t="n">
        <f aca="false">IF(AND(D211&lt;&gt;"",ISNUMBER(B211),LEFT(D211,9)&lt;&gt;"Total for",D211&lt;&gt;"Gross Profit",D211&lt;&gt;"Net Operating Revenue",D211&lt;&gt;"Net Other Revenue",D211&lt;&gt;"Net Revenue"),1,0)</f>
        <v>0</v>
      </c>
      <c r="H211" s="36" t="str">
        <f aca="false">IF(G211=1,IF(AND(LEN(D211)&gt;7,ISNUMBER(VALUE(LEFT(D211,6))),MID(D211,7,1)=" "),LEFT(D211,6),D211),"")</f>
        <v/>
      </c>
      <c r="M211" s="36" t="str">
        <f aca="false">TRIM(J211)</f>
        <v/>
      </c>
      <c r="N211" s="36" t="str">
        <f aca="false">IF(M211="Revenue","Revenue",IF(M211="Cost of Goods Sold","COGS",IF(M211="Expenditures","Expense",IF(M211="Other Revenue","Other Revenue",IF(M211="Other Expenditures","Other Expense",N210)))))</f>
        <v/>
      </c>
      <c r="O211" s="36" t="str">
        <f aca="false">IF(OR(M211="Revenue",M211="Cost of Goods Sold",M211="Expenditures",M211="Other Revenue",M211="Other Expenditures"),N211,IF(AND(LEN(M211)&gt;2,MID(M211,2,1)=" ",ISNUMBER(VALUE(LEFT(M211,1)))),M211,O210))</f>
        <v/>
      </c>
      <c r="P211" s="36" t="n">
        <f aca="false">IF(AND(M211&lt;&gt;"",ISNUMBER(K211),LEFT(M211,9)&lt;&gt;"Total for",M211&lt;&gt;"Gross Profit",M211&lt;&gt;"Net Operating Revenue",M211&lt;&gt;"Net Other Revenue",M211&lt;&gt;"Net Revenue"),1,0)</f>
        <v>0</v>
      </c>
      <c r="Q211" s="36" t="str">
        <f aca="false">IF(P211=1,IF(AND(LEN(M211)&gt;7,ISNUMBER(VALUE(LEFT(M211,6))),MID(M211,7,1)=" "),LEFT(M211,6),M211),"")</f>
        <v/>
      </c>
      <c r="V211" s="36" t="str">
        <f aca="false">TRIM(S211)</f>
        <v/>
      </c>
      <c r="W211" s="36" t="str">
        <f aca="false">IF(V211="Revenue","Revenue",IF(V211="Cost of Goods Sold","COGS",IF(V211="Expenditures","Expense",IF(V211="Other Revenue","Other Revenue",IF(V211="Other Expenditures","Other Expense",W210)))))</f>
        <v/>
      </c>
      <c r="X211" s="36" t="str">
        <f aca="false">IF(OR(V211="Revenue",V211="Cost of Goods Sold",V211="Expenditures",V211="Other Revenue",V211="Other Expenditures"),W211,IF(AND(LEN(V211)&gt;2,MID(V211,2,1)=" ",ISNUMBER(VALUE(LEFT(V211,1)))),V211,X210))</f>
        <v/>
      </c>
      <c r="Y211" s="36" t="n">
        <f aca="false">IF(AND(V211&lt;&gt;"",ISNUMBER(T211),LEFT(V211,9)&lt;&gt;"Total for",V211&lt;&gt;"Gross Profit",V211&lt;&gt;"Net Operating Revenue",V211&lt;&gt;"Net Other Revenue",V211&lt;&gt;"Net Revenue"),1,0)</f>
        <v>0</v>
      </c>
      <c r="Z211" s="36" t="str">
        <f aca="false">IF(Y211=1,IF(AND(LEN(V211)&gt;7,ISNUMBER(VALUE(LEFT(V211,6))),MID(V211,7,1)=" "),LEFT(V211,6),V211),"")</f>
        <v/>
      </c>
      <c r="AE211" s="36" t="str">
        <f aca="false">TRIM(AB211)</f>
        <v/>
      </c>
      <c r="AF211" s="36" t="str">
        <f aca="false">IF(AE211="Revenue","Revenue",IF(AE211="Cost of Goods Sold","COGS",IF(AE211="Expenditures","Expense",IF(AE211="Other Revenue","Other Revenue",IF(AE211="Other Expenditures","Other Expense",AF210)))))</f>
        <v/>
      </c>
      <c r="AG211" s="36" t="str">
        <f aca="false">IF(OR(AE211="Revenue",AE211="Cost of Goods Sold",AE211="Expenditures",AE211="Other Revenue",AE211="Other Expenditures"),AF211,IF(AND(LEN(AE211)&gt;2,MID(AE211,2,1)=" ",ISNUMBER(VALUE(LEFT(AE211,1)))),AE211,AG210))</f>
        <v/>
      </c>
      <c r="AH211" s="36" t="n">
        <f aca="false">IF(AND(AE211&lt;&gt;"",ISNUMBER(AC211),LEFT(AE211,9)&lt;&gt;"Total for",AE211&lt;&gt;"Gross Profit",AE211&lt;&gt;"Net Operating Revenue",AE211&lt;&gt;"Net Other Revenue",AE211&lt;&gt;"Net Revenue"),1,0)</f>
        <v>0</v>
      </c>
      <c r="AI211" s="36" t="str">
        <f aca="false">IF(AH211=1,IF(AND(LEN(AE211)&gt;7,ISNUMBER(VALUE(LEFT(AE211,6))),MID(AE211,7,1)=" "),LEFT(AE211,6),AE211),"")</f>
        <v/>
      </c>
      <c r="AN211" s="36" t="str">
        <f aca="false">TRIM(AK211)</f>
        <v/>
      </c>
      <c r="AO211" s="36" t="str">
        <f aca="false">IF(AN211="Revenue","Revenue",IF(AN211="Cost of Goods Sold","COGS",IF(AN211="Expenditures","Expense",IF(AN211="Other Revenue","Other Revenue",IF(AN211="Other Expenditures","Other Expense",AO210)))))</f>
        <v/>
      </c>
      <c r="AP211" s="36" t="str">
        <f aca="false">IF(OR(AN211="Revenue",AN211="Cost of Goods Sold",AN211="Expenditures",AN211="Other Revenue",AN211="Other Expenditures"),AO211,IF(AND(LEN(AN211)&gt;2,MID(AN211,2,1)=" ",ISNUMBER(VALUE(LEFT(AN211,1)))),AN211,AP210))</f>
        <v/>
      </c>
      <c r="AQ211" s="36" t="n">
        <f aca="false">IF(AND(AN211&lt;&gt;"",ISNUMBER(AL211),LEFT(AN211,9)&lt;&gt;"Total for",AN211&lt;&gt;"Gross Profit",AN211&lt;&gt;"Net Operating Revenue",AN211&lt;&gt;"Net Other Revenue",AN211&lt;&gt;"Net Revenue"),1,0)</f>
        <v>0</v>
      </c>
      <c r="AR211" s="36" t="str">
        <f aca="false">IF(AQ211=1,IF(AND(LEN(AN211)&gt;7,ISNUMBER(VALUE(LEFT(AN211,6))),MID(AN211,7,1)=" "),LEFT(AN211,6),AN211),"")</f>
        <v/>
      </c>
    </row>
    <row r="212" customFormat="false" ht="15" hidden="false" customHeight="false" outlineLevel="0" collapsed="false">
      <c r="D212" s="36" t="str">
        <f aca="false">TRIM(A212)</f>
        <v/>
      </c>
      <c r="E212" s="36" t="str">
        <f aca="false">IF(D212="Revenue","Revenue",IF(D212="Cost of Goods Sold","COGS",IF(D212="Expenditures","Expense",IF(D212="Other Revenue","Other Revenue",IF(D212="Other Expenditures","Other Expense",E211)))))</f>
        <v/>
      </c>
      <c r="F212" s="36" t="str">
        <f aca="false">IF(OR(D212="Revenue",D212="Cost of Goods Sold",D212="Expenditures",D212="Other Revenue",D212="Other Expenditures"),E212,IF(AND(LEN(D212)&gt;2,MID(D212,2,1)=" ",ISNUMBER(VALUE(LEFT(D212,1)))),D212,F211))</f>
        <v/>
      </c>
      <c r="G212" s="36" t="n">
        <f aca="false">IF(AND(D212&lt;&gt;"",ISNUMBER(B212),LEFT(D212,9)&lt;&gt;"Total for",D212&lt;&gt;"Gross Profit",D212&lt;&gt;"Net Operating Revenue",D212&lt;&gt;"Net Other Revenue",D212&lt;&gt;"Net Revenue"),1,0)</f>
        <v>0</v>
      </c>
      <c r="H212" s="36" t="str">
        <f aca="false">IF(G212=1,IF(AND(LEN(D212)&gt;7,ISNUMBER(VALUE(LEFT(D212,6))),MID(D212,7,1)=" "),LEFT(D212,6),D212),"")</f>
        <v/>
      </c>
      <c r="M212" s="36" t="str">
        <f aca="false">TRIM(J212)</f>
        <v/>
      </c>
      <c r="N212" s="36" t="str">
        <f aca="false">IF(M212="Revenue","Revenue",IF(M212="Cost of Goods Sold","COGS",IF(M212="Expenditures","Expense",IF(M212="Other Revenue","Other Revenue",IF(M212="Other Expenditures","Other Expense",N211)))))</f>
        <v/>
      </c>
      <c r="O212" s="36" t="str">
        <f aca="false">IF(OR(M212="Revenue",M212="Cost of Goods Sold",M212="Expenditures",M212="Other Revenue",M212="Other Expenditures"),N212,IF(AND(LEN(M212)&gt;2,MID(M212,2,1)=" ",ISNUMBER(VALUE(LEFT(M212,1)))),M212,O211))</f>
        <v/>
      </c>
      <c r="P212" s="36" t="n">
        <f aca="false">IF(AND(M212&lt;&gt;"",ISNUMBER(K212),LEFT(M212,9)&lt;&gt;"Total for",M212&lt;&gt;"Gross Profit",M212&lt;&gt;"Net Operating Revenue",M212&lt;&gt;"Net Other Revenue",M212&lt;&gt;"Net Revenue"),1,0)</f>
        <v>0</v>
      </c>
      <c r="Q212" s="36" t="str">
        <f aca="false">IF(P212=1,IF(AND(LEN(M212)&gt;7,ISNUMBER(VALUE(LEFT(M212,6))),MID(M212,7,1)=" "),LEFT(M212,6),M212),"")</f>
        <v/>
      </c>
      <c r="V212" s="36" t="str">
        <f aca="false">TRIM(S212)</f>
        <v/>
      </c>
      <c r="W212" s="36" t="str">
        <f aca="false">IF(V212="Revenue","Revenue",IF(V212="Cost of Goods Sold","COGS",IF(V212="Expenditures","Expense",IF(V212="Other Revenue","Other Revenue",IF(V212="Other Expenditures","Other Expense",W211)))))</f>
        <v/>
      </c>
      <c r="X212" s="36" t="str">
        <f aca="false">IF(OR(V212="Revenue",V212="Cost of Goods Sold",V212="Expenditures",V212="Other Revenue",V212="Other Expenditures"),W212,IF(AND(LEN(V212)&gt;2,MID(V212,2,1)=" ",ISNUMBER(VALUE(LEFT(V212,1)))),V212,X211))</f>
        <v/>
      </c>
      <c r="Y212" s="36" t="n">
        <f aca="false">IF(AND(V212&lt;&gt;"",ISNUMBER(T212),LEFT(V212,9)&lt;&gt;"Total for",V212&lt;&gt;"Gross Profit",V212&lt;&gt;"Net Operating Revenue",V212&lt;&gt;"Net Other Revenue",V212&lt;&gt;"Net Revenue"),1,0)</f>
        <v>0</v>
      </c>
      <c r="Z212" s="36" t="str">
        <f aca="false">IF(Y212=1,IF(AND(LEN(V212)&gt;7,ISNUMBER(VALUE(LEFT(V212,6))),MID(V212,7,1)=" "),LEFT(V212,6),V212),"")</f>
        <v/>
      </c>
      <c r="AE212" s="36" t="str">
        <f aca="false">TRIM(AB212)</f>
        <v/>
      </c>
      <c r="AF212" s="36" t="str">
        <f aca="false">IF(AE212="Revenue","Revenue",IF(AE212="Cost of Goods Sold","COGS",IF(AE212="Expenditures","Expense",IF(AE212="Other Revenue","Other Revenue",IF(AE212="Other Expenditures","Other Expense",AF211)))))</f>
        <v/>
      </c>
      <c r="AG212" s="36" t="str">
        <f aca="false">IF(OR(AE212="Revenue",AE212="Cost of Goods Sold",AE212="Expenditures",AE212="Other Revenue",AE212="Other Expenditures"),AF212,IF(AND(LEN(AE212)&gt;2,MID(AE212,2,1)=" ",ISNUMBER(VALUE(LEFT(AE212,1)))),AE212,AG211))</f>
        <v/>
      </c>
      <c r="AH212" s="36" t="n">
        <f aca="false">IF(AND(AE212&lt;&gt;"",ISNUMBER(AC212),LEFT(AE212,9)&lt;&gt;"Total for",AE212&lt;&gt;"Gross Profit",AE212&lt;&gt;"Net Operating Revenue",AE212&lt;&gt;"Net Other Revenue",AE212&lt;&gt;"Net Revenue"),1,0)</f>
        <v>0</v>
      </c>
      <c r="AI212" s="36" t="str">
        <f aca="false">IF(AH212=1,IF(AND(LEN(AE212)&gt;7,ISNUMBER(VALUE(LEFT(AE212,6))),MID(AE212,7,1)=" "),LEFT(AE212,6),AE212),"")</f>
        <v/>
      </c>
      <c r="AN212" s="36" t="str">
        <f aca="false">TRIM(AK212)</f>
        <v/>
      </c>
      <c r="AO212" s="36" t="str">
        <f aca="false">IF(AN212="Revenue","Revenue",IF(AN212="Cost of Goods Sold","COGS",IF(AN212="Expenditures","Expense",IF(AN212="Other Revenue","Other Revenue",IF(AN212="Other Expenditures","Other Expense",AO211)))))</f>
        <v/>
      </c>
      <c r="AP212" s="36" t="str">
        <f aca="false">IF(OR(AN212="Revenue",AN212="Cost of Goods Sold",AN212="Expenditures",AN212="Other Revenue",AN212="Other Expenditures"),AO212,IF(AND(LEN(AN212)&gt;2,MID(AN212,2,1)=" ",ISNUMBER(VALUE(LEFT(AN212,1)))),AN212,AP211))</f>
        <v/>
      </c>
      <c r="AQ212" s="36" t="n">
        <f aca="false">IF(AND(AN212&lt;&gt;"",ISNUMBER(AL212),LEFT(AN212,9)&lt;&gt;"Total for",AN212&lt;&gt;"Gross Profit",AN212&lt;&gt;"Net Operating Revenue",AN212&lt;&gt;"Net Other Revenue",AN212&lt;&gt;"Net Revenue"),1,0)</f>
        <v>0</v>
      </c>
      <c r="AR212" s="36" t="str">
        <f aca="false">IF(AQ212=1,IF(AND(LEN(AN212)&gt;7,ISNUMBER(VALUE(LEFT(AN212,6))),MID(AN212,7,1)=" "),LEFT(AN212,6),AN212),"")</f>
        <v/>
      </c>
    </row>
    <row r="213" customFormat="false" ht="15" hidden="false" customHeight="false" outlineLevel="0" collapsed="false">
      <c r="D213" s="36" t="str">
        <f aca="false">TRIM(A213)</f>
        <v/>
      </c>
      <c r="E213" s="36" t="str">
        <f aca="false">IF(D213="Revenue","Revenue",IF(D213="Cost of Goods Sold","COGS",IF(D213="Expenditures","Expense",IF(D213="Other Revenue","Other Revenue",IF(D213="Other Expenditures","Other Expense",E212)))))</f>
        <v/>
      </c>
      <c r="F213" s="36" t="str">
        <f aca="false">IF(OR(D213="Revenue",D213="Cost of Goods Sold",D213="Expenditures",D213="Other Revenue",D213="Other Expenditures"),E213,IF(AND(LEN(D213)&gt;2,MID(D213,2,1)=" ",ISNUMBER(VALUE(LEFT(D213,1)))),D213,F212))</f>
        <v/>
      </c>
      <c r="G213" s="36" t="n">
        <f aca="false">IF(AND(D213&lt;&gt;"",ISNUMBER(B213),LEFT(D213,9)&lt;&gt;"Total for",D213&lt;&gt;"Gross Profit",D213&lt;&gt;"Net Operating Revenue",D213&lt;&gt;"Net Other Revenue",D213&lt;&gt;"Net Revenue"),1,0)</f>
        <v>0</v>
      </c>
      <c r="H213" s="36" t="str">
        <f aca="false">IF(G213=1,IF(AND(LEN(D213)&gt;7,ISNUMBER(VALUE(LEFT(D213,6))),MID(D213,7,1)=" "),LEFT(D213,6),D213),"")</f>
        <v/>
      </c>
      <c r="M213" s="36" t="str">
        <f aca="false">TRIM(J213)</f>
        <v/>
      </c>
      <c r="N213" s="36" t="str">
        <f aca="false">IF(M213="Revenue","Revenue",IF(M213="Cost of Goods Sold","COGS",IF(M213="Expenditures","Expense",IF(M213="Other Revenue","Other Revenue",IF(M213="Other Expenditures","Other Expense",N212)))))</f>
        <v/>
      </c>
      <c r="O213" s="36" t="str">
        <f aca="false">IF(OR(M213="Revenue",M213="Cost of Goods Sold",M213="Expenditures",M213="Other Revenue",M213="Other Expenditures"),N213,IF(AND(LEN(M213)&gt;2,MID(M213,2,1)=" ",ISNUMBER(VALUE(LEFT(M213,1)))),M213,O212))</f>
        <v/>
      </c>
      <c r="P213" s="36" t="n">
        <f aca="false">IF(AND(M213&lt;&gt;"",ISNUMBER(K213),LEFT(M213,9)&lt;&gt;"Total for",M213&lt;&gt;"Gross Profit",M213&lt;&gt;"Net Operating Revenue",M213&lt;&gt;"Net Other Revenue",M213&lt;&gt;"Net Revenue"),1,0)</f>
        <v>0</v>
      </c>
      <c r="Q213" s="36" t="str">
        <f aca="false">IF(P213=1,IF(AND(LEN(M213)&gt;7,ISNUMBER(VALUE(LEFT(M213,6))),MID(M213,7,1)=" "),LEFT(M213,6),M213),"")</f>
        <v/>
      </c>
      <c r="V213" s="36" t="str">
        <f aca="false">TRIM(S213)</f>
        <v/>
      </c>
      <c r="W213" s="36" t="str">
        <f aca="false">IF(V213="Revenue","Revenue",IF(V213="Cost of Goods Sold","COGS",IF(V213="Expenditures","Expense",IF(V213="Other Revenue","Other Revenue",IF(V213="Other Expenditures","Other Expense",W212)))))</f>
        <v/>
      </c>
      <c r="X213" s="36" t="str">
        <f aca="false">IF(OR(V213="Revenue",V213="Cost of Goods Sold",V213="Expenditures",V213="Other Revenue",V213="Other Expenditures"),W213,IF(AND(LEN(V213)&gt;2,MID(V213,2,1)=" ",ISNUMBER(VALUE(LEFT(V213,1)))),V213,X212))</f>
        <v/>
      </c>
      <c r="Y213" s="36" t="n">
        <f aca="false">IF(AND(V213&lt;&gt;"",ISNUMBER(T213),LEFT(V213,9)&lt;&gt;"Total for",V213&lt;&gt;"Gross Profit",V213&lt;&gt;"Net Operating Revenue",V213&lt;&gt;"Net Other Revenue",V213&lt;&gt;"Net Revenue"),1,0)</f>
        <v>0</v>
      </c>
      <c r="Z213" s="36" t="str">
        <f aca="false">IF(Y213=1,IF(AND(LEN(V213)&gt;7,ISNUMBER(VALUE(LEFT(V213,6))),MID(V213,7,1)=" "),LEFT(V213,6),V213),"")</f>
        <v/>
      </c>
      <c r="AE213" s="36" t="str">
        <f aca="false">TRIM(AB213)</f>
        <v/>
      </c>
      <c r="AF213" s="36" t="str">
        <f aca="false">IF(AE213="Revenue","Revenue",IF(AE213="Cost of Goods Sold","COGS",IF(AE213="Expenditures","Expense",IF(AE213="Other Revenue","Other Revenue",IF(AE213="Other Expenditures","Other Expense",AF212)))))</f>
        <v/>
      </c>
      <c r="AG213" s="36" t="str">
        <f aca="false">IF(OR(AE213="Revenue",AE213="Cost of Goods Sold",AE213="Expenditures",AE213="Other Revenue",AE213="Other Expenditures"),AF213,IF(AND(LEN(AE213)&gt;2,MID(AE213,2,1)=" ",ISNUMBER(VALUE(LEFT(AE213,1)))),AE213,AG212))</f>
        <v/>
      </c>
      <c r="AH213" s="36" t="n">
        <f aca="false">IF(AND(AE213&lt;&gt;"",ISNUMBER(AC213),LEFT(AE213,9)&lt;&gt;"Total for",AE213&lt;&gt;"Gross Profit",AE213&lt;&gt;"Net Operating Revenue",AE213&lt;&gt;"Net Other Revenue",AE213&lt;&gt;"Net Revenue"),1,0)</f>
        <v>0</v>
      </c>
      <c r="AI213" s="36" t="str">
        <f aca="false">IF(AH213=1,IF(AND(LEN(AE213)&gt;7,ISNUMBER(VALUE(LEFT(AE213,6))),MID(AE213,7,1)=" "),LEFT(AE213,6),AE213),"")</f>
        <v/>
      </c>
      <c r="AN213" s="36" t="str">
        <f aca="false">TRIM(AK213)</f>
        <v/>
      </c>
      <c r="AO213" s="36" t="str">
        <f aca="false">IF(AN213="Revenue","Revenue",IF(AN213="Cost of Goods Sold","COGS",IF(AN213="Expenditures","Expense",IF(AN213="Other Revenue","Other Revenue",IF(AN213="Other Expenditures","Other Expense",AO212)))))</f>
        <v/>
      </c>
      <c r="AP213" s="36" t="str">
        <f aca="false">IF(OR(AN213="Revenue",AN213="Cost of Goods Sold",AN213="Expenditures",AN213="Other Revenue",AN213="Other Expenditures"),AO213,IF(AND(LEN(AN213)&gt;2,MID(AN213,2,1)=" ",ISNUMBER(VALUE(LEFT(AN213,1)))),AN213,AP212))</f>
        <v/>
      </c>
      <c r="AQ213" s="36" t="n">
        <f aca="false">IF(AND(AN213&lt;&gt;"",ISNUMBER(AL213),LEFT(AN213,9)&lt;&gt;"Total for",AN213&lt;&gt;"Gross Profit",AN213&lt;&gt;"Net Operating Revenue",AN213&lt;&gt;"Net Other Revenue",AN213&lt;&gt;"Net Revenue"),1,0)</f>
        <v>0</v>
      </c>
      <c r="AR213" s="36" t="str">
        <f aca="false">IF(AQ213=1,IF(AND(LEN(AN213)&gt;7,ISNUMBER(VALUE(LEFT(AN213,6))),MID(AN213,7,1)=" "),LEFT(AN213,6),AN213),"")</f>
        <v/>
      </c>
    </row>
    <row r="214" customFormat="false" ht="15" hidden="false" customHeight="false" outlineLevel="0" collapsed="false">
      <c r="D214" s="36" t="str">
        <f aca="false">TRIM(A214)</f>
        <v/>
      </c>
      <c r="E214" s="36" t="str">
        <f aca="false">IF(D214="Revenue","Revenue",IF(D214="Cost of Goods Sold","COGS",IF(D214="Expenditures","Expense",IF(D214="Other Revenue","Other Revenue",IF(D214="Other Expenditures","Other Expense",E213)))))</f>
        <v/>
      </c>
      <c r="F214" s="36" t="str">
        <f aca="false">IF(OR(D214="Revenue",D214="Cost of Goods Sold",D214="Expenditures",D214="Other Revenue",D214="Other Expenditures"),E214,IF(AND(LEN(D214)&gt;2,MID(D214,2,1)=" ",ISNUMBER(VALUE(LEFT(D214,1)))),D214,F213))</f>
        <v/>
      </c>
      <c r="G214" s="36" t="n">
        <f aca="false">IF(AND(D214&lt;&gt;"",ISNUMBER(B214),LEFT(D214,9)&lt;&gt;"Total for",D214&lt;&gt;"Gross Profit",D214&lt;&gt;"Net Operating Revenue",D214&lt;&gt;"Net Other Revenue",D214&lt;&gt;"Net Revenue"),1,0)</f>
        <v>0</v>
      </c>
      <c r="H214" s="36" t="str">
        <f aca="false">IF(G214=1,IF(AND(LEN(D214)&gt;7,ISNUMBER(VALUE(LEFT(D214,6))),MID(D214,7,1)=" "),LEFT(D214,6),D214),"")</f>
        <v/>
      </c>
      <c r="M214" s="36" t="str">
        <f aca="false">TRIM(J214)</f>
        <v/>
      </c>
      <c r="N214" s="36" t="str">
        <f aca="false">IF(M214="Revenue","Revenue",IF(M214="Cost of Goods Sold","COGS",IF(M214="Expenditures","Expense",IF(M214="Other Revenue","Other Revenue",IF(M214="Other Expenditures","Other Expense",N213)))))</f>
        <v/>
      </c>
      <c r="O214" s="36" t="str">
        <f aca="false">IF(OR(M214="Revenue",M214="Cost of Goods Sold",M214="Expenditures",M214="Other Revenue",M214="Other Expenditures"),N214,IF(AND(LEN(M214)&gt;2,MID(M214,2,1)=" ",ISNUMBER(VALUE(LEFT(M214,1)))),M214,O213))</f>
        <v/>
      </c>
      <c r="P214" s="36" t="n">
        <f aca="false">IF(AND(M214&lt;&gt;"",ISNUMBER(K214),LEFT(M214,9)&lt;&gt;"Total for",M214&lt;&gt;"Gross Profit",M214&lt;&gt;"Net Operating Revenue",M214&lt;&gt;"Net Other Revenue",M214&lt;&gt;"Net Revenue"),1,0)</f>
        <v>0</v>
      </c>
      <c r="Q214" s="36" t="str">
        <f aca="false">IF(P214=1,IF(AND(LEN(M214)&gt;7,ISNUMBER(VALUE(LEFT(M214,6))),MID(M214,7,1)=" "),LEFT(M214,6),M214),"")</f>
        <v/>
      </c>
      <c r="V214" s="36" t="str">
        <f aca="false">TRIM(S214)</f>
        <v/>
      </c>
      <c r="W214" s="36" t="str">
        <f aca="false">IF(V214="Revenue","Revenue",IF(V214="Cost of Goods Sold","COGS",IF(V214="Expenditures","Expense",IF(V214="Other Revenue","Other Revenue",IF(V214="Other Expenditures","Other Expense",W213)))))</f>
        <v/>
      </c>
      <c r="X214" s="36" t="str">
        <f aca="false">IF(OR(V214="Revenue",V214="Cost of Goods Sold",V214="Expenditures",V214="Other Revenue",V214="Other Expenditures"),W214,IF(AND(LEN(V214)&gt;2,MID(V214,2,1)=" ",ISNUMBER(VALUE(LEFT(V214,1)))),V214,X213))</f>
        <v/>
      </c>
      <c r="Y214" s="36" t="n">
        <f aca="false">IF(AND(V214&lt;&gt;"",ISNUMBER(T214),LEFT(V214,9)&lt;&gt;"Total for",V214&lt;&gt;"Gross Profit",V214&lt;&gt;"Net Operating Revenue",V214&lt;&gt;"Net Other Revenue",V214&lt;&gt;"Net Revenue"),1,0)</f>
        <v>0</v>
      </c>
      <c r="Z214" s="36" t="str">
        <f aca="false">IF(Y214=1,IF(AND(LEN(V214)&gt;7,ISNUMBER(VALUE(LEFT(V214,6))),MID(V214,7,1)=" "),LEFT(V214,6),V214),"")</f>
        <v/>
      </c>
      <c r="AE214" s="36" t="str">
        <f aca="false">TRIM(AB214)</f>
        <v/>
      </c>
      <c r="AF214" s="36" t="str">
        <f aca="false">IF(AE214="Revenue","Revenue",IF(AE214="Cost of Goods Sold","COGS",IF(AE214="Expenditures","Expense",IF(AE214="Other Revenue","Other Revenue",IF(AE214="Other Expenditures","Other Expense",AF213)))))</f>
        <v/>
      </c>
      <c r="AG214" s="36" t="str">
        <f aca="false">IF(OR(AE214="Revenue",AE214="Cost of Goods Sold",AE214="Expenditures",AE214="Other Revenue",AE214="Other Expenditures"),AF214,IF(AND(LEN(AE214)&gt;2,MID(AE214,2,1)=" ",ISNUMBER(VALUE(LEFT(AE214,1)))),AE214,AG213))</f>
        <v/>
      </c>
      <c r="AH214" s="36" t="n">
        <f aca="false">IF(AND(AE214&lt;&gt;"",ISNUMBER(AC214),LEFT(AE214,9)&lt;&gt;"Total for",AE214&lt;&gt;"Gross Profit",AE214&lt;&gt;"Net Operating Revenue",AE214&lt;&gt;"Net Other Revenue",AE214&lt;&gt;"Net Revenue"),1,0)</f>
        <v>0</v>
      </c>
      <c r="AI214" s="36" t="str">
        <f aca="false">IF(AH214=1,IF(AND(LEN(AE214)&gt;7,ISNUMBER(VALUE(LEFT(AE214,6))),MID(AE214,7,1)=" "),LEFT(AE214,6),AE214),"")</f>
        <v/>
      </c>
      <c r="AN214" s="36" t="str">
        <f aca="false">TRIM(AK214)</f>
        <v/>
      </c>
      <c r="AO214" s="36" t="str">
        <f aca="false">IF(AN214="Revenue","Revenue",IF(AN214="Cost of Goods Sold","COGS",IF(AN214="Expenditures","Expense",IF(AN214="Other Revenue","Other Revenue",IF(AN214="Other Expenditures","Other Expense",AO213)))))</f>
        <v/>
      </c>
      <c r="AP214" s="36" t="str">
        <f aca="false">IF(OR(AN214="Revenue",AN214="Cost of Goods Sold",AN214="Expenditures",AN214="Other Revenue",AN214="Other Expenditures"),AO214,IF(AND(LEN(AN214)&gt;2,MID(AN214,2,1)=" ",ISNUMBER(VALUE(LEFT(AN214,1)))),AN214,AP213))</f>
        <v/>
      </c>
      <c r="AQ214" s="36" t="n">
        <f aca="false">IF(AND(AN214&lt;&gt;"",ISNUMBER(AL214),LEFT(AN214,9)&lt;&gt;"Total for",AN214&lt;&gt;"Gross Profit",AN214&lt;&gt;"Net Operating Revenue",AN214&lt;&gt;"Net Other Revenue",AN214&lt;&gt;"Net Revenue"),1,0)</f>
        <v>0</v>
      </c>
      <c r="AR214" s="36" t="str">
        <f aca="false">IF(AQ214=1,IF(AND(LEN(AN214)&gt;7,ISNUMBER(VALUE(LEFT(AN214,6))),MID(AN214,7,1)=" "),LEFT(AN214,6),AN214),"")</f>
        <v/>
      </c>
    </row>
    <row r="215" customFormat="false" ht="15" hidden="false" customHeight="false" outlineLevel="0" collapsed="false">
      <c r="D215" s="36" t="str">
        <f aca="false">TRIM(A215)</f>
        <v/>
      </c>
      <c r="E215" s="36" t="str">
        <f aca="false">IF(D215="Revenue","Revenue",IF(D215="Cost of Goods Sold","COGS",IF(D215="Expenditures","Expense",IF(D215="Other Revenue","Other Revenue",IF(D215="Other Expenditures","Other Expense",E214)))))</f>
        <v/>
      </c>
      <c r="F215" s="36" t="str">
        <f aca="false">IF(OR(D215="Revenue",D215="Cost of Goods Sold",D215="Expenditures",D215="Other Revenue",D215="Other Expenditures"),E215,IF(AND(LEN(D215)&gt;2,MID(D215,2,1)=" ",ISNUMBER(VALUE(LEFT(D215,1)))),D215,F214))</f>
        <v/>
      </c>
      <c r="G215" s="36" t="n">
        <f aca="false">IF(AND(D215&lt;&gt;"",ISNUMBER(B215),LEFT(D215,9)&lt;&gt;"Total for",D215&lt;&gt;"Gross Profit",D215&lt;&gt;"Net Operating Revenue",D215&lt;&gt;"Net Other Revenue",D215&lt;&gt;"Net Revenue"),1,0)</f>
        <v>0</v>
      </c>
      <c r="H215" s="36" t="str">
        <f aca="false">IF(G215=1,IF(AND(LEN(D215)&gt;7,ISNUMBER(VALUE(LEFT(D215,6))),MID(D215,7,1)=" "),LEFT(D215,6),D215),"")</f>
        <v/>
      </c>
      <c r="M215" s="36" t="str">
        <f aca="false">TRIM(J215)</f>
        <v/>
      </c>
      <c r="N215" s="36" t="str">
        <f aca="false">IF(M215="Revenue","Revenue",IF(M215="Cost of Goods Sold","COGS",IF(M215="Expenditures","Expense",IF(M215="Other Revenue","Other Revenue",IF(M215="Other Expenditures","Other Expense",N214)))))</f>
        <v/>
      </c>
      <c r="O215" s="36" t="str">
        <f aca="false">IF(OR(M215="Revenue",M215="Cost of Goods Sold",M215="Expenditures",M215="Other Revenue",M215="Other Expenditures"),N215,IF(AND(LEN(M215)&gt;2,MID(M215,2,1)=" ",ISNUMBER(VALUE(LEFT(M215,1)))),M215,O214))</f>
        <v/>
      </c>
      <c r="P215" s="36" t="n">
        <f aca="false">IF(AND(M215&lt;&gt;"",ISNUMBER(K215),LEFT(M215,9)&lt;&gt;"Total for",M215&lt;&gt;"Gross Profit",M215&lt;&gt;"Net Operating Revenue",M215&lt;&gt;"Net Other Revenue",M215&lt;&gt;"Net Revenue"),1,0)</f>
        <v>0</v>
      </c>
      <c r="Q215" s="36" t="str">
        <f aca="false">IF(P215=1,IF(AND(LEN(M215)&gt;7,ISNUMBER(VALUE(LEFT(M215,6))),MID(M215,7,1)=" "),LEFT(M215,6),M215),"")</f>
        <v/>
      </c>
      <c r="V215" s="36" t="str">
        <f aca="false">TRIM(S215)</f>
        <v/>
      </c>
      <c r="W215" s="36" t="str">
        <f aca="false">IF(V215="Revenue","Revenue",IF(V215="Cost of Goods Sold","COGS",IF(V215="Expenditures","Expense",IF(V215="Other Revenue","Other Revenue",IF(V215="Other Expenditures","Other Expense",W214)))))</f>
        <v/>
      </c>
      <c r="X215" s="36" t="str">
        <f aca="false">IF(OR(V215="Revenue",V215="Cost of Goods Sold",V215="Expenditures",V215="Other Revenue",V215="Other Expenditures"),W215,IF(AND(LEN(V215)&gt;2,MID(V215,2,1)=" ",ISNUMBER(VALUE(LEFT(V215,1)))),V215,X214))</f>
        <v/>
      </c>
      <c r="Y215" s="36" t="n">
        <f aca="false">IF(AND(V215&lt;&gt;"",ISNUMBER(T215),LEFT(V215,9)&lt;&gt;"Total for",V215&lt;&gt;"Gross Profit",V215&lt;&gt;"Net Operating Revenue",V215&lt;&gt;"Net Other Revenue",V215&lt;&gt;"Net Revenue"),1,0)</f>
        <v>0</v>
      </c>
      <c r="Z215" s="36" t="str">
        <f aca="false">IF(Y215=1,IF(AND(LEN(V215)&gt;7,ISNUMBER(VALUE(LEFT(V215,6))),MID(V215,7,1)=" "),LEFT(V215,6),V215),"")</f>
        <v/>
      </c>
      <c r="AE215" s="36" t="str">
        <f aca="false">TRIM(AB215)</f>
        <v/>
      </c>
      <c r="AF215" s="36" t="str">
        <f aca="false">IF(AE215="Revenue","Revenue",IF(AE215="Cost of Goods Sold","COGS",IF(AE215="Expenditures","Expense",IF(AE215="Other Revenue","Other Revenue",IF(AE215="Other Expenditures","Other Expense",AF214)))))</f>
        <v/>
      </c>
      <c r="AG215" s="36" t="str">
        <f aca="false">IF(OR(AE215="Revenue",AE215="Cost of Goods Sold",AE215="Expenditures",AE215="Other Revenue",AE215="Other Expenditures"),AF215,IF(AND(LEN(AE215)&gt;2,MID(AE215,2,1)=" ",ISNUMBER(VALUE(LEFT(AE215,1)))),AE215,AG214))</f>
        <v/>
      </c>
      <c r="AH215" s="36" t="n">
        <f aca="false">IF(AND(AE215&lt;&gt;"",ISNUMBER(AC215),LEFT(AE215,9)&lt;&gt;"Total for",AE215&lt;&gt;"Gross Profit",AE215&lt;&gt;"Net Operating Revenue",AE215&lt;&gt;"Net Other Revenue",AE215&lt;&gt;"Net Revenue"),1,0)</f>
        <v>0</v>
      </c>
      <c r="AI215" s="36" t="str">
        <f aca="false">IF(AH215=1,IF(AND(LEN(AE215)&gt;7,ISNUMBER(VALUE(LEFT(AE215,6))),MID(AE215,7,1)=" "),LEFT(AE215,6),AE215),"")</f>
        <v/>
      </c>
      <c r="AN215" s="36" t="str">
        <f aca="false">TRIM(AK215)</f>
        <v/>
      </c>
      <c r="AO215" s="36" t="str">
        <f aca="false">IF(AN215="Revenue","Revenue",IF(AN215="Cost of Goods Sold","COGS",IF(AN215="Expenditures","Expense",IF(AN215="Other Revenue","Other Revenue",IF(AN215="Other Expenditures","Other Expense",AO214)))))</f>
        <v/>
      </c>
      <c r="AP215" s="36" t="str">
        <f aca="false">IF(OR(AN215="Revenue",AN215="Cost of Goods Sold",AN215="Expenditures",AN215="Other Revenue",AN215="Other Expenditures"),AO215,IF(AND(LEN(AN215)&gt;2,MID(AN215,2,1)=" ",ISNUMBER(VALUE(LEFT(AN215,1)))),AN215,AP214))</f>
        <v/>
      </c>
      <c r="AQ215" s="36" t="n">
        <f aca="false">IF(AND(AN215&lt;&gt;"",ISNUMBER(AL215),LEFT(AN215,9)&lt;&gt;"Total for",AN215&lt;&gt;"Gross Profit",AN215&lt;&gt;"Net Operating Revenue",AN215&lt;&gt;"Net Other Revenue",AN215&lt;&gt;"Net Revenue"),1,0)</f>
        <v>0</v>
      </c>
      <c r="AR215" s="36" t="str">
        <f aca="false">IF(AQ215=1,IF(AND(LEN(AN215)&gt;7,ISNUMBER(VALUE(LEFT(AN215,6))),MID(AN215,7,1)=" "),LEFT(AN215,6),AN215),"")</f>
        <v/>
      </c>
    </row>
    <row r="216" customFormat="false" ht="15" hidden="false" customHeight="false" outlineLevel="0" collapsed="false">
      <c r="D216" s="36" t="str">
        <f aca="false">TRIM(A216)</f>
        <v/>
      </c>
      <c r="E216" s="36" t="str">
        <f aca="false">IF(D216="Revenue","Revenue",IF(D216="Cost of Goods Sold","COGS",IF(D216="Expenditures","Expense",IF(D216="Other Revenue","Other Revenue",IF(D216="Other Expenditures","Other Expense",E215)))))</f>
        <v/>
      </c>
      <c r="F216" s="36" t="str">
        <f aca="false">IF(OR(D216="Revenue",D216="Cost of Goods Sold",D216="Expenditures",D216="Other Revenue",D216="Other Expenditures"),E216,IF(AND(LEN(D216)&gt;2,MID(D216,2,1)=" ",ISNUMBER(VALUE(LEFT(D216,1)))),D216,F215))</f>
        <v/>
      </c>
      <c r="G216" s="36" t="n">
        <f aca="false">IF(AND(D216&lt;&gt;"",ISNUMBER(B216),LEFT(D216,9)&lt;&gt;"Total for",D216&lt;&gt;"Gross Profit",D216&lt;&gt;"Net Operating Revenue",D216&lt;&gt;"Net Other Revenue",D216&lt;&gt;"Net Revenue"),1,0)</f>
        <v>0</v>
      </c>
      <c r="H216" s="36" t="str">
        <f aca="false">IF(G216=1,IF(AND(LEN(D216)&gt;7,ISNUMBER(VALUE(LEFT(D216,6))),MID(D216,7,1)=" "),LEFT(D216,6),D216),"")</f>
        <v/>
      </c>
      <c r="M216" s="36" t="str">
        <f aca="false">TRIM(J216)</f>
        <v/>
      </c>
      <c r="N216" s="36" t="str">
        <f aca="false">IF(M216="Revenue","Revenue",IF(M216="Cost of Goods Sold","COGS",IF(M216="Expenditures","Expense",IF(M216="Other Revenue","Other Revenue",IF(M216="Other Expenditures","Other Expense",N215)))))</f>
        <v/>
      </c>
      <c r="O216" s="36" t="str">
        <f aca="false">IF(OR(M216="Revenue",M216="Cost of Goods Sold",M216="Expenditures",M216="Other Revenue",M216="Other Expenditures"),N216,IF(AND(LEN(M216)&gt;2,MID(M216,2,1)=" ",ISNUMBER(VALUE(LEFT(M216,1)))),M216,O215))</f>
        <v/>
      </c>
      <c r="P216" s="36" t="n">
        <f aca="false">IF(AND(M216&lt;&gt;"",ISNUMBER(K216),LEFT(M216,9)&lt;&gt;"Total for",M216&lt;&gt;"Gross Profit",M216&lt;&gt;"Net Operating Revenue",M216&lt;&gt;"Net Other Revenue",M216&lt;&gt;"Net Revenue"),1,0)</f>
        <v>0</v>
      </c>
      <c r="Q216" s="36" t="str">
        <f aca="false">IF(P216=1,IF(AND(LEN(M216)&gt;7,ISNUMBER(VALUE(LEFT(M216,6))),MID(M216,7,1)=" "),LEFT(M216,6),M216),"")</f>
        <v/>
      </c>
      <c r="V216" s="36" t="str">
        <f aca="false">TRIM(S216)</f>
        <v/>
      </c>
      <c r="W216" s="36" t="str">
        <f aca="false">IF(V216="Revenue","Revenue",IF(V216="Cost of Goods Sold","COGS",IF(V216="Expenditures","Expense",IF(V216="Other Revenue","Other Revenue",IF(V216="Other Expenditures","Other Expense",W215)))))</f>
        <v/>
      </c>
      <c r="X216" s="36" t="str">
        <f aca="false">IF(OR(V216="Revenue",V216="Cost of Goods Sold",V216="Expenditures",V216="Other Revenue",V216="Other Expenditures"),W216,IF(AND(LEN(V216)&gt;2,MID(V216,2,1)=" ",ISNUMBER(VALUE(LEFT(V216,1)))),V216,X215))</f>
        <v/>
      </c>
      <c r="Y216" s="36" t="n">
        <f aca="false">IF(AND(V216&lt;&gt;"",ISNUMBER(T216),LEFT(V216,9)&lt;&gt;"Total for",V216&lt;&gt;"Gross Profit",V216&lt;&gt;"Net Operating Revenue",V216&lt;&gt;"Net Other Revenue",V216&lt;&gt;"Net Revenue"),1,0)</f>
        <v>0</v>
      </c>
      <c r="Z216" s="36" t="str">
        <f aca="false">IF(Y216=1,IF(AND(LEN(V216)&gt;7,ISNUMBER(VALUE(LEFT(V216,6))),MID(V216,7,1)=" "),LEFT(V216,6),V216),"")</f>
        <v/>
      </c>
      <c r="AE216" s="36" t="str">
        <f aca="false">TRIM(AB216)</f>
        <v/>
      </c>
      <c r="AF216" s="36" t="str">
        <f aca="false">IF(AE216="Revenue","Revenue",IF(AE216="Cost of Goods Sold","COGS",IF(AE216="Expenditures","Expense",IF(AE216="Other Revenue","Other Revenue",IF(AE216="Other Expenditures","Other Expense",AF215)))))</f>
        <v/>
      </c>
      <c r="AG216" s="36" t="str">
        <f aca="false">IF(OR(AE216="Revenue",AE216="Cost of Goods Sold",AE216="Expenditures",AE216="Other Revenue",AE216="Other Expenditures"),AF216,IF(AND(LEN(AE216)&gt;2,MID(AE216,2,1)=" ",ISNUMBER(VALUE(LEFT(AE216,1)))),AE216,AG215))</f>
        <v/>
      </c>
      <c r="AH216" s="36" t="n">
        <f aca="false">IF(AND(AE216&lt;&gt;"",ISNUMBER(AC216),LEFT(AE216,9)&lt;&gt;"Total for",AE216&lt;&gt;"Gross Profit",AE216&lt;&gt;"Net Operating Revenue",AE216&lt;&gt;"Net Other Revenue",AE216&lt;&gt;"Net Revenue"),1,0)</f>
        <v>0</v>
      </c>
      <c r="AI216" s="36" t="str">
        <f aca="false">IF(AH216=1,IF(AND(LEN(AE216)&gt;7,ISNUMBER(VALUE(LEFT(AE216,6))),MID(AE216,7,1)=" "),LEFT(AE216,6),AE216),"")</f>
        <v/>
      </c>
      <c r="AN216" s="36" t="str">
        <f aca="false">TRIM(AK216)</f>
        <v/>
      </c>
      <c r="AO216" s="36" t="str">
        <f aca="false">IF(AN216="Revenue","Revenue",IF(AN216="Cost of Goods Sold","COGS",IF(AN216="Expenditures","Expense",IF(AN216="Other Revenue","Other Revenue",IF(AN216="Other Expenditures","Other Expense",AO215)))))</f>
        <v/>
      </c>
      <c r="AP216" s="36" t="str">
        <f aca="false">IF(OR(AN216="Revenue",AN216="Cost of Goods Sold",AN216="Expenditures",AN216="Other Revenue",AN216="Other Expenditures"),AO216,IF(AND(LEN(AN216)&gt;2,MID(AN216,2,1)=" ",ISNUMBER(VALUE(LEFT(AN216,1)))),AN216,AP215))</f>
        <v/>
      </c>
      <c r="AQ216" s="36" t="n">
        <f aca="false">IF(AND(AN216&lt;&gt;"",ISNUMBER(AL216),LEFT(AN216,9)&lt;&gt;"Total for",AN216&lt;&gt;"Gross Profit",AN216&lt;&gt;"Net Operating Revenue",AN216&lt;&gt;"Net Other Revenue",AN216&lt;&gt;"Net Revenue"),1,0)</f>
        <v>0</v>
      </c>
      <c r="AR216" s="36" t="str">
        <f aca="false">IF(AQ216=1,IF(AND(LEN(AN216)&gt;7,ISNUMBER(VALUE(LEFT(AN216,6))),MID(AN216,7,1)=" "),LEFT(AN216,6),AN216),"")</f>
        <v/>
      </c>
    </row>
    <row r="217" customFormat="false" ht="15" hidden="false" customHeight="false" outlineLevel="0" collapsed="false">
      <c r="D217" s="36" t="str">
        <f aca="false">TRIM(A217)</f>
        <v/>
      </c>
      <c r="E217" s="36" t="str">
        <f aca="false">IF(D217="Revenue","Revenue",IF(D217="Cost of Goods Sold","COGS",IF(D217="Expenditures","Expense",IF(D217="Other Revenue","Other Revenue",IF(D217="Other Expenditures","Other Expense",E216)))))</f>
        <v/>
      </c>
      <c r="F217" s="36" t="str">
        <f aca="false">IF(OR(D217="Revenue",D217="Cost of Goods Sold",D217="Expenditures",D217="Other Revenue",D217="Other Expenditures"),E217,IF(AND(LEN(D217)&gt;2,MID(D217,2,1)=" ",ISNUMBER(VALUE(LEFT(D217,1)))),D217,F216))</f>
        <v/>
      </c>
      <c r="G217" s="36" t="n">
        <f aca="false">IF(AND(D217&lt;&gt;"",ISNUMBER(B217),LEFT(D217,9)&lt;&gt;"Total for",D217&lt;&gt;"Gross Profit",D217&lt;&gt;"Net Operating Revenue",D217&lt;&gt;"Net Other Revenue",D217&lt;&gt;"Net Revenue"),1,0)</f>
        <v>0</v>
      </c>
      <c r="H217" s="36" t="str">
        <f aca="false">IF(G217=1,IF(AND(LEN(D217)&gt;7,ISNUMBER(VALUE(LEFT(D217,6))),MID(D217,7,1)=" "),LEFT(D217,6),D217),"")</f>
        <v/>
      </c>
      <c r="M217" s="36" t="str">
        <f aca="false">TRIM(J217)</f>
        <v/>
      </c>
      <c r="N217" s="36" t="str">
        <f aca="false">IF(M217="Revenue","Revenue",IF(M217="Cost of Goods Sold","COGS",IF(M217="Expenditures","Expense",IF(M217="Other Revenue","Other Revenue",IF(M217="Other Expenditures","Other Expense",N216)))))</f>
        <v/>
      </c>
      <c r="O217" s="36" t="str">
        <f aca="false">IF(OR(M217="Revenue",M217="Cost of Goods Sold",M217="Expenditures",M217="Other Revenue",M217="Other Expenditures"),N217,IF(AND(LEN(M217)&gt;2,MID(M217,2,1)=" ",ISNUMBER(VALUE(LEFT(M217,1)))),M217,O216))</f>
        <v/>
      </c>
      <c r="P217" s="36" t="n">
        <f aca="false">IF(AND(M217&lt;&gt;"",ISNUMBER(K217),LEFT(M217,9)&lt;&gt;"Total for",M217&lt;&gt;"Gross Profit",M217&lt;&gt;"Net Operating Revenue",M217&lt;&gt;"Net Other Revenue",M217&lt;&gt;"Net Revenue"),1,0)</f>
        <v>0</v>
      </c>
      <c r="Q217" s="36" t="str">
        <f aca="false">IF(P217=1,IF(AND(LEN(M217)&gt;7,ISNUMBER(VALUE(LEFT(M217,6))),MID(M217,7,1)=" "),LEFT(M217,6),M217),"")</f>
        <v/>
      </c>
      <c r="V217" s="36" t="str">
        <f aca="false">TRIM(S217)</f>
        <v/>
      </c>
      <c r="W217" s="36" t="str">
        <f aca="false">IF(V217="Revenue","Revenue",IF(V217="Cost of Goods Sold","COGS",IF(V217="Expenditures","Expense",IF(V217="Other Revenue","Other Revenue",IF(V217="Other Expenditures","Other Expense",W216)))))</f>
        <v/>
      </c>
      <c r="X217" s="36" t="str">
        <f aca="false">IF(OR(V217="Revenue",V217="Cost of Goods Sold",V217="Expenditures",V217="Other Revenue",V217="Other Expenditures"),W217,IF(AND(LEN(V217)&gt;2,MID(V217,2,1)=" ",ISNUMBER(VALUE(LEFT(V217,1)))),V217,X216))</f>
        <v/>
      </c>
      <c r="Y217" s="36" t="n">
        <f aca="false">IF(AND(V217&lt;&gt;"",ISNUMBER(T217),LEFT(V217,9)&lt;&gt;"Total for",V217&lt;&gt;"Gross Profit",V217&lt;&gt;"Net Operating Revenue",V217&lt;&gt;"Net Other Revenue",V217&lt;&gt;"Net Revenue"),1,0)</f>
        <v>0</v>
      </c>
      <c r="Z217" s="36" t="str">
        <f aca="false">IF(Y217=1,IF(AND(LEN(V217)&gt;7,ISNUMBER(VALUE(LEFT(V217,6))),MID(V217,7,1)=" "),LEFT(V217,6),V217),"")</f>
        <v/>
      </c>
      <c r="AE217" s="36" t="str">
        <f aca="false">TRIM(AB217)</f>
        <v/>
      </c>
      <c r="AF217" s="36" t="str">
        <f aca="false">IF(AE217="Revenue","Revenue",IF(AE217="Cost of Goods Sold","COGS",IF(AE217="Expenditures","Expense",IF(AE217="Other Revenue","Other Revenue",IF(AE217="Other Expenditures","Other Expense",AF216)))))</f>
        <v/>
      </c>
      <c r="AG217" s="36" t="str">
        <f aca="false">IF(OR(AE217="Revenue",AE217="Cost of Goods Sold",AE217="Expenditures",AE217="Other Revenue",AE217="Other Expenditures"),AF217,IF(AND(LEN(AE217)&gt;2,MID(AE217,2,1)=" ",ISNUMBER(VALUE(LEFT(AE217,1)))),AE217,AG216))</f>
        <v/>
      </c>
      <c r="AH217" s="36" t="n">
        <f aca="false">IF(AND(AE217&lt;&gt;"",ISNUMBER(AC217),LEFT(AE217,9)&lt;&gt;"Total for",AE217&lt;&gt;"Gross Profit",AE217&lt;&gt;"Net Operating Revenue",AE217&lt;&gt;"Net Other Revenue",AE217&lt;&gt;"Net Revenue"),1,0)</f>
        <v>0</v>
      </c>
      <c r="AI217" s="36" t="str">
        <f aca="false">IF(AH217=1,IF(AND(LEN(AE217)&gt;7,ISNUMBER(VALUE(LEFT(AE217,6))),MID(AE217,7,1)=" "),LEFT(AE217,6),AE217),"")</f>
        <v/>
      </c>
      <c r="AN217" s="36" t="str">
        <f aca="false">TRIM(AK217)</f>
        <v/>
      </c>
      <c r="AO217" s="36" t="str">
        <f aca="false">IF(AN217="Revenue","Revenue",IF(AN217="Cost of Goods Sold","COGS",IF(AN217="Expenditures","Expense",IF(AN217="Other Revenue","Other Revenue",IF(AN217="Other Expenditures","Other Expense",AO216)))))</f>
        <v/>
      </c>
      <c r="AP217" s="36" t="str">
        <f aca="false">IF(OR(AN217="Revenue",AN217="Cost of Goods Sold",AN217="Expenditures",AN217="Other Revenue",AN217="Other Expenditures"),AO217,IF(AND(LEN(AN217)&gt;2,MID(AN217,2,1)=" ",ISNUMBER(VALUE(LEFT(AN217,1)))),AN217,AP216))</f>
        <v/>
      </c>
      <c r="AQ217" s="36" t="n">
        <f aca="false">IF(AND(AN217&lt;&gt;"",ISNUMBER(AL217),LEFT(AN217,9)&lt;&gt;"Total for",AN217&lt;&gt;"Gross Profit",AN217&lt;&gt;"Net Operating Revenue",AN217&lt;&gt;"Net Other Revenue",AN217&lt;&gt;"Net Revenue"),1,0)</f>
        <v>0</v>
      </c>
      <c r="AR217" s="36" t="str">
        <f aca="false">IF(AQ217=1,IF(AND(LEN(AN217)&gt;7,ISNUMBER(VALUE(LEFT(AN217,6))),MID(AN217,7,1)=" "),LEFT(AN217,6),AN217),"")</f>
        <v/>
      </c>
    </row>
    <row r="218" customFormat="false" ht="15" hidden="false" customHeight="false" outlineLevel="0" collapsed="false">
      <c r="D218" s="36" t="str">
        <f aca="false">TRIM(A218)</f>
        <v/>
      </c>
      <c r="E218" s="36" t="str">
        <f aca="false">IF(D218="Revenue","Revenue",IF(D218="Cost of Goods Sold","COGS",IF(D218="Expenditures","Expense",IF(D218="Other Revenue","Other Revenue",IF(D218="Other Expenditures","Other Expense",E217)))))</f>
        <v/>
      </c>
      <c r="F218" s="36" t="str">
        <f aca="false">IF(OR(D218="Revenue",D218="Cost of Goods Sold",D218="Expenditures",D218="Other Revenue",D218="Other Expenditures"),E218,IF(AND(LEN(D218)&gt;2,MID(D218,2,1)=" ",ISNUMBER(VALUE(LEFT(D218,1)))),D218,F217))</f>
        <v/>
      </c>
      <c r="G218" s="36" t="n">
        <f aca="false">IF(AND(D218&lt;&gt;"",ISNUMBER(B218),LEFT(D218,9)&lt;&gt;"Total for",D218&lt;&gt;"Gross Profit",D218&lt;&gt;"Net Operating Revenue",D218&lt;&gt;"Net Other Revenue",D218&lt;&gt;"Net Revenue"),1,0)</f>
        <v>0</v>
      </c>
      <c r="H218" s="36" t="str">
        <f aca="false">IF(G218=1,IF(AND(LEN(D218)&gt;7,ISNUMBER(VALUE(LEFT(D218,6))),MID(D218,7,1)=" "),LEFT(D218,6),D218),"")</f>
        <v/>
      </c>
      <c r="M218" s="36" t="str">
        <f aca="false">TRIM(J218)</f>
        <v/>
      </c>
      <c r="N218" s="36" t="str">
        <f aca="false">IF(M218="Revenue","Revenue",IF(M218="Cost of Goods Sold","COGS",IF(M218="Expenditures","Expense",IF(M218="Other Revenue","Other Revenue",IF(M218="Other Expenditures","Other Expense",N217)))))</f>
        <v/>
      </c>
      <c r="O218" s="36" t="str">
        <f aca="false">IF(OR(M218="Revenue",M218="Cost of Goods Sold",M218="Expenditures",M218="Other Revenue",M218="Other Expenditures"),N218,IF(AND(LEN(M218)&gt;2,MID(M218,2,1)=" ",ISNUMBER(VALUE(LEFT(M218,1)))),M218,O217))</f>
        <v/>
      </c>
      <c r="P218" s="36" t="n">
        <f aca="false">IF(AND(M218&lt;&gt;"",ISNUMBER(K218),LEFT(M218,9)&lt;&gt;"Total for",M218&lt;&gt;"Gross Profit",M218&lt;&gt;"Net Operating Revenue",M218&lt;&gt;"Net Other Revenue",M218&lt;&gt;"Net Revenue"),1,0)</f>
        <v>0</v>
      </c>
      <c r="Q218" s="36" t="str">
        <f aca="false">IF(P218=1,IF(AND(LEN(M218)&gt;7,ISNUMBER(VALUE(LEFT(M218,6))),MID(M218,7,1)=" "),LEFT(M218,6),M218),"")</f>
        <v/>
      </c>
      <c r="V218" s="36" t="str">
        <f aca="false">TRIM(S218)</f>
        <v/>
      </c>
      <c r="W218" s="36" t="str">
        <f aca="false">IF(V218="Revenue","Revenue",IF(V218="Cost of Goods Sold","COGS",IF(V218="Expenditures","Expense",IF(V218="Other Revenue","Other Revenue",IF(V218="Other Expenditures","Other Expense",W217)))))</f>
        <v/>
      </c>
      <c r="X218" s="36" t="str">
        <f aca="false">IF(OR(V218="Revenue",V218="Cost of Goods Sold",V218="Expenditures",V218="Other Revenue",V218="Other Expenditures"),W218,IF(AND(LEN(V218)&gt;2,MID(V218,2,1)=" ",ISNUMBER(VALUE(LEFT(V218,1)))),V218,X217))</f>
        <v/>
      </c>
      <c r="Y218" s="36" t="n">
        <f aca="false">IF(AND(V218&lt;&gt;"",ISNUMBER(T218),LEFT(V218,9)&lt;&gt;"Total for",V218&lt;&gt;"Gross Profit",V218&lt;&gt;"Net Operating Revenue",V218&lt;&gt;"Net Other Revenue",V218&lt;&gt;"Net Revenue"),1,0)</f>
        <v>0</v>
      </c>
      <c r="Z218" s="36" t="str">
        <f aca="false">IF(Y218=1,IF(AND(LEN(V218)&gt;7,ISNUMBER(VALUE(LEFT(V218,6))),MID(V218,7,1)=" "),LEFT(V218,6),V218),"")</f>
        <v/>
      </c>
      <c r="AE218" s="36" t="str">
        <f aca="false">TRIM(AB218)</f>
        <v/>
      </c>
      <c r="AF218" s="36" t="str">
        <f aca="false">IF(AE218="Revenue","Revenue",IF(AE218="Cost of Goods Sold","COGS",IF(AE218="Expenditures","Expense",IF(AE218="Other Revenue","Other Revenue",IF(AE218="Other Expenditures","Other Expense",AF217)))))</f>
        <v/>
      </c>
      <c r="AG218" s="36" t="str">
        <f aca="false">IF(OR(AE218="Revenue",AE218="Cost of Goods Sold",AE218="Expenditures",AE218="Other Revenue",AE218="Other Expenditures"),AF218,IF(AND(LEN(AE218)&gt;2,MID(AE218,2,1)=" ",ISNUMBER(VALUE(LEFT(AE218,1)))),AE218,AG217))</f>
        <v/>
      </c>
      <c r="AH218" s="36" t="n">
        <f aca="false">IF(AND(AE218&lt;&gt;"",ISNUMBER(AC218),LEFT(AE218,9)&lt;&gt;"Total for",AE218&lt;&gt;"Gross Profit",AE218&lt;&gt;"Net Operating Revenue",AE218&lt;&gt;"Net Other Revenue",AE218&lt;&gt;"Net Revenue"),1,0)</f>
        <v>0</v>
      </c>
      <c r="AI218" s="36" t="str">
        <f aca="false">IF(AH218=1,IF(AND(LEN(AE218)&gt;7,ISNUMBER(VALUE(LEFT(AE218,6))),MID(AE218,7,1)=" "),LEFT(AE218,6),AE218),"")</f>
        <v/>
      </c>
      <c r="AN218" s="36" t="str">
        <f aca="false">TRIM(AK218)</f>
        <v/>
      </c>
      <c r="AO218" s="36" t="str">
        <f aca="false">IF(AN218="Revenue","Revenue",IF(AN218="Cost of Goods Sold","COGS",IF(AN218="Expenditures","Expense",IF(AN218="Other Revenue","Other Revenue",IF(AN218="Other Expenditures","Other Expense",AO217)))))</f>
        <v/>
      </c>
      <c r="AP218" s="36" t="str">
        <f aca="false">IF(OR(AN218="Revenue",AN218="Cost of Goods Sold",AN218="Expenditures",AN218="Other Revenue",AN218="Other Expenditures"),AO218,IF(AND(LEN(AN218)&gt;2,MID(AN218,2,1)=" ",ISNUMBER(VALUE(LEFT(AN218,1)))),AN218,AP217))</f>
        <v/>
      </c>
      <c r="AQ218" s="36" t="n">
        <f aca="false">IF(AND(AN218&lt;&gt;"",ISNUMBER(AL218),LEFT(AN218,9)&lt;&gt;"Total for",AN218&lt;&gt;"Gross Profit",AN218&lt;&gt;"Net Operating Revenue",AN218&lt;&gt;"Net Other Revenue",AN218&lt;&gt;"Net Revenue"),1,0)</f>
        <v>0</v>
      </c>
      <c r="AR218" s="36" t="str">
        <f aca="false">IF(AQ218=1,IF(AND(LEN(AN218)&gt;7,ISNUMBER(VALUE(LEFT(AN218,6))),MID(AN218,7,1)=" "),LEFT(AN218,6),AN218),"")</f>
        <v/>
      </c>
    </row>
    <row r="219" customFormat="false" ht="15" hidden="false" customHeight="false" outlineLevel="0" collapsed="false">
      <c r="D219" s="36" t="str">
        <f aca="false">TRIM(A219)</f>
        <v/>
      </c>
      <c r="E219" s="36" t="str">
        <f aca="false">IF(D219="Revenue","Revenue",IF(D219="Cost of Goods Sold","COGS",IF(D219="Expenditures","Expense",IF(D219="Other Revenue","Other Revenue",IF(D219="Other Expenditures","Other Expense",E218)))))</f>
        <v/>
      </c>
      <c r="F219" s="36" t="str">
        <f aca="false">IF(OR(D219="Revenue",D219="Cost of Goods Sold",D219="Expenditures",D219="Other Revenue",D219="Other Expenditures"),E219,IF(AND(LEN(D219)&gt;2,MID(D219,2,1)=" ",ISNUMBER(VALUE(LEFT(D219,1)))),D219,F218))</f>
        <v/>
      </c>
      <c r="G219" s="36" t="n">
        <f aca="false">IF(AND(D219&lt;&gt;"",ISNUMBER(B219),LEFT(D219,9)&lt;&gt;"Total for",D219&lt;&gt;"Gross Profit",D219&lt;&gt;"Net Operating Revenue",D219&lt;&gt;"Net Other Revenue",D219&lt;&gt;"Net Revenue"),1,0)</f>
        <v>0</v>
      </c>
      <c r="H219" s="36" t="str">
        <f aca="false">IF(G219=1,IF(AND(LEN(D219)&gt;7,ISNUMBER(VALUE(LEFT(D219,6))),MID(D219,7,1)=" "),LEFT(D219,6),D219),"")</f>
        <v/>
      </c>
      <c r="M219" s="36" t="str">
        <f aca="false">TRIM(J219)</f>
        <v/>
      </c>
      <c r="N219" s="36" t="str">
        <f aca="false">IF(M219="Revenue","Revenue",IF(M219="Cost of Goods Sold","COGS",IF(M219="Expenditures","Expense",IF(M219="Other Revenue","Other Revenue",IF(M219="Other Expenditures","Other Expense",N218)))))</f>
        <v/>
      </c>
      <c r="O219" s="36" t="str">
        <f aca="false">IF(OR(M219="Revenue",M219="Cost of Goods Sold",M219="Expenditures",M219="Other Revenue",M219="Other Expenditures"),N219,IF(AND(LEN(M219)&gt;2,MID(M219,2,1)=" ",ISNUMBER(VALUE(LEFT(M219,1)))),M219,O218))</f>
        <v/>
      </c>
      <c r="P219" s="36" t="n">
        <f aca="false">IF(AND(M219&lt;&gt;"",ISNUMBER(K219),LEFT(M219,9)&lt;&gt;"Total for",M219&lt;&gt;"Gross Profit",M219&lt;&gt;"Net Operating Revenue",M219&lt;&gt;"Net Other Revenue",M219&lt;&gt;"Net Revenue"),1,0)</f>
        <v>0</v>
      </c>
      <c r="Q219" s="36" t="str">
        <f aca="false">IF(P219=1,IF(AND(LEN(M219)&gt;7,ISNUMBER(VALUE(LEFT(M219,6))),MID(M219,7,1)=" "),LEFT(M219,6),M219),"")</f>
        <v/>
      </c>
      <c r="V219" s="36" t="str">
        <f aca="false">TRIM(S219)</f>
        <v/>
      </c>
      <c r="W219" s="36" t="str">
        <f aca="false">IF(V219="Revenue","Revenue",IF(V219="Cost of Goods Sold","COGS",IF(V219="Expenditures","Expense",IF(V219="Other Revenue","Other Revenue",IF(V219="Other Expenditures","Other Expense",W218)))))</f>
        <v/>
      </c>
      <c r="X219" s="36" t="str">
        <f aca="false">IF(OR(V219="Revenue",V219="Cost of Goods Sold",V219="Expenditures",V219="Other Revenue",V219="Other Expenditures"),W219,IF(AND(LEN(V219)&gt;2,MID(V219,2,1)=" ",ISNUMBER(VALUE(LEFT(V219,1)))),V219,X218))</f>
        <v/>
      </c>
      <c r="Y219" s="36" t="n">
        <f aca="false">IF(AND(V219&lt;&gt;"",ISNUMBER(T219),LEFT(V219,9)&lt;&gt;"Total for",V219&lt;&gt;"Gross Profit",V219&lt;&gt;"Net Operating Revenue",V219&lt;&gt;"Net Other Revenue",V219&lt;&gt;"Net Revenue"),1,0)</f>
        <v>0</v>
      </c>
      <c r="Z219" s="36" t="str">
        <f aca="false">IF(Y219=1,IF(AND(LEN(V219)&gt;7,ISNUMBER(VALUE(LEFT(V219,6))),MID(V219,7,1)=" "),LEFT(V219,6),V219),"")</f>
        <v/>
      </c>
      <c r="AE219" s="36" t="str">
        <f aca="false">TRIM(AB219)</f>
        <v/>
      </c>
      <c r="AF219" s="36" t="str">
        <f aca="false">IF(AE219="Revenue","Revenue",IF(AE219="Cost of Goods Sold","COGS",IF(AE219="Expenditures","Expense",IF(AE219="Other Revenue","Other Revenue",IF(AE219="Other Expenditures","Other Expense",AF218)))))</f>
        <v/>
      </c>
      <c r="AG219" s="36" t="str">
        <f aca="false">IF(OR(AE219="Revenue",AE219="Cost of Goods Sold",AE219="Expenditures",AE219="Other Revenue",AE219="Other Expenditures"),AF219,IF(AND(LEN(AE219)&gt;2,MID(AE219,2,1)=" ",ISNUMBER(VALUE(LEFT(AE219,1)))),AE219,AG218))</f>
        <v/>
      </c>
      <c r="AH219" s="36" t="n">
        <f aca="false">IF(AND(AE219&lt;&gt;"",ISNUMBER(AC219),LEFT(AE219,9)&lt;&gt;"Total for",AE219&lt;&gt;"Gross Profit",AE219&lt;&gt;"Net Operating Revenue",AE219&lt;&gt;"Net Other Revenue",AE219&lt;&gt;"Net Revenue"),1,0)</f>
        <v>0</v>
      </c>
      <c r="AI219" s="36" t="str">
        <f aca="false">IF(AH219=1,IF(AND(LEN(AE219)&gt;7,ISNUMBER(VALUE(LEFT(AE219,6))),MID(AE219,7,1)=" "),LEFT(AE219,6),AE219),"")</f>
        <v/>
      </c>
      <c r="AN219" s="36" t="str">
        <f aca="false">TRIM(AK219)</f>
        <v/>
      </c>
      <c r="AO219" s="36" t="str">
        <f aca="false">IF(AN219="Revenue","Revenue",IF(AN219="Cost of Goods Sold","COGS",IF(AN219="Expenditures","Expense",IF(AN219="Other Revenue","Other Revenue",IF(AN219="Other Expenditures","Other Expense",AO218)))))</f>
        <v/>
      </c>
      <c r="AP219" s="36" t="str">
        <f aca="false">IF(OR(AN219="Revenue",AN219="Cost of Goods Sold",AN219="Expenditures",AN219="Other Revenue",AN219="Other Expenditures"),AO219,IF(AND(LEN(AN219)&gt;2,MID(AN219,2,1)=" ",ISNUMBER(VALUE(LEFT(AN219,1)))),AN219,AP218))</f>
        <v/>
      </c>
      <c r="AQ219" s="36" t="n">
        <f aca="false">IF(AND(AN219&lt;&gt;"",ISNUMBER(AL219),LEFT(AN219,9)&lt;&gt;"Total for",AN219&lt;&gt;"Gross Profit",AN219&lt;&gt;"Net Operating Revenue",AN219&lt;&gt;"Net Other Revenue",AN219&lt;&gt;"Net Revenue"),1,0)</f>
        <v>0</v>
      </c>
      <c r="AR219" s="36" t="str">
        <f aca="false">IF(AQ219=1,IF(AND(LEN(AN219)&gt;7,ISNUMBER(VALUE(LEFT(AN219,6))),MID(AN219,7,1)=" "),LEFT(AN219,6),AN219),"")</f>
        <v/>
      </c>
    </row>
    <row r="220" customFormat="false" ht="15" hidden="false" customHeight="false" outlineLevel="0" collapsed="false">
      <c r="D220" s="36" t="str">
        <f aca="false">TRIM(A220)</f>
        <v/>
      </c>
      <c r="E220" s="36" t="str">
        <f aca="false">IF(D220="Revenue","Revenue",IF(D220="Cost of Goods Sold","COGS",IF(D220="Expenditures","Expense",IF(D220="Other Revenue","Other Revenue",IF(D220="Other Expenditures","Other Expense",E219)))))</f>
        <v/>
      </c>
      <c r="F220" s="36" t="str">
        <f aca="false">IF(OR(D220="Revenue",D220="Cost of Goods Sold",D220="Expenditures",D220="Other Revenue",D220="Other Expenditures"),E220,IF(AND(LEN(D220)&gt;2,MID(D220,2,1)=" ",ISNUMBER(VALUE(LEFT(D220,1)))),D220,F219))</f>
        <v/>
      </c>
      <c r="G220" s="36" t="n">
        <f aca="false">IF(AND(D220&lt;&gt;"",ISNUMBER(B220),LEFT(D220,9)&lt;&gt;"Total for",D220&lt;&gt;"Gross Profit",D220&lt;&gt;"Net Operating Revenue",D220&lt;&gt;"Net Other Revenue",D220&lt;&gt;"Net Revenue"),1,0)</f>
        <v>0</v>
      </c>
      <c r="H220" s="36" t="str">
        <f aca="false">IF(G220=1,IF(AND(LEN(D220)&gt;7,ISNUMBER(VALUE(LEFT(D220,6))),MID(D220,7,1)=" "),LEFT(D220,6),D220),"")</f>
        <v/>
      </c>
      <c r="M220" s="36" t="str">
        <f aca="false">TRIM(J220)</f>
        <v/>
      </c>
      <c r="N220" s="36" t="str">
        <f aca="false">IF(M220="Revenue","Revenue",IF(M220="Cost of Goods Sold","COGS",IF(M220="Expenditures","Expense",IF(M220="Other Revenue","Other Revenue",IF(M220="Other Expenditures","Other Expense",N219)))))</f>
        <v/>
      </c>
      <c r="O220" s="36" t="str">
        <f aca="false">IF(OR(M220="Revenue",M220="Cost of Goods Sold",M220="Expenditures",M220="Other Revenue",M220="Other Expenditures"),N220,IF(AND(LEN(M220)&gt;2,MID(M220,2,1)=" ",ISNUMBER(VALUE(LEFT(M220,1)))),M220,O219))</f>
        <v/>
      </c>
      <c r="P220" s="36" t="n">
        <f aca="false">IF(AND(M220&lt;&gt;"",ISNUMBER(K220),LEFT(M220,9)&lt;&gt;"Total for",M220&lt;&gt;"Gross Profit",M220&lt;&gt;"Net Operating Revenue",M220&lt;&gt;"Net Other Revenue",M220&lt;&gt;"Net Revenue"),1,0)</f>
        <v>0</v>
      </c>
      <c r="Q220" s="36" t="str">
        <f aca="false">IF(P220=1,IF(AND(LEN(M220)&gt;7,ISNUMBER(VALUE(LEFT(M220,6))),MID(M220,7,1)=" "),LEFT(M220,6),M220),"")</f>
        <v/>
      </c>
      <c r="V220" s="36" t="str">
        <f aca="false">TRIM(S220)</f>
        <v/>
      </c>
      <c r="W220" s="36" t="str">
        <f aca="false">IF(V220="Revenue","Revenue",IF(V220="Cost of Goods Sold","COGS",IF(V220="Expenditures","Expense",IF(V220="Other Revenue","Other Revenue",IF(V220="Other Expenditures","Other Expense",W219)))))</f>
        <v/>
      </c>
      <c r="X220" s="36" t="str">
        <f aca="false">IF(OR(V220="Revenue",V220="Cost of Goods Sold",V220="Expenditures",V220="Other Revenue",V220="Other Expenditures"),W220,IF(AND(LEN(V220)&gt;2,MID(V220,2,1)=" ",ISNUMBER(VALUE(LEFT(V220,1)))),V220,X219))</f>
        <v/>
      </c>
      <c r="Y220" s="36" t="n">
        <f aca="false">IF(AND(V220&lt;&gt;"",ISNUMBER(T220),LEFT(V220,9)&lt;&gt;"Total for",V220&lt;&gt;"Gross Profit",V220&lt;&gt;"Net Operating Revenue",V220&lt;&gt;"Net Other Revenue",V220&lt;&gt;"Net Revenue"),1,0)</f>
        <v>0</v>
      </c>
      <c r="Z220" s="36" t="str">
        <f aca="false">IF(Y220=1,IF(AND(LEN(V220)&gt;7,ISNUMBER(VALUE(LEFT(V220,6))),MID(V220,7,1)=" "),LEFT(V220,6),V220),"")</f>
        <v/>
      </c>
      <c r="AE220" s="36" t="str">
        <f aca="false">TRIM(AB220)</f>
        <v/>
      </c>
      <c r="AF220" s="36" t="str">
        <f aca="false">IF(AE220="Revenue","Revenue",IF(AE220="Cost of Goods Sold","COGS",IF(AE220="Expenditures","Expense",IF(AE220="Other Revenue","Other Revenue",IF(AE220="Other Expenditures","Other Expense",AF219)))))</f>
        <v/>
      </c>
      <c r="AG220" s="36" t="str">
        <f aca="false">IF(OR(AE220="Revenue",AE220="Cost of Goods Sold",AE220="Expenditures",AE220="Other Revenue",AE220="Other Expenditures"),AF220,IF(AND(LEN(AE220)&gt;2,MID(AE220,2,1)=" ",ISNUMBER(VALUE(LEFT(AE220,1)))),AE220,AG219))</f>
        <v/>
      </c>
      <c r="AH220" s="36" t="n">
        <f aca="false">IF(AND(AE220&lt;&gt;"",ISNUMBER(AC220),LEFT(AE220,9)&lt;&gt;"Total for",AE220&lt;&gt;"Gross Profit",AE220&lt;&gt;"Net Operating Revenue",AE220&lt;&gt;"Net Other Revenue",AE220&lt;&gt;"Net Revenue"),1,0)</f>
        <v>0</v>
      </c>
      <c r="AI220" s="36" t="str">
        <f aca="false">IF(AH220=1,IF(AND(LEN(AE220)&gt;7,ISNUMBER(VALUE(LEFT(AE220,6))),MID(AE220,7,1)=" "),LEFT(AE220,6),AE220),"")</f>
        <v/>
      </c>
      <c r="AN220" s="36" t="str">
        <f aca="false">TRIM(AK220)</f>
        <v/>
      </c>
      <c r="AO220" s="36" t="str">
        <f aca="false">IF(AN220="Revenue","Revenue",IF(AN220="Cost of Goods Sold","COGS",IF(AN220="Expenditures","Expense",IF(AN220="Other Revenue","Other Revenue",IF(AN220="Other Expenditures","Other Expense",AO219)))))</f>
        <v/>
      </c>
      <c r="AP220" s="36" t="str">
        <f aca="false">IF(OR(AN220="Revenue",AN220="Cost of Goods Sold",AN220="Expenditures",AN220="Other Revenue",AN220="Other Expenditures"),AO220,IF(AND(LEN(AN220)&gt;2,MID(AN220,2,1)=" ",ISNUMBER(VALUE(LEFT(AN220,1)))),AN220,AP219))</f>
        <v/>
      </c>
      <c r="AQ220" s="36" t="n">
        <f aca="false">IF(AND(AN220&lt;&gt;"",ISNUMBER(AL220),LEFT(AN220,9)&lt;&gt;"Total for",AN220&lt;&gt;"Gross Profit",AN220&lt;&gt;"Net Operating Revenue",AN220&lt;&gt;"Net Other Revenue",AN220&lt;&gt;"Net Revenue"),1,0)</f>
        <v>0</v>
      </c>
      <c r="AR220" s="36" t="str">
        <f aca="false">IF(AQ220=1,IF(AND(LEN(AN220)&gt;7,ISNUMBER(VALUE(LEFT(AN220,6))),MID(AN220,7,1)=" "),LEFT(AN220,6),AN220),"")</f>
        <v/>
      </c>
    </row>
    <row r="221" customFormat="false" ht="15" hidden="false" customHeight="false" outlineLevel="0" collapsed="false">
      <c r="D221" s="36" t="str">
        <f aca="false">TRIM(A221)</f>
        <v/>
      </c>
      <c r="E221" s="36" t="str">
        <f aca="false">IF(D221="Revenue","Revenue",IF(D221="Cost of Goods Sold","COGS",IF(D221="Expenditures","Expense",IF(D221="Other Revenue","Other Revenue",IF(D221="Other Expenditures","Other Expense",E220)))))</f>
        <v/>
      </c>
      <c r="F221" s="36" t="str">
        <f aca="false">IF(OR(D221="Revenue",D221="Cost of Goods Sold",D221="Expenditures",D221="Other Revenue",D221="Other Expenditures"),E221,IF(AND(LEN(D221)&gt;2,MID(D221,2,1)=" ",ISNUMBER(VALUE(LEFT(D221,1)))),D221,F220))</f>
        <v/>
      </c>
      <c r="G221" s="36" t="n">
        <f aca="false">IF(AND(D221&lt;&gt;"",ISNUMBER(B221),LEFT(D221,9)&lt;&gt;"Total for",D221&lt;&gt;"Gross Profit",D221&lt;&gt;"Net Operating Revenue",D221&lt;&gt;"Net Other Revenue",D221&lt;&gt;"Net Revenue"),1,0)</f>
        <v>0</v>
      </c>
      <c r="H221" s="36" t="str">
        <f aca="false">IF(G221=1,IF(AND(LEN(D221)&gt;7,ISNUMBER(VALUE(LEFT(D221,6))),MID(D221,7,1)=" "),LEFT(D221,6),D221),"")</f>
        <v/>
      </c>
      <c r="M221" s="36" t="str">
        <f aca="false">TRIM(J221)</f>
        <v/>
      </c>
      <c r="N221" s="36" t="str">
        <f aca="false">IF(M221="Revenue","Revenue",IF(M221="Cost of Goods Sold","COGS",IF(M221="Expenditures","Expense",IF(M221="Other Revenue","Other Revenue",IF(M221="Other Expenditures","Other Expense",N220)))))</f>
        <v/>
      </c>
      <c r="O221" s="36" t="str">
        <f aca="false">IF(OR(M221="Revenue",M221="Cost of Goods Sold",M221="Expenditures",M221="Other Revenue",M221="Other Expenditures"),N221,IF(AND(LEN(M221)&gt;2,MID(M221,2,1)=" ",ISNUMBER(VALUE(LEFT(M221,1)))),M221,O220))</f>
        <v/>
      </c>
      <c r="P221" s="36" t="n">
        <f aca="false">IF(AND(M221&lt;&gt;"",ISNUMBER(K221),LEFT(M221,9)&lt;&gt;"Total for",M221&lt;&gt;"Gross Profit",M221&lt;&gt;"Net Operating Revenue",M221&lt;&gt;"Net Other Revenue",M221&lt;&gt;"Net Revenue"),1,0)</f>
        <v>0</v>
      </c>
      <c r="Q221" s="36" t="str">
        <f aca="false">IF(P221=1,IF(AND(LEN(M221)&gt;7,ISNUMBER(VALUE(LEFT(M221,6))),MID(M221,7,1)=" "),LEFT(M221,6),M221),"")</f>
        <v/>
      </c>
      <c r="V221" s="36" t="str">
        <f aca="false">TRIM(S221)</f>
        <v/>
      </c>
      <c r="W221" s="36" t="str">
        <f aca="false">IF(V221="Revenue","Revenue",IF(V221="Cost of Goods Sold","COGS",IF(V221="Expenditures","Expense",IF(V221="Other Revenue","Other Revenue",IF(V221="Other Expenditures","Other Expense",W220)))))</f>
        <v/>
      </c>
      <c r="X221" s="36" t="str">
        <f aca="false">IF(OR(V221="Revenue",V221="Cost of Goods Sold",V221="Expenditures",V221="Other Revenue",V221="Other Expenditures"),W221,IF(AND(LEN(V221)&gt;2,MID(V221,2,1)=" ",ISNUMBER(VALUE(LEFT(V221,1)))),V221,X220))</f>
        <v/>
      </c>
      <c r="Y221" s="36" t="n">
        <f aca="false">IF(AND(V221&lt;&gt;"",ISNUMBER(T221),LEFT(V221,9)&lt;&gt;"Total for",V221&lt;&gt;"Gross Profit",V221&lt;&gt;"Net Operating Revenue",V221&lt;&gt;"Net Other Revenue",V221&lt;&gt;"Net Revenue"),1,0)</f>
        <v>0</v>
      </c>
      <c r="Z221" s="36" t="str">
        <f aca="false">IF(Y221=1,IF(AND(LEN(V221)&gt;7,ISNUMBER(VALUE(LEFT(V221,6))),MID(V221,7,1)=" "),LEFT(V221,6),V221),"")</f>
        <v/>
      </c>
      <c r="AE221" s="36" t="str">
        <f aca="false">TRIM(AB221)</f>
        <v/>
      </c>
      <c r="AF221" s="36" t="str">
        <f aca="false">IF(AE221="Revenue","Revenue",IF(AE221="Cost of Goods Sold","COGS",IF(AE221="Expenditures","Expense",IF(AE221="Other Revenue","Other Revenue",IF(AE221="Other Expenditures","Other Expense",AF220)))))</f>
        <v/>
      </c>
      <c r="AG221" s="36" t="str">
        <f aca="false">IF(OR(AE221="Revenue",AE221="Cost of Goods Sold",AE221="Expenditures",AE221="Other Revenue",AE221="Other Expenditures"),AF221,IF(AND(LEN(AE221)&gt;2,MID(AE221,2,1)=" ",ISNUMBER(VALUE(LEFT(AE221,1)))),AE221,AG220))</f>
        <v/>
      </c>
      <c r="AH221" s="36" t="n">
        <f aca="false">IF(AND(AE221&lt;&gt;"",ISNUMBER(AC221),LEFT(AE221,9)&lt;&gt;"Total for",AE221&lt;&gt;"Gross Profit",AE221&lt;&gt;"Net Operating Revenue",AE221&lt;&gt;"Net Other Revenue",AE221&lt;&gt;"Net Revenue"),1,0)</f>
        <v>0</v>
      </c>
      <c r="AI221" s="36" t="str">
        <f aca="false">IF(AH221=1,IF(AND(LEN(AE221)&gt;7,ISNUMBER(VALUE(LEFT(AE221,6))),MID(AE221,7,1)=" "),LEFT(AE221,6),AE221),"")</f>
        <v/>
      </c>
      <c r="AN221" s="36" t="str">
        <f aca="false">TRIM(AK221)</f>
        <v/>
      </c>
      <c r="AO221" s="36" t="str">
        <f aca="false">IF(AN221="Revenue","Revenue",IF(AN221="Cost of Goods Sold","COGS",IF(AN221="Expenditures","Expense",IF(AN221="Other Revenue","Other Revenue",IF(AN221="Other Expenditures","Other Expense",AO220)))))</f>
        <v/>
      </c>
      <c r="AP221" s="36" t="str">
        <f aca="false">IF(OR(AN221="Revenue",AN221="Cost of Goods Sold",AN221="Expenditures",AN221="Other Revenue",AN221="Other Expenditures"),AO221,IF(AND(LEN(AN221)&gt;2,MID(AN221,2,1)=" ",ISNUMBER(VALUE(LEFT(AN221,1)))),AN221,AP220))</f>
        <v/>
      </c>
      <c r="AQ221" s="36" t="n">
        <f aca="false">IF(AND(AN221&lt;&gt;"",ISNUMBER(AL221),LEFT(AN221,9)&lt;&gt;"Total for",AN221&lt;&gt;"Gross Profit",AN221&lt;&gt;"Net Operating Revenue",AN221&lt;&gt;"Net Other Revenue",AN221&lt;&gt;"Net Revenue"),1,0)</f>
        <v>0</v>
      </c>
      <c r="AR221" s="36" t="str">
        <f aca="false">IF(AQ221=1,IF(AND(LEN(AN221)&gt;7,ISNUMBER(VALUE(LEFT(AN221,6))),MID(AN221,7,1)=" "),LEFT(AN221,6),AN221),"")</f>
        <v/>
      </c>
    </row>
    <row r="222" customFormat="false" ht="15" hidden="false" customHeight="false" outlineLevel="0" collapsed="false">
      <c r="D222" s="36" t="str">
        <f aca="false">TRIM(A222)</f>
        <v/>
      </c>
      <c r="E222" s="36" t="str">
        <f aca="false">IF(D222="Revenue","Revenue",IF(D222="Cost of Goods Sold","COGS",IF(D222="Expenditures","Expense",IF(D222="Other Revenue","Other Revenue",IF(D222="Other Expenditures","Other Expense",E221)))))</f>
        <v/>
      </c>
      <c r="F222" s="36" t="str">
        <f aca="false">IF(OR(D222="Revenue",D222="Cost of Goods Sold",D222="Expenditures",D222="Other Revenue",D222="Other Expenditures"),E222,IF(AND(LEN(D222)&gt;2,MID(D222,2,1)=" ",ISNUMBER(VALUE(LEFT(D222,1)))),D222,F221))</f>
        <v/>
      </c>
      <c r="G222" s="36" t="n">
        <f aca="false">IF(AND(D222&lt;&gt;"",ISNUMBER(B222),LEFT(D222,9)&lt;&gt;"Total for",D222&lt;&gt;"Gross Profit",D222&lt;&gt;"Net Operating Revenue",D222&lt;&gt;"Net Other Revenue",D222&lt;&gt;"Net Revenue"),1,0)</f>
        <v>0</v>
      </c>
      <c r="H222" s="36" t="str">
        <f aca="false">IF(G222=1,IF(AND(LEN(D222)&gt;7,ISNUMBER(VALUE(LEFT(D222,6))),MID(D222,7,1)=" "),LEFT(D222,6),D222),"")</f>
        <v/>
      </c>
      <c r="M222" s="36" t="str">
        <f aca="false">TRIM(J222)</f>
        <v/>
      </c>
      <c r="N222" s="36" t="str">
        <f aca="false">IF(M222="Revenue","Revenue",IF(M222="Cost of Goods Sold","COGS",IF(M222="Expenditures","Expense",IF(M222="Other Revenue","Other Revenue",IF(M222="Other Expenditures","Other Expense",N221)))))</f>
        <v/>
      </c>
      <c r="O222" s="36" t="str">
        <f aca="false">IF(OR(M222="Revenue",M222="Cost of Goods Sold",M222="Expenditures",M222="Other Revenue",M222="Other Expenditures"),N222,IF(AND(LEN(M222)&gt;2,MID(M222,2,1)=" ",ISNUMBER(VALUE(LEFT(M222,1)))),M222,O221))</f>
        <v/>
      </c>
      <c r="P222" s="36" t="n">
        <f aca="false">IF(AND(M222&lt;&gt;"",ISNUMBER(K222),LEFT(M222,9)&lt;&gt;"Total for",M222&lt;&gt;"Gross Profit",M222&lt;&gt;"Net Operating Revenue",M222&lt;&gt;"Net Other Revenue",M222&lt;&gt;"Net Revenue"),1,0)</f>
        <v>0</v>
      </c>
      <c r="Q222" s="36" t="str">
        <f aca="false">IF(P222=1,IF(AND(LEN(M222)&gt;7,ISNUMBER(VALUE(LEFT(M222,6))),MID(M222,7,1)=" "),LEFT(M222,6),M222),"")</f>
        <v/>
      </c>
      <c r="V222" s="36" t="str">
        <f aca="false">TRIM(S222)</f>
        <v/>
      </c>
      <c r="W222" s="36" t="str">
        <f aca="false">IF(V222="Revenue","Revenue",IF(V222="Cost of Goods Sold","COGS",IF(V222="Expenditures","Expense",IF(V222="Other Revenue","Other Revenue",IF(V222="Other Expenditures","Other Expense",W221)))))</f>
        <v/>
      </c>
      <c r="X222" s="36" t="str">
        <f aca="false">IF(OR(V222="Revenue",V222="Cost of Goods Sold",V222="Expenditures",V222="Other Revenue",V222="Other Expenditures"),W222,IF(AND(LEN(V222)&gt;2,MID(V222,2,1)=" ",ISNUMBER(VALUE(LEFT(V222,1)))),V222,X221))</f>
        <v/>
      </c>
      <c r="Y222" s="36" t="n">
        <f aca="false">IF(AND(V222&lt;&gt;"",ISNUMBER(T222),LEFT(V222,9)&lt;&gt;"Total for",V222&lt;&gt;"Gross Profit",V222&lt;&gt;"Net Operating Revenue",V222&lt;&gt;"Net Other Revenue",V222&lt;&gt;"Net Revenue"),1,0)</f>
        <v>0</v>
      </c>
      <c r="Z222" s="36" t="str">
        <f aca="false">IF(Y222=1,IF(AND(LEN(V222)&gt;7,ISNUMBER(VALUE(LEFT(V222,6))),MID(V222,7,1)=" "),LEFT(V222,6),V222),"")</f>
        <v/>
      </c>
      <c r="AE222" s="36" t="str">
        <f aca="false">TRIM(AB222)</f>
        <v/>
      </c>
      <c r="AF222" s="36" t="str">
        <f aca="false">IF(AE222="Revenue","Revenue",IF(AE222="Cost of Goods Sold","COGS",IF(AE222="Expenditures","Expense",IF(AE222="Other Revenue","Other Revenue",IF(AE222="Other Expenditures","Other Expense",AF221)))))</f>
        <v/>
      </c>
      <c r="AG222" s="36" t="str">
        <f aca="false">IF(OR(AE222="Revenue",AE222="Cost of Goods Sold",AE222="Expenditures",AE222="Other Revenue",AE222="Other Expenditures"),AF222,IF(AND(LEN(AE222)&gt;2,MID(AE222,2,1)=" ",ISNUMBER(VALUE(LEFT(AE222,1)))),AE222,AG221))</f>
        <v/>
      </c>
      <c r="AH222" s="36" t="n">
        <f aca="false">IF(AND(AE222&lt;&gt;"",ISNUMBER(AC222),LEFT(AE222,9)&lt;&gt;"Total for",AE222&lt;&gt;"Gross Profit",AE222&lt;&gt;"Net Operating Revenue",AE222&lt;&gt;"Net Other Revenue",AE222&lt;&gt;"Net Revenue"),1,0)</f>
        <v>0</v>
      </c>
      <c r="AI222" s="36" t="str">
        <f aca="false">IF(AH222=1,IF(AND(LEN(AE222)&gt;7,ISNUMBER(VALUE(LEFT(AE222,6))),MID(AE222,7,1)=" "),LEFT(AE222,6),AE222),"")</f>
        <v/>
      </c>
      <c r="AN222" s="36" t="str">
        <f aca="false">TRIM(AK222)</f>
        <v/>
      </c>
      <c r="AO222" s="36" t="str">
        <f aca="false">IF(AN222="Revenue","Revenue",IF(AN222="Cost of Goods Sold","COGS",IF(AN222="Expenditures","Expense",IF(AN222="Other Revenue","Other Revenue",IF(AN222="Other Expenditures","Other Expense",AO221)))))</f>
        <v/>
      </c>
      <c r="AP222" s="36" t="str">
        <f aca="false">IF(OR(AN222="Revenue",AN222="Cost of Goods Sold",AN222="Expenditures",AN222="Other Revenue",AN222="Other Expenditures"),AO222,IF(AND(LEN(AN222)&gt;2,MID(AN222,2,1)=" ",ISNUMBER(VALUE(LEFT(AN222,1)))),AN222,AP221))</f>
        <v/>
      </c>
      <c r="AQ222" s="36" t="n">
        <f aca="false">IF(AND(AN222&lt;&gt;"",ISNUMBER(AL222),LEFT(AN222,9)&lt;&gt;"Total for",AN222&lt;&gt;"Gross Profit",AN222&lt;&gt;"Net Operating Revenue",AN222&lt;&gt;"Net Other Revenue",AN222&lt;&gt;"Net Revenue"),1,0)</f>
        <v>0</v>
      </c>
      <c r="AR222" s="36" t="str">
        <f aca="false">IF(AQ222=1,IF(AND(LEN(AN222)&gt;7,ISNUMBER(VALUE(LEFT(AN222,6))),MID(AN222,7,1)=" "),LEFT(AN222,6),AN222),"")</f>
        <v/>
      </c>
    </row>
    <row r="223" customFormat="false" ht="15" hidden="false" customHeight="false" outlineLevel="0" collapsed="false">
      <c r="D223" s="36" t="str">
        <f aca="false">TRIM(A223)</f>
        <v/>
      </c>
      <c r="E223" s="36" t="str">
        <f aca="false">IF(D223="Revenue","Revenue",IF(D223="Cost of Goods Sold","COGS",IF(D223="Expenditures","Expense",IF(D223="Other Revenue","Other Revenue",IF(D223="Other Expenditures","Other Expense",E222)))))</f>
        <v/>
      </c>
      <c r="F223" s="36" t="str">
        <f aca="false">IF(OR(D223="Revenue",D223="Cost of Goods Sold",D223="Expenditures",D223="Other Revenue",D223="Other Expenditures"),E223,IF(AND(LEN(D223)&gt;2,MID(D223,2,1)=" ",ISNUMBER(VALUE(LEFT(D223,1)))),D223,F222))</f>
        <v/>
      </c>
      <c r="G223" s="36" t="n">
        <f aca="false">IF(AND(D223&lt;&gt;"",ISNUMBER(B223),LEFT(D223,9)&lt;&gt;"Total for",D223&lt;&gt;"Gross Profit",D223&lt;&gt;"Net Operating Revenue",D223&lt;&gt;"Net Other Revenue",D223&lt;&gt;"Net Revenue"),1,0)</f>
        <v>0</v>
      </c>
      <c r="H223" s="36" t="str">
        <f aca="false">IF(G223=1,IF(AND(LEN(D223)&gt;7,ISNUMBER(VALUE(LEFT(D223,6))),MID(D223,7,1)=" "),LEFT(D223,6),D223),"")</f>
        <v/>
      </c>
      <c r="M223" s="36" t="str">
        <f aca="false">TRIM(J223)</f>
        <v/>
      </c>
      <c r="N223" s="36" t="str">
        <f aca="false">IF(M223="Revenue","Revenue",IF(M223="Cost of Goods Sold","COGS",IF(M223="Expenditures","Expense",IF(M223="Other Revenue","Other Revenue",IF(M223="Other Expenditures","Other Expense",N222)))))</f>
        <v/>
      </c>
      <c r="O223" s="36" t="str">
        <f aca="false">IF(OR(M223="Revenue",M223="Cost of Goods Sold",M223="Expenditures",M223="Other Revenue",M223="Other Expenditures"),N223,IF(AND(LEN(M223)&gt;2,MID(M223,2,1)=" ",ISNUMBER(VALUE(LEFT(M223,1)))),M223,O222))</f>
        <v/>
      </c>
      <c r="P223" s="36" t="n">
        <f aca="false">IF(AND(M223&lt;&gt;"",ISNUMBER(K223),LEFT(M223,9)&lt;&gt;"Total for",M223&lt;&gt;"Gross Profit",M223&lt;&gt;"Net Operating Revenue",M223&lt;&gt;"Net Other Revenue",M223&lt;&gt;"Net Revenue"),1,0)</f>
        <v>0</v>
      </c>
      <c r="Q223" s="36" t="str">
        <f aca="false">IF(P223=1,IF(AND(LEN(M223)&gt;7,ISNUMBER(VALUE(LEFT(M223,6))),MID(M223,7,1)=" "),LEFT(M223,6),M223),"")</f>
        <v/>
      </c>
      <c r="V223" s="36" t="str">
        <f aca="false">TRIM(S223)</f>
        <v/>
      </c>
      <c r="W223" s="36" t="str">
        <f aca="false">IF(V223="Revenue","Revenue",IF(V223="Cost of Goods Sold","COGS",IF(V223="Expenditures","Expense",IF(V223="Other Revenue","Other Revenue",IF(V223="Other Expenditures","Other Expense",W222)))))</f>
        <v/>
      </c>
      <c r="X223" s="36" t="str">
        <f aca="false">IF(OR(V223="Revenue",V223="Cost of Goods Sold",V223="Expenditures",V223="Other Revenue",V223="Other Expenditures"),W223,IF(AND(LEN(V223)&gt;2,MID(V223,2,1)=" ",ISNUMBER(VALUE(LEFT(V223,1)))),V223,X222))</f>
        <v/>
      </c>
      <c r="Y223" s="36" t="n">
        <f aca="false">IF(AND(V223&lt;&gt;"",ISNUMBER(T223),LEFT(V223,9)&lt;&gt;"Total for",V223&lt;&gt;"Gross Profit",V223&lt;&gt;"Net Operating Revenue",V223&lt;&gt;"Net Other Revenue",V223&lt;&gt;"Net Revenue"),1,0)</f>
        <v>0</v>
      </c>
      <c r="Z223" s="36" t="str">
        <f aca="false">IF(Y223=1,IF(AND(LEN(V223)&gt;7,ISNUMBER(VALUE(LEFT(V223,6))),MID(V223,7,1)=" "),LEFT(V223,6),V223),"")</f>
        <v/>
      </c>
      <c r="AE223" s="36" t="str">
        <f aca="false">TRIM(AB223)</f>
        <v/>
      </c>
      <c r="AF223" s="36" t="str">
        <f aca="false">IF(AE223="Revenue","Revenue",IF(AE223="Cost of Goods Sold","COGS",IF(AE223="Expenditures","Expense",IF(AE223="Other Revenue","Other Revenue",IF(AE223="Other Expenditures","Other Expense",AF222)))))</f>
        <v/>
      </c>
      <c r="AG223" s="36" t="str">
        <f aca="false">IF(OR(AE223="Revenue",AE223="Cost of Goods Sold",AE223="Expenditures",AE223="Other Revenue",AE223="Other Expenditures"),AF223,IF(AND(LEN(AE223)&gt;2,MID(AE223,2,1)=" ",ISNUMBER(VALUE(LEFT(AE223,1)))),AE223,AG222))</f>
        <v/>
      </c>
      <c r="AH223" s="36" t="n">
        <f aca="false">IF(AND(AE223&lt;&gt;"",ISNUMBER(AC223),LEFT(AE223,9)&lt;&gt;"Total for",AE223&lt;&gt;"Gross Profit",AE223&lt;&gt;"Net Operating Revenue",AE223&lt;&gt;"Net Other Revenue",AE223&lt;&gt;"Net Revenue"),1,0)</f>
        <v>0</v>
      </c>
      <c r="AI223" s="36" t="str">
        <f aca="false">IF(AH223=1,IF(AND(LEN(AE223)&gt;7,ISNUMBER(VALUE(LEFT(AE223,6))),MID(AE223,7,1)=" "),LEFT(AE223,6),AE223),"")</f>
        <v/>
      </c>
      <c r="AN223" s="36" t="str">
        <f aca="false">TRIM(AK223)</f>
        <v/>
      </c>
      <c r="AO223" s="36" t="str">
        <f aca="false">IF(AN223="Revenue","Revenue",IF(AN223="Cost of Goods Sold","COGS",IF(AN223="Expenditures","Expense",IF(AN223="Other Revenue","Other Revenue",IF(AN223="Other Expenditures","Other Expense",AO222)))))</f>
        <v/>
      </c>
      <c r="AP223" s="36" t="str">
        <f aca="false">IF(OR(AN223="Revenue",AN223="Cost of Goods Sold",AN223="Expenditures",AN223="Other Revenue",AN223="Other Expenditures"),AO223,IF(AND(LEN(AN223)&gt;2,MID(AN223,2,1)=" ",ISNUMBER(VALUE(LEFT(AN223,1)))),AN223,AP222))</f>
        <v/>
      </c>
      <c r="AQ223" s="36" t="n">
        <f aca="false">IF(AND(AN223&lt;&gt;"",ISNUMBER(AL223),LEFT(AN223,9)&lt;&gt;"Total for",AN223&lt;&gt;"Gross Profit",AN223&lt;&gt;"Net Operating Revenue",AN223&lt;&gt;"Net Other Revenue",AN223&lt;&gt;"Net Revenue"),1,0)</f>
        <v>0</v>
      </c>
      <c r="AR223" s="36" t="str">
        <f aca="false">IF(AQ223=1,IF(AND(LEN(AN223)&gt;7,ISNUMBER(VALUE(LEFT(AN223,6))),MID(AN223,7,1)=" "),LEFT(AN223,6),AN223),"")</f>
        <v/>
      </c>
    </row>
    <row r="224" customFormat="false" ht="15" hidden="false" customHeight="false" outlineLevel="0" collapsed="false">
      <c r="D224" s="36" t="str">
        <f aca="false">TRIM(A224)</f>
        <v/>
      </c>
      <c r="E224" s="36" t="str">
        <f aca="false">IF(D224="Revenue","Revenue",IF(D224="Cost of Goods Sold","COGS",IF(D224="Expenditures","Expense",IF(D224="Other Revenue","Other Revenue",IF(D224="Other Expenditures","Other Expense",E223)))))</f>
        <v/>
      </c>
      <c r="F224" s="36" t="str">
        <f aca="false">IF(OR(D224="Revenue",D224="Cost of Goods Sold",D224="Expenditures",D224="Other Revenue",D224="Other Expenditures"),E224,IF(AND(LEN(D224)&gt;2,MID(D224,2,1)=" ",ISNUMBER(VALUE(LEFT(D224,1)))),D224,F223))</f>
        <v/>
      </c>
      <c r="G224" s="36" t="n">
        <f aca="false">IF(AND(D224&lt;&gt;"",ISNUMBER(B224),LEFT(D224,9)&lt;&gt;"Total for",D224&lt;&gt;"Gross Profit",D224&lt;&gt;"Net Operating Revenue",D224&lt;&gt;"Net Other Revenue",D224&lt;&gt;"Net Revenue"),1,0)</f>
        <v>0</v>
      </c>
      <c r="H224" s="36" t="str">
        <f aca="false">IF(G224=1,IF(AND(LEN(D224)&gt;7,ISNUMBER(VALUE(LEFT(D224,6))),MID(D224,7,1)=" "),LEFT(D224,6),D224),"")</f>
        <v/>
      </c>
      <c r="M224" s="36" t="str">
        <f aca="false">TRIM(J224)</f>
        <v/>
      </c>
      <c r="N224" s="36" t="str">
        <f aca="false">IF(M224="Revenue","Revenue",IF(M224="Cost of Goods Sold","COGS",IF(M224="Expenditures","Expense",IF(M224="Other Revenue","Other Revenue",IF(M224="Other Expenditures","Other Expense",N223)))))</f>
        <v/>
      </c>
      <c r="O224" s="36" t="str">
        <f aca="false">IF(OR(M224="Revenue",M224="Cost of Goods Sold",M224="Expenditures",M224="Other Revenue",M224="Other Expenditures"),N224,IF(AND(LEN(M224)&gt;2,MID(M224,2,1)=" ",ISNUMBER(VALUE(LEFT(M224,1)))),M224,O223))</f>
        <v/>
      </c>
      <c r="P224" s="36" t="n">
        <f aca="false">IF(AND(M224&lt;&gt;"",ISNUMBER(K224),LEFT(M224,9)&lt;&gt;"Total for",M224&lt;&gt;"Gross Profit",M224&lt;&gt;"Net Operating Revenue",M224&lt;&gt;"Net Other Revenue",M224&lt;&gt;"Net Revenue"),1,0)</f>
        <v>0</v>
      </c>
      <c r="Q224" s="36" t="str">
        <f aca="false">IF(P224=1,IF(AND(LEN(M224)&gt;7,ISNUMBER(VALUE(LEFT(M224,6))),MID(M224,7,1)=" "),LEFT(M224,6),M224),"")</f>
        <v/>
      </c>
      <c r="V224" s="36" t="str">
        <f aca="false">TRIM(S224)</f>
        <v/>
      </c>
      <c r="W224" s="36" t="str">
        <f aca="false">IF(V224="Revenue","Revenue",IF(V224="Cost of Goods Sold","COGS",IF(V224="Expenditures","Expense",IF(V224="Other Revenue","Other Revenue",IF(V224="Other Expenditures","Other Expense",W223)))))</f>
        <v/>
      </c>
      <c r="X224" s="36" t="str">
        <f aca="false">IF(OR(V224="Revenue",V224="Cost of Goods Sold",V224="Expenditures",V224="Other Revenue",V224="Other Expenditures"),W224,IF(AND(LEN(V224)&gt;2,MID(V224,2,1)=" ",ISNUMBER(VALUE(LEFT(V224,1)))),V224,X223))</f>
        <v/>
      </c>
      <c r="Y224" s="36" t="n">
        <f aca="false">IF(AND(V224&lt;&gt;"",ISNUMBER(T224),LEFT(V224,9)&lt;&gt;"Total for",V224&lt;&gt;"Gross Profit",V224&lt;&gt;"Net Operating Revenue",V224&lt;&gt;"Net Other Revenue",V224&lt;&gt;"Net Revenue"),1,0)</f>
        <v>0</v>
      </c>
      <c r="Z224" s="36" t="str">
        <f aca="false">IF(Y224=1,IF(AND(LEN(V224)&gt;7,ISNUMBER(VALUE(LEFT(V224,6))),MID(V224,7,1)=" "),LEFT(V224,6),V224),"")</f>
        <v/>
      </c>
      <c r="AE224" s="36" t="str">
        <f aca="false">TRIM(AB224)</f>
        <v/>
      </c>
      <c r="AF224" s="36" t="str">
        <f aca="false">IF(AE224="Revenue","Revenue",IF(AE224="Cost of Goods Sold","COGS",IF(AE224="Expenditures","Expense",IF(AE224="Other Revenue","Other Revenue",IF(AE224="Other Expenditures","Other Expense",AF223)))))</f>
        <v/>
      </c>
      <c r="AG224" s="36" t="str">
        <f aca="false">IF(OR(AE224="Revenue",AE224="Cost of Goods Sold",AE224="Expenditures",AE224="Other Revenue",AE224="Other Expenditures"),AF224,IF(AND(LEN(AE224)&gt;2,MID(AE224,2,1)=" ",ISNUMBER(VALUE(LEFT(AE224,1)))),AE224,AG223))</f>
        <v/>
      </c>
      <c r="AH224" s="36" t="n">
        <f aca="false">IF(AND(AE224&lt;&gt;"",ISNUMBER(AC224),LEFT(AE224,9)&lt;&gt;"Total for",AE224&lt;&gt;"Gross Profit",AE224&lt;&gt;"Net Operating Revenue",AE224&lt;&gt;"Net Other Revenue",AE224&lt;&gt;"Net Revenue"),1,0)</f>
        <v>0</v>
      </c>
      <c r="AI224" s="36" t="str">
        <f aca="false">IF(AH224=1,IF(AND(LEN(AE224)&gt;7,ISNUMBER(VALUE(LEFT(AE224,6))),MID(AE224,7,1)=" "),LEFT(AE224,6),AE224),"")</f>
        <v/>
      </c>
      <c r="AN224" s="36" t="str">
        <f aca="false">TRIM(AK224)</f>
        <v/>
      </c>
      <c r="AO224" s="36" t="str">
        <f aca="false">IF(AN224="Revenue","Revenue",IF(AN224="Cost of Goods Sold","COGS",IF(AN224="Expenditures","Expense",IF(AN224="Other Revenue","Other Revenue",IF(AN224="Other Expenditures","Other Expense",AO223)))))</f>
        <v/>
      </c>
      <c r="AP224" s="36" t="str">
        <f aca="false">IF(OR(AN224="Revenue",AN224="Cost of Goods Sold",AN224="Expenditures",AN224="Other Revenue",AN224="Other Expenditures"),AO224,IF(AND(LEN(AN224)&gt;2,MID(AN224,2,1)=" ",ISNUMBER(VALUE(LEFT(AN224,1)))),AN224,AP223))</f>
        <v/>
      </c>
      <c r="AQ224" s="36" t="n">
        <f aca="false">IF(AND(AN224&lt;&gt;"",ISNUMBER(AL224),LEFT(AN224,9)&lt;&gt;"Total for",AN224&lt;&gt;"Gross Profit",AN224&lt;&gt;"Net Operating Revenue",AN224&lt;&gt;"Net Other Revenue",AN224&lt;&gt;"Net Revenue"),1,0)</f>
        <v>0</v>
      </c>
      <c r="AR224" s="36" t="str">
        <f aca="false">IF(AQ224=1,IF(AND(LEN(AN224)&gt;7,ISNUMBER(VALUE(LEFT(AN224,6))),MID(AN224,7,1)=" "),LEFT(AN224,6),AN224),"")</f>
        <v/>
      </c>
    </row>
    <row r="225" customFormat="false" ht="15" hidden="false" customHeight="false" outlineLevel="0" collapsed="false">
      <c r="D225" s="36" t="str">
        <f aca="false">TRIM(A225)</f>
        <v/>
      </c>
      <c r="E225" s="36" t="str">
        <f aca="false">IF(D225="Revenue","Revenue",IF(D225="Cost of Goods Sold","COGS",IF(D225="Expenditures","Expense",IF(D225="Other Revenue","Other Revenue",IF(D225="Other Expenditures","Other Expense",E224)))))</f>
        <v/>
      </c>
      <c r="F225" s="36" t="str">
        <f aca="false">IF(OR(D225="Revenue",D225="Cost of Goods Sold",D225="Expenditures",D225="Other Revenue",D225="Other Expenditures"),E225,IF(AND(LEN(D225)&gt;2,MID(D225,2,1)=" ",ISNUMBER(VALUE(LEFT(D225,1)))),D225,F224))</f>
        <v/>
      </c>
      <c r="G225" s="36" t="n">
        <f aca="false">IF(AND(D225&lt;&gt;"",ISNUMBER(B225),LEFT(D225,9)&lt;&gt;"Total for",D225&lt;&gt;"Gross Profit",D225&lt;&gt;"Net Operating Revenue",D225&lt;&gt;"Net Other Revenue",D225&lt;&gt;"Net Revenue"),1,0)</f>
        <v>0</v>
      </c>
      <c r="H225" s="36" t="str">
        <f aca="false">IF(G225=1,IF(AND(LEN(D225)&gt;7,ISNUMBER(VALUE(LEFT(D225,6))),MID(D225,7,1)=" "),LEFT(D225,6),D225),"")</f>
        <v/>
      </c>
      <c r="M225" s="36" t="str">
        <f aca="false">TRIM(J225)</f>
        <v/>
      </c>
      <c r="N225" s="36" t="str">
        <f aca="false">IF(M225="Revenue","Revenue",IF(M225="Cost of Goods Sold","COGS",IF(M225="Expenditures","Expense",IF(M225="Other Revenue","Other Revenue",IF(M225="Other Expenditures","Other Expense",N224)))))</f>
        <v/>
      </c>
      <c r="O225" s="36" t="str">
        <f aca="false">IF(OR(M225="Revenue",M225="Cost of Goods Sold",M225="Expenditures",M225="Other Revenue",M225="Other Expenditures"),N225,IF(AND(LEN(M225)&gt;2,MID(M225,2,1)=" ",ISNUMBER(VALUE(LEFT(M225,1)))),M225,O224))</f>
        <v/>
      </c>
      <c r="P225" s="36" t="n">
        <f aca="false">IF(AND(M225&lt;&gt;"",ISNUMBER(K225),LEFT(M225,9)&lt;&gt;"Total for",M225&lt;&gt;"Gross Profit",M225&lt;&gt;"Net Operating Revenue",M225&lt;&gt;"Net Other Revenue",M225&lt;&gt;"Net Revenue"),1,0)</f>
        <v>0</v>
      </c>
      <c r="Q225" s="36" t="str">
        <f aca="false">IF(P225=1,IF(AND(LEN(M225)&gt;7,ISNUMBER(VALUE(LEFT(M225,6))),MID(M225,7,1)=" "),LEFT(M225,6),M225),"")</f>
        <v/>
      </c>
      <c r="V225" s="36" t="str">
        <f aca="false">TRIM(S225)</f>
        <v/>
      </c>
      <c r="W225" s="36" t="str">
        <f aca="false">IF(V225="Revenue","Revenue",IF(V225="Cost of Goods Sold","COGS",IF(V225="Expenditures","Expense",IF(V225="Other Revenue","Other Revenue",IF(V225="Other Expenditures","Other Expense",W224)))))</f>
        <v/>
      </c>
      <c r="X225" s="36" t="str">
        <f aca="false">IF(OR(V225="Revenue",V225="Cost of Goods Sold",V225="Expenditures",V225="Other Revenue",V225="Other Expenditures"),W225,IF(AND(LEN(V225)&gt;2,MID(V225,2,1)=" ",ISNUMBER(VALUE(LEFT(V225,1)))),V225,X224))</f>
        <v/>
      </c>
      <c r="Y225" s="36" t="n">
        <f aca="false">IF(AND(V225&lt;&gt;"",ISNUMBER(T225),LEFT(V225,9)&lt;&gt;"Total for",V225&lt;&gt;"Gross Profit",V225&lt;&gt;"Net Operating Revenue",V225&lt;&gt;"Net Other Revenue",V225&lt;&gt;"Net Revenue"),1,0)</f>
        <v>0</v>
      </c>
      <c r="Z225" s="36" t="str">
        <f aca="false">IF(Y225=1,IF(AND(LEN(V225)&gt;7,ISNUMBER(VALUE(LEFT(V225,6))),MID(V225,7,1)=" "),LEFT(V225,6),V225),"")</f>
        <v/>
      </c>
      <c r="AE225" s="36" t="str">
        <f aca="false">TRIM(AB225)</f>
        <v/>
      </c>
      <c r="AF225" s="36" t="str">
        <f aca="false">IF(AE225="Revenue","Revenue",IF(AE225="Cost of Goods Sold","COGS",IF(AE225="Expenditures","Expense",IF(AE225="Other Revenue","Other Revenue",IF(AE225="Other Expenditures","Other Expense",AF224)))))</f>
        <v/>
      </c>
      <c r="AG225" s="36" t="str">
        <f aca="false">IF(OR(AE225="Revenue",AE225="Cost of Goods Sold",AE225="Expenditures",AE225="Other Revenue",AE225="Other Expenditures"),AF225,IF(AND(LEN(AE225)&gt;2,MID(AE225,2,1)=" ",ISNUMBER(VALUE(LEFT(AE225,1)))),AE225,AG224))</f>
        <v/>
      </c>
      <c r="AH225" s="36" t="n">
        <f aca="false">IF(AND(AE225&lt;&gt;"",ISNUMBER(AC225),LEFT(AE225,9)&lt;&gt;"Total for",AE225&lt;&gt;"Gross Profit",AE225&lt;&gt;"Net Operating Revenue",AE225&lt;&gt;"Net Other Revenue",AE225&lt;&gt;"Net Revenue"),1,0)</f>
        <v>0</v>
      </c>
      <c r="AI225" s="36" t="str">
        <f aca="false">IF(AH225=1,IF(AND(LEN(AE225)&gt;7,ISNUMBER(VALUE(LEFT(AE225,6))),MID(AE225,7,1)=" "),LEFT(AE225,6),AE225),"")</f>
        <v/>
      </c>
      <c r="AN225" s="36" t="str">
        <f aca="false">TRIM(AK225)</f>
        <v/>
      </c>
      <c r="AO225" s="36" t="str">
        <f aca="false">IF(AN225="Revenue","Revenue",IF(AN225="Cost of Goods Sold","COGS",IF(AN225="Expenditures","Expense",IF(AN225="Other Revenue","Other Revenue",IF(AN225="Other Expenditures","Other Expense",AO224)))))</f>
        <v/>
      </c>
      <c r="AP225" s="36" t="str">
        <f aca="false">IF(OR(AN225="Revenue",AN225="Cost of Goods Sold",AN225="Expenditures",AN225="Other Revenue",AN225="Other Expenditures"),AO225,IF(AND(LEN(AN225)&gt;2,MID(AN225,2,1)=" ",ISNUMBER(VALUE(LEFT(AN225,1)))),AN225,AP224))</f>
        <v/>
      </c>
      <c r="AQ225" s="36" t="n">
        <f aca="false">IF(AND(AN225&lt;&gt;"",ISNUMBER(AL225),LEFT(AN225,9)&lt;&gt;"Total for",AN225&lt;&gt;"Gross Profit",AN225&lt;&gt;"Net Operating Revenue",AN225&lt;&gt;"Net Other Revenue",AN225&lt;&gt;"Net Revenue"),1,0)</f>
        <v>0</v>
      </c>
      <c r="AR225" s="36" t="str">
        <f aca="false">IF(AQ225=1,IF(AND(LEN(AN225)&gt;7,ISNUMBER(VALUE(LEFT(AN225,6))),MID(AN225,7,1)=" "),LEFT(AN225,6),AN225),"")</f>
        <v/>
      </c>
    </row>
    <row r="226" customFormat="false" ht="15" hidden="false" customHeight="false" outlineLevel="0" collapsed="false">
      <c r="D226" s="36" t="str">
        <f aca="false">TRIM(A226)</f>
        <v/>
      </c>
      <c r="E226" s="36" t="str">
        <f aca="false">IF(D226="Revenue","Revenue",IF(D226="Cost of Goods Sold","COGS",IF(D226="Expenditures","Expense",IF(D226="Other Revenue","Other Revenue",IF(D226="Other Expenditures","Other Expense",E225)))))</f>
        <v/>
      </c>
      <c r="F226" s="36" t="str">
        <f aca="false">IF(OR(D226="Revenue",D226="Cost of Goods Sold",D226="Expenditures",D226="Other Revenue",D226="Other Expenditures"),E226,IF(AND(LEN(D226)&gt;2,MID(D226,2,1)=" ",ISNUMBER(VALUE(LEFT(D226,1)))),D226,F225))</f>
        <v/>
      </c>
      <c r="G226" s="36" t="n">
        <f aca="false">IF(AND(D226&lt;&gt;"",ISNUMBER(B226),LEFT(D226,9)&lt;&gt;"Total for",D226&lt;&gt;"Gross Profit",D226&lt;&gt;"Net Operating Revenue",D226&lt;&gt;"Net Other Revenue",D226&lt;&gt;"Net Revenue"),1,0)</f>
        <v>0</v>
      </c>
      <c r="H226" s="36" t="str">
        <f aca="false">IF(G226=1,IF(AND(LEN(D226)&gt;7,ISNUMBER(VALUE(LEFT(D226,6))),MID(D226,7,1)=" "),LEFT(D226,6),D226),"")</f>
        <v/>
      </c>
      <c r="M226" s="36" t="str">
        <f aca="false">TRIM(J226)</f>
        <v/>
      </c>
      <c r="N226" s="36" t="str">
        <f aca="false">IF(M226="Revenue","Revenue",IF(M226="Cost of Goods Sold","COGS",IF(M226="Expenditures","Expense",IF(M226="Other Revenue","Other Revenue",IF(M226="Other Expenditures","Other Expense",N225)))))</f>
        <v/>
      </c>
      <c r="O226" s="36" t="str">
        <f aca="false">IF(OR(M226="Revenue",M226="Cost of Goods Sold",M226="Expenditures",M226="Other Revenue",M226="Other Expenditures"),N226,IF(AND(LEN(M226)&gt;2,MID(M226,2,1)=" ",ISNUMBER(VALUE(LEFT(M226,1)))),M226,O225))</f>
        <v/>
      </c>
      <c r="P226" s="36" t="n">
        <f aca="false">IF(AND(M226&lt;&gt;"",ISNUMBER(K226),LEFT(M226,9)&lt;&gt;"Total for",M226&lt;&gt;"Gross Profit",M226&lt;&gt;"Net Operating Revenue",M226&lt;&gt;"Net Other Revenue",M226&lt;&gt;"Net Revenue"),1,0)</f>
        <v>0</v>
      </c>
      <c r="Q226" s="36" t="str">
        <f aca="false">IF(P226=1,IF(AND(LEN(M226)&gt;7,ISNUMBER(VALUE(LEFT(M226,6))),MID(M226,7,1)=" "),LEFT(M226,6),M226),"")</f>
        <v/>
      </c>
      <c r="V226" s="36" t="str">
        <f aca="false">TRIM(S226)</f>
        <v/>
      </c>
      <c r="W226" s="36" t="str">
        <f aca="false">IF(V226="Revenue","Revenue",IF(V226="Cost of Goods Sold","COGS",IF(V226="Expenditures","Expense",IF(V226="Other Revenue","Other Revenue",IF(V226="Other Expenditures","Other Expense",W225)))))</f>
        <v/>
      </c>
      <c r="X226" s="36" t="str">
        <f aca="false">IF(OR(V226="Revenue",V226="Cost of Goods Sold",V226="Expenditures",V226="Other Revenue",V226="Other Expenditures"),W226,IF(AND(LEN(V226)&gt;2,MID(V226,2,1)=" ",ISNUMBER(VALUE(LEFT(V226,1)))),V226,X225))</f>
        <v/>
      </c>
      <c r="Y226" s="36" t="n">
        <f aca="false">IF(AND(V226&lt;&gt;"",ISNUMBER(T226),LEFT(V226,9)&lt;&gt;"Total for",V226&lt;&gt;"Gross Profit",V226&lt;&gt;"Net Operating Revenue",V226&lt;&gt;"Net Other Revenue",V226&lt;&gt;"Net Revenue"),1,0)</f>
        <v>0</v>
      </c>
      <c r="Z226" s="36" t="str">
        <f aca="false">IF(Y226=1,IF(AND(LEN(V226)&gt;7,ISNUMBER(VALUE(LEFT(V226,6))),MID(V226,7,1)=" "),LEFT(V226,6),V226),"")</f>
        <v/>
      </c>
      <c r="AE226" s="36" t="str">
        <f aca="false">TRIM(AB226)</f>
        <v/>
      </c>
      <c r="AF226" s="36" t="str">
        <f aca="false">IF(AE226="Revenue","Revenue",IF(AE226="Cost of Goods Sold","COGS",IF(AE226="Expenditures","Expense",IF(AE226="Other Revenue","Other Revenue",IF(AE226="Other Expenditures","Other Expense",AF225)))))</f>
        <v/>
      </c>
      <c r="AG226" s="36" t="str">
        <f aca="false">IF(OR(AE226="Revenue",AE226="Cost of Goods Sold",AE226="Expenditures",AE226="Other Revenue",AE226="Other Expenditures"),AF226,IF(AND(LEN(AE226)&gt;2,MID(AE226,2,1)=" ",ISNUMBER(VALUE(LEFT(AE226,1)))),AE226,AG225))</f>
        <v/>
      </c>
      <c r="AH226" s="36" t="n">
        <f aca="false">IF(AND(AE226&lt;&gt;"",ISNUMBER(AC226),LEFT(AE226,9)&lt;&gt;"Total for",AE226&lt;&gt;"Gross Profit",AE226&lt;&gt;"Net Operating Revenue",AE226&lt;&gt;"Net Other Revenue",AE226&lt;&gt;"Net Revenue"),1,0)</f>
        <v>0</v>
      </c>
      <c r="AI226" s="36" t="str">
        <f aca="false">IF(AH226=1,IF(AND(LEN(AE226)&gt;7,ISNUMBER(VALUE(LEFT(AE226,6))),MID(AE226,7,1)=" "),LEFT(AE226,6),AE226),"")</f>
        <v/>
      </c>
      <c r="AN226" s="36" t="str">
        <f aca="false">TRIM(AK226)</f>
        <v/>
      </c>
      <c r="AO226" s="36" t="str">
        <f aca="false">IF(AN226="Revenue","Revenue",IF(AN226="Cost of Goods Sold","COGS",IF(AN226="Expenditures","Expense",IF(AN226="Other Revenue","Other Revenue",IF(AN226="Other Expenditures","Other Expense",AO225)))))</f>
        <v/>
      </c>
      <c r="AP226" s="36" t="str">
        <f aca="false">IF(OR(AN226="Revenue",AN226="Cost of Goods Sold",AN226="Expenditures",AN226="Other Revenue",AN226="Other Expenditures"),AO226,IF(AND(LEN(AN226)&gt;2,MID(AN226,2,1)=" ",ISNUMBER(VALUE(LEFT(AN226,1)))),AN226,AP225))</f>
        <v/>
      </c>
      <c r="AQ226" s="36" t="n">
        <f aca="false">IF(AND(AN226&lt;&gt;"",ISNUMBER(AL226),LEFT(AN226,9)&lt;&gt;"Total for",AN226&lt;&gt;"Gross Profit",AN226&lt;&gt;"Net Operating Revenue",AN226&lt;&gt;"Net Other Revenue",AN226&lt;&gt;"Net Revenue"),1,0)</f>
        <v>0</v>
      </c>
      <c r="AR226" s="36" t="str">
        <f aca="false">IF(AQ226=1,IF(AND(LEN(AN226)&gt;7,ISNUMBER(VALUE(LEFT(AN226,6))),MID(AN226,7,1)=" "),LEFT(AN226,6),AN226),"")</f>
        <v/>
      </c>
    </row>
    <row r="227" customFormat="false" ht="15" hidden="false" customHeight="false" outlineLevel="0" collapsed="false">
      <c r="D227" s="36" t="str">
        <f aca="false">TRIM(A227)</f>
        <v/>
      </c>
      <c r="E227" s="36" t="str">
        <f aca="false">IF(D227="Revenue","Revenue",IF(D227="Cost of Goods Sold","COGS",IF(D227="Expenditures","Expense",IF(D227="Other Revenue","Other Revenue",IF(D227="Other Expenditures","Other Expense",E226)))))</f>
        <v/>
      </c>
      <c r="F227" s="36" t="str">
        <f aca="false">IF(OR(D227="Revenue",D227="Cost of Goods Sold",D227="Expenditures",D227="Other Revenue",D227="Other Expenditures"),E227,IF(AND(LEN(D227)&gt;2,MID(D227,2,1)=" ",ISNUMBER(VALUE(LEFT(D227,1)))),D227,F226))</f>
        <v/>
      </c>
      <c r="G227" s="36" t="n">
        <f aca="false">IF(AND(D227&lt;&gt;"",ISNUMBER(B227),LEFT(D227,9)&lt;&gt;"Total for",D227&lt;&gt;"Gross Profit",D227&lt;&gt;"Net Operating Revenue",D227&lt;&gt;"Net Other Revenue",D227&lt;&gt;"Net Revenue"),1,0)</f>
        <v>0</v>
      </c>
      <c r="H227" s="36" t="str">
        <f aca="false">IF(G227=1,IF(AND(LEN(D227)&gt;7,ISNUMBER(VALUE(LEFT(D227,6))),MID(D227,7,1)=" "),LEFT(D227,6),D227),"")</f>
        <v/>
      </c>
      <c r="M227" s="36" t="str">
        <f aca="false">TRIM(J227)</f>
        <v/>
      </c>
      <c r="N227" s="36" t="str">
        <f aca="false">IF(M227="Revenue","Revenue",IF(M227="Cost of Goods Sold","COGS",IF(M227="Expenditures","Expense",IF(M227="Other Revenue","Other Revenue",IF(M227="Other Expenditures","Other Expense",N226)))))</f>
        <v/>
      </c>
      <c r="O227" s="36" t="str">
        <f aca="false">IF(OR(M227="Revenue",M227="Cost of Goods Sold",M227="Expenditures",M227="Other Revenue",M227="Other Expenditures"),N227,IF(AND(LEN(M227)&gt;2,MID(M227,2,1)=" ",ISNUMBER(VALUE(LEFT(M227,1)))),M227,O226))</f>
        <v/>
      </c>
      <c r="P227" s="36" t="n">
        <f aca="false">IF(AND(M227&lt;&gt;"",ISNUMBER(K227),LEFT(M227,9)&lt;&gt;"Total for",M227&lt;&gt;"Gross Profit",M227&lt;&gt;"Net Operating Revenue",M227&lt;&gt;"Net Other Revenue",M227&lt;&gt;"Net Revenue"),1,0)</f>
        <v>0</v>
      </c>
      <c r="Q227" s="36" t="str">
        <f aca="false">IF(P227=1,IF(AND(LEN(M227)&gt;7,ISNUMBER(VALUE(LEFT(M227,6))),MID(M227,7,1)=" "),LEFT(M227,6),M227),"")</f>
        <v/>
      </c>
      <c r="V227" s="36" t="str">
        <f aca="false">TRIM(S227)</f>
        <v/>
      </c>
      <c r="W227" s="36" t="str">
        <f aca="false">IF(V227="Revenue","Revenue",IF(V227="Cost of Goods Sold","COGS",IF(V227="Expenditures","Expense",IF(V227="Other Revenue","Other Revenue",IF(V227="Other Expenditures","Other Expense",W226)))))</f>
        <v/>
      </c>
      <c r="X227" s="36" t="str">
        <f aca="false">IF(OR(V227="Revenue",V227="Cost of Goods Sold",V227="Expenditures",V227="Other Revenue",V227="Other Expenditures"),W227,IF(AND(LEN(V227)&gt;2,MID(V227,2,1)=" ",ISNUMBER(VALUE(LEFT(V227,1)))),V227,X226))</f>
        <v/>
      </c>
      <c r="Y227" s="36" t="n">
        <f aca="false">IF(AND(V227&lt;&gt;"",ISNUMBER(T227),LEFT(V227,9)&lt;&gt;"Total for",V227&lt;&gt;"Gross Profit",V227&lt;&gt;"Net Operating Revenue",V227&lt;&gt;"Net Other Revenue",V227&lt;&gt;"Net Revenue"),1,0)</f>
        <v>0</v>
      </c>
      <c r="Z227" s="36" t="str">
        <f aca="false">IF(Y227=1,IF(AND(LEN(V227)&gt;7,ISNUMBER(VALUE(LEFT(V227,6))),MID(V227,7,1)=" "),LEFT(V227,6),V227),"")</f>
        <v/>
      </c>
      <c r="AE227" s="36" t="str">
        <f aca="false">TRIM(AB227)</f>
        <v/>
      </c>
      <c r="AF227" s="36" t="str">
        <f aca="false">IF(AE227="Revenue","Revenue",IF(AE227="Cost of Goods Sold","COGS",IF(AE227="Expenditures","Expense",IF(AE227="Other Revenue","Other Revenue",IF(AE227="Other Expenditures","Other Expense",AF226)))))</f>
        <v/>
      </c>
      <c r="AG227" s="36" t="str">
        <f aca="false">IF(OR(AE227="Revenue",AE227="Cost of Goods Sold",AE227="Expenditures",AE227="Other Revenue",AE227="Other Expenditures"),AF227,IF(AND(LEN(AE227)&gt;2,MID(AE227,2,1)=" ",ISNUMBER(VALUE(LEFT(AE227,1)))),AE227,AG226))</f>
        <v/>
      </c>
      <c r="AH227" s="36" t="n">
        <f aca="false">IF(AND(AE227&lt;&gt;"",ISNUMBER(AC227),LEFT(AE227,9)&lt;&gt;"Total for",AE227&lt;&gt;"Gross Profit",AE227&lt;&gt;"Net Operating Revenue",AE227&lt;&gt;"Net Other Revenue",AE227&lt;&gt;"Net Revenue"),1,0)</f>
        <v>0</v>
      </c>
      <c r="AI227" s="36" t="str">
        <f aca="false">IF(AH227=1,IF(AND(LEN(AE227)&gt;7,ISNUMBER(VALUE(LEFT(AE227,6))),MID(AE227,7,1)=" "),LEFT(AE227,6),AE227),"")</f>
        <v/>
      </c>
      <c r="AN227" s="36" t="str">
        <f aca="false">TRIM(AK227)</f>
        <v/>
      </c>
      <c r="AO227" s="36" t="str">
        <f aca="false">IF(AN227="Revenue","Revenue",IF(AN227="Cost of Goods Sold","COGS",IF(AN227="Expenditures","Expense",IF(AN227="Other Revenue","Other Revenue",IF(AN227="Other Expenditures","Other Expense",AO226)))))</f>
        <v/>
      </c>
      <c r="AP227" s="36" t="str">
        <f aca="false">IF(OR(AN227="Revenue",AN227="Cost of Goods Sold",AN227="Expenditures",AN227="Other Revenue",AN227="Other Expenditures"),AO227,IF(AND(LEN(AN227)&gt;2,MID(AN227,2,1)=" ",ISNUMBER(VALUE(LEFT(AN227,1)))),AN227,AP226))</f>
        <v/>
      </c>
      <c r="AQ227" s="36" t="n">
        <f aca="false">IF(AND(AN227&lt;&gt;"",ISNUMBER(AL227),LEFT(AN227,9)&lt;&gt;"Total for",AN227&lt;&gt;"Gross Profit",AN227&lt;&gt;"Net Operating Revenue",AN227&lt;&gt;"Net Other Revenue",AN227&lt;&gt;"Net Revenue"),1,0)</f>
        <v>0</v>
      </c>
      <c r="AR227" s="36" t="str">
        <f aca="false">IF(AQ227=1,IF(AND(LEN(AN227)&gt;7,ISNUMBER(VALUE(LEFT(AN227,6))),MID(AN227,7,1)=" "),LEFT(AN227,6),AN227),"")</f>
        <v/>
      </c>
    </row>
    <row r="228" customFormat="false" ht="15" hidden="false" customHeight="false" outlineLevel="0" collapsed="false">
      <c r="D228" s="36" t="str">
        <f aca="false">TRIM(A228)</f>
        <v/>
      </c>
      <c r="E228" s="36" t="str">
        <f aca="false">IF(D228="Revenue","Revenue",IF(D228="Cost of Goods Sold","COGS",IF(D228="Expenditures","Expense",IF(D228="Other Revenue","Other Revenue",IF(D228="Other Expenditures","Other Expense",E227)))))</f>
        <v/>
      </c>
      <c r="F228" s="36" t="str">
        <f aca="false">IF(OR(D228="Revenue",D228="Cost of Goods Sold",D228="Expenditures",D228="Other Revenue",D228="Other Expenditures"),E228,IF(AND(LEN(D228)&gt;2,MID(D228,2,1)=" ",ISNUMBER(VALUE(LEFT(D228,1)))),D228,F227))</f>
        <v/>
      </c>
      <c r="G228" s="36" t="n">
        <f aca="false">IF(AND(D228&lt;&gt;"",ISNUMBER(B228),LEFT(D228,9)&lt;&gt;"Total for",D228&lt;&gt;"Gross Profit",D228&lt;&gt;"Net Operating Revenue",D228&lt;&gt;"Net Other Revenue",D228&lt;&gt;"Net Revenue"),1,0)</f>
        <v>0</v>
      </c>
      <c r="H228" s="36" t="str">
        <f aca="false">IF(G228=1,IF(AND(LEN(D228)&gt;7,ISNUMBER(VALUE(LEFT(D228,6))),MID(D228,7,1)=" "),LEFT(D228,6),D228),"")</f>
        <v/>
      </c>
      <c r="M228" s="36" t="str">
        <f aca="false">TRIM(J228)</f>
        <v/>
      </c>
      <c r="N228" s="36" t="str">
        <f aca="false">IF(M228="Revenue","Revenue",IF(M228="Cost of Goods Sold","COGS",IF(M228="Expenditures","Expense",IF(M228="Other Revenue","Other Revenue",IF(M228="Other Expenditures","Other Expense",N227)))))</f>
        <v/>
      </c>
      <c r="O228" s="36" t="str">
        <f aca="false">IF(OR(M228="Revenue",M228="Cost of Goods Sold",M228="Expenditures",M228="Other Revenue",M228="Other Expenditures"),N228,IF(AND(LEN(M228)&gt;2,MID(M228,2,1)=" ",ISNUMBER(VALUE(LEFT(M228,1)))),M228,O227))</f>
        <v/>
      </c>
      <c r="P228" s="36" t="n">
        <f aca="false">IF(AND(M228&lt;&gt;"",ISNUMBER(K228),LEFT(M228,9)&lt;&gt;"Total for",M228&lt;&gt;"Gross Profit",M228&lt;&gt;"Net Operating Revenue",M228&lt;&gt;"Net Other Revenue",M228&lt;&gt;"Net Revenue"),1,0)</f>
        <v>0</v>
      </c>
      <c r="Q228" s="36" t="str">
        <f aca="false">IF(P228=1,IF(AND(LEN(M228)&gt;7,ISNUMBER(VALUE(LEFT(M228,6))),MID(M228,7,1)=" "),LEFT(M228,6),M228),"")</f>
        <v/>
      </c>
      <c r="V228" s="36" t="str">
        <f aca="false">TRIM(S228)</f>
        <v/>
      </c>
      <c r="W228" s="36" t="str">
        <f aca="false">IF(V228="Revenue","Revenue",IF(V228="Cost of Goods Sold","COGS",IF(V228="Expenditures","Expense",IF(V228="Other Revenue","Other Revenue",IF(V228="Other Expenditures","Other Expense",W227)))))</f>
        <v/>
      </c>
      <c r="X228" s="36" t="str">
        <f aca="false">IF(OR(V228="Revenue",V228="Cost of Goods Sold",V228="Expenditures",V228="Other Revenue",V228="Other Expenditures"),W228,IF(AND(LEN(V228)&gt;2,MID(V228,2,1)=" ",ISNUMBER(VALUE(LEFT(V228,1)))),V228,X227))</f>
        <v/>
      </c>
      <c r="Y228" s="36" t="n">
        <f aca="false">IF(AND(V228&lt;&gt;"",ISNUMBER(T228),LEFT(V228,9)&lt;&gt;"Total for",V228&lt;&gt;"Gross Profit",V228&lt;&gt;"Net Operating Revenue",V228&lt;&gt;"Net Other Revenue",V228&lt;&gt;"Net Revenue"),1,0)</f>
        <v>0</v>
      </c>
      <c r="Z228" s="36" t="str">
        <f aca="false">IF(Y228=1,IF(AND(LEN(V228)&gt;7,ISNUMBER(VALUE(LEFT(V228,6))),MID(V228,7,1)=" "),LEFT(V228,6),V228),"")</f>
        <v/>
      </c>
      <c r="AE228" s="36" t="str">
        <f aca="false">TRIM(AB228)</f>
        <v/>
      </c>
      <c r="AF228" s="36" t="str">
        <f aca="false">IF(AE228="Revenue","Revenue",IF(AE228="Cost of Goods Sold","COGS",IF(AE228="Expenditures","Expense",IF(AE228="Other Revenue","Other Revenue",IF(AE228="Other Expenditures","Other Expense",AF227)))))</f>
        <v/>
      </c>
      <c r="AG228" s="36" t="str">
        <f aca="false">IF(OR(AE228="Revenue",AE228="Cost of Goods Sold",AE228="Expenditures",AE228="Other Revenue",AE228="Other Expenditures"),AF228,IF(AND(LEN(AE228)&gt;2,MID(AE228,2,1)=" ",ISNUMBER(VALUE(LEFT(AE228,1)))),AE228,AG227))</f>
        <v/>
      </c>
      <c r="AH228" s="36" t="n">
        <f aca="false">IF(AND(AE228&lt;&gt;"",ISNUMBER(AC228),LEFT(AE228,9)&lt;&gt;"Total for",AE228&lt;&gt;"Gross Profit",AE228&lt;&gt;"Net Operating Revenue",AE228&lt;&gt;"Net Other Revenue",AE228&lt;&gt;"Net Revenue"),1,0)</f>
        <v>0</v>
      </c>
      <c r="AI228" s="36" t="str">
        <f aca="false">IF(AH228=1,IF(AND(LEN(AE228)&gt;7,ISNUMBER(VALUE(LEFT(AE228,6))),MID(AE228,7,1)=" "),LEFT(AE228,6),AE228),"")</f>
        <v/>
      </c>
      <c r="AN228" s="36" t="str">
        <f aca="false">TRIM(AK228)</f>
        <v/>
      </c>
      <c r="AO228" s="36" t="str">
        <f aca="false">IF(AN228="Revenue","Revenue",IF(AN228="Cost of Goods Sold","COGS",IF(AN228="Expenditures","Expense",IF(AN228="Other Revenue","Other Revenue",IF(AN228="Other Expenditures","Other Expense",AO227)))))</f>
        <v/>
      </c>
      <c r="AP228" s="36" t="str">
        <f aca="false">IF(OR(AN228="Revenue",AN228="Cost of Goods Sold",AN228="Expenditures",AN228="Other Revenue",AN228="Other Expenditures"),AO228,IF(AND(LEN(AN228)&gt;2,MID(AN228,2,1)=" ",ISNUMBER(VALUE(LEFT(AN228,1)))),AN228,AP227))</f>
        <v/>
      </c>
      <c r="AQ228" s="36" t="n">
        <f aca="false">IF(AND(AN228&lt;&gt;"",ISNUMBER(AL228),LEFT(AN228,9)&lt;&gt;"Total for",AN228&lt;&gt;"Gross Profit",AN228&lt;&gt;"Net Operating Revenue",AN228&lt;&gt;"Net Other Revenue",AN228&lt;&gt;"Net Revenue"),1,0)</f>
        <v>0</v>
      </c>
      <c r="AR228" s="36" t="str">
        <f aca="false">IF(AQ228=1,IF(AND(LEN(AN228)&gt;7,ISNUMBER(VALUE(LEFT(AN228,6))),MID(AN228,7,1)=" "),LEFT(AN228,6),AN228),"")</f>
        <v/>
      </c>
    </row>
    <row r="229" customFormat="false" ht="15" hidden="false" customHeight="false" outlineLevel="0" collapsed="false">
      <c r="D229" s="36" t="str">
        <f aca="false">TRIM(A229)</f>
        <v/>
      </c>
      <c r="E229" s="36" t="str">
        <f aca="false">IF(D229="Revenue","Revenue",IF(D229="Cost of Goods Sold","COGS",IF(D229="Expenditures","Expense",IF(D229="Other Revenue","Other Revenue",IF(D229="Other Expenditures","Other Expense",E228)))))</f>
        <v/>
      </c>
      <c r="F229" s="36" t="str">
        <f aca="false">IF(OR(D229="Revenue",D229="Cost of Goods Sold",D229="Expenditures",D229="Other Revenue",D229="Other Expenditures"),E229,IF(AND(LEN(D229)&gt;2,MID(D229,2,1)=" ",ISNUMBER(VALUE(LEFT(D229,1)))),D229,F228))</f>
        <v/>
      </c>
      <c r="G229" s="36" t="n">
        <f aca="false">IF(AND(D229&lt;&gt;"",ISNUMBER(B229),LEFT(D229,9)&lt;&gt;"Total for",D229&lt;&gt;"Gross Profit",D229&lt;&gt;"Net Operating Revenue",D229&lt;&gt;"Net Other Revenue",D229&lt;&gt;"Net Revenue"),1,0)</f>
        <v>0</v>
      </c>
      <c r="H229" s="36" t="str">
        <f aca="false">IF(G229=1,IF(AND(LEN(D229)&gt;7,ISNUMBER(VALUE(LEFT(D229,6))),MID(D229,7,1)=" "),LEFT(D229,6),D229),"")</f>
        <v/>
      </c>
      <c r="M229" s="36" t="str">
        <f aca="false">TRIM(J229)</f>
        <v/>
      </c>
      <c r="N229" s="36" t="str">
        <f aca="false">IF(M229="Revenue","Revenue",IF(M229="Cost of Goods Sold","COGS",IF(M229="Expenditures","Expense",IF(M229="Other Revenue","Other Revenue",IF(M229="Other Expenditures","Other Expense",N228)))))</f>
        <v/>
      </c>
      <c r="O229" s="36" t="str">
        <f aca="false">IF(OR(M229="Revenue",M229="Cost of Goods Sold",M229="Expenditures",M229="Other Revenue",M229="Other Expenditures"),N229,IF(AND(LEN(M229)&gt;2,MID(M229,2,1)=" ",ISNUMBER(VALUE(LEFT(M229,1)))),M229,O228))</f>
        <v/>
      </c>
      <c r="P229" s="36" t="n">
        <f aca="false">IF(AND(M229&lt;&gt;"",ISNUMBER(K229),LEFT(M229,9)&lt;&gt;"Total for",M229&lt;&gt;"Gross Profit",M229&lt;&gt;"Net Operating Revenue",M229&lt;&gt;"Net Other Revenue",M229&lt;&gt;"Net Revenue"),1,0)</f>
        <v>0</v>
      </c>
      <c r="Q229" s="36" t="str">
        <f aca="false">IF(P229=1,IF(AND(LEN(M229)&gt;7,ISNUMBER(VALUE(LEFT(M229,6))),MID(M229,7,1)=" "),LEFT(M229,6),M229),"")</f>
        <v/>
      </c>
      <c r="V229" s="36" t="str">
        <f aca="false">TRIM(S229)</f>
        <v/>
      </c>
      <c r="W229" s="36" t="str">
        <f aca="false">IF(V229="Revenue","Revenue",IF(V229="Cost of Goods Sold","COGS",IF(V229="Expenditures","Expense",IF(V229="Other Revenue","Other Revenue",IF(V229="Other Expenditures","Other Expense",W228)))))</f>
        <v/>
      </c>
      <c r="X229" s="36" t="str">
        <f aca="false">IF(OR(V229="Revenue",V229="Cost of Goods Sold",V229="Expenditures",V229="Other Revenue",V229="Other Expenditures"),W229,IF(AND(LEN(V229)&gt;2,MID(V229,2,1)=" ",ISNUMBER(VALUE(LEFT(V229,1)))),V229,X228))</f>
        <v/>
      </c>
      <c r="Y229" s="36" t="n">
        <f aca="false">IF(AND(V229&lt;&gt;"",ISNUMBER(T229),LEFT(V229,9)&lt;&gt;"Total for",V229&lt;&gt;"Gross Profit",V229&lt;&gt;"Net Operating Revenue",V229&lt;&gt;"Net Other Revenue",V229&lt;&gt;"Net Revenue"),1,0)</f>
        <v>0</v>
      </c>
      <c r="Z229" s="36" t="str">
        <f aca="false">IF(Y229=1,IF(AND(LEN(V229)&gt;7,ISNUMBER(VALUE(LEFT(V229,6))),MID(V229,7,1)=" "),LEFT(V229,6),V229),"")</f>
        <v/>
      </c>
      <c r="AE229" s="36" t="str">
        <f aca="false">TRIM(AB229)</f>
        <v/>
      </c>
      <c r="AF229" s="36" t="str">
        <f aca="false">IF(AE229="Revenue","Revenue",IF(AE229="Cost of Goods Sold","COGS",IF(AE229="Expenditures","Expense",IF(AE229="Other Revenue","Other Revenue",IF(AE229="Other Expenditures","Other Expense",AF228)))))</f>
        <v/>
      </c>
      <c r="AG229" s="36" t="str">
        <f aca="false">IF(OR(AE229="Revenue",AE229="Cost of Goods Sold",AE229="Expenditures",AE229="Other Revenue",AE229="Other Expenditures"),AF229,IF(AND(LEN(AE229)&gt;2,MID(AE229,2,1)=" ",ISNUMBER(VALUE(LEFT(AE229,1)))),AE229,AG228))</f>
        <v/>
      </c>
      <c r="AH229" s="36" t="n">
        <f aca="false">IF(AND(AE229&lt;&gt;"",ISNUMBER(AC229),LEFT(AE229,9)&lt;&gt;"Total for",AE229&lt;&gt;"Gross Profit",AE229&lt;&gt;"Net Operating Revenue",AE229&lt;&gt;"Net Other Revenue",AE229&lt;&gt;"Net Revenue"),1,0)</f>
        <v>0</v>
      </c>
      <c r="AI229" s="36" t="str">
        <f aca="false">IF(AH229=1,IF(AND(LEN(AE229)&gt;7,ISNUMBER(VALUE(LEFT(AE229,6))),MID(AE229,7,1)=" "),LEFT(AE229,6),AE229),"")</f>
        <v/>
      </c>
      <c r="AN229" s="36" t="str">
        <f aca="false">TRIM(AK229)</f>
        <v/>
      </c>
      <c r="AO229" s="36" t="str">
        <f aca="false">IF(AN229="Revenue","Revenue",IF(AN229="Cost of Goods Sold","COGS",IF(AN229="Expenditures","Expense",IF(AN229="Other Revenue","Other Revenue",IF(AN229="Other Expenditures","Other Expense",AO228)))))</f>
        <v/>
      </c>
      <c r="AP229" s="36" t="str">
        <f aca="false">IF(OR(AN229="Revenue",AN229="Cost of Goods Sold",AN229="Expenditures",AN229="Other Revenue",AN229="Other Expenditures"),AO229,IF(AND(LEN(AN229)&gt;2,MID(AN229,2,1)=" ",ISNUMBER(VALUE(LEFT(AN229,1)))),AN229,AP228))</f>
        <v/>
      </c>
      <c r="AQ229" s="36" t="n">
        <f aca="false">IF(AND(AN229&lt;&gt;"",ISNUMBER(AL229),LEFT(AN229,9)&lt;&gt;"Total for",AN229&lt;&gt;"Gross Profit",AN229&lt;&gt;"Net Operating Revenue",AN229&lt;&gt;"Net Other Revenue",AN229&lt;&gt;"Net Revenue"),1,0)</f>
        <v>0</v>
      </c>
      <c r="AR229" s="36" t="str">
        <f aca="false">IF(AQ229=1,IF(AND(LEN(AN229)&gt;7,ISNUMBER(VALUE(LEFT(AN229,6))),MID(AN229,7,1)=" "),LEFT(AN229,6),AN229),"")</f>
        <v/>
      </c>
    </row>
    <row r="230" customFormat="false" ht="15" hidden="false" customHeight="false" outlineLevel="0" collapsed="false">
      <c r="D230" s="36" t="str">
        <f aca="false">TRIM(A230)</f>
        <v/>
      </c>
      <c r="E230" s="36" t="str">
        <f aca="false">IF(D230="Revenue","Revenue",IF(D230="Cost of Goods Sold","COGS",IF(D230="Expenditures","Expense",IF(D230="Other Revenue","Other Revenue",IF(D230="Other Expenditures","Other Expense",E229)))))</f>
        <v/>
      </c>
      <c r="F230" s="36" t="str">
        <f aca="false">IF(OR(D230="Revenue",D230="Cost of Goods Sold",D230="Expenditures",D230="Other Revenue",D230="Other Expenditures"),E230,IF(AND(LEN(D230)&gt;2,MID(D230,2,1)=" ",ISNUMBER(VALUE(LEFT(D230,1)))),D230,F229))</f>
        <v/>
      </c>
      <c r="G230" s="36" t="n">
        <f aca="false">IF(AND(D230&lt;&gt;"",ISNUMBER(B230),LEFT(D230,9)&lt;&gt;"Total for",D230&lt;&gt;"Gross Profit",D230&lt;&gt;"Net Operating Revenue",D230&lt;&gt;"Net Other Revenue",D230&lt;&gt;"Net Revenue"),1,0)</f>
        <v>0</v>
      </c>
      <c r="H230" s="36" t="str">
        <f aca="false">IF(G230=1,IF(AND(LEN(D230)&gt;7,ISNUMBER(VALUE(LEFT(D230,6))),MID(D230,7,1)=" "),LEFT(D230,6),D230),"")</f>
        <v/>
      </c>
      <c r="M230" s="36" t="str">
        <f aca="false">TRIM(J230)</f>
        <v/>
      </c>
      <c r="N230" s="36" t="str">
        <f aca="false">IF(M230="Revenue","Revenue",IF(M230="Cost of Goods Sold","COGS",IF(M230="Expenditures","Expense",IF(M230="Other Revenue","Other Revenue",IF(M230="Other Expenditures","Other Expense",N229)))))</f>
        <v/>
      </c>
      <c r="O230" s="36" t="str">
        <f aca="false">IF(OR(M230="Revenue",M230="Cost of Goods Sold",M230="Expenditures",M230="Other Revenue",M230="Other Expenditures"),N230,IF(AND(LEN(M230)&gt;2,MID(M230,2,1)=" ",ISNUMBER(VALUE(LEFT(M230,1)))),M230,O229))</f>
        <v/>
      </c>
      <c r="P230" s="36" t="n">
        <f aca="false">IF(AND(M230&lt;&gt;"",ISNUMBER(K230),LEFT(M230,9)&lt;&gt;"Total for",M230&lt;&gt;"Gross Profit",M230&lt;&gt;"Net Operating Revenue",M230&lt;&gt;"Net Other Revenue",M230&lt;&gt;"Net Revenue"),1,0)</f>
        <v>0</v>
      </c>
      <c r="Q230" s="36" t="str">
        <f aca="false">IF(P230=1,IF(AND(LEN(M230)&gt;7,ISNUMBER(VALUE(LEFT(M230,6))),MID(M230,7,1)=" "),LEFT(M230,6),M230),"")</f>
        <v/>
      </c>
      <c r="V230" s="36" t="str">
        <f aca="false">TRIM(S230)</f>
        <v/>
      </c>
      <c r="W230" s="36" t="str">
        <f aca="false">IF(V230="Revenue","Revenue",IF(V230="Cost of Goods Sold","COGS",IF(V230="Expenditures","Expense",IF(V230="Other Revenue","Other Revenue",IF(V230="Other Expenditures","Other Expense",W229)))))</f>
        <v/>
      </c>
      <c r="X230" s="36" t="str">
        <f aca="false">IF(OR(V230="Revenue",V230="Cost of Goods Sold",V230="Expenditures",V230="Other Revenue",V230="Other Expenditures"),W230,IF(AND(LEN(V230)&gt;2,MID(V230,2,1)=" ",ISNUMBER(VALUE(LEFT(V230,1)))),V230,X229))</f>
        <v/>
      </c>
      <c r="Y230" s="36" t="n">
        <f aca="false">IF(AND(V230&lt;&gt;"",ISNUMBER(T230),LEFT(V230,9)&lt;&gt;"Total for",V230&lt;&gt;"Gross Profit",V230&lt;&gt;"Net Operating Revenue",V230&lt;&gt;"Net Other Revenue",V230&lt;&gt;"Net Revenue"),1,0)</f>
        <v>0</v>
      </c>
      <c r="Z230" s="36" t="str">
        <f aca="false">IF(Y230=1,IF(AND(LEN(V230)&gt;7,ISNUMBER(VALUE(LEFT(V230,6))),MID(V230,7,1)=" "),LEFT(V230,6),V230),"")</f>
        <v/>
      </c>
      <c r="AE230" s="36" t="str">
        <f aca="false">TRIM(AB230)</f>
        <v/>
      </c>
      <c r="AF230" s="36" t="str">
        <f aca="false">IF(AE230="Revenue","Revenue",IF(AE230="Cost of Goods Sold","COGS",IF(AE230="Expenditures","Expense",IF(AE230="Other Revenue","Other Revenue",IF(AE230="Other Expenditures","Other Expense",AF229)))))</f>
        <v/>
      </c>
      <c r="AG230" s="36" t="str">
        <f aca="false">IF(OR(AE230="Revenue",AE230="Cost of Goods Sold",AE230="Expenditures",AE230="Other Revenue",AE230="Other Expenditures"),AF230,IF(AND(LEN(AE230)&gt;2,MID(AE230,2,1)=" ",ISNUMBER(VALUE(LEFT(AE230,1)))),AE230,AG229))</f>
        <v/>
      </c>
      <c r="AH230" s="36" t="n">
        <f aca="false">IF(AND(AE230&lt;&gt;"",ISNUMBER(AC230),LEFT(AE230,9)&lt;&gt;"Total for",AE230&lt;&gt;"Gross Profit",AE230&lt;&gt;"Net Operating Revenue",AE230&lt;&gt;"Net Other Revenue",AE230&lt;&gt;"Net Revenue"),1,0)</f>
        <v>0</v>
      </c>
      <c r="AI230" s="36" t="str">
        <f aca="false">IF(AH230=1,IF(AND(LEN(AE230)&gt;7,ISNUMBER(VALUE(LEFT(AE230,6))),MID(AE230,7,1)=" "),LEFT(AE230,6),AE230),"")</f>
        <v/>
      </c>
      <c r="AN230" s="36" t="str">
        <f aca="false">TRIM(AK230)</f>
        <v/>
      </c>
      <c r="AO230" s="36" t="str">
        <f aca="false">IF(AN230="Revenue","Revenue",IF(AN230="Cost of Goods Sold","COGS",IF(AN230="Expenditures","Expense",IF(AN230="Other Revenue","Other Revenue",IF(AN230="Other Expenditures","Other Expense",AO229)))))</f>
        <v/>
      </c>
      <c r="AP230" s="36" t="str">
        <f aca="false">IF(OR(AN230="Revenue",AN230="Cost of Goods Sold",AN230="Expenditures",AN230="Other Revenue",AN230="Other Expenditures"),AO230,IF(AND(LEN(AN230)&gt;2,MID(AN230,2,1)=" ",ISNUMBER(VALUE(LEFT(AN230,1)))),AN230,AP229))</f>
        <v/>
      </c>
      <c r="AQ230" s="36" t="n">
        <f aca="false">IF(AND(AN230&lt;&gt;"",ISNUMBER(AL230),LEFT(AN230,9)&lt;&gt;"Total for",AN230&lt;&gt;"Gross Profit",AN230&lt;&gt;"Net Operating Revenue",AN230&lt;&gt;"Net Other Revenue",AN230&lt;&gt;"Net Revenue"),1,0)</f>
        <v>0</v>
      </c>
      <c r="AR230" s="36" t="str">
        <f aca="false">IF(AQ230=1,IF(AND(LEN(AN230)&gt;7,ISNUMBER(VALUE(LEFT(AN230,6))),MID(AN230,7,1)=" "),LEFT(AN230,6),AN230),"")</f>
        <v/>
      </c>
    </row>
    <row r="231" customFormat="false" ht="15" hidden="false" customHeight="false" outlineLevel="0" collapsed="false">
      <c r="D231" s="36" t="str">
        <f aca="false">TRIM(A231)</f>
        <v/>
      </c>
      <c r="E231" s="36" t="str">
        <f aca="false">IF(D231="Revenue","Revenue",IF(D231="Cost of Goods Sold","COGS",IF(D231="Expenditures","Expense",IF(D231="Other Revenue","Other Revenue",IF(D231="Other Expenditures","Other Expense",E230)))))</f>
        <v/>
      </c>
      <c r="F231" s="36" t="str">
        <f aca="false">IF(OR(D231="Revenue",D231="Cost of Goods Sold",D231="Expenditures",D231="Other Revenue",D231="Other Expenditures"),E231,IF(AND(LEN(D231)&gt;2,MID(D231,2,1)=" ",ISNUMBER(VALUE(LEFT(D231,1)))),D231,F230))</f>
        <v/>
      </c>
      <c r="G231" s="36" t="n">
        <f aca="false">IF(AND(D231&lt;&gt;"",ISNUMBER(B231),LEFT(D231,9)&lt;&gt;"Total for",D231&lt;&gt;"Gross Profit",D231&lt;&gt;"Net Operating Revenue",D231&lt;&gt;"Net Other Revenue",D231&lt;&gt;"Net Revenue"),1,0)</f>
        <v>0</v>
      </c>
      <c r="H231" s="36" t="str">
        <f aca="false">IF(G231=1,IF(AND(LEN(D231)&gt;7,ISNUMBER(VALUE(LEFT(D231,6))),MID(D231,7,1)=" "),LEFT(D231,6),D231),"")</f>
        <v/>
      </c>
      <c r="M231" s="36" t="str">
        <f aca="false">TRIM(J231)</f>
        <v/>
      </c>
      <c r="N231" s="36" t="str">
        <f aca="false">IF(M231="Revenue","Revenue",IF(M231="Cost of Goods Sold","COGS",IF(M231="Expenditures","Expense",IF(M231="Other Revenue","Other Revenue",IF(M231="Other Expenditures","Other Expense",N230)))))</f>
        <v/>
      </c>
      <c r="O231" s="36" t="str">
        <f aca="false">IF(OR(M231="Revenue",M231="Cost of Goods Sold",M231="Expenditures",M231="Other Revenue",M231="Other Expenditures"),N231,IF(AND(LEN(M231)&gt;2,MID(M231,2,1)=" ",ISNUMBER(VALUE(LEFT(M231,1)))),M231,O230))</f>
        <v/>
      </c>
      <c r="P231" s="36" t="n">
        <f aca="false">IF(AND(M231&lt;&gt;"",ISNUMBER(K231),LEFT(M231,9)&lt;&gt;"Total for",M231&lt;&gt;"Gross Profit",M231&lt;&gt;"Net Operating Revenue",M231&lt;&gt;"Net Other Revenue",M231&lt;&gt;"Net Revenue"),1,0)</f>
        <v>0</v>
      </c>
      <c r="Q231" s="36" t="str">
        <f aca="false">IF(P231=1,IF(AND(LEN(M231)&gt;7,ISNUMBER(VALUE(LEFT(M231,6))),MID(M231,7,1)=" "),LEFT(M231,6),M231),"")</f>
        <v/>
      </c>
      <c r="V231" s="36" t="str">
        <f aca="false">TRIM(S231)</f>
        <v/>
      </c>
      <c r="W231" s="36" t="str">
        <f aca="false">IF(V231="Revenue","Revenue",IF(V231="Cost of Goods Sold","COGS",IF(V231="Expenditures","Expense",IF(V231="Other Revenue","Other Revenue",IF(V231="Other Expenditures","Other Expense",W230)))))</f>
        <v/>
      </c>
      <c r="X231" s="36" t="str">
        <f aca="false">IF(OR(V231="Revenue",V231="Cost of Goods Sold",V231="Expenditures",V231="Other Revenue",V231="Other Expenditures"),W231,IF(AND(LEN(V231)&gt;2,MID(V231,2,1)=" ",ISNUMBER(VALUE(LEFT(V231,1)))),V231,X230))</f>
        <v/>
      </c>
      <c r="Y231" s="36" t="n">
        <f aca="false">IF(AND(V231&lt;&gt;"",ISNUMBER(T231),LEFT(V231,9)&lt;&gt;"Total for",V231&lt;&gt;"Gross Profit",V231&lt;&gt;"Net Operating Revenue",V231&lt;&gt;"Net Other Revenue",V231&lt;&gt;"Net Revenue"),1,0)</f>
        <v>0</v>
      </c>
      <c r="Z231" s="36" t="str">
        <f aca="false">IF(Y231=1,IF(AND(LEN(V231)&gt;7,ISNUMBER(VALUE(LEFT(V231,6))),MID(V231,7,1)=" "),LEFT(V231,6),V231),"")</f>
        <v/>
      </c>
      <c r="AE231" s="36" t="str">
        <f aca="false">TRIM(AB231)</f>
        <v/>
      </c>
      <c r="AF231" s="36" t="str">
        <f aca="false">IF(AE231="Revenue","Revenue",IF(AE231="Cost of Goods Sold","COGS",IF(AE231="Expenditures","Expense",IF(AE231="Other Revenue","Other Revenue",IF(AE231="Other Expenditures","Other Expense",AF230)))))</f>
        <v/>
      </c>
      <c r="AG231" s="36" t="str">
        <f aca="false">IF(OR(AE231="Revenue",AE231="Cost of Goods Sold",AE231="Expenditures",AE231="Other Revenue",AE231="Other Expenditures"),AF231,IF(AND(LEN(AE231)&gt;2,MID(AE231,2,1)=" ",ISNUMBER(VALUE(LEFT(AE231,1)))),AE231,AG230))</f>
        <v/>
      </c>
      <c r="AH231" s="36" t="n">
        <f aca="false">IF(AND(AE231&lt;&gt;"",ISNUMBER(AC231),LEFT(AE231,9)&lt;&gt;"Total for",AE231&lt;&gt;"Gross Profit",AE231&lt;&gt;"Net Operating Revenue",AE231&lt;&gt;"Net Other Revenue",AE231&lt;&gt;"Net Revenue"),1,0)</f>
        <v>0</v>
      </c>
      <c r="AI231" s="36" t="str">
        <f aca="false">IF(AH231=1,IF(AND(LEN(AE231)&gt;7,ISNUMBER(VALUE(LEFT(AE231,6))),MID(AE231,7,1)=" "),LEFT(AE231,6),AE231),"")</f>
        <v/>
      </c>
      <c r="AN231" s="36" t="str">
        <f aca="false">TRIM(AK231)</f>
        <v/>
      </c>
      <c r="AO231" s="36" t="str">
        <f aca="false">IF(AN231="Revenue","Revenue",IF(AN231="Cost of Goods Sold","COGS",IF(AN231="Expenditures","Expense",IF(AN231="Other Revenue","Other Revenue",IF(AN231="Other Expenditures","Other Expense",AO230)))))</f>
        <v/>
      </c>
      <c r="AP231" s="36" t="str">
        <f aca="false">IF(OR(AN231="Revenue",AN231="Cost of Goods Sold",AN231="Expenditures",AN231="Other Revenue",AN231="Other Expenditures"),AO231,IF(AND(LEN(AN231)&gt;2,MID(AN231,2,1)=" ",ISNUMBER(VALUE(LEFT(AN231,1)))),AN231,AP230))</f>
        <v/>
      </c>
      <c r="AQ231" s="36" t="n">
        <f aca="false">IF(AND(AN231&lt;&gt;"",ISNUMBER(AL231),LEFT(AN231,9)&lt;&gt;"Total for",AN231&lt;&gt;"Gross Profit",AN231&lt;&gt;"Net Operating Revenue",AN231&lt;&gt;"Net Other Revenue",AN231&lt;&gt;"Net Revenue"),1,0)</f>
        <v>0</v>
      </c>
      <c r="AR231" s="36" t="str">
        <f aca="false">IF(AQ231=1,IF(AND(LEN(AN231)&gt;7,ISNUMBER(VALUE(LEFT(AN231,6))),MID(AN231,7,1)=" "),LEFT(AN231,6),AN231),"")</f>
        <v/>
      </c>
    </row>
    <row r="232" customFormat="false" ht="15" hidden="false" customHeight="false" outlineLevel="0" collapsed="false">
      <c r="D232" s="36" t="str">
        <f aca="false">TRIM(A232)</f>
        <v/>
      </c>
      <c r="E232" s="36" t="str">
        <f aca="false">IF(D232="Revenue","Revenue",IF(D232="Cost of Goods Sold","COGS",IF(D232="Expenditures","Expense",IF(D232="Other Revenue","Other Revenue",IF(D232="Other Expenditures","Other Expense",E231)))))</f>
        <v/>
      </c>
      <c r="F232" s="36" t="str">
        <f aca="false">IF(OR(D232="Revenue",D232="Cost of Goods Sold",D232="Expenditures",D232="Other Revenue",D232="Other Expenditures"),E232,IF(AND(LEN(D232)&gt;2,MID(D232,2,1)=" ",ISNUMBER(VALUE(LEFT(D232,1)))),D232,F231))</f>
        <v/>
      </c>
      <c r="G232" s="36" t="n">
        <f aca="false">IF(AND(D232&lt;&gt;"",ISNUMBER(B232),LEFT(D232,9)&lt;&gt;"Total for",D232&lt;&gt;"Gross Profit",D232&lt;&gt;"Net Operating Revenue",D232&lt;&gt;"Net Other Revenue",D232&lt;&gt;"Net Revenue"),1,0)</f>
        <v>0</v>
      </c>
      <c r="H232" s="36" t="str">
        <f aca="false">IF(G232=1,IF(AND(LEN(D232)&gt;7,ISNUMBER(VALUE(LEFT(D232,6))),MID(D232,7,1)=" "),LEFT(D232,6),D232),"")</f>
        <v/>
      </c>
      <c r="M232" s="36" t="str">
        <f aca="false">TRIM(J232)</f>
        <v/>
      </c>
      <c r="N232" s="36" t="str">
        <f aca="false">IF(M232="Revenue","Revenue",IF(M232="Cost of Goods Sold","COGS",IF(M232="Expenditures","Expense",IF(M232="Other Revenue","Other Revenue",IF(M232="Other Expenditures","Other Expense",N231)))))</f>
        <v/>
      </c>
      <c r="O232" s="36" t="str">
        <f aca="false">IF(OR(M232="Revenue",M232="Cost of Goods Sold",M232="Expenditures",M232="Other Revenue",M232="Other Expenditures"),N232,IF(AND(LEN(M232)&gt;2,MID(M232,2,1)=" ",ISNUMBER(VALUE(LEFT(M232,1)))),M232,O231))</f>
        <v/>
      </c>
      <c r="P232" s="36" t="n">
        <f aca="false">IF(AND(M232&lt;&gt;"",ISNUMBER(K232),LEFT(M232,9)&lt;&gt;"Total for",M232&lt;&gt;"Gross Profit",M232&lt;&gt;"Net Operating Revenue",M232&lt;&gt;"Net Other Revenue",M232&lt;&gt;"Net Revenue"),1,0)</f>
        <v>0</v>
      </c>
      <c r="Q232" s="36" t="str">
        <f aca="false">IF(P232=1,IF(AND(LEN(M232)&gt;7,ISNUMBER(VALUE(LEFT(M232,6))),MID(M232,7,1)=" "),LEFT(M232,6),M232),"")</f>
        <v/>
      </c>
      <c r="V232" s="36" t="str">
        <f aca="false">TRIM(S232)</f>
        <v/>
      </c>
      <c r="W232" s="36" t="str">
        <f aca="false">IF(V232="Revenue","Revenue",IF(V232="Cost of Goods Sold","COGS",IF(V232="Expenditures","Expense",IF(V232="Other Revenue","Other Revenue",IF(V232="Other Expenditures","Other Expense",W231)))))</f>
        <v/>
      </c>
      <c r="X232" s="36" t="str">
        <f aca="false">IF(OR(V232="Revenue",V232="Cost of Goods Sold",V232="Expenditures",V232="Other Revenue",V232="Other Expenditures"),W232,IF(AND(LEN(V232)&gt;2,MID(V232,2,1)=" ",ISNUMBER(VALUE(LEFT(V232,1)))),V232,X231))</f>
        <v/>
      </c>
      <c r="Y232" s="36" t="n">
        <f aca="false">IF(AND(V232&lt;&gt;"",ISNUMBER(T232),LEFT(V232,9)&lt;&gt;"Total for",V232&lt;&gt;"Gross Profit",V232&lt;&gt;"Net Operating Revenue",V232&lt;&gt;"Net Other Revenue",V232&lt;&gt;"Net Revenue"),1,0)</f>
        <v>0</v>
      </c>
      <c r="Z232" s="36" t="str">
        <f aca="false">IF(Y232=1,IF(AND(LEN(V232)&gt;7,ISNUMBER(VALUE(LEFT(V232,6))),MID(V232,7,1)=" "),LEFT(V232,6),V232),"")</f>
        <v/>
      </c>
      <c r="AE232" s="36" t="str">
        <f aca="false">TRIM(AB232)</f>
        <v/>
      </c>
      <c r="AF232" s="36" t="str">
        <f aca="false">IF(AE232="Revenue","Revenue",IF(AE232="Cost of Goods Sold","COGS",IF(AE232="Expenditures","Expense",IF(AE232="Other Revenue","Other Revenue",IF(AE232="Other Expenditures","Other Expense",AF231)))))</f>
        <v/>
      </c>
      <c r="AG232" s="36" t="str">
        <f aca="false">IF(OR(AE232="Revenue",AE232="Cost of Goods Sold",AE232="Expenditures",AE232="Other Revenue",AE232="Other Expenditures"),AF232,IF(AND(LEN(AE232)&gt;2,MID(AE232,2,1)=" ",ISNUMBER(VALUE(LEFT(AE232,1)))),AE232,AG231))</f>
        <v/>
      </c>
      <c r="AH232" s="36" t="n">
        <f aca="false">IF(AND(AE232&lt;&gt;"",ISNUMBER(AC232),LEFT(AE232,9)&lt;&gt;"Total for",AE232&lt;&gt;"Gross Profit",AE232&lt;&gt;"Net Operating Revenue",AE232&lt;&gt;"Net Other Revenue",AE232&lt;&gt;"Net Revenue"),1,0)</f>
        <v>0</v>
      </c>
      <c r="AI232" s="36" t="str">
        <f aca="false">IF(AH232=1,IF(AND(LEN(AE232)&gt;7,ISNUMBER(VALUE(LEFT(AE232,6))),MID(AE232,7,1)=" "),LEFT(AE232,6),AE232),"")</f>
        <v/>
      </c>
      <c r="AN232" s="36" t="str">
        <f aca="false">TRIM(AK232)</f>
        <v/>
      </c>
      <c r="AO232" s="36" t="str">
        <f aca="false">IF(AN232="Revenue","Revenue",IF(AN232="Cost of Goods Sold","COGS",IF(AN232="Expenditures","Expense",IF(AN232="Other Revenue","Other Revenue",IF(AN232="Other Expenditures","Other Expense",AO231)))))</f>
        <v/>
      </c>
      <c r="AP232" s="36" t="str">
        <f aca="false">IF(OR(AN232="Revenue",AN232="Cost of Goods Sold",AN232="Expenditures",AN232="Other Revenue",AN232="Other Expenditures"),AO232,IF(AND(LEN(AN232)&gt;2,MID(AN232,2,1)=" ",ISNUMBER(VALUE(LEFT(AN232,1)))),AN232,AP231))</f>
        <v/>
      </c>
      <c r="AQ232" s="36" t="n">
        <f aca="false">IF(AND(AN232&lt;&gt;"",ISNUMBER(AL232),LEFT(AN232,9)&lt;&gt;"Total for",AN232&lt;&gt;"Gross Profit",AN232&lt;&gt;"Net Operating Revenue",AN232&lt;&gt;"Net Other Revenue",AN232&lt;&gt;"Net Revenue"),1,0)</f>
        <v>0</v>
      </c>
      <c r="AR232" s="36" t="str">
        <f aca="false">IF(AQ232=1,IF(AND(LEN(AN232)&gt;7,ISNUMBER(VALUE(LEFT(AN232,6))),MID(AN232,7,1)=" "),LEFT(AN232,6),AN232),"")</f>
        <v/>
      </c>
    </row>
    <row r="233" customFormat="false" ht="15" hidden="false" customHeight="false" outlineLevel="0" collapsed="false">
      <c r="D233" s="36" t="str">
        <f aca="false">TRIM(A233)</f>
        <v/>
      </c>
      <c r="E233" s="36" t="str">
        <f aca="false">IF(D233="Revenue","Revenue",IF(D233="Cost of Goods Sold","COGS",IF(D233="Expenditures","Expense",IF(D233="Other Revenue","Other Revenue",IF(D233="Other Expenditures","Other Expense",E232)))))</f>
        <v/>
      </c>
      <c r="F233" s="36" t="str">
        <f aca="false">IF(OR(D233="Revenue",D233="Cost of Goods Sold",D233="Expenditures",D233="Other Revenue",D233="Other Expenditures"),E233,IF(AND(LEN(D233)&gt;2,MID(D233,2,1)=" ",ISNUMBER(VALUE(LEFT(D233,1)))),D233,F232))</f>
        <v/>
      </c>
      <c r="G233" s="36" t="n">
        <f aca="false">IF(AND(D233&lt;&gt;"",ISNUMBER(B233),LEFT(D233,9)&lt;&gt;"Total for",D233&lt;&gt;"Gross Profit",D233&lt;&gt;"Net Operating Revenue",D233&lt;&gt;"Net Other Revenue",D233&lt;&gt;"Net Revenue"),1,0)</f>
        <v>0</v>
      </c>
      <c r="H233" s="36" t="str">
        <f aca="false">IF(G233=1,IF(AND(LEN(D233)&gt;7,ISNUMBER(VALUE(LEFT(D233,6))),MID(D233,7,1)=" "),LEFT(D233,6),D233),"")</f>
        <v/>
      </c>
      <c r="M233" s="36" t="str">
        <f aca="false">TRIM(J233)</f>
        <v/>
      </c>
      <c r="N233" s="36" t="str">
        <f aca="false">IF(M233="Revenue","Revenue",IF(M233="Cost of Goods Sold","COGS",IF(M233="Expenditures","Expense",IF(M233="Other Revenue","Other Revenue",IF(M233="Other Expenditures","Other Expense",N232)))))</f>
        <v/>
      </c>
      <c r="O233" s="36" t="str">
        <f aca="false">IF(OR(M233="Revenue",M233="Cost of Goods Sold",M233="Expenditures",M233="Other Revenue",M233="Other Expenditures"),N233,IF(AND(LEN(M233)&gt;2,MID(M233,2,1)=" ",ISNUMBER(VALUE(LEFT(M233,1)))),M233,O232))</f>
        <v/>
      </c>
      <c r="P233" s="36" t="n">
        <f aca="false">IF(AND(M233&lt;&gt;"",ISNUMBER(K233),LEFT(M233,9)&lt;&gt;"Total for",M233&lt;&gt;"Gross Profit",M233&lt;&gt;"Net Operating Revenue",M233&lt;&gt;"Net Other Revenue",M233&lt;&gt;"Net Revenue"),1,0)</f>
        <v>0</v>
      </c>
      <c r="Q233" s="36" t="str">
        <f aca="false">IF(P233=1,IF(AND(LEN(M233)&gt;7,ISNUMBER(VALUE(LEFT(M233,6))),MID(M233,7,1)=" "),LEFT(M233,6),M233),"")</f>
        <v/>
      </c>
      <c r="V233" s="36" t="str">
        <f aca="false">TRIM(S233)</f>
        <v/>
      </c>
      <c r="W233" s="36" t="str">
        <f aca="false">IF(V233="Revenue","Revenue",IF(V233="Cost of Goods Sold","COGS",IF(V233="Expenditures","Expense",IF(V233="Other Revenue","Other Revenue",IF(V233="Other Expenditures","Other Expense",W232)))))</f>
        <v/>
      </c>
      <c r="X233" s="36" t="str">
        <f aca="false">IF(OR(V233="Revenue",V233="Cost of Goods Sold",V233="Expenditures",V233="Other Revenue",V233="Other Expenditures"),W233,IF(AND(LEN(V233)&gt;2,MID(V233,2,1)=" ",ISNUMBER(VALUE(LEFT(V233,1)))),V233,X232))</f>
        <v/>
      </c>
      <c r="Y233" s="36" t="n">
        <f aca="false">IF(AND(V233&lt;&gt;"",ISNUMBER(T233),LEFT(V233,9)&lt;&gt;"Total for",V233&lt;&gt;"Gross Profit",V233&lt;&gt;"Net Operating Revenue",V233&lt;&gt;"Net Other Revenue",V233&lt;&gt;"Net Revenue"),1,0)</f>
        <v>0</v>
      </c>
      <c r="Z233" s="36" t="str">
        <f aca="false">IF(Y233=1,IF(AND(LEN(V233)&gt;7,ISNUMBER(VALUE(LEFT(V233,6))),MID(V233,7,1)=" "),LEFT(V233,6),V233),"")</f>
        <v/>
      </c>
      <c r="AE233" s="36" t="str">
        <f aca="false">TRIM(AB233)</f>
        <v/>
      </c>
      <c r="AF233" s="36" t="str">
        <f aca="false">IF(AE233="Revenue","Revenue",IF(AE233="Cost of Goods Sold","COGS",IF(AE233="Expenditures","Expense",IF(AE233="Other Revenue","Other Revenue",IF(AE233="Other Expenditures","Other Expense",AF232)))))</f>
        <v/>
      </c>
      <c r="AG233" s="36" t="str">
        <f aca="false">IF(OR(AE233="Revenue",AE233="Cost of Goods Sold",AE233="Expenditures",AE233="Other Revenue",AE233="Other Expenditures"),AF233,IF(AND(LEN(AE233)&gt;2,MID(AE233,2,1)=" ",ISNUMBER(VALUE(LEFT(AE233,1)))),AE233,AG232))</f>
        <v/>
      </c>
      <c r="AH233" s="36" t="n">
        <f aca="false">IF(AND(AE233&lt;&gt;"",ISNUMBER(AC233),LEFT(AE233,9)&lt;&gt;"Total for",AE233&lt;&gt;"Gross Profit",AE233&lt;&gt;"Net Operating Revenue",AE233&lt;&gt;"Net Other Revenue",AE233&lt;&gt;"Net Revenue"),1,0)</f>
        <v>0</v>
      </c>
      <c r="AI233" s="36" t="str">
        <f aca="false">IF(AH233=1,IF(AND(LEN(AE233)&gt;7,ISNUMBER(VALUE(LEFT(AE233,6))),MID(AE233,7,1)=" "),LEFT(AE233,6),AE233),"")</f>
        <v/>
      </c>
      <c r="AN233" s="36" t="str">
        <f aca="false">TRIM(AK233)</f>
        <v/>
      </c>
      <c r="AO233" s="36" t="str">
        <f aca="false">IF(AN233="Revenue","Revenue",IF(AN233="Cost of Goods Sold","COGS",IF(AN233="Expenditures","Expense",IF(AN233="Other Revenue","Other Revenue",IF(AN233="Other Expenditures","Other Expense",AO232)))))</f>
        <v/>
      </c>
      <c r="AP233" s="36" t="str">
        <f aca="false">IF(OR(AN233="Revenue",AN233="Cost of Goods Sold",AN233="Expenditures",AN233="Other Revenue",AN233="Other Expenditures"),AO233,IF(AND(LEN(AN233)&gt;2,MID(AN233,2,1)=" ",ISNUMBER(VALUE(LEFT(AN233,1)))),AN233,AP232))</f>
        <v/>
      </c>
      <c r="AQ233" s="36" t="n">
        <f aca="false">IF(AND(AN233&lt;&gt;"",ISNUMBER(AL233),LEFT(AN233,9)&lt;&gt;"Total for",AN233&lt;&gt;"Gross Profit",AN233&lt;&gt;"Net Operating Revenue",AN233&lt;&gt;"Net Other Revenue",AN233&lt;&gt;"Net Revenue"),1,0)</f>
        <v>0</v>
      </c>
      <c r="AR233" s="36" t="str">
        <f aca="false">IF(AQ233=1,IF(AND(LEN(AN233)&gt;7,ISNUMBER(VALUE(LEFT(AN233,6))),MID(AN233,7,1)=" "),LEFT(AN233,6),AN233),"")</f>
        <v/>
      </c>
    </row>
    <row r="234" customFormat="false" ht="15" hidden="false" customHeight="false" outlineLevel="0" collapsed="false">
      <c r="D234" s="36" t="str">
        <f aca="false">TRIM(A234)</f>
        <v/>
      </c>
      <c r="E234" s="36" t="str">
        <f aca="false">IF(D234="Revenue","Revenue",IF(D234="Cost of Goods Sold","COGS",IF(D234="Expenditures","Expense",IF(D234="Other Revenue","Other Revenue",IF(D234="Other Expenditures","Other Expense",E233)))))</f>
        <v/>
      </c>
      <c r="F234" s="36" t="str">
        <f aca="false">IF(OR(D234="Revenue",D234="Cost of Goods Sold",D234="Expenditures",D234="Other Revenue",D234="Other Expenditures"),E234,IF(AND(LEN(D234)&gt;2,MID(D234,2,1)=" ",ISNUMBER(VALUE(LEFT(D234,1)))),D234,F233))</f>
        <v/>
      </c>
      <c r="G234" s="36" t="n">
        <f aca="false">IF(AND(D234&lt;&gt;"",ISNUMBER(B234),LEFT(D234,9)&lt;&gt;"Total for",D234&lt;&gt;"Gross Profit",D234&lt;&gt;"Net Operating Revenue",D234&lt;&gt;"Net Other Revenue",D234&lt;&gt;"Net Revenue"),1,0)</f>
        <v>0</v>
      </c>
      <c r="H234" s="36" t="str">
        <f aca="false">IF(G234=1,IF(AND(LEN(D234)&gt;7,ISNUMBER(VALUE(LEFT(D234,6))),MID(D234,7,1)=" "),LEFT(D234,6),D234),"")</f>
        <v/>
      </c>
      <c r="M234" s="36" t="str">
        <f aca="false">TRIM(J234)</f>
        <v/>
      </c>
      <c r="N234" s="36" t="str">
        <f aca="false">IF(M234="Revenue","Revenue",IF(M234="Cost of Goods Sold","COGS",IF(M234="Expenditures","Expense",IF(M234="Other Revenue","Other Revenue",IF(M234="Other Expenditures","Other Expense",N233)))))</f>
        <v/>
      </c>
      <c r="O234" s="36" t="str">
        <f aca="false">IF(OR(M234="Revenue",M234="Cost of Goods Sold",M234="Expenditures",M234="Other Revenue",M234="Other Expenditures"),N234,IF(AND(LEN(M234)&gt;2,MID(M234,2,1)=" ",ISNUMBER(VALUE(LEFT(M234,1)))),M234,O233))</f>
        <v/>
      </c>
      <c r="P234" s="36" t="n">
        <f aca="false">IF(AND(M234&lt;&gt;"",ISNUMBER(K234),LEFT(M234,9)&lt;&gt;"Total for",M234&lt;&gt;"Gross Profit",M234&lt;&gt;"Net Operating Revenue",M234&lt;&gt;"Net Other Revenue",M234&lt;&gt;"Net Revenue"),1,0)</f>
        <v>0</v>
      </c>
      <c r="Q234" s="36" t="str">
        <f aca="false">IF(P234=1,IF(AND(LEN(M234)&gt;7,ISNUMBER(VALUE(LEFT(M234,6))),MID(M234,7,1)=" "),LEFT(M234,6),M234),"")</f>
        <v/>
      </c>
      <c r="V234" s="36" t="str">
        <f aca="false">TRIM(S234)</f>
        <v/>
      </c>
      <c r="W234" s="36" t="str">
        <f aca="false">IF(V234="Revenue","Revenue",IF(V234="Cost of Goods Sold","COGS",IF(V234="Expenditures","Expense",IF(V234="Other Revenue","Other Revenue",IF(V234="Other Expenditures","Other Expense",W233)))))</f>
        <v/>
      </c>
      <c r="X234" s="36" t="str">
        <f aca="false">IF(OR(V234="Revenue",V234="Cost of Goods Sold",V234="Expenditures",V234="Other Revenue",V234="Other Expenditures"),W234,IF(AND(LEN(V234)&gt;2,MID(V234,2,1)=" ",ISNUMBER(VALUE(LEFT(V234,1)))),V234,X233))</f>
        <v/>
      </c>
      <c r="Y234" s="36" t="n">
        <f aca="false">IF(AND(V234&lt;&gt;"",ISNUMBER(T234),LEFT(V234,9)&lt;&gt;"Total for",V234&lt;&gt;"Gross Profit",V234&lt;&gt;"Net Operating Revenue",V234&lt;&gt;"Net Other Revenue",V234&lt;&gt;"Net Revenue"),1,0)</f>
        <v>0</v>
      </c>
      <c r="Z234" s="36" t="str">
        <f aca="false">IF(Y234=1,IF(AND(LEN(V234)&gt;7,ISNUMBER(VALUE(LEFT(V234,6))),MID(V234,7,1)=" "),LEFT(V234,6),V234),"")</f>
        <v/>
      </c>
      <c r="AE234" s="36" t="str">
        <f aca="false">TRIM(AB234)</f>
        <v/>
      </c>
      <c r="AF234" s="36" t="str">
        <f aca="false">IF(AE234="Revenue","Revenue",IF(AE234="Cost of Goods Sold","COGS",IF(AE234="Expenditures","Expense",IF(AE234="Other Revenue","Other Revenue",IF(AE234="Other Expenditures","Other Expense",AF233)))))</f>
        <v/>
      </c>
      <c r="AG234" s="36" t="str">
        <f aca="false">IF(OR(AE234="Revenue",AE234="Cost of Goods Sold",AE234="Expenditures",AE234="Other Revenue",AE234="Other Expenditures"),AF234,IF(AND(LEN(AE234)&gt;2,MID(AE234,2,1)=" ",ISNUMBER(VALUE(LEFT(AE234,1)))),AE234,AG233))</f>
        <v/>
      </c>
      <c r="AH234" s="36" t="n">
        <f aca="false">IF(AND(AE234&lt;&gt;"",ISNUMBER(AC234),LEFT(AE234,9)&lt;&gt;"Total for",AE234&lt;&gt;"Gross Profit",AE234&lt;&gt;"Net Operating Revenue",AE234&lt;&gt;"Net Other Revenue",AE234&lt;&gt;"Net Revenue"),1,0)</f>
        <v>0</v>
      </c>
      <c r="AI234" s="36" t="str">
        <f aca="false">IF(AH234=1,IF(AND(LEN(AE234)&gt;7,ISNUMBER(VALUE(LEFT(AE234,6))),MID(AE234,7,1)=" "),LEFT(AE234,6),AE234),"")</f>
        <v/>
      </c>
      <c r="AN234" s="36" t="str">
        <f aca="false">TRIM(AK234)</f>
        <v/>
      </c>
      <c r="AO234" s="36" t="str">
        <f aca="false">IF(AN234="Revenue","Revenue",IF(AN234="Cost of Goods Sold","COGS",IF(AN234="Expenditures","Expense",IF(AN234="Other Revenue","Other Revenue",IF(AN234="Other Expenditures","Other Expense",AO233)))))</f>
        <v/>
      </c>
      <c r="AP234" s="36" t="str">
        <f aca="false">IF(OR(AN234="Revenue",AN234="Cost of Goods Sold",AN234="Expenditures",AN234="Other Revenue",AN234="Other Expenditures"),AO234,IF(AND(LEN(AN234)&gt;2,MID(AN234,2,1)=" ",ISNUMBER(VALUE(LEFT(AN234,1)))),AN234,AP233))</f>
        <v/>
      </c>
      <c r="AQ234" s="36" t="n">
        <f aca="false">IF(AND(AN234&lt;&gt;"",ISNUMBER(AL234),LEFT(AN234,9)&lt;&gt;"Total for",AN234&lt;&gt;"Gross Profit",AN234&lt;&gt;"Net Operating Revenue",AN234&lt;&gt;"Net Other Revenue",AN234&lt;&gt;"Net Revenue"),1,0)</f>
        <v>0</v>
      </c>
      <c r="AR234" s="36" t="str">
        <f aca="false">IF(AQ234=1,IF(AND(LEN(AN234)&gt;7,ISNUMBER(VALUE(LEFT(AN234,6))),MID(AN234,7,1)=" "),LEFT(AN234,6),AN234),"")</f>
        <v/>
      </c>
    </row>
    <row r="235" customFormat="false" ht="15" hidden="false" customHeight="false" outlineLevel="0" collapsed="false">
      <c r="D235" s="36" t="str">
        <f aca="false">TRIM(A235)</f>
        <v/>
      </c>
      <c r="E235" s="36" t="str">
        <f aca="false">IF(D235="Revenue","Revenue",IF(D235="Cost of Goods Sold","COGS",IF(D235="Expenditures","Expense",IF(D235="Other Revenue","Other Revenue",IF(D235="Other Expenditures","Other Expense",E234)))))</f>
        <v/>
      </c>
      <c r="F235" s="36" t="str">
        <f aca="false">IF(OR(D235="Revenue",D235="Cost of Goods Sold",D235="Expenditures",D235="Other Revenue",D235="Other Expenditures"),E235,IF(AND(LEN(D235)&gt;2,MID(D235,2,1)=" ",ISNUMBER(VALUE(LEFT(D235,1)))),D235,F234))</f>
        <v/>
      </c>
      <c r="G235" s="36" t="n">
        <f aca="false">IF(AND(D235&lt;&gt;"",ISNUMBER(B235),LEFT(D235,9)&lt;&gt;"Total for",D235&lt;&gt;"Gross Profit",D235&lt;&gt;"Net Operating Revenue",D235&lt;&gt;"Net Other Revenue",D235&lt;&gt;"Net Revenue"),1,0)</f>
        <v>0</v>
      </c>
      <c r="H235" s="36" t="str">
        <f aca="false">IF(G235=1,IF(AND(LEN(D235)&gt;7,ISNUMBER(VALUE(LEFT(D235,6))),MID(D235,7,1)=" "),LEFT(D235,6),D235),"")</f>
        <v/>
      </c>
      <c r="M235" s="36" t="str">
        <f aca="false">TRIM(J235)</f>
        <v/>
      </c>
      <c r="N235" s="36" t="str">
        <f aca="false">IF(M235="Revenue","Revenue",IF(M235="Cost of Goods Sold","COGS",IF(M235="Expenditures","Expense",IF(M235="Other Revenue","Other Revenue",IF(M235="Other Expenditures","Other Expense",N234)))))</f>
        <v/>
      </c>
      <c r="O235" s="36" t="str">
        <f aca="false">IF(OR(M235="Revenue",M235="Cost of Goods Sold",M235="Expenditures",M235="Other Revenue",M235="Other Expenditures"),N235,IF(AND(LEN(M235)&gt;2,MID(M235,2,1)=" ",ISNUMBER(VALUE(LEFT(M235,1)))),M235,O234))</f>
        <v/>
      </c>
      <c r="P235" s="36" t="n">
        <f aca="false">IF(AND(M235&lt;&gt;"",ISNUMBER(K235),LEFT(M235,9)&lt;&gt;"Total for",M235&lt;&gt;"Gross Profit",M235&lt;&gt;"Net Operating Revenue",M235&lt;&gt;"Net Other Revenue",M235&lt;&gt;"Net Revenue"),1,0)</f>
        <v>0</v>
      </c>
      <c r="Q235" s="36" t="str">
        <f aca="false">IF(P235=1,IF(AND(LEN(M235)&gt;7,ISNUMBER(VALUE(LEFT(M235,6))),MID(M235,7,1)=" "),LEFT(M235,6),M235),"")</f>
        <v/>
      </c>
      <c r="V235" s="36" t="str">
        <f aca="false">TRIM(S235)</f>
        <v/>
      </c>
      <c r="W235" s="36" t="str">
        <f aca="false">IF(V235="Revenue","Revenue",IF(V235="Cost of Goods Sold","COGS",IF(V235="Expenditures","Expense",IF(V235="Other Revenue","Other Revenue",IF(V235="Other Expenditures","Other Expense",W234)))))</f>
        <v/>
      </c>
      <c r="X235" s="36" t="str">
        <f aca="false">IF(OR(V235="Revenue",V235="Cost of Goods Sold",V235="Expenditures",V235="Other Revenue",V235="Other Expenditures"),W235,IF(AND(LEN(V235)&gt;2,MID(V235,2,1)=" ",ISNUMBER(VALUE(LEFT(V235,1)))),V235,X234))</f>
        <v/>
      </c>
      <c r="Y235" s="36" t="n">
        <f aca="false">IF(AND(V235&lt;&gt;"",ISNUMBER(T235),LEFT(V235,9)&lt;&gt;"Total for",V235&lt;&gt;"Gross Profit",V235&lt;&gt;"Net Operating Revenue",V235&lt;&gt;"Net Other Revenue",V235&lt;&gt;"Net Revenue"),1,0)</f>
        <v>0</v>
      </c>
      <c r="Z235" s="36" t="str">
        <f aca="false">IF(Y235=1,IF(AND(LEN(V235)&gt;7,ISNUMBER(VALUE(LEFT(V235,6))),MID(V235,7,1)=" "),LEFT(V235,6),V235),"")</f>
        <v/>
      </c>
      <c r="AE235" s="36" t="str">
        <f aca="false">TRIM(AB235)</f>
        <v/>
      </c>
      <c r="AF235" s="36" t="str">
        <f aca="false">IF(AE235="Revenue","Revenue",IF(AE235="Cost of Goods Sold","COGS",IF(AE235="Expenditures","Expense",IF(AE235="Other Revenue","Other Revenue",IF(AE235="Other Expenditures","Other Expense",AF234)))))</f>
        <v/>
      </c>
      <c r="AG235" s="36" t="str">
        <f aca="false">IF(OR(AE235="Revenue",AE235="Cost of Goods Sold",AE235="Expenditures",AE235="Other Revenue",AE235="Other Expenditures"),AF235,IF(AND(LEN(AE235)&gt;2,MID(AE235,2,1)=" ",ISNUMBER(VALUE(LEFT(AE235,1)))),AE235,AG234))</f>
        <v/>
      </c>
      <c r="AH235" s="36" t="n">
        <f aca="false">IF(AND(AE235&lt;&gt;"",ISNUMBER(AC235),LEFT(AE235,9)&lt;&gt;"Total for",AE235&lt;&gt;"Gross Profit",AE235&lt;&gt;"Net Operating Revenue",AE235&lt;&gt;"Net Other Revenue",AE235&lt;&gt;"Net Revenue"),1,0)</f>
        <v>0</v>
      </c>
      <c r="AI235" s="36" t="str">
        <f aca="false">IF(AH235=1,IF(AND(LEN(AE235)&gt;7,ISNUMBER(VALUE(LEFT(AE235,6))),MID(AE235,7,1)=" "),LEFT(AE235,6),AE235),"")</f>
        <v/>
      </c>
      <c r="AN235" s="36" t="str">
        <f aca="false">TRIM(AK235)</f>
        <v/>
      </c>
      <c r="AO235" s="36" t="str">
        <f aca="false">IF(AN235="Revenue","Revenue",IF(AN235="Cost of Goods Sold","COGS",IF(AN235="Expenditures","Expense",IF(AN235="Other Revenue","Other Revenue",IF(AN235="Other Expenditures","Other Expense",AO234)))))</f>
        <v/>
      </c>
      <c r="AP235" s="36" t="str">
        <f aca="false">IF(OR(AN235="Revenue",AN235="Cost of Goods Sold",AN235="Expenditures",AN235="Other Revenue",AN235="Other Expenditures"),AO235,IF(AND(LEN(AN235)&gt;2,MID(AN235,2,1)=" ",ISNUMBER(VALUE(LEFT(AN235,1)))),AN235,AP234))</f>
        <v/>
      </c>
      <c r="AQ235" s="36" t="n">
        <f aca="false">IF(AND(AN235&lt;&gt;"",ISNUMBER(AL235),LEFT(AN235,9)&lt;&gt;"Total for",AN235&lt;&gt;"Gross Profit",AN235&lt;&gt;"Net Operating Revenue",AN235&lt;&gt;"Net Other Revenue",AN235&lt;&gt;"Net Revenue"),1,0)</f>
        <v>0</v>
      </c>
      <c r="AR235" s="36" t="str">
        <f aca="false">IF(AQ235=1,IF(AND(LEN(AN235)&gt;7,ISNUMBER(VALUE(LEFT(AN235,6))),MID(AN235,7,1)=" "),LEFT(AN235,6),AN235),"")</f>
        <v/>
      </c>
    </row>
    <row r="236" customFormat="false" ht="15" hidden="false" customHeight="false" outlineLevel="0" collapsed="false">
      <c r="D236" s="36" t="str">
        <f aca="false">TRIM(A236)</f>
        <v/>
      </c>
      <c r="E236" s="36" t="str">
        <f aca="false">IF(D236="Revenue","Revenue",IF(D236="Cost of Goods Sold","COGS",IF(D236="Expenditures","Expense",IF(D236="Other Revenue","Other Revenue",IF(D236="Other Expenditures","Other Expense",E235)))))</f>
        <v/>
      </c>
      <c r="F236" s="36" t="str">
        <f aca="false">IF(OR(D236="Revenue",D236="Cost of Goods Sold",D236="Expenditures",D236="Other Revenue",D236="Other Expenditures"),E236,IF(AND(LEN(D236)&gt;2,MID(D236,2,1)=" ",ISNUMBER(VALUE(LEFT(D236,1)))),D236,F235))</f>
        <v/>
      </c>
      <c r="G236" s="36" t="n">
        <f aca="false">IF(AND(D236&lt;&gt;"",ISNUMBER(B236),LEFT(D236,9)&lt;&gt;"Total for",D236&lt;&gt;"Gross Profit",D236&lt;&gt;"Net Operating Revenue",D236&lt;&gt;"Net Other Revenue",D236&lt;&gt;"Net Revenue"),1,0)</f>
        <v>0</v>
      </c>
      <c r="H236" s="36" t="str">
        <f aca="false">IF(G236=1,IF(AND(LEN(D236)&gt;7,ISNUMBER(VALUE(LEFT(D236,6))),MID(D236,7,1)=" "),LEFT(D236,6),D236),"")</f>
        <v/>
      </c>
      <c r="M236" s="36" t="str">
        <f aca="false">TRIM(J236)</f>
        <v/>
      </c>
      <c r="N236" s="36" t="str">
        <f aca="false">IF(M236="Revenue","Revenue",IF(M236="Cost of Goods Sold","COGS",IF(M236="Expenditures","Expense",IF(M236="Other Revenue","Other Revenue",IF(M236="Other Expenditures","Other Expense",N235)))))</f>
        <v/>
      </c>
      <c r="O236" s="36" t="str">
        <f aca="false">IF(OR(M236="Revenue",M236="Cost of Goods Sold",M236="Expenditures",M236="Other Revenue",M236="Other Expenditures"),N236,IF(AND(LEN(M236)&gt;2,MID(M236,2,1)=" ",ISNUMBER(VALUE(LEFT(M236,1)))),M236,O235))</f>
        <v/>
      </c>
      <c r="P236" s="36" t="n">
        <f aca="false">IF(AND(M236&lt;&gt;"",ISNUMBER(K236),LEFT(M236,9)&lt;&gt;"Total for",M236&lt;&gt;"Gross Profit",M236&lt;&gt;"Net Operating Revenue",M236&lt;&gt;"Net Other Revenue",M236&lt;&gt;"Net Revenue"),1,0)</f>
        <v>0</v>
      </c>
      <c r="Q236" s="36" t="str">
        <f aca="false">IF(P236=1,IF(AND(LEN(M236)&gt;7,ISNUMBER(VALUE(LEFT(M236,6))),MID(M236,7,1)=" "),LEFT(M236,6),M236),"")</f>
        <v/>
      </c>
      <c r="V236" s="36" t="str">
        <f aca="false">TRIM(S236)</f>
        <v/>
      </c>
      <c r="W236" s="36" t="str">
        <f aca="false">IF(V236="Revenue","Revenue",IF(V236="Cost of Goods Sold","COGS",IF(V236="Expenditures","Expense",IF(V236="Other Revenue","Other Revenue",IF(V236="Other Expenditures","Other Expense",W235)))))</f>
        <v/>
      </c>
      <c r="X236" s="36" t="str">
        <f aca="false">IF(OR(V236="Revenue",V236="Cost of Goods Sold",V236="Expenditures",V236="Other Revenue",V236="Other Expenditures"),W236,IF(AND(LEN(V236)&gt;2,MID(V236,2,1)=" ",ISNUMBER(VALUE(LEFT(V236,1)))),V236,X235))</f>
        <v/>
      </c>
      <c r="Y236" s="36" t="n">
        <f aca="false">IF(AND(V236&lt;&gt;"",ISNUMBER(T236),LEFT(V236,9)&lt;&gt;"Total for",V236&lt;&gt;"Gross Profit",V236&lt;&gt;"Net Operating Revenue",V236&lt;&gt;"Net Other Revenue",V236&lt;&gt;"Net Revenue"),1,0)</f>
        <v>0</v>
      </c>
      <c r="Z236" s="36" t="str">
        <f aca="false">IF(Y236=1,IF(AND(LEN(V236)&gt;7,ISNUMBER(VALUE(LEFT(V236,6))),MID(V236,7,1)=" "),LEFT(V236,6),V236),"")</f>
        <v/>
      </c>
      <c r="AE236" s="36" t="str">
        <f aca="false">TRIM(AB236)</f>
        <v/>
      </c>
      <c r="AF236" s="36" t="str">
        <f aca="false">IF(AE236="Revenue","Revenue",IF(AE236="Cost of Goods Sold","COGS",IF(AE236="Expenditures","Expense",IF(AE236="Other Revenue","Other Revenue",IF(AE236="Other Expenditures","Other Expense",AF235)))))</f>
        <v/>
      </c>
      <c r="AG236" s="36" t="str">
        <f aca="false">IF(OR(AE236="Revenue",AE236="Cost of Goods Sold",AE236="Expenditures",AE236="Other Revenue",AE236="Other Expenditures"),AF236,IF(AND(LEN(AE236)&gt;2,MID(AE236,2,1)=" ",ISNUMBER(VALUE(LEFT(AE236,1)))),AE236,AG235))</f>
        <v/>
      </c>
      <c r="AH236" s="36" t="n">
        <f aca="false">IF(AND(AE236&lt;&gt;"",ISNUMBER(AC236),LEFT(AE236,9)&lt;&gt;"Total for",AE236&lt;&gt;"Gross Profit",AE236&lt;&gt;"Net Operating Revenue",AE236&lt;&gt;"Net Other Revenue",AE236&lt;&gt;"Net Revenue"),1,0)</f>
        <v>0</v>
      </c>
      <c r="AI236" s="36" t="str">
        <f aca="false">IF(AH236=1,IF(AND(LEN(AE236)&gt;7,ISNUMBER(VALUE(LEFT(AE236,6))),MID(AE236,7,1)=" "),LEFT(AE236,6),AE236),"")</f>
        <v/>
      </c>
      <c r="AN236" s="36" t="str">
        <f aca="false">TRIM(AK236)</f>
        <v/>
      </c>
      <c r="AO236" s="36" t="str">
        <f aca="false">IF(AN236="Revenue","Revenue",IF(AN236="Cost of Goods Sold","COGS",IF(AN236="Expenditures","Expense",IF(AN236="Other Revenue","Other Revenue",IF(AN236="Other Expenditures","Other Expense",AO235)))))</f>
        <v/>
      </c>
      <c r="AP236" s="36" t="str">
        <f aca="false">IF(OR(AN236="Revenue",AN236="Cost of Goods Sold",AN236="Expenditures",AN236="Other Revenue",AN236="Other Expenditures"),AO236,IF(AND(LEN(AN236)&gt;2,MID(AN236,2,1)=" ",ISNUMBER(VALUE(LEFT(AN236,1)))),AN236,AP235))</f>
        <v/>
      </c>
      <c r="AQ236" s="36" t="n">
        <f aca="false">IF(AND(AN236&lt;&gt;"",ISNUMBER(AL236),LEFT(AN236,9)&lt;&gt;"Total for",AN236&lt;&gt;"Gross Profit",AN236&lt;&gt;"Net Operating Revenue",AN236&lt;&gt;"Net Other Revenue",AN236&lt;&gt;"Net Revenue"),1,0)</f>
        <v>0</v>
      </c>
      <c r="AR236" s="36" t="str">
        <f aca="false">IF(AQ236=1,IF(AND(LEN(AN236)&gt;7,ISNUMBER(VALUE(LEFT(AN236,6))),MID(AN236,7,1)=" "),LEFT(AN236,6),AN236),"")</f>
        <v/>
      </c>
    </row>
    <row r="237" customFormat="false" ht="15" hidden="false" customHeight="false" outlineLevel="0" collapsed="false">
      <c r="D237" s="36" t="str">
        <f aca="false">TRIM(A237)</f>
        <v/>
      </c>
      <c r="E237" s="36" t="str">
        <f aca="false">IF(D237="Revenue","Revenue",IF(D237="Cost of Goods Sold","COGS",IF(D237="Expenditures","Expense",IF(D237="Other Revenue","Other Revenue",IF(D237="Other Expenditures","Other Expense",E236)))))</f>
        <v/>
      </c>
      <c r="F237" s="36" t="str">
        <f aca="false">IF(OR(D237="Revenue",D237="Cost of Goods Sold",D237="Expenditures",D237="Other Revenue",D237="Other Expenditures"),E237,IF(AND(LEN(D237)&gt;2,MID(D237,2,1)=" ",ISNUMBER(VALUE(LEFT(D237,1)))),D237,F236))</f>
        <v/>
      </c>
      <c r="G237" s="36" t="n">
        <f aca="false">IF(AND(D237&lt;&gt;"",ISNUMBER(B237),LEFT(D237,9)&lt;&gt;"Total for",D237&lt;&gt;"Gross Profit",D237&lt;&gt;"Net Operating Revenue",D237&lt;&gt;"Net Other Revenue",D237&lt;&gt;"Net Revenue"),1,0)</f>
        <v>0</v>
      </c>
      <c r="H237" s="36" t="str">
        <f aca="false">IF(G237=1,IF(AND(LEN(D237)&gt;7,ISNUMBER(VALUE(LEFT(D237,6))),MID(D237,7,1)=" "),LEFT(D237,6),D237),"")</f>
        <v/>
      </c>
      <c r="M237" s="36" t="str">
        <f aca="false">TRIM(J237)</f>
        <v/>
      </c>
      <c r="N237" s="36" t="str">
        <f aca="false">IF(M237="Revenue","Revenue",IF(M237="Cost of Goods Sold","COGS",IF(M237="Expenditures","Expense",IF(M237="Other Revenue","Other Revenue",IF(M237="Other Expenditures","Other Expense",N236)))))</f>
        <v/>
      </c>
      <c r="O237" s="36" t="str">
        <f aca="false">IF(OR(M237="Revenue",M237="Cost of Goods Sold",M237="Expenditures",M237="Other Revenue",M237="Other Expenditures"),N237,IF(AND(LEN(M237)&gt;2,MID(M237,2,1)=" ",ISNUMBER(VALUE(LEFT(M237,1)))),M237,O236))</f>
        <v/>
      </c>
      <c r="P237" s="36" t="n">
        <f aca="false">IF(AND(M237&lt;&gt;"",ISNUMBER(K237),LEFT(M237,9)&lt;&gt;"Total for",M237&lt;&gt;"Gross Profit",M237&lt;&gt;"Net Operating Revenue",M237&lt;&gt;"Net Other Revenue",M237&lt;&gt;"Net Revenue"),1,0)</f>
        <v>0</v>
      </c>
      <c r="Q237" s="36" t="str">
        <f aca="false">IF(P237=1,IF(AND(LEN(M237)&gt;7,ISNUMBER(VALUE(LEFT(M237,6))),MID(M237,7,1)=" "),LEFT(M237,6),M237),"")</f>
        <v/>
      </c>
      <c r="V237" s="36" t="str">
        <f aca="false">TRIM(S237)</f>
        <v/>
      </c>
      <c r="W237" s="36" t="str">
        <f aca="false">IF(V237="Revenue","Revenue",IF(V237="Cost of Goods Sold","COGS",IF(V237="Expenditures","Expense",IF(V237="Other Revenue","Other Revenue",IF(V237="Other Expenditures","Other Expense",W236)))))</f>
        <v/>
      </c>
      <c r="X237" s="36" t="str">
        <f aca="false">IF(OR(V237="Revenue",V237="Cost of Goods Sold",V237="Expenditures",V237="Other Revenue",V237="Other Expenditures"),W237,IF(AND(LEN(V237)&gt;2,MID(V237,2,1)=" ",ISNUMBER(VALUE(LEFT(V237,1)))),V237,X236))</f>
        <v/>
      </c>
      <c r="Y237" s="36" t="n">
        <f aca="false">IF(AND(V237&lt;&gt;"",ISNUMBER(T237),LEFT(V237,9)&lt;&gt;"Total for",V237&lt;&gt;"Gross Profit",V237&lt;&gt;"Net Operating Revenue",V237&lt;&gt;"Net Other Revenue",V237&lt;&gt;"Net Revenue"),1,0)</f>
        <v>0</v>
      </c>
      <c r="Z237" s="36" t="str">
        <f aca="false">IF(Y237=1,IF(AND(LEN(V237)&gt;7,ISNUMBER(VALUE(LEFT(V237,6))),MID(V237,7,1)=" "),LEFT(V237,6),V237),"")</f>
        <v/>
      </c>
      <c r="AE237" s="36" t="str">
        <f aca="false">TRIM(AB237)</f>
        <v/>
      </c>
      <c r="AF237" s="36" t="str">
        <f aca="false">IF(AE237="Revenue","Revenue",IF(AE237="Cost of Goods Sold","COGS",IF(AE237="Expenditures","Expense",IF(AE237="Other Revenue","Other Revenue",IF(AE237="Other Expenditures","Other Expense",AF236)))))</f>
        <v/>
      </c>
      <c r="AG237" s="36" t="str">
        <f aca="false">IF(OR(AE237="Revenue",AE237="Cost of Goods Sold",AE237="Expenditures",AE237="Other Revenue",AE237="Other Expenditures"),AF237,IF(AND(LEN(AE237)&gt;2,MID(AE237,2,1)=" ",ISNUMBER(VALUE(LEFT(AE237,1)))),AE237,AG236))</f>
        <v/>
      </c>
      <c r="AH237" s="36" t="n">
        <f aca="false">IF(AND(AE237&lt;&gt;"",ISNUMBER(AC237),LEFT(AE237,9)&lt;&gt;"Total for",AE237&lt;&gt;"Gross Profit",AE237&lt;&gt;"Net Operating Revenue",AE237&lt;&gt;"Net Other Revenue",AE237&lt;&gt;"Net Revenue"),1,0)</f>
        <v>0</v>
      </c>
      <c r="AI237" s="36" t="str">
        <f aca="false">IF(AH237=1,IF(AND(LEN(AE237)&gt;7,ISNUMBER(VALUE(LEFT(AE237,6))),MID(AE237,7,1)=" "),LEFT(AE237,6),AE237),"")</f>
        <v/>
      </c>
      <c r="AN237" s="36" t="str">
        <f aca="false">TRIM(AK237)</f>
        <v/>
      </c>
      <c r="AO237" s="36" t="str">
        <f aca="false">IF(AN237="Revenue","Revenue",IF(AN237="Cost of Goods Sold","COGS",IF(AN237="Expenditures","Expense",IF(AN237="Other Revenue","Other Revenue",IF(AN237="Other Expenditures","Other Expense",AO236)))))</f>
        <v/>
      </c>
      <c r="AP237" s="36" t="str">
        <f aca="false">IF(OR(AN237="Revenue",AN237="Cost of Goods Sold",AN237="Expenditures",AN237="Other Revenue",AN237="Other Expenditures"),AO237,IF(AND(LEN(AN237)&gt;2,MID(AN237,2,1)=" ",ISNUMBER(VALUE(LEFT(AN237,1)))),AN237,AP236))</f>
        <v/>
      </c>
      <c r="AQ237" s="36" t="n">
        <f aca="false">IF(AND(AN237&lt;&gt;"",ISNUMBER(AL237),LEFT(AN237,9)&lt;&gt;"Total for",AN237&lt;&gt;"Gross Profit",AN237&lt;&gt;"Net Operating Revenue",AN237&lt;&gt;"Net Other Revenue",AN237&lt;&gt;"Net Revenue"),1,0)</f>
        <v>0</v>
      </c>
      <c r="AR237" s="36" t="str">
        <f aca="false">IF(AQ237=1,IF(AND(LEN(AN237)&gt;7,ISNUMBER(VALUE(LEFT(AN237,6))),MID(AN237,7,1)=" "),LEFT(AN237,6),AN237),"")</f>
        <v/>
      </c>
    </row>
    <row r="238" customFormat="false" ht="15" hidden="false" customHeight="false" outlineLevel="0" collapsed="false">
      <c r="D238" s="36" t="str">
        <f aca="false">TRIM(A238)</f>
        <v/>
      </c>
      <c r="E238" s="36" t="str">
        <f aca="false">IF(D238="Revenue","Revenue",IF(D238="Cost of Goods Sold","COGS",IF(D238="Expenditures","Expense",IF(D238="Other Revenue","Other Revenue",IF(D238="Other Expenditures","Other Expense",E237)))))</f>
        <v/>
      </c>
      <c r="F238" s="36" t="str">
        <f aca="false">IF(OR(D238="Revenue",D238="Cost of Goods Sold",D238="Expenditures",D238="Other Revenue",D238="Other Expenditures"),E238,IF(AND(LEN(D238)&gt;2,MID(D238,2,1)=" ",ISNUMBER(VALUE(LEFT(D238,1)))),D238,F237))</f>
        <v/>
      </c>
      <c r="G238" s="36" t="n">
        <f aca="false">IF(AND(D238&lt;&gt;"",ISNUMBER(B238),LEFT(D238,9)&lt;&gt;"Total for",D238&lt;&gt;"Gross Profit",D238&lt;&gt;"Net Operating Revenue",D238&lt;&gt;"Net Other Revenue",D238&lt;&gt;"Net Revenue"),1,0)</f>
        <v>0</v>
      </c>
      <c r="H238" s="36" t="str">
        <f aca="false">IF(G238=1,IF(AND(LEN(D238)&gt;7,ISNUMBER(VALUE(LEFT(D238,6))),MID(D238,7,1)=" "),LEFT(D238,6),D238),"")</f>
        <v/>
      </c>
      <c r="M238" s="36" t="str">
        <f aca="false">TRIM(J238)</f>
        <v/>
      </c>
      <c r="N238" s="36" t="str">
        <f aca="false">IF(M238="Revenue","Revenue",IF(M238="Cost of Goods Sold","COGS",IF(M238="Expenditures","Expense",IF(M238="Other Revenue","Other Revenue",IF(M238="Other Expenditures","Other Expense",N237)))))</f>
        <v/>
      </c>
      <c r="O238" s="36" t="str">
        <f aca="false">IF(OR(M238="Revenue",M238="Cost of Goods Sold",M238="Expenditures",M238="Other Revenue",M238="Other Expenditures"),N238,IF(AND(LEN(M238)&gt;2,MID(M238,2,1)=" ",ISNUMBER(VALUE(LEFT(M238,1)))),M238,O237))</f>
        <v/>
      </c>
      <c r="P238" s="36" t="n">
        <f aca="false">IF(AND(M238&lt;&gt;"",ISNUMBER(K238),LEFT(M238,9)&lt;&gt;"Total for",M238&lt;&gt;"Gross Profit",M238&lt;&gt;"Net Operating Revenue",M238&lt;&gt;"Net Other Revenue",M238&lt;&gt;"Net Revenue"),1,0)</f>
        <v>0</v>
      </c>
      <c r="Q238" s="36" t="str">
        <f aca="false">IF(P238=1,IF(AND(LEN(M238)&gt;7,ISNUMBER(VALUE(LEFT(M238,6))),MID(M238,7,1)=" "),LEFT(M238,6),M238),"")</f>
        <v/>
      </c>
      <c r="V238" s="36" t="str">
        <f aca="false">TRIM(S238)</f>
        <v/>
      </c>
      <c r="W238" s="36" t="str">
        <f aca="false">IF(V238="Revenue","Revenue",IF(V238="Cost of Goods Sold","COGS",IF(V238="Expenditures","Expense",IF(V238="Other Revenue","Other Revenue",IF(V238="Other Expenditures","Other Expense",W237)))))</f>
        <v/>
      </c>
      <c r="X238" s="36" t="str">
        <f aca="false">IF(OR(V238="Revenue",V238="Cost of Goods Sold",V238="Expenditures",V238="Other Revenue",V238="Other Expenditures"),W238,IF(AND(LEN(V238)&gt;2,MID(V238,2,1)=" ",ISNUMBER(VALUE(LEFT(V238,1)))),V238,X237))</f>
        <v/>
      </c>
      <c r="Y238" s="36" t="n">
        <f aca="false">IF(AND(V238&lt;&gt;"",ISNUMBER(T238),LEFT(V238,9)&lt;&gt;"Total for",V238&lt;&gt;"Gross Profit",V238&lt;&gt;"Net Operating Revenue",V238&lt;&gt;"Net Other Revenue",V238&lt;&gt;"Net Revenue"),1,0)</f>
        <v>0</v>
      </c>
      <c r="Z238" s="36" t="str">
        <f aca="false">IF(Y238=1,IF(AND(LEN(V238)&gt;7,ISNUMBER(VALUE(LEFT(V238,6))),MID(V238,7,1)=" "),LEFT(V238,6),V238),"")</f>
        <v/>
      </c>
      <c r="AE238" s="36" t="str">
        <f aca="false">TRIM(AB238)</f>
        <v/>
      </c>
      <c r="AF238" s="36" t="str">
        <f aca="false">IF(AE238="Revenue","Revenue",IF(AE238="Cost of Goods Sold","COGS",IF(AE238="Expenditures","Expense",IF(AE238="Other Revenue","Other Revenue",IF(AE238="Other Expenditures","Other Expense",AF237)))))</f>
        <v/>
      </c>
      <c r="AG238" s="36" t="str">
        <f aca="false">IF(OR(AE238="Revenue",AE238="Cost of Goods Sold",AE238="Expenditures",AE238="Other Revenue",AE238="Other Expenditures"),AF238,IF(AND(LEN(AE238)&gt;2,MID(AE238,2,1)=" ",ISNUMBER(VALUE(LEFT(AE238,1)))),AE238,AG237))</f>
        <v/>
      </c>
      <c r="AH238" s="36" t="n">
        <f aca="false">IF(AND(AE238&lt;&gt;"",ISNUMBER(AC238),LEFT(AE238,9)&lt;&gt;"Total for",AE238&lt;&gt;"Gross Profit",AE238&lt;&gt;"Net Operating Revenue",AE238&lt;&gt;"Net Other Revenue",AE238&lt;&gt;"Net Revenue"),1,0)</f>
        <v>0</v>
      </c>
      <c r="AI238" s="36" t="str">
        <f aca="false">IF(AH238=1,IF(AND(LEN(AE238)&gt;7,ISNUMBER(VALUE(LEFT(AE238,6))),MID(AE238,7,1)=" "),LEFT(AE238,6),AE238),"")</f>
        <v/>
      </c>
      <c r="AN238" s="36" t="str">
        <f aca="false">TRIM(AK238)</f>
        <v/>
      </c>
      <c r="AO238" s="36" t="str">
        <f aca="false">IF(AN238="Revenue","Revenue",IF(AN238="Cost of Goods Sold","COGS",IF(AN238="Expenditures","Expense",IF(AN238="Other Revenue","Other Revenue",IF(AN238="Other Expenditures","Other Expense",AO237)))))</f>
        <v/>
      </c>
      <c r="AP238" s="36" t="str">
        <f aca="false">IF(OR(AN238="Revenue",AN238="Cost of Goods Sold",AN238="Expenditures",AN238="Other Revenue",AN238="Other Expenditures"),AO238,IF(AND(LEN(AN238)&gt;2,MID(AN238,2,1)=" ",ISNUMBER(VALUE(LEFT(AN238,1)))),AN238,AP237))</f>
        <v/>
      </c>
      <c r="AQ238" s="36" t="n">
        <f aca="false">IF(AND(AN238&lt;&gt;"",ISNUMBER(AL238),LEFT(AN238,9)&lt;&gt;"Total for",AN238&lt;&gt;"Gross Profit",AN238&lt;&gt;"Net Operating Revenue",AN238&lt;&gt;"Net Other Revenue",AN238&lt;&gt;"Net Revenue"),1,0)</f>
        <v>0</v>
      </c>
      <c r="AR238" s="36" t="str">
        <f aca="false">IF(AQ238=1,IF(AND(LEN(AN238)&gt;7,ISNUMBER(VALUE(LEFT(AN238,6))),MID(AN238,7,1)=" "),LEFT(AN238,6),AN238),"")</f>
        <v/>
      </c>
    </row>
    <row r="239" customFormat="false" ht="15" hidden="false" customHeight="false" outlineLevel="0" collapsed="false">
      <c r="D239" s="36" t="str">
        <f aca="false">TRIM(A239)</f>
        <v/>
      </c>
      <c r="E239" s="36" t="str">
        <f aca="false">IF(D239="Revenue","Revenue",IF(D239="Cost of Goods Sold","COGS",IF(D239="Expenditures","Expense",IF(D239="Other Revenue","Other Revenue",IF(D239="Other Expenditures","Other Expense",E238)))))</f>
        <v/>
      </c>
      <c r="F239" s="36" t="str">
        <f aca="false">IF(OR(D239="Revenue",D239="Cost of Goods Sold",D239="Expenditures",D239="Other Revenue",D239="Other Expenditures"),E239,IF(AND(LEN(D239)&gt;2,MID(D239,2,1)=" ",ISNUMBER(VALUE(LEFT(D239,1)))),D239,F238))</f>
        <v/>
      </c>
      <c r="G239" s="36" t="n">
        <f aca="false">IF(AND(D239&lt;&gt;"",ISNUMBER(B239),LEFT(D239,9)&lt;&gt;"Total for",D239&lt;&gt;"Gross Profit",D239&lt;&gt;"Net Operating Revenue",D239&lt;&gt;"Net Other Revenue",D239&lt;&gt;"Net Revenue"),1,0)</f>
        <v>0</v>
      </c>
      <c r="H239" s="36" t="str">
        <f aca="false">IF(G239=1,IF(AND(LEN(D239)&gt;7,ISNUMBER(VALUE(LEFT(D239,6))),MID(D239,7,1)=" "),LEFT(D239,6),D239),"")</f>
        <v/>
      </c>
      <c r="M239" s="36" t="str">
        <f aca="false">TRIM(J239)</f>
        <v/>
      </c>
      <c r="N239" s="36" t="str">
        <f aca="false">IF(M239="Revenue","Revenue",IF(M239="Cost of Goods Sold","COGS",IF(M239="Expenditures","Expense",IF(M239="Other Revenue","Other Revenue",IF(M239="Other Expenditures","Other Expense",N238)))))</f>
        <v/>
      </c>
      <c r="O239" s="36" t="str">
        <f aca="false">IF(OR(M239="Revenue",M239="Cost of Goods Sold",M239="Expenditures",M239="Other Revenue",M239="Other Expenditures"),N239,IF(AND(LEN(M239)&gt;2,MID(M239,2,1)=" ",ISNUMBER(VALUE(LEFT(M239,1)))),M239,O238))</f>
        <v/>
      </c>
      <c r="P239" s="36" t="n">
        <f aca="false">IF(AND(M239&lt;&gt;"",ISNUMBER(K239),LEFT(M239,9)&lt;&gt;"Total for",M239&lt;&gt;"Gross Profit",M239&lt;&gt;"Net Operating Revenue",M239&lt;&gt;"Net Other Revenue",M239&lt;&gt;"Net Revenue"),1,0)</f>
        <v>0</v>
      </c>
      <c r="Q239" s="36" t="str">
        <f aca="false">IF(P239=1,IF(AND(LEN(M239)&gt;7,ISNUMBER(VALUE(LEFT(M239,6))),MID(M239,7,1)=" "),LEFT(M239,6),M239),"")</f>
        <v/>
      </c>
      <c r="V239" s="36" t="str">
        <f aca="false">TRIM(S239)</f>
        <v/>
      </c>
      <c r="W239" s="36" t="str">
        <f aca="false">IF(V239="Revenue","Revenue",IF(V239="Cost of Goods Sold","COGS",IF(V239="Expenditures","Expense",IF(V239="Other Revenue","Other Revenue",IF(V239="Other Expenditures","Other Expense",W238)))))</f>
        <v/>
      </c>
      <c r="X239" s="36" t="str">
        <f aca="false">IF(OR(V239="Revenue",V239="Cost of Goods Sold",V239="Expenditures",V239="Other Revenue",V239="Other Expenditures"),W239,IF(AND(LEN(V239)&gt;2,MID(V239,2,1)=" ",ISNUMBER(VALUE(LEFT(V239,1)))),V239,X238))</f>
        <v/>
      </c>
      <c r="Y239" s="36" t="n">
        <f aca="false">IF(AND(V239&lt;&gt;"",ISNUMBER(T239),LEFT(V239,9)&lt;&gt;"Total for",V239&lt;&gt;"Gross Profit",V239&lt;&gt;"Net Operating Revenue",V239&lt;&gt;"Net Other Revenue",V239&lt;&gt;"Net Revenue"),1,0)</f>
        <v>0</v>
      </c>
      <c r="Z239" s="36" t="str">
        <f aca="false">IF(Y239=1,IF(AND(LEN(V239)&gt;7,ISNUMBER(VALUE(LEFT(V239,6))),MID(V239,7,1)=" "),LEFT(V239,6),V239),"")</f>
        <v/>
      </c>
      <c r="AE239" s="36" t="str">
        <f aca="false">TRIM(AB239)</f>
        <v/>
      </c>
      <c r="AF239" s="36" t="str">
        <f aca="false">IF(AE239="Revenue","Revenue",IF(AE239="Cost of Goods Sold","COGS",IF(AE239="Expenditures","Expense",IF(AE239="Other Revenue","Other Revenue",IF(AE239="Other Expenditures","Other Expense",AF238)))))</f>
        <v/>
      </c>
      <c r="AG239" s="36" t="str">
        <f aca="false">IF(OR(AE239="Revenue",AE239="Cost of Goods Sold",AE239="Expenditures",AE239="Other Revenue",AE239="Other Expenditures"),AF239,IF(AND(LEN(AE239)&gt;2,MID(AE239,2,1)=" ",ISNUMBER(VALUE(LEFT(AE239,1)))),AE239,AG238))</f>
        <v/>
      </c>
      <c r="AH239" s="36" t="n">
        <f aca="false">IF(AND(AE239&lt;&gt;"",ISNUMBER(AC239),LEFT(AE239,9)&lt;&gt;"Total for",AE239&lt;&gt;"Gross Profit",AE239&lt;&gt;"Net Operating Revenue",AE239&lt;&gt;"Net Other Revenue",AE239&lt;&gt;"Net Revenue"),1,0)</f>
        <v>0</v>
      </c>
      <c r="AI239" s="36" t="str">
        <f aca="false">IF(AH239=1,IF(AND(LEN(AE239)&gt;7,ISNUMBER(VALUE(LEFT(AE239,6))),MID(AE239,7,1)=" "),LEFT(AE239,6),AE239),"")</f>
        <v/>
      </c>
      <c r="AN239" s="36" t="str">
        <f aca="false">TRIM(AK239)</f>
        <v/>
      </c>
      <c r="AO239" s="36" t="str">
        <f aca="false">IF(AN239="Revenue","Revenue",IF(AN239="Cost of Goods Sold","COGS",IF(AN239="Expenditures","Expense",IF(AN239="Other Revenue","Other Revenue",IF(AN239="Other Expenditures","Other Expense",AO238)))))</f>
        <v/>
      </c>
      <c r="AP239" s="36" t="str">
        <f aca="false">IF(OR(AN239="Revenue",AN239="Cost of Goods Sold",AN239="Expenditures",AN239="Other Revenue",AN239="Other Expenditures"),AO239,IF(AND(LEN(AN239)&gt;2,MID(AN239,2,1)=" ",ISNUMBER(VALUE(LEFT(AN239,1)))),AN239,AP238))</f>
        <v/>
      </c>
      <c r="AQ239" s="36" t="n">
        <f aca="false">IF(AND(AN239&lt;&gt;"",ISNUMBER(AL239),LEFT(AN239,9)&lt;&gt;"Total for",AN239&lt;&gt;"Gross Profit",AN239&lt;&gt;"Net Operating Revenue",AN239&lt;&gt;"Net Other Revenue",AN239&lt;&gt;"Net Revenue"),1,0)</f>
        <v>0</v>
      </c>
      <c r="AR239" s="36" t="str">
        <f aca="false">IF(AQ239=1,IF(AND(LEN(AN239)&gt;7,ISNUMBER(VALUE(LEFT(AN239,6))),MID(AN239,7,1)=" "),LEFT(AN239,6),AN239),"")</f>
        <v/>
      </c>
    </row>
    <row r="240" customFormat="false" ht="15" hidden="false" customHeight="false" outlineLevel="0" collapsed="false">
      <c r="D240" s="36" t="str">
        <f aca="false">TRIM(A240)</f>
        <v/>
      </c>
      <c r="E240" s="36" t="str">
        <f aca="false">IF(D240="Revenue","Revenue",IF(D240="Cost of Goods Sold","COGS",IF(D240="Expenditures","Expense",IF(D240="Other Revenue","Other Revenue",IF(D240="Other Expenditures","Other Expense",E239)))))</f>
        <v/>
      </c>
      <c r="F240" s="36" t="str">
        <f aca="false">IF(OR(D240="Revenue",D240="Cost of Goods Sold",D240="Expenditures",D240="Other Revenue",D240="Other Expenditures"),E240,IF(AND(LEN(D240)&gt;2,MID(D240,2,1)=" ",ISNUMBER(VALUE(LEFT(D240,1)))),D240,F239))</f>
        <v/>
      </c>
      <c r="G240" s="36" t="n">
        <f aca="false">IF(AND(D240&lt;&gt;"",ISNUMBER(B240),LEFT(D240,9)&lt;&gt;"Total for",D240&lt;&gt;"Gross Profit",D240&lt;&gt;"Net Operating Revenue",D240&lt;&gt;"Net Other Revenue",D240&lt;&gt;"Net Revenue"),1,0)</f>
        <v>0</v>
      </c>
      <c r="H240" s="36" t="str">
        <f aca="false">IF(G240=1,IF(AND(LEN(D240)&gt;7,ISNUMBER(VALUE(LEFT(D240,6))),MID(D240,7,1)=" "),LEFT(D240,6),D240),"")</f>
        <v/>
      </c>
      <c r="M240" s="36" t="str">
        <f aca="false">TRIM(J240)</f>
        <v/>
      </c>
      <c r="N240" s="36" t="str">
        <f aca="false">IF(M240="Revenue","Revenue",IF(M240="Cost of Goods Sold","COGS",IF(M240="Expenditures","Expense",IF(M240="Other Revenue","Other Revenue",IF(M240="Other Expenditures","Other Expense",N239)))))</f>
        <v/>
      </c>
      <c r="O240" s="36" t="str">
        <f aca="false">IF(OR(M240="Revenue",M240="Cost of Goods Sold",M240="Expenditures",M240="Other Revenue",M240="Other Expenditures"),N240,IF(AND(LEN(M240)&gt;2,MID(M240,2,1)=" ",ISNUMBER(VALUE(LEFT(M240,1)))),M240,O239))</f>
        <v/>
      </c>
      <c r="P240" s="36" t="n">
        <f aca="false">IF(AND(M240&lt;&gt;"",ISNUMBER(K240),LEFT(M240,9)&lt;&gt;"Total for",M240&lt;&gt;"Gross Profit",M240&lt;&gt;"Net Operating Revenue",M240&lt;&gt;"Net Other Revenue",M240&lt;&gt;"Net Revenue"),1,0)</f>
        <v>0</v>
      </c>
      <c r="Q240" s="36" t="str">
        <f aca="false">IF(P240=1,IF(AND(LEN(M240)&gt;7,ISNUMBER(VALUE(LEFT(M240,6))),MID(M240,7,1)=" "),LEFT(M240,6),M240),"")</f>
        <v/>
      </c>
      <c r="V240" s="36" t="str">
        <f aca="false">TRIM(S240)</f>
        <v/>
      </c>
      <c r="W240" s="36" t="str">
        <f aca="false">IF(V240="Revenue","Revenue",IF(V240="Cost of Goods Sold","COGS",IF(V240="Expenditures","Expense",IF(V240="Other Revenue","Other Revenue",IF(V240="Other Expenditures","Other Expense",W239)))))</f>
        <v/>
      </c>
      <c r="X240" s="36" t="str">
        <f aca="false">IF(OR(V240="Revenue",V240="Cost of Goods Sold",V240="Expenditures",V240="Other Revenue",V240="Other Expenditures"),W240,IF(AND(LEN(V240)&gt;2,MID(V240,2,1)=" ",ISNUMBER(VALUE(LEFT(V240,1)))),V240,X239))</f>
        <v/>
      </c>
      <c r="Y240" s="36" t="n">
        <f aca="false">IF(AND(V240&lt;&gt;"",ISNUMBER(T240),LEFT(V240,9)&lt;&gt;"Total for",V240&lt;&gt;"Gross Profit",V240&lt;&gt;"Net Operating Revenue",V240&lt;&gt;"Net Other Revenue",V240&lt;&gt;"Net Revenue"),1,0)</f>
        <v>0</v>
      </c>
      <c r="Z240" s="36" t="str">
        <f aca="false">IF(Y240=1,IF(AND(LEN(V240)&gt;7,ISNUMBER(VALUE(LEFT(V240,6))),MID(V240,7,1)=" "),LEFT(V240,6),V240),"")</f>
        <v/>
      </c>
      <c r="AE240" s="36" t="str">
        <f aca="false">TRIM(AB240)</f>
        <v/>
      </c>
      <c r="AF240" s="36" t="str">
        <f aca="false">IF(AE240="Revenue","Revenue",IF(AE240="Cost of Goods Sold","COGS",IF(AE240="Expenditures","Expense",IF(AE240="Other Revenue","Other Revenue",IF(AE240="Other Expenditures","Other Expense",AF239)))))</f>
        <v/>
      </c>
      <c r="AG240" s="36" t="str">
        <f aca="false">IF(OR(AE240="Revenue",AE240="Cost of Goods Sold",AE240="Expenditures",AE240="Other Revenue",AE240="Other Expenditures"),AF240,IF(AND(LEN(AE240)&gt;2,MID(AE240,2,1)=" ",ISNUMBER(VALUE(LEFT(AE240,1)))),AE240,AG239))</f>
        <v/>
      </c>
      <c r="AH240" s="36" t="n">
        <f aca="false">IF(AND(AE240&lt;&gt;"",ISNUMBER(AC240),LEFT(AE240,9)&lt;&gt;"Total for",AE240&lt;&gt;"Gross Profit",AE240&lt;&gt;"Net Operating Revenue",AE240&lt;&gt;"Net Other Revenue",AE240&lt;&gt;"Net Revenue"),1,0)</f>
        <v>0</v>
      </c>
      <c r="AI240" s="36" t="str">
        <f aca="false">IF(AH240=1,IF(AND(LEN(AE240)&gt;7,ISNUMBER(VALUE(LEFT(AE240,6))),MID(AE240,7,1)=" "),LEFT(AE240,6),AE240),"")</f>
        <v/>
      </c>
      <c r="AN240" s="36" t="str">
        <f aca="false">TRIM(AK240)</f>
        <v/>
      </c>
      <c r="AO240" s="36" t="str">
        <f aca="false">IF(AN240="Revenue","Revenue",IF(AN240="Cost of Goods Sold","COGS",IF(AN240="Expenditures","Expense",IF(AN240="Other Revenue","Other Revenue",IF(AN240="Other Expenditures","Other Expense",AO239)))))</f>
        <v/>
      </c>
      <c r="AP240" s="36" t="str">
        <f aca="false">IF(OR(AN240="Revenue",AN240="Cost of Goods Sold",AN240="Expenditures",AN240="Other Revenue",AN240="Other Expenditures"),AO240,IF(AND(LEN(AN240)&gt;2,MID(AN240,2,1)=" ",ISNUMBER(VALUE(LEFT(AN240,1)))),AN240,AP239))</f>
        <v/>
      </c>
      <c r="AQ240" s="36" t="n">
        <f aca="false">IF(AND(AN240&lt;&gt;"",ISNUMBER(AL240),LEFT(AN240,9)&lt;&gt;"Total for",AN240&lt;&gt;"Gross Profit",AN240&lt;&gt;"Net Operating Revenue",AN240&lt;&gt;"Net Other Revenue",AN240&lt;&gt;"Net Revenue"),1,0)</f>
        <v>0</v>
      </c>
      <c r="AR240" s="36" t="str">
        <f aca="false">IF(AQ240=1,IF(AND(LEN(AN240)&gt;7,ISNUMBER(VALUE(LEFT(AN240,6))),MID(AN240,7,1)=" "),LEFT(AN240,6),AN240),"")</f>
        <v/>
      </c>
    </row>
    <row r="241" customFormat="false" ht="15" hidden="false" customHeight="false" outlineLevel="0" collapsed="false">
      <c r="D241" s="36" t="str">
        <f aca="false">TRIM(A241)</f>
        <v/>
      </c>
      <c r="E241" s="36" t="str">
        <f aca="false">IF(D241="Revenue","Revenue",IF(D241="Cost of Goods Sold","COGS",IF(D241="Expenditures","Expense",IF(D241="Other Revenue","Other Revenue",IF(D241="Other Expenditures","Other Expense",E240)))))</f>
        <v/>
      </c>
      <c r="F241" s="36" t="str">
        <f aca="false">IF(OR(D241="Revenue",D241="Cost of Goods Sold",D241="Expenditures",D241="Other Revenue",D241="Other Expenditures"),E241,IF(AND(LEN(D241)&gt;2,MID(D241,2,1)=" ",ISNUMBER(VALUE(LEFT(D241,1)))),D241,F240))</f>
        <v/>
      </c>
      <c r="G241" s="36" t="n">
        <f aca="false">IF(AND(D241&lt;&gt;"",ISNUMBER(B241),LEFT(D241,9)&lt;&gt;"Total for",D241&lt;&gt;"Gross Profit",D241&lt;&gt;"Net Operating Revenue",D241&lt;&gt;"Net Other Revenue",D241&lt;&gt;"Net Revenue"),1,0)</f>
        <v>0</v>
      </c>
      <c r="H241" s="36" t="str">
        <f aca="false">IF(G241=1,IF(AND(LEN(D241)&gt;7,ISNUMBER(VALUE(LEFT(D241,6))),MID(D241,7,1)=" "),LEFT(D241,6),D241),"")</f>
        <v/>
      </c>
      <c r="M241" s="36" t="str">
        <f aca="false">TRIM(J241)</f>
        <v/>
      </c>
      <c r="N241" s="36" t="str">
        <f aca="false">IF(M241="Revenue","Revenue",IF(M241="Cost of Goods Sold","COGS",IF(M241="Expenditures","Expense",IF(M241="Other Revenue","Other Revenue",IF(M241="Other Expenditures","Other Expense",N240)))))</f>
        <v/>
      </c>
      <c r="O241" s="36" t="str">
        <f aca="false">IF(OR(M241="Revenue",M241="Cost of Goods Sold",M241="Expenditures",M241="Other Revenue",M241="Other Expenditures"),N241,IF(AND(LEN(M241)&gt;2,MID(M241,2,1)=" ",ISNUMBER(VALUE(LEFT(M241,1)))),M241,O240))</f>
        <v/>
      </c>
      <c r="P241" s="36" t="n">
        <f aca="false">IF(AND(M241&lt;&gt;"",ISNUMBER(K241),LEFT(M241,9)&lt;&gt;"Total for",M241&lt;&gt;"Gross Profit",M241&lt;&gt;"Net Operating Revenue",M241&lt;&gt;"Net Other Revenue",M241&lt;&gt;"Net Revenue"),1,0)</f>
        <v>0</v>
      </c>
      <c r="Q241" s="36" t="str">
        <f aca="false">IF(P241=1,IF(AND(LEN(M241)&gt;7,ISNUMBER(VALUE(LEFT(M241,6))),MID(M241,7,1)=" "),LEFT(M241,6),M241),"")</f>
        <v/>
      </c>
      <c r="V241" s="36" t="str">
        <f aca="false">TRIM(S241)</f>
        <v/>
      </c>
      <c r="W241" s="36" t="str">
        <f aca="false">IF(V241="Revenue","Revenue",IF(V241="Cost of Goods Sold","COGS",IF(V241="Expenditures","Expense",IF(V241="Other Revenue","Other Revenue",IF(V241="Other Expenditures","Other Expense",W240)))))</f>
        <v/>
      </c>
      <c r="X241" s="36" t="str">
        <f aca="false">IF(OR(V241="Revenue",V241="Cost of Goods Sold",V241="Expenditures",V241="Other Revenue",V241="Other Expenditures"),W241,IF(AND(LEN(V241)&gt;2,MID(V241,2,1)=" ",ISNUMBER(VALUE(LEFT(V241,1)))),V241,X240))</f>
        <v/>
      </c>
      <c r="Y241" s="36" t="n">
        <f aca="false">IF(AND(V241&lt;&gt;"",ISNUMBER(T241),LEFT(V241,9)&lt;&gt;"Total for",V241&lt;&gt;"Gross Profit",V241&lt;&gt;"Net Operating Revenue",V241&lt;&gt;"Net Other Revenue",V241&lt;&gt;"Net Revenue"),1,0)</f>
        <v>0</v>
      </c>
      <c r="Z241" s="36" t="str">
        <f aca="false">IF(Y241=1,IF(AND(LEN(V241)&gt;7,ISNUMBER(VALUE(LEFT(V241,6))),MID(V241,7,1)=" "),LEFT(V241,6),V241),"")</f>
        <v/>
      </c>
      <c r="AE241" s="36" t="str">
        <f aca="false">TRIM(AB241)</f>
        <v/>
      </c>
      <c r="AF241" s="36" t="str">
        <f aca="false">IF(AE241="Revenue","Revenue",IF(AE241="Cost of Goods Sold","COGS",IF(AE241="Expenditures","Expense",IF(AE241="Other Revenue","Other Revenue",IF(AE241="Other Expenditures","Other Expense",AF240)))))</f>
        <v/>
      </c>
      <c r="AG241" s="36" t="str">
        <f aca="false">IF(OR(AE241="Revenue",AE241="Cost of Goods Sold",AE241="Expenditures",AE241="Other Revenue",AE241="Other Expenditures"),AF241,IF(AND(LEN(AE241)&gt;2,MID(AE241,2,1)=" ",ISNUMBER(VALUE(LEFT(AE241,1)))),AE241,AG240))</f>
        <v/>
      </c>
      <c r="AH241" s="36" t="n">
        <f aca="false">IF(AND(AE241&lt;&gt;"",ISNUMBER(AC241),LEFT(AE241,9)&lt;&gt;"Total for",AE241&lt;&gt;"Gross Profit",AE241&lt;&gt;"Net Operating Revenue",AE241&lt;&gt;"Net Other Revenue",AE241&lt;&gt;"Net Revenue"),1,0)</f>
        <v>0</v>
      </c>
      <c r="AI241" s="36" t="str">
        <f aca="false">IF(AH241=1,IF(AND(LEN(AE241)&gt;7,ISNUMBER(VALUE(LEFT(AE241,6))),MID(AE241,7,1)=" "),LEFT(AE241,6),AE241),"")</f>
        <v/>
      </c>
      <c r="AN241" s="36" t="str">
        <f aca="false">TRIM(AK241)</f>
        <v/>
      </c>
      <c r="AO241" s="36" t="str">
        <f aca="false">IF(AN241="Revenue","Revenue",IF(AN241="Cost of Goods Sold","COGS",IF(AN241="Expenditures","Expense",IF(AN241="Other Revenue","Other Revenue",IF(AN241="Other Expenditures","Other Expense",AO240)))))</f>
        <v/>
      </c>
      <c r="AP241" s="36" t="str">
        <f aca="false">IF(OR(AN241="Revenue",AN241="Cost of Goods Sold",AN241="Expenditures",AN241="Other Revenue",AN241="Other Expenditures"),AO241,IF(AND(LEN(AN241)&gt;2,MID(AN241,2,1)=" ",ISNUMBER(VALUE(LEFT(AN241,1)))),AN241,AP240))</f>
        <v/>
      </c>
      <c r="AQ241" s="36" t="n">
        <f aca="false">IF(AND(AN241&lt;&gt;"",ISNUMBER(AL241),LEFT(AN241,9)&lt;&gt;"Total for",AN241&lt;&gt;"Gross Profit",AN241&lt;&gt;"Net Operating Revenue",AN241&lt;&gt;"Net Other Revenue",AN241&lt;&gt;"Net Revenue"),1,0)</f>
        <v>0</v>
      </c>
      <c r="AR241" s="36" t="str">
        <f aca="false">IF(AQ241=1,IF(AND(LEN(AN241)&gt;7,ISNUMBER(VALUE(LEFT(AN241,6))),MID(AN241,7,1)=" "),LEFT(AN241,6),AN241),"")</f>
        <v/>
      </c>
    </row>
    <row r="242" customFormat="false" ht="15" hidden="false" customHeight="false" outlineLevel="0" collapsed="false">
      <c r="D242" s="36" t="str">
        <f aca="false">TRIM(A242)</f>
        <v/>
      </c>
      <c r="E242" s="36" t="str">
        <f aca="false">IF(D242="Revenue","Revenue",IF(D242="Cost of Goods Sold","COGS",IF(D242="Expenditures","Expense",IF(D242="Other Revenue","Other Revenue",IF(D242="Other Expenditures","Other Expense",E241)))))</f>
        <v/>
      </c>
      <c r="F242" s="36" t="str">
        <f aca="false">IF(OR(D242="Revenue",D242="Cost of Goods Sold",D242="Expenditures",D242="Other Revenue",D242="Other Expenditures"),E242,IF(AND(LEN(D242)&gt;2,MID(D242,2,1)=" ",ISNUMBER(VALUE(LEFT(D242,1)))),D242,F241))</f>
        <v/>
      </c>
      <c r="G242" s="36" t="n">
        <f aca="false">IF(AND(D242&lt;&gt;"",ISNUMBER(B242),LEFT(D242,9)&lt;&gt;"Total for",D242&lt;&gt;"Gross Profit",D242&lt;&gt;"Net Operating Revenue",D242&lt;&gt;"Net Other Revenue",D242&lt;&gt;"Net Revenue"),1,0)</f>
        <v>0</v>
      </c>
      <c r="H242" s="36" t="str">
        <f aca="false">IF(G242=1,IF(AND(LEN(D242)&gt;7,ISNUMBER(VALUE(LEFT(D242,6))),MID(D242,7,1)=" "),LEFT(D242,6),D242),"")</f>
        <v/>
      </c>
      <c r="M242" s="36" t="str">
        <f aca="false">TRIM(J242)</f>
        <v/>
      </c>
      <c r="N242" s="36" t="str">
        <f aca="false">IF(M242="Revenue","Revenue",IF(M242="Cost of Goods Sold","COGS",IF(M242="Expenditures","Expense",IF(M242="Other Revenue","Other Revenue",IF(M242="Other Expenditures","Other Expense",N241)))))</f>
        <v/>
      </c>
      <c r="O242" s="36" t="str">
        <f aca="false">IF(OR(M242="Revenue",M242="Cost of Goods Sold",M242="Expenditures",M242="Other Revenue",M242="Other Expenditures"),N242,IF(AND(LEN(M242)&gt;2,MID(M242,2,1)=" ",ISNUMBER(VALUE(LEFT(M242,1)))),M242,O241))</f>
        <v/>
      </c>
      <c r="P242" s="36" t="n">
        <f aca="false">IF(AND(M242&lt;&gt;"",ISNUMBER(K242),LEFT(M242,9)&lt;&gt;"Total for",M242&lt;&gt;"Gross Profit",M242&lt;&gt;"Net Operating Revenue",M242&lt;&gt;"Net Other Revenue",M242&lt;&gt;"Net Revenue"),1,0)</f>
        <v>0</v>
      </c>
      <c r="Q242" s="36" t="str">
        <f aca="false">IF(P242=1,IF(AND(LEN(M242)&gt;7,ISNUMBER(VALUE(LEFT(M242,6))),MID(M242,7,1)=" "),LEFT(M242,6),M242),"")</f>
        <v/>
      </c>
      <c r="V242" s="36" t="str">
        <f aca="false">TRIM(S242)</f>
        <v/>
      </c>
      <c r="W242" s="36" t="str">
        <f aca="false">IF(V242="Revenue","Revenue",IF(V242="Cost of Goods Sold","COGS",IF(V242="Expenditures","Expense",IF(V242="Other Revenue","Other Revenue",IF(V242="Other Expenditures","Other Expense",W241)))))</f>
        <v/>
      </c>
      <c r="X242" s="36" t="str">
        <f aca="false">IF(OR(V242="Revenue",V242="Cost of Goods Sold",V242="Expenditures",V242="Other Revenue",V242="Other Expenditures"),W242,IF(AND(LEN(V242)&gt;2,MID(V242,2,1)=" ",ISNUMBER(VALUE(LEFT(V242,1)))),V242,X241))</f>
        <v/>
      </c>
      <c r="Y242" s="36" t="n">
        <f aca="false">IF(AND(V242&lt;&gt;"",ISNUMBER(T242),LEFT(V242,9)&lt;&gt;"Total for",V242&lt;&gt;"Gross Profit",V242&lt;&gt;"Net Operating Revenue",V242&lt;&gt;"Net Other Revenue",V242&lt;&gt;"Net Revenue"),1,0)</f>
        <v>0</v>
      </c>
      <c r="Z242" s="36" t="str">
        <f aca="false">IF(Y242=1,IF(AND(LEN(V242)&gt;7,ISNUMBER(VALUE(LEFT(V242,6))),MID(V242,7,1)=" "),LEFT(V242,6),V242),"")</f>
        <v/>
      </c>
      <c r="AE242" s="36" t="str">
        <f aca="false">TRIM(AB242)</f>
        <v/>
      </c>
      <c r="AF242" s="36" t="str">
        <f aca="false">IF(AE242="Revenue","Revenue",IF(AE242="Cost of Goods Sold","COGS",IF(AE242="Expenditures","Expense",IF(AE242="Other Revenue","Other Revenue",IF(AE242="Other Expenditures","Other Expense",AF241)))))</f>
        <v/>
      </c>
      <c r="AG242" s="36" t="str">
        <f aca="false">IF(OR(AE242="Revenue",AE242="Cost of Goods Sold",AE242="Expenditures",AE242="Other Revenue",AE242="Other Expenditures"),AF242,IF(AND(LEN(AE242)&gt;2,MID(AE242,2,1)=" ",ISNUMBER(VALUE(LEFT(AE242,1)))),AE242,AG241))</f>
        <v/>
      </c>
      <c r="AH242" s="36" t="n">
        <f aca="false">IF(AND(AE242&lt;&gt;"",ISNUMBER(AC242),LEFT(AE242,9)&lt;&gt;"Total for",AE242&lt;&gt;"Gross Profit",AE242&lt;&gt;"Net Operating Revenue",AE242&lt;&gt;"Net Other Revenue",AE242&lt;&gt;"Net Revenue"),1,0)</f>
        <v>0</v>
      </c>
      <c r="AI242" s="36" t="str">
        <f aca="false">IF(AH242=1,IF(AND(LEN(AE242)&gt;7,ISNUMBER(VALUE(LEFT(AE242,6))),MID(AE242,7,1)=" "),LEFT(AE242,6),AE242),"")</f>
        <v/>
      </c>
      <c r="AN242" s="36" t="str">
        <f aca="false">TRIM(AK242)</f>
        <v/>
      </c>
      <c r="AO242" s="36" t="str">
        <f aca="false">IF(AN242="Revenue","Revenue",IF(AN242="Cost of Goods Sold","COGS",IF(AN242="Expenditures","Expense",IF(AN242="Other Revenue","Other Revenue",IF(AN242="Other Expenditures","Other Expense",AO241)))))</f>
        <v/>
      </c>
      <c r="AP242" s="36" t="str">
        <f aca="false">IF(OR(AN242="Revenue",AN242="Cost of Goods Sold",AN242="Expenditures",AN242="Other Revenue",AN242="Other Expenditures"),AO242,IF(AND(LEN(AN242)&gt;2,MID(AN242,2,1)=" ",ISNUMBER(VALUE(LEFT(AN242,1)))),AN242,AP241))</f>
        <v/>
      </c>
      <c r="AQ242" s="36" t="n">
        <f aca="false">IF(AND(AN242&lt;&gt;"",ISNUMBER(AL242),LEFT(AN242,9)&lt;&gt;"Total for",AN242&lt;&gt;"Gross Profit",AN242&lt;&gt;"Net Operating Revenue",AN242&lt;&gt;"Net Other Revenue",AN242&lt;&gt;"Net Revenue"),1,0)</f>
        <v>0</v>
      </c>
      <c r="AR242" s="36" t="str">
        <f aca="false">IF(AQ242=1,IF(AND(LEN(AN242)&gt;7,ISNUMBER(VALUE(LEFT(AN242,6))),MID(AN242,7,1)=" "),LEFT(AN242,6),AN242),"")</f>
        <v/>
      </c>
    </row>
    <row r="243" customFormat="false" ht="15" hidden="false" customHeight="false" outlineLevel="0" collapsed="false">
      <c r="D243" s="36" t="str">
        <f aca="false">TRIM(A243)</f>
        <v/>
      </c>
      <c r="E243" s="36" t="str">
        <f aca="false">IF(D243="Revenue","Revenue",IF(D243="Cost of Goods Sold","COGS",IF(D243="Expenditures","Expense",IF(D243="Other Revenue","Other Revenue",IF(D243="Other Expenditures","Other Expense",E242)))))</f>
        <v/>
      </c>
      <c r="F243" s="36" t="str">
        <f aca="false">IF(OR(D243="Revenue",D243="Cost of Goods Sold",D243="Expenditures",D243="Other Revenue",D243="Other Expenditures"),E243,IF(AND(LEN(D243)&gt;2,MID(D243,2,1)=" ",ISNUMBER(VALUE(LEFT(D243,1)))),D243,F242))</f>
        <v/>
      </c>
      <c r="G243" s="36" t="n">
        <f aca="false">IF(AND(D243&lt;&gt;"",ISNUMBER(B243),LEFT(D243,9)&lt;&gt;"Total for",D243&lt;&gt;"Gross Profit",D243&lt;&gt;"Net Operating Revenue",D243&lt;&gt;"Net Other Revenue",D243&lt;&gt;"Net Revenue"),1,0)</f>
        <v>0</v>
      </c>
      <c r="H243" s="36" t="str">
        <f aca="false">IF(G243=1,IF(AND(LEN(D243)&gt;7,ISNUMBER(VALUE(LEFT(D243,6))),MID(D243,7,1)=" "),LEFT(D243,6),D243),"")</f>
        <v/>
      </c>
      <c r="M243" s="36" t="str">
        <f aca="false">TRIM(J243)</f>
        <v/>
      </c>
      <c r="N243" s="36" t="str">
        <f aca="false">IF(M243="Revenue","Revenue",IF(M243="Cost of Goods Sold","COGS",IF(M243="Expenditures","Expense",IF(M243="Other Revenue","Other Revenue",IF(M243="Other Expenditures","Other Expense",N242)))))</f>
        <v/>
      </c>
      <c r="O243" s="36" t="str">
        <f aca="false">IF(OR(M243="Revenue",M243="Cost of Goods Sold",M243="Expenditures",M243="Other Revenue",M243="Other Expenditures"),N243,IF(AND(LEN(M243)&gt;2,MID(M243,2,1)=" ",ISNUMBER(VALUE(LEFT(M243,1)))),M243,O242))</f>
        <v/>
      </c>
      <c r="P243" s="36" t="n">
        <f aca="false">IF(AND(M243&lt;&gt;"",ISNUMBER(K243),LEFT(M243,9)&lt;&gt;"Total for",M243&lt;&gt;"Gross Profit",M243&lt;&gt;"Net Operating Revenue",M243&lt;&gt;"Net Other Revenue",M243&lt;&gt;"Net Revenue"),1,0)</f>
        <v>0</v>
      </c>
      <c r="Q243" s="36" t="str">
        <f aca="false">IF(P243=1,IF(AND(LEN(M243)&gt;7,ISNUMBER(VALUE(LEFT(M243,6))),MID(M243,7,1)=" "),LEFT(M243,6),M243),"")</f>
        <v/>
      </c>
      <c r="V243" s="36" t="str">
        <f aca="false">TRIM(S243)</f>
        <v/>
      </c>
      <c r="W243" s="36" t="str">
        <f aca="false">IF(V243="Revenue","Revenue",IF(V243="Cost of Goods Sold","COGS",IF(V243="Expenditures","Expense",IF(V243="Other Revenue","Other Revenue",IF(V243="Other Expenditures","Other Expense",W242)))))</f>
        <v/>
      </c>
      <c r="X243" s="36" t="str">
        <f aca="false">IF(OR(V243="Revenue",V243="Cost of Goods Sold",V243="Expenditures",V243="Other Revenue",V243="Other Expenditures"),W243,IF(AND(LEN(V243)&gt;2,MID(V243,2,1)=" ",ISNUMBER(VALUE(LEFT(V243,1)))),V243,X242))</f>
        <v/>
      </c>
      <c r="Y243" s="36" t="n">
        <f aca="false">IF(AND(V243&lt;&gt;"",ISNUMBER(T243),LEFT(V243,9)&lt;&gt;"Total for",V243&lt;&gt;"Gross Profit",V243&lt;&gt;"Net Operating Revenue",V243&lt;&gt;"Net Other Revenue",V243&lt;&gt;"Net Revenue"),1,0)</f>
        <v>0</v>
      </c>
      <c r="Z243" s="36" t="str">
        <f aca="false">IF(Y243=1,IF(AND(LEN(V243)&gt;7,ISNUMBER(VALUE(LEFT(V243,6))),MID(V243,7,1)=" "),LEFT(V243,6),V243),"")</f>
        <v/>
      </c>
      <c r="AE243" s="36" t="str">
        <f aca="false">TRIM(AB243)</f>
        <v/>
      </c>
      <c r="AF243" s="36" t="str">
        <f aca="false">IF(AE243="Revenue","Revenue",IF(AE243="Cost of Goods Sold","COGS",IF(AE243="Expenditures","Expense",IF(AE243="Other Revenue","Other Revenue",IF(AE243="Other Expenditures","Other Expense",AF242)))))</f>
        <v/>
      </c>
      <c r="AG243" s="36" t="str">
        <f aca="false">IF(OR(AE243="Revenue",AE243="Cost of Goods Sold",AE243="Expenditures",AE243="Other Revenue",AE243="Other Expenditures"),AF243,IF(AND(LEN(AE243)&gt;2,MID(AE243,2,1)=" ",ISNUMBER(VALUE(LEFT(AE243,1)))),AE243,AG242))</f>
        <v/>
      </c>
      <c r="AH243" s="36" t="n">
        <f aca="false">IF(AND(AE243&lt;&gt;"",ISNUMBER(AC243),LEFT(AE243,9)&lt;&gt;"Total for",AE243&lt;&gt;"Gross Profit",AE243&lt;&gt;"Net Operating Revenue",AE243&lt;&gt;"Net Other Revenue",AE243&lt;&gt;"Net Revenue"),1,0)</f>
        <v>0</v>
      </c>
      <c r="AI243" s="36" t="str">
        <f aca="false">IF(AH243=1,IF(AND(LEN(AE243)&gt;7,ISNUMBER(VALUE(LEFT(AE243,6))),MID(AE243,7,1)=" "),LEFT(AE243,6),AE243),"")</f>
        <v/>
      </c>
      <c r="AN243" s="36" t="str">
        <f aca="false">TRIM(AK243)</f>
        <v/>
      </c>
      <c r="AO243" s="36" t="str">
        <f aca="false">IF(AN243="Revenue","Revenue",IF(AN243="Cost of Goods Sold","COGS",IF(AN243="Expenditures","Expense",IF(AN243="Other Revenue","Other Revenue",IF(AN243="Other Expenditures","Other Expense",AO242)))))</f>
        <v/>
      </c>
      <c r="AP243" s="36" t="str">
        <f aca="false">IF(OR(AN243="Revenue",AN243="Cost of Goods Sold",AN243="Expenditures",AN243="Other Revenue",AN243="Other Expenditures"),AO243,IF(AND(LEN(AN243)&gt;2,MID(AN243,2,1)=" ",ISNUMBER(VALUE(LEFT(AN243,1)))),AN243,AP242))</f>
        <v/>
      </c>
      <c r="AQ243" s="36" t="n">
        <f aca="false">IF(AND(AN243&lt;&gt;"",ISNUMBER(AL243),LEFT(AN243,9)&lt;&gt;"Total for",AN243&lt;&gt;"Gross Profit",AN243&lt;&gt;"Net Operating Revenue",AN243&lt;&gt;"Net Other Revenue",AN243&lt;&gt;"Net Revenue"),1,0)</f>
        <v>0</v>
      </c>
      <c r="AR243" s="36" t="str">
        <f aca="false">IF(AQ243=1,IF(AND(LEN(AN243)&gt;7,ISNUMBER(VALUE(LEFT(AN243,6))),MID(AN243,7,1)=" "),LEFT(AN243,6),AN243),"")</f>
        <v/>
      </c>
    </row>
    <row r="244" customFormat="false" ht="15" hidden="false" customHeight="false" outlineLevel="0" collapsed="false">
      <c r="D244" s="36" t="str">
        <f aca="false">TRIM(A244)</f>
        <v/>
      </c>
      <c r="E244" s="36" t="str">
        <f aca="false">IF(D244="Revenue","Revenue",IF(D244="Cost of Goods Sold","COGS",IF(D244="Expenditures","Expense",IF(D244="Other Revenue","Other Revenue",IF(D244="Other Expenditures","Other Expense",E243)))))</f>
        <v/>
      </c>
      <c r="F244" s="36" t="str">
        <f aca="false">IF(OR(D244="Revenue",D244="Cost of Goods Sold",D244="Expenditures",D244="Other Revenue",D244="Other Expenditures"),E244,IF(AND(LEN(D244)&gt;2,MID(D244,2,1)=" ",ISNUMBER(VALUE(LEFT(D244,1)))),D244,F243))</f>
        <v/>
      </c>
      <c r="G244" s="36" t="n">
        <f aca="false">IF(AND(D244&lt;&gt;"",ISNUMBER(B244),LEFT(D244,9)&lt;&gt;"Total for",D244&lt;&gt;"Gross Profit",D244&lt;&gt;"Net Operating Revenue",D244&lt;&gt;"Net Other Revenue",D244&lt;&gt;"Net Revenue"),1,0)</f>
        <v>0</v>
      </c>
      <c r="H244" s="36" t="str">
        <f aca="false">IF(G244=1,IF(AND(LEN(D244)&gt;7,ISNUMBER(VALUE(LEFT(D244,6))),MID(D244,7,1)=" "),LEFT(D244,6),D244),"")</f>
        <v/>
      </c>
      <c r="M244" s="36" t="str">
        <f aca="false">TRIM(J244)</f>
        <v/>
      </c>
      <c r="N244" s="36" t="str">
        <f aca="false">IF(M244="Revenue","Revenue",IF(M244="Cost of Goods Sold","COGS",IF(M244="Expenditures","Expense",IF(M244="Other Revenue","Other Revenue",IF(M244="Other Expenditures","Other Expense",N243)))))</f>
        <v/>
      </c>
      <c r="O244" s="36" t="str">
        <f aca="false">IF(OR(M244="Revenue",M244="Cost of Goods Sold",M244="Expenditures",M244="Other Revenue",M244="Other Expenditures"),N244,IF(AND(LEN(M244)&gt;2,MID(M244,2,1)=" ",ISNUMBER(VALUE(LEFT(M244,1)))),M244,O243))</f>
        <v/>
      </c>
      <c r="P244" s="36" t="n">
        <f aca="false">IF(AND(M244&lt;&gt;"",ISNUMBER(K244),LEFT(M244,9)&lt;&gt;"Total for",M244&lt;&gt;"Gross Profit",M244&lt;&gt;"Net Operating Revenue",M244&lt;&gt;"Net Other Revenue",M244&lt;&gt;"Net Revenue"),1,0)</f>
        <v>0</v>
      </c>
      <c r="Q244" s="36" t="str">
        <f aca="false">IF(P244=1,IF(AND(LEN(M244)&gt;7,ISNUMBER(VALUE(LEFT(M244,6))),MID(M244,7,1)=" "),LEFT(M244,6),M244),"")</f>
        <v/>
      </c>
      <c r="V244" s="36" t="str">
        <f aca="false">TRIM(S244)</f>
        <v/>
      </c>
      <c r="W244" s="36" t="str">
        <f aca="false">IF(V244="Revenue","Revenue",IF(V244="Cost of Goods Sold","COGS",IF(V244="Expenditures","Expense",IF(V244="Other Revenue","Other Revenue",IF(V244="Other Expenditures","Other Expense",W243)))))</f>
        <v/>
      </c>
      <c r="X244" s="36" t="str">
        <f aca="false">IF(OR(V244="Revenue",V244="Cost of Goods Sold",V244="Expenditures",V244="Other Revenue",V244="Other Expenditures"),W244,IF(AND(LEN(V244)&gt;2,MID(V244,2,1)=" ",ISNUMBER(VALUE(LEFT(V244,1)))),V244,X243))</f>
        <v/>
      </c>
      <c r="Y244" s="36" t="n">
        <f aca="false">IF(AND(V244&lt;&gt;"",ISNUMBER(T244),LEFT(V244,9)&lt;&gt;"Total for",V244&lt;&gt;"Gross Profit",V244&lt;&gt;"Net Operating Revenue",V244&lt;&gt;"Net Other Revenue",V244&lt;&gt;"Net Revenue"),1,0)</f>
        <v>0</v>
      </c>
      <c r="Z244" s="36" t="str">
        <f aca="false">IF(Y244=1,IF(AND(LEN(V244)&gt;7,ISNUMBER(VALUE(LEFT(V244,6))),MID(V244,7,1)=" "),LEFT(V244,6),V244),"")</f>
        <v/>
      </c>
      <c r="AE244" s="36" t="str">
        <f aca="false">TRIM(AB244)</f>
        <v/>
      </c>
      <c r="AF244" s="36" t="str">
        <f aca="false">IF(AE244="Revenue","Revenue",IF(AE244="Cost of Goods Sold","COGS",IF(AE244="Expenditures","Expense",IF(AE244="Other Revenue","Other Revenue",IF(AE244="Other Expenditures","Other Expense",AF243)))))</f>
        <v/>
      </c>
      <c r="AG244" s="36" t="str">
        <f aca="false">IF(OR(AE244="Revenue",AE244="Cost of Goods Sold",AE244="Expenditures",AE244="Other Revenue",AE244="Other Expenditures"),AF244,IF(AND(LEN(AE244)&gt;2,MID(AE244,2,1)=" ",ISNUMBER(VALUE(LEFT(AE244,1)))),AE244,AG243))</f>
        <v/>
      </c>
      <c r="AH244" s="36" t="n">
        <f aca="false">IF(AND(AE244&lt;&gt;"",ISNUMBER(AC244),LEFT(AE244,9)&lt;&gt;"Total for",AE244&lt;&gt;"Gross Profit",AE244&lt;&gt;"Net Operating Revenue",AE244&lt;&gt;"Net Other Revenue",AE244&lt;&gt;"Net Revenue"),1,0)</f>
        <v>0</v>
      </c>
      <c r="AI244" s="36" t="str">
        <f aca="false">IF(AH244=1,IF(AND(LEN(AE244)&gt;7,ISNUMBER(VALUE(LEFT(AE244,6))),MID(AE244,7,1)=" "),LEFT(AE244,6),AE244),"")</f>
        <v/>
      </c>
      <c r="AN244" s="36" t="str">
        <f aca="false">TRIM(AK244)</f>
        <v/>
      </c>
      <c r="AO244" s="36" t="str">
        <f aca="false">IF(AN244="Revenue","Revenue",IF(AN244="Cost of Goods Sold","COGS",IF(AN244="Expenditures","Expense",IF(AN244="Other Revenue","Other Revenue",IF(AN244="Other Expenditures","Other Expense",AO243)))))</f>
        <v/>
      </c>
      <c r="AP244" s="36" t="str">
        <f aca="false">IF(OR(AN244="Revenue",AN244="Cost of Goods Sold",AN244="Expenditures",AN244="Other Revenue",AN244="Other Expenditures"),AO244,IF(AND(LEN(AN244)&gt;2,MID(AN244,2,1)=" ",ISNUMBER(VALUE(LEFT(AN244,1)))),AN244,AP243))</f>
        <v/>
      </c>
      <c r="AQ244" s="36" t="n">
        <f aca="false">IF(AND(AN244&lt;&gt;"",ISNUMBER(AL244),LEFT(AN244,9)&lt;&gt;"Total for",AN244&lt;&gt;"Gross Profit",AN244&lt;&gt;"Net Operating Revenue",AN244&lt;&gt;"Net Other Revenue",AN244&lt;&gt;"Net Revenue"),1,0)</f>
        <v>0</v>
      </c>
      <c r="AR244" s="36" t="str">
        <f aca="false">IF(AQ244=1,IF(AND(LEN(AN244)&gt;7,ISNUMBER(VALUE(LEFT(AN244,6))),MID(AN244,7,1)=" "),LEFT(AN244,6),AN244),"")</f>
        <v/>
      </c>
    </row>
    <row r="245" customFormat="false" ht="15" hidden="false" customHeight="false" outlineLevel="0" collapsed="false">
      <c r="D245" s="36" t="str">
        <f aca="false">TRIM(A245)</f>
        <v/>
      </c>
      <c r="E245" s="36" t="str">
        <f aca="false">IF(D245="Revenue","Revenue",IF(D245="Cost of Goods Sold","COGS",IF(D245="Expenditures","Expense",IF(D245="Other Revenue","Other Revenue",IF(D245="Other Expenditures","Other Expense",E244)))))</f>
        <v/>
      </c>
      <c r="F245" s="36" t="str">
        <f aca="false">IF(OR(D245="Revenue",D245="Cost of Goods Sold",D245="Expenditures",D245="Other Revenue",D245="Other Expenditures"),E245,IF(AND(LEN(D245)&gt;2,MID(D245,2,1)=" ",ISNUMBER(VALUE(LEFT(D245,1)))),D245,F244))</f>
        <v/>
      </c>
      <c r="G245" s="36" t="n">
        <f aca="false">IF(AND(D245&lt;&gt;"",ISNUMBER(B245),LEFT(D245,9)&lt;&gt;"Total for",D245&lt;&gt;"Gross Profit",D245&lt;&gt;"Net Operating Revenue",D245&lt;&gt;"Net Other Revenue",D245&lt;&gt;"Net Revenue"),1,0)</f>
        <v>0</v>
      </c>
      <c r="H245" s="36" t="str">
        <f aca="false">IF(G245=1,IF(AND(LEN(D245)&gt;7,ISNUMBER(VALUE(LEFT(D245,6))),MID(D245,7,1)=" "),LEFT(D245,6),D245),"")</f>
        <v/>
      </c>
      <c r="M245" s="36" t="str">
        <f aca="false">TRIM(J245)</f>
        <v/>
      </c>
      <c r="N245" s="36" t="str">
        <f aca="false">IF(M245="Revenue","Revenue",IF(M245="Cost of Goods Sold","COGS",IF(M245="Expenditures","Expense",IF(M245="Other Revenue","Other Revenue",IF(M245="Other Expenditures","Other Expense",N244)))))</f>
        <v/>
      </c>
      <c r="O245" s="36" t="str">
        <f aca="false">IF(OR(M245="Revenue",M245="Cost of Goods Sold",M245="Expenditures",M245="Other Revenue",M245="Other Expenditures"),N245,IF(AND(LEN(M245)&gt;2,MID(M245,2,1)=" ",ISNUMBER(VALUE(LEFT(M245,1)))),M245,O244))</f>
        <v/>
      </c>
      <c r="P245" s="36" t="n">
        <f aca="false">IF(AND(M245&lt;&gt;"",ISNUMBER(K245),LEFT(M245,9)&lt;&gt;"Total for",M245&lt;&gt;"Gross Profit",M245&lt;&gt;"Net Operating Revenue",M245&lt;&gt;"Net Other Revenue",M245&lt;&gt;"Net Revenue"),1,0)</f>
        <v>0</v>
      </c>
      <c r="Q245" s="36" t="str">
        <f aca="false">IF(P245=1,IF(AND(LEN(M245)&gt;7,ISNUMBER(VALUE(LEFT(M245,6))),MID(M245,7,1)=" "),LEFT(M245,6),M245),"")</f>
        <v/>
      </c>
      <c r="V245" s="36" t="str">
        <f aca="false">TRIM(S245)</f>
        <v/>
      </c>
      <c r="W245" s="36" t="str">
        <f aca="false">IF(V245="Revenue","Revenue",IF(V245="Cost of Goods Sold","COGS",IF(V245="Expenditures","Expense",IF(V245="Other Revenue","Other Revenue",IF(V245="Other Expenditures","Other Expense",W244)))))</f>
        <v/>
      </c>
      <c r="X245" s="36" t="str">
        <f aca="false">IF(OR(V245="Revenue",V245="Cost of Goods Sold",V245="Expenditures",V245="Other Revenue",V245="Other Expenditures"),W245,IF(AND(LEN(V245)&gt;2,MID(V245,2,1)=" ",ISNUMBER(VALUE(LEFT(V245,1)))),V245,X244))</f>
        <v/>
      </c>
      <c r="Y245" s="36" t="n">
        <f aca="false">IF(AND(V245&lt;&gt;"",ISNUMBER(T245),LEFT(V245,9)&lt;&gt;"Total for",V245&lt;&gt;"Gross Profit",V245&lt;&gt;"Net Operating Revenue",V245&lt;&gt;"Net Other Revenue",V245&lt;&gt;"Net Revenue"),1,0)</f>
        <v>0</v>
      </c>
      <c r="Z245" s="36" t="str">
        <f aca="false">IF(Y245=1,IF(AND(LEN(V245)&gt;7,ISNUMBER(VALUE(LEFT(V245,6))),MID(V245,7,1)=" "),LEFT(V245,6),V245),"")</f>
        <v/>
      </c>
      <c r="AE245" s="36" t="str">
        <f aca="false">TRIM(AB245)</f>
        <v/>
      </c>
      <c r="AF245" s="36" t="str">
        <f aca="false">IF(AE245="Revenue","Revenue",IF(AE245="Cost of Goods Sold","COGS",IF(AE245="Expenditures","Expense",IF(AE245="Other Revenue","Other Revenue",IF(AE245="Other Expenditures","Other Expense",AF244)))))</f>
        <v/>
      </c>
      <c r="AG245" s="36" t="str">
        <f aca="false">IF(OR(AE245="Revenue",AE245="Cost of Goods Sold",AE245="Expenditures",AE245="Other Revenue",AE245="Other Expenditures"),AF245,IF(AND(LEN(AE245)&gt;2,MID(AE245,2,1)=" ",ISNUMBER(VALUE(LEFT(AE245,1)))),AE245,AG244))</f>
        <v/>
      </c>
      <c r="AH245" s="36" t="n">
        <f aca="false">IF(AND(AE245&lt;&gt;"",ISNUMBER(AC245),LEFT(AE245,9)&lt;&gt;"Total for",AE245&lt;&gt;"Gross Profit",AE245&lt;&gt;"Net Operating Revenue",AE245&lt;&gt;"Net Other Revenue",AE245&lt;&gt;"Net Revenue"),1,0)</f>
        <v>0</v>
      </c>
      <c r="AI245" s="36" t="str">
        <f aca="false">IF(AH245=1,IF(AND(LEN(AE245)&gt;7,ISNUMBER(VALUE(LEFT(AE245,6))),MID(AE245,7,1)=" "),LEFT(AE245,6),AE245),"")</f>
        <v/>
      </c>
      <c r="AN245" s="36" t="str">
        <f aca="false">TRIM(AK245)</f>
        <v/>
      </c>
      <c r="AO245" s="36" t="str">
        <f aca="false">IF(AN245="Revenue","Revenue",IF(AN245="Cost of Goods Sold","COGS",IF(AN245="Expenditures","Expense",IF(AN245="Other Revenue","Other Revenue",IF(AN245="Other Expenditures","Other Expense",AO244)))))</f>
        <v/>
      </c>
      <c r="AP245" s="36" t="str">
        <f aca="false">IF(OR(AN245="Revenue",AN245="Cost of Goods Sold",AN245="Expenditures",AN245="Other Revenue",AN245="Other Expenditures"),AO245,IF(AND(LEN(AN245)&gt;2,MID(AN245,2,1)=" ",ISNUMBER(VALUE(LEFT(AN245,1)))),AN245,AP244))</f>
        <v/>
      </c>
      <c r="AQ245" s="36" t="n">
        <f aca="false">IF(AND(AN245&lt;&gt;"",ISNUMBER(AL245),LEFT(AN245,9)&lt;&gt;"Total for",AN245&lt;&gt;"Gross Profit",AN245&lt;&gt;"Net Operating Revenue",AN245&lt;&gt;"Net Other Revenue",AN245&lt;&gt;"Net Revenue"),1,0)</f>
        <v>0</v>
      </c>
      <c r="AR245" s="36" t="str">
        <f aca="false">IF(AQ245=1,IF(AND(LEN(AN245)&gt;7,ISNUMBER(VALUE(LEFT(AN245,6))),MID(AN245,7,1)=" "),LEFT(AN245,6),AN245),"")</f>
        <v/>
      </c>
    </row>
    <row r="246" customFormat="false" ht="15" hidden="false" customHeight="false" outlineLevel="0" collapsed="false">
      <c r="D246" s="36" t="str">
        <f aca="false">TRIM(A246)</f>
        <v/>
      </c>
      <c r="E246" s="36" t="str">
        <f aca="false">IF(D246="Revenue","Revenue",IF(D246="Cost of Goods Sold","COGS",IF(D246="Expenditures","Expense",IF(D246="Other Revenue","Other Revenue",IF(D246="Other Expenditures","Other Expense",E245)))))</f>
        <v/>
      </c>
      <c r="F246" s="36" t="str">
        <f aca="false">IF(OR(D246="Revenue",D246="Cost of Goods Sold",D246="Expenditures",D246="Other Revenue",D246="Other Expenditures"),E246,IF(AND(LEN(D246)&gt;2,MID(D246,2,1)=" ",ISNUMBER(VALUE(LEFT(D246,1)))),D246,F245))</f>
        <v/>
      </c>
      <c r="G246" s="36" t="n">
        <f aca="false">IF(AND(D246&lt;&gt;"",ISNUMBER(B246),LEFT(D246,9)&lt;&gt;"Total for",D246&lt;&gt;"Gross Profit",D246&lt;&gt;"Net Operating Revenue",D246&lt;&gt;"Net Other Revenue",D246&lt;&gt;"Net Revenue"),1,0)</f>
        <v>0</v>
      </c>
      <c r="H246" s="36" t="str">
        <f aca="false">IF(G246=1,IF(AND(LEN(D246)&gt;7,ISNUMBER(VALUE(LEFT(D246,6))),MID(D246,7,1)=" "),LEFT(D246,6),D246),"")</f>
        <v/>
      </c>
      <c r="M246" s="36" t="str">
        <f aca="false">TRIM(J246)</f>
        <v/>
      </c>
      <c r="N246" s="36" t="str">
        <f aca="false">IF(M246="Revenue","Revenue",IF(M246="Cost of Goods Sold","COGS",IF(M246="Expenditures","Expense",IF(M246="Other Revenue","Other Revenue",IF(M246="Other Expenditures","Other Expense",N245)))))</f>
        <v/>
      </c>
      <c r="O246" s="36" t="str">
        <f aca="false">IF(OR(M246="Revenue",M246="Cost of Goods Sold",M246="Expenditures",M246="Other Revenue",M246="Other Expenditures"),N246,IF(AND(LEN(M246)&gt;2,MID(M246,2,1)=" ",ISNUMBER(VALUE(LEFT(M246,1)))),M246,O245))</f>
        <v/>
      </c>
      <c r="P246" s="36" t="n">
        <f aca="false">IF(AND(M246&lt;&gt;"",ISNUMBER(K246),LEFT(M246,9)&lt;&gt;"Total for",M246&lt;&gt;"Gross Profit",M246&lt;&gt;"Net Operating Revenue",M246&lt;&gt;"Net Other Revenue",M246&lt;&gt;"Net Revenue"),1,0)</f>
        <v>0</v>
      </c>
      <c r="Q246" s="36" t="str">
        <f aca="false">IF(P246=1,IF(AND(LEN(M246)&gt;7,ISNUMBER(VALUE(LEFT(M246,6))),MID(M246,7,1)=" "),LEFT(M246,6),M246),"")</f>
        <v/>
      </c>
      <c r="V246" s="36" t="str">
        <f aca="false">TRIM(S246)</f>
        <v/>
      </c>
      <c r="W246" s="36" t="str">
        <f aca="false">IF(V246="Revenue","Revenue",IF(V246="Cost of Goods Sold","COGS",IF(V246="Expenditures","Expense",IF(V246="Other Revenue","Other Revenue",IF(V246="Other Expenditures","Other Expense",W245)))))</f>
        <v/>
      </c>
      <c r="X246" s="36" t="str">
        <f aca="false">IF(OR(V246="Revenue",V246="Cost of Goods Sold",V246="Expenditures",V246="Other Revenue",V246="Other Expenditures"),W246,IF(AND(LEN(V246)&gt;2,MID(V246,2,1)=" ",ISNUMBER(VALUE(LEFT(V246,1)))),V246,X245))</f>
        <v/>
      </c>
      <c r="Y246" s="36" t="n">
        <f aca="false">IF(AND(V246&lt;&gt;"",ISNUMBER(T246),LEFT(V246,9)&lt;&gt;"Total for",V246&lt;&gt;"Gross Profit",V246&lt;&gt;"Net Operating Revenue",V246&lt;&gt;"Net Other Revenue",V246&lt;&gt;"Net Revenue"),1,0)</f>
        <v>0</v>
      </c>
      <c r="Z246" s="36" t="str">
        <f aca="false">IF(Y246=1,IF(AND(LEN(V246)&gt;7,ISNUMBER(VALUE(LEFT(V246,6))),MID(V246,7,1)=" "),LEFT(V246,6),V246),"")</f>
        <v/>
      </c>
      <c r="AE246" s="36" t="str">
        <f aca="false">TRIM(AB246)</f>
        <v/>
      </c>
      <c r="AF246" s="36" t="str">
        <f aca="false">IF(AE246="Revenue","Revenue",IF(AE246="Cost of Goods Sold","COGS",IF(AE246="Expenditures","Expense",IF(AE246="Other Revenue","Other Revenue",IF(AE246="Other Expenditures","Other Expense",AF245)))))</f>
        <v/>
      </c>
      <c r="AG246" s="36" t="str">
        <f aca="false">IF(OR(AE246="Revenue",AE246="Cost of Goods Sold",AE246="Expenditures",AE246="Other Revenue",AE246="Other Expenditures"),AF246,IF(AND(LEN(AE246)&gt;2,MID(AE246,2,1)=" ",ISNUMBER(VALUE(LEFT(AE246,1)))),AE246,AG245))</f>
        <v/>
      </c>
      <c r="AH246" s="36" t="n">
        <f aca="false">IF(AND(AE246&lt;&gt;"",ISNUMBER(AC246),LEFT(AE246,9)&lt;&gt;"Total for",AE246&lt;&gt;"Gross Profit",AE246&lt;&gt;"Net Operating Revenue",AE246&lt;&gt;"Net Other Revenue",AE246&lt;&gt;"Net Revenue"),1,0)</f>
        <v>0</v>
      </c>
      <c r="AI246" s="36" t="str">
        <f aca="false">IF(AH246=1,IF(AND(LEN(AE246)&gt;7,ISNUMBER(VALUE(LEFT(AE246,6))),MID(AE246,7,1)=" "),LEFT(AE246,6),AE246),"")</f>
        <v/>
      </c>
      <c r="AN246" s="36" t="str">
        <f aca="false">TRIM(AK246)</f>
        <v/>
      </c>
      <c r="AO246" s="36" t="str">
        <f aca="false">IF(AN246="Revenue","Revenue",IF(AN246="Cost of Goods Sold","COGS",IF(AN246="Expenditures","Expense",IF(AN246="Other Revenue","Other Revenue",IF(AN246="Other Expenditures","Other Expense",AO245)))))</f>
        <v/>
      </c>
      <c r="AP246" s="36" t="str">
        <f aca="false">IF(OR(AN246="Revenue",AN246="Cost of Goods Sold",AN246="Expenditures",AN246="Other Revenue",AN246="Other Expenditures"),AO246,IF(AND(LEN(AN246)&gt;2,MID(AN246,2,1)=" ",ISNUMBER(VALUE(LEFT(AN246,1)))),AN246,AP245))</f>
        <v/>
      </c>
      <c r="AQ246" s="36" t="n">
        <f aca="false">IF(AND(AN246&lt;&gt;"",ISNUMBER(AL246),LEFT(AN246,9)&lt;&gt;"Total for",AN246&lt;&gt;"Gross Profit",AN246&lt;&gt;"Net Operating Revenue",AN246&lt;&gt;"Net Other Revenue",AN246&lt;&gt;"Net Revenue"),1,0)</f>
        <v>0</v>
      </c>
      <c r="AR246" s="36" t="str">
        <f aca="false">IF(AQ246=1,IF(AND(LEN(AN246)&gt;7,ISNUMBER(VALUE(LEFT(AN246,6))),MID(AN246,7,1)=" "),LEFT(AN246,6),AN246),"")</f>
        <v/>
      </c>
    </row>
    <row r="247" customFormat="false" ht="15" hidden="false" customHeight="false" outlineLevel="0" collapsed="false">
      <c r="D247" s="36" t="str">
        <f aca="false">TRIM(A247)</f>
        <v/>
      </c>
      <c r="E247" s="36" t="str">
        <f aca="false">IF(D247="Revenue","Revenue",IF(D247="Cost of Goods Sold","COGS",IF(D247="Expenditures","Expense",IF(D247="Other Revenue","Other Revenue",IF(D247="Other Expenditures","Other Expense",E246)))))</f>
        <v/>
      </c>
      <c r="F247" s="36" t="str">
        <f aca="false">IF(OR(D247="Revenue",D247="Cost of Goods Sold",D247="Expenditures",D247="Other Revenue",D247="Other Expenditures"),E247,IF(AND(LEN(D247)&gt;2,MID(D247,2,1)=" ",ISNUMBER(VALUE(LEFT(D247,1)))),D247,F246))</f>
        <v/>
      </c>
      <c r="G247" s="36" t="n">
        <f aca="false">IF(AND(D247&lt;&gt;"",ISNUMBER(B247),LEFT(D247,9)&lt;&gt;"Total for",D247&lt;&gt;"Gross Profit",D247&lt;&gt;"Net Operating Revenue",D247&lt;&gt;"Net Other Revenue",D247&lt;&gt;"Net Revenue"),1,0)</f>
        <v>0</v>
      </c>
      <c r="H247" s="36" t="str">
        <f aca="false">IF(G247=1,IF(AND(LEN(D247)&gt;7,ISNUMBER(VALUE(LEFT(D247,6))),MID(D247,7,1)=" "),LEFT(D247,6),D247),"")</f>
        <v/>
      </c>
      <c r="M247" s="36" t="str">
        <f aca="false">TRIM(J247)</f>
        <v/>
      </c>
      <c r="N247" s="36" t="str">
        <f aca="false">IF(M247="Revenue","Revenue",IF(M247="Cost of Goods Sold","COGS",IF(M247="Expenditures","Expense",IF(M247="Other Revenue","Other Revenue",IF(M247="Other Expenditures","Other Expense",N246)))))</f>
        <v/>
      </c>
      <c r="O247" s="36" t="str">
        <f aca="false">IF(OR(M247="Revenue",M247="Cost of Goods Sold",M247="Expenditures",M247="Other Revenue",M247="Other Expenditures"),N247,IF(AND(LEN(M247)&gt;2,MID(M247,2,1)=" ",ISNUMBER(VALUE(LEFT(M247,1)))),M247,O246))</f>
        <v/>
      </c>
      <c r="P247" s="36" t="n">
        <f aca="false">IF(AND(M247&lt;&gt;"",ISNUMBER(K247),LEFT(M247,9)&lt;&gt;"Total for",M247&lt;&gt;"Gross Profit",M247&lt;&gt;"Net Operating Revenue",M247&lt;&gt;"Net Other Revenue",M247&lt;&gt;"Net Revenue"),1,0)</f>
        <v>0</v>
      </c>
      <c r="Q247" s="36" t="str">
        <f aca="false">IF(P247=1,IF(AND(LEN(M247)&gt;7,ISNUMBER(VALUE(LEFT(M247,6))),MID(M247,7,1)=" "),LEFT(M247,6),M247),"")</f>
        <v/>
      </c>
      <c r="V247" s="36" t="str">
        <f aca="false">TRIM(S247)</f>
        <v/>
      </c>
      <c r="W247" s="36" t="str">
        <f aca="false">IF(V247="Revenue","Revenue",IF(V247="Cost of Goods Sold","COGS",IF(V247="Expenditures","Expense",IF(V247="Other Revenue","Other Revenue",IF(V247="Other Expenditures","Other Expense",W246)))))</f>
        <v/>
      </c>
      <c r="X247" s="36" t="str">
        <f aca="false">IF(OR(V247="Revenue",V247="Cost of Goods Sold",V247="Expenditures",V247="Other Revenue",V247="Other Expenditures"),W247,IF(AND(LEN(V247)&gt;2,MID(V247,2,1)=" ",ISNUMBER(VALUE(LEFT(V247,1)))),V247,X246))</f>
        <v/>
      </c>
      <c r="Y247" s="36" t="n">
        <f aca="false">IF(AND(V247&lt;&gt;"",ISNUMBER(T247),LEFT(V247,9)&lt;&gt;"Total for",V247&lt;&gt;"Gross Profit",V247&lt;&gt;"Net Operating Revenue",V247&lt;&gt;"Net Other Revenue",V247&lt;&gt;"Net Revenue"),1,0)</f>
        <v>0</v>
      </c>
      <c r="Z247" s="36" t="str">
        <f aca="false">IF(Y247=1,IF(AND(LEN(V247)&gt;7,ISNUMBER(VALUE(LEFT(V247,6))),MID(V247,7,1)=" "),LEFT(V247,6),V247),"")</f>
        <v/>
      </c>
      <c r="AE247" s="36" t="str">
        <f aca="false">TRIM(AB247)</f>
        <v/>
      </c>
      <c r="AF247" s="36" t="str">
        <f aca="false">IF(AE247="Revenue","Revenue",IF(AE247="Cost of Goods Sold","COGS",IF(AE247="Expenditures","Expense",IF(AE247="Other Revenue","Other Revenue",IF(AE247="Other Expenditures","Other Expense",AF246)))))</f>
        <v/>
      </c>
      <c r="AG247" s="36" t="str">
        <f aca="false">IF(OR(AE247="Revenue",AE247="Cost of Goods Sold",AE247="Expenditures",AE247="Other Revenue",AE247="Other Expenditures"),AF247,IF(AND(LEN(AE247)&gt;2,MID(AE247,2,1)=" ",ISNUMBER(VALUE(LEFT(AE247,1)))),AE247,AG246))</f>
        <v/>
      </c>
      <c r="AH247" s="36" t="n">
        <f aca="false">IF(AND(AE247&lt;&gt;"",ISNUMBER(AC247),LEFT(AE247,9)&lt;&gt;"Total for",AE247&lt;&gt;"Gross Profit",AE247&lt;&gt;"Net Operating Revenue",AE247&lt;&gt;"Net Other Revenue",AE247&lt;&gt;"Net Revenue"),1,0)</f>
        <v>0</v>
      </c>
      <c r="AI247" s="36" t="str">
        <f aca="false">IF(AH247=1,IF(AND(LEN(AE247)&gt;7,ISNUMBER(VALUE(LEFT(AE247,6))),MID(AE247,7,1)=" "),LEFT(AE247,6),AE247),"")</f>
        <v/>
      </c>
      <c r="AN247" s="36" t="str">
        <f aca="false">TRIM(AK247)</f>
        <v/>
      </c>
      <c r="AO247" s="36" t="str">
        <f aca="false">IF(AN247="Revenue","Revenue",IF(AN247="Cost of Goods Sold","COGS",IF(AN247="Expenditures","Expense",IF(AN247="Other Revenue","Other Revenue",IF(AN247="Other Expenditures","Other Expense",AO246)))))</f>
        <v/>
      </c>
      <c r="AP247" s="36" t="str">
        <f aca="false">IF(OR(AN247="Revenue",AN247="Cost of Goods Sold",AN247="Expenditures",AN247="Other Revenue",AN247="Other Expenditures"),AO247,IF(AND(LEN(AN247)&gt;2,MID(AN247,2,1)=" ",ISNUMBER(VALUE(LEFT(AN247,1)))),AN247,AP246))</f>
        <v/>
      </c>
      <c r="AQ247" s="36" t="n">
        <f aca="false">IF(AND(AN247&lt;&gt;"",ISNUMBER(AL247),LEFT(AN247,9)&lt;&gt;"Total for",AN247&lt;&gt;"Gross Profit",AN247&lt;&gt;"Net Operating Revenue",AN247&lt;&gt;"Net Other Revenue",AN247&lt;&gt;"Net Revenue"),1,0)</f>
        <v>0</v>
      </c>
      <c r="AR247" s="36" t="str">
        <f aca="false">IF(AQ247=1,IF(AND(LEN(AN247)&gt;7,ISNUMBER(VALUE(LEFT(AN247,6))),MID(AN247,7,1)=" "),LEFT(AN247,6),AN247),"")</f>
        <v/>
      </c>
    </row>
    <row r="248" customFormat="false" ht="15" hidden="false" customHeight="false" outlineLevel="0" collapsed="false">
      <c r="D248" s="36" t="str">
        <f aca="false">TRIM(A248)</f>
        <v/>
      </c>
      <c r="E248" s="36" t="str">
        <f aca="false">IF(D248="Revenue","Revenue",IF(D248="Cost of Goods Sold","COGS",IF(D248="Expenditures","Expense",IF(D248="Other Revenue","Other Revenue",IF(D248="Other Expenditures","Other Expense",E247)))))</f>
        <v/>
      </c>
      <c r="F248" s="36" t="str">
        <f aca="false">IF(OR(D248="Revenue",D248="Cost of Goods Sold",D248="Expenditures",D248="Other Revenue",D248="Other Expenditures"),E248,IF(AND(LEN(D248)&gt;2,MID(D248,2,1)=" ",ISNUMBER(VALUE(LEFT(D248,1)))),D248,F247))</f>
        <v/>
      </c>
      <c r="G248" s="36" t="n">
        <f aca="false">IF(AND(D248&lt;&gt;"",ISNUMBER(B248),LEFT(D248,9)&lt;&gt;"Total for",D248&lt;&gt;"Gross Profit",D248&lt;&gt;"Net Operating Revenue",D248&lt;&gt;"Net Other Revenue",D248&lt;&gt;"Net Revenue"),1,0)</f>
        <v>0</v>
      </c>
      <c r="H248" s="36" t="str">
        <f aca="false">IF(G248=1,IF(AND(LEN(D248)&gt;7,ISNUMBER(VALUE(LEFT(D248,6))),MID(D248,7,1)=" "),LEFT(D248,6),D248),"")</f>
        <v/>
      </c>
      <c r="M248" s="36" t="str">
        <f aca="false">TRIM(J248)</f>
        <v/>
      </c>
      <c r="N248" s="36" t="str">
        <f aca="false">IF(M248="Revenue","Revenue",IF(M248="Cost of Goods Sold","COGS",IF(M248="Expenditures","Expense",IF(M248="Other Revenue","Other Revenue",IF(M248="Other Expenditures","Other Expense",N247)))))</f>
        <v/>
      </c>
      <c r="O248" s="36" t="str">
        <f aca="false">IF(OR(M248="Revenue",M248="Cost of Goods Sold",M248="Expenditures",M248="Other Revenue",M248="Other Expenditures"),N248,IF(AND(LEN(M248)&gt;2,MID(M248,2,1)=" ",ISNUMBER(VALUE(LEFT(M248,1)))),M248,O247))</f>
        <v/>
      </c>
      <c r="P248" s="36" t="n">
        <f aca="false">IF(AND(M248&lt;&gt;"",ISNUMBER(K248),LEFT(M248,9)&lt;&gt;"Total for",M248&lt;&gt;"Gross Profit",M248&lt;&gt;"Net Operating Revenue",M248&lt;&gt;"Net Other Revenue",M248&lt;&gt;"Net Revenue"),1,0)</f>
        <v>0</v>
      </c>
      <c r="Q248" s="36" t="str">
        <f aca="false">IF(P248=1,IF(AND(LEN(M248)&gt;7,ISNUMBER(VALUE(LEFT(M248,6))),MID(M248,7,1)=" "),LEFT(M248,6),M248),"")</f>
        <v/>
      </c>
      <c r="V248" s="36" t="str">
        <f aca="false">TRIM(S248)</f>
        <v/>
      </c>
      <c r="W248" s="36" t="str">
        <f aca="false">IF(V248="Revenue","Revenue",IF(V248="Cost of Goods Sold","COGS",IF(V248="Expenditures","Expense",IF(V248="Other Revenue","Other Revenue",IF(V248="Other Expenditures","Other Expense",W247)))))</f>
        <v/>
      </c>
      <c r="X248" s="36" t="str">
        <f aca="false">IF(OR(V248="Revenue",V248="Cost of Goods Sold",V248="Expenditures",V248="Other Revenue",V248="Other Expenditures"),W248,IF(AND(LEN(V248)&gt;2,MID(V248,2,1)=" ",ISNUMBER(VALUE(LEFT(V248,1)))),V248,X247))</f>
        <v/>
      </c>
      <c r="Y248" s="36" t="n">
        <f aca="false">IF(AND(V248&lt;&gt;"",ISNUMBER(T248),LEFT(V248,9)&lt;&gt;"Total for",V248&lt;&gt;"Gross Profit",V248&lt;&gt;"Net Operating Revenue",V248&lt;&gt;"Net Other Revenue",V248&lt;&gt;"Net Revenue"),1,0)</f>
        <v>0</v>
      </c>
      <c r="Z248" s="36" t="str">
        <f aca="false">IF(Y248=1,IF(AND(LEN(V248)&gt;7,ISNUMBER(VALUE(LEFT(V248,6))),MID(V248,7,1)=" "),LEFT(V248,6),V248),"")</f>
        <v/>
      </c>
      <c r="AE248" s="36" t="str">
        <f aca="false">TRIM(AB248)</f>
        <v/>
      </c>
      <c r="AF248" s="36" t="str">
        <f aca="false">IF(AE248="Revenue","Revenue",IF(AE248="Cost of Goods Sold","COGS",IF(AE248="Expenditures","Expense",IF(AE248="Other Revenue","Other Revenue",IF(AE248="Other Expenditures","Other Expense",AF247)))))</f>
        <v/>
      </c>
      <c r="AG248" s="36" t="str">
        <f aca="false">IF(OR(AE248="Revenue",AE248="Cost of Goods Sold",AE248="Expenditures",AE248="Other Revenue",AE248="Other Expenditures"),AF248,IF(AND(LEN(AE248)&gt;2,MID(AE248,2,1)=" ",ISNUMBER(VALUE(LEFT(AE248,1)))),AE248,AG247))</f>
        <v/>
      </c>
      <c r="AH248" s="36" t="n">
        <f aca="false">IF(AND(AE248&lt;&gt;"",ISNUMBER(AC248),LEFT(AE248,9)&lt;&gt;"Total for",AE248&lt;&gt;"Gross Profit",AE248&lt;&gt;"Net Operating Revenue",AE248&lt;&gt;"Net Other Revenue",AE248&lt;&gt;"Net Revenue"),1,0)</f>
        <v>0</v>
      </c>
      <c r="AI248" s="36" t="str">
        <f aca="false">IF(AH248=1,IF(AND(LEN(AE248)&gt;7,ISNUMBER(VALUE(LEFT(AE248,6))),MID(AE248,7,1)=" "),LEFT(AE248,6),AE248),"")</f>
        <v/>
      </c>
      <c r="AN248" s="36" t="str">
        <f aca="false">TRIM(AK248)</f>
        <v/>
      </c>
      <c r="AO248" s="36" t="str">
        <f aca="false">IF(AN248="Revenue","Revenue",IF(AN248="Cost of Goods Sold","COGS",IF(AN248="Expenditures","Expense",IF(AN248="Other Revenue","Other Revenue",IF(AN248="Other Expenditures","Other Expense",AO247)))))</f>
        <v/>
      </c>
      <c r="AP248" s="36" t="str">
        <f aca="false">IF(OR(AN248="Revenue",AN248="Cost of Goods Sold",AN248="Expenditures",AN248="Other Revenue",AN248="Other Expenditures"),AO248,IF(AND(LEN(AN248)&gt;2,MID(AN248,2,1)=" ",ISNUMBER(VALUE(LEFT(AN248,1)))),AN248,AP247))</f>
        <v/>
      </c>
      <c r="AQ248" s="36" t="n">
        <f aca="false">IF(AND(AN248&lt;&gt;"",ISNUMBER(AL248),LEFT(AN248,9)&lt;&gt;"Total for",AN248&lt;&gt;"Gross Profit",AN248&lt;&gt;"Net Operating Revenue",AN248&lt;&gt;"Net Other Revenue",AN248&lt;&gt;"Net Revenue"),1,0)</f>
        <v>0</v>
      </c>
      <c r="AR248" s="36" t="str">
        <f aca="false">IF(AQ248=1,IF(AND(LEN(AN248)&gt;7,ISNUMBER(VALUE(LEFT(AN248,6))),MID(AN248,7,1)=" "),LEFT(AN248,6),AN248),"")</f>
        <v/>
      </c>
    </row>
    <row r="249" customFormat="false" ht="15" hidden="false" customHeight="false" outlineLevel="0" collapsed="false">
      <c r="D249" s="36" t="str">
        <f aca="false">TRIM(A249)</f>
        <v/>
      </c>
      <c r="E249" s="36" t="str">
        <f aca="false">IF(D249="Revenue","Revenue",IF(D249="Cost of Goods Sold","COGS",IF(D249="Expenditures","Expense",IF(D249="Other Revenue","Other Revenue",IF(D249="Other Expenditures","Other Expense",E248)))))</f>
        <v/>
      </c>
      <c r="F249" s="36" t="str">
        <f aca="false">IF(OR(D249="Revenue",D249="Cost of Goods Sold",D249="Expenditures",D249="Other Revenue",D249="Other Expenditures"),E249,IF(AND(LEN(D249)&gt;2,MID(D249,2,1)=" ",ISNUMBER(VALUE(LEFT(D249,1)))),D249,F248))</f>
        <v/>
      </c>
      <c r="G249" s="36" t="n">
        <f aca="false">IF(AND(D249&lt;&gt;"",ISNUMBER(B249),LEFT(D249,9)&lt;&gt;"Total for",D249&lt;&gt;"Gross Profit",D249&lt;&gt;"Net Operating Revenue",D249&lt;&gt;"Net Other Revenue",D249&lt;&gt;"Net Revenue"),1,0)</f>
        <v>0</v>
      </c>
      <c r="H249" s="36" t="str">
        <f aca="false">IF(G249=1,IF(AND(LEN(D249)&gt;7,ISNUMBER(VALUE(LEFT(D249,6))),MID(D249,7,1)=" "),LEFT(D249,6),D249),"")</f>
        <v/>
      </c>
      <c r="M249" s="36" t="str">
        <f aca="false">TRIM(J249)</f>
        <v/>
      </c>
      <c r="N249" s="36" t="str">
        <f aca="false">IF(M249="Revenue","Revenue",IF(M249="Cost of Goods Sold","COGS",IF(M249="Expenditures","Expense",IF(M249="Other Revenue","Other Revenue",IF(M249="Other Expenditures","Other Expense",N248)))))</f>
        <v/>
      </c>
      <c r="O249" s="36" t="str">
        <f aca="false">IF(OR(M249="Revenue",M249="Cost of Goods Sold",M249="Expenditures",M249="Other Revenue",M249="Other Expenditures"),N249,IF(AND(LEN(M249)&gt;2,MID(M249,2,1)=" ",ISNUMBER(VALUE(LEFT(M249,1)))),M249,O248))</f>
        <v/>
      </c>
      <c r="P249" s="36" t="n">
        <f aca="false">IF(AND(M249&lt;&gt;"",ISNUMBER(K249),LEFT(M249,9)&lt;&gt;"Total for",M249&lt;&gt;"Gross Profit",M249&lt;&gt;"Net Operating Revenue",M249&lt;&gt;"Net Other Revenue",M249&lt;&gt;"Net Revenue"),1,0)</f>
        <v>0</v>
      </c>
      <c r="Q249" s="36" t="str">
        <f aca="false">IF(P249=1,IF(AND(LEN(M249)&gt;7,ISNUMBER(VALUE(LEFT(M249,6))),MID(M249,7,1)=" "),LEFT(M249,6),M249),"")</f>
        <v/>
      </c>
      <c r="V249" s="36" t="str">
        <f aca="false">TRIM(S249)</f>
        <v/>
      </c>
      <c r="W249" s="36" t="str">
        <f aca="false">IF(V249="Revenue","Revenue",IF(V249="Cost of Goods Sold","COGS",IF(V249="Expenditures","Expense",IF(V249="Other Revenue","Other Revenue",IF(V249="Other Expenditures","Other Expense",W248)))))</f>
        <v/>
      </c>
      <c r="X249" s="36" t="str">
        <f aca="false">IF(OR(V249="Revenue",V249="Cost of Goods Sold",V249="Expenditures",V249="Other Revenue",V249="Other Expenditures"),W249,IF(AND(LEN(V249)&gt;2,MID(V249,2,1)=" ",ISNUMBER(VALUE(LEFT(V249,1)))),V249,X248))</f>
        <v/>
      </c>
      <c r="Y249" s="36" t="n">
        <f aca="false">IF(AND(V249&lt;&gt;"",ISNUMBER(T249),LEFT(V249,9)&lt;&gt;"Total for",V249&lt;&gt;"Gross Profit",V249&lt;&gt;"Net Operating Revenue",V249&lt;&gt;"Net Other Revenue",V249&lt;&gt;"Net Revenue"),1,0)</f>
        <v>0</v>
      </c>
      <c r="Z249" s="36" t="str">
        <f aca="false">IF(Y249=1,IF(AND(LEN(V249)&gt;7,ISNUMBER(VALUE(LEFT(V249,6))),MID(V249,7,1)=" "),LEFT(V249,6),V249),"")</f>
        <v/>
      </c>
      <c r="AE249" s="36" t="str">
        <f aca="false">TRIM(AB249)</f>
        <v/>
      </c>
      <c r="AF249" s="36" t="str">
        <f aca="false">IF(AE249="Revenue","Revenue",IF(AE249="Cost of Goods Sold","COGS",IF(AE249="Expenditures","Expense",IF(AE249="Other Revenue","Other Revenue",IF(AE249="Other Expenditures","Other Expense",AF248)))))</f>
        <v/>
      </c>
      <c r="AG249" s="36" t="str">
        <f aca="false">IF(OR(AE249="Revenue",AE249="Cost of Goods Sold",AE249="Expenditures",AE249="Other Revenue",AE249="Other Expenditures"),AF249,IF(AND(LEN(AE249)&gt;2,MID(AE249,2,1)=" ",ISNUMBER(VALUE(LEFT(AE249,1)))),AE249,AG248))</f>
        <v/>
      </c>
      <c r="AH249" s="36" t="n">
        <f aca="false">IF(AND(AE249&lt;&gt;"",ISNUMBER(AC249),LEFT(AE249,9)&lt;&gt;"Total for",AE249&lt;&gt;"Gross Profit",AE249&lt;&gt;"Net Operating Revenue",AE249&lt;&gt;"Net Other Revenue",AE249&lt;&gt;"Net Revenue"),1,0)</f>
        <v>0</v>
      </c>
      <c r="AI249" s="36" t="str">
        <f aca="false">IF(AH249=1,IF(AND(LEN(AE249)&gt;7,ISNUMBER(VALUE(LEFT(AE249,6))),MID(AE249,7,1)=" "),LEFT(AE249,6),AE249),"")</f>
        <v/>
      </c>
      <c r="AN249" s="36" t="str">
        <f aca="false">TRIM(AK249)</f>
        <v/>
      </c>
      <c r="AO249" s="36" t="str">
        <f aca="false">IF(AN249="Revenue","Revenue",IF(AN249="Cost of Goods Sold","COGS",IF(AN249="Expenditures","Expense",IF(AN249="Other Revenue","Other Revenue",IF(AN249="Other Expenditures","Other Expense",AO248)))))</f>
        <v/>
      </c>
      <c r="AP249" s="36" t="str">
        <f aca="false">IF(OR(AN249="Revenue",AN249="Cost of Goods Sold",AN249="Expenditures",AN249="Other Revenue",AN249="Other Expenditures"),AO249,IF(AND(LEN(AN249)&gt;2,MID(AN249,2,1)=" ",ISNUMBER(VALUE(LEFT(AN249,1)))),AN249,AP248))</f>
        <v/>
      </c>
      <c r="AQ249" s="36" t="n">
        <f aca="false">IF(AND(AN249&lt;&gt;"",ISNUMBER(AL249),LEFT(AN249,9)&lt;&gt;"Total for",AN249&lt;&gt;"Gross Profit",AN249&lt;&gt;"Net Operating Revenue",AN249&lt;&gt;"Net Other Revenue",AN249&lt;&gt;"Net Revenue"),1,0)</f>
        <v>0</v>
      </c>
      <c r="AR249" s="36" t="str">
        <f aca="false">IF(AQ249=1,IF(AND(LEN(AN249)&gt;7,ISNUMBER(VALUE(LEFT(AN249,6))),MID(AN249,7,1)=" "),LEFT(AN249,6),AN249),"")</f>
        <v/>
      </c>
    </row>
    <row r="250" customFormat="false" ht="15" hidden="false" customHeight="false" outlineLevel="0" collapsed="false">
      <c r="D250" s="36" t="str">
        <f aca="false">TRIM(A250)</f>
        <v/>
      </c>
      <c r="E250" s="36" t="str">
        <f aca="false">IF(D250="Revenue","Revenue",IF(D250="Cost of Goods Sold","COGS",IF(D250="Expenditures","Expense",IF(D250="Other Revenue","Other Revenue",IF(D250="Other Expenditures","Other Expense",E249)))))</f>
        <v/>
      </c>
      <c r="F250" s="36" t="str">
        <f aca="false">IF(OR(D250="Revenue",D250="Cost of Goods Sold",D250="Expenditures",D250="Other Revenue",D250="Other Expenditures"),E250,IF(AND(LEN(D250)&gt;2,MID(D250,2,1)=" ",ISNUMBER(VALUE(LEFT(D250,1)))),D250,F249))</f>
        <v/>
      </c>
      <c r="G250" s="36" t="n">
        <f aca="false">IF(AND(D250&lt;&gt;"",ISNUMBER(B250),LEFT(D250,9)&lt;&gt;"Total for",D250&lt;&gt;"Gross Profit",D250&lt;&gt;"Net Operating Revenue",D250&lt;&gt;"Net Other Revenue",D250&lt;&gt;"Net Revenue"),1,0)</f>
        <v>0</v>
      </c>
      <c r="H250" s="36" t="str">
        <f aca="false">IF(G250=1,IF(AND(LEN(D250)&gt;7,ISNUMBER(VALUE(LEFT(D250,6))),MID(D250,7,1)=" "),LEFT(D250,6),D250),"")</f>
        <v/>
      </c>
      <c r="M250" s="36" t="str">
        <f aca="false">TRIM(J250)</f>
        <v/>
      </c>
      <c r="N250" s="36" t="str">
        <f aca="false">IF(M250="Revenue","Revenue",IF(M250="Cost of Goods Sold","COGS",IF(M250="Expenditures","Expense",IF(M250="Other Revenue","Other Revenue",IF(M250="Other Expenditures","Other Expense",N249)))))</f>
        <v/>
      </c>
      <c r="O250" s="36" t="str">
        <f aca="false">IF(OR(M250="Revenue",M250="Cost of Goods Sold",M250="Expenditures",M250="Other Revenue",M250="Other Expenditures"),N250,IF(AND(LEN(M250)&gt;2,MID(M250,2,1)=" ",ISNUMBER(VALUE(LEFT(M250,1)))),M250,O249))</f>
        <v/>
      </c>
      <c r="P250" s="36" t="n">
        <f aca="false">IF(AND(M250&lt;&gt;"",ISNUMBER(K250),LEFT(M250,9)&lt;&gt;"Total for",M250&lt;&gt;"Gross Profit",M250&lt;&gt;"Net Operating Revenue",M250&lt;&gt;"Net Other Revenue",M250&lt;&gt;"Net Revenue"),1,0)</f>
        <v>0</v>
      </c>
      <c r="Q250" s="36" t="str">
        <f aca="false">IF(P250=1,IF(AND(LEN(M250)&gt;7,ISNUMBER(VALUE(LEFT(M250,6))),MID(M250,7,1)=" "),LEFT(M250,6),M250),"")</f>
        <v/>
      </c>
      <c r="V250" s="36" t="str">
        <f aca="false">TRIM(S250)</f>
        <v/>
      </c>
      <c r="W250" s="36" t="str">
        <f aca="false">IF(V250="Revenue","Revenue",IF(V250="Cost of Goods Sold","COGS",IF(V250="Expenditures","Expense",IF(V250="Other Revenue","Other Revenue",IF(V250="Other Expenditures","Other Expense",W249)))))</f>
        <v/>
      </c>
      <c r="X250" s="36" t="str">
        <f aca="false">IF(OR(V250="Revenue",V250="Cost of Goods Sold",V250="Expenditures",V250="Other Revenue",V250="Other Expenditures"),W250,IF(AND(LEN(V250)&gt;2,MID(V250,2,1)=" ",ISNUMBER(VALUE(LEFT(V250,1)))),V250,X249))</f>
        <v/>
      </c>
      <c r="Y250" s="36" t="n">
        <f aca="false">IF(AND(V250&lt;&gt;"",ISNUMBER(T250),LEFT(V250,9)&lt;&gt;"Total for",V250&lt;&gt;"Gross Profit",V250&lt;&gt;"Net Operating Revenue",V250&lt;&gt;"Net Other Revenue",V250&lt;&gt;"Net Revenue"),1,0)</f>
        <v>0</v>
      </c>
      <c r="Z250" s="36" t="str">
        <f aca="false">IF(Y250=1,IF(AND(LEN(V250)&gt;7,ISNUMBER(VALUE(LEFT(V250,6))),MID(V250,7,1)=" "),LEFT(V250,6),V250),"")</f>
        <v/>
      </c>
      <c r="AE250" s="36" t="str">
        <f aca="false">TRIM(AB250)</f>
        <v/>
      </c>
      <c r="AF250" s="36" t="str">
        <f aca="false">IF(AE250="Revenue","Revenue",IF(AE250="Cost of Goods Sold","COGS",IF(AE250="Expenditures","Expense",IF(AE250="Other Revenue","Other Revenue",IF(AE250="Other Expenditures","Other Expense",AF249)))))</f>
        <v/>
      </c>
      <c r="AG250" s="36" t="str">
        <f aca="false">IF(OR(AE250="Revenue",AE250="Cost of Goods Sold",AE250="Expenditures",AE250="Other Revenue",AE250="Other Expenditures"),AF250,IF(AND(LEN(AE250)&gt;2,MID(AE250,2,1)=" ",ISNUMBER(VALUE(LEFT(AE250,1)))),AE250,AG249))</f>
        <v/>
      </c>
      <c r="AH250" s="36" t="n">
        <f aca="false">IF(AND(AE250&lt;&gt;"",ISNUMBER(AC250),LEFT(AE250,9)&lt;&gt;"Total for",AE250&lt;&gt;"Gross Profit",AE250&lt;&gt;"Net Operating Revenue",AE250&lt;&gt;"Net Other Revenue",AE250&lt;&gt;"Net Revenue"),1,0)</f>
        <v>0</v>
      </c>
      <c r="AI250" s="36" t="str">
        <f aca="false">IF(AH250=1,IF(AND(LEN(AE250)&gt;7,ISNUMBER(VALUE(LEFT(AE250,6))),MID(AE250,7,1)=" "),LEFT(AE250,6),AE250),"")</f>
        <v/>
      </c>
      <c r="AN250" s="36" t="str">
        <f aca="false">TRIM(AK250)</f>
        <v/>
      </c>
      <c r="AO250" s="36" t="str">
        <f aca="false">IF(AN250="Revenue","Revenue",IF(AN250="Cost of Goods Sold","COGS",IF(AN250="Expenditures","Expense",IF(AN250="Other Revenue","Other Revenue",IF(AN250="Other Expenditures","Other Expense",AO249)))))</f>
        <v/>
      </c>
      <c r="AP250" s="36" t="str">
        <f aca="false">IF(OR(AN250="Revenue",AN250="Cost of Goods Sold",AN250="Expenditures",AN250="Other Revenue",AN250="Other Expenditures"),AO250,IF(AND(LEN(AN250)&gt;2,MID(AN250,2,1)=" ",ISNUMBER(VALUE(LEFT(AN250,1)))),AN250,AP249))</f>
        <v/>
      </c>
      <c r="AQ250" s="36" t="n">
        <f aca="false">IF(AND(AN250&lt;&gt;"",ISNUMBER(AL250),LEFT(AN250,9)&lt;&gt;"Total for",AN250&lt;&gt;"Gross Profit",AN250&lt;&gt;"Net Operating Revenue",AN250&lt;&gt;"Net Other Revenue",AN250&lt;&gt;"Net Revenue"),1,0)</f>
        <v>0</v>
      </c>
      <c r="AR250" s="36" t="str">
        <f aca="false">IF(AQ250=1,IF(AND(LEN(AN250)&gt;7,ISNUMBER(VALUE(LEFT(AN250,6))),MID(AN250,7,1)=" "),LEFT(AN250,6),AN250),"")</f>
        <v/>
      </c>
    </row>
    <row r="251" customFormat="false" ht="15" hidden="false" customHeight="false" outlineLevel="0" collapsed="false">
      <c r="D251" s="36" t="str">
        <f aca="false">TRIM(A251)</f>
        <v/>
      </c>
      <c r="E251" s="36" t="str">
        <f aca="false">IF(D251="Revenue","Revenue",IF(D251="Cost of Goods Sold","COGS",IF(D251="Expenditures","Expense",IF(D251="Other Revenue","Other Revenue",IF(D251="Other Expenditures","Other Expense",E250)))))</f>
        <v/>
      </c>
      <c r="F251" s="36" t="str">
        <f aca="false">IF(OR(D251="Revenue",D251="Cost of Goods Sold",D251="Expenditures",D251="Other Revenue",D251="Other Expenditures"),E251,IF(AND(LEN(D251)&gt;2,MID(D251,2,1)=" ",ISNUMBER(VALUE(LEFT(D251,1)))),D251,F250))</f>
        <v/>
      </c>
      <c r="G251" s="36" t="n">
        <f aca="false">IF(AND(D251&lt;&gt;"",ISNUMBER(B251),LEFT(D251,9)&lt;&gt;"Total for",D251&lt;&gt;"Gross Profit",D251&lt;&gt;"Net Operating Revenue",D251&lt;&gt;"Net Other Revenue",D251&lt;&gt;"Net Revenue"),1,0)</f>
        <v>0</v>
      </c>
      <c r="H251" s="36" t="str">
        <f aca="false">IF(G251=1,IF(AND(LEN(D251)&gt;7,ISNUMBER(VALUE(LEFT(D251,6))),MID(D251,7,1)=" "),LEFT(D251,6),D251),"")</f>
        <v/>
      </c>
      <c r="M251" s="36" t="str">
        <f aca="false">TRIM(J251)</f>
        <v/>
      </c>
      <c r="N251" s="36" t="str">
        <f aca="false">IF(M251="Revenue","Revenue",IF(M251="Cost of Goods Sold","COGS",IF(M251="Expenditures","Expense",IF(M251="Other Revenue","Other Revenue",IF(M251="Other Expenditures","Other Expense",N250)))))</f>
        <v/>
      </c>
      <c r="O251" s="36" t="str">
        <f aca="false">IF(OR(M251="Revenue",M251="Cost of Goods Sold",M251="Expenditures",M251="Other Revenue",M251="Other Expenditures"),N251,IF(AND(LEN(M251)&gt;2,MID(M251,2,1)=" ",ISNUMBER(VALUE(LEFT(M251,1)))),M251,O250))</f>
        <v/>
      </c>
      <c r="P251" s="36" t="n">
        <f aca="false">IF(AND(M251&lt;&gt;"",ISNUMBER(K251),LEFT(M251,9)&lt;&gt;"Total for",M251&lt;&gt;"Gross Profit",M251&lt;&gt;"Net Operating Revenue",M251&lt;&gt;"Net Other Revenue",M251&lt;&gt;"Net Revenue"),1,0)</f>
        <v>0</v>
      </c>
      <c r="Q251" s="36" t="str">
        <f aca="false">IF(P251=1,IF(AND(LEN(M251)&gt;7,ISNUMBER(VALUE(LEFT(M251,6))),MID(M251,7,1)=" "),LEFT(M251,6),M251),"")</f>
        <v/>
      </c>
      <c r="V251" s="36" t="str">
        <f aca="false">TRIM(S251)</f>
        <v/>
      </c>
      <c r="W251" s="36" t="str">
        <f aca="false">IF(V251="Revenue","Revenue",IF(V251="Cost of Goods Sold","COGS",IF(V251="Expenditures","Expense",IF(V251="Other Revenue","Other Revenue",IF(V251="Other Expenditures","Other Expense",W250)))))</f>
        <v/>
      </c>
      <c r="X251" s="36" t="str">
        <f aca="false">IF(OR(V251="Revenue",V251="Cost of Goods Sold",V251="Expenditures",V251="Other Revenue",V251="Other Expenditures"),W251,IF(AND(LEN(V251)&gt;2,MID(V251,2,1)=" ",ISNUMBER(VALUE(LEFT(V251,1)))),V251,X250))</f>
        <v/>
      </c>
      <c r="Y251" s="36" t="n">
        <f aca="false">IF(AND(V251&lt;&gt;"",ISNUMBER(T251),LEFT(V251,9)&lt;&gt;"Total for",V251&lt;&gt;"Gross Profit",V251&lt;&gt;"Net Operating Revenue",V251&lt;&gt;"Net Other Revenue",V251&lt;&gt;"Net Revenue"),1,0)</f>
        <v>0</v>
      </c>
      <c r="Z251" s="36" t="str">
        <f aca="false">IF(Y251=1,IF(AND(LEN(V251)&gt;7,ISNUMBER(VALUE(LEFT(V251,6))),MID(V251,7,1)=" "),LEFT(V251,6),V251),"")</f>
        <v/>
      </c>
      <c r="AE251" s="36" t="str">
        <f aca="false">TRIM(AB251)</f>
        <v/>
      </c>
      <c r="AF251" s="36" t="str">
        <f aca="false">IF(AE251="Revenue","Revenue",IF(AE251="Cost of Goods Sold","COGS",IF(AE251="Expenditures","Expense",IF(AE251="Other Revenue","Other Revenue",IF(AE251="Other Expenditures","Other Expense",AF250)))))</f>
        <v/>
      </c>
      <c r="AG251" s="36" t="str">
        <f aca="false">IF(OR(AE251="Revenue",AE251="Cost of Goods Sold",AE251="Expenditures",AE251="Other Revenue",AE251="Other Expenditures"),AF251,IF(AND(LEN(AE251)&gt;2,MID(AE251,2,1)=" ",ISNUMBER(VALUE(LEFT(AE251,1)))),AE251,AG250))</f>
        <v/>
      </c>
      <c r="AH251" s="36" t="n">
        <f aca="false">IF(AND(AE251&lt;&gt;"",ISNUMBER(AC251),LEFT(AE251,9)&lt;&gt;"Total for",AE251&lt;&gt;"Gross Profit",AE251&lt;&gt;"Net Operating Revenue",AE251&lt;&gt;"Net Other Revenue",AE251&lt;&gt;"Net Revenue"),1,0)</f>
        <v>0</v>
      </c>
      <c r="AI251" s="36" t="str">
        <f aca="false">IF(AH251=1,IF(AND(LEN(AE251)&gt;7,ISNUMBER(VALUE(LEFT(AE251,6))),MID(AE251,7,1)=" "),LEFT(AE251,6),AE251),"")</f>
        <v/>
      </c>
      <c r="AN251" s="36" t="str">
        <f aca="false">TRIM(AK251)</f>
        <v/>
      </c>
      <c r="AO251" s="36" t="str">
        <f aca="false">IF(AN251="Revenue","Revenue",IF(AN251="Cost of Goods Sold","COGS",IF(AN251="Expenditures","Expense",IF(AN251="Other Revenue","Other Revenue",IF(AN251="Other Expenditures","Other Expense",AO250)))))</f>
        <v/>
      </c>
      <c r="AP251" s="36" t="str">
        <f aca="false">IF(OR(AN251="Revenue",AN251="Cost of Goods Sold",AN251="Expenditures",AN251="Other Revenue",AN251="Other Expenditures"),AO251,IF(AND(LEN(AN251)&gt;2,MID(AN251,2,1)=" ",ISNUMBER(VALUE(LEFT(AN251,1)))),AN251,AP250))</f>
        <v/>
      </c>
      <c r="AQ251" s="36" t="n">
        <f aca="false">IF(AND(AN251&lt;&gt;"",ISNUMBER(AL251),LEFT(AN251,9)&lt;&gt;"Total for",AN251&lt;&gt;"Gross Profit",AN251&lt;&gt;"Net Operating Revenue",AN251&lt;&gt;"Net Other Revenue",AN251&lt;&gt;"Net Revenue"),1,0)</f>
        <v>0</v>
      </c>
      <c r="AR251" s="36" t="str">
        <f aca="false">IF(AQ251=1,IF(AND(LEN(AN251)&gt;7,ISNUMBER(VALUE(LEFT(AN251,6))),MID(AN251,7,1)=" "),LEFT(AN251,6),AN251),"")</f>
        <v/>
      </c>
    </row>
    <row r="252" customFormat="false" ht="15" hidden="false" customHeight="false" outlineLevel="0" collapsed="false">
      <c r="D252" s="36" t="str">
        <f aca="false">TRIM(A252)</f>
        <v/>
      </c>
      <c r="E252" s="36" t="str">
        <f aca="false">IF(D252="Revenue","Revenue",IF(D252="Cost of Goods Sold","COGS",IF(D252="Expenditures","Expense",IF(D252="Other Revenue","Other Revenue",IF(D252="Other Expenditures","Other Expense",E251)))))</f>
        <v/>
      </c>
      <c r="F252" s="36" t="str">
        <f aca="false">IF(OR(D252="Revenue",D252="Cost of Goods Sold",D252="Expenditures",D252="Other Revenue",D252="Other Expenditures"),E252,IF(AND(LEN(D252)&gt;2,MID(D252,2,1)=" ",ISNUMBER(VALUE(LEFT(D252,1)))),D252,F251))</f>
        <v/>
      </c>
      <c r="G252" s="36" t="n">
        <f aca="false">IF(AND(D252&lt;&gt;"",ISNUMBER(B252),LEFT(D252,9)&lt;&gt;"Total for",D252&lt;&gt;"Gross Profit",D252&lt;&gt;"Net Operating Revenue",D252&lt;&gt;"Net Other Revenue",D252&lt;&gt;"Net Revenue"),1,0)</f>
        <v>0</v>
      </c>
      <c r="H252" s="36" t="str">
        <f aca="false">IF(G252=1,IF(AND(LEN(D252)&gt;7,ISNUMBER(VALUE(LEFT(D252,6))),MID(D252,7,1)=" "),LEFT(D252,6),D252),"")</f>
        <v/>
      </c>
      <c r="M252" s="36" t="str">
        <f aca="false">TRIM(J252)</f>
        <v/>
      </c>
      <c r="N252" s="36" t="str">
        <f aca="false">IF(M252="Revenue","Revenue",IF(M252="Cost of Goods Sold","COGS",IF(M252="Expenditures","Expense",IF(M252="Other Revenue","Other Revenue",IF(M252="Other Expenditures","Other Expense",N251)))))</f>
        <v/>
      </c>
      <c r="O252" s="36" t="str">
        <f aca="false">IF(OR(M252="Revenue",M252="Cost of Goods Sold",M252="Expenditures",M252="Other Revenue",M252="Other Expenditures"),N252,IF(AND(LEN(M252)&gt;2,MID(M252,2,1)=" ",ISNUMBER(VALUE(LEFT(M252,1)))),M252,O251))</f>
        <v/>
      </c>
      <c r="P252" s="36" t="n">
        <f aca="false">IF(AND(M252&lt;&gt;"",ISNUMBER(K252),LEFT(M252,9)&lt;&gt;"Total for",M252&lt;&gt;"Gross Profit",M252&lt;&gt;"Net Operating Revenue",M252&lt;&gt;"Net Other Revenue",M252&lt;&gt;"Net Revenue"),1,0)</f>
        <v>0</v>
      </c>
      <c r="Q252" s="36" t="str">
        <f aca="false">IF(P252=1,IF(AND(LEN(M252)&gt;7,ISNUMBER(VALUE(LEFT(M252,6))),MID(M252,7,1)=" "),LEFT(M252,6),M252),"")</f>
        <v/>
      </c>
      <c r="V252" s="36" t="str">
        <f aca="false">TRIM(S252)</f>
        <v/>
      </c>
      <c r="W252" s="36" t="str">
        <f aca="false">IF(V252="Revenue","Revenue",IF(V252="Cost of Goods Sold","COGS",IF(V252="Expenditures","Expense",IF(V252="Other Revenue","Other Revenue",IF(V252="Other Expenditures","Other Expense",W251)))))</f>
        <v/>
      </c>
      <c r="X252" s="36" t="str">
        <f aca="false">IF(OR(V252="Revenue",V252="Cost of Goods Sold",V252="Expenditures",V252="Other Revenue",V252="Other Expenditures"),W252,IF(AND(LEN(V252)&gt;2,MID(V252,2,1)=" ",ISNUMBER(VALUE(LEFT(V252,1)))),V252,X251))</f>
        <v/>
      </c>
      <c r="Y252" s="36" t="n">
        <f aca="false">IF(AND(V252&lt;&gt;"",ISNUMBER(T252),LEFT(V252,9)&lt;&gt;"Total for",V252&lt;&gt;"Gross Profit",V252&lt;&gt;"Net Operating Revenue",V252&lt;&gt;"Net Other Revenue",V252&lt;&gt;"Net Revenue"),1,0)</f>
        <v>0</v>
      </c>
      <c r="Z252" s="36" t="str">
        <f aca="false">IF(Y252=1,IF(AND(LEN(V252)&gt;7,ISNUMBER(VALUE(LEFT(V252,6))),MID(V252,7,1)=" "),LEFT(V252,6),V252),"")</f>
        <v/>
      </c>
      <c r="AE252" s="36" t="str">
        <f aca="false">TRIM(AB252)</f>
        <v/>
      </c>
      <c r="AF252" s="36" t="str">
        <f aca="false">IF(AE252="Revenue","Revenue",IF(AE252="Cost of Goods Sold","COGS",IF(AE252="Expenditures","Expense",IF(AE252="Other Revenue","Other Revenue",IF(AE252="Other Expenditures","Other Expense",AF251)))))</f>
        <v/>
      </c>
      <c r="AG252" s="36" t="str">
        <f aca="false">IF(OR(AE252="Revenue",AE252="Cost of Goods Sold",AE252="Expenditures",AE252="Other Revenue",AE252="Other Expenditures"),AF252,IF(AND(LEN(AE252)&gt;2,MID(AE252,2,1)=" ",ISNUMBER(VALUE(LEFT(AE252,1)))),AE252,AG251))</f>
        <v/>
      </c>
      <c r="AH252" s="36" t="n">
        <f aca="false">IF(AND(AE252&lt;&gt;"",ISNUMBER(AC252),LEFT(AE252,9)&lt;&gt;"Total for",AE252&lt;&gt;"Gross Profit",AE252&lt;&gt;"Net Operating Revenue",AE252&lt;&gt;"Net Other Revenue",AE252&lt;&gt;"Net Revenue"),1,0)</f>
        <v>0</v>
      </c>
      <c r="AI252" s="36" t="str">
        <f aca="false">IF(AH252=1,IF(AND(LEN(AE252)&gt;7,ISNUMBER(VALUE(LEFT(AE252,6))),MID(AE252,7,1)=" "),LEFT(AE252,6),AE252),"")</f>
        <v/>
      </c>
      <c r="AN252" s="36" t="str">
        <f aca="false">TRIM(AK252)</f>
        <v/>
      </c>
      <c r="AO252" s="36" t="str">
        <f aca="false">IF(AN252="Revenue","Revenue",IF(AN252="Cost of Goods Sold","COGS",IF(AN252="Expenditures","Expense",IF(AN252="Other Revenue","Other Revenue",IF(AN252="Other Expenditures","Other Expense",AO251)))))</f>
        <v/>
      </c>
      <c r="AP252" s="36" t="str">
        <f aca="false">IF(OR(AN252="Revenue",AN252="Cost of Goods Sold",AN252="Expenditures",AN252="Other Revenue",AN252="Other Expenditures"),AO252,IF(AND(LEN(AN252)&gt;2,MID(AN252,2,1)=" ",ISNUMBER(VALUE(LEFT(AN252,1)))),AN252,AP251))</f>
        <v/>
      </c>
      <c r="AQ252" s="36" t="n">
        <f aca="false">IF(AND(AN252&lt;&gt;"",ISNUMBER(AL252),LEFT(AN252,9)&lt;&gt;"Total for",AN252&lt;&gt;"Gross Profit",AN252&lt;&gt;"Net Operating Revenue",AN252&lt;&gt;"Net Other Revenue",AN252&lt;&gt;"Net Revenue"),1,0)</f>
        <v>0</v>
      </c>
      <c r="AR252" s="36" t="str">
        <f aca="false">IF(AQ252=1,IF(AND(LEN(AN252)&gt;7,ISNUMBER(VALUE(LEFT(AN252,6))),MID(AN252,7,1)=" "),LEFT(AN252,6),AN252),"")</f>
        <v/>
      </c>
    </row>
    <row r="253" customFormat="false" ht="15" hidden="false" customHeight="false" outlineLevel="0" collapsed="false">
      <c r="D253" s="36" t="str">
        <f aca="false">TRIM(A253)</f>
        <v/>
      </c>
      <c r="E253" s="36" t="str">
        <f aca="false">IF(D253="Revenue","Revenue",IF(D253="Cost of Goods Sold","COGS",IF(D253="Expenditures","Expense",IF(D253="Other Revenue","Other Revenue",IF(D253="Other Expenditures","Other Expense",E252)))))</f>
        <v/>
      </c>
      <c r="F253" s="36" t="str">
        <f aca="false">IF(OR(D253="Revenue",D253="Cost of Goods Sold",D253="Expenditures",D253="Other Revenue",D253="Other Expenditures"),E253,IF(AND(LEN(D253)&gt;2,MID(D253,2,1)=" ",ISNUMBER(VALUE(LEFT(D253,1)))),D253,F252))</f>
        <v/>
      </c>
      <c r="G253" s="36" t="n">
        <f aca="false">IF(AND(D253&lt;&gt;"",ISNUMBER(B253),LEFT(D253,9)&lt;&gt;"Total for",D253&lt;&gt;"Gross Profit",D253&lt;&gt;"Net Operating Revenue",D253&lt;&gt;"Net Other Revenue",D253&lt;&gt;"Net Revenue"),1,0)</f>
        <v>0</v>
      </c>
      <c r="H253" s="36" t="str">
        <f aca="false">IF(G253=1,IF(AND(LEN(D253)&gt;7,ISNUMBER(VALUE(LEFT(D253,6))),MID(D253,7,1)=" "),LEFT(D253,6),D253),"")</f>
        <v/>
      </c>
      <c r="M253" s="36" t="str">
        <f aca="false">TRIM(J253)</f>
        <v/>
      </c>
      <c r="N253" s="36" t="str">
        <f aca="false">IF(M253="Revenue","Revenue",IF(M253="Cost of Goods Sold","COGS",IF(M253="Expenditures","Expense",IF(M253="Other Revenue","Other Revenue",IF(M253="Other Expenditures","Other Expense",N252)))))</f>
        <v/>
      </c>
      <c r="O253" s="36" t="str">
        <f aca="false">IF(OR(M253="Revenue",M253="Cost of Goods Sold",M253="Expenditures",M253="Other Revenue",M253="Other Expenditures"),N253,IF(AND(LEN(M253)&gt;2,MID(M253,2,1)=" ",ISNUMBER(VALUE(LEFT(M253,1)))),M253,O252))</f>
        <v/>
      </c>
      <c r="P253" s="36" t="n">
        <f aca="false">IF(AND(M253&lt;&gt;"",ISNUMBER(K253),LEFT(M253,9)&lt;&gt;"Total for",M253&lt;&gt;"Gross Profit",M253&lt;&gt;"Net Operating Revenue",M253&lt;&gt;"Net Other Revenue",M253&lt;&gt;"Net Revenue"),1,0)</f>
        <v>0</v>
      </c>
      <c r="Q253" s="36" t="str">
        <f aca="false">IF(P253=1,IF(AND(LEN(M253)&gt;7,ISNUMBER(VALUE(LEFT(M253,6))),MID(M253,7,1)=" "),LEFT(M253,6),M253),"")</f>
        <v/>
      </c>
      <c r="V253" s="36" t="str">
        <f aca="false">TRIM(S253)</f>
        <v/>
      </c>
      <c r="W253" s="36" t="str">
        <f aca="false">IF(V253="Revenue","Revenue",IF(V253="Cost of Goods Sold","COGS",IF(V253="Expenditures","Expense",IF(V253="Other Revenue","Other Revenue",IF(V253="Other Expenditures","Other Expense",W252)))))</f>
        <v/>
      </c>
      <c r="X253" s="36" t="str">
        <f aca="false">IF(OR(V253="Revenue",V253="Cost of Goods Sold",V253="Expenditures",V253="Other Revenue",V253="Other Expenditures"),W253,IF(AND(LEN(V253)&gt;2,MID(V253,2,1)=" ",ISNUMBER(VALUE(LEFT(V253,1)))),V253,X252))</f>
        <v/>
      </c>
      <c r="Y253" s="36" t="n">
        <f aca="false">IF(AND(V253&lt;&gt;"",ISNUMBER(T253),LEFT(V253,9)&lt;&gt;"Total for",V253&lt;&gt;"Gross Profit",V253&lt;&gt;"Net Operating Revenue",V253&lt;&gt;"Net Other Revenue",V253&lt;&gt;"Net Revenue"),1,0)</f>
        <v>0</v>
      </c>
      <c r="Z253" s="36" t="str">
        <f aca="false">IF(Y253=1,IF(AND(LEN(V253)&gt;7,ISNUMBER(VALUE(LEFT(V253,6))),MID(V253,7,1)=" "),LEFT(V253,6),V253),"")</f>
        <v/>
      </c>
      <c r="AE253" s="36" t="str">
        <f aca="false">TRIM(AB253)</f>
        <v/>
      </c>
      <c r="AF253" s="36" t="str">
        <f aca="false">IF(AE253="Revenue","Revenue",IF(AE253="Cost of Goods Sold","COGS",IF(AE253="Expenditures","Expense",IF(AE253="Other Revenue","Other Revenue",IF(AE253="Other Expenditures","Other Expense",AF252)))))</f>
        <v/>
      </c>
      <c r="AG253" s="36" t="str">
        <f aca="false">IF(OR(AE253="Revenue",AE253="Cost of Goods Sold",AE253="Expenditures",AE253="Other Revenue",AE253="Other Expenditures"),AF253,IF(AND(LEN(AE253)&gt;2,MID(AE253,2,1)=" ",ISNUMBER(VALUE(LEFT(AE253,1)))),AE253,AG252))</f>
        <v/>
      </c>
      <c r="AH253" s="36" t="n">
        <f aca="false">IF(AND(AE253&lt;&gt;"",ISNUMBER(AC253),LEFT(AE253,9)&lt;&gt;"Total for",AE253&lt;&gt;"Gross Profit",AE253&lt;&gt;"Net Operating Revenue",AE253&lt;&gt;"Net Other Revenue",AE253&lt;&gt;"Net Revenue"),1,0)</f>
        <v>0</v>
      </c>
      <c r="AI253" s="36" t="str">
        <f aca="false">IF(AH253=1,IF(AND(LEN(AE253)&gt;7,ISNUMBER(VALUE(LEFT(AE253,6))),MID(AE253,7,1)=" "),LEFT(AE253,6),AE253),"")</f>
        <v/>
      </c>
      <c r="AN253" s="36" t="str">
        <f aca="false">TRIM(AK253)</f>
        <v/>
      </c>
      <c r="AO253" s="36" t="str">
        <f aca="false">IF(AN253="Revenue","Revenue",IF(AN253="Cost of Goods Sold","COGS",IF(AN253="Expenditures","Expense",IF(AN253="Other Revenue","Other Revenue",IF(AN253="Other Expenditures","Other Expense",AO252)))))</f>
        <v/>
      </c>
      <c r="AP253" s="36" t="str">
        <f aca="false">IF(OR(AN253="Revenue",AN253="Cost of Goods Sold",AN253="Expenditures",AN253="Other Revenue",AN253="Other Expenditures"),AO253,IF(AND(LEN(AN253)&gt;2,MID(AN253,2,1)=" ",ISNUMBER(VALUE(LEFT(AN253,1)))),AN253,AP252))</f>
        <v/>
      </c>
      <c r="AQ253" s="36" t="n">
        <f aca="false">IF(AND(AN253&lt;&gt;"",ISNUMBER(AL253),LEFT(AN253,9)&lt;&gt;"Total for",AN253&lt;&gt;"Gross Profit",AN253&lt;&gt;"Net Operating Revenue",AN253&lt;&gt;"Net Other Revenue",AN253&lt;&gt;"Net Revenue"),1,0)</f>
        <v>0</v>
      </c>
      <c r="AR253" s="36" t="str">
        <f aca="false">IF(AQ253=1,IF(AND(LEN(AN253)&gt;7,ISNUMBER(VALUE(LEFT(AN253,6))),MID(AN253,7,1)=" "),LEFT(AN253,6),AN253),"")</f>
        <v/>
      </c>
    </row>
    <row r="254" customFormat="false" ht="15" hidden="false" customHeight="false" outlineLevel="0" collapsed="false">
      <c r="D254" s="36" t="str">
        <f aca="false">TRIM(A254)</f>
        <v/>
      </c>
      <c r="E254" s="36" t="str">
        <f aca="false">IF(D254="Revenue","Revenue",IF(D254="Cost of Goods Sold","COGS",IF(D254="Expenditures","Expense",IF(D254="Other Revenue","Other Revenue",IF(D254="Other Expenditures","Other Expense",E253)))))</f>
        <v/>
      </c>
      <c r="F254" s="36" t="str">
        <f aca="false">IF(OR(D254="Revenue",D254="Cost of Goods Sold",D254="Expenditures",D254="Other Revenue",D254="Other Expenditures"),E254,IF(AND(LEN(D254)&gt;2,MID(D254,2,1)=" ",ISNUMBER(VALUE(LEFT(D254,1)))),D254,F253))</f>
        <v/>
      </c>
      <c r="G254" s="36" t="n">
        <f aca="false">IF(AND(D254&lt;&gt;"",ISNUMBER(B254),LEFT(D254,9)&lt;&gt;"Total for",D254&lt;&gt;"Gross Profit",D254&lt;&gt;"Net Operating Revenue",D254&lt;&gt;"Net Other Revenue",D254&lt;&gt;"Net Revenue"),1,0)</f>
        <v>0</v>
      </c>
      <c r="H254" s="36" t="str">
        <f aca="false">IF(G254=1,IF(AND(LEN(D254)&gt;7,ISNUMBER(VALUE(LEFT(D254,6))),MID(D254,7,1)=" "),LEFT(D254,6),D254),"")</f>
        <v/>
      </c>
      <c r="M254" s="36" t="str">
        <f aca="false">TRIM(J254)</f>
        <v/>
      </c>
      <c r="N254" s="36" t="str">
        <f aca="false">IF(M254="Revenue","Revenue",IF(M254="Cost of Goods Sold","COGS",IF(M254="Expenditures","Expense",IF(M254="Other Revenue","Other Revenue",IF(M254="Other Expenditures","Other Expense",N253)))))</f>
        <v/>
      </c>
      <c r="O254" s="36" t="str">
        <f aca="false">IF(OR(M254="Revenue",M254="Cost of Goods Sold",M254="Expenditures",M254="Other Revenue",M254="Other Expenditures"),N254,IF(AND(LEN(M254)&gt;2,MID(M254,2,1)=" ",ISNUMBER(VALUE(LEFT(M254,1)))),M254,O253))</f>
        <v/>
      </c>
      <c r="P254" s="36" t="n">
        <f aca="false">IF(AND(M254&lt;&gt;"",ISNUMBER(K254),LEFT(M254,9)&lt;&gt;"Total for",M254&lt;&gt;"Gross Profit",M254&lt;&gt;"Net Operating Revenue",M254&lt;&gt;"Net Other Revenue",M254&lt;&gt;"Net Revenue"),1,0)</f>
        <v>0</v>
      </c>
      <c r="Q254" s="36" t="str">
        <f aca="false">IF(P254=1,IF(AND(LEN(M254)&gt;7,ISNUMBER(VALUE(LEFT(M254,6))),MID(M254,7,1)=" "),LEFT(M254,6),M254),"")</f>
        <v/>
      </c>
      <c r="V254" s="36" t="str">
        <f aca="false">TRIM(S254)</f>
        <v/>
      </c>
      <c r="W254" s="36" t="str">
        <f aca="false">IF(V254="Revenue","Revenue",IF(V254="Cost of Goods Sold","COGS",IF(V254="Expenditures","Expense",IF(V254="Other Revenue","Other Revenue",IF(V254="Other Expenditures","Other Expense",W253)))))</f>
        <v/>
      </c>
      <c r="X254" s="36" t="str">
        <f aca="false">IF(OR(V254="Revenue",V254="Cost of Goods Sold",V254="Expenditures",V254="Other Revenue",V254="Other Expenditures"),W254,IF(AND(LEN(V254)&gt;2,MID(V254,2,1)=" ",ISNUMBER(VALUE(LEFT(V254,1)))),V254,X253))</f>
        <v/>
      </c>
      <c r="Y254" s="36" t="n">
        <f aca="false">IF(AND(V254&lt;&gt;"",ISNUMBER(T254),LEFT(V254,9)&lt;&gt;"Total for",V254&lt;&gt;"Gross Profit",V254&lt;&gt;"Net Operating Revenue",V254&lt;&gt;"Net Other Revenue",V254&lt;&gt;"Net Revenue"),1,0)</f>
        <v>0</v>
      </c>
      <c r="Z254" s="36" t="str">
        <f aca="false">IF(Y254=1,IF(AND(LEN(V254)&gt;7,ISNUMBER(VALUE(LEFT(V254,6))),MID(V254,7,1)=" "),LEFT(V254,6),V254),"")</f>
        <v/>
      </c>
      <c r="AE254" s="36" t="str">
        <f aca="false">TRIM(AB254)</f>
        <v/>
      </c>
      <c r="AF254" s="36" t="str">
        <f aca="false">IF(AE254="Revenue","Revenue",IF(AE254="Cost of Goods Sold","COGS",IF(AE254="Expenditures","Expense",IF(AE254="Other Revenue","Other Revenue",IF(AE254="Other Expenditures","Other Expense",AF253)))))</f>
        <v/>
      </c>
      <c r="AG254" s="36" t="str">
        <f aca="false">IF(OR(AE254="Revenue",AE254="Cost of Goods Sold",AE254="Expenditures",AE254="Other Revenue",AE254="Other Expenditures"),AF254,IF(AND(LEN(AE254)&gt;2,MID(AE254,2,1)=" ",ISNUMBER(VALUE(LEFT(AE254,1)))),AE254,AG253))</f>
        <v/>
      </c>
      <c r="AH254" s="36" t="n">
        <f aca="false">IF(AND(AE254&lt;&gt;"",ISNUMBER(AC254),LEFT(AE254,9)&lt;&gt;"Total for",AE254&lt;&gt;"Gross Profit",AE254&lt;&gt;"Net Operating Revenue",AE254&lt;&gt;"Net Other Revenue",AE254&lt;&gt;"Net Revenue"),1,0)</f>
        <v>0</v>
      </c>
      <c r="AI254" s="36" t="str">
        <f aca="false">IF(AH254=1,IF(AND(LEN(AE254)&gt;7,ISNUMBER(VALUE(LEFT(AE254,6))),MID(AE254,7,1)=" "),LEFT(AE254,6),AE254),"")</f>
        <v/>
      </c>
      <c r="AN254" s="36" t="str">
        <f aca="false">TRIM(AK254)</f>
        <v/>
      </c>
      <c r="AO254" s="36" t="str">
        <f aca="false">IF(AN254="Revenue","Revenue",IF(AN254="Cost of Goods Sold","COGS",IF(AN254="Expenditures","Expense",IF(AN254="Other Revenue","Other Revenue",IF(AN254="Other Expenditures","Other Expense",AO253)))))</f>
        <v/>
      </c>
      <c r="AP254" s="36" t="str">
        <f aca="false">IF(OR(AN254="Revenue",AN254="Cost of Goods Sold",AN254="Expenditures",AN254="Other Revenue",AN254="Other Expenditures"),AO254,IF(AND(LEN(AN254)&gt;2,MID(AN254,2,1)=" ",ISNUMBER(VALUE(LEFT(AN254,1)))),AN254,AP253))</f>
        <v/>
      </c>
      <c r="AQ254" s="36" t="n">
        <f aca="false">IF(AND(AN254&lt;&gt;"",ISNUMBER(AL254),LEFT(AN254,9)&lt;&gt;"Total for",AN254&lt;&gt;"Gross Profit",AN254&lt;&gt;"Net Operating Revenue",AN254&lt;&gt;"Net Other Revenue",AN254&lt;&gt;"Net Revenue"),1,0)</f>
        <v>0</v>
      </c>
      <c r="AR254" s="36" t="str">
        <f aca="false">IF(AQ254=1,IF(AND(LEN(AN254)&gt;7,ISNUMBER(VALUE(LEFT(AN254,6))),MID(AN254,7,1)=" "),LEFT(AN254,6),AN254),"")</f>
        <v/>
      </c>
    </row>
    <row r="255" customFormat="false" ht="15" hidden="false" customHeight="false" outlineLevel="0" collapsed="false">
      <c r="D255" s="36" t="str">
        <f aca="false">TRIM(A255)</f>
        <v/>
      </c>
      <c r="E255" s="36" t="str">
        <f aca="false">IF(D255="Revenue","Revenue",IF(D255="Cost of Goods Sold","COGS",IF(D255="Expenditures","Expense",IF(D255="Other Revenue","Other Revenue",IF(D255="Other Expenditures","Other Expense",E254)))))</f>
        <v/>
      </c>
      <c r="F255" s="36" t="str">
        <f aca="false">IF(OR(D255="Revenue",D255="Cost of Goods Sold",D255="Expenditures",D255="Other Revenue",D255="Other Expenditures"),E255,IF(AND(LEN(D255)&gt;2,MID(D255,2,1)=" ",ISNUMBER(VALUE(LEFT(D255,1)))),D255,F254))</f>
        <v/>
      </c>
      <c r="G255" s="36" t="n">
        <f aca="false">IF(AND(D255&lt;&gt;"",ISNUMBER(B255),LEFT(D255,9)&lt;&gt;"Total for",D255&lt;&gt;"Gross Profit",D255&lt;&gt;"Net Operating Revenue",D255&lt;&gt;"Net Other Revenue",D255&lt;&gt;"Net Revenue"),1,0)</f>
        <v>0</v>
      </c>
      <c r="H255" s="36" t="str">
        <f aca="false">IF(G255=1,IF(AND(LEN(D255)&gt;7,ISNUMBER(VALUE(LEFT(D255,6))),MID(D255,7,1)=" "),LEFT(D255,6),D255),"")</f>
        <v/>
      </c>
      <c r="M255" s="36" t="str">
        <f aca="false">TRIM(J255)</f>
        <v/>
      </c>
      <c r="N255" s="36" t="str">
        <f aca="false">IF(M255="Revenue","Revenue",IF(M255="Cost of Goods Sold","COGS",IF(M255="Expenditures","Expense",IF(M255="Other Revenue","Other Revenue",IF(M255="Other Expenditures","Other Expense",N254)))))</f>
        <v/>
      </c>
      <c r="O255" s="36" t="str">
        <f aca="false">IF(OR(M255="Revenue",M255="Cost of Goods Sold",M255="Expenditures",M255="Other Revenue",M255="Other Expenditures"),N255,IF(AND(LEN(M255)&gt;2,MID(M255,2,1)=" ",ISNUMBER(VALUE(LEFT(M255,1)))),M255,O254))</f>
        <v/>
      </c>
      <c r="P255" s="36" t="n">
        <f aca="false">IF(AND(M255&lt;&gt;"",ISNUMBER(K255),LEFT(M255,9)&lt;&gt;"Total for",M255&lt;&gt;"Gross Profit",M255&lt;&gt;"Net Operating Revenue",M255&lt;&gt;"Net Other Revenue",M255&lt;&gt;"Net Revenue"),1,0)</f>
        <v>0</v>
      </c>
      <c r="Q255" s="36" t="str">
        <f aca="false">IF(P255=1,IF(AND(LEN(M255)&gt;7,ISNUMBER(VALUE(LEFT(M255,6))),MID(M255,7,1)=" "),LEFT(M255,6),M255),"")</f>
        <v/>
      </c>
      <c r="V255" s="36" t="str">
        <f aca="false">TRIM(S255)</f>
        <v/>
      </c>
      <c r="W255" s="36" t="str">
        <f aca="false">IF(V255="Revenue","Revenue",IF(V255="Cost of Goods Sold","COGS",IF(V255="Expenditures","Expense",IF(V255="Other Revenue","Other Revenue",IF(V255="Other Expenditures","Other Expense",W254)))))</f>
        <v/>
      </c>
      <c r="X255" s="36" t="str">
        <f aca="false">IF(OR(V255="Revenue",V255="Cost of Goods Sold",V255="Expenditures",V255="Other Revenue",V255="Other Expenditures"),W255,IF(AND(LEN(V255)&gt;2,MID(V255,2,1)=" ",ISNUMBER(VALUE(LEFT(V255,1)))),V255,X254))</f>
        <v/>
      </c>
      <c r="Y255" s="36" t="n">
        <f aca="false">IF(AND(V255&lt;&gt;"",ISNUMBER(T255),LEFT(V255,9)&lt;&gt;"Total for",V255&lt;&gt;"Gross Profit",V255&lt;&gt;"Net Operating Revenue",V255&lt;&gt;"Net Other Revenue",V255&lt;&gt;"Net Revenue"),1,0)</f>
        <v>0</v>
      </c>
      <c r="Z255" s="36" t="str">
        <f aca="false">IF(Y255=1,IF(AND(LEN(V255)&gt;7,ISNUMBER(VALUE(LEFT(V255,6))),MID(V255,7,1)=" "),LEFT(V255,6),V255),"")</f>
        <v/>
      </c>
      <c r="AE255" s="36" t="str">
        <f aca="false">TRIM(AB255)</f>
        <v/>
      </c>
      <c r="AF255" s="36" t="str">
        <f aca="false">IF(AE255="Revenue","Revenue",IF(AE255="Cost of Goods Sold","COGS",IF(AE255="Expenditures","Expense",IF(AE255="Other Revenue","Other Revenue",IF(AE255="Other Expenditures","Other Expense",AF254)))))</f>
        <v/>
      </c>
      <c r="AG255" s="36" t="str">
        <f aca="false">IF(OR(AE255="Revenue",AE255="Cost of Goods Sold",AE255="Expenditures",AE255="Other Revenue",AE255="Other Expenditures"),AF255,IF(AND(LEN(AE255)&gt;2,MID(AE255,2,1)=" ",ISNUMBER(VALUE(LEFT(AE255,1)))),AE255,AG254))</f>
        <v/>
      </c>
      <c r="AH255" s="36" t="n">
        <f aca="false">IF(AND(AE255&lt;&gt;"",ISNUMBER(AC255),LEFT(AE255,9)&lt;&gt;"Total for",AE255&lt;&gt;"Gross Profit",AE255&lt;&gt;"Net Operating Revenue",AE255&lt;&gt;"Net Other Revenue",AE255&lt;&gt;"Net Revenue"),1,0)</f>
        <v>0</v>
      </c>
      <c r="AI255" s="36" t="str">
        <f aca="false">IF(AH255=1,IF(AND(LEN(AE255)&gt;7,ISNUMBER(VALUE(LEFT(AE255,6))),MID(AE255,7,1)=" "),LEFT(AE255,6),AE255),"")</f>
        <v/>
      </c>
      <c r="AN255" s="36" t="str">
        <f aca="false">TRIM(AK255)</f>
        <v/>
      </c>
      <c r="AO255" s="36" t="str">
        <f aca="false">IF(AN255="Revenue","Revenue",IF(AN255="Cost of Goods Sold","COGS",IF(AN255="Expenditures","Expense",IF(AN255="Other Revenue","Other Revenue",IF(AN255="Other Expenditures","Other Expense",AO254)))))</f>
        <v/>
      </c>
      <c r="AP255" s="36" t="str">
        <f aca="false">IF(OR(AN255="Revenue",AN255="Cost of Goods Sold",AN255="Expenditures",AN255="Other Revenue",AN255="Other Expenditures"),AO255,IF(AND(LEN(AN255)&gt;2,MID(AN255,2,1)=" ",ISNUMBER(VALUE(LEFT(AN255,1)))),AN255,AP254))</f>
        <v/>
      </c>
      <c r="AQ255" s="36" t="n">
        <f aca="false">IF(AND(AN255&lt;&gt;"",ISNUMBER(AL255),LEFT(AN255,9)&lt;&gt;"Total for",AN255&lt;&gt;"Gross Profit",AN255&lt;&gt;"Net Operating Revenue",AN255&lt;&gt;"Net Other Revenue",AN255&lt;&gt;"Net Revenue"),1,0)</f>
        <v>0</v>
      </c>
      <c r="AR255" s="36" t="str">
        <f aca="false">IF(AQ255=1,IF(AND(LEN(AN255)&gt;7,ISNUMBER(VALUE(LEFT(AN255,6))),MID(AN255,7,1)=" "),LEFT(AN255,6),AN255),"")</f>
        <v/>
      </c>
    </row>
    <row r="256" customFormat="false" ht="15" hidden="false" customHeight="false" outlineLevel="0" collapsed="false">
      <c r="D256" s="36" t="str">
        <f aca="false">TRIM(A256)</f>
        <v/>
      </c>
      <c r="E256" s="36" t="str">
        <f aca="false">IF(D256="Revenue","Revenue",IF(D256="Cost of Goods Sold","COGS",IF(D256="Expenditures","Expense",IF(D256="Other Revenue","Other Revenue",IF(D256="Other Expenditures","Other Expense",E255)))))</f>
        <v/>
      </c>
      <c r="F256" s="36" t="str">
        <f aca="false">IF(OR(D256="Revenue",D256="Cost of Goods Sold",D256="Expenditures",D256="Other Revenue",D256="Other Expenditures"),E256,IF(AND(LEN(D256)&gt;2,MID(D256,2,1)=" ",ISNUMBER(VALUE(LEFT(D256,1)))),D256,F255))</f>
        <v/>
      </c>
      <c r="G256" s="36" t="n">
        <f aca="false">IF(AND(D256&lt;&gt;"",ISNUMBER(B256),LEFT(D256,9)&lt;&gt;"Total for",D256&lt;&gt;"Gross Profit",D256&lt;&gt;"Net Operating Revenue",D256&lt;&gt;"Net Other Revenue",D256&lt;&gt;"Net Revenue"),1,0)</f>
        <v>0</v>
      </c>
      <c r="H256" s="36" t="str">
        <f aca="false">IF(G256=1,IF(AND(LEN(D256)&gt;7,ISNUMBER(VALUE(LEFT(D256,6))),MID(D256,7,1)=" "),LEFT(D256,6),D256),"")</f>
        <v/>
      </c>
      <c r="M256" s="36" t="str">
        <f aca="false">TRIM(J256)</f>
        <v/>
      </c>
      <c r="N256" s="36" t="str">
        <f aca="false">IF(M256="Revenue","Revenue",IF(M256="Cost of Goods Sold","COGS",IF(M256="Expenditures","Expense",IF(M256="Other Revenue","Other Revenue",IF(M256="Other Expenditures","Other Expense",N255)))))</f>
        <v/>
      </c>
      <c r="O256" s="36" t="str">
        <f aca="false">IF(OR(M256="Revenue",M256="Cost of Goods Sold",M256="Expenditures",M256="Other Revenue",M256="Other Expenditures"),N256,IF(AND(LEN(M256)&gt;2,MID(M256,2,1)=" ",ISNUMBER(VALUE(LEFT(M256,1)))),M256,O255))</f>
        <v/>
      </c>
      <c r="P256" s="36" t="n">
        <f aca="false">IF(AND(M256&lt;&gt;"",ISNUMBER(K256),LEFT(M256,9)&lt;&gt;"Total for",M256&lt;&gt;"Gross Profit",M256&lt;&gt;"Net Operating Revenue",M256&lt;&gt;"Net Other Revenue",M256&lt;&gt;"Net Revenue"),1,0)</f>
        <v>0</v>
      </c>
      <c r="Q256" s="36" t="str">
        <f aca="false">IF(P256=1,IF(AND(LEN(M256)&gt;7,ISNUMBER(VALUE(LEFT(M256,6))),MID(M256,7,1)=" "),LEFT(M256,6),M256),"")</f>
        <v/>
      </c>
      <c r="V256" s="36" t="str">
        <f aca="false">TRIM(S256)</f>
        <v/>
      </c>
      <c r="W256" s="36" t="str">
        <f aca="false">IF(V256="Revenue","Revenue",IF(V256="Cost of Goods Sold","COGS",IF(V256="Expenditures","Expense",IF(V256="Other Revenue","Other Revenue",IF(V256="Other Expenditures","Other Expense",W255)))))</f>
        <v/>
      </c>
      <c r="X256" s="36" t="str">
        <f aca="false">IF(OR(V256="Revenue",V256="Cost of Goods Sold",V256="Expenditures",V256="Other Revenue",V256="Other Expenditures"),W256,IF(AND(LEN(V256)&gt;2,MID(V256,2,1)=" ",ISNUMBER(VALUE(LEFT(V256,1)))),V256,X255))</f>
        <v/>
      </c>
      <c r="Y256" s="36" t="n">
        <f aca="false">IF(AND(V256&lt;&gt;"",ISNUMBER(T256),LEFT(V256,9)&lt;&gt;"Total for",V256&lt;&gt;"Gross Profit",V256&lt;&gt;"Net Operating Revenue",V256&lt;&gt;"Net Other Revenue",V256&lt;&gt;"Net Revenue"),1,0)</f>
        <v>0</v>
      </c>
      <c r="Z256" s="36" t="str">
        <f aca="false">IF(Y256=1,IF(AND(LEN(V256)&gt;7,ISNUMBER(VALUE(LEFT(V256,6))),MID(V256,7,1)=" "),LEFT(V256,6),V256),"")</f>
        <v/>
      </c>
      <c r="AE256" s="36" t="str">
        <f aca="false">TRIM(AB256)</f>
        <v/>
      </c>
      <c r="AF256" s="36" t="str">
        <f aca="false">IF(AE256="Revenue","Revenue",IF(AE256="Cost of Goods Sold","COGS",IF(AE256="Expenditures","Expense",IF(AE256="Other Revenue","Other Revenue",IF(AE256="Other Expenditures","Other Expense",AF255)))))</f>
        <v/>
      </c>
      <c r="AG256" s="36" t="str">
        <f aca="false">IF(OR(AE256="Revenue",AE256="Cost of Goods Sold",AE256="Expenditures",AE256="Other Revenue",AE256="Other Expenditures"),AF256,IF(AND(LEN(AE256)&gt;2,MID(AE256,2,1)=" ",ISNUMBER(VALUE(LEFT(AE256,1)))),AE256,AG255))</f>
        <v/>
      </c>
      <c r="AH256" s="36" t="n">
        <f aca="false">IF(AND(AE256&lt;&gt;"",ISNUMBER(AC256),LEFT(AE256,9)&lt;&gt;"Total for",AE256&lt;&gt;"Gross Profit",AE256&lt;&gt;"Net Operating Revenue",AE256&lt;&gt;"Net Other Revenue",AE256&lt;&gt;"Net Revenue"),1,0)</f>
        <v>0</v>
      </c>
      <c r="AI256" s="36" t="str">
        <f aca="false">IF(AH256=1,IF(AND(LEN(AE256)&gt;7,ISNUMBER(VALUE(LEFT(AE256,6))),MID(AE256,7,1)=" "),LEFT(AE256,6),AE256),"")</f>
        <v/>
      </c>
      <c r="AN256" s="36" t="str">
        <f aca="false">TRIM(AK256)</f>
        <v/>
      </c>
      <c r="AO256" s="36" t="str">
        <f aca="false">IF(AN256="Revenue","Revenue",IF(AN256="Cost of Goods Sold","COGS",IF(AN256="Expenditures","Expense",IF(AN256="Other Revenue","Other Revenue",IF(AN256="Other Expenditures","Other Expense",AO255)))))</f>
        <v/>
      </c>
      <c r="AP256" s="36" t="str">
        <f aca="false">IF(OR(AN256="Revenue",AN256="Cost of Goods Sold",AN256="Expenditures",AN256="Other Revenue",AN256="Other Expenditures"),AO256,IF(AND(LEN(AN256)&gt;2,MID(AN256,2,1)=" ",ISNUMBER(VALUE(LEFT(AN256,1)))),AN256,AP255))</f>
        <v/>
      </c>
      <c r="AQ256" s="36" t="n">
        <f aca="false">IF(AND(AN256&lt;&gt;"",ISNUMBER(AL256),LEFT(AN256,9)&lt;&gt;"Total for",AN256&lt;&gt;"Gross Profit",AN256&lt;&gt;"Net Operating Revenue",AN256&lt;&gt;"Net Other Revenue",AN256&lt;&gt;"Net Revenue"),1,0)</f>
        <v>0</v>
      </c>
      <c r="AR256" s="36" t="str">
        <f aca="false">IF(AQ256=1,IF(AND(LEN(AN256)&gt;7,ISNUMBER(VALUE(LEFT(AN256,6))),MID(AN256,7,1)=" "),LEFT(AN256,6),AN256),"")</f>
        <v/>
      </c>
    </row>
    <row r="257" customFormat="false" ht="15" hidden="false" customHeight="false" outlineLevel="0" collapsed="false">
      <c r="D257" s="36" t="str">
        <f aca="false">TRIM(A257)</f>
        <v/>
      </c>
      <c r="E257" s="36" t="str">
        <f aca="false">IF(D257="Revenue","Revenue",IF(D257="Cost of Goods Sold","COGS",IF(D257="Expenditures","Expense",IF(D257="Other Revenue","Other Revenue",IF(D257="Other Expenditures","Other Expense",E256)))))</f>
        <v/>
      </c>
      <c r="F257" s="36" t="str">
        <f aca="false">IF(OR(D257="Revenue",D257="Cost of Goods Sold",D257="Expenditures",D257="Other Revenue",D257="Other Expenditures"),E257,IF(AND(LEN(D257)&gt;2,MID(D257,2,1)=" ",ISNUMBER(VALUE(LEFT(D257,1)))),D257,F256))</f>
        <v/>
      </c>
      <c r="G257" s="36" t="n">
        <f aca="false">IF(AND(D257&lt;&gt;"",ISNUMBER(B257),LEFT(D257,9)&lt;&gt;"Total for",D257&lt;&gt;"Gross Profit",D257&lt;&gt;"Net Operating Revenue",D257&lt;&gt;"Net Other Revenue",D257&lt;&gt;"Net Revenue"),1,0)</f>
        <v>0</v>
      </c>
      <c r="H257" s="36" t="str">
        <f aca="false">IF(G257=1,IF(AND(LEN(D257)&gt;7,ISNUMBER(VALUE(LEFT(D257,6))),MID(D257,7,1)=" "),LEFT(D257,6),D257),"")</f>
        <v/>
      </c>
      <c r="M257" s="36" t="str">
        <f aca="false">TRIM(J257)</f>
        <v/>
      </c>
      <c r="N257" s="36" t="str">
        <f aca="false">IF(M257="Revenue","Revenue",IF(M257="Cost of Goods Sold","COGS",IF(M257="Expenditures","Expense",IF(M257="Other Revenue","Other Revenue",IF(M257="Other Expenditures","Other Expense",N256)))))</f>
        <v/>
      </c>
      <c r="O257" s="36" t="str">
        <f aca="false">IF(OR(M257="Revenue",M257="Cost of Goods Sold",M257="Expenditures",M257="Other Revenue",M257="Other Expenditures"),N257,IF(AND(LEN(M257)&gt;2,MID(M257,2,1)=" ",ISNUMBER(VALUE(LEFT(M257,1)))),M257,O256))</f>
        <v/>
      </c>
      <c r="P257" s="36" t="n">
        <f aca="false">IF(AND(M257&lt;&gt;"",ISNUMBER(K257),LEFT(M257,9)&lt;&gt;"Total for",M257&lt;&gt;"Gross Profit",M257&lt;&gt;"Net Operating Revenue",M257&lt;&gt;"Net Other Revenue",M257&lt;&gt;"Net Revenue"),1,0)</f>
        <v>0</v>
      </c>
      <c r="Q257" s="36" t="str">
        <f aca="false">IF(P257=1,IF(AND(LEN(M257)&gt;7,ISNUMBER(VALUE(LEFT(M257,6))),MID(M257,7,1)=" "),LEFT(M257,6),M257),"")</f>
        <v/>
      </c>
      <c r="V257" s="36" t="str">
        <f aca="false">TRIM(S257)</f>
        <v/>
      </c>
      <c r="W257" s="36" t="str">
        <f aca="false">IF(V257="Revenue","Revenue",IF(V257="Cost of Goods Sold","COGS",IF(V257="Expenditures","Expense",IF(V257="Other Revenue","Other Revenue",IF(V257="Other Expenditures","Other Expense",W256)))))</f>
        <v/>
      </c>
      <c r="X257" s="36" t="str">
        <f aca="false">IF(OR(V257="Revenue",V257="Cost of Goods Sold",V257="Expenditures",V257="Other Revenue",V257="Other Expenditures"),W257,IF(AND(LEN(V257)&gt;2,MID(V257,2,1)=" ",ISNUMBER(VALUE(LEFT(V257,1)))),V257,X256))</f>
        <v/>
      </c>
      <c r="Y257" s="36" t="n">
        <f aca="false">IF(AND(V257&lt;&gt;"",ISNUMBER(T257),LEFT(V257,9)&lt;&gt;"Total for",V257&lt;&gt;"Gross Profit",V257&lt;&gt;"Net Operating Revenue",V257&lt;&gt;"Net Other Revenue",V257&lt;&gt;"Net Revenue"),1,0)</f>
        <v>0</v>
      </c>
      <c r="Z257" s="36" t="str">
        <f aca="false">IF(Y257=1,IF(AND(LEN(V257)&gt;7,ISNUMBER(VALUE(LEFT(V257,6))),MID(V257,7,1)=" "),LEFT(V257,6),V257),"")</f>
        <v/>
      </c>
      <c r="AE257" s="36" t="str">
        <f aca="false">TRIM(AB257)</f>
        <v/>
      </c>
      <c r="AF257" s="36" t="str">
        <f aca="false">IF(AE257="Revenue","Revenue",IF(AE257="Cost of Goods Sold","COGS",IF(AE257="Expenditures","Expense",IF(AE257="Other Revenue","Other Revenue",IF(AE257="Other Expenditures","Other Expense",AF256)))))</f>
        <v/>
      </c>
      <c r="AG257" s="36" t="str">
        <f aca="false">IF(OR(AE257="Revenue",AE257="Cost of Goods Sold",AE257="Expenditures",AE257="Other Revenue",AE257="Other Expenditures"),AF257,IF(AND(LEN(AE257)&gt;2,MID(AE257,2,1)=" ",ISNUMBER(VALUE(LEFT(AE257,1)))),AE257,AG256))</f>
        <v/>
      </c>
      <c r="AH257" s="36" t="n">
        <f aca="false">IF(AND(AE257&lt;&gt;"",ISNUMBER(AC257),LEFT(AE257,9)&lt;&gt;"Total for",AE257&lt;&gt;"Gross Profit",AE257&lt;&gt;"Net Operating Revenue",AE257&lt;&gt;"Net Other Revenue",AE257&lt;&gt;"Net Revenue"),1,0)</f>
        <v>0</v>
      </c>
      <c r="AI257" s="36" t="str">
        <f aca="false">IF(AH257=1,IF(AND(LEN(AE257)&gt;7,ISNUMBER(VALUE(LEFT(AE257,6))),MID(AE257,7,1)=" "),LEFT(AE257,6),AE257),"")</f>
        <v/>
      </c>
      <c r="AN257" s="36" t="str">
        <f aca="false">TRIM(AK257)</f>
        <v/>
      </c>
      <c r="AO257" s="36" t="str">
        <f aca="false">IF(AN257="Revenue","Revenue",IF(AN257="Cost of Goods Sold","COGS",IF(AN257="Expenditures","Expense",IF(AN257="Other Revenue","Other Revenue",IF(AN257="Other Expenditures","Other Expense",AO256)))))</f>
        <v/>
      </c>
      <c r="AP257" s="36" t="str">
        <f aca="false">IF(OR(AN257="Revenue",AN257="Cost of Goods Sold",AN257="Expenditures",AN257="Other Revenue",AN257="Other Expenditures"),AO257,IF(AND(LEN(AN257)&gt;2,MID(AN257,2,1)=" ",ISNUMBER(VALUE(LEFT(AN257,1)))),AN257,AP256))</f>
        <v/>
      </c>
      <c r="AQ257" s="36" t="n">
        <f aca="false">IF(AND(AN257&lt;&gt;"",ISNUMBER(AL257),LEFT(AN257,9)&lt;&gt;"Total for",AN257&lt;&gt;"Gross Profit",AN257&lt;&gt;"Net Operating Revenue",AN257&lt;&gt;"Net Other Revenue",AN257&lt;&gt;"Net Revenue"),1,0)</f>
        <v>0</v>
      </c>
      <c r="AR257" s="36" t="str">
        <f aca="false">IF(AQ257=1,IF(AND(LEN(AN257)&gt;7,ISNUMBER(VALUE(LEFT(AN257,6))),MID(AN257,7,1)=" "),LEFT(AN257,6),AN257),"")</f>
        <v/>
      </c>
    </row>
    <row r="258" customFormat="false" ht="15" hidden="false" customHeight="false" outlineLevel="0" collapsed="false">
      <c r="D258" s="36" t="str">
        <f aca="false">TRIM(A258)</f>
        <v/>
      </c>
      <c r="E258" s="36" t="str">
        <f aca="false">IF(D258="Revenue","Revenue",IF(D258="Cost of Goods Sold","COGS",IF(D258="Expenditures","Expense",IF(D258="Other Revenue","Other Revenue",IF(D258="Other Expenditures","Other Expense",E257)))))</f>
        <v/>
      </c>
      <c r="F258" s="36" t="str">
        <f aca="false">IF(OR(D258="Revenue",D258="Cost of Goods Sold",D258="Expenditures",D258="Other Revenue",D258="Other Expenditures"),E258,IF(AND(LEN(D258)&gt;2,MID(D258,2,1)=" ",ISNUMBER(VALUE(LEFT(D258,1)))),D258,F257))</f>
        <v/>
      </c>
      <c r="G258" s="36" t="n">
        <f aca="false">IF(AND(D258&lt;&gt;"",ISNUMBER(B258),LEFT(D258,9)&lt;&gt;"Total for",D258&lt;&gt;"Gross Profit",D258&lt;&gt;"Net Operating Revenue",D258&lt;&gt;"Net Other Revenue",D258&lt;&gt;"Net Revenue"),1,0)</f>
        <v>0</v>
      </c>
      <c r="H258" s="36" t="str">
        <f aca="false">IF(G258=1,IF(AND(LEN(D258)&gt;7,ISNUMBER(VALUE(LEFT(D258,6))),MID(D258,7,1)=" "),LEFT(D258,6),D258),"")</f>
        <v/>
      </c>
      <c r="M258" s="36" t="str">
        <f aca="false">TRIM(J258)</f>
        <v/>
      </c>
      <c r="N258" s="36" t="str">
        <f aca="false">IF(M258="Revenue","Revenue",IF(M258="Cost of Goods Sold","COGS",IF(M258="Expenditures","Expense",IF(M258="Other Revenue","Other Revenue",IF(M258="Other Expenditures","Other Expense",N257)))))</f>
        <v/>
      </c>
      <c r="O258" s="36" t="str">
        <f aca="false">IF(OR(M258="Revenue",M258="Cost of Goods Sold",M258="Expenditures",M258="Other Revenue",M258="Other Expenditures"),N258,IF(AND(LEN(M258)&gt;2,MID(M258,2,1)=" ",ISNUMBER(VALUE(LEFT(M258,1)))),M258,O257))</f>
        <v/>
      </c>
      <c r="P258" s="36" t="n">
        <f aca="false">IF(AND(M258&lt;&gt;"",ISNUMBER(K258),LEFT(M258,9)&lt;&gt;"Total for",M258&lt;&gt;"Gross Profit",M258&lt;&gt;"Net Operating Revenue",M258&lt;&gt;"Net Other Revenue",M258&lt;&gt;"Net Revenue"),1,0)</f>
        <v>0</v>
      </c>
      <c r="Q258" s="36" t="str">
        <f aca="false">IF(P258=1,IF(AND(LEN(M258)&gt;7,ISNUMBER(VALUE(LEFT(M258,6))),MID(M258,7,1)=" "),LEFT(M258,6),M258),"")</f>
        <v/>
      </c>
      <c r="V258" s="36" t="str">
        <f aca="false">TRIM(S258)</f>
        <v/>
      </c>
      <c r="W258" s="36" t="str">
        <f aca="false">IF(V258="Revenue","Revenue",IF(V258="Cost of Goods Sold","COGS",IF(V258="Expenditures","Expense",IF(V258="Other Revenue","Other Revenue",IF(V258="Other Expenditures","Other Expense",W257)))))</f>
        <v/>
      </c>
      <c r="X258" s="36" t="str">
        <f aca="false">IF(OR(V258="Revenue",V258="Cost of Goods Sold",V258="Expenditures",V258="Other Revenue",V258="Other Expenditures"),W258,IF(AND(LEN(V258)&gt;2,MID(V258,2,1)=" ",ISNUMBER(VALUE(LEFT(V258,1)))),V258,X257))</f>
        <v/>
      </c>
      <c r="Y258" s="36" t="n">
        <f aca="false">IF(AND(V258&lt;&gt;"",ISNUMBER(T258),LEFT(V258,9)&lt;&gt;"Total for",V258&lt;&gt;"Gross Profit",V258&lt;&gt;"Net Operating Revenue",V258&lt;&gt;"Net Other Revenue",V258&lt;&gt;"Net Revenue"),1,0)</f>
        <v>0</v>
      </c>
      <c r="Z258" s="36" t="str">
        <f aca="false">IF(Y258=1,IF(AND(LEN(V258)&gt;7,ISNUMBER(VALUE(LEFT(V258,6))),MID(V258,7,1)=" "),LEFT(V258,6),V258),"")</f>
        <v/>
      </c>
      <c r="AE258" s="36" t="str">
        <f aca="false">TRIM(AB258)</f>
        <v/>
      </c>
      <c r="AF258" s="36" t="str">
        <f aca="false">IF(AE258="Revenue","Revenue",IF(AE258="Cost of Goods Sold","COGS",IF(AE258="Expenditures","Expense",IF(AE258="Other Revenue","Other Revenue",IF(AE258="Other Expenditures","Other Expense",AF257)))))</f>
        <v/>
      </c>
      <c r="AG258" s="36" t="str">
        <f aca="false">IF(OR(AE258="Revenue",AE258="Cost of Goods Sold",AE258="Expenditures",AE258="Other Revenue",AE258="Other Expenditures"),AF258,IF(AND(LEN(AE258)&gt;2,MID(AE258,2,1)=" ",ISNUMBER(VALUE(LEFT(AE258,1)))),AE258,AG257))</f>
        <v/>
      </c>
      <c r="AH258" s="36" t="n">
        <f aca="false">IF(AND(AE258&lt;&gt;"",ISNUMBER(AC258),LEFT(AE258,9)&lt;&gt;"Total for",AE258&lt;&gt;"Gross Profit",AE258&lt;&gt;"Net Operating Revenue",AE258&lt;&gt;"Net Other Revenue",AE258&lt;&gt;"Net Revenue"),1,0)</f>
        <v>0</v>
      </c>
      <c r="AI258" s="36" t="str">
        <f aca="false">IF(AH258=1,IF(AND(LEN(AE258)&gt;7,ISNUMBER(VALUE(LEFT(AE258,6))),MID(AE258,7,1)=" "),LEFT(AE258,6),AE258),"")</f>
        <v/>
      </c>
      <c r="AN258" s="36" t="str">
        <f aca="false">TRIM(AK258)</f>
        <v/>
      </c>
      <c r="AO258" s="36" t="str">
        <f aca="false">IF(AN258="Revenue","Revenue",IF(AN258="Cost of Goods Sold","COGS",IF(AN258="Expenditures","Expense",IF(AN258="Other Revenue","Other Revenue",IF(AN258="Other Expenditures","Other Expense",AO257)))))</f>
        <v/>
      </c>
      <c r="AP258" s="36" t="str">
        <f aca="false">IF(OR(AN258="Revenue",AN258="Cost of Goods Sold",AN258="Expenditures",AN258="Other Revenue",AN258="Other Expenditures"),AO258,IF(AND(LEN(AN258)&gt;2,MID(AN258,2,1)=" ",ISNUMBER(VALUE(LEFT(AN258,1)))),AN258,AP257))</f>
        <v/>
      </c>
      <c r="AQ258" s="36" t="n">
        <f aca="false">IF(AND(AN258&lt;&gt;"",ISNUMBER(AL258),LEFT(AN258,9)&lt;&gt;"Total for",AN258&lt;&gt;"Gross Profit",AN258&lt;&gt;"Net Operating Revenue",AN258&lt;&gt;"Net Other Revenue",AN258&lt;&gt;"Net Revenue"),1,0)</f>
        <v>0</v>
      </c>
      <c r="AR258" s="36" t="str">
        <f aca="false">IF(AQ258=1,IF(AND(LEN(AN258)&gt;7,ISNUMBER(VALUE(LEFT(AN258,6))),MID(AN258,7,1)=" "),LEFT(AN258,6),AN258),"")</f>
        <v/>
      </c>
    </row>
    <row r="259" customFormat="false" ht="15" hidden="false" customHeight="false" outlineLevel="0" collapsed="false">
      <c r="D259" s="36" t="str">
        <f aca="false">TRIM(A259)</f>
        <v/>
      </c>
      <c r="E259" s="36" t="str">
        <f aca="false">IF(D259="Revenue","Revenue",IF(D259="Cost of Goods Sold","COGS",IF(D259="Expenditures","Expense",IF(D259="Other Revenue","Other Revenue",IF(D259="Other Expenditures","Other Expense",E258)))))</f>
        <v/>
      </c>
      <c r="F259" s="36" t="str">
        <f aca="false">IF(OR(D259="Revenue",D259="Cost of Goods Sold",D259="Expenditures",D259="Other Revenue",D259="Other Expenditures"),E259,IF(AND(LEN(D259)&gt;2,MID(D259,2,1)=" ",ISNUMBER(VALUE(LEFT(D259,1)))),D259,F258))</f>
        <v/>
      </c>
      <c r="G259" s="36" t="n">
        <f aca="false">IF(AND(D259&lt;&gt;"",ISNUMBER(B259),LEFT(D259,9)&lt;&gt;"Total for",D259&lt;&gt;"Gross Profit",D259&lt;&gt;"Net Operating Revenue",D259&lt;&gt;"Net Other Revenue",D259&lt;&gt;"Net Revenue"),1,0)</f>
        <v>0</v>
      </c>
      <c r="H259" s="36" t="str">
        <f aca="false">IF(G259=1,IF(AND(LEN(D259)&gt;7,ISNUMBER(VALUE(LEFT(D259,6))),MID(D259,7,1)=" "),LEFT(D259,6),D259),"")</f>
        <v/>
      </c>
      <c r="M259" s="36" t="str">
        <f aca="false">TRIM(J259)</f>
        <v/>
      </c>
      <c r="N259" s="36" t="str">
        <f aca="false">IF(M259="Revenue","Revenue",IF(M259="Cost of Goods Sold","COGS",IF(M259="Expenditures","Expense",IF(M259="Other Revenue","Other Revenue",IF(M259="Other Expenditures","Other Expense",N258)))))</f>
        <v/>
      </c>
      <c r="O259" s="36" t="str">
        <f aca="false">IF(OR(M259="Revenue",M259="Cost of Goods Sold",M259="Expenditures",M259="Other Revenue",M259="Other Expenditures"),N259,IF(AND(LEN(M259)&gt;2,MID(M259,2,1)=" ",ISNUMBER(VALUE(LEFT(M259,1)))),M259,O258))</f>
        <v/>
      </c>
      <c r="P259" s="36" t="n">
        <f aca="false">IF(AND(M259&lt;&gt;"",ISNUMBER(K259),LEFT(M259,9)&lt;&gt;"Total for",M259&lt;&gt;"Gross Profit",M259&lt;&gt;"Net Operating Revenue",M259&lt;&gt;"Net Other Revenue",M259&lt;&gt;"Net Revenue"),1,0)</f>
        <v>0</v>
      </c>
      <c r="Q259" s="36" t="str">
        <f aca="false">IF(P259=1,IF(AND(LEN(M259)&gt;7,ISNUMBER(VALUE(LEFT(M259,6))),MID(M259,7,1)=" "),LEFT(M259,6),M259),"")</f>
        <v/>
      </c>
      <c r="V259" s="36" t="str">
        <f aca="false">TRIM(S259)</f>
        <v/>
      </c>
      <c r="W259" s="36" t="str">
        <f aca="false">IF(V259="Revenue","Revenue",IF(V259="Cost of Goods Sold","COGS",IF(V259="Expenditures","Expense",IF(V259="Other Revenue","Other Revenue",IF(V259="Other Expenditures","Other Expense",W258)))))</f>
        <v/>
      </c>
      <c r="X259" s="36" t="str">
        <f aca="false">IF(OR(V259="Revenue",V259="Cost of Goods Sold",V259="Expenditures",V259="Other Revenue",V259="Other Expenditures"),W259,IF(AND(LEN(V259)&gt;2,MID(V259,2,1)=" ",ISNUMBER(VALUE(LEFT(V259,1)))),V259,X258))</f>
        <v/>
      </c>
      <c r="Y259" s="36" t="n">
        <f aca="false">IF(AND(V259&lt;&gt;"",ISNUMBER(T259),LEFT(V259,9)&lt;&gt;"Total for",V259&lt;&gt;"Gross Profit",V259&lt;&gt;"Net Operating Revenue",V259&lt;&gt;"Net Other Revenue",V259&lt;&gt;"Net Revenue"),1,0)</f>
        <v>0</v>
      </c>
      <c r="Z259" s="36" t="str">
        <f aca="false">IF(Y259=1,IF(AND(LEN(V259)&gt;7,ISNUMBER(VALUE(LEFT(V259,6))),MID(V259,7,1)=" "),LEFT(V259,6),V259),"")</f>
        <v/>
      </c>
      <c r="AE259" s="36" t="str">
        <f aca="false">TRIM(AB259)</f>
        <v/>
      </c>
      <c r="AF259" s="36" t="str">
        <f aca="false">IF(AE259="Revenue","Revenue",IF(AE259="Cost of Goods Sold","COGS",IF(AE259="Expenditures","Expense",IF(AE259="Other Revenue","Other Revenue",IF(AE259="Other Expenditures","Other Expense",AF258)))))</f>
        <v/>
      </c>
      <c r="AG259" s="36" t="str">
        <f aca="false">IF(OR(AE259="Revenue",AE259="Cost of Goods Sold",AE259="Expenditures",AE259="Other Revenue",AE259="Other Expenditures"),AF259,IF(AND(LEN(AE259)&gt;2,MID(AE259,2,1)=" ",ISNUMBER(VALUE(LEFT(AE259,1)))),AE259,AG258))</f>
        <v/>
      </c>
      <c r="AH259" s="36" t="n">
        <f aca="false">IF(AND(AE259&lt;&gt;"",ISNUMBER(AC259),LEFT(AE259,9)&lt;&gt;"Total for",AE259&lt;&gt;"Gross Profit",AE259&lt;&gt;"Net Operating Revenue",AE259&lt;&gt;"Net Other Revenue",AE259&lt;&gt;"Net Revenue"),1,0)</f>
        <v>0</v>
      </c>
      <c r="AI259" s="36" t="str">
        <f aca="false">IF(AH259=1,IF(AND(LEN(AE259)&gt;7,ISNUMBER(VALUE(LEFT(AE259,6))),MID(AE259,7,1)=" "),LEFT(AE259,6),AE259),"")</f>
        <v/>
      </c>
      <c r="AN259" s="36" t="str">
        <f aca="false">TRIM(AK259)</f>
        <v/>
      </c>
      <c r="AO259" s="36" t="str">
        <f aca="false">IF(AN259="Revenue","Revenue",IF(AN259="Cost of Goods Sold","COGS",IF(AN259="Expenditures","Expense",IF(AN259="Other Revenue","Other Revenue",IF(AN259="Other Expenditures","Other Expense",AO258)))))</f>
        <v/>
      </c>
      <c r="AP259" s="36" t="str">
        <f aca="false">IF(OR(AN259="Revenue",AN259="Cost of Goods Sold",AN259="Expenditures",AN259="Other Revenue",AN259="Other Expenditures"),AO259,IF(AND(LEN(AN259)&gt;2,MID(AN259,2,1)=" ",ISNUMBER(VALUE(LEFT(AN259,1)))),AN259,AP258))</f>
        <v/>
      </c>
      <c r="AQ259" s="36" t="n">
        <f aca="false">IF(AND(AN259&lt;&gt;"",ISNUMBER(AL259),LEFT(AN259,9)&lt;&gt;"Total for",AN259&lt;&gt;"Gross Profit",AN259&lt;&gt;"Net Operating Revenue",AN259&lt;&gt;"Net Other Revenue",AN259&lt;&gt;"Net Revenue"),1,0)</f>
        <v>0</v>
      </c>
      <c r="AR259" s="36" t="str">
        <f aca="false">IF(AQ259=1,IF(AND(LEN(AN259)&gt;7,ISNUMBER(VALUE(LEFT(AN259,6))),MID(AN259,7,1)=" "),LEFT(AN259,6),AN259),"")</f>
        <v/>
      </c>
    </row>
    <row r="260" customFormat="false" ht="15" hidden="false" customHeight="false" outlineLevel="0" collapsed="false">
      <c r="D260" s="36" t="str">
        <f aca="false">TRIM(A260)</f>
        <v/>
      </c>
      <c r="E260" s="36" t="str">
        <f aca="false">IF(D260="Revenue","Revenue",IF(D260="Cost of Goods Sold","COGS",IF(D260="Expenditures","Expense",IF(D260="Other Revenue","Other Revenue",IF(D260="Other Expenditures","Other Expense",E259)))))</f>
        <v/>
      </c>
      <c r="F260" s="36" t="str">
        <f aca="false">IF(OR(D260="Revenue",D260="Cost of Goods Sold",D260="Expenditures",D260="Other Revenue",D260="Other Expenditures"),E260,IF(AND(LEN(D260)&gt;2,MID(D260,2,1)=" ",ISNUMBER(VALUE(LEFT(D260,1)))),D260,F259))</f>
        <v/>
      </c>
      <c r="G260" s="36" t="n">
        <f aca="false">IF(AND(D260&lt;&gt;"",ISNUMBER(B260),LEFT(D260,9)&lt;&gt;"Total for",D260&lt;&gt;"Gross Profit",D260&lt;&gt;"Net Operating Revenue",D260&lt;&gt;"Net Other Revenue",D260&lt;&gt;"Net Revenue"),1,0)</f>
        <v>0</v>
      </c>
      <c r="H260" s="36" t="str">
        <f aca="false">IF(G260=1,IF(AND(LEN(D260)&gt;7,ISNUMBER(VALUE(LEFT(D260,6))),MID(D260,7,1)=" "),LEFT(D260,6),D260),"")</f>
        <v/>
      </c>
      <c r="M260" s="36" t="str">
        <f aca="false">TRIM(J260)</f>
        <v/>
      </c>
      <c r="N260" s="36" t="str">
        <f aca="false">IF(M260="Revenue","Revenue",IF(M260="Cost of Goods Sold","COGS",IF(M260="Expenditures","Expense",IF(M260="Other Revenue","Other Revenue",IF(M260="Other Expenditures","Other Expense",N259)))))</f>
        <v/>
      </c>
      <c r="O260" s="36" t="str">
        <f aca="false">IF(OR(M260="Revenue",M260="Cost of Goods Sold",M260="Expenditures",M260="Other Revenue",M260="Other Expenditures"),N260,IF(AND(LEN(M260)&gt;2,MID(M260,2,1)=" ",ISNUMBER(VALUE(LEFT(M260,1)))),M260,O259))</f>
        <v/>
      </c>
      <c r="P260" s="36" t="n">
        <f aca="false">IF(AND(M260&lt;&gt;"",ISNUMBER(K260),LEFT(M260,9)&lt;&gt;"Total for",M260&lt;&gt;"Gross Profit",M260&lt;&gt;"Net Operating Revenue",M260&lt;&gt;"Net Other Revenue",M260&lt;&gt;"Net Revenue"),1,0)</f>
        <v>0</v>
      </c>
      <c r="Q260" s="36" t="str">
        <f aca="false">IF(P260=1,IF(AND(LEN(M260)&gt;7,ISNUMBER(VALUE(LEFT(M260,6))),MID(M260,7,1)=" "),LEFT(M260,6),M260),"")</f>
        <v/>
      </c>
      <c r="V260" s="36" t="str">
        <f aca="false">TRIM(S260)</f>
        <v/>
      </c>
      <c r="W260" s="36" t="str">
        <f aca="false">IF(V260="Revenue","Revenue",IF(V260="Cost of Goods Sold","COGS",IF(V260="Expenditures","Expense",IF(V260="Other Revenue","Other Revenue",IF(V260="Other Expenditures","Other Expense",W259)))))</f>
        <v/>
      </c>
      <c r="X260" s="36" t="str">
        <f aca="false">IF(OR(V260="Revenue",V260="Cost of Goods Sold",V260="Expenditures",V260="Other Revenue",V260="Other Expenditures"),W260,IF(AND(LEN(V260)&gt;2,MID(V260,2,1)=" ",ISNUMBER(VALUE(LEFT(V260,1)))),V260,X259))</f>
        <v/>
      </c>
      <c r="Y260" s="36" t="n">
        <f aca="false">IF(AND(V260&lt;&gt;"",ISNUMBER(T260),LEFT(V260,9)&lt;&gt;"Total for",V260&lt;&gt;"Gross Profit",V260&lt;&gt;"Net Operating Revenue",V260&lt;&gt;"Net Other Revenue",V260&lt;&gt;"Net Revenue"),1,0)</f>
        <v>0</v>
      </c>
      <c r="Z260" s="36" t="str">
        <f aca="false">IF(Y260=1,IF(AND(LEN(V260)&gt;7,ISNUMBER(VALUE(LEFT(V260,6))),MID(V260,7,1)=" "),LEFT(V260,6),V260),"")</f>
        <v/>
      </c>
      <c r="AE260" s="36" t="str">
        <f aca="false">TRIM(AB260)</f>
        <v/>
      </c>
      <c r="AF260" s="36" t="str">
        <f aca="false">IF(AE260="Revenue","Revenue",IF(AE260="Cost of Goods Sold","COGS",IF(AE260="Expenditures","Expense",IF(AE260="Other Revenue","Other Revenue",IF(AE260="Other Expenditures","Other Expense",AF259)))))</f>
        <v/>
      </c>
      <c r="AG260" s="36" t="str">
        <f aca="false">IF(OR(AE260="Revenue",AE260="Cost of Goods Sold",AE260="Expenditures",AE260="Other Revenue",AE260="Other Expenditures"),AF260,IF(AND(LEN(AE260)&gt;2,MID(AE260,2,1)=" ",ISNUMBER(VALUE(LEFT(AE260,1)))),AE260,AG259))</f>
        <v/>
      </c>
      <c r="AH260" s="36" t="n">
        <f aca="false">IF(AND(AE260&lt;&gt;"",ISNUMBER(AC260),LEFT(AE260,9)&lt;&gt;"Total for",AE260&lt;&gt;"Gross Profit",AE260&lt;&gt;"Net Operating Revenue",AE260&lt;&gt;"Net Other Revenue",AE260&lt;&gt;"Net Revenue"),1,0)</f>
        <v>0</v>
      </c>
      <c r="AI260" s="36" t="str">
        <f aca="false">IF(AH260=1,IF(AND(LEN(AE260)&gt;7,ISNUMBER(VALUE(LEFT(AE260,6))),MID(AE260,7,1)=" "),LEFT(AE260,6),AE260),"")</f>
        <v/>
      </c>
      <c r="AN260" s="36" t="str">
        <f aca="false">TRIM(AK260)</f>
        <v/>
      </c>
      <c r="AO260" s="36" t="str">
        <f aca="false">IF(AN260="Revenue","Revenue",IF(AN260="Cost of Goods Sold","COGS",IF(AN260="Expenditures","Expense",IF(AN260="Other Revenue","Other Revenue",IF(AN260="Other Expenditures","Other Expense",AO259)))))</f>
        <v/>
      </c>
      <c r="AP260" s="36" t="str">
        <f aca="false">IF(OR(AN260="Revenue",AN260="Cost of Goods Sold",AN260="Expenditures",AN260="Other Revenue",AN260="Other Expenditures"),AO260,IF(AND(LEN(AN260)&gt;2,MID(AN260,2,1)=" ",ISNUMBER(VALUE(LEFT(AN260,1)))),AN260,AP259))</f>
        <v/>
      </c>
      <c r="AQ260" s="36" t="n">
        <f aca="false">IF(AND(AN260&lt;&gt;"",ISNUMBER(AL260),LEFT(AN260,9)&lt;&gt;"Total for",AN260&lt;&gt;"Gross Profit",AN260&lt;&gt;"Net Operating Revenue",AN260&lt;&gt;"Net Other Revenue",AN260&lt;&gt;"Net Revenue"),1,0)</f>
        <v>0</v>
      </c>
      <c r="AR260" s="36" t="str">
        <f aca="false">IF(AQ260=1,IF(AND(LEN(AN260)&gt;7,ISNUMBER(VALUE(LEFT(AN260,6))),MID(AN260,7,1)=" "),LEFT(AN260,6),AN260),"")</f>
        <v/>
      </c>
    </row>
    <row r="261" customFormat="false" ht="15" hidden="false" customHeight="false" outlineLevel="0" collapsed="false">
      <c r="D261" s="36" t="str">
        <f aca="false">TRIM(A261)</f>
        <v/>
      </c>
      <c r="E261" s="36" t="str">
        <f aca="false">IF(D261="Revenue","Revenue",IF(D261="Cost of Goods Sold","COGS",IF(D261="Expenditures","Expense",IF(D261="Other Revenue","Other Revenue",IF(D261="Other Expenditures","Other Expense",E260)))))</f>
        <v/>
      </c>
      <c r="F261" s="36" t="str">
        <f aca="false">IF(OR(D261="Revenue",D261="Cost of Goods Sold",D261="Expenditures",D261="Other Revenue",D261="Other Expenditures"),E261,IF(AND(LEN(D261)&gt;2,MID(D261,2,1)=" ",ISNUMBER(VALUE(LEFT(D261,1)))),D261,F260))</f>
        <v/>
      </c>
      <c r="G261" s="36" t="n">
        <f aca="false">IF(AND(D261&lt;&gt;"",ISNUMBER(B261),LEFT(D261,9)&lt;&gt;"Total for",D261&lt;&gt;"Gross Profit",D261&lt;&gt;"Net Operating Revenue",D261&lt;&gt;"Net Other Revenue",D261&lt;&gt;"Net Revenue"),1,0)</f>
        <v>0</v>
      </c>
      <c r="H261" s="36" t="str">
        <f aca="false">IF(G261=1,IF(AND(LEN(D261)&gt;7,ISNUMBER(VALUE(LEFT(D261,6))),MID(D261,7,1)=" "),LEFT(D261,6),D261),"")</f>
        <v/>
      </c>
      <c r="M261" s="36" t="str">
        <f aca="false">TRIM(J261)</f>
        <v/>
      </c>
      <c r="N261" s="36" t="str">
        <f aca="false">IF(M261="Revenue","Revenue",IF(M261="Cost of Goods Sold","COGS",IF(M261="Expenditures","Expense",IF(M261="Other Revenue","Other Revenue",IF(M261="Other Expenditures","Other Expense",N260)))))</f>
        <v/>
      </c>
      <c r="O261" s="36" t="str">
        <f aca="false">IF(OR(M261="Revenue",M261="Cost of Goods Sold",M261="Expenditures",M261="Other Revenue",M261="Other Expenditures"),N261,IF(AND(LEN(M261)&gt;2,MID(M261,2,1)=" ",ISNUMBER(VALUE(LEFT(M261,1)))),M261,O260))</f>
        <v/>
      </c>
      <c r="P261" s="36" t="n">
        <f aca="false">IF(AND(M261&lt;&gt;"",ISNUMBER(K261),LEFT(M261,9)&lt;&gt;"Total for",M261&lt;&gt;"Gross Profit",M261&lt;&gt;"Net Operating Revenue",M261&lt;&gt;"Net Other Revenue",M261&lt;&gt;"Net Revenue"),1,0)</f>
        <v>0</v>
      </c>
      <c r="Q261" s="36" t="str">
        <f aca="false">IF(P261=1,IF(AND(LEN(M261)&gt;7,ISNUMBER(VALUE(LEFT(M261,6))),MID(M261,7,1)=" "),LEFT(M261,6),M261),"")</f>
        <v/>
      </c>
      <c r="V261" s="36" t="str">
        <f aca="false">TRIM(S261)</f>
        <v/>
      </c>
      <c r="W261" s="36" t="str">
        <f aca="false">IF(V261="Revenue","Revenue",IF(V261="Cost of Goods Sold","COGS",IF(V261="Expenditures","Expense",IF(V261="Other Revenue","Other Revenue",IF(V261="Other Expenditures","Other Expense",W260)))))</f>
        <v/>
      </c>
      <c r="X261" s="36" t="str">
        <f aca="false">IF(OR(V261="Revenue",V261="Cost of Goods Sold",V261="Expenditures",V261="Other Revenue",V261="Other Expenditures"),W261,IF(AND(LEN(V261)&gt;2,MID(V261,2,1)=" ",ISNUMBER(VALUE(LEFT(V261,1)))),V261,X260))</f>
        <v/>
      </c>
      <c r="Y261" s="36" t="n">
        <f aca="false">IF(AND(V261&lt;&gt;"",ISNUMBER(T261),LEFT(V261,9)&lt;&gt;"Total for",V261&lt;&gt;"Gross Profit",V261&lt;&gt;"Net Operating Revenue",V261&lt;&gt;"Net Other Revenue",V261&lt;&gt;"Net Revenue"),1,0)</f>
        <v>0</v>
      </c>
      <c r="Z261" s="36" t="str">
        <f aca="false">IF(Y261=1,IF(AND(LEN(V261)&gt;7,ISNUMBER(VALUE(LEFT(V261,6))),MID(V261,7,1)=" "),LEFT(V261,6),V261),"")</f>
        <v/>
      </c>
      <c r="AE261" s="36" t="str">
        <f aca="false">TRIM(AB261)</f>
        <v/>
      </c>
      <c r="AF261" s="36" t="str">
        <f aca="false">IF(AE261="Revenue","Revenue",IF(AE261="Cost of Goods Sold","COGS",IF(AE261="Expenditures","Expense",IF(AE261="Other Revenue","Other Revenue",IF(AE261="Other Expenditures","Other Expense",AF260)))))</f>
        <v/>
      </c>
      <c r="AG261" s="36" t="str">
        <f aca="false">IF(OR(AE261="Revenue",AE261="Cost of Goods Sold",AE261="Expenditures",AE261="Other Revenue",AE261="Other Expenditures"),AF261,IF(AND(LEN(AE261)&gt;2,MID(AE261,2,1)=" ",ISNUMBER(VALUE(LEFT(AE261,1)))),AE261,AG260))</f>
        <v/>
      </c>
      <c r="AH261" s="36" t="n">
        <f aca="false">IF(AND(AE261&lt;&gt;"",ISNUMBER(AC261),LEFT(AE261,9)&lt;&gt;"Total for",AE261&lt;&gt;"Gross Profit",AE261&lt;&gt;"Net Operating Revenue",AE261&lt;&gt;"Net Other Revenue",AE261&lt;&gt;"Net Revenue"),1,0)</f>
        <v>0</v>
      </c>
      <c r="AI261" s="36" t="str">
        <f aca="false">IF(AH261=1,IF(AND(LEN(AE261)&gt;7,ISNUMBER(VALUE(LEFT(AE261,6))),MID(AE261,7,1)=" "),LEFT(AE261,6),AE261),"")</f>
        <v/>
      </c>
      <c r="AN261" s="36" t="str">
        <f aca="false">TRIM(AK261)</f>
        <v/>
      </c>
      <c r="AO261" s="36" t="str">
        <f aca="false">IF(AN261="Revenue","Revenue",IF(AN261="Cost of Goods Sold","COGS",IF(AN261="Expenditures","Expense",IF(AN261="Other Revenue","Other Revenue",IF(AN261="Other Expenditures","Other Expense",AO260)))))</f>
        <v/>
      </c>
      <c r="AP261" s="36" t="str">
        <f aca="false">IF(OR(AN261="Revenue",AN261="Cost of Goods Sold",AN261="Expenditures",AN261="Other Revenue",AN261="Other Expenditures"),AO261,IF(AND(LEN(AN261)&gt;2,MID(AN261,2,1)=" ",ISNUMBER(VALUE(LEFT(AN261,1)))),AN261,AP260))</f>
        <v/>
      </c>
      <c r="AQ261" s="36" t="n">
        <f aca="false">IF(AND(AN261&lt;&gt;"",ISNUMBER(AL261),LEFT(AN261,9)&lt;&gt;"Total for",AN261&lt;&gt;"Gross Profit",AN261&lt;&gt;"Net Operating Revenue",AN261&lt;&gt;"Net Other Revenue",AN261&lt;&gt;"Net Revenue"),1,0)</f>
        <v>0</v>
      </c>
      <c r="AR261" s="36" t="str">
        <f aca="false">IF(AQ261=1,IF(AND(LEN(AN261)&gt;7,ISNUMBER(VALUE(LEFT(AN261,6))),MID(AN261,7,1)=" "),LEFT(AN261,6),AN261),"")</f>
        <v/>
      </c>
    </row>
    <row r="262" customFormat="false" ht="15" hidden="false" customHeight="false" outlineLevel="0" collapsed="false">
      <c r="D262" s="36" t="str">
        <f aca="false">TRIM(A262)</f>
        <v/>
      </c>
      <c r="E262" s="36" t="str">
        <f aca="false">IF(D262="Revenue","Revenue",IF(D262="Cost of Goods Sold","COGS",IF(D262="Expenditures","Expense",IF(D262="Other Revenue","Other Revenue",IF(D262="Other Expenditures","Other Expense",E261)))))</f>
        <v/>
      </c>
      <c r="F262" s="36" t="str">
        <f aca="false">IF(OR(D262="Revenue",D262="Cost of Goods Sold",D262="Expenditures",D262="Other Revenue",D262="Other Expenditures"),E262,IF(AND(LEN(D262)&gt;2,MID(D262,2,1)=" ",ISNUMBER(VALUE(LEFT(D262,1)))),D262,F261))</f>
        <v/>
      </c>
      <c r="G262" s="36" t="n">
        <f aca="false">IF(AND(D262&lt;&gt;"",ISNUMBER(B262),LEFT(D262,9)&lt;&gt;"Total for",D262&lt;&gt;"Gross Profit",D262&lt;&gt;"Net Operating Revenue",D262&lt;&gt;"Net Other Revenue",D262&lt;&gt;"Net Revenue"),1,0)</f>
        <v>0</v>
      </c>
      <c r="H262" s="36" t="str">
        <f aca="false">IF(G262=1,IF(AND(LEN(D262)&gt;7,ISNUMBER(VALUE(LEFT(D262,6))),MID(D262,7,1)=" "),LEFT(D262,6),D262),"")</f>
        <v/>
      </c>
      <c r="M262" s="36" t="str">
        <f aca="false">TRIM(J262)</f>
        <v/>
      </c>
      <c r="N262" s="36" t="str">
        <f aca="false">IF(M262="Revenue","Revenue",IF(M262="Cost of Goods Sold","COGS",IF(M262="Expenditures","Expense",IF(M262="Other Revenue","Other Revenue",IF(M262="Other Expenditures","Other Expense",N261)))))</f>
        <v/>
      </c>
      <c r="O262" s="36" t="str">
        <f aca="false">IF(OR(M262="Revenue",M262="Cost of Goods Sold",M262="Expenditures",M262="Other Revenue",M262="Other Expenditures"),N262,IF(AND(LEN(M262)&gt;2,MID(M262,2,1)=" ",ISNUMBER(VALUE(LEFT(M262,1)))),M262,O261))</f>
        <v/>
      </c>
      <c r="P262" s="36" t="n">
        <f aca="false">IF(AND(M262&lt;&gt;"",ISNUMBER(K262),LEFT(M262,9)&lt;&gt;"Total for",M262&lt;&gt;"Gross Profit",M262&lt;&gt;"Net Operating Revenue",M262&lt;&gt;"Net Other Revenue",M262&lt;&gt;"Net Revenue"),1,0)</f>
        <v>0</v>
      </c>
      <c r="Q262" s="36" t="str">
        <f aca="false">IF(P262=1,IF(AND(LEN(M262)&gt;7,ISNUMBER(VALUE(LEFT(M262,6))),MID(M262,7,1)=" "),LEFT(M262,6),M262),"")</f>
        <v/>
      </c>
      <c r="V262" s="36" t="str">
        <f aca="false">TRIM(S262)</f>
        <v/>
      </c>
      <c r="W262" s="36" t="str">
        <f aca="false">IF(V262="Revenue","Revenue",IF(V262="Cost of Goods Sold","COGS",IF(V262="Expenditures","Expense",IF(V262="Other Revenue","Other Revenue",IF(V262="Other Expenditures","Other Expense",W261)))))</f>
        <v/>
      </c>
      <c r="X262" s="36" t="str">
        <f aca="false">IF(OR(V262="Revenue",V262="Cost of Goods Sold",V262="Expenditures",V262="Other Revenue",V262="Other Expenditures"),W262,IF(AND(LEN(V262)&gt;2,MID(V262,2,1)=" ",ISNUMBER(VALUE(LEFT(V262,1)))),V262,X261))</f>
        <v/>
      </c>
      <c r="Y262" s="36" t="n">
        <f aca="false">IF(AND(V262&lt;&gt;"",ISNUMBER(T262),LEFT(V262,9)&lt;&gt;"Total for",V262&lt;&gt;"Gross Profit",V262&lt;&gt;"Net Operating Revenue",V262&lt;&gt;"Net Other Revenue",V262&lt;&gt;"Net Revenue"),1,0)</f>
        <v>0</v>
      </c>
      <c r="Z262" s="36" t="str">
        <f aca="false">IF(Y262=1,IF(AND(LEN(V262)&gt;7,ISNUMBER(VALUE(LEFT(V262,6))),MID(V262,7,1)=" "),LEFT(V262,6),V262),"")</f>
        <v/>
      </c>
      <c r="AE262" s="36" t="str">
        <f aca="false">TRIM(AB262)</f>
        <v/>
      </c>
      <c r="AF262" s="36" t="str">
        <f aca="false">IF(AE262="Revenue","Revenue",IF(AE262="Cost of Goods Sold","COGS",IF(AE262="Expenditures","Expense",IF(AE262="Other Revenue","Other Revenue",IF(AE262="Other Expenditures","Other Expense",AF261)))))</f>
        <v/>
      </c>
      <c r="AG262" s="36" t="str">
        <f aca="false">IF(OR(AE262="Revenue",AE262="Cost of Goods Sold",AE262="Expenditures",AE262="Other Revenue",AE262="Other Expenditures"),AF262,IF(AND(LEN(AE262)&gt;2,MID(AE262,2,1)=" ",ISNUMBER(VALUE(LEFT(AE262,1)))),AE262,AG261))</f>
        <v/>
      </c>
      <c r="AH262" s="36" t="n">
        <f aca="false">IF(AND(AE262&lt;&gt;"",ISNUMBER(AC262),LEFT(AE262,9)&lt;&gt;"Total for",AE262&lt;&gt;"Gross Profit",AE262&lt;&gt;"Net Operating Revenue",AE262&lt;&gt;"Net Other Revenue",AE262&lt;&gt;"Net Revenue"),1,0)</f>
        <v>0</v>
      </c>
      <c r="AI262" s="36" t="str">
        <f aca="false">IF(AH262=1,IF(AND(LEN(AE262)&gt;7,ISNUMBER(VALUE(LEFT(AE262,6))),MID(AE262,7,1)=" "),LEFT(AE262,6),AE262),"")</f>
        <v/>
      </c>
      <c r="AN262" s="36" t="str">
        <f aca="false">TRIM(AK262)</f>
        <v/>
      </c>
      <c r="AO262" s="36" t="str">
        <f aca="false">IF(AN262="Revenue","Revenue",IF(AN262="Cost of Goods Sold","COGS",IF(AN262="Expenditures","Expense",IF(AN262="Other Revenue","Other Revenue",IF(AN262="Other Expenditures","Other Expense",AO261)))))</f>
        <v/>
      </c>
      <c r="AP262" s="36" t="str">
        <f aca="false">IF(OR(AN262="Revenue",AN262="Cost of Goods Sold",AN262="Expenditures",AN262="Other Revenue",AN262="Other Expenditures"),AO262,IF(AND(LEN(AN262)&gt;2,MID(AN262,2,1)=" ",ISNUMBER(VALUE(LEFT(AN262,1)))),AN262,AP261))</f>
        <v/>
      </c>
      <c r="AQ262" s="36" t="n">
        <f aca="false">IF(AND(AN262&lt;&gt;"",ISNUMBER(AL262),LEFT(AN262,9)&lt;&gt;"Total for",AN262&lt;&gt;"Gross Profit",AN262&lt;&gt;"Net Operating Revenue",AN262&lt;&gt;"Net Other Revenue",AN262&lt;&gt;"Net Revenue"),1,0)</f>
        <v>0</v>
      </c>
      <c r="AR262" s="36" t="str">
        <f aca="false">IF(AQ262=1,IF(AND(LEN(AN262)&gt;7,ISNUMBER(VALUE(LEFT(AN262,6))),MID(AN262,7,1)=" "),LEFT(AN262,6),AN262),"")</f>
        <v/>
      </c>
    </row>
    <row r="263" customFormat="false" ht="15" hidden="false" customHeight="false" outlineLevel="0" collapsed="false">
      <c r="D263" s="36" t="str">
        <f aca="false">TRIM(A263)</f>
        <v/>
      </c>
      <c r="E263" s="36" t="str">
        <f aca="false">IF(D263="Revenue","Revenue",IF(D263="Cost of Goods Sold","COGS",IF(D263="Expenditures","Expense",IF(D263="Other Revenue","Other Revenue",IF(D263="Other Expenditures","Other Expense",E262)))))</f>
        <v/>
      </c>
      <c r="F263" s="36" t="str">
        <f aca="false">IF(OR(D263="Revenue",D263="Cost of Goods Sold",D263="Expenditures",D263="Other Revenue",D263="Other Expenditures"),E263,IF(AND(LEN(D263)&gt;2,MID(D263,2,1)=" ",ISNUMBER(VALUE(LEFT(D263,1)))),D263,F262))</f>
        <v/>
      </c>
      <c r="G263" s="36" t="n">
        <f aca="false">IF(AND(D263&lt;&gt;"",ISNUMBER(B263),LEFT(D263,9)&lt;&gt;"Total for",D263&lt;&gt;"Gross Profit",D263&lt;&gt;"Net Operating Revenue",D263&lt;&gt;"Net Other Revenue",D263&lt;&gt;"Net Revenue"),1,0)</f>
        <v>0</v>
      </c>
      <c r="H263" s="36" t="str">
        <f aca="false">IF(G263=1,IF(AND(LEN(D263)&gt;7,ISNUMBER(VALUE(LEFT(D263,6))),MID(D263,7,1)=" "),LEFT(D263,6),D263),"")</f>
        <v/>
      </c>
      <c r="M263" s="36" t="str">
        <f aca="false">TRIM(J263)</f>
        <v/>
      </c>
      <c r="N263" s="36" t="str">
        <f aca="false">IF(M263="Revenue","Revenue",IF(M263="Cost of Goods Sold","COGS",IF(M263="Expenditures","Expense",IF(M263="Other Revenue","Other Revenue",IF(M263="Other Expenditures","Other Expense",N262)))))</f>
        <v/>
      </c>
      <c r="O263" s="36" t="str">
        <f aca="false">IF(OR(M263="Revenue",M263="Cost of Goods Sold",M263="Expenditures",M263="Other Revenue",M263="Other Expenditures"),N263,IF(AND(LEN(M263)&gt;2,MID(M263,2,1)=" ",ISNUMBER(VALUE(LEFT(M263,1)))),M263,O262))</f>
        <v/>
      </c>
      <c r="P263" s="36" t="n">
        <f aca="false">IF(AND(M263&lt;&gt;"",ISNUMBER(K263),LEFT(M263,9)&lt;&gt;"Total for",M263&lt;&gt;"Gross Profit",M263&lt;&gt;"Net Operating Revenue",M263&lt;&gt;"Net Other Revenue",M263&lt;&gt;"Net Revenue"),1,0)</f>
        <v>0</v>
      </c>
      <c r="Q263" s="36" t="str">
        <f aca="false">IF(P263=1,IF(AND(LEN(M263)&gt;7,ISNUMBER(VALUE(LEFT(M263,6))),MID(M263,7,1)=" "),LEFT(M263,6),M263),"")</f>
        <v/>
      </c>
      <c r="V263" s="36" t="str">
        <f aca="false">TRIM(S263)</f>
        <v/>
      </c>
      <c r="W263" s="36" t="str">
        <f aca="false">IF(V263="Revenue","Revenue",IF(V263="Cost of Goods Sold","COGS",IF(V263="Expenditures","Expense",IF(V263="Other Revenue","Other Revenue",IF(V263="Other Expenditures","Other Expense",W262)))))</f>
        <v/>
      </c>
      <c r="X263" s="36" t="str">
        <f aca="false">IF(OR(V263="Revenue",V263="Cost of Goods Sold",V263="Expenditures",V263="Other Revenue",V263="Other Expenditures"),W263,IF(AND(LEN(V263)&gt;2,MID(V263,2,1)=" ",ISNUMBER(VALUE(LEFT(V263,1)))),V263,X262))</f>
        <v/>
      </c>
      <c r="Y263" s="36" t="n">
        <f aca="false">IF(AND(V263&lt;&gt;"",ISNUMBER(T263),LEFT(V263,9)&lt;&gt;"Total for",V263&lt;&gt;"Gross Profit",V263&lt;&gt;"Net Operating Revenue",V263&lt;&gt;"Net Other Revenue",V263&lt;&gt;"Net Revenue"),1,0)</f>
        <v>0</v>
      </c>
      <c r="Z263" s="36" t="str">
        <f aca="false">IF(Y263=1,IF(AND(LEN(V263)&gt;7,ISNUMBER(VALUE(LEFT(V263,6))),MID(V263,7,1)=" "),LEFT(V263,6),V263),"")</f>
        <v/>
      </c>
      <c r="AE263" s="36" t="str">
        <f aca="false">TRIM(AB263)</f>
        <v/>
      </c>
      <c r="AF263" s="36" t="str">
        <f aca="false">IF(AE263="Revenue","Revenue",IF(AE263="Cost of Goods Sold","COGS",IF(AE263="Expenditures","Expense",IF(AE263="Other Revenue","Other Revenue",IF(AE263="Other Expenditures","Other Expense",AF262)))))</f>
        <v/>
      </c>
      <c r="AG263" s="36" t="str">
        <f aca="false">IF(OR(AE263="Revenue",AE263="Cost of Goods Sold",AE263="Expenditures",AE263="Other Revenue",AE263="Other Expenditures"),AF263,IF(AND(LEN(AE263)&gt;2,MID(AE263,2,1)=" ",ISNUMBER(VALUE(LEFT(AE263,1)))),AE263,AG262))</f>
        <v/>
      </c>
      <c r="AH263" s="36" t="n">
        <f aca="false">IF(AND(AE263&lt;&gt;"",ISNUMBER(AC263),LEFT(AE263,9)&lt;&gt;"Total for",AE263&lt;&gt;"Gross Profit",AE263&lt;&gt;"Net Operating Revenue",AE263&lt;&gt;"Net Other Revenue",AE263&lt;&gt;"Net Revenue"),1,0)</f>
        <v>0</v>
      </c>
      <c r="AI263" s="36" t="str">
        <f aca="false">IF(AH263=1,IF(AND(LEN(AE263)&gt;7,ISNUMBER(VALUE(LEFT(AE263,6))),MID(AE263,7,1)=" "),LEFT(AE263,6),AE263),"")</f>
        <v/>
      </c>
      <c r="AN263" s="36" t="str">
        <f aca="false">TRIM(AK263)</f>
        <v/>
      </c>
      <c r="AO263" s="36" t="str">
        <f aca="false">IF(AN263="Revenue","Revenue",IF(AN263="Cost of Goods Sold","COGS",IF(AN263="Expenditures","Expense",IF(AN263="Other Revenue","Other Revenue",IF(AN263="Other Expenditures","Other Expense",AO262)))))</f>
        <v/>
      </c>
      <c r="AP263" s="36" t="str">
        <f aca="false">IF(OR(AN263="Revenue",AN263="Cost of Goods Sold",AN263="Expenditures",AN263="Other Revenue",AN263="Other Expenditures"),AO263,IF(AND(LEN(AN263)&gt;2,MID(AN263,2,1)=" ",ISNUMBER(VALUE(LEFT(AN263,1)))),AN263,AP262))</f>
        <v/>
      </c>
      <c r="AQ263" s="36" t="n">
        <f aca="false">IF(AND(AN263&lt;&gt;"",ISNUMBER(AL263),LEFT(AN263,9)&lt;&gt;"Total for",AN263&lt;&gt;"Gross Profit",AN263&lt;&gt;"Net Operating Revenue",AN263&lt;&gt;"Net Other Revenue",AN263&lt;&gt;"Net Revenue"),1,0)</f>
        <v>0</v>
      </c>
      <c r="AR263" s="36" t="str">
        <f aca="false">IF(AQ263=1,IF(AND(LEN(AN263)&gt;7,ISNUMBER(VALUE(LEFT(AN263,6))),MID(AN263,7,1)=" "),LEFT(AN263,6),AN263),"")</f>
        <v/>
      </c>
    </row>
    <row r="264" customFormat="false" ht="15" hidden="false" customHeight="false" outlineLevel="0" collapsed="false">
      <c r="D264" s="36" t="str">
        <f aca="false">TRIM(A264)</f>
        <v/>
      </c>
      <c r="E264" s="36" t="str">
        <f aca="false">IF(D264="Revenue","Revenue",IF(D264="Cost of Goods Sold","COGS",IF(D264="Expenditures","Expense",IF(D264="Other Revenue","Other Revenue",IF(D264="Other Expenditures","Other Expense",E263)))))</f>
        <v/>
      </c>
      <c r="F264" s="36" t="str">
        <f aca="false">IF(OR(D264="Revenue",D264="Cost of Goods Sold",D264="Expenditures",D264="Other Revenue",D264="Other Expenditures"),E264,IF(AND(LEN(D264)&gt;2,MID(D264,2,1)=" ",ISNUMBER(VALUE(LEFT(D264,1)))),D264,F263))</f>
        <v/>
      </c>
      <c r="G264" s="36" t="n">
        <f aca="false">IF(AND(D264&lt;&gt;"",ISNUMBER(B264),LEFT(D264,9)&lt;&gt;"Total for",D264&lt;&gt;"Gross Profit",D264&lt;&gt;"Net Operating Revenue",D264&lt;&gt;"Net Other Revenue",D264&lt;&gt;"Net Revenue"),1,0)</f>
        <v>0</v>
      </c>
      <c r="H264" s="36" t="str">
        <f aca="false">IF(G264=1,IF(AND(LEN(D264)&gt;7,ISNUMBER(VALUE(LEFT(D264,6))),MID(D264,7,1)=" "),LEFT(D264,6),D264),"")</f>
        <v/>
      </c>
      <c r="M264" s="36" t="str">
        <f aca="false">TRIM(J264)</f>
        <v/>
      </c>
      <c r="N264" s="36" t="str">
        <f aca="false">IF(M264="Revenue","Revenue",IF(M264="Cost of Goods Sold","COGS",IF(M264="Expenditures","Expense",IF(M264="Other Revenue","Other Revenue",IF(M264="Other Expenditures","Other Expense",N263)))))</f>
        <v/>
      </c>
      <c r="O264" s="36" t="str">
        <f aca="false">IF(OR(M264="Revenue",M264="Cost of Goods Sold",M264="Expenditures",M264="Other Revenue",M264="Other Expenditures"),N264,IF(AND(LEN(M264)&gt;2,MID(M264,2,1)=" ",ISNUMBER(VALUE(LEFT(M264,1)))),M264,O263))</f>
        <v/>
      </c>
      <c r="P264" s="36" t="n">
        <f aca="false">IF(AND(M264&lt;&gt;"",ISNUMBER(K264),LEFT(M264,9)&lt;&gt;"Total for",M264&lt;&gt;"Gross Profit",M264&lt;&gt;"Net Operating Revenue",M264&lt;&gt;"Net Other Revenue",M264&lt;&gt;"Net Revenue"),1,0)</f>
        <v>0</v>
      </c>
      <c r="Q264" s="36" t="str">
        <f aca="false">IF(P264=1,IF(AND(LEN(M264)&gt;7,ISNUMBER(VALUE(LEFT(M264,6))),MID(M264,7,1)=" "),LEFT(M264,6),M264),"")</f>
        <v/>
      </c>
      <c r="V264" s="36" t="str">
        <f aca="false">TRIM(S264)</f>
        <v/>
      </c>
      <c r="W264" s="36" t="str">
        <f aca="false">IF(V264="Revenue","Revenue",IF(V264="Cost of Goods Sold","COGS",IF(V264="Expenditures","Expense",IF(V264="Other Revenue","Other Revenue",IF(V264="Other Expenditures","Other Expense",W263)))))</f>
        <v/>
      </c>
      <c r="X264" s="36" t="str">
        <f aca="false">IF(OR(V264="Revenue",V264="Cost of Goods Sold",V264="Expenditures",V264="Other Revenue",V264="Other Expenditures"),W264,IF(AND(LEN(V264)&gt;2,MID(V264,2,1)=" ",ISNUMBER(VALUE(LEFT(V264,1)))),V264,X263))</f>
        <v/>
      </c>
      <c r="Y264" s="36" t="n">
        <f aca="false">IF(AND(V264&lt;&gt;"",ISNUMBER(T264),LEFT(V264,9)&lt;&gt;"Total for",V264&lt;&gt;"Gross Profit",V264&lt;&gt;"Net Operating Revenue",V264&lt;&gt;"Net Other Revenue",V264&lt;&gt;"Net Revenue"),1,0)</f>
        <v>0</v>
      </c>
      <c r="Z264" s="36" t="str">
        <f aca="false">IF(Y264=1,IF(AND(LEN(V264)&gt;7,ISNUMBER(VALUE(LEFT(V264,6))),MID(V264,7,1)=" "),LEFT(V264,6),V264),"")</f>
        <v/>
      </c>
      <c r="AE264" s="36" t="str">
        <f aca="false">TRIM(AB264)</f>
        <v/>
      </c>
      <c r="AF264" s="36" t="str">
        <f aca="false">IF(AE264="Revenue","Revenue",IF(AE264="Cost of Goods Sold","COGS",IF(AE264="Expenditures","Expense",IF(AE264="Other Revenue","Other Revenue",IF(AE264="Other Expenditures","Other Expense",AF263)))))</f>
        <v/>
      </c>
      <c r="AG264" s="36" t="str">
        <f aca="false">IF(OR(AE264="Revenue",AE264="Cost of Goods Sold",AE264="Expenditures",AE264="Other Revenue",AE264="Other Expenditures"),AF264,IF(AND(LEN(AE264)&gt;2,MID(AE264,2,1)=" ",ISNUMBER(VALUE(LEFT(AE264,1)))),AE264,AG263))</f>
        <v/>
      </c>
      <c r="AH264" s="36" t="n">
        <f aca="false">IF(AND(AE264&lt;&gt;"",ISNUMBER(AC264),LEFT(AE264,9)&lt;&gt;"Total for",AE264&lt;&gt;"Gross Profit",AE264&lt;&gt;"Net Operating Revenue",AE264&lt;&gt;"Net Other Revenue",AE264&lt;&gt;"Net Revenue"),1,0)</f>
        <v>0</v>
      </c>
      <c r="AI264" s="36" t="str">
        <f aca="false">IF(AH264=1,IF(AND(LEN(AE264)&gt;7,ISNUMBER(VALUE(LEFT(AE264,6))),MID(AE264,7,1)=" "),LEFT(AE264,6),AE264),"")</f>
        <v/>
      </c>
      <c r="AN264" s="36" t="str">
        <f aca="false">TRIM(AK264)</f>
        <v/>
      </c>
      <c r="AO264" s="36" t="str">
        <f aca="false">IF(AN264="Revenue","Revenue",IF(AN264="Cost of Goods Sold","COGS",IF(AN264="Expenditures","Expense",IF(AN264="Other Revenue","Other Revenue",IF(AN264="Other Expenditures","Other Expense",AO263)))))</f>
        <v/>
      </c>
      <c r="AP264" s="36" t="str">
        <f aca="false">IF(OR(AN264="Revenue",AN264="Cost of Goods Sold",AN264="Expenditures",AN264="Other Revenue",AN264="Other Expenditures"),AO264,IF(AND(LEN(AN264)&gt;2,MID(AN264,2,1)=" ",ISNUMBER(VALUE(LEFT(AN264,1)))),AN264,AP263))</f>
        <v/>
      </c>
      <c r="AQ264" s="36" t="n">
        <f aca="false">IF(AND(AN264&lt;&gt;"",ISNUMBER(AL264),LEFT(AN264,9)&lt;&gt;"Total for",AN264&lt;&gt;"Gross Profit",AN264&lt;&gt;"Net Operating Revenue",AN264&lt;&gt;"Net Other Revenue",AN264&lt;&gt;"Net Revenue"),1,0)</f>
        <v>0</v>
      </c>
      <c r="AR264" s="36" t="str">
        <f aca="false">IF(AQ264=1,IF(AND(LEN(AN264)&gt;7,ISNUMBER(VALUE(LEFT(AN264,6))),MID(AN264,7,1)=" "),LEFT(AN264,6),AN264),"")</f>
        <v/>
      </c>
    </row>
    <row r="265" customFormat="false" ht="15" hidden="false" customHeight="false" outlineLevel="0" collapsed="false">
      <c r="D265" s="36" t="str">
        <f aca="false">TRIM(A265)</f>
        <v/>
      </c>
      <c r="E265" s="36" t="str">
        <f aca="false">IF(D265="Revenue","Revenue",IF(D265="Cost of Goods Sold","COGS",IF(D265="Expenditures","Expense",IF(D265="Other Revenue","Other Revenue",IF(D265="Other Expenditures","Other Expense",E264)))))</f>
        <v/>
      </c>
      <c r="F265" s="36" t="str">
        <f aca="false">IF(OR(D265="Revenue",D265="Cost of Goods Sold",D265="Expenditures",D265="Other Revenue",D265="Other Expenditures"),E265,IF(AND(LEN(D265)&gt;2,MID(D265,2,1)=" ",ISNUMBER(VALUE(LEFT(D265,1)))),D265,F264))</f>
        <v/>
      </c>
      <c r="G265" s="36" t="n">
        <f aca="false">IF(AND(D265&lt;&gt;"",ISNUMBER(B265),LEFT(D265,9)&lt;&gt;"Total for",D265&lt;&gt;"Gross Profit",D265&lt;&gt;"Net Operating Revenue",D265&lt;&gt;"Net Other Revenue",D265&lt;&gt;"Net Revenue"),1,0)</f>
        <v>0</v>
      </c>
      <c r="H265" s="36" t="str">
        <f aca="false">IF(G265=1,IF(AND(LEN(D265)&gt;7,ISNUMBER(VALUE(LEFT(D265,6))),MID(D265,7,1)=" "),LEFT(D265,6),D265),"")</f>
        <v/>
      </c>
      <c r="M265" s="36" t="str">
        <f aca="false">TRIM(J265)</f>
        <v/>
      </c>
      <c r="N265" s="36" t="str">
        <f aca="false">IF(M265="Revenue","Revenue",IF(M265="Cost of Goods Sold","COGS",IF(M265="Expenditures","Expense",IF(M265="Other Revenue","Other Revenue",IF(M265="Other Expenditures","Other Expense",N264)))))</f>
        <v/>
      </c>
      <c r="O265" s="36" t="str">
        <f aca="false">IF(OR(M265="Revenue",M265="Cost of Goods Sold",M265="Expenditures",M265="Other Revenue",M265="Other Expenditures"),N265,IF(AND(LEN(M265)&gt;2,MID(M265,2,1)=" ",ISNUMBER(VALUE(LEFT(M265,1)))),M265,O264))</f>
        <v/>
      </c>
      <c r="P265" s="36" t="n">
        <f aca="false">IF(AND(M265&lt;&gt;"",ISNUMBER(K265),LEFT(M265,9)&lt;&gt;"Total for",M265&lt;&gt;"Gross Profit",M265&lt;&gt;"Net Operating Revenue",M265&lt;&gt;"Net Other Revenue",M265&lt;&gt;"Net Revenue"),1,0)</f>
        <v>0</v>
      </c>
      <c r="Q265" s="36" t="str">
        <f aca="false">IF(P265=1,IF(AND(LEN(M265)&gt;7,ISNUMBER(VALUE(LEFT(M265,6))),MID(M265,7,1)=" "),LEFT(M265,6),M265),"")</f>
        <v/>
      </c>
      <c r="V265" s="36" t="str">
        <f aca="false">TRIM(S265)</f>
        <v/>
      </c>
      <c r="W265" s="36" t="str">
        <f aca="false">IF(V265="Revenue","Revenue",IF(V265="Cost of Goods Sold","COGS",IF(V265="Expenditures","Expense",IF(V265="Other Revenue","Other Revenue",IF(V265="Other Expenditures","Other Expense",W264)))))</f>
        <v/>
      </c>
      <c r="X265" s="36" t="str">
        <f aca="false">IF(OR(V265="Revenue",V265="Cost of Goods Sold",V265="Expenditures",V265="Other Revenue",V265="Other Expenditures"),W265,IF(AND(LEN(V265)&gt;2,MID(V265,2,1)=" ",ISNUMBER(VALUE(LEFT(V265,1)))),V265,X264))</f>
        <v/>
      </c>
      <c r="Y265" s="36" t="n">
        <f aca="false">IF(AND(V265&lt;&gt;"",ISNUMBER(T265),LEFT(V265,9)&lt;&gt;"Total for",V265&lt;&gt;"Gross Profit",V265&lt;&gt;"Net Operating Revenue",V265&lt;&gt;"Net Other Revenue",V265&lt;&gt;"Net Revenue"),1,0)</f>
        <v>0</v>
      </c>
      <c r="Z265" s="36" t="str">
        <f aca="false">IF(Y265=1,IF(AND(LEN(V265)&gt;7,ISNUMBER(VALUE(LEFT(V265,6))),MID(V265,7,1)=" "),LEFT(V265,6),V265),"")</f>
        <v/>
      </c>
      <c r="AE265" s="36" t="str">
        <f aca="false">TRIM(AB265)</f>
        <v/>
      </c>
      <c r="AF265" s="36" t="str">
        <f aca="false">IF(AE265="Revenue","Revenue",IF(AE265="Cost of Goods Sold","COGS",IF(AE265="Expenditures","Expense",IF(AE265="Other Revenue","Other Revenue",IF(AE265="Other Expenditures","Other Expense",AF264)))))</f>
        <v/>
      </c>
      <c r="AG265" s="36" t="str">
        <f aca="false">IF(OR(AE265="Revenue",AE265="Cost of Goods Sold",AE265="Expenditures",AE265="Other Revenue",AE265="Other Expenditures"),AF265,IF(AND(LEN(AE265)&gt;2,MID(AE265,2,1)=" ",ISNUMBER(VALUE(LEFT(AE265,1)))),AE265,AG264))</f>
        <v/>
      </c>
      <c r="AH265" s="36" t="n">
        <f aca="false">IF(AND(AE265&lt;&gt;"",ISNUMBER(AC265),LEFT(AE265,9)&lt;&gt;"Total for",AE265&lt;&gt;"Gross Profit",AE265&lt;&gt;"Net Operating Revenue",AE265&lt;&gt;"Net Other Revenue",AE265&lt;&gt;"Net Revenue"),1,0)</f>
        <v>0</v>
      </c>
      <c r="AI265" s="36" t="str">
        <f aca="false">IF(AH265=1,IF(AND(LEN(AE265)&gt;7,ISNUMBER(VALUE(LEFT(AE265,6))),MID(AE265,7,1)=" "),LEFT(AE265,6),AE265),"")</f>
        <v/>
      </c>
      <c r="AN265" s="36" t="str">
        <f aca="false">TRIM(AK265)</f>
        <v/>
      </c>
      <c r="AO265" s="36" t="str">
        <f aca="false">IF(AN265="Revenue","Revenue",IF(AN265="Cost of Goods Sold","COGS",IF(AN265="Expenditures","Expense",IF(AN265="Other Revenue","Other Revenue",IF(AN265="Other Expenditures","Other Expense",AO264)))))</f>
        <v/>
      </c>
      <c r="AP265" s="36" t="str">
        <f aca="false">IF(OR(AN265="Revenue",AN265="Cost of Goods Sold",AN265="Expenditures",AN265="Other Revenue",AN265="Other Expenditures"),AO265,IF(AND(LEN(AN265)&gt;2,MID(AN265,2,1)=" ",ISNUMBER(VALUE(LEFT(AN265,1)))),AN265,AP264))</f>
        <v/>
      </c>
      <c r="AQ265" s="36" t="n">
        <f aca="false">IF(AND(AN265&lt;&gt;"",ISNUMBER(AL265),LEFT(AN265,9)&lt;&gt;"Total for",AN265&lt;&gt;"Gross Profit",AN265&lt;&gt;"Net Operating Revenue",AN265&lt;&gt;"Net Other Revenue",AN265&lt;&gt;"Net Revenue"),1,0)</f>
        <v>0</v>
      </c>
      <c r="AR265" s="36" t="str">
        <f aca="false">IF(AQ265=1,IF(AND(LEN(AN265)&gt;7,ISNUMBER(VALUE(LEFT(AN265,6))),MID(AN265,7,1)=" "),LEFT(AN265,6),AN265),"")</f>
        <v/>
      </c>
    </row>
    <row r="266" customFormat="false" ht="15" hidden="false" customHeight="false" outlineLevel="0" collapsed="false">
      <c r="D266" s="36" t="str">
        <f aca="false">TRIM(A266)</f>
        <v/>
      </c>
      <c r="E266" s="36" t="str">
        <f aca="false">IF(D266="Revenue","Revenue",IF(D266="Cost of Goods Sold","COGS",IF(D266="Expenditures","Expense",IF(D266="Other Revenue","Other Revenue",IF(D266="Other Expenditures","Other Expense",E265)))))</f>
        <v/>
      </c>
      <c r="F266" s="36" t="str">
        <f aca="false">IF(OR(D266="Revenue",D266="Cost of Goods Sold",D266="Expenditures",D266="Other Revenue",D266="Other Expenditures"),E266,IF(AND(LEN(D266)&gt;2,MID(D266,2,1)=" ",ISNUMBER(VALUE(LEFT(D266,1)))),D266,F265))</f>
        <v/>
      </c>
      <c r="G266" s="36" t="n">
        <f aca="false">IF(AND(D266&lt;&gt;"",ISNUMBER(B266),LEFT(D266,9)&lt;&gt;"Total for",D266&lt;&gt;"Gross Profit",D266&lt;&gt;"Net Operating Revenue",D266&lt;&gt;"Net Other Revenue",D266&lt;&gt;"Net Revenue"),1,0)</f>
        <v>0</v>
      </c>
      <c r="H266" s="36" t="str">
        <f aca="false">IF(G266=1,IF(AND(LEN(D266)&gt;7,ISNUMBER(VALUE(LEFT(D266,6))),MID(D266,7,1)=" "),LEFT(D266,6),D266),"")</f>
        <v/>
      </c>
      <c r="M266" s="36" t="str">
        <f aca="false">TRIM(J266)</f>
        <v/>
      </c>
      <c r="N266" s="36" t="str">
        <f aca="false">IF(M266="Revenue","Revenue",IF(M266="Cost of Goods Sold","COGS",IF(M266="Expenditures","Expense",IF(M266="Other Revenue","Other Revenue",IF(M266="Other Expenditures","Other Expense",N265)))))</f>
        <v/>
      </c>
      <c r="O266" s="36" t="str">
        <f aca="false">IF(OR(M266="Revenue",M266="Cost of Goods Sold",M266="Expenditures",M266="Other Revenue",M266="Other Expenditures"),N266,IF(AND(LEN(M266)&gt;2,MID(M266,2,1)=" ",ISNUMBER(VALUE(LEFT(M266,1)))),M266,O265))</f>
        <v/>
      </c>
      <c r="P266" s="36" t="n">
        <f aca="false">IF(AND(M266&lt;&gt;"",ISNUMBER(K266),LEFT(M266,9)&lt;&gt;"Total for",M266&lt;&gt;"Gross Profit",M266&lt;&gt;"Net Operating Revenue",M266&lt;&gt;"Net Other Revenue",M266&lt;&gt;"Net Revenue"),1,0)</f>
        <v>0</v>
      </c>
      <c r="Q266" s="36" t="str">
        <f aca="false">IF(P266=1,IF(AND(LEN(M266)&gt;7,ISNUMBER(VALUE(LEFT(M266,6))),MID(M266,7,1)=" "),LEFT(M266,6),M266),"")</f>
        <v/>
      </c>
      <c r="V266" s="36" t="str">
        <f aca="false">TRIM(S266)</f>
        <v/>
      </c>
      <c r="W266" s="36" t="str">
        <f aca="false">IF(V266="Revenue","Revenue",IF(V266="Cost of Goods Sold","COGS",IF(V266="Expenditures","Expense",IF(V266="Other Revenue","Other Revenue",IF(V266="Other Expenditures","Other Expense",W265)))))</f>
        <v/>
      </c>
      <c r="X266" s="36" t="str">
        <f aca="false">IF(OR(V266="Revenue",V266="Cost of Goods Sold",V266="Expenditures",V266="Other Revenue",V266="Other Expenditures"),W266,IF(AND(LEN(V266)&gt;2,MID(V266,2,1)=" ",ISNUMBER(VALUE(LEFT(V266,1)))),V266,X265))</f>
        <v/>
      </c>
      <c r="Y266" s="36" t="n">
        <f aca="false">IF(AND(V266&lt;&gt;"",ISNUMBER(T266),LEFT(V266,9)&lt;&gt;"Total for",V266&lt;&gt;"Gross Profit",V266&lt;&gt;"Net Operating Revenue",V266&lt;&gt;"Net Other Revenue",V266&lt;&gt;"Net Revenue"),1,0)</f>
        <v>0</v>
      </c>
      <c r="Z266" s="36" t="str">
        <f aca="false">IF(Y266=1,IF(AND(LEN(V266)&gt;7,ISNUMBER(VALUE(LEFT(V266,6))),MID(V266,7,1)=" "),LEFT(V266,6),V266),"")</f>
        <v/>
      </c>
      <c r="AE266" s="36" t="str">
        <f aca="false">TRIM(AB266)</f>
        <v/>
      </c>
      <c r="AF266" s="36" t="str">
        <f aca="false">IF(AE266="Revenue","Revenue",IF(AE266="Cost of Goods Sold","COGS",IF(AE266="Expenditures","Expense",IF(AE266="Other Revenue","Other Revenue",IF(AE266="Other Expenditures","Other Expense",AF265)))))</f>
        <v/>
      </c>
      <c r="AG266" s="36" t="str">
        <f aca="false">IF(OR(AE266="Revenue",AE266="Cost of Goods Sold",AE266="Expenditures",AE266="Other Revenue",AE266="Other Expenditures"),AF266,IF(AND(LEN(AE266)&gt;2,MID(AE266,2,1)=" ",ISNUMBER(VALUE(LEFT(AE266,1)))),AE266,AG265))</f>
        <v/>
      </c>
      <c r="AH266" s="36" t="n">
        <f aca="false">IF(AND(AE266&lt;&gt;"",ISNUMBER(AC266),LEFT(AE266,9)&lt;&gt;"Total for",AE266&lt;&gt;"Gross Profit",AE266&lt;&gt;"Net Operating Revenue",AE266&lt;&gt;"Net Other Revenue",AE266&lt;&gt;"Net Revenue"),1,0)</f>
        <v>0</v>
      </c>
      <c r="AI266" s="36" t="str">
        <f aca="false">IF(AH266=1,IF(AND(LEN(AE266)&gt;7,ISNUMBER(VALUE(LEFT(AE266,6))),MID(AE266,7,1)=" "),LEFT(AE266,6),AE266),"")</f>
        <v/>
      </c>
      <c r="AN266" s="36" t="str">
        <f aca="false">TRIM(AK266)</f>
        <v/>
      </c>
      <c r="AO266" s="36" t="str">
        <f aca="false">IF(AN266="Revenue","Revenue",IF(AN266="Cost of Goods Sold","COGS",IF(AN266="Expenditures","Expense",IF(AN266="Other Revenue","Other Revenue",IF(AN266="Other Expenditures","Other Expense",AO265)))))</f>
        <v/>
      </c>
      <c r="AP266" s="36" t="str">
        <f aca="false">IF(OR(AN266="Revenue",AN266="Cost of Goods Sold",AN266="Expenditures",AN266="Other Revenue",AN266="Other Expenditures"),AO266,IF(AND(LEN(AN266)&gt;2,MID(AN266,2,1)=" ",ISNUMBER(VALUE(LEFT(AN266,1)))),AN266,AP265))</f>
        <v/>
      </c>
      <c r="AQ266" s="36" t="n">
        <f aca="false">IF(AND(AN266&lt;&gt;"",ISNUMBER(AL266),LEFT(AN266,9)&lt;&gt;"Total for",AN266&lt;&gt;"Gross Profit",AN266&lt;&gt;"Net Operating Revenue",AN266&lt;&gt;"Net Other Revenue",AN266&lt;&gt;"Net Revenue"),1,0)</f>
        <v>0</v>
      </c>
      <c r="AR266" s="36" t="str">
        <f aca="false">IF(AQ266=1,IF(AND(LEN(AN266)&gt;7,ISNUMBER(VALUE(LEFT(AN266,6))),MID(AN266,7,1)=" "),LEFT(AN266,6),AN266),"")</f>
        <v/>
      </c>
    </row>
    <row r="267" customFormat="false" ht="15" hidden="false" customHeight="false" outlineLevel="0" collapsed="false">
      <c r="D267" s="36" t="str">
        <f aca="false">TRIM(A267)</f>
        <v/>
      </c>
      <c r="E267" s="36" t="str">
        <f aca="false">IF(D267="Revenue","Revenue",IF(D267="Cost of Goods Sold","COGS",IF(D267="Expenditures","Expense",IF(D267="Other Revenue","Other Revenue",IF(D267="Other Expenditures","Other Expense",E266)))))</f>
        <v/>
      </c>
      <c r="F267" s="36" t="str">
        <f aca="false">IF(OR(D267="Revenue",D267="Cost of Goods Sold",D267="Expenditures",D267="Other Revenue",D267="Other Expenditures"),E267,IF(AND(LEN(D267)&gt;2,MID(D267,2,1)=" ",ISNUMBER(VALUE(LEFT(D267,1)))),D267,F266))</f>
        <v/>
      </c>
      <c r="G267" s="36" t="n">
        <f aca="false">IF(AND(D267&lt;&gt;"",ISNUMBER(B267),LEFT(D267,9)&lt;&gt;"Total for",D267&lt;&gt;"Gross Profit",D267&lt;&gt;"Net Operating Revenue",D267&lt;&gt;"Net Other Revenue",D267&lt;&gt;"Net Revenue"),1,0)</f>
        <v>0</v>
      </c>
      <c r="H267" s="36" t="str">
        <f aca="false">IF(G267=1,IF(AND(LEN(D267)&gt;7,ISNUMBER(VALUE(LEFT(D267,6))),MID(D267,7,1)=" "),LEFT(D267,6),D267),"")</f>
        <v/>
      </c>
      <c r="M267" s="36" t="str">
        <f aca="false">TRIM(J267)</f>
        <v/>
      </c>
      <c r="N267" s="36" t="str">
        <f aca="false">IF(M267="Revenue","Revenue",IF(M267="Cost of Goods Sold","COGS",IF(M267="Expenditures","Expense",IF(M267="Other Revenue","Other Revenue",IF(M267="Other Expenditures","Other Expense",N266)))))</f>
        <v/>
      </c>
      <c r="O267" s="36" t="str">
        <f aca="false">IF(OR(M267="Revenue",M267="Cost of Goods Sold",M267="Expenditures",M267="Other Revenue",M267="Other Expenditures"),N267,IF(AND(LEN(M267)&gt;2,MID(M267,2,1)=" ",ISNUMBER(VALUE(LEFT(M267,1)))),M267,O266))</f>
        <v/>
      </c>
      <c r="P267" s="36" t="n">
        <f aca="false">IF(AND(M267&lt;&gt;"",ISNUMBER(K267),LEFT(M267,9)&lt;&gt;"Total for",M267&lt;&gt;"Gross Profit",M267&lt;&gt;"Net Operating Revenue",M267&lt;&gt;"Net Other Revenue",M267&lt;&gt;"Net Revenue"),1,0)</f>
        <v>0</v>
      </c>
      <c r="Q267" s="36" t="str">
        <f aca="false">IF(P267=1,IF(AND(LEN(M267)&gt;7,ISNUMBER(VALUE(LEFT(M267,6))),MID(M267,7,1)=" "),LEFT(M267,6),M267),"")</f>
        <v/>
      </c>
      <c r="V267" s="36" t="str">
        <f aca="false">TRIM(S267)</f>
        <v/>
      </c>
      <c r="W267" s="36" t="str">
        <f aca="false">IF(V267="Revenue","Revenue",IF(V267="Cost of Goods Sold","COGS",IF(V267="Expenditures","Expense",IF(V267="Other Revenue","Other Revenue",IF(V267="Other Expenditures","Other Expense",W266)))))</f>
        <v/>
      </c>
      <c r="X267" s="36" t="str">
        <f aca="false">IF(OR(V267="Revenue",V267="Cost of Goods Sold",V267="Expenditures",V267="Other Revenue",V267="Other Expenditures"),W267,IF(AND(LEN(V267)&gt;2,MID(V267,2,1)=" ",ISNUMBER(VALUE(LEFT(V267,1)))),V267,X266))</f>
        <v/>
      </c>
      <c r="Y267" s="36" t="n">
        <f aca="false">IF(AND(V267&lt;&gt;"",ISNUMBER(T267),LEFT(V267,9)&lt;&gt;"Total for",V267&lt;&gt;"Gross Profit",V267&lt;&gt;"Net Operating Revenue",V267&lt;&gt;"Net Other Revenue",V267&lt;&gt;"Net Revenue"),1,0)</f>
        <v>0</v>
      </c>
      <c r="Z267" s="36" t="str">
        <f aca="false">IF(Y267=1,IF(AND(LEN(V267)&gt;7,ISNUMBER(VALUE(LEFT(V267,6))),MID(V267,7,1)=" "),LEFT(V267,6),V267),"")</f>
        <v/>
      </c>
      <c r="AE267" s="36" t="str">
        <f aca="false">TRIM(AB267)</f>
        <v/>
      </c>
      <c r="AF267" s="36" t="str">
        <f aca="false">IF(AE267="Revenue","Revenue",IF(AE267="Cost of Goods Sold","COGS",IF(AE267="Expenditures","Expense",IF(AE267="Other Revenue","Other Revenue",IF(AE267="Other Expenditures","Other Expense",AF266)))))</f>
        <v/>
      </c>
      <c r="AG267" s="36" t="str">
        <f aca="false">IF(OR(AE267="Revenue",AE267="Cost of Goods Sold",AE267="Expenditures",AE267="Other Revenue",AE267="Other Expenditures"),AF267,IF(AND(LEN(AE267)&gt;2,MID(AE267,2,1)=" ",ISNUMBER(VALUE(LEFT(AE267,1)))),AE267,AG266))</f>
        <v/>
      </c>
      <c r="AH267" s="36" t="n">
        <f aca="false">IF(AND(AE267&lt;&gt;"",ISNUMBER(AC267),LEFT(AE267,9)&lt;&gt;"Total for",AE267&lt;&gt;"Gross Profit",AE267&lt;&gt;"Net Operating Revenue",AE267&lt;&gt;"Net Other Revenue",AE267&lt;&gt;"Net Revenue"),1,0)</f>
        <v>0</v>
      </c>
      <c r="AI267" s="36" t="str">
        <f aca="false">IF(AH267=1,IF(AND(LEN(AE267)&gt;7,ISNUMBER(VALUE(LEFT(AE267,6))),MID(AE267,7,1)=" "),LEFT(AE267,6),AE267),"")</f>
        <v/>
      </c>
      <c r="AN267" s="36" t="str">
        <f aca="false">TRIM(AK267)</f>
        <v/>
      </c>
      <c r="AO267" s="36" t="str">
        <f aca="false">IF(AN267="Revenue","Revenue",IF(AN267="Cost of Goods Sold","COGS",IF(AN267="Expenditures","Expense",IF(AN267="Other Revenue","Other Revenue",IF(AN267="Other Expenditures","Other Expense",AO266)))))</f>
        <v/>
      </c>
      <c r="AP267" s="36" t="str">
        <f aca="false">IF(OR(AN267="Revenue",AN267="Cost of Goods Sold",AN267="Expenditures",AN267="Other Revenue",AN267="Other Expenditures"),AO267,IF(AND(LEN(AN267)&gt;2,MID(AN267,2,1)=" ",ISNUMBER(VALUE(LEFT(AN267,1)))),AN267,AP266))</f>
        <v/>
      </c>
      <c r="AQ267" s="36" t="n">
        <f aca="false">IF(AND(AN267&lt;&gt;"",ISNUMBER(AL267),LEFT(AN267,9)&lt;&gt;"Total for",AN267&lt;&gt;"Gross Profit",AN267&lt;&gt;"Net Operating Revenue",AN267&lt;&gt;"Net Other Revenue",AN267&lt;&gt;"Net Revenue"),1,0)</f>
        <v>0</v>
      </c>
      <c r="AR267" s="36" t="str">
        <f aca="false">IF(AQ267=1,IF(AND(LEN(AN267)&gt;7,ISNUMBER(VALUE(LEFT(AN267,6))),MID(AN267,7,1)=" "),LEFT(AN267,6),AN267),"")</f>
        <v/>
      </c>
    </row>
    <row r="268" customFormat="false" ht="15" hidden="false" customHeight="false" outlineLevel="0" collapsed="false">
      <c r="D268" s="36" t="str">
        <f aca="false">TRIM(A268)</f>
        <v/>
      </c>
      <c r="E268" s="36" t="str">
        <f aca="false">IF(D268="Revenue","Revenue",IF(D268="Cost of Goods Sold","COGS",IF(D268="Expenditures","Expense",IF(D268="Other Revenue","Other Revenue",IF(D268="Other Expenditures","Other Expense",E267)))))</f>
        <v/>
      </c>
      <c r="F268" s="36" t="str">
        <f aca="false">IF(OR(D268="Revenue",D268="Cost of Goods Sold",D268="Expenditures",D268="Other Revenue",D268="Other Expenditures"),E268,IF(AND(LEN(D268)&gt;2,MID(D268,2,1)=" ",ISNUMBER(VALUE(LEFT(D268,1)))),D268,F267))</f>
        <v/>
      </c>
      <c r="G268" s="36" t="n">
        <f aca="false">IF(AND(D268&lt;&gt;"",ISNUMBER(B268),LEFT(D268,9)&lt;&gt;"Total for",D268&lt;&gt;"Gross Profit",D268&lt;&gt;"Net Operating Revenue",D268&lt;&gt;"Net Other Revenue",D268&lt;&gt;"Net Revenue"),1,0)</f>
        <v>0</v>
      </c>
      <c r="H268" s="36" t="str">
        <f aca="false">IF(G268=1,IF(AND(LEN(D268)&gt;7,ISNUMBER(VALUE(LEFT(D268,6))),MID(D268,7,1)=" "),LEFT(D268,6),D268),"")</f>
        <v/>
      </c>
      <c r="M268" s="36" t="str">
        <f aca="false">TRIM(J268)</f>
        <v/>
      </c>
      <c r="N268" s="36" t="str">
        <f aca="false">IF(M268="Revenue","Revenue",IF(M268="Cost of Goods Sold","COGS",IF(M268="Expenditures","Expense",IF(M268="Other Revenue","Other Revenue",IF(M268="Other Expenditures","Other Expense",N267)))))</f>
        <v/>
      </c>
      <c r="O268" s="36" t="str">
        <f aca="false">IF(OR(M268="Revenue",M268="Cost of Goods Sold",M268="Expenditures",M268="Other Revenue",M268="Other Expenditures"),N268,IF(AND(LEN(M268)&gt;2,MID(M268,2,1)=" ",ISNUMBER(VALUE(LEFT(M268,1)))),M268,O267))</f>
        <v/>
      </c>
      <c r="P268" s="36" t="n">
        <f aca="false">IF(AND(M268&lt;&gt;"",ISNUMBER(K268),LEFT(M268,9)&lt;&gt;"Total for",M268&lt;&gt;"Gross Profit",M268&lt;&gt;"Net Operating Revenue",M268&lt;&gt;"Net Other Revenue",M268&lt;&gt;"Net Revenue"),1,0)</f>
        <v>0</v>
      </c>
      <c r="Q268" s="36" t="str">
        <f aca="false">IF(P268=1,IF(AND(LEN(M268)&gt;7,ISNUMBER(VALUE(LEFT(M268,6))),MID(M268,7,1)=" "),LEFT(M268,6),M268),"")</f>
        <v/>
      </c>
      <c r="V268" s="36" t="str">
        <f aca="false">TRIM(S268)</f>
        <v/>
      </c>
      <c r="W268" s="36" t="str">
        <f aca="false">IF(V268="Revenue","Revenue",IF(V268="Cost of Goods Sold","COGS",IF(V268="Expenditures","Expense",IF(V268="Other Revenue","Other Revenue",IF(V268="Other Expenditures","Other Expense",W267)))))</f>
        <v/>
      </c>
      <c r="X268" s="36" t="str">
        <f aca="false">IF(OR(V268="Revenue",V268="Cost of Goods Sold",V268="Expenditures",V268="Other Revenue",V268="Other Expenditures"),W268,IF(AND(LEN(V268)&gt;2,MID(V268,2,1)=" ",ISNUMBER(VALUE(LEFT(V268,1)))),V268,X267))</f>
        <v/>
      </c>
      <c r="Y268" s="36" t="n">
        <f aca="false">IF(AND(V268&lt;&gt;"",ISNUMBER(T268),LEFT(V268,9)&lt;&gt;"Total for",V268&lt;&gt;"Gross Profit",V268&lt;&gt;"Net Operating Revenue",V268&lt;&gt;"Net Other Revenue",V268&lt;&gt;"Net Revenue"),1,0)</f>
        <v>0</v>
      </c>
      <c r="Z268" s="36" t="str">
        <f aca="false">IF(Y268=1,IF(AND(LEN(V268)&gt;7,ISNUMBER(VALUE(LEFT(V268,6))),MID(V268,7,1)=" "),LEFT(V268,6),V268),"")</f>
        <v/>
      </c>
      <c r="AE268" s="36" t="str">
        <f aca="false">TRIM(AB268)</f>
        <v/>
      </c>
      <c r="AF268" s="36" t="str">
        <f aca="false">IF(AE268="Revenue","Revenue",IF(AE268="Cost of Goods Sold","COGS",IF(AE268="Expenditures","Expense",IF(AE268="Other Revenue","Other Revenue",IF(AE268="Other Expenditures","Other Expense",AF267)))))</f>
        <v/>
      </c>
      <c r="AG268" s="36" t="str">
        <f aca="false">IF(OR(AE268="Revenue",AE268="Cost of Goods Sold",AE268="Expenditures",AE268="Other Revenue",AE268="Other Expenditures"),AF268,IF(AND(LEN(AE268)&gt;2,MID(AE268,2,1)=" ",ISNUMBER(VALUE(LEFT(AE268,1)))),AE268,AG267))</f>
        <v/>
      </c>
      <c r="AH268" s="36" t="n">
        <f aca="false">IF(AND(AE268&lt;&gt;"",ISNUMBER(AC268),LEFT(AE268,9)&lt;&gt;"Total for",AE268&lt;&gt;"Gross Profit",AE268&lt;&gt;"Net Operating Revenue",AE268&lt;&gt;"Net Other Revenue",AE268&lt;&gt;"Net Revenue"),1,0)</f>
        <v>0</v>
      </c>
      <c r="AI268" s="36" t="str">
        <f aca="false">IF(AH268=1,IF(AND(LEN(AE268)&gt;7,ISNUMBER(VALUE(LEFT(AE268,6))),MID(AE268,7,1)=" "),LEFT(AE268,6),AE268),"")</f>
        <v/>
      </c>
      <c r="AN268" s="36" t="str">
        <f aca="false">TRIM(AK268)</f>
        <v/>
      </c>
      <c r="AO268" s="36" t="str">
        <f aca="false">IF(AN268="Revenue","Revenue",IF(AN268="Cost of Goods Sold","COGS",IF(AN268="Expenditures","Expense",IF(AN268="Other Revenue","Other Revenue",IF(AN268="Other Expenditures","Other Expense",AO267)))))</f>
        <v/>
      </c>
      <c r="AP268" s="36" t="str">
        <f aca="false">IF(OR(AN268="Revenue",AN268="Cost of Goods Sold",AN268="Expenditures",AN268="Other Revenue",AN268="Other Expenditures"),AO268,IF(AND(LEN(AN268)&gt;2,MID(AN268,2,1)=" ",ISNUMBER(VALUE(LEFT(AN268,1)))),AN268,AP267))</f>
        <v/>
      </c>
      <c r="AQ268" s="36" t="n">
        <f aca="false">IF(AND(AN268&lt;&gt;"",ISNUMBER(AL268),LEFT(AN268,9)&lt;&gt;"Total for",AN268&lt;&gt;"Gross Profit",AN268&lt;&gt;"Net Operating Revenue",AN268&lt;&gt;"Net Other Revenue",AN268&lt;&gt;"Net Revenue"),1,0)</f>
        <v>0</v>
      </c>
      <c r="AR268" s="36" t="str">
        <f aca="false">IF(AQ268=1,IF(AND(LEN(AN268)&gt;7,ISNUMBER(VALUE(LEFT(AN268,6))),MID(AN268,7,1)=" "),LEFT(AN268,6),AN268),"")</f>
        <v/>
      </c>
    </row>
    <row r="269" customFormat="false" ht="15" hidden="false" customHeight="false" outlineLevel="0" collapsed="false">
      <c r="D269" s="36" t="str">
        <f aca="false">TRIM(A269)</f>
        <v/>
      </c>
      <c r="E269" s="36" t="str">
        <f aca="false">IF(D269="Revenue","Revenue",IF(D269="Cost of Goods Sold","COGS",IF(D269="Expenditures","Expense",IF(D269="Other Revenue","Other Revenue",IF(D269="Other Expenditures","Other Expense",E268)))))</f>
        <v/>
      </c>
      <c r="F269" s="36" t="str">
        <f aca="false">IF(OR(D269="Revenue",D269="Cost of Goods Sold",D269="Expenditures",D269="Other Revenue",D269="Other Expenditures"),E269,IF(AND(LEN(D269)&gt;2,MID(D269,2,1)=" ",ISNUMBER(VALUE(LEFT(D269,1)))),D269,F268))</f>
        <v/>
      </c>
      <c r="G269" s="36" t="n">
        <f aca="false">IF(AND(D269&lt;&gt;"",ISNUMBER(B269),LEFT(D269,9)&lt;&gt;"Total for",D269&lt;&gt;"Gross Profit",D269&lt;&gt;"Net Operating Revenue",D269&lt;&gt;"Net Other Revenue",D269&lt;&gt;"Net Revenue"),1,0)</f>
        <v>0</v>
      </c>
      <c r="H269" s="36" t="str">
        <f aca="false">IF(G269=1,IF(AND(LEN(D269)&gt;7,ISNUMBER(VALUE(LEFT(D269,6))),MID(D269,7,1)=" "),LEFT(D269,6),D269),"")</f>
        <v/>
      </c>
      <c r="M269" s="36" t="str">
        <f aca="false">TRIM(J269)</f>
        <v/>
      </c>
      <c r="N269" s="36" t="str">
        <f aca="false">IF(M269="Revenue","Revenue",IF(M269="Cost of Goods Sold","COGS",IF(M269="Expenditures","Expense",IF(M269="Other Revenue","Other Revenue",IF(M269="Other Expenditures","Other Expense",N268)))))</f>
        <v/>
      </c>
      <c r="O269" s="36" t="str">
        <f aca="false">IF(OR(M269="Revenue",M269="Cost of Goods Sold",M269="Expenditures",M269="Other Revenue",M269="Other Expenditures"),N269,IF(AND(LEN(M269)&gt;2,MID(M269,2,1)=" ",ISNUMBER(VALUE(LEFT(M269,1)))),M269,O268))</f>
        <v/>
      </c>
      <c r="P269" s="36" t="n">
        <f aca="false">IF(AND(M269&lt;&gt;"",ISNUMBER(K269),LEFT(M269,9)&lt;&gt;"Total for",M269&lt;&gt;"Gross Profit",M269&lt;&gt;"Net Operating Revenue",M269&lt;&gt;"Net Other Revenue",M269&lt;&gt;"Net Revenue"),1,0)</f>
        <v>0</v>
      </c>
      <c r="Q269" s="36" t="str">
        <f aca="false">IF(P269=1,IF(AND(LEN(M269)&gt;7,ISNUMBER(VALUE(LEFT(M269,6))),MID(M269,7,1)=" "),LEFT(M269,6),M269),"")</f>
        <v/>
      </c>
      <c r="V269" s="36" t="str">
        <f aca="false">TRIM(S269)</f>
        <v/>
      </c>
      <c r="W269" s="36" t="str">
        <f aca="false">IF(V269="Revenue","Revenue",IF(V269="Cost of Goods Sold","COGS",IF(V269="Expenditures","Expense",IF(V269="Other Revenue","Other Revenue",IF(V269="Other Expenditures","Other Expense",W268)))))</f>
        <v/>
      </c>
      <c r="X269" s="36" t="str">
        <f aca="false">IF(OR(V269="Revenue",V269="Cost of Goods Sold",V269="Expenditures",V269="Other Revenue",V269="Other Expenditures"),W269,IF(AND(LEN(V269)&gt;2,MID(V269,2,1)=" ",ISNUMBER(VALUE(LEFT(V269,1)))),V269,X268))</f>
        <v/>
      </c>
      <c r="Y269" s="36" t="n">
        <f aca="false">IF(AND(V269&lt;&gt;"",ISNUMBER(T269),LEFT(V269,9)&lt;&gt;"Total for",V269&lt;&gt;"Gross Profit",V269&lt;&gt;"Net Operating Revenue",V269&lt;&gt;"Net Other Revenue",V269&lt;&gt;"Net Revenue"),1,0)</f>
        <v>0</v>
      </c>
      <c r="Z269" s="36" t="str">
        <f aca="false">IF(Y269=1,IF(AND(LEN(V269)&gt;7,ISNUMBER(VALUE(LEFT(V269,6))),MID(V269,7,1)=" "),LEFT(V269,6),V269),"")</f>
        <v/>
      </c>
      <c r="AE269" s="36" t="str">
        <f aca="false">TRIM(AB269)</f>
        <v/>
      </c>
      <c r="AF269" s="36" t="str">
        <f aca="false">IF(AE269="Revenue","Revenue",IF(AE269="Cost of Goods Sold","COGS",IF(AE269="Expenditures","Expense",IF(AE269="Other Revenue","Other Revenue",IF(AE269="Other Expenditures","Other Expense",AF268)))))</f>
        <v/>
      </c>
      <c r="AG269" s="36" t="str">
        <f aca="false">IF(OR(AE269="Revenue",AE269="Cost of Goods Sold",AE269="Expenditures",AE269="Other Revenue",AE269="Other Expenditures"),AF269,IF(AND(LEN(AE269)&gt;2,MID(AE269,2,1)=" ",ISNUMBER(VALUE(LEFT(AE269,1)))),AE269,AG268))</f>
        <v/>
      </c>
      <c r="AH269" s="36" t="n">
        <f aca="false">IF(AND(AE269&lt;&gt;"",ISNUMBER(AC269),LEFT(AE269,9)&lt;&gt;"Total for",AE269&lt;&gt;"Gross Profit",AE269&lt;&gt;"Net Operating Revenue",AE269&lt;&gt;"Net Other Revenue",AE269&lt;&gt;"Net Revenue"),1,0)</f>
        <v>0</v>
      </c>
      <c r="AI269" s="36" t="str">
        <f aca="false">IF(AH269=1,IF(AND(LEN(AE269)&gt;7,ISNUMBER(VALUE(LEFT(AE269,6))),MID(AE269,7,1)=" "),LEFT(AE269,6),AE269),"")</f>
        <v/>
      </c>
      <c r="AN269" s="36" t="str">
        <f aca="false">TRIM(AK269)</f>
        <v/>
      </c>
      <c r="AO269" s="36" t="str">
        <f aca="false">IF(AN269="Revenue","Revenue",IF(AN269="Cost of Goods Sold","COGS",IF(AN269="Expenditures","Expense",IF(AN269="Other Revenue","Other Revenue",IF(AN269="Other Expenditures","Other Expense",AO268)))))</f>
        <v/>
      </c>
      <c r="AP269" s="36" t="str">
        <f aca="false">IF(OR(AN269="Revenue",AN269="Cost of Goods Sold",AN269="Expenditures",AN269="Other Revenue",AN269="Other Expenditures"),AO269,IF(AND(LEN(AN269)&gt;2,MID(AN269,2,1)=" ",ISNUMBER(VALUE(LEFT(AN269,1)))),AN269,AP268))</f>
        <v/>
      </c>
      <c r="AQ269" s="36" t="n">
        <f aca="false">IF(AND(AN269&lt;&gt;"",ISNUMBER(AL269),LEFT(AN269,9)&lt;&gt;"Total for",AN269&lt;&gt;"Gross Profit",AN269&lt;&gt;"Net Operating Revenue",AN269&lt;&gt;"Net Other Revenue",AN269&lt;&gt;"Net Revenue"),1,0)</f>
        <v>0</v>
      </c>
      <c r="AR269" s="36" t="str">
        <f aca="false">IF(AQ269=1,IF(AND(LEN(AN269)&gt;7,ISNUMBER(VALUE(LEFT(AN269,6))),MID(AN269,7,1)=" "),LEFT(AN269,6),AN269),"")</f>
        <v/>
      </c>
    </row>
    <row r="270" customFormat="false" ht="15" hidden="false" customHeight="false" outlineLevel="0" collapsed="false">
      <c r="D270" s="36" t="str">
        <f aca="false">TRIM(A270)</f>
        <v/>
      </c>
      <c r="E270" s="36" t="str">
        <f aca="false">IF(D270="Revenue","Revenue",IF(D270="Cost of Goods Sold","COGS",IF(D270="Expenditures","Expense",IF(D270="Other Revenue","Other Revenue",IF(D270="Other Expenditures","Other Expense",E269)))))</f>
        <v/>
      </c>
      <c r="F270" s="36" t="str">
        <f aca="false">IF(OR(D270="Revenue",D270="Cost of Goods Sold",D270="Expenditures",D270="Other Revenue",D270="Other Expenditures"),E270,IF(AND(LEN(D270)&gt;2,MID(D270,2,1)=" ",ISNUMBER(VALUE(LEFT(D270,1)))),D270,F269))</f>
        <v/>
      </c>
      <c r="G270" s="36" t="n">
        <f aca="false">IF(AND(D270&lt;&gt;"",ISNUMBER(B270),LEFT(D270,9)&lt;&gt;"Total for",D270&lt;&gt;"Gross Profit",D270&lt;&gt;"Net Operating Revenue",D270&lt;&gt;"Net Other Revenue",D270&lt;&gt;"Net Revenue"),1,0)</f>
        <v>0</v>
      </c>
      <c r="H270" s="36" t="str">
        <f aca="false">IF(G270=1,IF(AND(LEN(D270)&gt;7,ISNUMBER(VALUE(LEFT(D270,6))),MID(D270,7,1)=" "),LEFT(D270,6),D270),"")</f>
        <v/>
      </c>
      <c r="M270" s="36" t="str">
        <f aca="false">TRIM(J270)</f>
        <v/>
      </c>
      <c r="N270" s="36" t="str">
        <f aca="false">IF(M270="Revenue","Revenue",IF(M270="Cost of Goods Sold","COGS",IF(M270="Expenditures","Expense",IF(M270="Other Revenue","Other Revenue",IF(M270="Other Expenditures","Other Expense",N269)))))</f>
        <v/>
      </c>
      <c r="O270" s="36" t="str">
        <f aca="false">IF(OR(M270="Revenue",M270="Cost of Goods Sold",M270="Expenditures",M270="Other Revenue",M270="Other Expenditures"),N270,IF(AND(LEN(M270)&gt;2,MID(M270,2,1)=" ",ISNUMBER(VALUE(LEFT(M270,1)))),M270,O269))</f>
        <v/>
      </c>
      <c r="P270" s="36" t="n">
        <f aca="false">IF(AND(M270&lt;&gt;"",ISNUMBER(K270),LEFT(M270,9)&lt;&gt;"Total for",M270&lt;&gt;"Gross Profit",M270&lt;&gt;"Net Operating Revenue",M270&lt;&gt;"Net Other Revenue",M270&lt;&gt;"Net Revenue"),1,0)</f>
        <v>0</v>
      </c>
      <c r="Q270" s="36" t="str">
        <f aca="false">IF(P270=1,IF(AND(LEN(M270)&gt;7,ISNUMBER(VALUE(LEFT(M270,6))),MID(M270,7,1)=" "),LEFT(M270,6),M270),"")</f>
        <v/>
      </c>
      <c r="V270" s="36" t="str">
        <f aca="false">TRIM(S270)</f>
        <v/>
      </c>
      <c r="W270" s="36" t="str">
        <f aca="false">IF(V270="Revenue","Revenue",IF(V270="Cost of Goods Sold","COGS",IF(V270="Expenditures","Expense",IF(V270="Other Revenue","Other Revenue",IF(V270="Other Expenditures","Other Expense",W269)))))</f>
        <v/>
      </c>
      <c r="X270" s="36" t="str">
        <f aca="false">IF(OR(V270="Revenue",V270="Cost of Goods Sold",V270="Expenditures",V270="Other Revenue",V270="Other Expenditures"),W270,IF(AND(LEN(V270)&gt;2,MID(V270,2,1)=" ",ISNUMBER(VALUE(LEFT(V270,1)))),V270,X269))</f>
        <v/>
      </c>
      <c r="Y270" s="36" t="n">
        <f aca="false">IF(AND(V270&lt;&gt;"",ISNUMBER(T270),LEFT(V270,9)&lt;&gt;"Total for",V270&lt;&gt;"Gross Profit",V270&lt;&gt;"Net Operating Revenue",V270&lt;&gt;"Net Other Revenue",V270&lt;&gt;"Net Revenue"),1,0)</f>
        <v>0</v>
      </c>
      <c r="Z270" s="36" t="str">
        <f aca="false">IF(Y270=1,IF(AND(LEN(V270)&gt;7,ISNUMBER(VALUE(LEFT(V270,6))),MID(V270,7,1)=" "),LEFT(V270,6),V270),"")</f>
        <v/>
      </c>
      <c r="AE270" s="36" t="str">
        <f aca="false">TRIM(AB270)</f>
        <v/>
      </c>
      <c r="AF270" s="36" t="str">
        <f aca="false">IF(AE270="Revenue","Revenue",IF(AE270="Cost of Goods Sold","COGS",IF(AE270="Expenditures","Expense",IF(AE270="Other Revenue","Other Revenue",IF(AE270="Other Expenditures","Other Expense",AF269)))))</f>
        <v/>
      </c>
      <c r="AG270" s="36" t="str">
        <f aca="false">IF(OR(AE270="Revenue",AE270="Cost of Goods Sold",AE270="Expenditures",AE270="Other Revenue",AE270="Other Expenditures"),AF270,IF(AND(LEN(AE270)&gt;2,MID(AE270,2,1)=" ",ISNUMBER(VALUE(LEFT(AE270,1)))),AE270,AG269))</f>
        <v/>
      </c>
      <c r="AH270" s="36" t="n">
        <f aca="false">IF(AND(AE270&lt;&gt;"",ISNUMBER(AC270),LEFT(AE270,9)&lt;&gt;"Total for",AE270&lt;&gt;"Gross Profit",AE270&lt;&gt;"Net Operating Revenue",AE270&lt;&gt;"Net Other Revenue",AE270&lt;&gt;"Net Revenue"),1,0)</f>
        <v>0</v>
      </c>
      <c r="AI270" s="36" t="str">
        <f aca="false">IF(AH270=1,IF(AND(LEN(AE270)&gt;7,ISNUMBER(VALUE(LEFT(AE270,6))),MID(AE270,7,1)=" "),LEFT(AE270,6),AE270),"")</f>
        <v/>
      </c>
      <c r="AN270" s="36" t="str">
        <f aca="false">TRIM(AK270)</f>
        <v/>
      </c>
      <c r="AO270" s="36" t="str">
        <f aca="false">IF(AN270="Revenue","Revenue",IF(AN270="Cost of Goods Sold","COGS",IF(AN270="Expenditures","Expense",IF(AN270="Other Revenue","Other Revenue",IF(AN270="Other Expenditures","Other Expense",AO269)))))</f>
        <v/>
      </c>
      <c r="AP270" s="36" t="str">
        <f aca="false">IF(OR(AN270="Revenue",AN270="Cost of Goods Sold",AN270="Expenditures",AN270="Other Revenue",AN270="Other Expenditures"),AO270,IF(AND(LEN(AN270)&gt;2,MID(AN270,2,1)=" ",ISNUMBER(VALUE(LEFT(AN270,1)))),AN270,AP269))</f>
        <v/>
      </c>
      <c r="AQ270" s="36" t="n">
        <f aca="false">IF(AND(AN270&lt;&gt;"",ISNUMBER(AL270),LEFT(AN270,9)&lt;&gt;"Total for",AN270&lt;&gt;"Gross Profit",AN270&lt;&gt;"Net Operating Revenue",AN270&lt;&gt;"Net Other Revenue",AN270&lt;&gt;"Net Revenue"),1,0)</f>
        <v>0</v>
      </c>
      <c r="AR270" s="36" t="str">
        <f aca="false">IF(AQ270=1,IF(AND(LEN(AN270)&gt;7,ISNUMBER(VALUE(LEFT(AN270,6))),MID(AN270,7,1)=" "),LEFT(AN270,6),AN270),"")</f>
        <v/>
      </c>
    </row>
    <row r="271" customFormat="false" ht="15" hidden="false" customHeight="false" outlineLevel="0" collapsed="false">
      <c r="D271" s="36" t="str">
        <f aca="false">TRIM(A271)</f>
        <v/>
      </c>
      <c r="E271" s="36" t="str">
        <f aca="false">IF(D271="Revenue","Revenue",IF(D271="Cost of Goods Sold","COGS",IF(D271="Expenditures","Expense",IF(D271="Other Revenue","Other Revenue",IF(D271="Other Expenditures","Other Expense",E270)))))</f>
        <v/>
      </c>
      <c r="F271" s="36" t="str">
        <f aca="false">IF(OR(D271="Revenue",D271="Cost of Goods Sold",D271="Expenditures",D271="Other Revenue",D271="Other Expenditures"),E271,IF(AND(LEN(D271)&gt;2,MID(D271,2,1)=" ",ISNUMBER(VALUE(LEFT(D271,1)))),D271,F270))</f>
        <v/>
      </c>
      <c r="G271" s="36" t="n">
        <f aca="false">IF(AND(D271&lt;&gt;"",ISNUMBER(B271),LEFT(D271,9)&lt;&gt;"Total for",D271&lt;&gt;"Gross Profit",D271&lt;&gt;"Net Operating Revenue",D271&lt;&gt;"Net Other Revenue",D271&lt;&gt;"Net Revenue"),1,0)</f>
        <v>0</v>
      </c>
      <c r="H271" s="36" t="str">
        <f aca="false">IF(G271=1,IF(AND(LEN(D271)&gt;7,ISNUMBER(VALUE(LEFT(D271,6))),MID(D271,7,1)=" "),LEFT(D271,6),D271),"")</f>
        <v/>
      </c>
      <c r="M271" s="36" t="str">
        <f aca="false">TRIM(J271)</f>
        <v/>
      </c>
      <c r="N271" s="36" t="str">
        <f aca="false">IF(M271="Revenue","Revenue",IF(M271="Cost of Goods Sold","COGS",IF(M271="Expenditures","Expense",IF(M271="Other Revenue","Other Revenue",IF(M271="Other Expenditures","Other Expense",N270)))))</f>
        <v/>
      </c>
      <c r="O271" s="36" t="str">
        <f aca="false">IF(OR(M271="Revenue",M271="Cost of Goods Sold",M271="Expenditures",M271="Other Revenue",M271="Other Expenditures"),N271,IF(AND(LEN(M271)&gt;2,MID(M271,2,1)=" ",ISNUMBER(VALUE(LEFT(M271,1)))),M271,O270))</f>
        <v/>
      </c>
      <c r="P271" s="36" t="n">
        <f aca="false">IF(AND(M271&lt;&gt;"",ISNUMBER(K271),LEFT(M271,9)&lt;&gt;"Total for",M271&lt;&gt;"Gross Profit",M271&lt;&gt;"Net Operating Revenue",M271&lt;&gt;"Net Other Revenue",M271&lt;&gt;"Net Revenue"),1,0)</f>
        <v>0</v>
      </c>
      <c r="Q271" s="36" t="str">
        <f aca="false">IF(P271=1,IF(AND(LEN(M271)&gt;7,ISNUMBER(VALUE(LEFT(M271,6))),MID(M271,7,1)=" "),LEFT(M271,6),M271),"")</f>
        <v/>
      </c>
      <c r="V271" s="36" t="str">
        <f aca="false">TRIM(S271)</f>
        <v/>
      </c>
      <c r="W271" s="36" t="str">
        <f aca="false">IF(V271="Revenue","Revenue",IF(V271="Cost of Goods Sold","COGS",IF(V271="Expenditures","Expense",IF(V271="Other Revenue","Other Revenue",IF(V271="Other Expenditures","Other Expense",W270)))))</f>
        <v/>
      </c>
      <c r="X271" s="36" t="str">
        <f aca="false">IF(OR(V271="Revenue",V271="Cost of Goods Sold",V271="Expenditures",V271="Other Revenue",V271="Other Expenditures"),W271,IF(AND(LEN(V271)&gt;2,MID(V271,2,1)=" ",ISNUMBER(VALUE(LEFT(V271,1)))),V271,X270))</f>
        <v/>
      </c>
      <c r="Y271" s="36" t="n">
        <f aca="false">IF(AND(V271&lt;&gt;"",ISNUMBER(T271),LEFT(V271,9)&lt;&gt;"Total for",V271&lt;&gt;"Gross Profit",V271&lt;&gt;"Net Operating Revenue",V271&lt;&gt;"Net Other Revenue",V271&lt;&gt;"Net Revenue"),1,0)</f>
        <v>0</v>
      </c>
      <c r="Z271" s="36" t="str">
        <f aca="false">IF(Y271=1,IF(AND(LEN(V271)&gt;7,ISNUMBER(VALUE(LEFT(V271,6))),MID(V271,7,1)=" "),LEFT(V271,6),V271),"")</f>
        <v/>
      </c>
      <c r="AE271" s="36" t="str">
        <f aca="false">TRIM(AB271)</f>
        <v/>
      </c>
      <c r="AF271" s="36" t="str">
        <f aca="false">IF(AE271="Revenue","Revenue",IF(AE271="Cost of Goods Sold","COGS",IF(AE271="Expenditures","Expense",IF(AE271="Other Revenue","Other Revenue",IF(AE271="Other Expenditures","Other Expense",AF270)))))</f>
        <v/>
      </c>
      <c r="AG271" s="36" t="str">
        <f aca="false">IF(OR(AE271="Revenue",AE271="Cost of Goods Sold",AE271="Expenditures",AE271="Other Revenue",AE271="Other Expenditures"),AF271,IF(AND(LEN(AE271)&gt;2,MID(AE271,2,1)=" ",ISNUMBER(VALUE(LEFT(AE271,1)))),AE271,AG270))</f>
        <v/>
      </c>
      <c r="AH271" s="36" t="n">
        <f aca="false">IF(AND(AE271&lt;&gt;"",ISNUMBER(AC271),LEFT(AE271,9)&lt;&gt;"Total for",AE271&lt;&gt;"Gross Profit",AE271&lt;&gt;"Net Operating Revenue",AE271&lt;&gt;"Net Other Revenue",AE271&lt;&gt;"Net Revenue"),1,0)</f>
        <v>0</v>
      </c>
      <c r="AI271" s="36" t="str">
        <f aca="false">IF(AH271=1,IF(AND(LEN(AE271)&gt;7,ISNUMBER(VALUE(LEFT(AE271,6))),MID(AE271,7,1)=" "),LEFT(AE271,6),AE271),"")</f>
        <v/>
      </c>
      <c r="AN271" s="36" t="str">
        <f aca="false">TRIM(AK271)</f>
        <v/>
      </c>
      <c r="AO271" s="36" t="str">
        <f aca="false">IF(AN271="Revenue","Revenue",IF(AN271="Cost of Goods Sold","COGS",IF(AN271="Expenditures","Expense",IF(AN271="Other Revenue","Other Revenue",IF(AN271="Other Expenditures","Other Expense",AO270)))))</f>
        <v/>
      </c>
      <c r="AP271" s="36" t="str">
        <f aca="false">IF(OR(AN271="Revenue",AN271="Cost of Goods Sold",AN271="Expenditures",AN271="Other Revenue",AN271="Other Expenditures"),AO271,IF(AND(LEN(AN271)&gt;2,MID(AN271,2,1)=" ",ISNUMBER(VALUE(LEFT(AN271,1)))),AN271,AP270))</f>
        <v/>
      </c>
      <c r="AQ271" s="36" t="n">
        <f aca="false">IF(AND(AN271&lt;&gt;"",ISNUMBER(AL271),LEFT(AN271,9)&lt;&gt;"Total for",AN271&lt;&gt;"Gross Profit",AN271&lt;&gt;"Net Operating Revenue",AN271&lt;&gt;"Net Other Revenue",AN271&lt;&gt;"Net Revenue"),1,0)</f>
        <v>0</v>
      </c>
      <c r="AR271" s="36" t="str">
        <f aca="false">IF(AQ271=1,IF(AND(LEN(AN271)&gt;7,ISNUMBER(VALUE(LEFT(AN271,6))),MID(AN271,7,1)=" "),LEFT(AN271,6),AN271),"")</f>
        <v/>
      </c>
    </row>
    <row r="272" customFormat="false" ht="15" hidden="false" customHeight="false" outlineLevel="0" collapsed="false">
      <c r="D272" s="36" t="str">
        <f aca="false">TRIM(A272)</f>
        <v/>
      </c>
      <c r="E272" s="36" t="str">
        <f aca="false">IF(D272="Revenue","Revenue",IF(D272="Cost of Goods Sold","COGS",IF(D272="Expenditures","Expense",IF(D272="Other Revenue","Other Revenue",IF(D272="Other Expenditures","Other Expense",E271)))))</f>
        <v/>
      </c>
      <c r="F272" s="36" t="str">
        <f aca="false">IF(OR(D272="Revenue",D272="Cost of Goods Sold",D272="Expenditures",D272="Other Revenue",D272="Other Expenditures"),E272,IF(AND(LEN(D272)&gt;2,MID(D272,2,1)=" ",ISNUMBER(VALUE(LEFT(D272,1)))),D272,F271))</f>
        <v/>
      </c>
      <c r="G272" s="36" t="n">
        <f aca="false">IF(AND(D272&lt;&gt;"",ISNUMBER(B272),LEFT(D272,9)&lt;&gt;"Total for",D272&lt;&gt;"Gross Profit",D272&lt;&gt;"Net Operating Revenue",D272&lt;&gt;"Net Other Revenue",D272&lt;&gt;"Net Revenue"),1,0)</f>
        <v>0</v>
      </c>
      <c r="H272" s="36" t="str">
        <f aca="false">IF(G272=1,IF(AND(LEN(D272)&gt;7,ISNUMBER(VALUE(LEFT(D272,6))),MID(D272,7,1)=" "),LEFT(D272,6),D272),"")</f>
        <v/>
      </c>
      <c r="M272" s="36" t="str">
        <f aca="false">TRIM(J272)</f>
        <v/>
      </c>
      <c r="N272" s="36" t="str">
        <f aca="false">IF(M272="Revenue","Revenue",IF(M272="Cost of Goods Sold","COGS",IF(M272="Expenditures","Expense",IF(M272="Other Revenue","Other Revenue",IF(M272="Other Expenditures","Other Expense",N271)))))</f>
        <v/>
      </c>
      <c r="O272" s="36" t="str">
        <f aca="false">IF(OR(M272="Revenue",M272="Cost of Goods Sold",M272="Expenditures",M272="Other Revenue",M272="Other Expenditures"),N272,IF(AND(LEN(M272)&gt;2,MID(M272,2,1)=" ",ISNUMBER(VALUE(LEFT(M272,1)))),M272,O271))</f>
        <v/>
      </c>
      <c r="P272" s="36" t="n">
        <f aca="false">IF(AND(M272&lt;&gt;"",ISNUMBER(K272),LEFT(M272,9)&lt;&gt;"Total for",M272&lt;&gt;"Gross Profit",M272&lt;&gt;"Net Operating Revenue",M272&lt;&gt;"Net Other Revenue",M272&lt;&gt;"Net Revenue"),1,0)</f>
        <v>0</v>
      </c>
      <c r="Q272" s="36" t="str">
        <f aca="false">IF(P272=1,IF(AND(LEN(M272)&gt;7,ISNUMBER(VALUE(LEFT(M272,6))),MID(M272,7,1)=" "),LEFT(M272,6),M272),"")</f>
        <v/>
      </c>
      <c r="V272" s="36" t="str">
        <f aca="false">TRIM(S272)</f>
        <v/>
      </c>
      <c r="W272" s="36" t="str">
        <f aca="false">IF(V272="Revenue","Revenue",IF(V272="Cost of Goods Sold","COGS",IF(V272="Expenditures","Expense",IF(V272="Other Revenue","Other Revenue",IF(V272="Other Expenditures","Other Expense",W271)))))</f>
        <v/>
      </c>
      <c r="X272" s="36" t="str">
        <f aca="false">IF(OR(V272="Revenue",V272="Cost of Goods Sold",V272="Expenditures",V272="Other Revenue",V272="Other Expenditures"),W272,IF(AND(LEN(V272)&gt;2,MID(V272,2,1)=" ",ISNUMBER(VALUE(LEFT(V272,1)))),V272,X271))</f>
        <v/>
      </c>
      <c r="Y272" s="36" t="n">
        <f aca="false">IF(AND(V272&lt;&gt;"",ISNUMBER(T272),LEFT(V272,9)&lt;&gt;"Total for",V272&lt;&gt;"Gross Profit",V272&lt;&gt;"Net Operating Revenue",V272&lt;&gt;"Net Other Revenue",V272&lt;&gt;"Net Revenue"),1,0)</f>
        <v>0</v>
      </c>
      <c r="Z272" s="36" t="str">
        <f aca="false">IF(Y272=1,IF(AND(LEN(V272)&gt;7,ISNUMBER(VALUE(LEFT(V272,6))),MID(V272,7,1)=" "),LEFT(V272,6),V272),"")</f>
        <v/>
      </c>
      <c r="AE272" s="36" t="str">
        <f aca="false">TRIM(AB272)</f>
        <v/>
      </c>
      <c r="AF272" s="36" t="str">
        <f aca="false">IF(AE272="Revenue","Revenue",IF(AE272="Cost of Goods Sold","COGS",IF(AE272="Expenditures","Expense",IF(AE272="Other Revenue","Other Revenue",IF(AE272="Other Expenditures","Other Expense",AF271)))))</f>
        <v/>
      </c>
      <c r="AG272" s="36" t="str">
        <f aca="false">IF(OR(AE272="Revenue",AE272="Cost of Goods Sold",AE272="Expenditures",AE272="Other Revenue",AE272="Other Expenditures"),AF272,IF(AND(LEN(AE272)&gt;2,MID(AE272,2,1)=" ",ISNUMBER(VALUE(LEFT(AE272,1)))),AE272,AG271))</f>
        <v/>
      </c>
      <c r="AH272" s="36" t="n">
        <f aca="false">IF(AND(AE272&lt;&gt;"",ISNUMBER(AC272),LEFT(AE272,9)&lt;&gt;"Total for",AE272&lt;&gt;"Gross Profit",AE272&lt;&gt;"Net Operating Revenue",AE272&lt;&gt;"Net Other Revenue",AE272&lt;&gt;"Net Revenue"),1,0)</f>
        <v>0</v>
      </c>
      <c r="AI272" s="36" t="str">
        <f aca="false">IF(AH272=1,IF(AND(LEN(AE272)&gt;7,ISNUMBER(VALUE(LEFT(AE272,6))),MID(AE272,7,1)=" "),LEFT(AE272,6),AE272),"")</f>
        <v/>
      </c>
      <c r="AN272" s="36" t="str">
        <f aca="false">TRIM(AK272)</f>
        <v/>
      </c>
      <c r="AO272" s="36" t="str">
        <f aca="false">IF(AN272="Revenue","Revenue",IF(AN272="Cost of Goods Sold","COGS",IF(AN272="Expenditures","Expense",IF(AN272="Other Revenue","Other Revenue",IF(AN272="Other Expenditures","Other Expense",AO271)))))</f>
        <v/>
      </c>
      <c r="AP272" s="36" t="str">
        <f aca="false">IF(OR(AN272="Revenue",AN272="Cost of Goods Sold",AN272="Expenditures",AN272="Other Revenue",AN272="Other Expenditures"),AO272,IF(AND(LEN(AN272)&gt;2,MID(AN272,2,1)=" ",ISNUMBER(VALUE(LEFT(AN272,1)))),AN272,AP271))</f>
        <v/>
      </c>
      <c r="AQ272" s="36" t="n">
        <f aca="false">IF(AND(AN272&lt;&gt;"",ISNUMBER(AL272),LEFT(AN272,9)&lt;&gt;"Total for",AN272&lt;&gt;"Gross Profit",AN272&lt;&gt;"Net Operating Revenue",AN272&lt;&gt;"Net Other Revenue",AN272&lt;&gt;"Net Revenue"),1,0)</f>
        <v>0</v>
      </c>
      <c r="AR272" s="36" t="str">
        <f aca="false">IF(AQ272=1,IF(AND(LEN(AN272)&gt;7,ISNUMBER(VALUE(LEFT(AN272,6))),MID(AN272,7,1)=" "),LEFT(AN272,6),AN272),"")</f>
        <v/>
      </c>
    </row>
    <row r="273" customFormat="false" ht="15" hidden="false" customHeight="false" outlineLevel="0" collapsed="false">
      <c r="D273" s="36" t="str">
        <f aca="false">TRIM(A273)</f>
        <v/>
      </c>
      <c r="E273" s="36" t="str">
        <f aca="false">IF(D273="Revenue","Revenue",IF(D273="Cost of Goods Sold","COGS",IF(D273="Expenditures","Expense",IF(D273="Other Revenue","Other Revenue",IF(D273="Other Expenditures","Other Expense",E272)))))</f>
        <v/>
      </c>
      <c r="F273" s="36" t="str">
        <f aca="false">IF(OR(D273="Revenue",D273="Cost of Goods Sold",D273="Expenditures",D273="Other Revenue",D273="Other Expenditures"),E273,IF(AND(LEN(D273)&gt;2,MID(D273,2,1)=" ",ISNUMBER(VALUE(LEFT(D273,1)))),D273,F272))</f>
        <v/>
      </c>
      <c r="G273" s="36" t="n">
        <f aca="false">IF(AND(D273&lt;&gt;"",ISNUMBER(B273),LEFT(D273,9)&lt;&gt;"Total for",D273&lt;&gt;"Gross Profit",D273&lt;&gt;"Net Operating Revenue",D273&lt;&gt;"Net Other Revenue",D273&lt;&gt;"Net Revenue"),1,0)</f>
        <v>0</v>
      </c>
      <c r="H273" s="36" t="str">
        <f aca="false">IF(G273=1,IF(AND(LEN(D273)&gt;7,ISNUMBER(VALUE(LEFT(D273,6))),MID(D273,7,1)=" "),LEFT(D273,6),D273),"")</f>
        <v/>
      </c>
      <c r="M273" s="36" t="str">
        <f aca="false">TRIM(J273)</f>
        <v/>
      </c>
      <c r="N273" s="36" t="str">
        <f aca="false">IF(M273="Revenue","Revenue",IF(M273="Cost of Goods Sold","COGS",IF(M273="Expenditures","Expense",IF(M273="Other Revenue","Other Revenue",IF(M273="Other Expenditures","Other Expense",N272)))))</f>
        <v/>
      </c>
      <c r="O273" s="36" t="str">
        <f aca="false">IF(OR(M273="Revenue",M273="Cost of Goods Sold",M273="Expenditures",M273="Other Revenue",M273="Other Expenditures"),N273,IF(AND(LEN(M273)&gt;2,MID(M273,2,1)=" ",ISNUMBER(VALUE(LEFT(M273,1)))),M273,O272))</f>
        <v/>
      </c>
      <c r="P273" s="36" t="n">
        <f aca="false">IF(AND(M273&lt;&gt;"",ISNUMBER(K273),LEFT(M273,9)&lt;&gt;"Total for",M273&lt;&gt;"Gross Profit",M273&lt;&gt;"Net Operating Revenue",M273&lt;&gt;"Net Other Revenue",M273&lt;&gt;"Net Revenue"),1,0)</f>
        <v>0</v>
      </c>
      <c r="Q273" s="36" t="str">
        <f aca="false">IF(P273=1,IF(AND(LEN(M273)&gt;7,ISNUMBER(VALUE(LEFT(M273,6))),MID(M273,7,1)=" "),LEFT(M273,6),M273),"")</f>
        <v/>
      </c>
      <c r="V273" s="36" t="str">
        <f aca="false">TRIM(S273)</f>
        <v/>
      </c>
      <c r="W273" s="36" t="str">
        <f aca="false">IF(V273="Revenue","Revenue",IF(V273="Cost of Goods Sold","COGS",IF(V273="Expenditures","Expense",IF(V273="Other Revenue","Other Revenue",IF(V273="Other Expenditures","Other Expense",W272)))))</f>
        <v/>
      </c>
      <c r="X273" s="36" t="str">
        <f aca="false">IF(OR(V273="Revenue",V273="Cost of Goods Sold",V273="Expenditures",V273="Other Revenue",V273="Other Expenditures"),W273,IF(AND(LEN(V273)&gt;2,MID(V273,2,1)=" ",ISNUMBER(VALUE(LEFT(V273,1)))),V273,X272))</f>
        <v/>
      </c>
      <c r="Y273" s="36" t="n">
        <f aca="false">IF(AND(V273&lt;&gt;"",ISNUMBER(T273),LEFT(V273,9)&lt;&gt;"Total for",V273&lt;&gt;"Gross Profit",V273&lt;&gt;"Net Operating Revenue",V273&lt;&gt;"Net Other Revenue",V273&lt;&gt;"Net Revenue"),1,0)</f>
        <v>0</v>
      </c>
      <c r="Z273" s="36" t="str">
        <f aca="false">IF(Y273=1,IF(AND(LEN(V273)&gt;7,ISNUMBER(VALUE(LEFT(V273,6))),MID(V273,7,1)=" "),LEFT(V273,6),V273),"")</f>
        <v/>
      </c>
      <c r="AE273" s="36" t="str">
        <f aca="false">TRIM(AB273)</f>
        <v/>
      </c>
      <c r="AF273" s="36" t="str">
        <f aca="false">IF(AE273="Revenue","Revenue",IF(AE273="Cost of Goods Sold","COGS",IF(AE273="Expenditures","Expense",IF(AE273="Other Revenue","Other Revenue",IF(AE273="Other Expenditures","Other Expense",AF272)))))</f>
        <v/>
      </c>
      <c r="AG273" s="36" t="str">
        <f aca="false">IF(OR(AE273="Revenue",AE273="Cost of Goods Sold",AE273="Expenditures",AE273="Other Revenue",AE273="Other Expenditures"),AF273,IF(AND(LEN(AE273)&gt;2,MID(AE273,2,1)=" ",ISNUMBER(VALUE(LEFT(AE273,1)))),AE273,AG272))</f>
        <v/>
      </c>
      <c r="AH273" s="36" t="n">
        <f aca="false">IF(AND(AE273&lt;&gt;"",ISNUMBER(AC273),LEFT(AE273,9)&lt;&gt;"Total for",AE273&lt;&gt;"Gross Profit",AE273&lt;&gt;"Net Operating Revenue",AE273&lt;&gt;"Net Other Revenue",AE273&lt;&gt;"Net Revenue"),1,0)</f>
        <v>0</v>
      </c>
      <c r="AI273" s="36" t="str">
        <f aca="false">IF(AH273=1,IF(AND(LEN(AE273)&gt;7,ISNUMBER(VALUE(LEFT(AE273,6))),MID(AE273,7,1)=" "),LEFT(AE273,6),AE273),"")</f>
        <v/>
      </c>
      <c r="AN273" s="36" t="str">
        <f aca="false">TRIM(AK273)</f>
        <v/>
      </c>
      <c r="AO273" s="36" t="str">
        <f aca="false">IF(AN273="Revenue","Revenue",IF(AN273="Cost of Goods Sold","COGS",IF(AN273="Expenditures","Expense",IF(AN273="Other Revenue","Other Revenue",IF(AN273="Other Expenditures","Other Expense",AO272)))))</f>
        <v/>
      </c>
      <c r="AP273" s="36" t="str">
        <f aca="false">IF(OR(AN273="Revenue",AN273="Cost of Goods Sold",AN273="Expenditures",AN273="Other Revenue",AN273="Other Expenditures"),AO273,IF(AND(LEN(AN273)&gt;2,MID(AN273,2,1)=" ",ISNUMBER(VALUE(LEFT(AN273,1)))),AN273,AP272))</f>
        <v/>
      </c>
      <c r="AQ273" s="36" t="n">
        <f aca="false">IF(AND(AN273&lt;&gt;"",ISNUMBER(AL273),LEFT(AN273,9)&lt;&gt;"Total for",AN273&lt;&gt;"Gross Profit",AN273&lt;&gt;"Net Operating Revenue",AN273&lt;&gt;"Net Other Revenue",AN273&lt;&gt;"Net Revenue"),1,0)</f>
        <v>0</v>
      </c>
      <c r="AR273" s="36" t="str">
        <f aca="false">IF(AQ273=1,IF(AND(LEN(AN273)&gt;7,ISNUMBER(VALUE(LEFT(AN273,6))),MID(AN273,7,1)=" "),LEFT(AN273,6),AN273),"")</f>
        <v/>
      </c>
    </row>
    <row r="274" customFormat="false" ht="15" hidden="false" customHeight="false" outlineLevel="0" collapsed="false">
      <c r="D274" s="36" t="str">
        <f aca="false">TRIM(A274)</f>
        <v/>
      </c>
      <c r="E274" s="36" t="str">
        <f aca="false">IF(D274="Revenue","Revenue",IF(D274="Cost of Goods Sold","COGS",IF(D274="Expenditures","Expense",IF(D274="Other Revenue","Other Revenue",IF(D274="Other Expenditures","Other Expense",E273)))))</f>
        <v/>
      </c>
      <c r="F274" s="36" t="str">
        <f aca="false">IF(OR(D274="Revenue",D274="Cost of Goods Sold",D274="Expenditures",D274="Other Revenue",D274="Other Expenditures"),E274,IF(AND(LEN(D274)&gt;2,MID(D274,2,1)=" ",ISNUMBER(VALUE(LEFT(D274,1)))),D274,F273))</f>
        <v/>
      </c>
      <c r="G274" s="36" t="n">
        <f aca="false">IF(AND(D274&lt;&gt;"",ISNUMBER(B274),LEFT(D274,9)&lt;&gt;"Total for",D274&lt;&gt;"Gross Profit",D274&lt;&gt;"Net Operating Revenue",D274&lt;&gt;"Net Other Revenue",D274&lt;&gt;"Net Revenue"),1,0)</f>
        <v>0</v>
      </c>
      <c r="H274" s="36" t="str">
        <f aca="false">IF(G274=1,IF(AND(LEN(D274)&gt;7,ISNUMBER(VALUE(LEFT(D274,6))),MID(D274,7,1)=" "),LEFT(D274,6),D274),"")</f>
        <v/>
      </c>
      <c r="M274" s="36" t="str">
        <f aca="false">TRIM(J274)</f>
        <v/>
      </c>
      <c r="N274" s="36" t="str">
        <f aca="false">IF(M274="Revenue","Revenue",IF(M274="Cost of Goods Sold","COGS",IF(M274="Expenditures","Expense",IF(M274="Other Revenue","Other Revenue",IF(M274="Other Expenditures","Other Expense",N273)))))</f>
        <v/>
      </c>
      <c r="O274" s="36" t="str">
        <f aca="false">IF(OR(M274="Revenue",M274="Cost of Goods Sold",M274="Expenditures",M274="Other Revenue",M274="Other Expenditures"),N274,IF(AND(LEN(M274)&gt;2,MID(M274,2,1)=" ",ISNUMBER(VALUE(LEFT(M274,1)))),M274,O273))</f>
        <v/>
      </c>
      <c r="P274" s="36" t="n">
        <f aca="false">IF(AND(M274&lt;&gt;"",ISNUMBER(K274),LEFT(M274,9)&lt;&gt;"Total for",M274&lt;&gt;"Gross Profit",M274&lt;&gt;"Net Operating Revenue",M274&lt;&gt;"Net Other Revenue",M274&lt;&gt;"Net Revenue"),1,0)</f>
        <v>0</v>
      </c>
      <c r="Q274" s="36" t="str">
        <f aca="false">IF(P274=1,IF(AND(LEN(M274)&gt;7,ISNUMBER(VALUE(LEFT(M274,6))),MID(M274,7,1)=" "),LEFT(M274,6),M274),"")</f>
        <v/>
      </c>
      <c r="V274" s="36" t="str">
        <f aca="false">TRIM(S274)</f>
        <v/>
      </c>
      <c r="W274" s="36" t="str">
        <f aca="false">IF(V274="Revenue","Revenue",IF(V274="Cost of Goods Sold","COGS",IF(V274="Expenditures","Expense",IF(V274="Other Revenue","Other Revenue",IF(V274="Other Expenditures","Other Expense",W273)))))</f>
        <v/>
      </c>
      <c r="X274" s="36" t="str">
        <f aca="false">IF(OR(V274="Revenue",V274="Cost of Goods Sold",V274="Expenditures",V274="Other Revenue",V274="Other Expenditures"),W274,IF(AND(LEN(V274)&gt;2,MID(V274,2,1)=" ",ISNUMBER(VALUE(LEFT(V274,1)))),V274,X273))</f>
        <v/>
      </c>
      <c r="Y274" s="36" t="n">
        <f aca="false">IF(AND(V274&lt;&gt;"",ISNUMBER(T274),LEFT(V274,9)&lt;&gt;"Total for",V274&lt;&gt;"Gross Profit",V274&lt;&gt;"Net Operating Revenue",V274&lt;&gt;"Net Other Revenue",V274&lt;&gt;"Net Revenue"),1,0)</f>
        <v>0</v>
      </c>
      <c r="Z274" s="36" t="str">
        <f aca="false">IF(Y274=1,IF(AND(LEN(V274)&gt;7,ISNUMBER(VALUE(LEFT(V274,6))),MID(V274,7,1)=" "),LEFT(V274,6),V274),"")</f>
        <v/>
      </c>
      <c r="AE274" s="36" t="str">
        <f aca="false">TRIM(AB274)</f>
        <v/>
      </c>
      <c r="AF274" s="36" t="str">
        <f aca="false">IF(AE274="Revenue","Revenue",IF(AE274="Cost of Goods Sold","COGS",IF(AE274="Expenditures","Expense",IF(AE274="Other Revenue","Other Revenue",IF(AE274="Other Expenditures","Other Expense",AF273)))))</f>
        <v/>
      </c>
      <c r="AG274" s="36" t="str">
        <f aca="false">IF(OR(AE274="Revenue",AE274="Cost of Goods Sold",AE274="Expenditures",AE274="Other Revenue",AE274="Other Expenditures"),AF274,IF(AND(LEN(AE274)&gt;2,MID(AE274,2,1)=" ",ISNUMBER(VALUE(LEFT(AE274,1)))),AE274,AG273))</f>
        <v/>
      </c>
      <c r="AH274" s="36" t="n">
        <f aca="false">IF(AND(AE274&lt;&gt;"",ISNUMBER(AC274),LEFT(AE274,9)&lt;&gt;"Total for",AE274&lt;&gt;"Gross Profit",AE274&lt;&gt;"Net Operating Revenue",AE274&lt;&gt;"Net Other Revenue",AE274&lt;&gt;"Net Revenue"),1,0)</f>
        <v>0</v>
      </c>
      <c r="AI274" s="36" t="str">
        <f aca="false">IF(AH274=1,IF(AND(LEN(AE274)&gt;7,ISNUMBER(VALUE(LEFT(AE274,6))),MID(AE274,7,1)=" "),LEFT(AE274,6),AE274),"")</f>
        <v/>
      </c>
      <c r="AN274" s="36" t="str">
        <f aca="false">TRIM(AK274)</f>
        <v/>
      </c>
      <c r="AO274" s="36" t="str">
        <f aca="false">IF(AN274="Revenue","Revenue",IF(AN274="Cost of Goods Sold","COGS",IF(AN274="Expenditures","Expense",IF(AN274="Other Revenue","Other Revenue",IF(AN274="Other Expenditures","Other Expense",AO273)))))</f>
        <v/>
      </c>
      <c r="AP274" s="36" t="str">
        <f aca="false">IF(OR(AN274="Revenue",AN274="Cost of Goods Sold",AN274="Expenditures",AN274="Other Revenue",AN274="Other Expenditures"),AO274,IF(AND(LEN(AN274)&gt;2,MID(AN274,2,1)=" ",ISNUMBER(VALUE(LEFT(AN274,1)))),AN274,AP273))</f>
        <v/>
      </c>
      <c r="AQ274" s="36" t="n">
        <f aca="false">IF(AND(AN274&lt;&gt;"",ISNUMBER(AL274),LEFT(AN274,9)&lt;&gt;"Total for",AN274&lt;&gt;"Gross Profit",AN274&lt;&gt;"Net Operating Revenue",AN274&lt;&gt;"Net Other Revenue",AN274&lt;&gt;"Net Revenue"),1,0)</f>
        <v>0</v>
      </c>
      <c r="AR274" s="36" t="str">
        <f aca="false">IF(AQ274=1,IF(AND(LEN(AN274)&gt;7,ISNUMBER(VALUE(LEFT(AN274,6))),MID(AN274,7,1)=" "),LEFT(AN274,6),AN274),"")</f>
        <v/>
      </c>
    </row>
    <row r="275" customFormat="false" ht="15" hidden="false" customHeight="false" outlineLevel="0" collapsed="false">
      <c r="D275" s="36" t="str">
        <f aca="false">TRIM(A275)</f>
        <v/>
      </c>
      <c r="E275" s="36" t="str">
        <f aca="false">IF(D275="Revenue","Revenue",IF(D275="Cost of Goods Sold","COGS",IF(D275="Expenditures","Expense",IF(D275="Other Revenue","Other Revenue",IF(D275="Other Expenditures","Other Expense",E274)))))</f>
        <v/>
      </c>
      <c r="F275" s="36" t="str">
        <f aca="false">IF(OR(D275="Revenue",D275="Cost of Goods Sold",D275="Expenditures",D275="Other Revenue",D275="Other Expenditures"),E275,IF(AND(LEN(D275)&gt;2,MID(D275,2,1)=" ",ISNUMBER(VALUE(LEFT(D275,1)))),D275,F274))</f>
        <v/>
      </c>
      <c r="G275" s="36" t="n">
        <f aca="false">IF(AND(D275&lt;&gt;"",ISNUMBER(B275),LEFT(D275,9)&lt;&gt;"Total for",D275&lt;&gt;"Gross Profit",D275&lt;&gt;"Net Operating Revenue",D275&lt;&gt;"Net Other Revenue",D275&lt;&gt;"Net Revenue"),1,0)</f>
        <v>0</v>
      </c>
      <c r="H275" s="36" t="str">
        <f aca="false">IF(G275=1,IF(AND(LEN(D275)&gt;7,ISNUMBER(VALUE(LEFT(D275,6))),MID(D275,7,1)=" "),LEFT(D275,6),D275),"")</f>
        <v/>
      </c>
      <c r="M275" s="36" t="str">
        <f aca="false">TRIM(J275)</f>
        <v/>
      </c>
      <c r="N275" s="36" t="str">
        <f aca="false">IF(M275="Revenue","Revenue",IF(M275="Cost of Goods Sold","COGS",IF(M275="Expenditures","Expense",IF(M275="Other Revenue","Other Revenue",IF(M275="Other Expenditures","Other Expense",N274)))))</f>
        <v/>
      </c>
      <c r="O275" s="36" t="str">
        <f aca="false">IF(OR(M275="Revenue",M275="Cost of Goods Sold",M275="Expenditures",M275="Other Revenue",M275="Other Expenditures"),N275,IF(AND(LEN(M275)&gt;2,MID(M275,2,1)=" ",ISNUMBER(VALUE(LEFT(M275,1)))),M275,O274))</f>
        <v/>
      </c>
      <c r="P275" s="36" t="n">
        <f aca="false">IF(AND(M275&lt;&gt;"",ISNUMBER(K275),LEFT(M275,9)&lt;&gt;"Total for",M275&lt;&gt;"Gross Profit",M275&lt;&gt;"Net Operating Revenue",M275&lt;&gt;"Net Other Revenue",M275&lt;&gt;"Net Revenue"),1,0)</f>
        <v>0</v>
      </c>
      <c r="Q275" s="36" t="str">
        <f aca="false">IF(P275=1,IF(AND(LEN(M275)&gt;7,ISNUMBER(VALUE(LEFT(M275,6))),MID(M275,7,1)=" "),LEFT(M275,6),M275),"")</f>
        <v/>
      </c>
      <c r="V275" s="36" t="str">
        <f aca="false">TRIM(S275)</f>
        <v/>
      </c>
      <c r="W275" s="36" t="str">
        <f aca="false">IF(V275="Revenue","Revenue",IF(V275="Cost of Goods Sold","COGS",IF(V275="Expenditures","Expense",IF(V275="Other Revenue","Other Revenue",IF(V275="Other Expenditures","Other Expense",W274)))))</f>
        <v/>
      </c>
      <c r="X275" s="36" t="str">
        <f aca="false">IF(OR(V275="Revenue",V275="Cost of Goods Sold",V275="Expenditures",V275="Other Revenue",V275="Other Expenditures"),W275,IF(AND(LEN(V275)&gt;2,MID(V275,2,1)=" ",ISNUMBER(VALUE(LEFT(V275,1)))),V275,X274))</f>
        <v/>
      </c>
      <c r="Y275" s="36" t="n">
        <f aca="false">IF(AND(V275&lt;&gt;"",ISNUMBER(T275),LEFT(V275,9)&lt;&gt;"Total for",V275&lt;&gt;"Gross Profit",V275&lt;&gt;"Net Operating Revenue",V275&lt;&gt;"Net Other Revenue",V275&lt;&gt;"Net Revenue"),1,0)</f>
        <v>0</v>
      </c>
      <c r="Z275" s="36" t="str">
        <f aca="false">IF(Y275=1,IF(AND(LEN(V275)&gt;7,ISNUMBER(VALUE(LEFT(V275,6))),MID(V275,7,1)=" "),LEFT(V275,6),V275),"")</f>
        <v/>
      </c>
      <c r="AE275" s="36" t="str">
        <f aca="false">TRIM(AB275)</f>
        <v/>
      </c>
      <c r="AF275" s="36" t="str">
        <f aca="false">IF(AE275="Revenue","Revenue",IF(AE275="Cost of Goods Sold","COGS",IF(AE275="Expenditures","Expense",IF(AE275="Other Revenue","Other Revenue",IF(AE275="Other Expenditures","Other Expense",AF274)))))</f>
        <v/>
      </c>
      <c r="AG275" s="36" t="str">
        <f aca="false">IF(OR(AE275="Revenue",AE275="Cost of Goods Sold",AE275="Expenditures",AE275="Other Revenue",AE275="Other Expenditures"),AF275,IF(AND(LEN(AE275)&gt;2,MID(AE275,2,1)=" ",ISNUMBER(VALUE(LEFT(AE275,1)))),AE275,AG274))</f>
        <v/>
      </c>
      <c r="AH275" s="36" t="n">
        <f aca="false">IF(AND(AE275&lt;&gt;"",ISNUMBER(AC275),LEFT(AE275,9)&lt;&gt;"Total for",AE275&lt;&gt;"Gross Profit",AE275&lt;&gt;"Net Operating Revenue",AE275&lt;&gt;"Net Other Revenue",AE275&lt;&gt;"Net Revenue"),1,0)</f>
        <v>0</v>
      </c>
      <c r="AI275" s="36" t="str">
        <f aca="false">IF(AH275=1,IF(AND(LEN(AE275)&gt;7,ISNUMBER(VALUE(LEFT(AE275,6))),MID(AE275,7,1)=" "),LEFT(AE275,6),AE275),"")</f>
        <v/>
      </c>
      <c r="AN275" s="36" t="str">
        <f aca="false">TRIM(AK275)</f>
        <v/>
      </c>
      <c r="AO275" s="36" t="str">
        <f aca="false">IF(AN275="Revenue","Revenue",IF(AN275="Cost of Goods Sold","COGS",IF(AN275="Expenditures","Expense",IF(AN275="Other Revenue","Other Revenue",IF(AN275="Other Expenditures","Other Expense",AO274)))))</f>
        <v/>
      </c>
      <c r="AP275" s="36" t="str">
        <f aca="false">IF(OR(AN275="Revenue",AN275="Cost of Goods Sold",AN275="Expenditures",AN275="Other Revenue",AN275="Other Expenditures"),AO275,IF(AND(LEN(AN275)&gt;2,MID(AN275,2,1)=" ",ISNUMBER(VALUE(LEFT(AN275,1)))),AN275,AP274))</f>
        <v/>
      </c>
      <c r="AQ275" s="36" t="n">
        <f aca="false">IF(AND(AN275&lt;&gt;"",ISNUMBER(AL275),LEFT(AN275,9)&lt;&gt;"Total for",AN275&lt;&gt;"Gross Profit",AN275&lt;&gt;"Net Operating Revenue",AN275&lt;&gt;"Net Other Revenue",AN275&lt;&gt;"Net Revenue"),1,0)</f>
        <v>0</v>
      </c>
      <c r="AR275" s="36" t="str">
        <f aca="false">IF(AQ275=1,IF(AND(LEN(AN275)&gt;7,ISNUMBER(VALUE(LEFT(AN275,6))),MID(AN275,7,1)=" "),LEFT(AN275,6),AN275),"")</f>
        <v/>
      </c>
    </row>
    <row r="276" customFormat="false" ht="15" hidden="false" customHeight="false" outlineLevel="0" collapsed="false">
      <c r="D276" s="36" t="str">
        <f aca="false">TRIM(A276)</f>
        <v/>
      </c>
      <c r="E276" s="36" t="str">
        <f aca="false">IF(D276="Revenue","Revenue",IF(D276="Cost of Goods Sold","COGS",IF(D276="Expenditures","Expense",IF(D276="Other Revenue","Other Revenue",IF(D276="Other Expenditures","Other Expense",E275)))))</f>
        <v/>
      </c>
      <c r="F276" s="36" t="str">
        <f aca="false">IF(OR(D276="Revenue",D276="Cost of Goods Sold",D276="Expenditures",D276="Other Revenue",D276="Other Expenditures"),E276,IF(AND(LEN(D276)&gt;2,MID(D276,2,1)=" ",ISNUMBER(VALUE(LEFT(D276,1)))),D276,F275))</f>
        <v/>
      </c>
      <c r="G276" s="36" t="n">
        <f aca="false">IF(AND(D276&lt;&gt;"",ISNUMBER(B276),LEFT(D276,9)&lt;&gt;"Total for",D276&lt;&gt;"Gross Profit",D276&lt;&gt;"Net Operating Revenue",D276&lt;&gt;"Net Other Revenue",D276&lt;&gt;"Net Revenue"),1,0)</f>
        <v>0</v>
      </c>
      <c r="H276" s="36" t="str">
        <f aca="false">IF(G276=1,IF(AND(LEN(D276)&gt;7,ISNUMBER(VALUE(LEFT(D276,6))),MID(D276,7,1)=" "),LEFT(D276,6),D276),"")</f>
        <v/>
      </c>
      <c r="M276" s="36" t="str">
        <f aca="false">TRIM(J276)</f>
        <v/>
      </c>
      <c r="N276" s="36" t="str">
        <f aca="false">IF(M276="Revenue","Revenue",IF(M276="Cost of Goods Sold","COGS",IF(M276="Expenditures","Expense",IF(M276="Other Revenue","Other Revenue",IF(M276="Other Expenditures","Other Expense",N275)))))</f>
        <v/>
      </c>
      <c r="O276" s="36" t="str">
        <f aca="false">IF(OR(M276="Revenue",M276="Cost of Goods Sold",M276="Expenditures",M276="Other Revenue",M276="Other Expenditures"),N276,IF(AND(LEN(M276)&gt;2,MID(M276,2,1)=" ",ISNUMBER(VALUE(LEFT(M276,1)))),M276,O275))</f>
        <v/>
      </c>
      <c r="P276" s="36" t="n">
        <f aca="false">IF(AND(M276&lt;&gt;"",ISNUMBER(K276),LEFT(M276,9)&lt;&gt;"Total for",M276&lt;&gt;"Gross Profit",M276&lt;&gt;"Net Operating Revenue",M276&lt;&gt;"Net Other Revenue",M276&lt;&gt;"Net Revenue"),1,0)</f>
        <v>0</v>
      </c>
      <c r="Q276" s="36" t="str">
        <f aca="false">IF(P276=1,IF(AND(LEN(M276)&gt;7,ISNUMBER(VALUE(LEFT(M276,6))),MID(M276,7,1)=" "),LEFT(M276,6),M276),"")</f>
        <v/>
      </c>
      <c r="V276" s="36" t="str">
        <f aca="false">TRIM(S276)</f>
        <v/>
      </c>
      <c r="W276" s="36" t="str">
        <f aca="false">IF(V276="Revenue","Revenue",IF(V276="Cost of Goods Sold","COGS",IF(V276="Expenditures","Expense",IF(V276="Other Revenue","Other Revenue",IF(V276="Other Expenditures","Other Expense",W275)))))</f>
        <v/>
      </c>
      <c r="X276" s="36" t="str">
        <f aca="false">IF(OR(V276="Revenue",V276="Cost of Goods Sold",V276="Expenditures",V276="Other Revenue",V276="Other Expenditures"),W276,IF(AND(LEN(V276)&gt;2,MID(V276,2,1)=" ",ISNUMBER(VALUE(LEFT(V276,1)))),V276,X275))</f>
        <v/>
      </c>
      <c r="Y276" s="36" t="n">
        <f aca="false">IF(AND(V276&lt;&gt;"",ISNUMBER(T276),LEFT(V276,9)&lt;&gt;"Total for",V276&lt;&gt;"Gross Profit",V276&lt;&gt;"Net Operating Revenue",V276&lt;&gt;"Net Other Revenue",V276&lt;&gt;"Net Revenue"),1,0)</f>
        <v>0</v>
      </c>
      <c r="Z276" s="36" t="str">
        <f aca="false">IF(Y276=1,IF(AND(LEN(V276)&gt;7,ISNUMBER(VALUE(LEFT(V276,6))),MID(V276,7,1)=" "),LEFT(V276,6),V276),"")</f>
        <v/>
      </c>
      <c r="AE276" s="36" t="str">
        <f aca="false">TRIM(AB276)</f>
        <v/>
      </c>
      <c r="AF276" s="36" t="str">
        <f aca="false">IF(AE276="Revenue","Revenue",IF(AE276="Cost of Goods Sold","COGS",IF(AE276="Expenditures","Expense",IF(AE276="Other Revenue","Other Revenue",IF(AE276="Other Expenditures","Other Expense",AF275)))))</f>
        <v/>
      </c>
      <c r="AG276" s="36" t="str">
        <f aca="false">IF(OR(AE276="Revenue",AE276="Cost of Goods Sold",AE276="Expenditures",AE276="Other Revenue",AE276="Other Expenditures"),AF276,IF(AND(LEN(AE276)&gt;2,MID(AE276,2,1)=" ",ISNUMBER(VALUE(LEFT(AE276,1)))),AE276,AG275))</f>
        <v/>
      </c>
      <c r="AH276" s="36" t="n">
        <f aca="false">IF(AND(AE276&lt;&gt;"",ISNUMBER(AC276),LEFT(AE276,9)&lt;&gt;"Total for",AE276&lt;&gt;"Gross Profit",AE276&lt;&gt;"Net Operating Revenue",AE276&lt;&gt;"Net Other Revenue",AE276&lt;&gt;"Net Revenue"),1,0)</f>
        <v>0</v>
      </c>
      <c r="AI276" s="36" t="str">
        <f aca="false">IF(AH276=1,IF(AND(LEN(AE276)&gt;7,ISNUMBER(VALUE(LEFT(AE276,6))),MID(AE276,7,1)=" "),LEFT(AE276,6),AE276),"")</f>
        <v/>
      </c>
      <c r="AN276" s="36" t="str">
        <f aca="false">TRIM(AK276)</f>
        <v/>
      </c>
      <c r="AO276" s="36" t="str">
        <f aca="false">IF(AN276="Revenue","Revenue",IF(AN276="Cost of Goods Sold","COGS",IF(AN276="Expenditures","Expense",IF(AN276="Other Revenue","Other Revenue",IF(AN276="Other Expenditures","Other Expense",AO275)))))</f>
        <v/>
      </c>
      <c r="AP276" s="36" t="str">
        <f aca="false">IF(OR(AN276="Revenue",AN276="Cost of Goods Sold",AN276="Expenditures",AN276="Other Revenue",AN276="Other Expenditures"),AO276,IF(AND(LEN(AN276)&gt;2,MID(AN276,2,1)=" ",ISNUMBER(VALUE(LEFT(AN276,1)))),AN276,AP275))</f>
        <v/>
      </c>
      <c r="AQ276" s="36" t="n">
        <f aca="false">IF(AND(AN276&lt;&gt;"",ISNUMBER(AL276),LEFT(AN276,9)&lt;&gt;"Total for",AN276&lt;&gt;"Gross Profit",AN276&lt;&gt;"Net Operating Revenue",AN276&lt;&gt;"Net Other Revenue",AN276&lt;&gt;"Net Revenue"),1,0)</f>
        <v>0</v>
      </c>
      <c r="AR276" s="36" t="str">
        <f aca="false">IF(AQ276=1,IF(AND(LEN(AN276)&gt;7,ISNUMBER(VALUE(LEFT(AN276,6))),MID(AN276,7,1)=" "),LEFT(AN276,6),AN276),"")</f>
        <v/>
      </c>
    </row>
    <row r="277" customFormat="false" ht="15" hidden="false" customHeight="false" outlineLevel="0" collapsed="false">
      <c r="D277" s="36" t="str">
        <f aca="false">TRIM(A277)</f>
        <v/>
      </c>
      <c r="E277" s="36" t="str">
        <f aca="false">IF(D277="Revenue","Revenue",IF(D277="Cost of Goods Sold","COGS",IF(D277="Expenditures","Expense",IF(D277="Other Revenue","Other Revenue",IF(D277="Other Expenditures","Other Expense",E276)))))</f>
        <v/>
      </c>
      <c r="F277" s="36" t="str">
        <f aca="false">IF(OR(D277="Revenue",D277="Cost of Goods Sold",D277="Expenditures",D277="Other Revenue",D277="Other Expenditures"),E277,IF(AND(LEN(D277)&gt;2,MID(D277,2,1)=" ",ISNUMBER(VALUE(LEFT(D277,1)))),D277,F276))</f>
        <v/>
      </c>
      <c r="G277" s="36" t="n">
        <f aca="false">IF(AND(D277&lt;&gt;"",ISNUMBER(B277),LEFT(D277,9)&lt;&gt;"Total for",D277&lt;&gt;"Gross Profit",D277&lt;&gt;"Net Operating Revenue",D277&lt;&gt;"Net Other Revenue",D277&lt;&gt;"Net Revenue"),1,0)</f>
        <v>0</v>
      </c>
      <c r="H277" s="36" t="str">
        <f aca="false">IF(G277=1,IF(AND(LEN(D277)&gt;7,ISNUMBER(VALUE(LEFT(D277,6))),MID(D277,7,1)=" "),LEFT(D277,6),D277),"")</f>
        <v/>
      </c>
      <c r="M277" s="36" t="str">
        <f aca="false">TRIM(J277)</f>
        <v/>
      </c>
      <c r="N277" s="36" t="str">
        <f aca="false">IF(M277="Revenue","Revenue",IF(M277="Cost of Goods Sold","COGS",IF(M277="Expenditures","Expense",IF(M277="Other Revenue","Other Revenue",IF(M277="Other Expenditures","Other Expense",N276)))))</f>
        <v/>
      </c>
      <c r="O277" s="36" t="str">
        <f aca="false">IF(OR(M277="Revenue",M277="Cost of Goods Sold",M277="Expenditures",M277="Other Revenue",M277="Other Expenditures"),N277,IF(AND(LEN(M277)&gt;2,MID(M277,2,1)=" ",ISNUMBER(VALUE(LEFT(M277,1)))),M277,O276))</f>
        <v/>
      </c>
      <c r="P277" s="36" t="n">
        <f aca="false">IF(AND(M277&lt;&gt;"",ISNUMBER(K277),LEFT(M277,9)&lt;&gt;"Total for",M277&lt;&gt;"Gross Profit",M277&lt;&gt;"Net Operating Revenue",M277&lt;&gt;"Net Other Revenue",M277&lt;&gt;"Net Revenue"),1,0)</f>
        <v>0</v>
      </c>
      <c r="Q277" s="36" t="str">
        <f aca="false">IF(P277=1,IF(AND(LEN(M277)&gt;7,ISNUMBER(VALUE(LEFT(M277,6))),MID(M277,7,1)=" "),LEFT(M277,6),M277),"")</f>
        <v/>
      </c>
      <c r="V277" s="36" t="str">
        <f aca="false">TRIM(S277)</f>
        <v/>
      </c>
      <c r="W277" s="36" t="str">
        <f aca="false">IF(V277="Revenue","Revenue",IF(V277="Cost of Goods Sold","COGS",IF(V277="Expenditures","Expense",IF(V277="Other Revenue","Other Revenue",IF(V277="Other Expenditures","Other Expense",W276)))))</f>
        <v/>
      </c>
      <c r="X277" s="36" t="str">
        <f aca="false">IF(OR(V277="Revenue",V277="Cost of Goods Sold",V277="Expenditures",V277="Other Revenue",V277="Other Expenditures"),W277,IF(AND(LEN(V277)&gt;2,MID(V277,2,1)=" ",ISNUMBER(VALUE(LEFT(V277,1)))),V277,X276))</f>
        <v/>
      </c>
      <c r="Y277" s="36" t="n">
        <f aca="false">IF(AND(V277&lt;&gt;"",ISNUMBER(T277),LEFT(V277,9)&lt;&gt;"Total for",V277&lt;&gt;"Gross Profit",V277&lt;&gt;"Net Operating Revenue",V277&lt;&gt;"Net Other Revenue",V277&lt;&gt;"Net Revenue"),1,0)</f>
        <v>0</v>
      </c>
      <c r="Z277" s="36" t="str">
        <f aca="false">IF(Y277=1,IF(AND(LEN(V277)&gt;7,ISNUMBER(VALUE(LEFT(V277,6))),MID(V277,7,1)=" "),LEFT(V277,6),V277),"")</f>
        <v/>
      </c>
      <c r="AE277" s="36" t="str">
        <f aca="false">TRIM(AB277)</f>
        <v/>
      </c>
      <c r="AF277" s="36" t="str">
        <f aca="false">IF(AE277="Revenue","Revenue",IF(AE277="Cost of Goods Sold","COGS",IF(AE277="Expenditures","Expense",IF(AE277="Other Revenue","Other Revenue",IF(AE277="Other Expenditures","Other Expense",AF276)))))</f>
        <v/>
      </c>
      <c r="AG277" s="36" t="str">
        <f aca="false">IF(OR(AE277="Revenue",AE277="Cost of Goods Sold",AE277="Expenditures",AE277="Other Revenue",AE277="Other Expenditures"),AF277,IF(AND(LEN(AE277)&gt;2,MID(AE277,2,1)=" ",ISNUMBER(VALUE(LEFT(AE277,1)))),AE277,AG276))</f>
        <v/>
      </c>
      <c r="AH277" s="36" t="n">
        <f aca="false">IF(AND(AE277&lt;&gt;"",ISNUMBER(AC277),LEFT(AE277,9)&lt;&gt;"Total for",AE277&lt;&gt;"Gross Profit",AE277&lt;&gt;"Net Operating Revenue",AE277&lt;&gt;"Net Other Revenue",AE277&lt;&gt;"Net Revenue"),1,0)</f>
        <v>0</v>
      </c>
      <c r="AI277" s="36" t="str">
        <f aca="false">IF(AH277=1,IF(AND(LEN(AE277)&gt;7,ISNUMBER(VALUE(LEFT(AE277,6))),MID(AE277,7,1)=" "),LEFT(AE277,6),AE277),"")</f>
        <v/>
      </c>
      <c r="AN277" s="36" t="str">
        <f aca="false">TRIM(AK277)</f>
        <v/>
      </c>
      <c r="AO277" s="36" t="str">
        <f aca="false">IF(AN277="Revenue","Revenue",IF(AN277="Cost of Goods Sold","COGS",IF(AN277="Expenditures","Expense",IF(AN277="Other Revenue","Other Revenue",IF(AN277="Other Expenditures","Other Expense",AO276)))))</f>
        <v/>
      </c>
      <c r="AP277" s="36" t="str">
        <f aca="false">IF(OR(AN277="Revenue",AN277="Cost of Goods Sold",AN277="Expenditures",AN277="Other Revenue",AN277="Other Expenditures"),AO277,IF(AND(LEN(AN277)&gt;2,MID(AN277,2,1)=" ",ISNUMBER(VALUE(LEFT(AN277,1)))),AN277,AP276))</f>
        <v/>
      </c>
      <c r="AQ277" s="36" t="n">
        <f aca="false">IF(AND(AN277&lt;&gt;"",ISNUMBER(AL277),LEFT(AN277,9)&lt;&gt;"Total for",AN277&lt;&gt;"Gross Profit",AN277&lt;&gt;"Net Operating Revenue",AN277&lt;&gt;"Net Other Revenue",AN277&lt;&gt;"Net Revenue"),1,0)</f>
        <v>0</v>
      </c>
      <c r="AR277" s="36" t="str">
        <f aca="false">IF(AQ277=1,IF(AND(LEN(AN277)&gt;7,ISNUMBER(VALUE(LEFT(AN277,6))),MID(AN277,7,1)=" "),LEFT(AN277,6),AN277),"")</f>
        <v/>
      </c>
    </row>
    <row r="278" customFormat="false" ht="15" hidden="false" customHeight="false" outlineLevel="0" collapsed="false">
      <c r="D278" s="36" t="str">
        <f aca="false">TRIM(A278)</f>
        <v/>
      </c>
      <c r="E278" s="36" t="str">
        <f aca="false">IF(D278="Revenue","Revenue",IF(D278="Cost of Goods Sold","COGS",IF(D278="Expenditures","Expense",IF(D278="Other Revenue","Other Revenue",IF(D278="Other Expenditures","Other Expense",E277)))))</f>
        <v/>
      </c>
      <c r="F278" s="36" t="str">
        <f aca="false">IF(OR(D278="Revenue",D278="Cost of Goods Sold",D278="Expenditures",D278="Other Revenue",D278="Other Expenditures"),E278,IF(AND(LEN(D278)&gt;2,MID(D278,2,1)=" ",ISNUMBER(VALUE(LEFT(D278,1)))),D278,F277))</f>
        <v/>
      </c>
      <c r="G278" s="36" t="n">
        <f aca="false">IF(AND(D278&lt;&gt;"",ISNUMBER(B278),LEFT(D278,9)&lt;&gt;"Total for",D278&lt;&gt;"Gross Profit",D278&lt;&gt;"Net Operating Revenue",D278&lt;&gt;"Net Other Revenue",D278&lt;&gt;"Net Revenue"),1,0)</f>
        <v>0</v>
      </c>
      <c r="H278" s="36" t="str">
        <f aca="false">IF(G278=1,IF(AND(LEN(D278)&gt;7,ISNUMBER(VALUE(LEFT(D278,6))),MID(D278,7,1)=" "),LEFT(D278,6),D278),"")</f>
        <v/>
      </c>
      <c r="M278" s="36" t="str">
        <f aca="false">TRIM(J278)</f>
        <v/>
      </c>
      <c r="N278" s="36" t="str">
        <f aca="false">IF(M278="Revenue","Revenue",IF(M278="Cost of Goods Sold","COGS",IF(M278="Expenditures","Expense",IF(M278="Other Revenue","Other Revenue",IF(M278="Other Expenditures","Other Expense",N277)))))</f>
        <v/>
      </c>
      <c r="O278" s="36" t="str">
        <f aca="false">IF(OR(M278="Revenue",M278="Cost of Goods Sold",M278="Expenditures",M278="Other Revenue",M278="Other Expenditures"),N278,IF(AND(LEN(M278)&gt;2,MID(M278,2,1)=" ",ISNUMBER(VALUE(LEFT(M278,1)))),M278,O277))</f>
        <v/>
      </c>
      <c r="P278" s="36" t="n">
        <f aca="false">IF(AND(M278&lt;&gt;"",ISNUMBER(K278),LEFT(M278,9)&lt;&gt;"Total for",M278&lt;&gt;"Gross Profit",M278&lt;&gt;"Net Operating Revenue",M278&lt;&gt;"Net Other Revenue",M278&lt;&gt;"Net Revenue"),1,0)</f>
        <v>0</v>
      </c>
      <c r="Q278" s="36" t="str">
        <f aca="false">IF(P278=1,IF(AND(LEN(M278)&gt;7,ISNUMBER(VALUE(LEFT(M278,6))),MID(M278,7,1)=" "),LEFT(M278,6),M278),"")</f>
        <v/>
      </c>
      <c r="V278" s="36" t="str">
        <f aca="false">TRIM(S278)</f>
        <v/>
      </c>
      <c r="W278" s="36" t="str">
        <f aca="false">IF(V278="Revenue","Revenue",IF(V278="Cost of Goods Sold","COGS",IF(V278="Expenditures","Expense",IF(V278="Other Revenue","Other Revenue",IF(V278="Other Expenditures","Other Expense",W277)))))</f>
        <v/>
      </c>
      <c r="X278" s="36" t="str">
        <f aca="false">IF(OR(V278="Revenue",V278="Cost of Goods Sold",V278="Expenditures",V278="Other Revenue",V278="Other Expenditures"),W278,IF(AND(LEN(V278)&gt;2,MID(V278,2,1)=" ",ISNUMBER(VALUE(LEFT(V278,1)))),V278,X277))</f>
        <v/>
      </c>
      <c r="Y278" s="36" t="n">
        <f aca="false">IF(AND(V278&lt;&gt;"",ISNUMBER(T278),LEFT(V278,9)&lt;&gt;"Total for",V278&lt;&gt;"Gross Profit",V278&lt;&gt;"Net Operating Revenue",V278&lt;&gt;"Net Other Revenue",V278&lt;&gt;"Net Revenue"),1,0)</f>
        <v>0</v>
      </c>
      <c r="Z278" s="36" t="str">
        <f aca="false">IF(Y278=1,IF(AND(LEN(V278)&gt;7,ISNUMBER(VALUE(LEFT(V278,6))),MID(V278,7,1)=" "),LEFT(V278,6),V278),"")</f>
        <v/>
      </c>
      <c r="AE278" s="36" t="str">
        <f aca="false">TRIM(AB278)</f>
        <v/>
      </c>
      <c r="AF278" s="36" t="str">
        <f aca="false">IF(AE278="Revenue","Revenue",IF(AE278="Cost of Goods Sold","COGS",IF(AE278="Expenditures","Expense",IF(AE278="Other Revenue","Other Revenue",IF(AE278="Other Expenditures","Other Expense",AF277)))))</f>
        <v/>
      </c>
      <c r="AG278" s="36" t="str">
        <f aca="false">IF(OR(AE278="Revenue",AE278="Cost of Goods Sold",AE278="Expenditures",AE278="Other Revenue",AE278="Other Expenditures"),AF278,IF(AND(LEN(AE278)&gt;2,MID(AE278,2,1)=" ",ISNUMBER(VALUE(LEFT(AE278,1)))),AE278,AG277))</f>
        <v/>
      </c>
      <c r="AH278" s="36" t="n">
        <f aca="false">IF(AND(AE278&lt;&gt;"",ISNUMBER(AC278),LEFT(AE278,9)&lt;&gt;"Total for",AE278&lt;&gt;"Gross Profit",AE278&lt;&gt;"Net Operating Revenue",AE278&lt;&gt;"Net Other Revenue",AE278&lt;&gt;"Net Revenue"),1,0)</f>
        <v>0</v>
      </c>
      <c r="AI278" s="36" t="str">
        <f aca="false">IF(AH278=1,IF(AND(LEN(AE278)&gt;7,ISNUMBER(VALUE(LEFT(AE278,6))),MID(AE278,7,1)=" "),LEFT(AE278,6),AE278),"")</f>
        <v/>
      </c>
      <c r="AN278" s="36" t="str">
        <f aca="false">TRIM(AK278)</f>
        <v/>
      </c>
      <c r="AO278" s="36" t="str">
        <f aca="false">IF(AN278="Revenue","Revenue",IF(AN278="Cost of Goods Sold","COGS",IF(AN278="Expenditures","Expense",IF(AN278="Other Revenue","Other Revenue",IF(AN278="Other Expenditures","Other Expense",AO277)))))</f>
        <v/>
      </c>
      <c r="AP278" s="36" t="str">
        <f aca="false">IF(OR(AN278="Revenue",AN278="Cost of Goods Sold",AN278="Expenditures",AN278="Other Revenue",AN278="Other Expenditures"),AO278,IF(AND(LEN(AN278)&gt;2,MID(AN278,2,1)=" ",ISNUMBER(VALUE(LEFT(AN278,1)))),AN278,AP277))</f>
        <v/>
      </c>
      <c r="AQ278" s="36" t="n">
        <f aca="false">IF(AND(AN278&lt;&gt;"",ISNUMBER(AL278),LEFT(AN278,9)&lt;&gt;"Total for",AN278&lt;&gt;"Gross Profit",AN278&lt;&gt;"Net Operating Revenue",AN278&lt;&gt;"Net Other Revenue",AN278&lt;&gt;"Net Revenue"),1,0)</f>
        <v>0</v>
      </c>
      <c r="AR278" s="36" t="str">
        <f aca="false">IF(AQ278=1,IF(AND(LEN(AN278)&gt;7,ISNUMBER(VALUE(LEFT(AN278,6))),MID(AN278,7,1)=" "),LEFT(AN278,6),AN278),"")</f>
        <v/>
      </c>
    </row>
    <row r="279" customFormat="false" ht="15" hidden="false" customHeight="false" outlineLevel="0" collapsed="false">
      <c r="D279" s="36" t="str">
        <f aca="false">TRIM(A279)</f>
        <v/>
      </c>
      <c r="E279" s="36" t="str">
        <f aca="false">IF(D279="Revenue","Revenue",IF(D279="Cost of Goods Sold","COGS",IF(D279="Expenditures","Expense",IF(D279="Other Revenue","Other Revenue",IF(D279="Other Expenditures","Other Expense",E278)))))</f>
        <v/>
      </c>
      <c r="F279" s="36" t="str">
        <f aca="false">IF(OR(D279="Revenue",D279="Cost of Goods Sold",D279="Expenditures",D279="Other Revenue",D279="Other Expenditures"),E279,IF(AND(LEN(D279)&gt;2,MID(D279,2,1)=" ",ISNUMBER(VALUE(LEFT(D279,1)))),D279,F278))</f>
        <v/>
      </c>
      <c r="G279" s="36" t="n">
        <f aca="false">IF(AND(D279&lt;&gt;"",ISNUMBER(B279),LEFT(D279,9)&lt;&gt;"Total for",D279&lt;&gt;"Gross Profit",D279&lt;&gt;"Net Operating Revenue",D279&lt;&gt;"Net Other Revenue",D279&lt;&gt;"Net Revenue"),1,0)</f>
        <v>0</v>
      </c>
      <c r="H279" s="36" t="str">
        <f aca="false">IF(G279=1,IF(AND(LEN(D279)&gt;7,ISNUMBER(VALUE(LEFT(D279,6))),MID(D279,7,1)=" "),LEFT(D279,6),D279),"")</f>
        <v/>
      </c>
      <c r="M279" s="36" t="str">
        <f aca="false">TRIM(J279)</f>
        <v/>
      </c>
      <c r="N279" s="36" t="str">
        <f aca="false">IF(M279="Revenue","Revenue",IF(M279="Cost of Goods Sold","COGS",IF(M279="Expenditures","Expense",IF(M279="Other Revenue","Other Revenue",IF(M279="Other Expenditures","Other Expense",N278)))))</f>
        <v/>
      </c>
      <c r="O279" s="36" t="str">
        <f aca="false">IF(OR(M279="Revenue",M279="Cost of Goods Sold",M279="Expenditures",M279="Other Revenue",M279="Other Expenditures"),N279,IF(AND(LEN(M279)&gt;2,MID(M279,2,1)=" ",ISNUMBER(VALUE(LEFT(M279,1)))),M279,O278))</f>
        <v/>
      </c>
      <c r="P279" s="36" t="n">
        <f aca="false">IF(AND(M279&lt;&gt;"",ISNUMBER(K279),LEFT(M279,9)&lt;&gt;"Total for",M279&lt;&gt;"Gross Profit",M279&lt;&gt;"Net Operating Revenue",M279&lt;&gt;"Net Other Revenue",M279&lt;&gt;"Net Revenue"),1,0)</f>
        <v>0</v>
      </c>
      <c r="Q279" s="36" t="str">
        <f aca="false">IF(P279=1,IF(AND(LEN(M279)&gt;7,ISNUMBER(VALUE(LEFT(M279,6))),MID(M279,7,1)=" "),LEFT(M279,6),M279),"")</f>
        <v/>
      </c>
      <c r="V279" s="36" t="str">
        <f aca="false">TRIM(S279)</f>
        <v/>
      </c>
      <c r="W279" s="36" t="str">
        <f aca="false">IF(V279="Revenue","Revenue",IF(V279="Cost of Goods Sold","COGS",IF(V279="Expenditures","Expense",IF(V279="Other Revenue","Other Revenue",IF(V279="Other Expenditures","Other Expense",W278)))))</f>
        <v/>
      </c>
      <c r="X279" s="36" t="str">
        <f aca="false">IF(OR(V279="Revenue",V279="Cost of Goods Sold",V279="Expenditures",V279="Other Revenue",V279="Other Expenditures"),W279,IF(AND(LEN(V279)&gt;2,MID(V279,2,1)=" ",ISNUMBER(VALUE(LEFT(V279,1)))),V279,X278))</f>
        <v/>
      </c>
      <c r="Y279" s="36" t="n">
        <f aca="false">IF(AND(V279&lt;&gt;"",ISNUMBER(T279),LEFT(V279,9)&lt;&gt;"Total for",V279&lt;&gt;"Gross Profit",V279&lt;&gt;"Net Operating Revenue",V279&lt;&gt;"Net Other Revenue",V279&lt;&gt;"Net Revenue"),1,0)</f>
        <v>0</v>
      </c>
      <c r="Z279" s="36" t="str">
        <f aca="false">IF(Y279=1,IF(AND(LEN(V279)&gt;7,ISNUMBER(VALUE(LEFT(V279,6))),MID(V279,7,1)=" "),LEFT(V279,6),V279),"")</f>
        <v/>
      </c>
      <c r="AE279" s="36" t="str">
        <f aca="false">TRIM(AB279)</f>
        <v/>
      </c>
      <c r="AF279" s="36" t="str">
        <f aca="false">IF(AE279="Revenue","Revenue",IF(AE279="Cost of Goods Sold","COGS",IF(AE279="Expenditures","Expense",IF(AE279="Other Revenue","Other Revenue",IF(AE279="Other Expenditures","Other Expense",AF278)))))</f>
        <v/>
      </c>
      <c r="AG279" s="36" t="str">
        <f aca="false">IF(OR(AE279="Revenue",AE279="Cost of Goods Sold",AE279="Expenditures",AE279="Other Revenue",AE279="Other Expenditures"),AF279,IF(AND(LEN(AE279)&gt;2,MID(AE279,2,1)=" ",ISNUMBER(VALUE(LEFT(AE279,1)))),AE279,AG278))</f>
        <v/>
      </c>
      <c r="AH279" s="36" t="n">
        <f aca="false">IF(AND(AE279&lt;&gt;"",ISNUMBER(AC279),LEFT(AE279,9)&lt;&gt;"Total for",AE279&lt;&gt;"Gross Profit",AE279&lt;&gt;"Net Operating Revenue",AE279&lt;&gt;"Net Other Revenue",AE279&lt;&gt;"Net Revenue"),1,0)</f>
        <v>0</v>
      </c>
      <c r="AI279" s="36" t="str">
        <f aca="false">IF(AH279=1,IF(AND(LEN(AE279)&gt;7,ISNUMBER(VALUE(LEFT(AE279,6))),MID(AE279,7,1)=" "),LEFT(AE279,6),AE279),"")</f>
        <v/>
      </c>
      <c r="AN279" s="36" t="str">
        <f aca="false">TRIM(AK279)</f>
        <v/>
      </c>
      <c r="AO279" s="36" t="str">
        <f aca="false">IF(AN279="Revenue","Revenue",IF(AN279="Cost of Goods Sold","COGS",IF(AN279="Expenditures","Expense",IF(AN279="Other Revenue","Other Revenue",IF(AN279="Other Expenditures","Other Expense",AO278)))))</f>
        <v/>
      </c>
      <c r="AP279" s="36" t="str">
        <f aca="false">IF(OR(AN279="Revenue",AN279="Cost of Goods Sold",AN279="Expenditures",AN279="Other Revenue",AN279="Other Expenditures"),AO279,IF(AND(LEN(AN279)&gt;2,MID(AN279,2,1)=" ",ISNUMBER(VALUE(LEFT(AN279,1)))),AN279,AP278))</f>
        <v/>
      </c>
      <c r="AQ279" s="36" t="n">
        <f aca="false">IF(AND(AN279&lt;&gt;"",ISNUMBER(AL279),LEFT(AN279,9)&lt;&gt;"Total for",AN279&lt;&gt;"Gross Profit",AN279&lt;&gt;"Net Operating Revenue",AN279&lt;&gt;"Net Other Revenue",AN279&lt;&gt;"Net Revenue"),1,0)</f>
        <v>0</v>
      </c>
      <c r="AR279" s="36" t="str">
        <f aca="false">IF(AQ279=1,IF(AND(LEN(AN279)&gt;7,ISNUMBER(VALUE(LEFT(AN279,6))),MID(AN279,7,1)=" "),LEFT(AN279,6),AN279),"")</f>
        <v/>
      </c>
    </row>
    <row r="280" customFormat="false" ht="15" hidden="false" customHeight="false" outlineLevel="0" collapsed="false">
      <c r="D280" s="36" t="str">
        <f aca="false">TRIM(A280)</f>
        <v/>
      </c>
      <c r="E280" s="36" t="str">
        <f aca="false">IF(D280="Revenue","Revenue",IF(D280="Cost of Goods Sold","COGS",IF(D280="Expenditures","Expense",IF(D280="Other Revenue","Other Revenue",IF(D280="Other Expenditures","Other Expense",E279)))))</f>
        <v/>
      </c>
      <c r="F280" s="36" t="str">
        <f aca="false">IF(OR(D280="Revenue",D280="Cost of Goods Sold",D280="Expenditures",D280="Other Revenue",D280="Other Expenditures"),E280,IF(AND(LEN(D280)&gt;2,MID(D280,2,1)=" ",ISNUMBER(VALUE(LEFT(D280,1)))),D280,F279))</f>
        <v/>
      </c>
      <c r="G280" s="36" t="n">
        <f aca="false">IF(AND(D280&lt;&gt;"",ISNUMBER(B280),LEFT(D280,9)&lt;&gt;"Total for",D280&lt;&gt;"Gross Profit",D280&lt;&gt;"Net Operating Revenue",D280&lt;&gt;"Net Other Revenue",D280&lt;&gt;"Net Revenue"),1,0)</f>
        <v>0</v>
      </c>
      <c r="H280" s="36" t="str">
        <f aca="false">IF(G280=1,IF(AND(LEN(D280)&gt;7,ISNUMBER(VALUE(LEFT(D280,6))),MID(D280,7,1)=" "),LEFT(D280,6),D280),"")</f>
        <v/>
      </c>
      <c r="M280" s="36" t="str">
        <f aca="false">TRIM(J280)</f>
        <v/>
      </c>
      <c r="N280" s="36" t="str">
        <f aca="false">IF(M280="Revenue","Revenue",IF(M280="Cost of Goods Sold","COGS",IF(M280="Expenditures","Expense",IF(M280="Other Revenue","Other Revenue",IF(M280="Other Expenditures","Other Expense",N279)))))</f>
        <v/>
      </c>
      <c r="O280" s="36" t="str">
        <f aca="false">IF(OR(M280="Revenue",M280="Cost of Goods Sold",M280="Expenditures",M280="Other Revenue",M280="Other Expenditures"),N280,IF(AND(LEN(M280)&gt;2,MID(M280,2,1)=" ",ISNUMBER(VALUE(LEFT(M280,1)))),M280,O279))</f>
        <v/>
      </c>
      <c r="P280" s="36" t="n">
        <f aca="false">IF(AND(M280&lt;&gt;"",ISNUMBER(K280),LEFT(M280,9)&lt;&gt;"Total for",M280&lt;&gt;"Gross Profit",M280&lt;&gt;"Net Operating Revenue",M280&lt;&gt;"Net Other Revenue",M280&lt;&gt;"Net Revenue"),1,0)</f>
        <v>0</v>
      </c>
      <c r="Q280" s="36" t="str">
        <f aca="false">IF(P280=1,IF(AND(LEN(M280)&gt;7,ISNUMBER(VALUE(LEFT(M280,6))),MID(M280,7,1)=" "),LEFT(M280,6),M280),"")</f>
        <v/>
      </c>
      <c r="V280" s="36" t="str">
        <f aca="false">TRIM(S280)</f>
        <v/>
      </c>
      <c r="W280" s="36" t="str">
        <f aca="false">IF(V280="Revenue","Revenue",IF(V280="Cost of Goods Sold","COGS",IF(V280="Expenditures","Expense",IF(V280="Other Revenue","Other Revenue",IF(V280="Other Expenditures","Other Expense",W279)))))</f>
        <v/>
      </c>
      <c r="X280" s="36" t="str">
        <f aca="false">IF(OR(V280="Revenue",V280="Cost of Goods Sold",V280="Expenditures",V280="Other Revenue",V280="Other Expenditures"),W280,IF(AND(LEN(V280)&gt;2,MID(V280,2,1)=" ",ISNUMBER(VALUE(LEFT(V280,1)))),V280,X279))</f>
        <v/>
      </c>
      <c r="Y280" s="36" t="n">
        <f aca="false">IF(AND(V280&lt;&gt;"",ISNUMBER(T280),LEFT(V280,9)&lt;&gt;"Total for",V280&lt;&gt;"Gross Profit",V280&lt;&gt;"Net Operating Revenue",V280&lt;&gt;"Net Other Revenue",V280&lt;&gt;"Net Revenue"),1,0)</f>
        <v>0</v>
      </c>
      <c r="Z280" s="36" t="str">
        <f aca="false">IF(Y280=1,IF(AND(LEN(V280)&gt;7,ISNUMBER(VALUE(LEFT(V280,6))),MID(V280,7,1)=" "),LEFT(V280,6),V280),"")</f>
        <v/>
      </c>
      <c r="AE280" s="36" t="str">
        <f aca="false">TRIM(AB280)</f>
        <v/>
      </c>
      <c r="AF280" s="36" t="str">
        <f aca="false">IF(AE280="Revenue","Revenue",IF(AE280="Cost of Goods Sold","COGS",IF(AE280="Expenditures","Expense",IF(AE280="Other Revenue","Other Revenue",IF(AE280="Other Expenditures","Other Expense",AF279)))))</f>
        <v/>
      </c>
      <c r="AG280" s="36" t="str">
        <f aca="false">IF(OR(AE280="Revenue",AE280="Cost of Goods Sold",AE280="Expenditures",AE280="Other Revenue",AE280="Other Expenditures"),AF280,IF(AND(LEN(AE280)&gt;2,MID(AE280,2,1)=" ",ISNUMBER(VALUE(LEFT(AE280,1)))),AE280,AG279))</f>
        <v/>
      </c>
      <c r="AH280" s="36" t="n">
        <f aca="false">IF(AND(AE280&lt;&gt;"",ISNUMBER(AC280),LEFT(AE280,9)&lt;&gt;"Total for",AE280&lt;&gt;"Gross Profit",AE280&lt;&gt;"Net Operating Revenue",AE280&lt;&gt;"Net Other Revenue",AE280&lt;&gt;"Net Revenue"),1,0)</f>
        <v>0</v>
      </c>
      <c r="AI280" s="36" t="str">
        <f aca="false">IF(AH280=1,IF(AND(LEN(AE280)&gt;7,ISNUMBER(VALUE(LEFT(AE280,6))),MID(AE280,7,1)=" "),LEFT(AE280,6),AE280),"")</f>
        <v/>
      </c>
      <c r="AN280" s="36" t="str">
        <f aca="false">TRIM(AK280)</f>
        <v/>
      </c>
      <c r="AO280" s="36" t="str">
        <f aca="false">IF(AN280="Revenue","Revenue",IF(AN280="Cost of Goods Sold","COGS",IF(AN280="Expenditures","Expense",IF(AN280="Other Revenue","Other Revenue",IF(AN280="Other Expenditures","Other Expense",AO279)))))</f>
        <v/>
      </c>
      <c r="AP280" s="36" t="str">
        <f aca="false">IF(OR(AN280="Revenue",AN280="Cost of Goods Sold",AN280="Expenditures",AN280="Other Revenue",AN280="Other Expenditures"),AO280,IF(AND(LEN(AN280)&gt;2,MID(AN280,2,1)=" ",ISNUMBER(VALUE(LEFT(AN280,1)))),AN280,AP279))</f>
        <v/>
      </c>
      <c r="AQ280" s="36" t="n">
        <f aca="false">IF(AND(AN280&lt;&gt;"",ISNUMBER(AL280),LEFT(AN280,9)&lt;&gt;"Total for",AN280&lt;&gt;"Gross Profit",AN280&lt;&gt;"Net Operating Revenue",AN280&lt;&gt;"Net Other Revenue",AN280&lt;&gt;"Net Revenue"),1,0)</f>
        <v>0</v>
      </c>
      <c r="AR280" s="36" t="str">
        <f aca="false">IF(AQ280=1,IF(AND(LEN(AN280)&gt;7,ISNUMBER(VALUE(LEFT(AN280,6))),MID(AN280,7,1)=" "),LEFT(AN280,6),AN280),"")</f>
        <v/>
      </c>
    </row>
    <row r="281" customFormat="false" ht="15" hidden="false" customHeight="false" outlineLevel="0" collapsed="false">
      <c r="D281" s="36" t="str">
        <f aca="false">TRIM(A281)</f>
        <v/>
      </c>
      <c r="E281" s="36" t="str">
        <f aca="false">IF(D281="Revenue","Revenue",IF(D281="Cost of Goods Sold","COGS",IF(D281="Expenditures","Expense",IF(D281="Other Revenue","Other Revenue",IF(D281="Other Expenditures","Other Expense",E280)))))</f>
        <v/>
      </c>
      <c r="F281" s="36" t="str">
        <f aca="false">IF(OR(D281="Revenue",D281="Cost of Goods Sold",D281="Expenditures",D281="Other Revenue",D281="Other Expenditures"),E281,IF(AND(LEN(D281)&gt;2,MID(D281,2,1)=" ",ISNUMBER(VALUE(LEFT(D281,1)))),D281,F280))</f>
        <v/>
      </c>
      <c r="G281" s="36" t="n">
        <f aca="false">IF(AND(D281&lt;&gt;"",ISNUMBER(B281),LEFT(D281,9)&lt;&gt;"Total for",D281&lt;&gt;"Gross Profit",D281&lt;&gt;"Net Operating Revenue",D281&lt;&gt;"Net Other Revenue",D281&lt;&gt;"Net Revenue"),1,0)</f>
        <v>0</v>
      </c>
      <c r="H281" s="36" t="str">
        <f aca="false">IF(G281=1,IF(AND(LEN(D281)&gt;7,ISNUMBER(VALUE(LEFT(D281,6))),MID(D281,7,1)=" "),LEFT(D281,6),D281),"")</f>
        <v/>
      </c>
      <c r="M281" s="36" t="str">
        <f aca="false">TRIM(J281)</f>
        <v/>
      </c>
      <c r="N281" s="36" t="str">
        <f aca="false">IF(M281="Revenue","Revenue",IF(M281="Cost of Goods Sold","COGS",IF(M281="Expenditures","Expense",IF(M281="Other Revenue","Other Revenue",IF(M281="Other Expenditures","Other Expense",N280)))))</f>
        <v/>
      </c>
      <c r="O281" s="36" t="str">
        <f aca="false">IF(OR(M281="Revenue",M281="Cost of Goods Sold",M281="Expenditures",M281="Other Revenue",M281="Other Expenditures"),N281,IF(AND(LEN(M281)&gt;2,MID(M281,2,1)=" ",ISNUMBER(VALUE(LEFT(M281,1)))),M281,O280))</f>
        <v/>
      </c>
      <c r="P281" s="36" t="n">
        <f aca="false">IF(AND(M281&lt;&gt;"",ISNUMBER(K281),LEFT(M281,9)&lt;&gt;"Total for",M281&lt;&gt;"Gross Profit",M281&lt;&gt;"Net Operating Revenue",M281&lt;&gt;"Net Other Revenue",M281&lt;&gt;"Net Revenue"),1,0)</f>
        <v>0</v>
      </c>
      <c r="Q281" s="36" t="str">
        <f aca="false">IF(P281=1,IF(AND(LEN(M281)&gt;7,ISNUMBER(VALUE(LEFT(M281,6))),MID(M281,7,1)=" "),LEFT(M281,6),M281),"")</f>
        <v/>
      </c>
      <c r="V281" s="36" t="str">
        <f aca="false">TRIM(S281)</f>
        <v/>
      </c>
      <c r="W281" s="36" t="str">
        <f aca="false">IF(V281="Revenue","Revenue",IF(V281="Cost of Goods Sold","COGS",IF(V281="Expenditures","Expense",IF(V281="Other Revenue","Other Revenue",IF(V281="Other Expenditures","Other Expense",W280)))))</f>
        <v/>
      </c>
      <c r="X281" s="36" t="str">
        <f aca="false">IF(OR(V281="Revenue",V281="Cost of Goods Sold",V281="Expenditures",V281="Other Revenue",V281="Other Expenditures"),W281,IF(AND(LEN(V281)&gt;2,MID(V281,2,1)=" ",ISNUMBER(VALUE(LEFT(V281,1)))),V281,X280))</f>
        <v/>
      </c>
      <c r="Y281" s="36" t="n">
        <f aca="false">IF(AND(V281&lt;&gt;"",ISNUMBER(T281),LEFT(V281,9)&lt;&gt;"Total for",V281&lt;&gt;"Gross Profit",V281&lt;&gt;"Net Operating Revenue",V281&lt;&gt;"Net Other Revenue",V281&lt;&gt;"Net Revenue"),1,0)</f>
        <v>0</v>
      </c>
      <c r="Z281" s="36" t="str">
        <f aca="false">IF(Y281=1,IF(AND(LEN(V281)&gt;7,ISNUMBER(VALUE(LEFT(V281,6))),MID(V281,7,1)=" "),LEFT(V281,6),V281),"")</f>
        <v/>
      </c>
      <c r="AE281" s="36" t="str">
        <f aca="false">TRIM(AB281)</f>
        <v/>
      </c>
      <c r="AF281" s="36" t="str">
        <f aca="false">IF(AE281="Revenue","Revenue",IF(AE281="Cost of Goods Sold","COGS",IF(AE281="Expenditures","Expense",IF(AE281="Other Revenue","Other Revenue",IF(AE281="Other Expenditures","Other Expense",AF280)))))</f>
        <v/>
      </c>
      <c r="AG281" s="36" t="str">
        <f aca="false">IF(OR(AE281="Revenue",AE281="Cost of Goods Sold",AE281="Expenditures",AE281="Other Revenue",AE281="Other Expenditures"),AF281,IF(AND(LEN(AE281)&gt;2,MID(AE281,2,1)=" ",ISNUMBER(VALUE(LEFT(AE281,1)))),AE281,AG280))</f>
        <v/>
      </c>
      <c r="AH281" s="36" t="n">
        <f aca="false">IF(AND(AE281&lt;&gt;"",ISNUMBER(AC281),LEFT(AE281,9)&lt;&gt;"Total for",AE281&lt;&gt;"Gross Profit",AE281&lt;&gt;"Net Operating Revenue",AE281&lt;&gt;"Net Other Revenue",AE281&lt;&gt;"Net Revenue"),1,0)</f>
        <v>0</v>
      </c>
      <c r="AI281" s="36" t="str">
        <f aca="false">IF(AH281=1,IF(AND(LEN(AE281)&gt;7,ISNUMBER(VALUE(LEFT(AE281,6))),MID(AE281,7,1)=" "),LEFT(AE281,6),AE281),"")</f>
        <v/>
      </c>
      <c r="AN281" s="36" t="str">
        <f aca="false">TRIM(AK281)</f>
        <v/>
      </c>
      <c r="AO281" s="36" t="str">
        <f aca="false">IF(AN281="Revenue","Revenue",IF(AN281="Cost of Goods Sold","COGS",IF(AN281="Expenditures","Expense",IF(AN281="Other Revenue","Other Revenue",IF(AN281="Other Expenditures","Other Expense",AO280)))))</f>
        <v/>
      </c>
      <c r="AP281" s="36" t="str">
        <f aca="false">IF(OR(AN281="Revenue",AN281="Cost of Goods Sold",AN281="Expenditures",AN281="Other Revenue",AN281="Other Expenditures"),AO281,IF(AND(LEN(AN281)&gt;2,MID(AN281,2,1)=" ",ISNUMBER(VALUE(LEFT(AN281,1)))),AN281,AP280))</f>
        <v/>
      </c>
      <c r="AQ281" s="36" t="n">
        <f aca="false">IF(AND(AN281&lt;&gt;"",ISNUMBER(AL281),LEFT(AN281,9)&lt;&gt;"Total for",AN281&lt;&gt;"Gross Profit",AN281&lt;&gt;"Net Operating Revenue",AN281&lt;&gt;"Net Other Revenue",AN281&lt;&gt;"Net Revenue"),1,0)</f>
        <v>0</v>
      </c>
      <c r="AR281" s="36" t="str">
        <f aca="false">IF(AQ281=1,IF(AND(LEN(AN281)&gt;7,ISNUMBER(VALUE(LEFT(AN281,6))),MID(AN281,7,1)=" "),LEFT(AN281,6),AN281),"")</f>
        <v/>
      </c>
    </row>
    <row r="282" customFormat="false" ht="15" hidden="false" customHeight="false" outlineLevel="0" collapsed="false">
      <c r="D282" s="36" t="str">
        <f aca="false">TRIM(A282)</f>
        <v/>
      </c>
      <c r="E282" s="36" t="str">
        <f aca="false">IF(D282="Revenue","Revenue",IF(D282="Cost of Goods Sold","COGS",IF(D282="Expenditures","Expense",IF(D282="Other Revenue","Other Revenue",IF(D282="Other Expenditures","Other Expense",E281)))))</f>
        <v/>
      </c>
      <c r="F282" s="36" t="str">
        <f aca="false">IF(OR(D282="Revenue",D282="Cost of Goods Sold",D282="Expenditures",D282="Other Revenue",D282="Other Expenditures"),E282,IF(AND(LEN(D282)&gt;2,MID(D282,2,1)=" ",ISNUMBER(VALUE(LEFT(D282,1)))),D282,F281))</f>
        <v/>
      </c>
      <c r="G282" s="36" t="n">
        <f aca="false">IF(AND(D282&lt;&gt;"",ISNUMBER(B282),LEFT(D282,9)&lt;&gt;"Total for",D282&lt;&gt;"Gross Profit",D282&lt;&gt;"Net Operating Revenue",D282&lt;&gt;"Net Other Revenue",D282&lt;&gt;"Net Revenue"),1,0)</f>
        <v>0</v>
      </c>
      <c r="H282" s="36" t="str">
        <f aca="false">IF(G282=1,IF(AND(LEN(D282)&gt;7,ISNUMBER(VALUE(LEFT(D282,6))),MID(D282,7,1)=" "),LEFT(D282,6),D282),"")</f>
        <v/>
      </c>
      <c r="M282" s="36" t="str">
        <f aca="false">TRIM(J282)</f>
        <v/>
      </c>
      <c r="N282" s="36" t="str">
        <f aca="false">IF(M282="Revenue","Revenue",IF(M282="Cost of Goods Sold","COGS",IF(M282="Expenditures","Expense",IF(M282="Other Revenue","Other Revenue",IF(M282="Other Expenditures","Other Expense",N281)))))</f>
        <v/>
      </c>
      <c r="O282" s="36" t="str">
        <f aca="false">IF(OR(M282="Revenue",M282="Cost of Goods Sold",M282="Expenditures",M282="Other Revenue",M282="Other Expenditures"),N282,IF(AND(LEN(M282)&gt;2,MID(M282,2,1)=" ",ISNUMBER(VALUE(LEFT(M282,1)))),M282,O281))</f>
        <v/>
      </c>
      <c r="P282" s="36" t="n">
        <f aca="false">IF(AND(M282&lt;&gt;"",ISNUMBER(K282),LEFT(M282,9)&lt;&gt;"Total for",M282&lt;&gt;"Gross Profit",M282&lt;&gt;"Net Operating Revenue",M282&lt;&gt;"Net Other Revenue",M282&lt;&gt;"Net Revenue"),1,0)</f>
        <v>0</v>
      </c>
      <c r="Q282" s="36" t="str">
        <f aca="false">IF(P282=1,IF(AND(LEN(M282)&gt;7,ISNUMBER(VALUE(LEFT(M282,6))),MID(M282,7,1)=" "),LEFT(M282,6),M282),"")</f>
        <v/>
      </c>
      <c r="V282" s="36" t="str">
        <f aca="false">TRIM(S282)</f>
        <v/>
      </c>
      <c r="W282" s="36" t="str">
        <f aca="false">IF(V282="Revenue","Revenue",IF(V282="Cost of Goods Sold","COGS",IF(V282="Expenditures","Expense",IF(V282="Other Revenue","Other Revenue",IF(V282="Other Expenditures","Other Expense",W281)))))</f>
        <v/>
      </c>
      <c r="X282" s="36" t="str">
        <f aca="false">IF(OR(V282="Revenue",V282="Cost of Goods Sold",V282="Expenditures",V282="Other Revenue",V282="Other Expenditures"),W282,IF(AND(LEN(V282)&gt;2,MID(V282,2,1)=" ",ISNUMBER(VALUE(LEFT(V282,1)))),V282,X281))</f>
        <v/>
      </c>
      <c r="Y282" s="36" t="n">
        <f aca="false">IF(AND(V282&lt;&gt;"",ISNUMBER(T282),LEFT(V282,9)&lt;&gt;"Total for",V282&lt;&gt;"Gross Profit",V282&lt;&gt;"Net Operating Revenue",V282&lt;&gt;"Net Other Revenue",V282&lt;&gt;"Net Revenue"),1,0)</f>
        <v>0</v>
      </c>
      <c r="Z282" s="36" t="str">
        <f aca="false">IF(Y282=1,IF(AND(LEN(V282)&gt;7,ISNUMBER(VALUE(LEFT(V282,6))),MID(V282,7,1)=" "),LEFT(V282,6),V282),"")</f>
        <v/>
      </c>
      <c r="AE282" s="36" t="str">
        <f aca="false">TRIM(AB282)</f>
        <v/>
      </c>
      <c r="AF282" s="36" t="str">
        <f aca="false">IF(AE282="Revenue","Revenue",IF(AE282="Cost of Goods Sold","COGS",IF(AE282="Expenditures","Expense",IF(AE282="Other Revenue","Other Revenue",IF(AE282="Other Expenditures","Other Expense",AF281)))))</f>
        <v/>
      </c>
      <c r="AG282" s="36" t="str">
        <f aca="false">IF(OR(AE282="Revenue",AE282="Cost of Goods Sold",AE282="Expenditures",AE282="Other Revenue",AE282="Other Expenditures"),AF282,IF(AND(LEN(AE282)&gt;2,MID(AE282,2,1)=" ",ISNUMBER(VALUE(LEFT(AE282,1)))),AE282,AG281))</f>
        <v/>
      </c>
      <c r="AH282" s="36" t="n">
        <f aca="false">IF(AND(AE282&lt;&gt;"",ISNUMBER(AC282),LEFT(AE282,9)&lt;&gt;"Total for",AE282&lt;&gt;"Gross Profit",AE282&lt;&gt;"Net Operating Revenue",AE282&lt;&gt;"Net Other Revenue",AE282&lt;&gt;"Net Revenue"),1,0)</f>
        <v>0</v>
      </c>
      <c r="AI282" s="36" t="str">
        <f aca="false">IF(AH282=1,IF(AND(LEN(AE282)&gt;7,ISNUMBER(VALUE(LEFT(AE282,6))),MID(AE282,7,1)=" "),LEFT(AE282,6),AE282),"")</f>
        <v/>
      </c>
      <c r="AN282" s="36" t="str">
        <f aca="false">TRIM(AK282)</f>
        <v/>
      </c>
      <c r="AO282" s="36" t="str">
        <f aca="false">IF(AN282="Revenue","Revenue",IF(AN282="Cost of Goods Sold","COGS",IF(AN282="Expenditures","Expense",IF(AN282="Other Revenue","Other Revenue",IF(AN282="Other Expenditures","Other Expense",AO281)))))</f>
        <v/>
      </c>
      <c r="AP282" s="36" t="str">
        <f aca="false">IF(OR(AN282="Revenue",AN282="Cost of Goods Sold",AN282="Expenditures",AN282="Other Revenue",AN282="Other Expenditures"),AO282,IF(AND(LEN(AN282)&gt;2,MID(AN282,2,1)=" ",ISNUMBER(VALUE(LEFT(AN282,1)))),AN282,AP281))</f>
        <v/>
      </c>
      <c r="AQ282" s="36" t="n">
        <f aca="false">IF(AND(AN282&lt;&gt;"",ISNUMBER(AL282),LEFT(AN282,9)&lt;&gt;"Total for",AN282&lt;&gt;"Gross Profit",AN282&lt;&gt;"Net Operating Revenue",AN282&lt;&gt;"Net Other Revenue",AN282&lt;&gt;"Net Revenue"),1,0)</f>
        <v>0</v>
      </c>
      <c r="AR282" s="36" t="str">
        <f aca="false">IF(AQ282=1,IF(AND(LEN(AN282)&gt;7,ISNUMBER(VALUE(LEFT(AN282,6))),MID(AN282,7,1)=" "),LEFT(AN282,6),AN282),"")</f>
        <v/>
      </c>
    </row>
    <row r="283" customFormat="false" ht="15" hidden="false" customHeight="false" outlineLevel="0" collapsed="false">
      <c r="D283" s="36" t="str">
        <f aca="false">TRIM(A283)</f>
        <v/>
      </c>
      <c r="E283" s="36" t="str">
        <f aca="false">IF(D283="Revenue","Revenue",IF(D283="Cost of Goods Sold","COGS",IF(D283="Expenditures","Expense",IF(D283="Other Revenue","Other Revenue",IF(D283="Other Expenditures","Other Expense",E282)))))</f>
        <v/>
      </c>
      <c r="F283" s="36" t="str">
        <f aca="false">IF(OR(D283="Revenue",D283="Cost of Goods Sold",D283="Expenditures",D283="Other Revenue",D283="Other Expenditures"),E283,IF(AND(LEN(D283)&gt;2,MID(D283,2,1)=" ",ISNUMBER(VALUE(LEFT(D283,1)))),D283,F282))</f>
        <v/>
      </c>
      <c r="G283" s="36" t="n">
        <f aca="false">IF(AND(D283&lt;&gt;"",ISNUMBER(B283),LEFT(D283,9)&lt;&gt;"Total for",D283&lt;&gt;"Gross Profit",D283&lt;&gt;"Net Operating Revenue",D283&lt;&gt;"Net Other Revenue",D283&lt;&gt;"Net Revenue"),1,0)</f>
        <v>0</v>
      </c>
      <c r="H283" s="36" t="str">
        <f aca="false">IF(G283=1,IF(AND(LEN(D283)&gt;7,ISNUMBER(VALUE(LEFT(D283,6))),MID(D283,7,1)=" "),LEFT(D283,6),D283),"")</f>
        <v/>
      </c>
      <c r="M283" s="36" t="str">
        <f aca="false">TRIM(J283)</f>
        <v/>
      </c>
      <c r="N283" s="36" t="str">
        <f aca="false">IF(M283="Revenue","Revenue",IF(M283="Cost of Goods Sold","COGS",IF(M283="Expenditures","Expense",IF(M283="Other Revenue","Other Revenue",IF(M283="Other Expenditures","Other Expense",N282)))))</f>
        <v/>
      </c>
      <c r="O283" s="36" t="str">
        <f aca="false">IF(OR(M283="Revenue",M283="Cost of Goods Sold",M283="Expenditures",M283="Other Revenue",M283="Other Expenditures"),N283,IF(AND(LEN(M283)&gt;2,MID(M283,2,1)=" ",ISNUMBER(VALUE(LEFT(M283,1)))),M283,O282))</f>
        <v/>
      </c>
      <c r="P283" s="36" t="n">
        <f aca="false">IF(AND(M283&lt;&gt;"",ISNUMBER(K283),LEFT(M283,9)&lt;&gt;"Total for",M283&lt;&gt;"Gross Profit",M283&lt;&gt;"Net Operating Revenue",M283&lt;&gt;"Net Other Revenue",M283&lt;&gt;"Net Revenue"),1,0)</f>
        <v>0</v>
      </c>
      <c r="Q283" s="36" t="str">
        <f aca="false">IF(P283=1,IF(AND(LEN(M283)&gt;7,ISNUMBER(VALUE(LEFT(M283,6))),MID(M283,7,1)=" "),LEFT(M283,6),M283),"")</f>
        <v/>
      </c>
      <c r="V283" s="36" t="str">
        <f aca="false">TRIM(S283)</f>
        <v/>
      </c>
      <c r="W283" s="36" t="str">
        <f aca="false">IF(V283="Revenue","Revenue",IF(V283="Cost of Goods Sold","COGS",IF(V283="Expenditures","Expense",IF(V283="Other Revenue","Other Revenue",IF(V283="Other Expenditures","Other Expense",W282)))))</f>
        <v/>
      </c>
      <c r="X283" s="36" t="str">
        <f aca="false">IF(OR(V283="Revenue",V283="Cost of Goods Sold",V283="Expenditures",V283="Other Revenue",V283="Other Expenditures"),W283,IF(AND(LEN(V283)&gt;2,MID(V283,2,1)=" ",ISNUMBER(VALUE(LEFT(V283,1)))),V283,X282))</f>
        <v/>
      </c>
      <c r="Y283" s="36" t="n">
        <f aca="false">IF(AND(V283&lt;&gt;"",ISNUMBER(T283),LEFT(V283,9)&lt;&gt;"Total for",V283&lt;&gt;"Gross Profit",V283&lt;&gt;"Net Operating Revenue",V283&lt;&gt;"Net Other Revenue",V283&lt;&gt;"Net Revenue"),1,0)</f>
        <v>0</v>
      </c>
      <c r="Z283" s="36" t="str">
        <f aca="false">IF(Y283=1,IF(AND(LEN(V283)&gt;7,ISNUMBER(VALUE(LEFT(V283,6))),MID(V283,7,1)=" "),LEFT(V283,6),V283),"")</f>
        <v/>
      </c>
      <c r="AE283" s="36" t="str">
        <f aca="false">TRIM(AB283)</f>
        <v/>
      </c>
      <c r="AF283" s="36" t="str">
        <f aca="false">IF(AE283="Revenue","Revenue",IF(AE283="Cost of Goods Sold","COGS",IF(AE283="Expenditures","Expense",IF(AE283="Other Revenue","Other Revenue",IF(AE283="Other Expenditures","Other Expense",AF282)))))</f>
        <v/>
      </c>
      <c r="AG283" s="36" t="str">
        <f aca="false">IF(OR(AE283="Revenue",AE283="Cost of Goods Sold",AE283="Expenditures",AE283="Other Revenue",AE283="Other Expenditures"),AF283,IF(AND(LEN(AE283)&gt;2,MID(AE283,2,1)=" ",ISNUMBER(VALUE(LEFT(AE283,1)))),AE283,AG282))</f>
        <v/>
      </c>
      <c r="AH283" s="36" t="n">
        <f aca="false">IF(AND(AE283&lt;&gt;"",ISNUMBER(AC283),LEFT(AE283,9)&lt;&gt;"Total for",AE283&lt;&gt;"Gross Profit",AE283&lt;&gt;"Net Operating Revenue",AE283&lt;&gt;"Net Other Revenue",AE283&lt;&gt;"Net Revenue"),1,0)</f>
        <v>0</v>
      </c>
      <c r="AI283" s="36" t="str">
        <f aca="false">IF(AH283=1,IF(AND(LEN(AE283)&gt;7,ISNUMBER(VALUE(LEFT(AE283,6))),MID(AE283,7,1)=" "),LEFT(AE283,6),AE283),"")</f>
        <v/>
      </c>
      <c r="AN283" s="36" t="str">
        <f aca="false">TRIM(AK283)</f>
        <v/>
      </c>
      <c r="AO283" s="36" t="str">
        <f aca="false">IF(AN283="Revenue","Revenue",IF(AN283="Cost of Goods Sold","COGS",IF(AN283="Expenditures","Expense",IF(AN283="Other Revenue","Other Revenue",IF(AN283="Other Expenditures","Other Expense",AO282)))))</f>
        <v/>
      </c>
      <c r="AP283" s="36" t="str">
        <f aca="false">IF(OR(AN283="Revenue",AN283="Cost of Goods Sold",AN283="Expenditures",AN283="Other Revenue",AN283="Other Expenditures"),AO283,IF(AND(LEN(AN283)&gt;2,MID(AN283,2,1)=" ",ISNUMBER(VALUE(LEFT(AN283,1)))),AN283,AP282))</f>
        <v/>
      </c>
      <c r="AQ283" s="36" t="n">
        <f aca="false">IF(AND(AN283&lt;&gt;"",ISNUMBER(AL283),LEFT(AN283,9)&lt;&gt;"Total for",AN283&lt;&gt;"Gross Profit",AN283&lt;&gt;"Net Operating Revenue",AN283&lt;&gt;"Net Other Revenue",AN283&lt;&gt;"Net Revenue"),1,0)</f>
        <v>0</v>
      </c>
      <c r="AR283" s="36" t="str">
        <f aca="false">IF(AQ283=1,IF(AND(LEN(AN283)&gt;7,ISNUMBER(VALUE(LEFT(AN283,6))),MID(AN283,7,1)=" "),LEFT(AN283,6),AN283),"")</f>
        <v/>
      </c>
    </row>
    <row r="284" customFormat="false" ht="15" hidden="false" customHeight="false" outlineLevel="0" collapsed="false">
      <c r="D284" s="36" t="str">
        <f aca="false">TRIM(A284)</f>
        <v/>
      </c>
      <c r="E284" s="36" t="str">
        <f aca="false">IF(D284="Revenue","Revenue",IF(D284="Cost of Goods Sold","COGS",IF(D284="Expenditures","Expense",IF(D284="Other Revenue","Other Revenue",IF(D284="Other Expenditures","Other Expense",E283)))))</f>
        <v/>
      </c>
      <c r="F284" s="36" t="str">
        <f aca="false">IF(OR(D284="Revenue",D284="Cost of Goods Sold",D284="Expenditures",D284="Other Revenue",D284="Other Expenditures"),E284,IF(AND(LEN(D284)&gt;2,MID(D284,2,1)=" ",ISNUMBER(VALUE(LEFT(D284,1)))),D284,F283))</f>
        <v/>
      </c>
      <c r="G284" s="36" t="n">
        <f aca="false">IF(AND(D284&lt;&gt;"",ISNUMBER(B284),LEFT(D284,9)&lt;&gt;"Total for",D284&lt;&gt;"Gross Profit",D284&lt;&gt;"Net Operating Revenue",D284&lt;&gt;"Net Other Revenue",D284&lt;&gt;"Net Revenue"),1,0)</f>
        <v>0</v>
      </c>
      <c r="H284" s="36" t="str">
        <f aca="false">IF(G284=1,IF(AND(LEN(D284)&gt;7,ISNUMBER(VALUE(LEFT(D284,6))),MID(D284,7,1)=" "),LEFT(D284,6),D284),"")</f>
        <v/>
      </c>
      <c r="M284" s="36" t="str">
        <f aca="false">TRIM(J284)</f>
        <v/>
      </c>
      <c r="N284" s="36" t="str">
        <f aca="false">IF(M284="Revenue","Revenue",IF(M284="Cost of Goods Sold","COGS",IF(M284="Expenditures","Expense",IF(M284="Other Revenue","Other Revenue",IF(M284="Other Expenditures","Other Expense",N283)))))</f>
        <v/>
      </c>
      <c r="O284" s="36" t="str">
        <f aca="false">IF(OR(M284="Revenue",M284="Cost of Goods Sold",M284="Expenditures",M284="Other Revenue",M284="Other Expenditures"),N284,IF(AND(LEN(M284)&gt;2,MID(M284,2,1)=" ",ISNUMBER(VALUE(LEFT(M284,1)))),M284,O283))</f>
        <v/>
      </c>
      <c r="P284" s="36" t="n">
        <f aca="false">IF(AND(M284&lt;&gt;"",ISNUMBER(K284),LEFT(M284,9)&lt;&gt;"Total for",M284&lt;&gt;"Gross Profit",M284&lt;&gt;"Net Operating Revenue",M284&lt;&gt;"Net Other Revenue",M284&lt;&gt;"Net Revenue"),1,0)</f>
        <v>0</v>
      </c>
      <c r="Q284" s="36" t="str">
        <f aca="false">IF(P284=1,IF(AND(LEN(M284)&gt;7,ISNUMBER(VALUE(LEFT(M284,6))),MID(M284,7,1)=" "),LEFT(M284,6),M284),"")</f>
        <v/>
      </c>
      <c r="V284" s="36" t="str">
        <f aca="false">TRIM(S284)</f>
        <v/>
      </c>
      <c r="W284" s="36" t="str">
        <f aca="false">IF(V284="Revenue","Revenue",IF(V284="Cost of Goods Sold","COGS",IF(V284="Expenditures","Expense",IF(V284="Other Revenue","Other Revenue",IF(V284="Other Expenditures","Other Expense",W283)))))</f>
        <v/>
      </c>
      <c r="X284" s="36" t="str">
        <f aca="false">IF(OR(V284="Revenue",V284="Cost of Goods Sold",V284="Expenditures",V284="Other Revenue",V284="Other Expenditures"),W284,IF(AND(LEN(V284)&gt;2,MID(V284,2,1)=" ",ISNUMBER(VALUE(LEFT(V284,1)))),V284,X283))</f>
        <v/>
      </c>
      <c r="Y284" s="36" t="n">
        <f aca="false">IF(AND(V284&lt;&gt;"",ISNUMBER(T284),LEFT(V284,9)&lt;&gt;"Total for",V284&lt;&gt;"Gross Profit",V284&lt;&gt;"Net Operating Revenue",V284&lt;&gt;"Net Other Revenue",V284&lt;&gt;"Net Revenue"),1,0)</f>
        <v>0</v>
      </c>
      <c r="Z284" s="36" t="str">
        <f aca="false">IF(Y284=1,IF(AND(LEN(V284)&gt;7,ISNUMBER(VALUE(LEFT(V284,6))),MID(V284,7,1)=" "),LEFT(V284,6),V284),"")</f>
        <v/>
      </c>
      <c r="AE284" s="36" t="str">
        <f aca="false">TRIM(AB284)</f>
        <v/>
      </c>
      <c r="AF284" s="36" t="str">
        <f aca="false">IF(AE284="Revenue","Revenue",IF(AE284="Cost of Goods Sold","COGS",IF(AE284="Expenditures","Expense",IF(AE284="Other Revenue","Other Revenue",IF(AE284="Other Expenditures","Other Expense",AF283)))))</f>
        <v/>
      </c>
      <c r="AG284" s="36" t="str">
        <f aca="false">IF(OR(AE284="Revenue",AE284="Cost of Goods Sold",AE284="Expenditures",AE284="Other Revenue",AE284="Other Expenditures"),AF284,IF(AND(LEN(AE284)&gt;2,MID(AE284,2,1)=" ",ISNUMBER(VALUE(LEFT(AE284,1)))),AE284,AG283))</f>
        <v/>
      </c>
      <c r="AH284" s="36" t="n">
        <f aca="false">IF(AND(AE284&lt;&gt;"",ISNUMBER(AC284),LEFT(AE284,9)&lt;&gt;"Total for",AE284&lt;&gt;"Gross Profit",AE284&lt;&gt;"Net Operating Revenue",AE284&lt;&gt;"Net Other Revenue",AE284&lt;&gt;"Net Revenue"),1,0)</f>
        <v>0</v>
      </c>
      <c r="AI284" s="36" t="str">
        <f aca="false">IF(AH284=1,IF(AND(LEN(AE284)&gt;7,ISNUMBER(VALUE(LEFT(AE284,6))),MID(AE284,7,1)=" "),LEFT(AE284,6),AE284),"")</f>
        <v/>
      </c>
      <c r="AN284" s="36" t="str">
        <f aca="false">TRIM(AK284)</f>
        <v/>
      </c>
      <c r="AO284" s="36" t="str">
        <f aca="false">IF(AN284="Revenue","Revenue",IF(AN284="Cost of Goods Sold","COGS",IF(AN284="Expenditures","Expense",IF(AN284="Other Revenue","Other Revenue",IF(AN284="Other Expenditures","Other Expense",AO283)))))</f>
        <v/>
      </c>
      <c r="AP284" s="36" t="str">
        <f aca="false">IF(OR(AN284="Revenue",AN284="Cost of Goods Sold",AN284="Expenditures",AN284="Other Revenue",AN284="Other Expenditures"),AO284,IF(AND(LEN(AN284)&gt;2,MID(AN284,2,1)=" ",ISNUMBER(VALUE(LEFT(AN284,1)))),AN284,AP283))</f>
        <v/>
      </c>
      <c r="AQ284" s="36" t="n">
        <f aca="false">IF(AND(AN284&lt;&gt;"",ISNUMBER(AL284),LEFT(AN284,9)&lt;&gt;"Total for",AN284&lt;&gt;"Gross Profit",AN284&lt;&gt;"Net Operating Revenue",AN284&lt;&gt;"Net Other Revenue",AN284&lt;&gt;"Net Revenue"),1,0)</f>
        <v>0</v>
      </c>
      <c r="AR284" s="36" t="str">
        <f aca="false">IF(AQ284=1,IF(AND(LEN(AN284)&gt;7,ISNUMBER(VALUE(LEFT(AN284,6))),MID(AN284,7,1)=" "),LEFT(AN284,6),AN284),"")</f>
        <v/>
      </c>
    </row>
    <row r="285" customFormat="false" ht="15" hidden="false" customHeight="false" outlineLevel="0" collapsed="false">
      <c r="D285" s="36" t="str">
        <f aca="false">TRIM(A285)</f>
        <v/>
      </c>
      <c r="E285" s="36" t="str">
        <f aca="false">IF(D285="Revenue","Revenue",IF(D285="Cost of Goods Sold","COGS",IF(D285="Expenditures","Expense",IF(D285="Other Revenue","Other Revenue",IF(D285="Other Expenditures","Other Expense",E284)))))</f>
        <v/>
      </c>
      <c r="F285" s="36" t="str">
        <f aca="false">IF(OR(D285="Revenue",D285="Cost of Goods Sold",D285="Expenditures",D285="Other Revenue",D285="Other Expenditures"),E285,IF(AND(LEN(D285)&gt;2,MID(D285,2,1)=" ",ISNUMBER(VALUE(LEFT(D285,1)))),D285,F284))</f>
        <v/>
      </c>
      <c r="G285" s="36" t="n">
        <f aca="false">IF(AND(D285&lt;&gt;"",ISNUMBER(B285),LEFT(D285,9)&lt;&gt;"Total for",D285&lt;&gt;"Gross Profit",D285&lt;&gt;"Net Operating Revenue",D285&lt;&gt;"Net Other Revenue",D285&lt;&gt;"Net Revenue"),1,0)</f>
        <v>0</v>
      </c>
      <c r="H285" s="36" t="str">
        <f aca="false">IF(G285=1,IF(AND(LEN(D285)&gt;7,ISNUMBER(VALUE(LEFT(D285,6))),MID(D285,7,1)=" "),LEFT(D285,6),D285),"")</f>
        <v/>
      </c>
      <c r="M285" s="36" t="str">
        <f aca="false">TRIM(J285)</f>
        <v/>
      </c>
      <c r="N285" s="36" t="str">
        <f aca="false">IF(M285="Revenue","Revenue",IF(M285="Cost of Goods Sold","COGS",IF(M285="Expenditures","Expense",IF(M285="Other Revenue","Other Revenue",IF(M285="Other Expenditures","Other Expense",N284)))))</f>
        <v/>
      </c>
      <c r="O285" s="36" t="str">
        <f aca="false">IF(OR(M285="Revenue",M285="Cost of Goods Sold",M285="Expenditures",M285="Other Revenue",M285="Other Expenditures"),N285,IF(AND(LEN(M285)&gt;2,MID(M285,2,1)=" ",ISNUMBER(VALUE(LEFT(M285,1)))),M285,O284))</f>
        <v/>
      </c>
      <c r="P285" s="36" t="n">
        <f aca="false">IF(AND(M285&lt;&gt;"",ISNUMBER(K285),LEFT(M285,9)&lt;&gt;"Total for",M285&lt;&gt;"Gross Profit",M285&lt;&gt;"Net Operating Revenue",M285&lt;&gt;"Net Other Revenue",M285&lt;&gt;"Net Revenue"),1,0)</f>
        <v>0</v>
      </c>
      <c r="Q285" s="36" t="str">
        <f aca="false">IF(P285=1,IF(AND(LEN(M285)&gt;7,ISNUMBER(VALUE(LEFT(M285,6))),MID(M285,7,1)=" "),LEFT(M285,6),M285),"")</f>
        <v/>
      </c>
      <c r="V285" s="36" t="str">
        <f aca="false">TRIM(S285)</f>
        <v/>
      </c>
      <c r="W285" s="36" t="str">
        <f aca="false">IF(V285="Revenue","Revenue",IF(V285="Cost of Goods Sold","COGS",IF(V285="Expenditures","Expense",IF(V285="Other Revenue","Other Revenue",IF(V285="Other Expenditures","Other Expense",W284)))))</f>
        <v/>
      </c>
      <c r="X285" s="36" t="str">
        <f aca="false">IF(OR(V285="Revenue",V285="Cost of Goods Sold",V285="Expenditures",V285="Other Revenue",V285="Other Expenditures"),W285,IF(AND(LEN(V285)&gt;2,MID(V285,2,1)=" ",ISNUMBER(VALUE(LEFT(V285,1)))),V285,X284))</f>
        <v/>
      </c>
      <c r="Y285" s="36" t="n">
        <f aca="false">IF(AND(V285&lt;&gt;"",ISNUMBER(T285),LEFT(V285,9)&lt;&gt;"Total for",V285&lt;&gt;"Gross Profit",V285&lt;&gt;"Net Operating Revenue",V285&lt;&gt;"Net Other Revenue",V285&lt;&gt;"Net Revenue"),1,0)</f>
        <v>0</v>
      </c>
      <c r="Z285" s="36" t="str">
        <f aca="false">IF(Y285=1,IF(AND(LEN(V285)&gt;7,ISNUMBER(VALUE(LEFT(V285,6))),MID(V285,7,1)=" "),LEFT(V285,6),V285),"")</f>
        <v/>
      </c>
      <c r="AE285" s="36" t="str">
        <f aca="false">TRIM(AB285)</f>
        <v/>
      </c>
      <c r="AF285" s="36" t="str">
        <f aca="false">IF(AE285="Revenue","Revenue",IF(AE285="Cost of Goods Sold","COGS",IF(AE285="Expenditures","Expense",IF(AE285="Other Revenue","Other Revenue",IF(AE285="Other Expenditures","Other Expense",AF284)))))</f>
        <v/>
      </c>
      <c r="AG285" s="36" t="str">
        <f aca="false">IF(OR(AE285="Revenue",AE285="Cost of Goods Sold",AE285="Expenditures",AE285="Other Revenue",AE285="Other Expenditures"),AF285,IF(AND(LEN(AE285)&gt;2,MID(AE285,2,1)=" ",ISNUMBER(VALUE(LEFT(AE285,1)))),AE285,AG284))</f>
        <v/>
      </c>
      <c r="AH285" s="36" t="n">
        <f aca="false">IF(AND(AE285&lt;&gt;"",ISNUMBER(AC285),LEFT(AE285,9)&lt;&gt;"Total for",AE285&lt;&gt;"Gross Profit",AE285&lt;&gt;"Net Operating Revenue",AE285&lt;&gt;"Net Other Revenue",AE285&lt;&gt;"Net Revenue"),1,0)</f>
        <v>0</v>
      </c>
      <c r="AI285" s="36" t="str">
        <f aca="false">IF(AH285=1,IF(AND(LEN(AE285)&gt;7,ISNUMBER(VALUE(LEFT(AE285,6))),MID(AE285,7,1)=" "),LEFT(AE285,6),AE285),"")</f>
        <v/>
      </c>
      <c r="AN285" s="36" t="str">
        <f aca="false">TRIM(AK285)</f>
        <v/>
      </c>
      <c r="AO285" s="36" t="str">
        <f aca="false">IF(AN285="Revenue","Revenue",IF(AN285="Cost of Goods Sold","COGS",IF(AN285="Expenditures","Expense",IF(AN285="Other Revenue","Other Revenue",IF(AN285="Other Expenditures","Other Expense",AO284)))))</f>
        <v/>
      </c>
      <c r="AP285" s="36" t="str">
        <f aca="false">IF(OR(AN285="Revenue",AN285="Cost of Goods Sold",AN285="Expenditures",AN285="Other Revenue",AN285="Other Expenditures"),AO285,IF(AND(LEN(AN285)&gt;2,MID(AN285,2,1)=" ",ISNUMBER(VALUE(LEFT(AN285,1)))),AN285,AP284))</f>
        <v/>
      </c>
      <c r="AQ285" s="36" t="n">
        <f aca="false">IF(AND(AN285&lt;&gt;"",ISNUMBER(AL285),LEFT(AN285,9)&lt;&gt;"Total for",AN285&lt;&gt;"Gross Profit",AN285&lt;&gt;"Net Operating Revenue",AN285&lt;&gt;"Net Other Revenue",AN285&lt;&gt;"Net Revenue"),1,0)</f>
        <v>0</v>
      </c>
      <c r="AR285" s="36" t="str">
        <f aca="false">IF(AQ285=1,IF(AND(LEN(AN285)&gt;7,ISNUMBER(VALUE(LEFT(AN285,6))),MID(AN285,7,1)=" "),LEFT(AN285,6),AN285),"")</f>
        <v/>
      </c>
    </row>
    <row r="286" customFormat="false" ht="15" hidden="false" customHeight="false" outlineLevel="0" collapsed="false">
      <c r="D286" s="36" t="str">
        <f aca="false">TRIM(A286)</f>
        <v/>
      </c>
      <c r="E286" s="36" t="str">
        <f aca="false">IF(D286="Revenue","Revenue",IF(D286="Cost of Goods Sold","COGS",IF(D286="Expenditures","Expense",IF(D286="Other Revenue","Other Revenue",IF(D286="Other Expenditures","Other Expense",E285)))))</f>
        <v/>
      </c>
      <c r="F286" s="36" t="str">
        <f aca="false">IF(OR(D286="Revenue",D286="Cost of Goods Sold",D286="Expenditures",D286="Other Revenue",D286="Other Expenditures"),E286,IF(AND(LEN(D286)&gt;2,MID(D286,2,1)=" ",ISNUMBER(VALUE(LEFT(D286,1)))),D286,F285))</f>
        <v/>
      </c>
      <c r="G286" s="36" t="n">
        <f aca="false">IF(AND(D286&lt;&gt;"",ISNUMBER(B286),LEFT(D286,9)&lt;&gt;"Total for",D286&lt;&gt;"Gross Profit",D286&lt;&gt;"Net Operating Revenue",D286&lt;&gt;"Net Other Revenue",D286&lt;&gt;"Net Revenue"),1,0)</f>
        <v>0</v>
      </c>
      <c r="H286" s="36" t="str">
        <f aca="false">IF(G286=1,IF(AND(LEN(D286)&gt;7,ISNUMBER(VALUE(LEFT(D286,6))),MID(D286,7,1)=" "),LEFT(D286,6),D286),"")</f>
        <v/>
      </c>
      <c r="M286" s="36" t="str">
        <f aca="false">TRIM(J286)</f>
        <v/>
      </c>
      <c r="N286" s="36" t="str">
        <f aca="false">IF(M286="Revenue","Revenue",IF(M286="Cost of Goods Sold","COGS",IF(M286="Expenditures","Expense",IF(M286="Other Revenue","Other Revenue",IF(M286="Other Expenditures","Other Expense",N285)))))</f>
        <v/>
      </c>
      <c r="O286" s="36" t="str">
        <f aca="false">IF(OR(M286="Revenue",M286="Cost of Goods Sold",M286="Expenditures",M286="Other Revenue",M286="Other Expenditures"),N286,IF(AND(LEN(M286)&gt;2,MID(M286,2,1)=" ",ISNUMBER(VALUE(LEFT(M286,1)))),M286,O285))</f>
        <v/>
      </c>
      <c r="P286" s="36" t="n">
        <f aca="false">IF(AND(M286&lt;&gt;"",ISNUMBER(K286),LEFT(M286,9)&lt;&gt;"Total for",M286&lt;&gt;"Gross Profit",M286&lt;&gt;"Net Operating Revenue",M286&lt;&gt;"Net Other Revenue",M286&lt;&gt;"Net Revenue"),1,0)</f>
        <v>0</v>
      </c>
      <c r="Q286" s="36" t="str">
        <f aca="false">IF(P286=1,IF(AND(LEN(M286)&gt;7,ISNUMBER(VALUE(LEFT(M286,6))),MID(M286,7,1)=" "),LEFT(M286,6),M286),"")</f>
        <v/>
      </c>
      <c r="V286" s="36" t="str">
        <f aca="false">TRIM(S286)</f>
        <v/>
      </c>
      <c r="W286" s="36" t="str">
        <f aca="false">IF(V286="Revenue","Revenue",IF(V286="Cost of Goods Sold","COGS",IF(V286="Expenditures","Expense",IF(V286="Other Revenue","Other Revenue",IF(V286="Other Expenditures","Other Expense",W285)))))</f>
        <v/>
      </c>
      <c r="X286" s="36" t="str">
        <f aca="false">IF(OR(V286="Revenue",V286="Cost of Goods Sold",V286="Expenditures",V286="Other Revenue",V286="Other Expenditures"),W286,IF(AND(LEN(V286)&gt;2,MID(V286,2,1)=" ",ISNUMBER(VALUE(LEFT(V286,1)))),V286,X285))</f>
        <v/>
      </c>
      <c r="Y286" s="36" t="n">
        <f aca="false">IF(AND(V286&lt;&gt;"",ISNUMBER(T286),LEFT(V286,9)&lt;&gt;"Total for",V286&lt;&gt;"Gross Profit",V286&lt;&gt;"Net Operating Revenue",V286&lt;&gt;"Net Other Revenue",V286&lt;&gt;"Net Revenue"),1,0)</f>
        <v>0</v>
      </c>
      <c r="Z286" s="36" t="str">
        <f aca="false">IF(Y286=1,IF(AND(LEN(V286)&gt;7,ISNUMBER(VALUE(LEFT(V286,6))),MID(V286,7,1)=" "),LEFT(V286,6),V286),"")</f>
        <v/>
      </c>
      <c r="AE286" s="36" t="str">
        <f aca="false">TRIM(AB286)</f>
        <v/>
      </c>
      <c r="AF286" s="36" t="str">
        <f aca="false">IF(AE286="Revenue","Revenue",IF(AE286="Cost of Goods Sold","COGS",IF(AE286="Expenditures","Expense",IF(AE286="Other Revenue","Other Revenue",IF(AE286="Other Expenditures","Other Expense",AF285)))))</f>
        <v/>
      </c>
      <c r="AG286" s="36" t="str">
        <f aca="false">IF(OR(AE286="Revenue",AE286="Cost of Goods Sold",AE286="Expenditures",AE286="Other Revenue",AE286="Other Expenditures"),AF286,IF(AND(LEN(AE286)&gt;2,MID(AE286,2,1)=" ",ISNUMBER(VALUE(LEFT(AE286,1)))),AE286,AG285))</f>
        <v/>
      </c>
      <c r="AH286" s="36" t="n">
        <f aca="false">IF(AND(AE286&lt;&gt;"",ISNUMBER(AC286),LEFT(AE286,9)&lt;&gt;"Total for",AE286&lt;&gt;"Gross Profit",AE286&lt;&gt;"Net Operating Revenue",AE286&lt;&gt;"Net Other Revenue",AE286&lt;&gt;"Net Revenue"),1,0)</f>
        <v>0</v>
      </c>
      <c r="AI286" s="36" t="str">
        <f aca="false">IF(AH286=1,IF(AND(LEN(AE286)&gt;7,ISNUMBER(VALUE(LEFT(AE286,6))),MID(AE286,7,1)=" "),LEFT(AE286,6),AE286),"")</f>
        <v/>
      </c>
      <c r="AN286" s="36" t="str">
        <f aca="false">TRIM(AK286)</f>
        <v/>
      </c>
      <c r="AO286" s="36" t="str">
        <f aca="false">IF(AN286="Revenue","Revenue",IF(AN286="Cost of Goods Sold","COGS",IF(AN286="Expenditures","Expense",IF(AN286="Other Revenue","Other Revenue",IF(AN286="Other Expenditures","Other Expense",AO285)))))</f>
        <v/>
      </c>
      <c r="AP286" s="36" t="str">
        <f aca="false">IF(OR(AN286="Revenue",AN286="Cost of Goods Sold",AN286="Expenditures",AN286="Other Revenue",AN286="Other Expenditures"),AO286,IF(AND(LEN(AN286)&gt;2,MID(AN286,2,1)=" ",ISNUMBER(VALUE(LEFT(AN286,1)))),AN286,AP285))</f>
        <v/>
      </c>
      <c r="AQ286" s="36" t="n">
        <f aca="false">IF(AND(AN286&lt;&gt;"",ISNUMBER(AL286),LEFT(AN286,9)&lt;&gt;"Total for",AN286&lt;&gt;"Gross Profit",AN286&lt;&gt;"Net Operating Revenue",AN286&lt;&gt;"Net Other Revenue",AN286&lt;&gt;"Net Revenue"),1,0)</f>
        <v>0</v>
      </c>
      <c r="AR286" s="36" t="str">
        <f aca="false">IF(AQ286=1,IF(AND(LEN(AN286)&gt;7,ISNUMBER(VALUE(LEFT(AN286,6))),MID(AN286,7,1)=" "),LEFT(AN286,6),AN286),"")</f>
        <v/>
      </c>
    </row>
    <row r="287" customFormat="false" ht="15" hidden="false" customHeight="false" outlineLevel="0" collapsed="false">
      <c r="D287" s="36" t="str">
        <f aca="false">TRIM(A287)</f>
        <v/>
      </c>
      <c r="E287" s="36" t="str">
        <f aca="false">IF(D287="Revenue","Revenue",IF(D287="Cost of Goods Sold","COGS",IF(D287="Expenditures","Expense",IF(D287="Other Revenue","Other Revenue",IF(D287="Other Expenditures","Other Expense",E286)))))</f>
        <v/>
      </c>
      <c r="F287" s="36" t="str">
        <f aca="false">IF(OR(D287="Revenue",D287="Cost of Goods Sold",D287="Expenditures",D287="Other Revenue",D287="Other Expenditures"),E287,IF(AND(LEN(D287)&gt;2,MID(D287,2,1)=" ",ISNUMBER(VALUE(LEFT(D287,1)))),D287,F286))</f>
        <v/>
      </c>
      <c r="G287" s="36" t="n">
        <f aca="false">IF(AND(D287&lt;&gt;"",ISNUMBER(B287),LEFT(D287,9)&lt;&gt;"Total for",D287&lt;&gt;"Gross Profit",D287&lt;&gt;"Net Operating Revenue",D287&lt;&gt;"Net Other Revenue",D287&lt;&gt;"Net Revenue"),1,0)</f>
        <v>0</v>
      </c>
      <c r="H287" s="36" t="str">
        <f aca="false">IF(G287=1,IF(AND(LEN(D287)&gt;7,ISNUMBER(VALUE(LEFT(D287,6))),MID(D287,7,1)=" "),LEFT(D287,6),D287),"")</f>
        <v/>
      </c>
      <c r="M287" s="36" t="str">
        <f aca="false">TRIM(J287)</f>
        <v/>
      </c>
      <c r="N287" s="36" t="str">
        <f aca="false">IF(M287="Revenue","Revenue",IF(M287="Cost of Goods Sold","COGS",IF(M287="Expenditures","Expense",IF(M287="Other Revenue","Other Revenue",IF(M287="Other Expenditures","Other Expense",N286)))))</f>
        <v/>
      </c>
      <c r="O287" s="36" t="str">
        <f aca="false">IF(OR(M287="Revenue",M287="Cost of Goods Sold",M287="Expenditures",M287="Other Revenue",M287="Other Expenditures"),N287,IF(AND(LEN(M287)&gt;2,MID(M287,2,1)=" ",ISNUMBER(VALUE(LEFT(M287,1)))),M287,O286))</f>
        <v/>
      </c>
      <c r="P287" s="36" t="n">
        <f aca="false">IF(AND(M287&lt;&gt;"",ISNUMBER(K287),LEFT(M287,9)&lt;&gt;"Total for",M287&lt;&gt;"Gross Profit",M287&lt;&gt;"Net Operating Revenue",M287&lt;&gt;"Net Other Revenue",M287&lt;&gt;"Net Revenue"),1,0)</f>
        <v>0</v>
      </c>
      <c r="Q287" s="36" t="str">
        <f aca="false">IF(P287=1,IF(AND(LEN(M287)&gt;7,ISNUMBER(VALUE(LEFT(M287,6))),MID(M287,7,1)=" "),LEFT(M287,6),M287),"")</f>
        <v/>
      </c>
      <c r="V287" s="36" t="str">
        <f aca="false">TRIM(S287)</f>
        <v/>
      </c>
      <c r="W287" s="36" t="str">
        <f aca="false">IF(V287="Revenue","Revenue",IF(V287="Cost of Goods Sold","COGS",IF(V287="Expenditures","Expense",IF(V287="Other Revenue","Other Revenue",IF(V287="Other Expenditures","Other Expense",W286)))))</f>
        <v/>
      </c>
      <c r="X287" s="36" t="str">
        <f aca="false">IF(OR(V287="Revenue",V287="Cost of Goods Sold",V287="Expenditures",V287="Other Revenue",V287="Other Expenditures"),W287,IF(AND(LEN(V287)&gt;2,MID(V287,2,1)=" ",ISNUMBER(VALUE(LEFT(V287,1)))),V287,X286))</f>
        <v/>
      </c>
      <c r="Y287" s="36" t="n">
        <f aca="false">IF(AND(V287&lt;&gt;"",ISNUMBER(T287),LEFT(V287,9)&lt;&gt;"Total for",V287&lt;&gt;"Gross Profit",V287&lt;&gt;"Net Operating Revenue",V287&lt;&gt;"Net Other Revenue",V287&lt;&gt;"Net Revenue"),1,0)</f>
        <v>0</v>
      </c>
      <c r="Z287" s="36" t="str">
        <f aca="false">IF(Y287=1,IF(AND(LEN(V287)&gt;7,ISNUMBER(VALUE(LEFT(V287,6))),MID(V287,7,1)=" "),LEFT(V287,6),V287),"")</f>
        <v/>
      </c>
      <c r="AE287" s="36" t="str">
        <f aca="false">TRIM(AB287)</f>
        <v/>
      </c>
      <c r="AF287" s="36" t="str">
        <f aca="false">IF(AE287="Revenue","Revenue",IF(AE287="Cost of Goods Sold","COGS",IF(AE287="Expenditures","Expense",IF(AE287="Other Revenue","Other Revenue",IF(AE287="Other Expenditures","Other Expense",AF286)))))</f>
        <v/>
      </c>
      <c r="AG287" s="36" t="str">
        <f aca="false">IF(OR(AE287="Revenue",AE287="Cost of Goods Sold",AE287="Expenditures",AE287="Other Revenue",AE287="Other Expenditures"),AF287,IF(AND(LEN(AE287)&gt;2,MID(AE287,2,1)=" ",ISNUMBER(VALUE(LEFT(AE287,1)))),AE287,AG286))</f>
        <v/>
      </c>
      <c r="AH287" s="36" t="n">
        <f aca="false">IF(AND(AE287&lt;&gt;"",ISNUMBER(AC287),LEFT(AE287,9)&lt;&gt;"Total for",AE287&lt;&gt;"Gross Profit",AE287&lt;&gt;"Net Operating Revenue",AE287&lt;&gt;"Net Other Revenue",AE287&lt;&gt;"Net Revenue"),1,0)</f>
        <v>0</v>
      </c>
      <c r="AI287" s="36" t="str">
        <f aca="false">IF(AH287=1,IF(AND(LEN(AE287)&gt;7,ISNUMBER(VALUE(LEFT(AE287,6))),MID(AE287,7,1)=" "),LEFT(AE287,6),AE287),"")</f>
        <v/>
      </c>
      <c r="AN287" s="36" t="str">
        <f aca="false">TRIM(AK287)</f>
        <v/>
      </c>
      <c r="AO287" s="36" t="str">
        <f aca="false">IF(AN287="Revenue","Revenue",IF(AN287="Cost of Goods Sold","COGS",IF(AN287="Expenditures","Expense",IF(AN287="Other Revenue","Other Revenue",IF(AN287="Other Expenditures","Other Expense",AO286)))))</f>
        <v/>
      </c>
      <c r="AP287" s="36" t="str">
        <f aca="false">IF(OR(AN287="Revenue",AN287="Cost of Goods Sold",AN287="Expenditures",AN287="Other Revenue",AN287="Other Expenditures"),AO287,IF(AND(LEN(AN287)&gt;2,MID(AN287,2,1)=" ",ISNUMBER(VALUE(LEFT(AN287,1)))),AN287,AP286))</f>
        <v/>
      </c>
      <c r="AQ287" s="36" t="n">
        <f aca="false">IF(AND(AN287&lt;&gt;"",ISNUMBER(AL287),LEFT(AN287,9)&lt;&gt;"Total for",AN287&lt;&gt;"Gross Profit",AN287&lt;&gt;"Net Operating Revenue",AN287&lt;&gt;"Net Other Revenue",AN287&lt;&gt;"Net Revenue"),1,0)</f>
        <v>0</v>
      </c>
      <c r="AR287" s="36" t="str">
        <f aca="false">IF(AQ287=1,IF(AND(LEN(AN287)&gt;7,ISNUMBER(VALUE(LEFT(AN287,6))),MID(AN287,7,1)=" "),LEFT(AN287,6),AN287),"")</f>
        <v/>
      </c>
    </row>
    <row r="288" customFormat="false" ht="15" hidden="false" customHeight="false" outlineLevel="0" collapsed="false">
      <c r="D288" s="36" t="str">
        <f aca="false">TRIM(A288)</f>
        <v/>
      </c>
      <c r="E288" s="36" t="str">
        <f aca="false">IF(D288="Revenue","Revenue",IF(D288="Cost of Goods Sold","COGS",IF(D288="Expenditures","Expense",IF(D288="Other Revenue","Other Revenue",IF(D288="Other Expenditures","Other Expense",E287)))))</f>
        <v/>
      </c>
      <c r="F288" s="36" t="str">
        <f aca="false">IF(OR(D288="Revenue",D288="Cost of Goods Sold",D288="Expenditures",D288="Other Revenue",D288="Other Expenditures"),E288,IF(AND(LEN(D288)&gt;2,MID(D288,2,1)=" ",ISNUMBER(VALUE(LEFT(D288,1)))),D288,F287))</f>
        <v/>
      </c>
      <c r="G288" s="36" t="n">
        <f aca="false">IF(AND(D288&lt;&gt;"",ISNUMBER(B288),LEFT(D288,9)&lt;&gt;"Total for",D288&lt;&gt;"Gross Profit",D288&lt;&gt;"Net Operating Revenue",D288&lt;&gt;"Net Other Revenue",D288&lt;&gt;"Net Revenue"),1,0)</f>
        <v>0</v>
      </c>
      <c r="H288" s="36" t="str">
        <f aca="false">IF(G288=1,IF(AND(LEN(D288)&gt;7,ISNUMBER(VALUE(LEFT(D288,6))),MID(D288,7,1)=" "),LEFT(D288,6),D288),"")</f>
        <v/>
      </c>
      <c r="M288" s="36" t="str">
        <f aca="false">TRIM(J288)</f>
        <v/>
      </c>
      <c r="N288" s="36" t="str">
        <f aca="false">IF(M288="Revenue","Revenue",IF(M288="Cost of Goods Sold","COGS",IF(M288="Expenditures","Expense",IF(M288="Other Revenue","Other Revenue",IF(M288="Other Expenditures","Other Expense",N287)))))</f>
        <v/>
      </c>
      <c r="O288" s="36" t="str">
        <f aca="false">IF(OR(M288="Revenue",M288="Cost of Goods Sold",M288="Expenditures",M288="Other Revenue",M288="Other Expenditures"),N288,IF(AND(LEN(M288)&gt;2,MID(M288,2,1)=" ",ISNUMBER(VALUE(LEFT(M288,1)))),M288,O287))</f>
        <v/>
      </c>
      <c r="P288" s="36" t="n">
        <f aca="false">IF(AND(M288&lt;&gt;"",ISNUMBER(K288),LEFT(M288,9)&lt;&gt;"Total for",M288&lt;&gt;"Gross Profit",M288&lt;&gt;"Net Operating Revenue",M288&lt;&gt;"Net Other Revenue",M288&lt;&gt;"Net Revenue"),1,0)</f>
        <v>0</v>
      </c>
      <c r="Q288" s="36" t="str">
        <f aca="false">IF(P288=1,IF(AND(LEN(M288)&gt;7,ISNUMBER(VALUE(LEFT(M288,6))),MID(M288,7,1)=" "),LEFT(M288,6),M288),"")</f>
        <v/>
      </c>
      <c r="V288" s="36" t="str">
        <f aca="false">TRIM(S288)</f>
        <v/>
      </c>
      <c r="W288" s="36" t="str">
        <f aca="false">IF(V288="Revenue","Revenue",IF(V288="Cost of Goods Sold","COGS",IF(V288="Expenditures","Expense",IF(V288="Other Revenue","Other Revenue",IF(V288="Other Expenditures","Other Expense",W287)))))</f>
        <v/>
      </c>
      <c r="X288" s="36" t="str">
        <f aca="false">IF(OR(V288="Revenue",V288="Cost of Goods Sold",V288="Expenditures",V288="Other Revenue",V288="Other Expenditures"),W288,IF(AND(LEN(V288)&gt;2,MID(V288,2,1)=" ",ISNUMBER(VALUE(LEFT(V288,1)))),V288,X287))</f>
        <v/>
      </c>
      <c r="Y288" s="36" t="n">
        <f aca="false">IF(AND(V288&lt;&gt;"",ISNUMBER(T288),LEFT(V288,9)&lt;&gt;"Total for",V288&lt;&gt;"Gross Profit",V288&lt;&gt;"Net Operating Revenue",V288&lt;&gt;"Net Other Revenue",V288&lt;&gt;"Net Revenue"),1,0)</f>
        <v>0</v>
      </c>
      <c r="Z288" s="36" t="str">
        <f aca="false">IF(Y288=1,IF(AND(LEN(V288)&gt;7,ISNUMBER(VALUE(LEFT(V288,6))),MID(V288,7,1)=" "),LEFT(V288,6),V288),"")</f>
        <v/>
      </c>
      <c r="AE288" s="36" t="str">
        <f aca="false">TRIM(AB288)</f>
        <v/>
      </c>
      <c r="AF288" s="36" t="str">
        <f aca="false">IF(AE288="Revenue","Revenue",IF(AE288="Cost of Goods Sold","COGS",IF(AE288="Expenditures","Expense",IF(AE288="Other Revenue","Other Revenue",IF(AE288="Other Expenditures","Other Expense",AF287)))))</f>
        <v/>
      </c>
      <c r="AG288" s="36" t="str">
        <f aca="false">IF(OR(AE288="Revenue",AE288="Cost of Goods Sold",AE288="Expenditures",AE288="Other Revenue",AE288="Other Expenditures"),AF288,IF(AND(LEN(AE288)&gt;2,MID(AE288,2,1)=" ",ISNUMBER(VALUE(LEFT(AE288,1)))),AE288,AG287))</f>
        <v/>
      </c>
      <c r="AH288" s="36" t="n">
        <f aca="false">IF(AND(AE288&lt;&gt;"",ISNUMBER(AC288),LEFT(AE288,9)&lt;&gt;"Total for",AE288&lt;&gt;"Gross Profit",AE288&lt;&gt;"Net Operating Revenue",AE288&lt;&gt;"Net Other Revenue",AE288&lt;&gt;"Net Revenue"),1,0)</f>
        <v>0</v>
      </c>
      <c r="AI288" s="36" t="str">
        <f aca="false">IF(AH288=1,IF(AND(LEN(AE288)&gt;7,ISNUMBER(VALUE(LEFT(AE288,6))),MID(AE288,7,1)=" "),LEFT(AE288,6),AE288),"")</f>
        <v/>
      </c>
      <c r="AN288" s="36" t="str">
        <f aca="false">TRIM(AK288)</f>
        <v/>
      </c>
      <c r="AO288" s="36" t="str">
        <f aca="false">IF(AN288="Revenue","Revenue",IF(AN288="Cost of Goods Sold","COGS",IF(AN288="Expenditures","Expense",IF(AN288="Other Revenue","Other Revenue",IF(AN288="Other Expenditures","Other Expense",AO287)))))</f>
        <v/>
      </c>
      <c r="AP288" s="36" t="str">
        <f aca="false">IF(OR(AN288="Revenue",AN288="Cost of Goods Sold",AN288="Expenditures",AN288="Other Revenue",AN288="Other Expenditures"),AO288,IF(AND(LEN(AN288)&gt;2,MID(AN288,2,1)=" ",ISNUMBER(VALUE(LEFT(AN288,1)))),AN288,AP287))</f>
        <v/>
      </c>
      <c r="AQ288" s="36" t="n">
        <f aca="false">IF(AND(AN288&lt;&gt;"",ISNUMBER(AL288),LEFT(AN288,9)&lt;&gt;"Total for",AN288&lt;&gt;"Gross Profit",AN288&lt;&gt;"Net Operating Revenue",AN288&lt;&gt;"Net Other Revenue",AN288&lt;&gt;"Net Revenue"),1,0)</f>
        <v>0</v>
      </c>
      <c r="AR288" s="36" t="str">
        <f aca="false">IF(AQ288=1,IF(AND(LEN(AN288)&gt;7,ISNUMBER(VALUE(LEFT(AN288,6))),MID(AN288,7,1)=" "),LEFT(AN288,6),AN288),"")</f>
        <v/>
      </c>
    </row>
    <row r="289" customFormat="false" ht="15" hidden="false" customHeight="false" outlineLevel="0" collapsed="false">
      <c r="D289" s="36" t="str">
        <f aca="false">TRIM(A289)</f>
        <v/>
      </c>
      <c r="E289" s="36" t="str">
        <f aca="false">IF(D289="Revenue","Revenue",IF(D289="Cost of Goods Sold","COGS",IF(D289="Expenditures","Expense",IF(D289="Other Revenue","Other Revenue",IF(D289="Other Expenditures","Other Expense",E288)))))</f>
        <v/>
      </c>
      <c r="F289" s="36" t="str">
        <f aca="false">IF(OR(D289="Revenue",D289="Cost of Goods Sold",D289="Expenditures",D289="Other Revenue",D289="Other Expenditures"),E289,IF(AND(LEN(D289)&gt;2,MID(D289,2,1)=" ",ISNUMBER(VALUE(LEFT(D289,1)))),D289,F288))</f>
        <v/>
      </c>
      <c r="G289" s="36" t="n">
        <f aca="false">IF(AND(D289&lt;&gt;"",ISNUMBER(B289),LEFT(D289,9)&lt;&gt;"Total for",D289&lt;&gt;"Gross Profit",D289&lt;&gt;"Net Operating Revenue",D289&lt;&gt;"Net Other Revenue",D289&lt;&gt;"Net Revenue"),1,0)</f>
        <v>0</v>
      </c>
      <c r="H289" s="36" t="str">
        <f aca="false">IF(G289=1,IF(AND(LEN(D289)&gt;7,ISNUMBER(VALUE(LEFT(D289,6))),MID(D289,7,1)=" "),LEFT(D289,6),D289),"")</f>
        <v/>
      </c>
      <c r="M289" s="36" t="str">
        <f aca="false">TRIM(J289)</f>
        <v/>
      </c>
      <c r="N289" s="36" t="str">
        <f aca="false">IF(M289="Revenue","Revenue",IF(M289="Cost of Goods Sold","COGS",IF(M289="Expenditures","Expense",IF(M289="Other Revenue","Other Revenue",IF(M289="Other Expenditures","Other Expense",N288)))))</f>
        <v/>
      </c>
      <c r="O289" s="36" t="str">
        <f aca="false">IF(OR(M289="Revenue",M289="Cost of Goods Sold",M289="Expenditures",M289="Other Revenue",M289="Other Expenditures"),N289,IF(AND(LEN(M289)&gt;2,MID(M289,2,1)=" ",ISNUMBER(VALUE(LEFT(M289,1)))),M289,O288))</f>
        <v/>
      </c>
      <c r="P289" s="36" t="n">
        <f aca="false">IF(AND(M289&lt;&gt;"",ISNUMBER(K289),LEFT(M289,9)&lt;&gt;"Total for",M289&lt;&gt;"Gross Profit",M289&lt;&gt;"Net Operating Revenue",M289&lt;&gt;"Net Other Revenue",M289&lt;&gt;"Net Revenue"),1,0)</f>
        <v>0</v>
      </c>
      <c r="Q289" s="36" t="str">
        <f aca="false">IF(P289=1,IF(AND(LEN(M289)&gt;7,ISNUMBER(VALUE(LEFT(M289,6))),MID(M289,7,1)=" "),LEFT(M289,6),M289),"")</f>
        <v/>
      </c>
      <c r="V289" s="36" t="str">
        <f aca="false">TRIM(S289)</f>
        <v/>
      </c>
      <c r="W289" s="36" t="str">
        <f aca="false">IF(V289="Revenue","Revenue",IF(V289="Cost of Goods Sold","COGS",IF(V289="Expenditures","Expense",IF(V289="Other Revenue","Other Revenue",IF(V289="Other Expenditures","Other Expense",W288)))))</f>
        <v/>
      </c>
      <c r="X289" s="36" t="str">
        <f aca="false">IF(OR(V289="Revenue",V289="Cost of Goods Sold",V289="Expenditures",V289="Other Revenue",V289="Other Expenditures"),W289,IF(AND(LEN(V289)&gt;2,MID(V289,2,1)=" ",ISNUMBER(VALUE(LEFT(V289,1)))),V289,X288))</f>
        <v/>
      </c>
      <c r="Y289" s="36" t="n">
        <f aca="false">IF(AND(V289&lt;&gt;"",ISNUMBER(T289),LEFT(V289,9)&lt;&gt;"Total for",V289&lt;&gt;"Gross Profit",V289&lt;&gt;"Net Operating Revenue",V289&lt;&gt;"Net Other Revenue",V289&lt;&gt;"Net Revenue"),1,0)</f>
        <v>0</v>
      </c>
      <c r="Z289" s="36" t="str">
        <f aca="false">IF(Y289=1,IF(AND(LEN(V289)&gt;7,ISNUMBER(VALUE(LEFT(V289,6))),MID(V289,7,1)=" "),LEFT(V289,6),V289),"")</f>
        <v/>
      </c>
      <c r="AE289" s="36" t="str">
        <f aca="false">TRIM(AB289)</f>
        <v/>
      </c>
      <c r="AF289" s="36" t="str">
        <f aca="false">IF(AE289="Revenue","Revenue",IF(AE289="Cost of Goods Sold","COGS",IF(AE289="Expenditures","Expense",IF(AE289="Other Revenue","Other Revenue",IF(AE289="Other Expenditures","Other Expense",AF288)))))</f>
        <v/>
      </c>
      <c r="AG289" s="36" t="str">
        <f aca="false">IF(OR(AE289="Revenue",AE289="Cost of Goods Sold",AE289="Expenditures",AE289="Other Revenue",AE289="Other Expenditures"),AF289,IF(AND(LEN(AE289)&gt;2,MID(AE289,2,1)=" ",ISNUMBER(VALUE(LEFT(AE289,1)))),AE289,AG288))</f>
        <v/>
      </c>
      <c r="AH289" s="36" t="n">
        <f aca="false">IF(AND(AE289&lt;&gt;"",ISNUMBER(AC289),LEFT(AE289,9)&lt;&gt;"Total for",AE289&lt;&gt;"Gross Profit",AE289&lt;&gt;"Net Operating Revenue",AE289&lt;&gt;"Net Other Revenue",AE289&lt;&gt;"Net Revenue"),1,0)</f>
        <v>0</v>
      </c>
      <c r="AI289" s="36" t="str">
        <f aca="false">IF(AH289=1,IF(AND(LEN(AE289)&gt;7,ISNUMBER(VALUE(LEFT(AE289,6))),MID(AE289,7,1)=" "),LEFT(AE289,6),AE289),"")</f>
        <v/>
      </c>
      <c r="AN289" s="36" t="str">
        <f aca="false">TRIM(AK289)</f>
        <v/>
      </c>
      <c r="AO289" s="36" t="str">
        <f aca="false">IF(AN289="Revenue","Revenue",IF(AN289="Cost of Goods Sold","COGS",IF(AN289="Expenditures","Expense",IF(AN289="Other Revenue","Other Revenue",IF(AN289="Other Expenditures","Other Expense",AO288)))))</f>
        <v/>
      </c>
      <c r="AP289" s="36" t="str">
        <f aca="false">IF(OR(AN289="Revenue",AN289="Cost of Goods Sold",AN289="Expenditures",AN289="Other Revenue",AN289="Other Expenditures"),AO289,IF(AND(LEN(AN289)&gt;2,MID(AN289,2,1)=" ",ISNUMBER(VALUE(LEFT(AN289,1)))),AN289,AP288))</f>
        <v/>
      </c>
      <c r="AQ289" s="36" t="n">
        <f aca="false">IF(AND(AN289&lt;&gt;"",ISNUMBER(AL289),LEFT(AN289,9)&lt;&gt;"Total for",AN289&lt;&gt;"Gross Profit",AN289&lt;&gt;"Net Operating Revenue",AN289&lt;&gt;"Net Other Revenue",AN289&lt;&gt;"Net Revenue"),1,0)</f>
        <v>0</v>
      </c>
      <c r="AR289" s="36" t="str">
        <f aca="false">IF(AQ289=1,IF(AND(LEN(AN289)&gt;7,ISNUMBER(VALUE(LEFT(AN289,6))),MID(AN289,7,1)=" "),LEFT(AN289,6),AN289),"")</f>
        <v/>
      </c>
    </row>
    <row r="290" customFormat="false" ht="15" hidden="false" customHeight="false" outlineLevel="0" collapsed="false">
      <c r="D290" s="36" t="str">
        <f aca="false">TRIM(A290)</f>
        <v/>
      </c>
      <c r="E290" s="36" t="str">
        <f aca="false">IF(D290="Revenue","Revenue",IF(D290="Cost of Goods Sold","COGS",IF(D290="Expenditures","Expense",IF(D290="Other Revenue","Other Revenue",IF(D290="Other Expenditures","Other Expense",E289)))))</f>
        <v/>
      </c>
      <c r="F290" s="36" t="str">
        <f aca="false">IF(OR(D290="Revenue",D290="Cost of Goods Sold",D290="Expenditures",D290="Other Revenue",D290="Other Expenditures"),E290,IF(AND(LEN(D290)&gt;2,MID(D290,2,1)=" ",ISNUMBER(VALUE(LEFT(D290,1)))),D290,F289))</f>
        <v/>
      </c>
      <c r="G290" s="36" t="n">
        <f aca="false">IF(AND(D290&lt;&gt;"",ISNUMBER(B290),LEFT(D290,9)&lt;&gt;"Total for",D290&lt;&gt;"Gross Profit",D290&lt;&gt;"Net Operating Revenue",D290&lt;&gt;"Net Other Revenue",D290&lt;&gt;"Net Revenue"),1,0)</f>
        <v>0</v>
      </c>
      <c r="H290" s="36" t="str">
        <f aca="false">IF(G290=1,IF(AND(LEN(D290)&gt;7,ISNUMBER(VALUE(LEFT(D290,6))),MID(D290,7,1)=" "),LEFT(D290,6),D290),"")</f>
        <v/>
      </c>
      <c r="M290" s="36" t="str">
        <f aca="false">TRIM(J290)</f>
        <v/>
      </c>
      <c r="N290" s="36" t="str">
        <f aca="false">IF(M290="Revenue","Revenue",IF(M290="Cost of Goods Sold","COGS",IF(M290="Expenditures","Expense",IF(M290="Other Revenue","Other Revenue",IF(M290="Other Expenditures","Other Expense",N289)))))</f>
        <v/>
      </c>
      <c r="O290" s="36" t="str">
        <f aca="false">IF(OR(M290="Revenue",M290="Cost of Goods Sold",M290="Expenditures",M290="Other Revenue",M290="Other Expenditures"),N290,IF(AND(LEN(M290)&gt;2,MID(M290,2,1)=" ",ISNUMBER(VALUE(LEFT(M290,1)))),M290,O289))</f>
        <v/>
      </c>
      <c r="P290" s="36" t="n">
        <f aca="false">IF(AND(M290&lt;&gt;"",ISNUMBER(K290),LEFT(M290,9)&lt;&gt;"Total for",M290&lt;&gt;"Gross Profit",M290&lt;&gt;"Net Operating Revenue",M290&lt;&gt;"Net Other Revenue",M290&lt;&gt;"Net Revenue"),1,0)</f>
        <v>0</v>
      </c>
      <c r="Q290" s="36" t="str">
        <f aca="false">IF(P290=1,IF(AND(LEN(M290)&gt;7,ISNUMBER(VALUE(LEFT(M290,6))),MID(M290,7,1)=" "),LEFT(M290,6),M290),"")</f>
        <v/>
      </c>
      <c r="V290" s="36" t="str">
        <f aca="false">TRIM(S290)</f>
        <v/>
      </c>
      <c r="W290" s="36" t="str">
        <f aca="false">IF(V290="Revenue","Revenue",IF(V290="Cost of Goods Sold","COGS",IF(V290="Expenditures","Expense",IF(V290="Other Revenue","Other Revenue",IF(V290="Other Expenditures","Other Expense",W289)))))</f>
        <v/>
      </c>
      <c r="X290" s="36" t="str">
        <f aca="false">IF(OR(V290="Revenue",V290="Cost of Goods Sold",V290="Expenditures",V290="Other Revenue",V290="Other Expenditures"),W290,IF(AND(LEN(V290)&gt;2,MID(V290,2,1)=" ",ISNUMBER(VALUE(LEFT(V290,1)))),V290,X289))</f>
        <v/>
      </c>
      <c r="Y290" s="36" t="n">
        <f aca="false">IF(AND(V290&lt;&gt;"",ISNUMBER(T290),LEFT(V290,9)&lt;&gt;"Total for",V290&lt;&gt;"Gross Profit",V290&lt;&gt;"Net Operating Revenue",V290&lt;&gt;"Net Other Revenue",V290&lt;&gt;"Net Revenue"),1,0)</f>
        <v>0</v>
      </c>
      <c r="Z290" s="36" t="str">
        <f aca="false">IF(Y290=1,IF(AND(LEN(V290)&gt;7,ISNUMBER(VALUE(LEFT(V290,6))),MID(V290,7,1)=" "),LEFT(V290,6),V290),"")</f>
        <v/>
      </c>
      <c r="AE290" s="36" t="str">
        <f aca="false">TRIM(AB290)</f>
        <v/>
      </c>
      <c r="AF290" s="36" t="str">
        <f aca="false">IF(AE290="Revenue","Revenue",IF(AE290="Cost of Goods Sold","COGS",IF(AE290="Expenditures","Expense",IF(AE290="Other Revenue","Other Revenue",IF(AE290="Other Expenditures","Other Expense",AF289)))))</f>
        <v/>
      </c>
      <c r="AG290" s="36" t="str">
        <f aca="false">IF(OR(AE290="Revenue",AE290="Cost of Goods Sold",AE290="Expenditures",AE290="Other Revenue",AE290="Other Expenditures"),AF290,IF(AND(LEN(AE290)&gt;2,MID(AE290,2,1)=" ",ISNUMBER(VALUE(LEFT(AE290,1)))),AE290,AG289))</f>
        <v/>
      </c>
      <c r="AH290" s="36" t="n">
        <f aca="false">IF(AND(AE290&lt;&gt;"",ISNUMBER(AC290),LEFT(AE290,9)&lt;&gt;"Total for",AE290&lt;&gt;"Gross Profit",AE290&lt;&gt;"Net Operating Revenue",AE290&lt;&gt;"Net Other Revenue",AE290&lt;&gt;"Net Revenue"),1,0)</f>
        <v>0</v>
      </c>
      <c r="AI290" s="36" t="str">
        <f aca="false">IF(AH290=1,IF(AND(LEN(AE290)&gt;7,ISNUMBER(VALUE(LEFT(AE290,6))),MID(AE290,7,1)=" "),LEFT(AE290,6),AE290),"")</f>
        <v/>
      </c>
      <c r="AN290" s="36" t="str">
        <f aca="false">TRIM(AK290)</f>
        <v/>
      </c>
      <c r="AO290" s="36" t="str">
        <f aca="false">IF(AN290="Revenue","Revenue",IF(AN290="Cost of Goods Sold","COGS",IF(AN290="Expenditures","Expense",IF(AN290="Other Revenue","Other Revenue",IF(AN290="Other Expenditures","Other Expense",AO289)))))</f>
        <v/>
      </c>
      <c r="AP290" s="36" t="str">
        <f aca="false">IF(OR(AN290="Revenue",AN290="Cost of Goods Sold",AN290="Expenditures",AN290="Other Revenue",AN290="Other Expenditures"),AO290,IF(AND(LEN(AN290)&gt;2,MID(AN290,2,1)=" ",ISNUMBER(VALUE(LEFT(AN290,1)))),AN290,AP289))</f>
        <v/>
      </c>
      <c r="AQ290" s="36" t="n">
        <f aca="false">IF(AND(AN290&lt;&gt;"",ISNUMBER(AL290),LEFT(AN290,9)&lt;&gt;"Total for",AN290&lt;&gt;"Gross Profit",AN290&lt;&gt;"Net Operating Revenue",AN290&lt;&gt;"Net Other Revenue",AN290&lt;&gt;"Net Revenue"),1,0)</f>
        <v>0</v>
      </c>
      <c r="AR290" s="36" t="str">
        <f aca="false">IF(AQ290=1,IF(AND(LEN(AN290)&gt;7,ISNUMBER(VALUE(LEFT(AN290,6))),MID(AN290,7,1)=" "),LEFT(AN290,6),AN290),"")</f>
        <v/>
      </c>
    </row>
    <row r="291" customFormat="false" ht="15" hidden="false" customHeight="false" outlineLevel="0" collapsed="false">
      <c r="D291" s="36" t="str">
        <f aca="false">TRIM(A291)</f>
        <v/>
      </c>
      <c r="E291" s="36" t="str">
        <f aca="false">IF(D291="Revenue","Revenue",IF(D291="Cost of Goods Sold","COGS",IF(D291="Expenditures","Expense",IF(D291="Other Revenue","Other Revenue",IF(D291="Other Expenditures","Other Expense",E290)))))</f>
        <v/>
      </c>
      <c r="F291" s="36" t="str">
        <f aca="false">IF(OR(D291="Revenue",D291="Cost of Goods Sold",D291="Expenditures",D291="Other Revenue",D291="Other Expenditures"),E291,IF(AND(LEN(D291)&gt;2,MID(D291,2,1)=" ",ISNUMBER(VALUE(LEFT(D291,1)))),D291,F290))</f>
        <v/>
      </c>
      <c r="G291" s="36" t="n">
        <f aca="false">IF(AND(D291&lt;&gt;"",ISNUMBER(B291),LEFT(D291,9)&lt;&gt;"Total for",D291&lt;&gt;"Gross Profit",D291&lt;&gt;"Net Operating Revenue",D291&lt;&gt;"Net Other Revenue",D291&lt;&gt;"Net Revenue"),1,0)</f>
        <v>0</v>
      </c>
      <c r="H291" s="36" t="str">
        <f aca="false">IF(G291=1,IF(AND(LEN(D291)&gt;7,ISNUMBER(VALUE(LEFT(D291,6))),MID(D291,7,1)=" "),LEFT(D291,6),D291),"")</f>
        <v/>
      </c>
      <c r="M291" s="36" t="str">
        <f aca="false">TRIM(J291)</f>
        <v/>
      </c>
      <c r="N291" s="36" t="str">
        <f aca="false">IF(M291="Revenue","Revenue",IF(M291="Cost of Goods Sold","COGS",IF(M291="Expenditures","Expense",IF(M291="Other Revenue","Other Revenue",IF(M291="Other Expenditures","Other Expense",N290)))))</f>
        <v/>
      </c>
      <c r="O291" s="36" t="str">
        <f aca="false">IF(OR(M291="Revenue",M291="Cost of Goods Sold",M291="Expenditures",M291="Other Revenue",M291="Other Expenditures"),N291,IF(AND(LEN(M291)&gt;2,MID(M291,2,1)=" ",ISNUMBER(VALUE(LEFT(M291,1)))),M291,O290))</f>
        <v/>
      </c>
      <c r="P291" s="36" t="n">
        <f aca="false">IF(AND(M291&lt;&gt;"",ISNUMBER(K291),LEFT(M291,9)&lt;&gt;"Total for",M291&lt;&gt;"Gross Profit",M291&lt;&gt;"Net Operating Revenue",M291&lt;&gt;"Net Other Revenue",M291&lt;&gt;"Net Revenue"),1,0)</f>
        <v>0</v>
      </c>
      <c r="Q291" s="36" t="str">
        <f aca="false">IF(P291=1,IF(AND(LEN(M291)&gt;7,ISNUMBER(VALUE(LEFT(M291,6))),MID(M291,7,1)=" "),LEFT(M291,6),M291),"")</f>
        <v/>
      </c>
      <c r="V291" s="36" t="str">
        <f aca="false">TRIM(S291)</f>
        <v/>
      </c>
      <c r="W291" s="36" t="str">
        <f aca="false">IF(V291="Revenue","Revenue",IF(V291="Cost of Goods Sold","COGS",IF(V291="Expenditures","Expense",IF(V291="Other Revenue","Other Revenue",IF(V291="Other Expenditures","Other Expense",W290)))))</f>
        <v/>
      </c>
      <c r="X291" s="36" t="str">
        <f aca="false">IF(OR(V291="Revenue",V291="Cost of Goods Sold",V291="Expenditures",V291="Other Revenue",V291="Other Expenditures"),W291,IF(AND(LEN(V291)&gt;2,MID(V291,2,1)=" ",ISNUMBER(VALUE(LEFT(V291,1)))),V291,X290))</f>
        <v/>
      </c>
      <c r="Y291" s="36" t="n">
        <f aca="false">IF(AND(V291&lt;&gt;"",ISNUMBER(T291),LEFT(V291,9)&lt;&gt;"Total for",V291&lt;&gt;"Gross Profit",V291&lt;&gt;"Net Operating Revenue",V291&lt;&gt;"Net Other Revenue",V291&lt;&gt;"Net Revenue"),1,0)</f>
        <v>0</v>
      </c>
      <c r="Z291" s="36" t="str">
        <f aca="false">IF(Y291=1,IF(AND(LEN(V291)&gt;7,ISNUMBER(VALUE(LEFT(V291,6))),MID(V291,7,1)=" "),LEFT(V291,6),V291),"")</f>
        <v/>
      </c>
      <c r="AE291" s="36" t="str">
        <f aca="false">TRIM(AB291)</f>
        <v/>
      </c>
      <c r="AF291" s="36" t="str">
        <f aca="false">IF(AE291="Revenue","Revenue",IF(AE291="Cost of Goods Sold","COGS",IF(AE291="Expenditures","Expense",IF(AE291="Other Revenue","Other Revenue",IF(AE291="Other Expenditures","Other Expense",AF290)))))</f>
        <v/>
      </c>
      <c r="AG291" s="36" t="str">
        <f aca="false">IF(OR(AE291="Revenue",AE291="Cost of Goods Sold",AE291="Expenditures",AE291="Other Revenue",AE291="Other Expenditures"),AF291,IF(AND(LEN(AE291)&gt;2,MID(AE291,2,1)=" ",ISNUMBER(VALUE(LEFT(AE291,1)))),AE291,AG290))</f>
        <v/>
      </c>
      <c r="AH291" s="36" t="n">
        <f aca="false">IF(AND(AE291&lt;&gt;"",ISNUMBER(AC291),LEFT(AE291,9)&lt;&gt;"Total for",AE291&lt;&gt;"Gross Profit",AE291&lt;&gt;"Net Operating Revenue",AE291&lt;&gt;"Net Other Revenue",AE291&lt;&gt;"Net Revenue"),1,0)</f>
        <v>0</v>
      </c>
      <c r="AI291" s="36" t="str">
        <f aca="false">IF(AH291=1,IF(AND(LEN(AE291)&gt;7,ISNUMBER(VALUE(LEFT(AE291,6))),MID(AE291,7,1)=" "),LEFT(AE291,6),AE291),"")</f>
        <v/>
      </c>
      <c r="AN291" s="36" t="str">
        <f aca="false">TRIM(AK291)</f>
        <v/>
      </c>
      <c r="AO291" s="36" t="str">
        <f aca="false">IF(AN291="Revenue","Revenue",IF(AN291="Cost of Goods Sold","COGS",IF(AN291="Expenditures","Expense",IF(AN291="Other Revenue","Other Revenue",IF(AN291="Other Expenditures","Other Expense",AO290)))))</f>
        <v/>
      </c>
      <c r="AP291" s="36" t="str">
        <f aca="false">IF(OR(AN291="Revenue",AN291="Cost of Goods Sold",AN291="Expenditures",AN291="Other Revenue",AN291="Other Expenditures"),AO291,IF(AND(LEN(AN291)&gt;2,MID(AN291,2,1)=" ",ISNUMBER(VALUE(LEFT(AN291,1)))),AN291,AP290))</f>
        <v/>
      </c>
      <c r="AQ291" s="36" t="n">
        <f aca="false">IF(AND(AN291&lt;&gt;"",ISNUMBER(AL291),LEFT(AN291,9)&lt;&gt;"Total for",AN291&lt;&gt;"Gross Profit",AN291&lt;&gt;"Net Operating Revenue",AN291&lt;&gt;"Net Other Revenue",AN291&lt;&gt;"Net Revenue"),1,0)</f>
        <v>0</v>
      </c>
      <c r="AR291" s="36" t="str">
        <f aca="false">IF(AQ291=1,IF(AND(LEN(AN291)&gt;7,ISNUMBER(VALUE(LEFT(AN291,6))),MID(AN291,7,1)=" "),LEFT(AN291,6),AN291),"")</f>
        <v/>
      </c>
    </row>
    <row r="292" customFormat="false" ht="15" hidden="false" customHeight="false" outlineLevel="0" collapsed="false">
      <c r="D292" s="36" t="str">
        <f aca="false">TRIM(A292)</f>
        <v/>
      </c>
      <c r="E292" s="36" t="str">
        <f aca="false">IF(D292="Revenue","Revenue",IF(D292="Cost of Goods Sold","COGS",IF(D292="Expenditures","Expense",IF(D292="Other Revenue","Other Revenue",IF(D292="Other Expenditures","Other Expense",E291)))))</f>
        <v/>
      </c>
      <c r="F292" s="36" t="str">
        <f aca="false">IF(OR(D292="Revenue",D292="Cost of Goods Sold",D292="Expenditures",D292="Other Revenue",D292="Other Expenditures"),E292,IF(AND(LEN(D292)&gt;2,MID(D292,2,1)=" ",ISNUMBER(VALUE(LEFT(D292,1)))),D292,F291))</f>
        <v/>
      </c>
      <c r="G292" s="36" t="n">
        <f aca="false">IF(AND(D292&lt;&gt;"",ISNUMBER(B292),LEFT(D292,9)&lt;&gt;"Total for",D292&lt;&gt;"Gross Profit",D292&lt;&gt;"Net Operating Revenue",D292&lt;&gt;"Net Other Revenue",D292&lt;&gt;"Net Revenue"),1,0)</f>
        <v>0</v>
      </c>
      <c r="H292" s="36" t="str">
        <f aca="false">IF(G292=1,IF(AND(LEN(D292)&gt;7,ISNUMBER(VALUE(LEFT(D292,6))),MID(D292,7,1)=" "),LEFT(D292,6),D292),"")</f>
        <v/>
      </c>
      <c r="M292" s="36" t="str">
        <f aca="false">TRIM(J292)</f>
        <v/>
      </c>
      <c r="N292" s="36" t="str">
        <f aca="false">IF(M292="Revenue","Revenue",IF(M292="Cost of Goods Sold","COGS",IF(M292="Expenditures","Expense",IF(M292="Other Revenue","Other Revenue",IF(M292="Other Expenditures","Other Expense",N291)))))</f>
        <v/>
      </c>
      <c r="O292" s="36" t="str">
        <f aca="false">IF(OR(M292="Revenue",M292="Cost of Goods Sold",M292="Expenditures",M292="Other Revenue",M292="Other Expenditures"),N292,IF(AND(LEN(M292)&gt;2,MID(M292,2,1)=" ",ISNUMBER(VALUE(LEFT(M292,1)))),M292,O291))</f>
        <v/>
      </c>
      <c r="P292" s="36" t="n">
        <f aca="false">IF(AND(M292&lt;&gt;"",ISNUMBER(K292),LEFT(M292,9)&lt;&gt;"Total for",M292&lt;&gt;"Gross Profit",M292&lt;&gt;"Net Operating Revenue",M292&lt;&gt;"Net Other Revenue",M292&lt;&gt;"Net Revenue"),1,0)</f>
        <v>0</v>
      </c>
      <c r="Q292" s="36" t="str">
        <f aca="false">IF(P292=1,IF(AND(LEN(M292)&gt;7,ISNUMBER(VALUE(LEFT(M292,6))),MID(M292,7,1)=" "),LEFT(M292,6),M292),"")</f>
        <v/>
      </c>
      <c r="V292" s="36" t="str">
        <f aca="false">TRIM(S292)</f>
        <v/>
      </c>
      <c r="W292" s="36" t="str">
        <f aca="false">IF(V292="Revenue","Revenue",IF(V292="Cost of Goods Sold","COGS",IF(V292="Expenditures","Expense",IF(V292="Other Revenue","Other Revenue",IF(V292="Other Expenditures","Other Expense",W291)))))</f>
        <v/>
      </c>
      <c r="X292" s="36" t="str">
        <f aca="false">IF(OR(V292="Revenue",V292="Cost of Goods Sold",V292="Expenditures",V292="Other Revenue",V292="Other Expenditures"),W292,IF(AND(LEN(V292)&gt;2,MID(V292,2,1)=" ",ISNUMBER(VALUE(LEFT(V292,1)))),V292,X291))</f>
        <v/>
      </c>
      <c r="Y292" s="36" t="n">
        <f aca="false">IF(AND(V292&lt;&gt;"",ISNUMBER(T292),LEFT(V292,9)&lt;&gt;"Total for",V292&lt;&gt;"Gross Profit",V292&lt;&gt;"Net Operating Revenue",V292&lt;&gt;"Net Other Revenue",V292&lt;&gt;"Net Revenue"),1,0)</f>
        <v>0</v>
      </c>
      <c r="Z292" s="36" t="str">
        <f aca="false">IF(Y292=1,IF(AND(LEN(V292)&gt;7,ISNUMBER(VALUE(LEFT(V292,6))),MID(V292,7,1)=" "),LEFT(V292,6),V292),"")</f>
        <v/>
      </c>
      <c r="AE292" s="36" t="str">
        <f aca="false">TRIM(AB292)</f>
        <v/>
      </c>
      <c r="AF292" s="36" t="str">
        <f aca="false">IF(AE292="Revenue","Revenue",IF(AE292="Cost of Goods Sold","COGS",IF(AE292="Expenditures","Expense",IF(AE292="Other Revenue","Other Revenue",IF(AE292="Other Expenditures","Other Expense",AF291)))))</f>
        <v/>
      </c>
      <c r="AG292" s="36" t="str">
        <f aca="false">IF(OR(AE292="Revenue",AE292="Cost of Goods Sold",AE292="Expenditures",AE292="Other Revenue",AE292="Other Expenditures"),AF292,IF(AND(LEN(AE292)&gt;2,MID(AE292,2,1)=" ",ISNUMBER(VALUE(LEFT(AE292,1)))),AE292,AG291))</f>
        <v/>
      </c>
      <c r="AH292" s="36" t="n">
        <f aca="false">IF(AND(AE292&lt;&gt;"",ISNUMBER(AC292),LEFT(AE292,9)&lt;&gt;"Total for",AE292&lt;&gt;"Gross Profit",AE292&lt;&gt;"Net Operating Revenue",AE292&lt;&gt;"Net Other Revenue",AE292&lt;&gt;"Net Revenue"),1,0)</f>
        <v>0</v>
      </c>
      <c r="AI292" s="36" t="str">
        <f aca="false">IF(AH292=1,IF(AND(LEN(AE292)&gt;7,ISNUMBER(VALUE(LEFT(AE292,6))),MID(AE292,7,1)=" "),LEFT(AE292,6),AE292),"")</f>
        <v/>
      </c>
      <c r="AN292" s="36" t="str">
        <f aca="false">TRIM(AK292)</f>
        <v/>
      </c>
      <c r="AO292" s="36" t="str">
        <f aca="false">IF(AN292="Revenue","Revenue",IF(AN292="Cost of Goods Sold","COGS",IF(AN292="Expenditures","Expense",IF(AN292="Other Revenue","Other Revenue",IF(AN292="Other Expenditures","Other Expense",AO291)))))</f>
        <v/>
      </c>
      <c r="AP292" s="36" t="str">
        <f aca="false">IF(OR(AN292="Revenue",AN292="Cost of Goods Sold",AN292="Expenditures",AN292="Other Revenue",AN292="Other Expenditures"),AO292,IF(AND(LEN(AN292)&gt;2,MID(AN292,2,1)=" ",ISNUMBER(VALUE(LEFT(AN292,1)))),AN292,AP291))</f>
        <v/>
      </c>
      <c r="AQ292" s="36" t="n">
        <f aca="false">IF(AND(AN292&lt;&gt;"",ISNUMBER(AL292),LEFT(AN292,9)&lt;&gt;"Total for",AN292&lt;&gt;"Gross Profit",AN292&lt;&gt;"Net Operating Revenue",AN292&lt;&gt;"Net Other Revenue",AN292&lt;&gt;"Net Revenue"),1,0)</f>
        <v>0</v>
      </c>
      <c r="AR292" s="36" t="str">
        <f aca="false">IF(AQ292=1,IF(AND(LEN(AN292)&gt;7,ISNUMBER(VALUE(LEFT(AN292,6))),MID(AN292,7,1)=" "),LEFT(AN292,6),AN292),"")</f>
        <v/>
      </c>
    </row>
    <row r="293" customFormat="false" ht="15" hidden="false" customHeight="false" outlineLevel="0" collapsed="false">
      <c r="D293" s="36" t="str">
        <f aca="false">TRIM(A293)</f>
        <v/>
      </c>
      <c r="E293" s="36" t="str">
        <f aca="false">IF(D293="Revenue","Revenue",IF(D293="Cost of Goods Sold","COGS",IF(D293="Expenditures","Expense",IF(D293="Other Revenue","Other Revenue",IF(D293="Other Expenditures","Other Expense",E292)))))</f>
        <v/>
      </c>
      <c r="F293" s="36" t="str">
        <f aca="false">IF(OR(D293="Revenue",D293="Cost of Goods Sold",D293="Expenditures",D293="Other Revenue",D293="Other Expenditures"),E293,IF(AND(LEN(D293)&gt;2,MID(D293,2,1)=" ",ISNUMBER(VALUE(LEFT(D293,1)))),D293,F292))</f>
        <v/>
      </c>
      <c r="G293" s="36" t="n">
        <f aca="false">IF(AND(D293&lt;&gt;"",ISNUMBER(B293),LEFT(D293,9)&lt;&gt;"Total for",D293&lt;&gt;"Gross Profit",D293&lt;&gt;"Net Operating Revenue",D293&lt;&gt;"Net Other Revenue",D293&lt;&gt;"Net Revenue"),1,0)</f>
        <v>0</v>
      </c>
      <c r="H293" s="36" t="str">
        <f aca="false">IF(G293=1,IF(AND(LEN(D293)&gt;7,ISNUMBER(VALUE(LEFT(D293,6))),MID(D293,7,1)=" "),LEFT(D293,6),D293),"")</f>
        <v/>
      </c>
      <c r="M293" s="36" t="str">
        <f aca="false">TRIM(J293)</f>
        <v/>
      </c>
      <c r="N293" s="36" t="str">
        <f aca="false">IF(M293="Revenue","Revenue",IF(M293="Cost of Goods Sold","COGS",IF(M293="Expenditures","Expense",IF(M293="Other Revenue","Other Revenue",IF(M293="Other Expenditures","Other Expense",N292)))))</f>
        <v/>
      </c>
      <c r="O293" s="36" t="str">
        <f aca="false">IF(OR(M293="Revenue",M293="Cost of Goods Sold",M293="Expenditures",M293="Other Revenue",M293="Other Expenditures"),N293,IF(AND(LEN(M293)&gt;2,MID(M293,2,1)=" ",ISNUMBER(VALUE(LEFT(M293,1)))),M293,O292))</f>
        <v/>
      </c>
      <c r="P293" s="36" t="n">
        <f aca="false">IF(AND(M293&lt;&gt;"",ISNUMBER(K293),LEFT(M293,9)&lt;&gt;"Total for",M293&lt;&gt;"Gross Profit",M293&lt;&gt;"Net Operating Revenue",M293&lt;&gt;"Net Other Revenue",M293&lt;&gt;"Net Revenue"),1,0)</f>
        <v>0</v>
      </c>
      <c r="Q293" s="36" t="str">
        <f aca="false">IF(P293=1,IF(AND(LEN(M293)&gt;7,ISNUMBER(VALUE(LEFT(M293,6))),MID(M293,7,1)=" "),LEFT(M293,6),M293),"")</f>
        <v/>
      </c>
      <c r="V293" s="36" t="str">
        <f aca="false">TRIM(S293)</f>
        <v/>
      </c>
      <c r="W293" s="36" t="str">
        <f aca="false">IF(V293="Revenue","Revenue",IF(V293="Cost of Goods Sold","COGS",IF(V293="Expenditures","Expense",IF(V293="Other Revenue","Other Revenue",IF(V293="Other Expenditures","Other Expense",W292)))))</f>
        <v/>
      </c>
      <c r="X293" s="36" t="str">
        <f aca="false">IF(OR(V293="Revenue",V293="Cost of Goods Sold",V293="Expenditures",V293="Other Revenue",V293="Other Expenditures"),W293,IF(AND(LEN(V293)&gt;2,MID(V293,2,1)=" ",ISNUMBER(VALUE(LEFT(V293,1)))),V293,X292))</f>
        <v/>
      </c>
      <c r="Y293" s="36" t="n">
        <f aca="false">IF(AND(V293&lt;&gt;"",ISNUMBER(T293),LEFT(V293,9)&lt;&gt;"Total for",V293&lt;&gt;"Gross Profit",V293&lt;&gt;"Net Operating Revenue",V293&lt;&gt;"Net Other Revenue",V293&lt;&gt;"Net Revenue"),1,0)</f>
        <v>0</v>
      </c>
      <c r="Z293" s="36" t="str">
        <f aca="false">IF(Y293=1,IF(AND(LEN(V293)&gt;7,ISNUMBER(VALUE(LEFT(V293,6))),MID(V293,7,1)=" "),LEFT(V293,6),V293),"")</f>
        <v/>
      </c>
      <c r="AE293" s="36" t="str">
        <f aca="false">TRIM(AB293)</f>
        <v/>
      </c>
      <c r="AF293" s="36" t="str">
        <f aca="false">IF(AE293="Revenue","Revenue",IF(AE293="Cost of Goods Sold","COGS",IF(AE293="Expenditures","Expense",IF(AE293="Other Revenue","Other Revenue",IF(AE293="Other Expenditures","Other Expense",AF292)))))</f>
        <v/>
      </c>
      <c r="AG293" s="36" t="str">
        <f aca="false">IF(OR(AE293="Revenue",AE293="Cost of Goods Sold",AE293="Expenditures",AE293="Other Revenue",AE293="Other Expenditures"),AF293,IF(AND(LEN(AE293)&gt;2,MID(AE293,2,1)=" ",ISNUMBER(VALUE(LEFT(AE293,1)))),AE293,AG292))</f>
        <v/>
      </c>
      <c r="AH293" s="36" t="n">
        <f aca="false">IF(AND(AE293&lt;&gt;"",ISNUMBER(AC293),LEFT(AE293,9)&lt;&gt;"Total for",AE293&lt;&gt;"Gross Profit",AE293&lt;&gt;"Net Operating Revenue",AE293&lt;&gt;"Net Other Revenue",AE293&lt;&gt;"Net Revenue"),1,0)</f>
        <v>0</v>
      </c>
      <c r="AI293" s="36" t="str">
        <f aca="false">IF(AH293=1,IF(AND(LEN(AE293)&gt;7,ISNUMBER(VALUE(LEFT(AE293,6))),MID(AE293,7,1)=" "),LEFT(AE293,6),AE293),"")</f>
        <v/>
      </c>
      <c r="AN293" s="36" t="str">
        <f aca="false">TRIM(AK293)</f>
        <v/>
      </c>
      <c r="AO293" s="36" t="str">
        <f aca="false">IF(AN293="Revenue","Revenue",IF(AN293="Cost of Goods Sold","COGS",IF(AN293="Expenditures","Expense",IF(AN293="Other Revenue","Other Revenue",IF(AN293="Other Expenditures","Other Expense",AO292)))))</f>
        <v/>
      </c>
      <c r="AP293" s="36" t="str">
        <f aca="false">IF(OR(AN293="Revenue",AN293="Cost of Goods Sold",AN293="Expenditures",AN293="Other Revenue",AN293="Other Expenditures"),AO293,IF(AND(LEN(AN293)&gt;2,MID(AN293,2,1)=" ",ISNUMBER(VALUE(LEFT(AN293,1)))),AN293,AP292))</f>
        <v/>
      </c>
      <c r="AQ293" s="36" t="n">
        <f aca="false">IF(AND(AN293&lt;&gt;"",ISNUMBER(AL293),LEFT(AN293,9)&lt;&gt;"Total for",AN293&lt;&gt;"Gross Profit",AN293&lt;&gt;"Net Operating Revenue",AN293&lt;&gt;"Net Other Revenue",AN293&lt;&gt;"Net Revenue"),1,0)</f>
        <v>0</v>
      </c>
      <c r="AR293" s="36" t="str">
        <f aca="false">IF(AQ293=1,IF(AND(LEN(AN293)&gt;7,ISNUMBER(VALUE(LEFT(AN293,6))),MID(AN293,7,1)=" "),LEFT(AN293,6),AN293),"")</f>
        <v/>
      </c>
    </row>
    <row r="294" customFormat="false" ht="15" hidden="false" customHeight="false" outlineLevel="0" collapsed="false">
      <c r="D294" s="36" t="str">
        <f aca="false">TRIM(A294)</f>
        <v/>
      </c>
      <c r="E294" s="36" t="str">
        <f aca="false">IF(D294="Revenue","Revenue",IF(D294="Cost of Goods Sold","COGS",IF(D294="Expenditures","Expense",IF(D294="Other Revenue","Other Revenue",IF(D294="Other Expenditures","Other Expense",E293)))))</f>
        <v/>
      </c>
      <c r="F294" s="36" t="str">
        <f aca="false">IF(OR(D294="Revenue",D294="Cost of Goods Sold",D294="Expenditures",D294="Other Revenue",D294="Other Expenditures"),E294,IF(AND(LEN(D294)&gt;2,MID(D294,2,1)=" ",ISNUMBER(VALUE(LEFT(D294,1)))),D294,F293))</f>
        <v/>
      </c>
      <c r="G294" s="36" t="n">
        <f aca="false">IF(AND(D294&lt;&gt;"",ISNUMBER(B294),LEFT(D294,9)&lt;&gt;"Total for",D294&lt;&gt;"Gross Profit",D294&lt;&gt;"Net Operating Revenue",D294&lt;&gt;"Net Other Revenue",D294&lt;&gt;"Net Revenue"),1,0)</f>
        <v>0</v>
      </c>
      <c r="H294" s="36" t="str">
        <f aca="false">IF(G294=1,IF(AND(LEN(D294)&gt;7,ISNUMBER(VALUE(LEFT(D294,6))),MID(D294,7,1)=" "),LEFT(D294,6),D294),"")</f>
        <v/>
      </c>
      <c r="M294" s="36" t="str">
        <f aca="false">TRIM(J294)</f>
        <v/>
      </c>
      <c r="N294" s="36" t="str">
        <f aca="false">IF(M294="Revenue","Revenue",IF(M294="Cost of Goods Sold","COGS",IF(M294="Expenditures","Expense",IF(M294="Other Revenue","Other Revenue",IF(M294="Other Expenditures","Other Expense",N293)))))</f>
        <v/>
      </c>
      <c r="O294" s="36" t="str">
        <f aca="false">IF(OR(M294="Revenue",M294="Cost of Goods Sold",M294="Expenditures",M294="Other Revenue",M294="Other Expenditures"),N294,IF(AND(LEN(M294)&gt;2,MID(M294,2,1)=" ",ISNUMBER(VALUE(LEFT(M294,1)))),M294,O293))</f>
        <v/>
      </c>
      <c r="P294" s="36" t="n">
        <f aca="false">IF(AND(M294&lt;&gt;"",ISNUMBER(K294),LEFT(M294,9)&lt;&gt;"Total for",M294&lt;&gt;"Gross Profit",M294&lt;&gt;"Net Operating Revenue",M294&lt;&gt;"Net Other Revenue",M294&lt;&gt;"Net Revenue"),1,0)</f>
        <v>0</v>
      </c>
      <c r="Q294" s="36" t="str">
        <f aca="false">IF(P294=1,IF(AND(LEN(M294)&gt;7,ISNUMBER(VALUE(LEFT(M294,6))),MID(M294,7,1)=" "),LEFT(M294,6),M294),"")</f>
        <v/>
      </c>
      <c r="V294" s="36" t="str">
        <f aca="false">TRIM(S294)</f>
        <v/>
      </c>
      <c r="W294" s="36" t="str">
        <f aca="false">IF(V294="Revenue","Revenue",IF(V294="Cost of Goods Sold","COGS",IF(V294="Expenditures","Expense",IF(V294="Other Revenue","Other Revenue",IF(V294="Other Expenditures","Other Expense",W293)))))</f>
        <v/>
      </c>
      <c r="X294" s="36" t="str">
        <f aca="false">IF(OR(V294="Revenue",V294="Cost of Goods Sold",V294="Expenditures",V294="Other Revenue",V294="Other Expenditures"),W294,IF(AND(LEN(V294)&gt;2,MID(V294,2,1)=" ",ISNUMBER(VALUE(LEFT(V294,1)))),V294,X293))</f>
        <v/>
      </c>
      <c r="Y294" s="36" t="n">
        <f aca="false">IF(AND(V294&lt;&gt;"",ISNUMBER(T294),LEFT(V294,9)&lt;&gt;"Total for",V294&lt;&gt;"Gross Profit",V294&lt;&gt;"Net Operating Revenue",V294&lt;&gt;"Net Other Revenue",V294&lt;&gt;"Net Revenue"),1,0)</f>
        <v>0</v>
      </c>
      <c r="Z294" s="36" t="str">
        <f aca="false">IF(Y294=1,IF(AND(LEN(V294)&gt;7,ISNUMBER(VALUE(LEFT(V294,6))),MID(V294,7,1)=" "),LEFT(V294,6),V294),"")</f>
        <v/>
      </c>
      <c r="AE294" s="36" t="str">
        <f aca="false">TRIM(AB294)</f>
        <v/>
      </c>
      <c r="AF294" s="36" t="str">
        <f aca="false">IF(AE294="Revenue","Revenue",IF(AE294="Cost of Goods Sold","COGS",IF(AE294="Expenditures","Expense",IF(AE294="Other Revenue","Other Revenue",IF(AE294="Other Expenditures","Other Expense",AF293)))))</f>
        <v/>
      </c>
      <c r="AG294" s="36" t="str">
        <f aca="false">IF(OR(AE294="Revenue",AE294="Cost of Goods Sold",AE294="Expenditures",AE294="Other Revenue",AE294="Other Expenditures"),AF294,IF(AND(LEN(AE294)&gt;2,MID(AE294,2,1)=" ",ISNUMBER(VALUE(LEFT(AE294,1)))),AE294,AG293))</f>
        <v/>
      </c>
      <c r="AH294" s="36" t="n">
        <f aca="false">IF(AND(AE294&lt;&gt;"",ISNUMBER(AC294),LEFT(AE294,9)&lt;&gt;"Total for",AE294&lt;&gt;"Gross Profit",AE294&lt;&gt;"Net Operating Revenue",AE294&lt;&gt;"Net Other Revenue",AE294&lt;&gt;"Net Revenue"),1,0)</f>
        <v>0</v>
      </c>
      <c r="AI294" s="36" t="str">
        <f aca="false">IF(AH294=1,IF(AND(LEN(AE294)&gt;7,ISNUMBER(VALUE(LEFT(AE294,6))),MID(AE294,7,1)=" "),LEFT(AE294,6),AE294),"")</f>
        <v/>
      </c>
      <c r="AN294" s="36" t="str">
        <f aca="false">TRIM(AK294)</f>
        <v/>
      </c>
      <c r="AO294" s="36" t="str">
        <f aca="false">IF(AN294="Revenue","Revenue",IF(AN294="Cost of Goods Sold","COGS",IF(AN294="Expenditures","Expense",IF(AN294="Other Revenue","Other Revenue",IF(AN294="Other Expenditures","Other Expense",AO293)))))</f>
        <v/>
      </c>
      <c r="AP294" s="36" t="str">
        <f aca="false">IF(OR(AN294="Revenue",AN294="Cost of Goods Sold",AN294="Expenditures",AN294="Other Revenue",AN294="Other Expenditures"),AO294,IF(AND(LEN(AN294)&gt;2,MID(AN294,2,1)=" ",ISNUMBER(VALUE(LEFT(AN294,1)))),AN294,AP293))</f>
        <v/>
      </c>
      <c r="AQ294" s="36" t="n">
        <f aca="false">IF(AND(AN294&lt;&gt;"",ISNUMBER(AL294),LEFT(AN294,9)&lt;&gt;"Total for",AN294&lt;&gt;"Gross Profit",AN294&lt;&gt;"Net Operating Revenue",AN294&lt;&gt;"Net Other Revenue",AN294&lt;&gt;"Net Revenue"),1,0)</f>
        <v>0</v>
      </c>
      <c r="AR294" s="36" t="str">
        <f aca="false">IF(AQ294=1,IF(AND(LEN(AN294)&gt;7,ISNUMBER(VALUE(LEFT(AN294,6))),MID(AN294,7,1)=" "),LEFT(AN294,6),AN294),"")</f>
        <v/>
      </c>
    </row>
    <row r="295" customFormat="false" ht="15" hidden="false" customHeight="false" outlineLevel="0" collapsed="false">
      <c r="D295" s="36" t="str">
        <f aca="false">TRIM(A295)</f>
        <v/>
      </c>
      <c r="E295" s="36" t="str">
        <f aca="false">IF(D295="Revenue","Revenue",IF(D295="Cost of Goods Sold","COGS",IF(D295="Expenditures","Expense",IF(D295="Other Revenue","Other Revenue",IF(D295="Other Expenditures","Other Expense",E294)))))</f>
        <v/>
      </c>
      <c r="F295" s="36" t="str">
        <f aca="false">IF(OR(D295="Revenue",D295="Cost of Goods Sold",D295="Expenditures",D295="Other Revenue",D295="Other Expenditures"),E295,IF(AND(LEN(D295)&gt;2,MID(D295,2,1)=" ",ISNUMBER(VALUE(LEFT(D295,1)))),D295,F294))</f>
        <v/>
      </c>
      <c r="G295" s="36" t="n">
        <f aca="false">IF(AND(D295&lt;&gt;"",ISNUMBER(B295),LEFT(D295,9)&lt;&gt;"Total for",D295&lt;&gt;"Gross Profit",D295&lt;&gt;"Net Operating Revenue",D295&lt;&gt;"Net Other Revenue",D295&lt;&gt;"Net Revenue"),1,0)</f>
        <v>0</v>
      </c>
      <c r="H295" s="36" t="str">
        <f aca="false">IF(G295=1,IF(AND(LEN(D295)&gt;7,ISNUMBER(VALUE(LEFT(D295,6))),MID(D295,7,1)=" "),LEFT(D295,6),D295),"")</f>
        <v/>
      </c>
      <c r="M295" s="36" t="str">
        <f aca="false">TRIM(J295)</f>
        <v/>
      </c>
      <c r="N295" s="36" t="str">
        <f aca="false">IF(M295="Revenue","Revenue",IF(M295="Cost of Goods Sold","COGS",IF(M295="Expenditures","Expense",IF(M295="Other Revenue","Other Revenue",IF(M295="Other Expenditures","Other Expense",N294)))))</f>
        <v/>
      </c>
      <c r="O295" s="36" t="str">
        <f aca="false">IF(OR(M295="Revenue",M295="Cost of Goods Sold",M295="Expenditures",M295="Other Revenue",M295="Other Expenditures"),N295,IF(AND(LEN(M295)&gt;2,MID(M295,2,1)=" ",ISNUMBER(VALUE(LEFT(M295,1)))),M295,O294))</f>
        <v/>
      </c>
      <c r="P295" s="36" t="n">
        <f aca="false">IF(AND(M295&lt;&gt;"",ISNUMBER(K295),LEFT(M295,9)&lt;&gt;"Total for",M295&lt;&gt;"Gross Profit",M295&lt;&gt;"Net Operating Revenue",M295&lt;&gt;"Net Other Revenue",M295&lt;&gt;"Net Revenue"),1,0)</f>
        <v>0</v>
      </c>
      <c r="Q295" s="36" t="str">
        <f aca="false">IF(P295=1,IF(AND(LEN(M295)&gt;7,ISNUMBER(VALUE(LEFT(M295,6))),MID(M295,7,1)=" "),LEFT(M295,6),M295),"")</f>
        <v/>
      </c>
      <c r="V295" s="36" t="str">
        <f aca="false">TRIM(S295)</f>
        <v/>
      </c>
      <c r="W295" s="36" t="str">
        <f aca="false">IF(V295="Revenue","Revenue",IF(V295="Cost of Goods Sold","COGS",IF(V295="Expenditures","Expense",IF(V295="Other Revenue","Other Revenue",IF(V295="Other Expenditures","Other Expense",W294)))))</f>
        <v/>
      </c>
      <c r="X295" s="36" t="str">
        <f aca="false">IF(OR(V295="Revenue",V295="Cost of Goods Sold",V295="Expenditures",V295="Other Revenue",V295="Other Expenditures"),W295,IF(AND(LEN(V295)&gt;2,MID(V295,2,1)=" ",ISNUMBER(VALUE(LEFT(V295,1)))),V295,X294))</f>
        <v/>
      </c>
      <c r="Y295" s="36" t="n">
        <f aca="false">IF(AND(V295&lt;&gt;"",ISNUMBER(T295),LEFT(V295,9)&lt;&gt;"Total for",V295&lt;&gt;"Gross Profit",V295&lt;&gt;"Net Operating Revenue",V295&lt;&gt;"Net Other Revenue",V295&lt;&gt;"Net Revenue"),1,0)</f>
        <v>0</v>
      </c>
      <c r="Z295" s="36" t="str">
        <f aca="false">IF(Y295=1,IF(AND(LEN(V295)&gt;7,ISNUMBER(VALUE(LEFT(V295,6))),MID(V295,7,1)=" "),LEFT(V295,6),V295),"")</f>
        <v/>
      </c>
      <c r="AE295" s="36" t="str">
        <f aca="false">TRIM(AB295)</f>
        <v/>
      </c>
      <c r="AF295" s="36" t="str">
        <f aca="false">IF(AE295="Revenue","Revenue",IF(AE295="Cost of Goods Sold","COGS",IF(AE295="Expenditures","Expense",IF(AE295="Other Revenue","Other Revenue",IF(AE295="Other Expenditures","Other Expense",AF294)))))</f>
        <v/>
      </c>
      <c r="AG295" s="36" t="str">
        <f aca="false">IF(OR(AE295="Revenue",AE295="Cost of Goods Sold",AE295="Expenditures",AE295="Other Revenue",AE295="Other Expenditures"),AF295,IF(AND(LEN(AE295)&gt;2,MID(AE295,2,1)=" ",ISNUMBER(VALUE(LEFT(AE295,1)))),AE295,AG294))</f>
        <v/>
      </c>
      <c r="AH295" s="36" t="n">
        <f aca="false">IF(AND(AE295&lt;&gt;"",ISNUMBER(AC295),LEFT(AE295,9)&lt;&gt;"Total for",AE295&lt;&gt;"Gross Profit",AE295&lt;&gt;"Net Operating Revenue",AE295&lt;&gt;"Net Other Revenue",AE295&lt;&gt;"Net Revenue"),1,0)</f>
        <v>0</v>
      </c>
      <c r="AI295" s="36" t="str">
        <f aca="false">IF(AH295=1,IF(AND(LEN(AE295)&gt;7,ISNUMBER(VALUE(LEFT(AE295,6))),MID(AE295,7,1)=" "),LEFT(AE295,6),AE295),"")</f>
        <v/>
      </c>
      <c r="AN295" s="36" t="str">
        <f aca="false">TRIM(AK295)</f>
        <v/>
      </c>
      <c r="AO295" s="36" t="str">
        <f aca="false">IF(AN295="Revenue","Revenue",IF(AN295="Cost of Goods Sold","COGS",IF(AN295="Expenditures","Expense",IF(AN295="Other Revenue","Other Revenue",IF(AN295="Other Expenditures","Other Expense",AO294)))))</f>
        <v/>
      </c>
      <c r="AP295" s="36" t="str">
        <f aca="false">IF(OR(AN295="Revenue",AN295="Cost of Goods Sold",AN295="Expenditures",AN295="Other Revenue",AN295="Other Expenditures"),AO295,IF(AND(LEN(AN295)&gt;2,MID(AN295,2,1)=" ",ISNUMBER(VALUE(LEFT(AN295,1)))),AN295,AP294))</f>
        <v/>
      </c>
      <c r="AQ295" s="36" t="n">
        <f aca="false">IF(AND(AN295&lt;&gt;"",ISNUMBER(AL295),LEFT(AN295,9)&lt;&gt;"Total for",AN295&lt;&gt;"Gross Profit",AN295&lt;&gt;"Net Operating Revenue",AN295&lt;&gt;"Net Other Revenue",AN295&lt;&gt;"Net Revenue"),1,0)</f>
        <v>0</v>
      </c>
      <c r="AR295" s="36" t="str">
        <f aca="false">IF(AQ295=1,IF(AND(LEN(AN295)&gt;7,ISNUMBER(VALUE(LEFT(AN295,6))),MID(AN295,7,1)=" "),LEFT(AN295,6),AN295),"")</f>
        <v/>
      </c>
    </row>
    <row r="296" customFormat="false" ht="15" hidden="false" customHeight="false" outlineLevel="0" collapsed="false">
      <c r="D296" s="36" t="str">
        <f aca="false">TRIM(A296)</f>
        <v/>
      </c>
      <c r="E296" s="36" t="str">
        <f aca="false">IF(D296="Revenue","Revenue",IF(D296="Cost of Goods Sold","COGS",IF(D296="Expenditures","Expense",IF(D296="Other Revenue","Other Revenue",IF(D296="Other Expenditures","Other Expense",E295)))))</f>
        <v/>
      </c>
      <c r="F296" s="36" t="str">
        <f aca="false">IF(OR(D296="Revenue",D296="Cost of Goods Sold",D296="Expenditures",D296="Other Revenue",D296="Other Expenditures"),E296,IF(AND(LEN(D296)&gt;2,MID(D296,2,1)=" ",ISNUMBER(VALUE(LEFT(D296,1)))),D296,F295))</f>
        <v/>
      </c>
      <c r="G296" s="36" t="n">
        <f aca="false">IF(AND(D296&lt;&gt;"",ISNUMBER(B296),LEFT(D296,9)&lt;&gt;"Total for",D296&lt;&gt;"Gross Profit",D296&lt;&gt;"Net Operating Revenue",D296&lt;&gt;"Net Other Revenue",D296&lt;&gt;"Net Revenue"),1,0)</f>
        <v>0</v>
      </c>
      <c r="H296" s="36" t="str">
        <f aca="false">IF(G296=1,IF(AND(LEN(D296)&gt;7,ISNUMBER(VALUE(LEFT(D296,6))),MID(D296,7,1)=" "),LEFT(D296,6),D296),"")</f>
        <v/>
      </c>
      <c r="M296" s="36" t="str">
        <f aca="false">TRIM(J296)</f>
        <v/>
      </c>
      <c r="N296" s="36" t="str">
        <f aca="false">IF(M296="Revenue","Revenue",IF(M296="Cost of Goods Sold","COGS",IF(M296="Expenditures","Expense",IF(M296="Other Revenue","Other Revenue",IF(M296="Other Expenditures","Other Expense",N295)))))</f>
        <v/>
      </c>
      <c r="O296" s="36" t="str">
        <f aca="false">IF(OR(M296="Revenue",M296="Cost of Goods Sold",M296="Expenditures",M296="Other Revenue",M296="Other Expenditures"),N296,IF(AND(LEN(M296)&gt;2,MID(M296,2,1)=" ",ISNUMBER(VALUE(LEFT(M296,1)))),M296,O295))</f>
        <v/>
      </c>
      <c r="P296" s="36" t="n">
        <f aca="false">IF(AND(M296&lt;&gt;"",ISNUMBER(K296),LEFT(M296,9)&lt;&gt;"Total for",M296&lt;&gt;"Gross Profit",M296&lt;&gt;"Net Operating Revenue",M296&lt;&gt;"Net Other Revenue",M296&lt;&gt;"Net Revenue"),1,0)</f>
        <v>0</v>
      </c>
      <c r="Q296" s="36" t="str">
        <f aca="false">IF(P296=1,IF(AND(LEN(M296)&gt;7,ISNUMBER(VALUE(LEFT(M296,6))),MID(M296,7,1)=" "),LEFT(M296,6),M296),"")</f>
        <v/>
      </c>
      <c r="V296" s="36" t="str">
        <f aca="false">TRIM(S296)</f>
        <v/>
      </c>
      <c r="W296" s="36" t="str">
        <f aca="false">IF(V296="Revenue","Revenue",IF(V296="Cost of Goods Sold","COGS",IF(V296="Expenditures","Expense",IF(V296="Other Revenue","Other Revenue",IF(V296="Other Expenditures","Other Expense",W295)))))</f>
        <v/>
      </c>
      <c r="X296" s="36" t="str">
        <f aca="false">IF(OR(V296="Revenue",V296="Cost of Goods Sold",V296="Expenditures",V296="Other Revenue",V296="Other Expenditures"),W296,IF(AND(LEN(V296)&gt;2,MID(V296,2,1)=" ",ISNUMBER(VALUE(LEFT(V296,1)))),V296,X295))</f>
        <v/>
      </c>
      <c r="Y296" s="36" t="n">
        <f aca="false">IF(AND(V296&lt;&gt;"",ISNUMBER(T296),LEFT(V296,9)&lt;&gt;"Total for",V296&lt;&gt;"Gross Profit",V296&lt;&gt;"Net Operating Revenue",V296&lt;&gt;"Net Other Revenue",V296&lt;&gt;"Net Revenue"),1,0)</f>
        <v>0</v>
      </c>
      <c r="Z296" s="36" t="str">
        <f aca="false">IF(Y296=1,IF(AND(LEN(V296)&gt;7,ISNUMBER(VALUE(LEFT(V296,6))),MID(V296,7,1)=" "),LEFT(V296,6),V296),"")</f>
        <v/>
      </c>
      <c r="AE296" s="36" t="str">
        <f aca="false">TRIM(AB296)</f>
        <v/>
      </c>
      <c r="AF296" s="36" t="str">
        <f aca="false">IF(AE296="Revenue","Revenue",IF(AE296="Cost of Goods Sold","COGS",IF(AE296="Expenditures","Expense",IF(AE296="Other Revenue","Other Revenue",IF(AE296="Other Expenditures","Other Expense",AF295)))))</f>
        <v/>
      </c>
      <c r="AG296" s="36" t="str">
        <f aca="false">IF(OR(AE296="Revenue",AE296="Cost of Goods Sold",AE296="Expenditures",AE296="Other Revenue",AE296="Other Expenditures"),AF296,IF(AND(LEN(AE296)&gt;2,MID(AE296,2,1)=" ",ISNUMBER(VALUE(LEFT(AE296,1)))),AE296,AG295))</f>
        <v/>
      </c>
      <c r="AH296" s="36" t="n">
        <f aca="false">IF(AND(AE296&lt;&gt;"",ISNUMBER(AC296),LEFT(AE296,9)&lt;&gt;"Total for",AE296&lt;&gt;"Gross Profit",AE296&lt;&gt;"Net Operating Revenue",AE296&lt;&gt;"Net Other Revenue",AE296&lt;&gt;"Net Revenue"),1,0)</f>
        <v>0</v>
      </c>
      <c r="AI296" s="36" t="str">
        <f aca="false">IF(AH296=1,IF(AND(LEN(AE296)&gt;7,ISNUMBER(VALUE(LEFT(AE296,6))),MID(AE296,7,1)=" "),LEFT(AE296,6),AE296),"")</f>
        <v/>
      </c>
      <c r="AN296" s="36" t="str">
        <f aca="false">TRIM(AK296)</f>
        <v/>
      </c>
      <c r="AO296" s="36" t="str">
        <f aca="false">IF(AN296="Revenue","Revenue",IF(AN296="Cost of Goods Sold","COGS",IF(AN296="Expenditures","Expense",IF(AN296="Other Revenue","Other Revenue",IF(AN296="Other Expenditures","Other Expense",AO295)))))</f>
        <v/>
      </c>
      <c r="AP296" s="36" t="str">
        <f aca="false">IF(OR(AN296="Revenue",AN296="Cost of Goods Sold",AN296="Expenditures",AN296="Other Revenue",AN296="Other Expenditures"),AO296,IF(AND(LEN(AN296)&gt;2,MID(AN296,2,1)=" ",ISNUMBER(VALUE(LEFT(AN296,1)))),AN296,AP295))</f>
        <v/>
      </c>
      <c r="AQ296" s="36" t="n">
        <f aca="false">IF(AND(AN296&lt;&gt;"",ISNUMBER(AL296),LEFT(AN296,9)&lt;&gt;"Total for",AN296&lt;&gt;"Gross Profit",AN296&lt;&gt;"Net Operating Revenue",AN296&lt;&gt;"Net Other Revenue",AN296&lt;&gt;"Net Revenue"),1,0)</f>
        <v>0</v>
      </c>
      <c r="AR296" s="36" t="str">
        <f aca="false">IF(AQ296=1,IF(AND(LEN(AN296)&gt;7,ISNUMBER(VALUE(LEFT(AN296,6))),MID(AN296,7,1)=" "),LEFT(AN296,6),AN296),"")</f>
        <v/>
      </c>
    </row>
    <row r="297" customFormat="false" ht="15" hidden="false" customHeight="false" outlineLevel="0" collapsed="false">
      <c r="D297" s="36" t="str">
        <f aca="false">TRIM(A297)</f>
        <v/>
      </c>
      <c r="E297" s="36" t="str">
        <f aca="false">IF(D297="Revenue","Revenue",IF(D297="Cost of Goods Sold","COGS",IF(D297="Expenditures","Expense",IF(D297="Other Revenue","Other Revenue",IF(D297="Other Expenditures","Other Expense",E296)))))</f>
        <v/>
      </c>
      <c r="F297" s="36" t="str">
        <f aca="false">IF(OR(D297="Revenue",D297="Cost of Goods Sold",D297="Expenditures",D297="Other Revenue",D297="Other Expenditures"),E297,IF(AND(LEN(D297)&gt;2,MID(D297,2,1)=" ",ISNUMBER(VALUE(LEFT(D297,1)))),D297,F296))</f>
        <v/>
      </c>
      <c r="G297" s="36" t="n">
        <f aca="false">IF(AND(D297&lt;&gt;"",ISNUMBER(B297),LEFT(D297,9)&lt;&gt;"Total for",D297&lt;&gt;"Gross Profit",D297&lt;&gt;"Net Operating Revenue",D297&lt;&gt;"Net Other Revenue",D297&lt;&gt;"Net Revenue"),1,0)</f>
        <v>0</v>
      </c>
      <c r="H297" s="36" t="str">
        <f aca="false">IF(G297=1,IF(AND(LEN(D297)&gt;7,ISNUMBER(VALUE(LEFT(D297,6))),MID(D297,7,1)=" "),LEFT(D297,6),D297),"")</f>
        <v/>
      </c>
      <c r="M297" s="36" t="str">
        <f aca="false">TRIM(J297)</f>
        <v/>
      </c>
      <c r="N297" s="36" t="str">
        <f aca="false">IF(M297="Revenue","Revenue",IF(M297="Cost of Goods Sold","COGS",IF(M297="Expenditures","Expense",IF(M297="Other Revenue","Other Revenue",IF(M297="Other Expenditures","Other Expense",N296)))))</f>
        <v/>
      </c>
      <c r="O297" s="36" t="str">
        <f aca="false">IF(OR(M297="Revenue",M297="Cost of Goods Sold",M297="Expenditures",M297="Other Revenue",M297="Other Expenditures"),N297,IF(AND(LEN(M297)&gt;2,MID(M297,2,1)=" ",ISNUMBER(VALUE(LEFT(M297,1)))),M297,O296))</f>
        <v/>
      </c>
      <c r="P297" s="36" t="n">
        <f aca="false">IF(AND(M297&lt;&gt;"",ISNUMBER(K297),LEFT(M297,9)&lt;&gt;"Total for",M297&lt;&gt;"Gross Profit",M297&lt;&gt;"Net Operating Revenue",M297&lt;&gt;"Net Other Revenue",M297&lt;&gt;"Net Revenue"),1,0)</f>
        <v>0</v>
      </c>
      <c r="Q297" s="36" t="str">
        <f aca="false">IF(P297=1,IF(AND(LEN(M297)&gt;7,ISNUMBER(VALUE(LEFT(M297,6))),MID(M297,7,1)=" "),LEFT(M297,6),M297),"")</f>
        <v/>
      </c>
      <c r="V297" s="36" t="str">
        <f aca="false">TRIM(S297)</f>
        <v/>
      </c>
      <c r="W297" s="36" t="str">
        <f aca="false">IF(V297="Revenue","Revenue",IF(V297="Cost of Goods Sold","COGS",IF(V297="Expenditures","Expense",IF(V297="Other Revenue","Other Revenue",IF(V297="Other Expenditures","Other Expense",W296)))))</f>
        <v/>
      </c>
      <c r="X297" s="36" t="str">
        <f aca="false">IF(OR(V297="Revenue",V297="Cost of Goods Sold",V297="Expenditures",V297="Other Revenue",V297="Other Expenditures"),W297,IF(AND(LEN(V297)&gt;2,MID(V297,2,1)=" ",ISNUMBER(VALUE(LEFT(V297,1)))),V297,X296))</f>
        <v/>
      </c>
      <c r="Y297" s="36" t="n">
        <f aca="false">IF(AND(V297&lt;&gt;"",ISNUMBER(T297),LEFT(V297,9)&lt;&gt;"Total for",V297&lt;&gt;"Gross Profit",V297&lt;&gt;"Net Operating Revenue",V297&lt;&gt;"Net Other Revenue",V297&lt;&gt;"Net Revenue"),1,0)</f>
        <v>0</v>
      </c>
      <c r="Z297" s="36" t="str">
        <f aca="false">IF(Y297=1,IF(AND(LEN(V297)&gt;7,ISNUMBER(VALUE(LEFT(V297,6))),MID(V297,7,1)=" "),LEFT(V297,6),V297),"")</f>
        <v/>
      </c>
      <c r="AE297" s="36" t="str">
        <f aca="false">TRIM(AB297)</f>
        <v/>
      </c>
      <c r="AF297" s="36" t="str">
        <f aca="false">IF(AE297="Revenue","Revenue",IF(AE297="Cost of Goods Sold","COGS",IF(AE297="Expenditures","Expense",IF(AE297="Other Revenue","Other Revenue",IF(AE297="Other Expenditures","Other Expense",AF296)))))</f>
        <v/>
      </c>
      <c r="AG297" s="36" t="str">
        <f aca="false">IF(OR(AE297="Revenue",AE297="Cost of Goods Sold",AE297="Expenditures",AE297="Other Revenue",AE297="Other Expenditures"),AF297,IF(AND(LEN(AE297)&gt;2,MID(AE297,2,1)=" ",ISNUMBER(VALUE(LEFT(AE297,1)))),AE297,AG296))</f>
        <v/>
      </c>
      <c r="AH297" s="36" t="n">
        <f aca="false">IF(AND(AE297&lt;&gt;"",ISNUMBER(AC297),LEFT(AE297,9)&lt;&gt;"Total for",AE297&lt;&gt;"Gross Profit",AE297&lt;&gt;"Net Operating Revenue",AE297&lt;&gt;"Net Other Revenue",AE297&lt;&gt;"Net Revenue"),1,0)</f>
        <v>0</v>
      </c>
      <c r="AI297" s="36" t="str">
        <f aca="false">IF(AH297=1,IF(AND(LEN(AE297)&gt;7,ISNUMBER(VALUE(LEFT(AE297,6))),MID(AE297,7,1)=" "),LEFT(AE297,6),AE297),"")</f>
        <v/>
      </c>
      <c r="AN297" s="36" t="str">
        <f aca="false">TRIM(AK297)</f>
        <v/>
      </c>
      <c r="AO297" s="36" t="str">
        <f aca="false">IF(AN297="Revenue","Revenue",IF(AN297="Cost of Goods Sold","COGS",IF(AN297="Expenditures","Expense",IF(AN297="Other Revenue","Other Revenue",IF(AN297="Other Expenditures","Other Expense",AO296)))))</f>
        <v/>
      </c>
      <c r="AP297" s="36" t="str">
        <f aca="false">IF(OR(AN297="Revenue",AN297="Cost of Goods Sold",AN297="Expenditures",AN297="Other Revenue",AN297="Other Expenditures"),AO297,IF(AND(LEN(AN297)&gt;2,MID(AN297,2,1)=" ",ISNUMBER(VALUE(LEFT(AN297,1)))),AN297,AP296))</f>
        <v/>
      </c>
      <c r="AQ297" s="36" t="n">
        <f aca="false">IF(AND(AN297&lt;&gt;"",ISNUMBER(AL297),LEFT(AN297,9)&lt;&gt;"Total for",AN297&lt;&gt;"Gross Profit",AN297&lt;&gt;"Net Operating Revenue",AN297&lt;&gt;"Net Other Revenue",AN297&lt;&gt;"Net Revenue"),1,0)</f>
        <v>0</v>
      </c>
      <c r="AR297" s="36" t="str">
        <f aca="false">IF(AQ297=1,IF(AND(LEN(AN297)&gt;7,ISNUMBER(VALUE(LEFT(AN297,6))),MID(AN297,7,1)=" "),LEFT(AN297,6),AN297),"")</f>
        <v/>
      </c>
    </row>
    <row r="298" customFormat="false" ht="15" hidden="false" customHeight="false" outlineLevel="0" collapsed="false">
      <c r="D298" s="36" t="str">
        <f aca="false">TRIM(A298)</f>
        <v/>
      </c>
      <c r="E298" s="36" t="str">
        <f aca="false">IF(D298="Revenue","Revenue",IF(D298="Cost of Goods Sold","COGS",IF(D298="Expenditures","Expense",IF(D298="Other Revenue","Other Revenue",IF(D298="Other Expenditures","Other Expense",E297)))))</f>
        <v/>
      </c>
      <c r="F298" s="36" t="str">
        <f aca="false">IF(OR(D298="Revenue",D298="Cost of Goods Sold",D298="Expenditures",D298="Other Revenue",D298="Other Expenditures"),E298,IF(AND(LEN(D298)&gt;2,MID(D298,2,1)=" ",ISNUMBER(VALUE(LEFT(D298,1)))),D298,F297))</f>
        <v/>
      </c>
      <c r="G298" s="36" t="n">
        <f aca="false">IF(AND(D298&lt;&gt;"",ISNUMBER(B298),LEFT(D298,9)&lt;&gt;"Total for",D298&lt;&gt;"Gross Profit",D298&lt;&gt;"Net Operating Revenue",D298&lt;&gt;"Net Other Revenue",D298&lt;&gt;"Net Revenue"),1,0)</f>
        <v>0</v>
      </c>
      <c r="H298" s="36" t="str">
        <f aca="false">IF(G298=1,IF(AND(LEN(D298)&gt;7,ISNUMBER(VALUE(LEFT(D298,6))),MID(D298,7,1)=" "),LEFT(D298,6),D298),"")</f>
        <v/>
      </c>
      <c r="M298" s="36" t="str">
        <f aca="false">TRIM(J298)</f>
        <v/>
      </c>
      <c r="N298" s="36" t="str">
        <f aca="false">IF(M298="Revenue","Revenue",IF(M298="Cost of Goods Sold","COGS",IF(M298="Expenditures","Expense",IF(M298="Other Revenue","Other Revenue",IF(M298="Other Expenditures","Other Expense",N297)))))</f>
        <v/>
      </c>
      <c r="O298" s="36" t="str">
        <f aca="false">IF(OR(M298="Revenue",M298="Cost of Goods Sold",M298="Expenditures",M298="Other Revenue",M298="Other Expenditures"),N298,IF(AND(LEN(M298)&gt;2,MID(M298,2,1)=" ",ISNUMBER(VALUE(LEFT(M298,1)))),M298,O297))</f>
        <v/>
      </c>
      <c r="P298" s="36" t="n">
        <f aca="false">IF(AND(M298&lt;&gt;"",ISNUMBER(K298),LEFT(M298,9)&lt;&gt;"Total for",M298&lt;&gt;"Gross Profit",M298&lt;&gt;"Net Operating Revenue",M298&lt;&gt;"Net Other Revenue",M298&lt;&gt;"Net Revenue"),1,0)</f>
        <v>0</v>
      </c>
      <c r="Q298" s="36" t="str">
        <f aca="false">IF(P298=1,IF(AND(LEN(M298)&gt;7,ISNUMBER(VALUE(LEFT(M298,6))),MID(M298,7,1)=" "),LEFT(M298,6),M298),"")</f>
        <v/>
      </c>
      <c r="V298" s="36" t="str">
        <f aca="false">TRIM(S298)</f>
        <v/>
      </c>
      <c r="W298" s="36" t="str">
        <f aca="false">IF(V298="Revenue","Revenue",IF(V298="Cost of Goods Sold","COGS",IF(V298="Expenditures","Expense",IF(V298="Other Revenue","Other Revenue",IF(V298="Other Expenditures","Other Expense",W297)))))</f>
        <v/>
      </c>
      <c r="X298" s="36" t="str">
        <f aca="false">IF(OR(V298="Revenue",V298="Cost of Goods Sold",V298="Expenditures",V298="Other Revenue",V298="Other Expenditures"),W298,IF(AND(LEN(V298)&gt;2,MID(V298,2,1)=" ",ISNUMBER(VALUE(LEFT(V298,1)))),V298,X297))</f>
        <v/>
      </c>
      <c r="Y298" s="36" t="n">
        <f aca="false">IF(AND(V298&lt;&gt;"",ISNUMBER(T298),LEFT(V298,9)&lt;&gt;"Total for",V298&lt;&gt;"Gross Profit",V298&lt;&gt;"Net Operating Revenue",V298&lt;&gt;"Net Other Revenue",V298&lt;&gt;"Net Revenue"),1,0)</f>
        <v>0</v>
      </c>
      <c r="Z298" s="36" t="str">
        <f aca="false">IF(Y298=1,IF(AND(LEN(V298)&gt;7,ISNUMBER(VALUE(LEFT(V298,6))),MID(V298,7,1)=" "),LEFT(V298,6),V298),"")</f>
        <v/>
      </c>
      <c r="AE298" s="36" t="str">
        <f aca="false">TRIM(AB298)</f>
        <v/>
      </c>
      <c r="AF298" s="36" t="str">
        <f aca="false">IF(AE298="Revenue","Revenue",IF(AE298="Cost of Goods Sold","COGS",IF(AE298="Expenditures","Expense",IF(AE298="Other Revenue","Other Revenue",IF(AE298="Other Expenditures","Other Expense",AF297)))))</f>
        <v/>
      </c>
      <c r="AG298" s="36" t="str">
        <f aca="false">IF(OR(AE298="Revenue",AE298="Cost of Goods Sold",AE298="Expenditures",AE298="Other Revenue",AE298="Other Expenditures"),AF298,IF(AND(LEN(AE298)&gt;2,MID(AE298,2,1)=" ",ISNUMBER(VALUE(LEFT(AE298,1)))),AE298,AG297))</f>
        <v/>
      </c>
      <c r="AH298" s="36" t="n">
        <f aca="false">IF(AND(AE298&lt;&gt;"",ISNUMBER(AC298),LEFT(AE298,9)&lt;&gt;"Total for",AE298&lt;&gt;"Gross Profit",AE298&lt;&gt;"Net Operating Revenue",AE298&lt;&gt;"Net Other Revenue",AE298&lt;&gt;"Net Revenue"),1,0)</f>
        <v>0</v>
      </c>
      <c r="AI298" s="36" t="str">
        <f aca="false">IF(AH298=1,IF(AND(LEN(AE298)&gt;7,ISNUMBER(VALUE(LEFT(AE298,6))),MID(AE298,7,1)=" "),LEFT(AE298,6),AE298),"")</f>
        <v/>
      </c>
      <c r="AN298" s="36" t="str">
        <f aca="false">TRIM(AK298)</f>
        <v/>
      </c>
      <c r="AO298" s="36" t="str">
        <f aca="false">IF(AN298="Revenue","Revenue",IF(AN298="Cost of Goods Sold","COGS",IF(AN298="Expenditures","Expense",IF(AN298="Other Revenue","Other Revenue",IF(AN298="Other Expenditures","Other Expense",AO297)))))</f>
        <v/>
      </c>
      <c r="AP298" s="36" t="str">
        <f aca="false">IF(OR(AN298="Revenue",AN298="Cost of Goods Sold",AN298="Expenditures",AN298="Other Revenue",AN298="Other Expenditures"),AO298,IF(AND(LEN(AN298)&gt;2,MID(AN298,2,1)=" ",ISNUMBER(VALUE(LEFT(AN298,1)))),AN298,AP297))</f>
        <v/>
      </c>
      <c r="AQ298" s="36" t="n">
        <f aca="false">IF(AND(AN298&lt;&gt;"",ISNUMBER(AL298),LEFT(AN298,9)&lt;&gt;"Total for",AN298&lt;&gt;"Gross Profit",AN298&lt;&gt;"Net Operating Revenue",AN298&lt;&gt;"Net Other Revenue",AN298&lt;&gt;"Net Revenue"),1,0)</f>
        <v>0</v>
      </c>
      <c r="AR298" s="36" t="str">
        <f aca="false">IF(AQ298=1,IF(AND(LEN(AN298)&gt;7,ISNUMBER(VALUE(LEFT(AN298,6))),MID(AN298,7,1)=" "),LEFT(AN298,6),AN298),"")</f>
        <v/>
      </c>
    </row>
    <row r="299" customFormat="false" ht="15" hidden="false" customHeight="false" outlineLevel="0" collapsed="false">
      <c r="D299" s="36" t="str">
        <f aca="false">TRIM(A299)</f>
        <v/>
      </c>
      <c r="E299" s="36" t="str">
        <f aca="false">IF(D299="Revenue","Revenue",IF(D299="Cost of Goods Sold","COGS",IF(D299="Expenditures","Expense",IF(D299="Other Revenue","Other Revenue",IF(D299="Other Expenditures","Other Expense",E298)))))</f>
        <v/>
      </c>
      <c r="F299" s="36" t="str">
        <f aca="false">IF(OR(D299="Revenue",D299="Cost of Goods Sold",D299="Expenditures",D299="Other Revenue",D299="Other Expenditures"),E299,IF(AND(LEN(D299)&gt;2,MID(D299,2,1)=" ",ISNUMBER(VALUE(LEFT(D299,1)))),D299,F298))</f>
        <v/>
      </c>
      <c r="G299" s="36" t="n">
        <f aca="false">IF(AND(D299&lt;&gt;"",ISNUMBER(B299),LEFT(D299,9)&lt;&gt;"Total for",D299&lt;&gt;"Gross Profit",D299&lt;&gt;"Net Operating Revenue",D299&lt;&gt;"Net Other Revenue",D299&lt;&gt;"Net Revenue"),1,0)</f>
        <v>0</v>
      </c>
      <c r="H299" s="36" t="str">
        <f aca="false">IF(G299=1,IF(AND(LEN(D299)&gt;7,ISNUMBER(VALUE(LEFT(D299,6))),MID(D299,7,1)=" "),LEFT(D299,6),D299),"")</f>
        <v/>
      </c>
      <c r="M299" s="36" t="str">
        <f aca="false">TRIM(J299)</f>
        <v/>
      </c>
      <c r="N299" s="36" t="str">
        <f aca="false">IF(M299="Revenue","Revenue",IF(M299="Cost of Goods Sold","COGS",IF(M299="Expenditures","Expense",IF(M299="Other Revenue","Other Revenue",IF(M299="Other Expenditures","Other Expense",N298)))))</f>
        <v/>
      </c>
      <c r="O299" s="36" t="str">
        <f aca="false">IF(OR(M299="Revenue",M299="Cost of Goods Sold",M299="Expenditures",M299="Other Revenue",M299="Other Expenditures"),N299,IF(AND(LEN(M299)&gt;2,MID(M299,2,1)=" ",ISNUMBER(VALUE(LEFT(M299,1)))),M299,O298))</f>
        <v/>
      </c>
      <c r="P299" s="36" t="n">
        <f aca="false">IF(AND(M299&lt;&gt;"",ISNUMBER(K299),LEFT(M299,9)&lt;&gt;"Total for",M299&lt;&gt;"Gross Profit",M299&lt;&gt;"Net Operating Revenue",M299&lt;&gt;"Net Other Revenue",M299&lt;&gt;"Net Revenue"),1,0)</f>
        <v>0</v>
      </c>
      <c r="Q299" s="36" t="str">
        <f aca="false">IF(P299=1,IF(AND(LEN(M299)&gt;7,ISNUMBER(VALUE(LEFT(M299,6))),MID(M299,7,1)=" "),LEFT(M299,6),M299),"")</f>
        <v/>
      </c>
      <c r="V299" s="36" t="str">
        <f aca="false">TRIM(S299)</f>
        <v/>
      </c>
      <c r="W299" s="36" t="str">
        <f aca="false">IF(V299="Revenue","Revenue",IF(V299="Cost of Goods Sold","COGS",IF(V299="Expenditures","Expense",IF(V299="Other Revenue","Other Revenue",IF(V299="Other Expenditures","Other Expense",W298)))))</f>
        <v/>
      </c>
      <c r="X299" s="36" t="str">
        <f aca="false">IF(OR(V299="Revenue",V299="Cost of Goods Sold",V299="Expenditures",V299="Other Revenue",V299="Other Expenditures"),W299,IF(AND(LEN(V299)&gt;2,MID(V299,2,1)=" ",ISNUMBER(VALUE(LEFT(V299,1)))),V299,X298))</f>
        <v/>
      </c>
      <c r="Y299" s="36" t="n">
        <f aca="false">IF(AND(V299&lt;&gt;"",ISNUMBER(T299),LEFT(V299,9)&lt;&gt;"Total for",V299&lt;&gt;"Gross Profit",V299&lt;&gt;"Net Operating Revenue",V299&lt;&gt;"Net Other Revenue",V299&lt;&gt;"Net Revenue"),1,0)</f>
        <v>0</v>
      </c>
      <c r="Z299" s="36" t="str">
        <f aca="false">IF(Y299=1,IF(AND(LEN(V299)&gt;7,ISNUMBER(VALUE(LEFT(V299,6))),MID(V299,7,1)=" "),LEFT(V299,6),V299),"")</f>
        <v/>
      </c>
      <c r="AE299" s="36" t="str">
        <f aca="false">TRIM(AB299)</f>
        <v/>
      </c>
      <c r="AF299" s="36" t="str">
        <f aca="false">IF(AE299="Revenue","Revenue",IF(AE299="Cost of Goods Sold","COGS",IF(AE299="Expenditures","Expense",IF(AE299="Other Revenue","Other Revenue",IF(AE299="Other Expenditures","Other Expense",AF298)))))</f>
        <v/>
      </c>
      <c r="AG299" s="36" t="str">
        <f aca="false">IF(OR(AE299="Revenue",AE299="Cost of Goods Sold",AE299="Expenditures",AE299="Other Revenue",AE299="Other Expenditures"),AF299,IF(AND(LEN(AE299)&gt;2,MID(AE299,2,1)=" ",ISNUMBER(VALUE(LEFT(AE299,1)))),AE299,AG298))</f>
        <v/>
      </c>
      <c r="AH299" s="36" t="n">
        <f aca="false">IF(AND(AE299&lt;&gt;"",ISNUMBER(AC299),LEFT(AE299,9)&lt;&gt;"Total for",AE299&lt;&gt;"Gross Profit",AE299&lt;&gt;"Net Operating Revenue",AE299&lt;&gt;"Net Other Revenue",AE299&lt;&gt;"Net Revenue"),1,0)</f>
        <v>0</v>
      </c>
      <c r="AI299" s="36" t="str">
        <f aca="false">IF(AH299=1,IF(AND(LEN(AE299)&gt;7,ISNUMBER(VALUE(LEFT(AE299,6))),MID(AE299,7,1)=" "),LEFT(AE299,6),AE299),"")</f>
        <v/>
      </c>
      <c r="AN299" s="36" t="str">
        <f aca="false">TRIM(AK299)</f>
        <v/>
      </c>
      <c r="AO299" s="36" t="str">
        <f aca="false">IF(AN299="Revenue","Revenue",IF(AN299="Cost of Goods Sold","COGS",IF(AN299="Expenditures","Expense",IF(AN299="Other Revenue","Other Revenue",IF(AN299="Other Expenditures","Other Expense",AO298)))))</f>
        <v/>
      </c>
      <c r="AP299" s="36" t="str">
        <f aca="false">IF(OR(AN299="Revenue",AN299="Cost of Goods Sold",AN299="Expenditures",AN299="Other Revenue",AN299="Other Expenditures"),AO299,IF(AND(LEN(AN299)&gt;2,MID(AN299,2,1)=" ",ISNUMBER(VALUE(LEFT(AN299,1)))),AN299,AP298))</f>
        <v/>
      </c>
      <c r="AQ299" s="36" t="n">
        <f aca="false">IF(AND(AN299&lt;&gt;"",ISNUMBER(AL299),LEFT(AN299,9)&lt;&gt;"Total for",AN299&lt;&gt;"Gross Profit",AN299&lt;&gt;"Net Operating Revenue",AN299&lt;&gt;"Net Other Revenue",AN299&lt;&gt;"Net Revenue"),1,0)</f>
        <v>0</v>
      </c>
      <c r="AR299" s="36" t="str">
        <f aca="false">IF(AQ299=1,IF(AND(LEN(AN299)&gt;7,ISNUMBER(VALUE(LEFT(AN299,6))),MID(AN299,7,1)=" "),LEFT(AN299,6),AN299),"")</f>
        <v/>
      </c>
    </row>
    <row r="300" customFormat="false" ht="15" hidden="false" customHeight="false" outlineLevel="0" collapsed="false">
      <c r="D300" s="36" t="str">
        <f aca="false">TRIM(A300)</f>
        <v/>
      </c>
      <c r="E300" s="36" t="str">
        <f aca="false">IF(D300="Revenue","Revenue",IF(D300="Cost of Goods Sold","COGS",IF(D300="Expenditures","Expense",IF(D300="Other Revenue","Other Revenue",IF(D300="Other Expenditures","Other Expense",E299)))))</f>
        <v/>
      </c>
      <c r="F300" s="36" t="str">
        <f aca="false">IF(OR(D300="Revenue",D300="Cost of Goods Sold",D300="Expenditures",D300="Other Revenue",D300="Other Expenditures"),E300,IF(AND(LEN(D300)&gt;2,MID(D300,2,1)=" ",ISNUMBER(VALUE(LEFT(D300,1)))),D300,F299))</f>
        <v/>
      </c>
      <c r="G300" s="36" t="n">
        <f aca="false">IF(AND(D300&lt;&gt;"",ISNUMBER(B300),LEFT(D300,9)&lt;&gt;"Total for",D300&lt;&gt;"Gross Profit",D300&lt;&gt;"Net Operating Revenue",D300&lt;&gt;"Net Other Revenue",D300&lt;&gt;"Net Revenue"),1,0)</f>
        <v>0</v>
      </c>
      <c r="H300" s="36" t="str">
        <f aca="false">IF(G300=1,IF(AND(LEN(D300)&gt;7,ISNUMBER(VALUE(LEFT(D300,6))),MID(D300,7,1)=" "),LEFT(D300,6),D300),"")</f>
        <v/>
      </c>
      <c r="M300" s="36" t="str">
        <f aca="false">TRIM(J300)</f>
        <v/>
      </c>
      <c r="N300" s="36" t="str">
        <f aca="false">IF(M300="Revenue","Revenue",IF(M300="Cost of Goods Sold","COGS",IF(M300="Expenditures","Expense",IF(M300="Other Revenue","Other Revenue",IF(M300="Other Expenditures","Other Expense",N299)))))</f>
        <v/>
      </c>
      <c r="O300" s="36" t="str">
        <f aca="false">IF(OR(M300="Revenue",M300="Cost of Goods Sold",M300="Expenditures",M300="Other Revenue",M300="Other Expenditures"),N300,IF(AND(LEN(M300)&gt;2,MID(M300,2,1)=" ",ISNUMBER(VALUE(LEFT(M300,1)))),M300,O299))</f>
        <v/>
      </c>
      <c r="P300" s="36" t="n">
        <f aca="false">IF(AND(M300&lt;&gt;"",ISNUMBER(K300),LEFT(M300,9)&lt;&gt;"Total for",M300&lt;&gt;"Gross Profit",M300&lt;&gt;"Net Operating Revenue",M300&lt;&gt;"Net Other Revenue",M300&lt;&gt;"Net Revenue"),1,0)</f>
        <v>0</v>
      </c>
      <c r="Q300" s="36" t="str">
        <f aca="false">IF(P300=1,IF(AND(LEN(M300)&gt;7,ISNUMBER(VALUE(LEFT(M300,6))),MID(M300,7,1)=" "),LEFT(M300,6),M300),"")</f>
        <v/>
      </c>
      <c r="V300" s="36" t="str">
        <f aca="false">TRIM(S300)</f>
        <v/>
      </c>
      <c r="W300" s="36" t="str">
        <f aca="false">IF(V300="Revenue","Revenue",IF(V300="Cost of Goods Sold","COGS",IF(V300="Expenditures","Expense",IF(V300="Other Revenue","Other Revenue",IF(V300="Other Expenditures","Other Expense",W299)))))</f>
        <v/>
      </c>
      <c r="X300" s="36" t="str">
        <f aca="false">IF(OR(V300="Revenue",V300="Cost of Goods Sold",V300="Expenditures",V300="Other Revenue",V300="Other Expenditures"),W300,IF(AND(LEN(V300)&gt;2,MID(V300,2,1)=" ",ISNUMBER(VALUE(LEFT(V300,1)))),V300,X299))</f>
        <v/>
      </c>
      <c r="Y300" s="36" t="n">
        <f aca="false">IF(AND(V300&lt;&gt;"",ISNUMBER(T300),LEFT(V300,9)&lt;&gt;"Total for",V300&lt;&gt;"Gross Profit",V300&lt;&gt;"Net Operating Revenue",V300&lt;&gt;"Net Other Revenue",V300&lt;&gt;"Net Revenue"),1,0)</f>
        <v>0</v>
      </c>
      <c r="Z300" s="36" t="str">
        <f aca="false">IF(Y300=1,IF(AND(LEN(V300)&gt;7,ISNUMBER(VALUE(LEFT(V300,6))),MID(V300,7,1)=" "),LEFT(V300,6),V300),"")</f>
        <v/>
      </c>
      <c r="AE300" s="36" t="str">
        <f aca="false">TRIM(AB300)</f>
        <v/>
      </c>
      <c r="AF300" s="36" t="str">
        <f aca="false">IF(AE300="Revenue","Revenue",IF(AE300="Cost of Goods Sold","COGS",IF(AE300="Expenditures","Expense",IF(AE300="Other Revenue","Other Revenue",IF(AE300="Other Expenditures","Other Expense",AF299)))))</f>
        <v/>
      </c>
      <c r="AG300" s="36" t="str">
        <f aca="false">IF(OR(AE300="Revenue",AE300="Cost of Goods Sold",AE300="Expenditures",AE300="Other Revenue",AE300="Other Expenditures"),AF300,IF(AND(LEN(AE300)&gt;2,MID(AE300,2,1)=" ",ISNUMBER(VALUE(LEFT(AE300,1)))),AE300,AG299))</f>
        <v/>
      </c>
      <c r="AH300" s="36" t="n">
        <f aca="false">IF(AND(AE300&lt;&gt;"",ISNUMBER(AC300),LEFT(AE300,9)&lt;&gt;"Total for",AE300&lt;&gt;"Gross Profit",AE300&lt;&gt;"Net Operating Revenue",AE300&lt;&gt;"Net Other Revenue",AE300&lt;&gt;"Net Revenue"),1,0)</f>
        <v>0</v>
      </c>
      <c r="AI300" s="36" t="str">
        <f aca="false">IF(AH300=1,IF(AND(LEN(AE300)&gt;7,ISNUMBER(VALUE(LEFT(AE300,6))),MID(AE300,7,1)=" "),LEFT(AE300,6),AE300),"")</f>
        <v/>
      </c>
      <c r="AN300" s="36" t="str">
        <f aca="false">TRIM(AK300)</f>
        <v/>
      </c>
      <c r="AO300" s="36" t="str">
        <f aca="false">IF(AN300="Revenue","Revenue",IF(AN300="Cost of Goods Sold","COGS",IF(AN300="Expenditures","Expense",IF(AN300="Other Revenue","Other Revenue",IF(AN300="Other Expenditures","Other Expense",AO299)))))</f>
        <v/>
      </c>
      <c r="AP300" s="36" t="str">
        <f aca="false">IF(OR(AN300="Revenue",AN300="Cost of Goods Sold",AN300="Expenditures",AN300="Other Revenue",AN300="Other Expenditures"),AO300,IF(AND(LEN(AN300)&gt;2,MID(AN300,2,1)=" ",ISNUMBER(VALUE(LEFT(AN300,1)))),AN300,AP299))</f>
        <v/>
      </c>
      <c r="AQ300" s="36" t="n">
        <f aca="false">IF(AND(AN300&lt;&gt;"",ISNUMBER(AL300),LEFT(AN300,9)&lt;&gt;"Total for",AN300&lt;&gt;"Gross Profit",AN300&lt;&gt;"Net Operating Revenue",AN300&lt;&gt;"Net Other Revenue",AN300&lt;&gt;"Net Revenue"),1,0)</f>
        <v>0</v>
      </c>
      <c r="AR300" s="36" t="str">
        <f aca="false">IF(AQ300=1,IF(AND(LEN(AN300)&gt;7,ISNUMBER(VALUE(LEFT(AN300,6))),MID(AN300,7,1)=" "),LEFT(AN300,6),AN300),"")</f>
        <v/>
      </c>
    </row>
    <row r="301" customFormat="false" ht="15" hidden="false" customHeight="false" outlineLevel="0" collapsed="false">
      <c r="D301" s="36" t="str">
        <f aca="false">TRIM(A301)</f>
        <v/>
      </c>
      <c r="E301" s="36" t="str">
        <f aca="false">IF(D301="Revenue","Revenue",IF(D301="Cost of Goods Sold","COGS",IF(D301="Expenditures","Expense",IF(D301="Other Revenue","Other Revenue",IF(D301="Other Expenditures","Other Expense",E300)))))</f>
        <v/>
      </c>
      <c r="F301" s="36" t="str">
        <f aca="false">IF(OR(D301="Revenue",D301="Cost of Goods Sold",D301="Expenditures",D301="Other Revenue",D301="Other Expenditures"),E301,IF(AND(LEN(D301)&gt;2,MID(D301,2,1)=" ",ISNUMBER(VALUE(LEFT(D301,1)))),D301,F300))</f>
        <v/>
      </c>
      <c r="G301" s="36" t="n">
        <f aca="false">IF(AND(D301&lt;&gt;"",ISNUMBER(B301),LEFT(D301,9)&lt;&gt;"Total for",D301&lt;&gt;"Gross Profit",D301&lt;&gt;"Net Operating Revenue",D301&lt;&gt;"Net Other Revenue",D301&lt;&gt;"Net Revenue"),1,0)</f>
        <v>0</v>
      </c>
      <c r="H301" s="36" t="str">
        <f aca="false">IF(G301=1,IF(AND(LEN(D301)&gt;7,ISNUMBER(VALUE(LEFT(D301,6))),MID(D301,7,1)=" "),LEFT(D301,6),D301),"")</f>
        <v/>
      </c>
      <c r="M301" s="36" t="str">
        <f aca="false">TRIM(J301)</f>
        <v/>
      </c>
      <c r="N301" s="36" t="str">
        <f aca="false">IF(M301="Revenue","Revenue",IF(M301="Cost of Goods Sold","COGS",IF(M301="Expenditures","Expense",IF(M301="Other Revenue","Other Revenue",IF(M301="Other Expenditures","Other Expense",N300)))))</f>
        <v/>
      </c>
      <c r="O301" s="36" t="str">
        <f aca="false">IF(OR(M301="Revenue",M301="Cost of Goods Sold",M301="Expenditures",M301="Other Revenue",M301="Other Expenditures"),N301,IF(AND(LEN(M301)&gt;2,MID(M301,2,1)=" ",ISNUMBER(VALUE(LEFT(M301,1)))),M301,O300))</f>
        <v/>
      </c>
      <c r="P301" s="36" t="n">
        <f aca="false">IF(AND(M301&lt;&gt;"",ISNUMBER(K301),LEFT(M301,9)&lt;&gt;"Total for",M301&lt;&gt;"Gross Profit",M301&lt;&gt;"Net Operating Revenue",M301&lt;&gt;"Net Other Revenue",M301&lt;&gt;"Net Revenue"),1,0)</f>
        <v>0</v>
      </c>
      <c r="Q301" s="36" t="str">
        <f aca="false">IF(P301=1,IF(AND(LEN(M301)&gt;7,ISNUMBER(VALUE(LEFT(M301,6))),MID(M301,7,1)=" "),LEFT(M301,6),M301),"")</f>
        <v/>
      </c>
      <c r="V301" s="36" t="str">
        <f aca="false">TRIM(S301)</f>
        <v/>
      </c>
      <c r="W301" s="36" t="str">
        <f aca="false">IF(V301="Revenue","Revenue",IF(V301="Cost of Goods Sold","COGS",IF(V301="Expenditures","Expense",IF(V301="Other Revenue","Other Revenue",IF(V301="Other Expenditures","Other Expense",W300)))))</f>
        <v/>
      </c>
      <c r="X301" s="36" t="str">
        <f aca="false">IF(OR(V301="Revenue",V301="Cost of Goods Sold",V301="Expenditures",V301="Other Revenue",V301="Other Expenditures"),W301,IF(AND(LEN(V301)&gt;2,MID(V301,2,1)=" ",ISNUMBER(VALUE(LEFT(V301,1)))),V301,X300))</f>
        <v/>
      </c>
      <c r="Y301" s="36" t="n">
        <f aca="false">IF(AND(V301&lt;&gt;"",ISNUMBER(T301),LEFT(V301,9)&lt;&gt;"Total for",V301&lt;&gt;"Gross Profit",V301&lt;&gt;"Net Operating Revenue",V301&lt;&gt;"Net Other Revenue",V301&lt;&gt;"Net Revenue"),1,0)</f>
        <v>0</v>
      </c>
      <c r="Z301" s="36" t="str">
        <f aca="false">IF(Y301=1,IF(AND(LEN(V301)&gt;7,ISNUMBER(VALUE(LEFT(V301,6))),MID(V301,7,1)=" "),LEFT(V301,6),V301),"")</f>
        <v/>
      </c>
      <c r="AE301" s="36" t="str">
        <f aca="false">TRIM(AB301)</f>
        <v/>
      </c>
      <c r="AF301" s="36" t="str">
        <f aca="false">IF(AE301="Revenue","Revenue",IF(AE301="Cost of Goods Sold","COGS",IF(AE301="Expenditures","Expense",IF(AE301="Other Revenue","Other Revenue",IF(AE301="Other Expenditures","Other Expense",AF300)))))</f>
        <v/>
      </c>
      <c r="AG301" s="36" t="str">
        <f aca="false">IF(OR(AE301="Revenue",AE301="Cost of Goods Sold",AE301="Expenditures",AE301="Other Revenue",AE301="Other Expenditures"),AF301,IF(AND(LEN(AE301)&gt;2,MID(AE301,2,1)=" ",ISNUMBER(VALUE(LEFT(AE301,1)))),AE301,AG300))</f>
        <v/>
      </c>
      <c r="AH301" s="36" t="n">
        <f aca="false">IF(AND(AE301&lt;&gt;"",ISNUMBER(AC301),LEFT(AE301,9)&lt;&gt;"Total for",AE301&lt;&gt;"Gross Profit",AE301&lt;&gt;"Net Operating Revenue",AE301&lt;&gt;"Net Other Revenue",AE301&lt;&gt;"Net Revenue"),1,0)</f>
        <v>0</v>
      </c>
      <c r="AI301" s="36" t="str">
        <f aca="false">IF(AH301=1,IF(AND(LEN(AE301)&gt;7,ISNUMBER(VALUE(LEFT(AE301,6))),MID(AE301,7,1)=" "),LEFT(AE301,6),AE301),"")</f>
        <v/>
      </c>
      <c r="AN301" s="36" t="str">
        <f aca="false">TRIM(AK301)</f>
        <v/>
      </c>
      <c r="AO301" s="36" t="str">
        <f aca="false">IF(AN301="Revenue","Revenue",IF(AN301="Cost of Goods Sold","COGS",IF(AN301="Expenditures","Expense",IF(AN301="Other Revenue","Other Revenue",IF(AN301="Other Expenditures","Other Expense",AO300)))))</f>
        <v/>
      </c>
      <c r="AP301" s="36" t="str">
        <f aca="false">IF(OR(AN301="Revenue",AN301="Cost of Goods Sold",AN301="Expenditures",AN301="Other Revenue",AN301="Other Expenditures"),AO301,IF(AND(LEN(AN301)&gt;2,MID(AN301,2,1)=" ",ISNUMBER(VALUE(LEFT(AN301,1)))),AN301,AP300))</f>
        <v/>
      </c>
      <c r="AQ301" s="36" t="n">
        <f aca="false">IF(AND(AN301&lt;&gt;"",ISNUMBER(AL301),LEFT(AN301,9)&lt;&gt;"Total for",AN301&lt;&gt;"Gross Profit",AN301&lt;&gt;"Net Operating Revenue",AN301&lt;&gt;"Net Other Revenue",AN301&lt;&gt;"Net Revenue"),1,0)</f>
        <v>0</v>
      </c>
      <c r="AR301" s="36" t="str">
        <f aca="false">IF(AQ301=1,IF(AND(LEN(AN301)&gt;7,ISNUMBER(VALUE(LEFT(AN301,6))),MID(AN301,7,1)=" "),LEFT(AN301,6),AN301),"")</f>
        <v/>
      </c>
    </row>
    <row r="302" customFormat="false" ht="15" hidden="false" customHeight="false" outlineLevel="0" collapsed="false">
      <c r="D302" s="36" t="str">
        <f aca="false">TRIM(A302)</f>
        <v/>
      </c>
      <c r="E302" s="36" t="str">
        <f aca="false">IF(D302="Revenue","Revenue",IF(D302="Cost of Goods Sold","COGS",IF(D302="Expenditures","Expense",IF(D302="Other Revenue","Other Revenue",IF(D302="Other Expenditures","Other Expense",E301)))))</f>
        <v/>
      </c>
      <c r="F302" s="36" t="str">
        <f aca="false">IF(OR(D302="Revenue",D302="Cost of Goods Sold",D302="Expenditures",D302="Other Revenue",D302="Other Expenditures"),E302,IF(AND(LEN(D302)&gt;2,MID(D302,2,1)=" ",ISNUMBER(VALUE(LEFT(D302,1)))),D302,F301))</f>
        <v/>
      </c>
      <c r="G302" s="36" t="n">
        <f aca="false">IF(AND(D302&lt;&gt;"",ISNUMBER(B302),LEFT(D302,9)&lt;&gt;"Total for",D302&lt;&gt;"Gross Profit",D302&lt;&gt;"Net Operating Revenue",D302&lt;&gt;"Net Other Revenue",D302&lt;&gt;"Net Revenue"),1,0)</f>
        <v>0</v>
      </c>
      <c r="H302" s="36" t="str">
        <f aca="false">IF(G302=1,IF(AND(LEN(D302)&gt;7,ISNUMBER(VALUE(LEFT(D302,6))),MID(D302,7,1)=" "),LEFT(D302,6),D302),"")</f>
        <v/>
      </c>
      <c r="M302" s="36" t="str">
        <f aca="false">TRIM(J302)</f>
        <v/>
      </c>
      <c r="N302" s="36" t="str">
        <f aca="false">IF(M302="Revenue","Revenue",IF(M302="Cost of Goods Sold","COGS",IF(M302="Expenditures","Expense",IF(M302="Other Revenue","Other Revenue",IF(M302="Other Expenditures","Other Expense",N301)))))</f>
        <v/>
      </c>
      <c r="O302" s="36" t="str">
        <f aca="false">IF(OR(M302="Revenue",M302="Cost of Goods Sold",M302="Expenditures",M302="Other Revenue",M302="Other Expenditures"),N302,IF(AND(LEN(M302)&gt;2,MID(M302,2,1)=" ",ISNUMBER(VALUE(LEFT(M302,1)))),M302,O301))</f>
        <v/>
      </c>
      <c r="P302" s="36" t="n">
        <f aca="false">IF(AND(M302&lt;&gt;"",ISNUMBER(K302),LEFT(M302,9)&lt;&gt;"Total for",M302&lt;&gt;"Gross Profit",M302&lt;&gt;"Net Operating Revenue",M302&lt;&gt;"Net Other Revenue",M302&lt;&gt;"Net Revenue"),1,0)</f>
        <v>0</v>
      </c>
      <c r="Q302" s="36" t="str">
        <f aca="false">IF(P302=1,IF(AND(LEN(M302)&gt;7,ISNUMBER(VALUE(LEFT(M302,6))),MID(M302,7,1)=" "),LEFT(M302,6),M302),"")</f>
        <v/>
      </c>
      <c r="V302" s="36" t="str">
        <f aca="false">TRIM(S302)</f>
        <v/>
      </c>
      <c r="W302" s="36" t="str">
        <f aca="false">IF(V302="Revenue","Revenue",IF(V302="Cost of Goods Sold","COGS",IF(V302="Expenditures","Expense",IF(V302="Other Revenue","Other Revenue",IF(V302="Other Expenditures","Other Expense",W301)))))</f>
        <v/>
      </c>
      <c r="X302" s="36" t="str">
        <f aca="false">IF(OR(V302="Revenue",V302="Cost of Goods Sold",V302="Expenditures",V302="Other Revenue",V302="Other Expenditures"),W302,IF(AND(LEN(V302)&gt;2,MID(V302,2,1)=" ",ISNUMBER(VALUE(LEFT(V302,1)))),V302,X301))</f>
        <v/>
      </c>
      <c r="Y302" s="36" t="n">
        <f aca="false">IF(AND(V302&lt;&gt;"",ISNUMBER(T302),LEFT(V302,9)&lt;&gt;"Total for",V302&lt;&gt;"Gross Profit",V302&lt;&gt;"Net Operating Revenue",V302&lt;&gt;"Net Other Revenue",V302&lt;&gt;"Net Revenue"),1,0)</f>
        <v>0</v>
      </c>
      <c r="Z302" s="36" t="str">
        <f aca="false">IF(Y302=1,IF(AND(LEN(V302)&gt;7,ISNUMBER(VALUE(LEFT(V302,6))),MID(V302,7,1)=" "),LEFT(V302,6),V302),"")</f>
        <v/>
      </c>
      <c r="AE302" s="36" t="str">
        <f aca="false">TRIM(AB302)</f>
        <v/>
      </c>
      <c r="AF302" s="36" t="str">
        <f aca="false">IF(AE302="Revenue","Revenue",IF(AE302="Cost of Goods Sold","COGS",IF(AE302="Expenditures","Expense",IF(AE302="Other Revenue","Other Revenue",IF(AE302="Other Expenditures","Other Expense",AF301)))))</f>
        <v/>
      </c>
      <c r="AG302" s="36" t="str">
        <f aca="false">IF(OR(AE302="Revenue",AE302="Cost of Goods Sold",AE302="Expenditures",AE302="Other Revenue",AE302="Other Expenditures"),AF302,IF(AND(LEN(AE302)&gt;2,MID(AE302,2,1)=" ",ISNUMBER(VALUE(LEFT(AE302,1)))),AE302,AG301))</f>
        <v/>
      </c>
      <c r="AH302" s="36" t="n">
        <f aca="false">IF(AND(AE302&lt;&gt;"",ISNUMBER(AC302),LEFT(AE302,9)&lt;&gt;"Total for",AE302&lt;&gt;"Gross Profit",AE302&lt;&gt;"Net Operating Revenue",AE302&lt;&gt;"Net Other Revenue",AE302&lt;&gt;"Net Revenue"),1,0)</f>
        <v>0</v>
      </c>
      <c r="AI302" s="36" t="str">
        <f aca="false">IF(AH302=1,IF(AND(LEN(AE302)&gt;7,ISNUMBER(VALUE(LEFT(AE302,6))),MID(AE302,7,1)=" "),LEFT(AE302,6),AE302),"")</f>
        <v/>
      </c>
      <c r="AN302" s="36" t="str">
        <f aca="false">TRIM(AK302)</f>
        <v/>
      </c>
      <c r="AO302" s="36" t="str">
        <f aca="false">IF(AN302="Revenue","Revenue",IF(AN302="Cost of Goods Sold","COGS",IF(AN302="Expenditures","Expense",IF(AN302="Other Revenue","Other Revenue",IF(AN302="Other Expenditures","Other Expense",AO301)))))</f>
        <v/>
      </c>
      <c r="AP302" s="36" t="str">
        <f aca="false">IF(OR(AN302="Revenue",AN302="Cost of Goods Sold",AN302="Expenditures",AN302="Other Revenue",AN302="Other Expenditures"),AO302,IF(AND(LEN(AN302)&gt;2,MID(AN302,2,1)=" ",ISNUMBER(VALUE(LEFT(AN302,1)))),AN302,AP301))</f>
        <v/>
      </c>
      <c r="AQ302" s="36" t="n">
        <f aca="false">IF(AND(AN302&lt;&gt;"",ISNUMBER(AL302),LEFT(AN302,9)&lt;&gt;"Total for",AN302&lt;&gt;"Gross Profit",AN302&lt;&gt;"Net Operating Revenue",AN302&lt;&gt;"Net Other Revenue",AN302&lt;&gt;"Net Revenue"),1,0)</f>
        <v>0</v>
      </c>
      <c r="AR302" s="36" t="str">
        <f aca="false">IF(AQ302=1,IF(AND(LEN(AN302)&gt;7,ISNUMBER(VALUE(LEFT(AN302,6))),MID(AN302,7,1)=" "),LEFT(AN302,6),AN302),"")</f>
        <v/>
      </c>
    </row>
    <row r="303" customFormat="false" ht="15" hidden="false" customHeight="false" outlineLevel="0" collapsed="false">
      <c r="D303" s="36" t="str">
        <f aca="false">TRIM(A303)</f>
        <v/>
      </c>
      <c r="E303" s="36" t="str">
        <f aca="false">IF(D303="Revenue","Revenue",IF(D303="Cost of Goods Sold","COGS",IF(D303="Expenditures","Expense",IF(D303="Other Revenue","Other Revenue",IF(D303="Other Expenditures","Other Expense",E302)))))</f>
        <v/>
      </c>
      <c r="F303" s="36" t="str">
        <f aca="false">IF(OR(D303="Revenue",D303="Cost of Goods Sold",D303="Expenditures",D303="Other Revenue",D303="Other Expenditures"),E303,IF(AND(LEN(D303)&gt;2,MID(D303,2,1)=" ",ISNUMBER(VALUE(LEFT(D303,1)))),D303,F302))</f>
        <v/>
      </c>
      <c r="G303" s="36" t="n">
        <f aca="false">IF(AND(D303&lt;&gt;"",ISNUMBER(B303),LEFT(D303,9)&lt;&gt;"Total for",D303&lt;&gt;"Gross Profit",D303&lt;&gt;"Net Operating Revenue",D303&lt;&gt;"Net Other Revenue",D303&lt;&gt;"Net Revenue"),1,0)</f>
        <v>0</v>
      </c>
      <c r="H303" s="36" t="str">
        <f aca="false">IF(G303=1,IF(AND(LEN(D303)&gt;7,ISNUMBER(VALUE(LEFT(D303,6))),MID(D303,7,1)=" "),LEFT(D303,6),D303),"")</f>
        <v/>
      </c>
      <c r="M303" s="36" t="str">
        <f aca="false">TRIM(J303)</f>
        <v/>
      </c>
      <c r="N303" s="36" t="str">
        <f aca="false">IF(M303="Revenue","Revenue",IF(M303="Cost of Goods Sold","COGS",IF(M303="Expenditures","Expense",IF(M303="Other Revenue","Other Revenue",IF(M303="Other Expenditures","Other Expense",N302)))))</f>
        <v/>
      </c>
      <c r="O303" s="36" t="str">
        <f aca="false">IF(OR(M303="Revenue",M303="Cost of Goods Sold",M303="Expenditures",M303="Other Revenue",M303="Other Expenditures"),N303,IF(AND(LEN(M303)&gt;2,MID(M303,2,1)=" ",ISNUMBER(VALUE(LEFT(M303,1)))),M303,O302))</f>
        <v/>
      </c>
      <c r="P303" s="36" t="n">
        <f aca="false">IF(AND(M303&lt;&gt;"",ISNUMBER(K303),LEFT(M303,9)&lt;&gt;"Total for",M303&lt;&gt;"Gross Profit",M303&lt;&gt;"Net Operating Revenue",M303&lt;&gt;"Net Other Revenue",M303&lt;&gt;"Net Revenue"),1,0)</f>
        <v>0</v>
      </c>
      <c r="Q303" s="36" t="str">
        <f aca="false">IF(P303=1,IF(AND(LEN(M303)&gt;7,ISNUMBER(VALUE(LEFT(M303,6))),MID(M303,7,1)=" "),LEFT(M303,6),M303),"")</f>
        <v/>
      </c>
      <c r="V303" s="36" t="str">
        <f aca="false">TRIM(S303)</f>
        <v/>
      </c>
      <c r="W303" s="36" t="str">
        <f aca="false">IF(V303="Revenue","Revenue",IF(V303="Cost of Goods Sold","COGS",IF(V303="Expenditures","Expense",IF(V303="Other Revenue","Other Revenue",IF(V303="Other Expenditures","Other Expense",W302)))))</f>
        <v/>
      </c>
      <c r="X303" s="36" t="str">
        <f aca="false">IF(OR(V303="Revenue",V303="Cost of Goods Sold",V303="Expenditures",V303="Other Revenue",V303="Other Expenditures"),W303,IF(AND(LEN(V303)&gt;2,MID(V303,2,1)=" ",ISNUMBER(VALUE(LEFT(V303,1)))),V303,X302))</f>
        <v/>
      </c>
      <c r="Y303" s="36" t="n">
        <f aca="false">IF(AND(V303&lt;&gt;"",ISNUMBER(T303),LEFT(V303,9)&lt;&gt;"Total for",V303&lt;&gt;"Gross Profit",V303&lt;&gt;"Net Operating Revenue",V303&lt;&gt;"Net Other Revenue",V303&lt;&gt;"Net Revenue"),1,0)</f>
        <v>0</v>
      </c>
      <c r="Z303" s="36" t="str">
        <f aca="false">IF(Y303=1,IF(AND(LEN(V303)&gt;7,ISNUMBER(VALUE(LEFT(V303,6))),MID(V303,7,1)=" "),LEFT(V303,6),V303),"")</f>
        <v/>
      </c>
      <c r="AE303" s="36" t="str">
        <f aca="false">TRIM(AB303)</f>
        <v/>
      </c>
      <c r="AF303" s="36" t="str">
        <f aca="false">IF(AE303="Revenue","Revenue",IF(AE303="Cost of Goods Sold","COGS",IF(AE303="Expenditures","Expense",IF(AE303="Other Revenue","Other Revenue",IF(AE303="Other Expenditures","Other Expense",AF302)))))</f>
        <v/>
      </c>
      <c r="AG303" s="36" t="str">
        <f aca="false">IF(OR(AE303="Revenue",AE303="Cost of Goods Sold",AE303="Expenditures",AE303="Other Revenue",AE303="Other Expenditures"),AF303,IF(AND(LEN(AE303)&gt;2,MID(AE303,2,1)=" ",ISNUMBER(VALUE(LEFT(AE303,1)))),AE303,AG302))</f>
        <v/>
      </c>
      <c r="AH303" s="36" t="n">
        <f aca="false">IF(AND(AE303&lt;&gt;"",ISNUMBER(AC303),LEFT(AE303,9)&lt;&gt;"Total for",AE303&lt;&gt;"Gross Profit",AE303&lt;&gt;"Net Operating Revenue",AE303&lt;&gt;"Net Other Revenue",AE303&lt;&gt;"Net Revenue"),1,0)</f>
        <v>0</v>
      </c>
      <c r="AI303" s="36" t="str">
        <f aca="false">IF(AH303=1,IF(AND(LEN(AE303)&gt;7,ISNUMBER(VALUE(LEFT(AE303,6))),MID(AE303,7,1)=" "),LEFT(AE303,6),AE303),"")</f>
        <v/>
      </c>
      <c r="AN303" s="36" t="str">
        <f aca="false">TRIM(AK303)</f>
        <v/>
      </c>
      <c r="AO303" s="36" t="str">
        <f aca="false">IF(AN303="Revenue","Revenue",IF(AN303="Cost of Goods Sold","COGS",IF(AN303="Expenditures","Expense",IF(AN303="Other Revenue","Other Revenue",IF(AN303="Other Expenditures","Other Expense",AO302)))))</f>
        <v/>
      </c>
      <c r="AP303" s="36" t="str">
        <f aca="false">IF(OR(AN303="Revenue",AN303="Cost of Goods Sold",AN303="Expenditures",AN303="Other Revenue",AN303="Other Expenditures"),AO303,IF(AND(LEN(AN303)&gt;2,MID(AN303,2,1)=" ",ISNUMBER(VALUE(LEFT(AN303,1)))),AN303,AP302))</f>
        <v/>
      </c>
      <c r="AQ303" s="36" t="n">
        <f aca="false">IF(AND(AN303&lt;&gt;"",ISNUMBER(AL303),LEFT(AN303,9)&lt;&gt;"Total for",AN303&lt;&gt;"Gross Profit",AN303&lt;&gt;"Net Operating Revenue",AN303&lt;&gt;"Net Other Revenue",AN303&lt;&gt;"Net Revenue"),1,0)</f>
        <v>0</v>
      </c>
      <c r="AR303" s="36" t="str">
        <f aca="false">IF(AQ303=1,IF(AND(LEN(AN303)&gt;7,ISNUMBER(VALUE(LEFT(AN303,6))),MID(AN303,7,1)=" "),LEFT(AN303,6),AN303),"")</f>
        <v/>
      </c>
    </row>
    <row r="304" customFormat="false" ht="15" hidden="false" customHeight="false" outlineLevel="0" collapsed="false">
      <c r="D304" s="36" t="str">
        <f aca="false">TRIM(A304)</f>
        <v/>
      </c>
      <c r="E304" s="36" t="str">
        <f aca="false">IF(D304="Revenue","Revenue",IF(D304="Cost of Goods Sold","COGS",IF(D304="Expenditures","Expense",IF(D304="Other Revenue","Other Revenue",IF(D304="Other Expenditures","Other Expense",E303)))))</f>
        <v/>
      </c>
      <c r="F304" s="36" t="str">
        <f aca="false">IF(OR(D304="Revenue",D304="Cost of Goods Sold",D304="Expenditures",D304="Other Revenue",D304="Other Expenditures"),E304,IF(AND(LEN(D304)&gt;2,MID(D304,2,1)=" ",ISNUMBER(VALUE(LEFT(D304,1)))),D304,F303))</f>
        <v/>
      </c>
      <c r="G304" s="36" t="n">
        <f aca="false">IF(AND(D304&lt;&gt;"",ISNUMBER(B304),LEFT(D304,9)&lt;&gt;"Total for",D304&lt;&gt;"Gross Profit",D304&lt;&gt;"Net Operating Revenue",D304&lt;&gt;"Net Other Revenue",D304&lt;&gt;"Net Revenue"),1,0)</f>
        <v>0</v>
      </c>
      <c r="H304" s="36" t="str">
        <f aca="false">IF(G304=1,IF(AND(LEN(D304)&gt;7,ISNUMBER(VALUE(LEFT(D304,6))),MID(D304,7,1)=" "),LEFT(D304,6),D304),"")</f>
        <v/>
      </c>
      <c r="M304" s="36" t="str">
        <f aca="false">TRIM(J304)</f>
        <v/>
      </c>
      <c r="N304" s="36" t="str">
        <f aca="false">IF(M304="Revenue","Revenue",IF(M304="Cost of Goods Sold","COGS",IF(M304="Expenditures","Expense",IF(M304="Other Revenue","Other Revenue",IF(M304="Other Expenditures","Other Expense",N303)))))</f>
        <v/>
      </c>
      <c r="O304" s="36" t="str">
        <f aca="false">IF(OR(M304="Revenue",M304="Cost of Goods Sold",M304="Expenditures",M304="Other Revenue",M304="Other Expenditures"),N304,IF(AND(LEN(M304)&gt;2,MID(M304,2,1)=" ",ISNUMBER(VALUE(LEFT(M304,1)))),M304,O303))</f>
        <v/>
      </c>
      <c r="P304" s="36" t="n">
        <f aca="false">IF(AND(M304&lt;&gt;"",ISNUMBER(K304),LEFT(M304,9)&lt;&gt;"Total for",M304&lt;&gt;"Gross Profit",M304&lt;&gt;"Net Operating Revenue",M304&lt;&gt;"Net Other Revenue",M304&lt;&gt;"Net Revenue"),1,0)</f>
        <v>0</v>
      </c>
      <c r="Q304" s="36" t="str">
        <f aca="false">IF(P304=1,IF(AND(LEN(M304)&gt;7,ISNUMBER(VALUE(LEFT(M304,6))),MID(M304,7,1)=" "),LEFT(M304,6),M304),"")</f>
        <v/>
      </c>
      <c r="V304" s="36" t="str">
        <f aca="false">TRIM(S304)</f>
        <v/>
      </c>
      <c r="W304" s="36" t="str">
        <f aca="false">IF(V304="Revenue","Revenue",IF(V304="Cost of Goods Sold","COGS",IF(V304="Expenditures","Expense",IF(V304="Other Revenue","Other Revenue",IF(V304="Other Expenditures","Other Expense",W303)))))</f>
        <v/>
      </c>
      <c r="X304" s="36" t="str">
        <f aca="false">IF(OR(V304="Revenue",V304="Cost of Goods Sold",V304="Expenditures",V304="Other Revenue",V304="Other Expenditures"),W304,IF(AND(LEN(V304)&gt;2,MID(V304,2,1)=" ",ISNUMBER(VALUE(LEFT(V304,1)))),V304,X303))</f>
        <v/>
      </c>
      <c r="Y304" s="36" t="n">
        <f aca="false">IF(AND(V304&lt;&gt;"",ISNUMBER(T304),LEFT(V304,9)&lt;&gt;"Total for",V304&lt;&gt;"Gross Profit",V304&lt;&gt;"Net Operating Revenue",V304&lt;&gt;"Net Other Revenue",V304&lt;&gt;"Net Revenue"),1,0)</f>
        <v>0</v>
      </c>
      <c r="Z304" s="36" t="str">
        <f aca="false">IF(Y304=1,IF(AND(LEN(V304)&gt;7,ISNUMBER(VALUE(LEFT(V304,6))),MID(V304,7,1)=" "),LEFT(V304,6),V304),"")</f>
        <v/>
      </c>
      <c r="AE304" s="36" t="str">
        <f aca="false">TRIM(AB304)</f>
        <v/>
      </c>
      <c r="AF304" s="36" t="str">
        <f aca="false">IF(AE304="Revenue","Revenue",IF(AE304="Cost of Goods Sold","COGS",IF(AE304="Expenditures","Expense",IF(AE304="Other Revenue","Other Revenue",IF(AE304="Other Expenditures","Other Expense",AF303)))))</f>
        <v/>
      </c>
      <c r="AG304" s="36" t="str">
        <f aca="false">IF(OR(AE304="Revenue",AE304="Cost of Goods Sold",AE304="Expenditures",AE304="Other Revenue",AE304="Other Expenditures"),AF304,IF(AND(LEN(AE304)&gt;2,MID(AE304,2,1)=" ",ISNUMBER(VALUE(LEFT(AE304,1)))),AE304,AG303))</f>
        <v/>
      </c>
      <c r="AH304" s="36" t="n">
        <f aca="false">IF(AND(AE304&lt;&gt;"",ISNUMBER(AC304),LEFT(AE304,9)&lt;&gt;"Total for",AE304&lt;&gt;"Gross Profit",AE304&lt;&gt;"Net Operating Revenue",AE304&lt;&gt;"Net Other Revenue",AE304&lt;&gt;"Net Revenue"),1,0)</f>
        <v>0</v>
      </c>
      <c r="AI304" s="36" t="str">
        <f aca="false">IF(AH304=1,IF(AND(LEN(AE304)&gt;7,ISNUMBER(VALUE(LEFT(AE304,6))),MID(AE304,7,1)=" "),LEFT(AE304,6),AE304),"")</f>
        <v/>
      </c>
      <c r="AN304" s="36" t="str">
        <f aca="false">TRIM(AK304)</f>
        <v/>
      </c>
      <c r="AO304" s="36" t="str">
        <f aca="false">IF(AN304="Revenue","Revenue",IF(AN304="Cost of Goods Sold","COGS",IF(AN304="Expenditures","Expense",IF(AN304="Other Revenue","Other Revenue",IF(AN304="Other Expenditures","Other Expense",AO303)))))</f>
        <v/>
      </c>
      <c r="AP304" s="36" t="str">
        <f aca="false">IF(OR(AN304="Revenue",AN304="Cost of Goods Sold",AN304="Expenditures",AN304="Other Revenue",AN304="Other Expenditures"),AO304,IF(AND(LEN(AN304)&gt;2,MID(AN304,2,1)=" ",ISNUMBER(VALUE(LEFT(AN304,1)))),AN304,AP303))</f>
        <v/>
      </c>
      <c r="AQ304" s="36" t="n">
        <f aca="false">IF(AND(AN304&lt;&gt;"",ISNUMBER(AL304),LEFT(AN304,9)&lt;&gt;"Total for",AN304&lt;&gt;"Gross Profit",AN304&lt;&gt;"Net Operating Revenue",AN304&lt;&gt;"Net Other Revenue",AN304&lt;&gt;"Net Revenue"),1,0)</f>
        <v>0</v>
      </c>
      <c r="AR304" s="36" t="str">
        <f aca="false">IF(AQ304=1,IF(AND(LEN(AN304)&gt;7,ISNUMBER(VALUE(LEFT(AN304,6))),MID(AN304,7,1)=" "),LEFT(AN304,6),AN304),"")</f>
        <v/>
      </c>
    </row>
    <row r="305" customFormat="false" ht="15" hidden="false" customHeight="false" outlineLevel="0" collapsed="false">
      <c r="D305" s="36" t="str">
        <f aca="false">TRIM(A305)</f>
        <v/>
      </c>
      <c r="E305" s="36" t="str">
        <f aca="false">IF(D305="Revenue","Revenue",IF(D305="Cost of Goods Sold","COGS",IF(D305="Expenditures","Expense",IF(D305="Other Revenue","Other Revenue",IF(D305="Other Expenditures","Other Expense",E304)))))</f>
        <v/>
      </c>
      <c r="F305" s="36" t="str">
        <f aca="false">IF(OR(D305="Revenue",D305="Cost of Goods Sold",D305="Expenditures",D305="Other Revenue",D305="Other Expenditures"),E305,IF(AND(LEN(D305)&gt;2,MID(D305,2,1)=" ",ISNUMBER(VALUE(LEFT(D305,1)))),D305,F304))</f>
        <v/>
      </c>
      <c r="G305" s="36" t="n">
        <f aca="false">IF(AND(D305&lt;&gt;"",ISNUMBER(B305),LEFT(D305,9)&lt;&gt;"Total for",D305&lt;&gt;"Gross Profit",D305&lt;&gt;"Net Operating Revenue",D305&lt;&gt;"Net Other Revenue",D305&lt;&gt;"Net Revenue"),1,0)</f>
        <v>0</v>
      </c>
      <c r="H305" s="36" t="str">
        <f aca="false">IF(G305=1,IF(AND(LEN(D305)&gt;7,ISNUMBER(VALUE(LEFT(D305,6))),MID(D305,7,1)=" "),LEFT(D305,6),D305),"")</f>
        <v/>
      </c>
      <c r="M305" s="36" t="str">
        <f aca="false">TRIM(J305)</f>
        <v/>
      </c>
      <c r="N305" s="36" t="str">
        <f aca="false">IF(M305="Revenue","Revenue",IF(M305="Cost of Goods Sold","COGS",IF(M305="Expenditures","Expense",IF(M305="Other Revenue","Other Revenue",IF(M305="Other Expenditures","Other Expense",N304)))))</f>
        <v/>
      </c>
      <c r="O305" s="36" t="str">
        <f aca="false">IF(OR(M305="Revenue",M305="Cost of Goods Sold",M305="Expenditures",M305="Other Revenue",M305="Other Expenditures"),N305,IF(AND(LEN(M305)&gt;2,MID(M305,2,1)=" ",ISNUMBER(VALUE(LEFT(M305,1)))),M305,O304))</f>
        <v/>
      </c>
      <c r="P305" s="36" t="n">
        <f aca="false">IF(AND(M305&lt;&gt;"",ISNUMBER(K305),LEFT(M305,9)&lt;&gt;"Total for",M305&lt;&gt;"Gross Profit",M305&lt;&gt;"Net Operating Revenue",M305&lt;&gt;"Net Other Revenue",M305&lt;&gt;"Net Revenue"),1,0)</f>
        <v>0</v>
      </c>
      <c r="Q305" s="36" t="str">
        <f aca="false">IF(P305=1,IF(AND(LEN(M305)&gt;7,ISNUMBER(VALUE(LEFT(M305,6))),MID(M305,7,1)=" "),LEFT(M305,6),M305),"")</f>
        <v/>
      </c>
      <c r="V305" s="36" t="str">
        <f aca="false">TRIM(S305)</f>
        <v/>
      </c>
      <c r="W305" s="36" t="str">
        <f aca="false">IF(V305="Revenue","Revenue",IF(V305="Cost of Goods Sold","COGS",IF(V305="Expenditures","Expense",IF(V305="Other Revenue","Other Revenue",IF(V305="Other Expenditures","Other Expense",W304)))))</f>
        <v/>
      </c>
      <c r="X305" s="36" t="str">
        <f aca="false">IF(OR(V305="Revenue",V305="Cost of Goods Sold",V305="Expenditures",V305="Other Revenue",V305="Other Expenditures"),W305,IF(AND(LEN(V305)&gt;2,MID(V305,2,1)=" ",ISNUMBER(VALUE(LEFT(V305,1)))),V305,X304))</f>
        <v/>
      </c>
      <c r="Y305" s="36" t="n">
        <f aca="false">IF(AND(V305&lt;&gt;"",ISNUMBER(T305),LEFT(V305,9)&lt;&gt;"Total for",V305&lt;&gt;"Gross Profit",V305&lt;&gt;"Net Operating Revenue",V305&lt;&gt;"Net Other Revenue",V305&lt;&gt;"Net Revenue"),1,0)</f>
        <v>0</v>
      </c>
      <c r="Z305" s="36" t="str">
        <f aca="false">IF(Y305=1,IF(AND(LEN(V305)&gt;7,ISNUMBER(VALUE(LEFT(V305,6))),MID(V305,7,1)=" "),LEFT(V305,6),V305),"")</f>
        <v/>
      </c>
      <c r="AE305" s="36" t="str">
        <f aca="false">TRIM(AB305)</f>
        <v/>
      </c>
      <c r="AF305" s="36" t="str">
        <f aca="false">IF(AE305="Revenue","Revenue",IF(AE305="Cost of Goods Sold","COGS",IF(AE305="Expenditures","Expense",IF(AE305="Other Revenue","Other Revenue",IF(AE305="Other Expenditures","Other Expense",AF304)))))</f>
        <v/>
      </c>
      <c r="AG305" s="36" t="str">
        <f aca="false">IF(OR(AE305="Revenue",AE305="Cost of Goods Sold",AE305="Expenditures",AE305="Other Revenue",AE305="Other Expenditures"),AF305,IF(AND(LEN(AE305)&gt;2,MID(AE305,2,1)=" ",ISNUMBER(VALUE(LEFT(AE305,1)))),AE305,AG304))</f>
        <v/>
      </c>
      <c r="AH305" s="36" t="n">
        <f aca="false">IF(AND(AE305&lt;&gt;"",ISNUMBER(AC305),LEFT(AE305,9)&lt;&gt;"Total for",AE305&lt;&gt;"Gross Profit",AE305&lt;&gt;"Net Operating Revenue",AE305&lt;&gt;"Net Other Revenue",AE305&lt;&gt;"Net Revenue"),1,0)</f>
        <v>0</v>
      </c>
      <c r="AI305" s="36" t="str">
        <f aca="false">IF(AH305=1,IF(AND(LEN(AE305)&gt;7,ISNUMBER(VALUE(LEFT(AE305,6))),MID(AE305,7,1)=" "),LEFT(AE305,6),AE305),"")</f>
        <v/>
      </c>
      <c r="AN305" s="36" t="str">
        <f aca="false">TRIM(AK305)</f>
        <v/>
      </c>
      <c r="AO305" s="36" t="str">
        <f aca="false">IF(AN305="Revenue","Revenue",IF(AN305="Cost of Goods Sold","COGS",IF(AN305="Expenditures","Expense",IF(AN305="Other Revenue","Other Revenue",IF(AN305="Other Expenditures","Other Expense",AO304)))))</f>
        <v/>
      </c>
      <c r="AP305" s="36" t="str">
        <f aca="false">IF(OR(AN305="Revenue",AN305="Cost of Goods Sold",AN305="Expenditures",AN305="Other Revenue",AN305="Other Expenditures"),AO305,IF(AND(LEN(AN305)&gt;2,MID(AN305,2,1)=" ",ISNUMBER(VALUE(LEFT(AN305,1)))),AN305,AP304))</f>
        <v/>
      </c>
      <c r="AQ305" s="36" t="n">
        <f aca="false">IF(AND(AN305&lt;&gt;"",ISNUMBER(AL305),LEFT(AN305,9)&lt;&gt;"Total for",AN305&lt;&gt;"Gross Profit",AN305&lt;&gt;"Net Operating Revenue",AN305&lt;&gt;"Net Other Revenue",AN305&lt;&gt;"Net Revenue"),1,0)</f>
        <v>0</v>
      </c>
      <c r="AR305" s="36" t="str">
        <f aca="false">IF(AQ305=1,IF(AND(LEN(AN305)&gt;7,ISNUMBER(VALUE(LEFT(AN305,6))),MID(AN305,7,1)=" "),LEFT(AN305,6),AN305),"")</f>
        <v/>
      </c>
    </row>
    <row r="306" customFormat="false" ht="15" hidden="false" customHeight="false" outlineLevel="0" collapsed="false">
      <c r="D306" s="36" t="str">
        <f aca="false">TRIM(A306)</f>
        <v/>
      </c>
      <c r="E306" s="36" t="str">
        <f aca="false">IF(D306="Revenue","Revenue",IF(D306="Cost of Goods Sold","COGS",IF(D306="Expenditures","Expense",IF(D306="Other Revenue","Other Revenue",IF(D306="Other Expenditures","Other Expense",E305)))))</f>
        <v/>
      </c>
      <c r="F306" s="36" t="str">
        <f aca="false">IF(OR(D306="Revenue",D306="Cost of Goods Sold",D306="Expenditures",D306="Other Revenue",D306="Other Expenditures"),E306,IF(AND(LEN(D306)&gt;2,MID(D306,2,1)=" ",ISNUMBER(VALUE(LEFT(D306,1)))),D306,F305))</f>
        <v/>
      </c>
      <c r="G306" s="36" t="n">
        <f aca="false">IF(AND(D306&lt;&gt;"",ISNUMBER(B306),LEFT(D306,9)&lt;&gt;"Total for",D306&lt;&gt;"Gross Profit",D306&lt;&gt;"Net Operating Revenue",D306&lt;&gt;"Net Other Revenue",D306&lt;&gt;"Net Revenue"),1,0)</f>
        <v>0</v>
      </c>
      <c r="H306" s="36" t="str">
        <f aca="false">IF(G306=1,IF(AND(LEN(D306)&gt;7,ISNUMBER(VALUE(LEFT(D306,6))),MID(D306,7,1)=" "),LEFT(D306,6),D306),"")</f>
        <v/>
      </c>
      <c r="M306" s="36" t="str">
        <f aca="false">TRIM(J306)</f>
        <v/>
      </c>
      <c r="N306" s="36" t="str">
        <f aca="false">IF(M306="Revenue","Revenue",IF(M306="Cost of Goods Sold","COGS",IF(M306="Expenditures","Expense",IF(M306="Other Revenue","Other Revenue",IF(M306="Other Expenditures","Other Expense",N305)))))</f>
        <v/>
      </c>
      <c r="O306" s="36" t="str">
        <f aca="false">IF(OR(M306="Revenue",M306="Cost of Goods Sold",M306="Expenditures",M306="Other Revenue",M306="Other Expenditures"),N306,IF(AND(LEN(M306)&gt;2,MID(M306,2,1)=" ",ISNUMBER(VALUE(LEFT(M306,1)))),M306,O305))</f>
        <v/>
      </c>
      <c r="P306" s="36" t="n">
        <f aca="false">IF(AND(M306&lt;&gt;"",ISNUMBER(K306),LEFT(M306,9)&lt;&gt;"Total for",M306&lt;&gt;"Gross Profit",M306&lt;&gt;"Net Operating Revenue",M306&lt;&gt;"Net Other Revenue",M306&lt;&gt;"Net Revenue"),1,0)</f>
        <v>0</v>
      </c>
      <c r="Q306" s="36" t="str">
        <f aca="false">IF(P306=1,IF(AND(LEN(M306)&gt;7,ISNUMBER(VALUE(LEFT(M306,6))),MID(M306,7,1)=" "),LEFT(M306,6),M306),"")</f>
        <v/>
      </c>
      <c r="V306" s="36" t="str">
        <f aca="false">TRIM(S306)</f>
        <v/>
      </c>
      <c r="W306" s="36" t="str">
        <f aca="false">IF(V306="Revenue","Revenue",IF(V306="Cost of Goods Sold","COGS",IF(V306="Expenditures","Expense",IF(V306="Other Revenue","Other Revenue",IF(V306="Other Expenditures","Other Expense",W305)))))</f>
        <v/>
      </c>
      <c r="X306" s="36" t="str">
        <f aca="false">IF(OR(V306="Revenue",V306="Cost of Goods Sold",V306="Expenditures",V306="Other Revenue",V306="Other Expenditures"),W306,IF(AND(LEN(V306)&gt;2,MID(V306,2,1)=" ",ISNUMBER(VALUE(LEFT(V306,1)))),V306,X305))</f>
        <v/>
      </c>
      <c r="Y306" s="36" t="n">
        <f aca="false">IF(AND(V306&lt;&gt;"",ISNUMBER(T306),LEFT(V306,9)&lt;&gt;"Total for",V306&lt;&gt;"Gross Profit",V306&lt;&gt;"Net Operating Revenue",V306&lt;&gt;"Net Other Revenue",V306&lt;&gt;"Net Revenue"),1,0)</f>
        <v>0</v>
      </c>
      <c r="Z306" s="36" t="str">
        <f aca="false">IF(Y306=1,IF(AND(LEN(V306)&gt;7,ISNUMBER(VALUE(LEFT(V306,6))),MID(V306,7,1)=" "),LEFT(V306,6),V306),"")</f>
        <v/>
      </c>
      <c r="AE306" s="36" t="str">
        <f aca="false">TRIM(AB306)</f>
        <v/>
      </c>
      <c r="AF306" s="36" t="str">
        <f aca="false">IF(AE306="Revenue","Revenue",IF(AE306="Cost of Goods Sold","COGS",IF(AE306="Expenditures","Expense",IF(AE306="Other Revenue","Other Revenue",IF(AE306="Other Expenditures","Other Expense",AF305)))))</f>
        <v/>
      </c>
      <c r="AG306" s="36" t="str">
        <f aca="false">IF(OR(AE306="Revenue",AE306="Cost of Goods Sold",AE306="Expenditures",AE306="Other Revenue",AE306="Other Expenditures"),AF306,IF(AND(LEN(AE306)&gt;2,MID(AE306,2,1)=" ",ISNUMBER(VALUE(LEFT(AE306,1)))),AE306,AG305))</f>
        <v/>
      </c>
      <c r="AH306" s="36" t="n">
        <f aca="false">IF(AND(AE306&lt;&gt;"",ISNUMBER(AC306),LEFT(AE306,9)&lt;&gt;"Total for",AE306&lt;&gt;"Gross Profit",AE306&lt;&gt;"Net Operating Revenue",AE306&lt;&gt;"Net Other Revenue",AE306&lt;&gt;"Net Revenue"),1,0)</f>
        <v>0</v>
      </c>
      <c r="AI306" s="36" t="str">
        <f aca="false">IF(AH306=1,IF(AND(LEN(AE306)&gt;7,ISNUMBER(VALUE(LEFT(AE306,6))),MID(AE306,7,1)=" "),LEFT(AE306,6),AE306),"")</f>
        <v/>
      </c>
      <c r="AN306" s="36" t="str">
        <f aca="false">TRIM(AK306)</f>
        <v/>
      </c>
      <c r="AO306" s="36" t="str">
        <f aca="false">IF(AN306="Revenue","Revenue",IF(AN306="Cost of Goods Sold","COGS",IF(AN306="Expenditures","Expense",IF(AN306="Other Revenue","Other Revenue",IF(AN306="Other Expenditures","Other Expense",AO305)))))</f>
        <v/>
      </c>
      <c r="AP306" s="36" t="str">
        <f aca="false">IF(OR(AN306="Revenue",AN306="Cost of Goods Sold",AN306="Expenditures",AN306="Other Revenue",AN306="Other Expenditures"),AO306,IF(AND(LEN(AN306)&gt;2,MID(AN306,2,1)=" ",ISNUMBER(VALUE(LEFT(AN306,1)))),AN306,AP305))</f>
        <v/>
      </c>
      <c r="AQ306" s="36" t="n">
        <f aca="false">IF(AND(AN306&lt;&gt;"",ISNUMBER(AL306),LEFT(AN306,9)&lt;&gt;"Total for",AN306&lt;&gt;"Gross Profit",AN306&lt;&gt;"Net Operating Revenue",AN306&lt;&gt;"Net Other Revenue",AN306&lt;&gt;"Net Revenue"),1,0)</f>
        <v>0</v>
      </c>
      <c r="AR306" s="36" t="str">
        <f aca="false">IF(AQ306=1,IF(AND(LEN(AN306)&gt;7,ISNUMBER(VALUE(LEFT(AN306,6))),MID(AN306,7,1)=" "),LEFT(AN306,6),AN306),"")</f>
        <v/>
      </c>
    </row>
    <row r="307" customFormat="false" ht="15" hidden="false" customHeight="false" outlineLevel="0" collapsed="false">
      <c r="D307" s="36" t="str">
        <f aca="false">TRIM(A307)</f>
        <v/>
      </c>
      <c r="E307" s="36" t="str">
        <f aca="false">IF(D307="Revenue","Revenue",IF(D307="Cost of Goods Sold","COGS",IF(D307="Expenditures","Expense",IF(D307="Other Revenue","Other Revenue",IF(D307="Other Expenditures","Other Expense",E306)))))</f>
        <v/>
      </c>
      <c r="F307" s="36" t="str">
        <f aca="false">IF(OR(D307="Revenue",D307="Cost of Goods Sold",D307="Expenditures",D307="Other Revenue",D307="Other Expenditures"),E307,IF(AND(LEN(D307)&gt;2,MID(D307,2,1)=" ",ISNUMBER(VALUE(LEFT(D307,1)))),D307,F306))</f>
        <v/>
      </c>
      <c r="G307" s="36" t="n">
        <f aca="false">IF(AND(D307&lt;&gt;"",ISNUMBER(B307),LEFT(D307,9)&lt;&gt;"Total for",D307&lt;&gt;"Gross Profit",D307&lt;&gt;"Net Operating Revenue",D307&lt;&gt;"Net Other Revenue",D307&lt;&gt;"Net Revenue"),1,0)</f>
        <v>0</v>
      </c>
      <c r="H307" s="36" t="str">
        <f aca="false">IF(G307=1,IF(AND(LEN(D307)&gt;7,ISNUMBER(VALUE(LEFT(D307,6))),MID(D307,7,1)=" "),LEFT(D307,6),D307),"")</f>
        <v/>
      </c>
      <c r="M307" s="36" t="str">
        <f aca="false">TRIM(J307)</f>
        <v/>
      </c>
      <c r="N307" s="36" t="str">
        <f aca="false">IF(M307="Revenue","Revenue",IF(M307="Cost of Goods Sold","COGS",IF(M307="Expenditures","Expense",IF(M307="Other Revenue","Other Revenue",IF(M307="Other Expenditures","Other Expense",N306)))))</f>
        <v/>
      </c>
      <c r="O307" s="36" t="str">
        <f aca="false">IF(OR(M307="Revenue",M307="Cost of Goods Sold",M307="Expenditures",M307="Other Revenue",M307="Other Expenditures"),N307,IF(AND(LEN(M307)&gt;2,MID(M307,2,1)=" ",ISNUMBER(VALUE(LEFT(M307,1)))),M307,O306))</f>
        <v/>
      </c>
      <c r="P307" s="36" t="n">
        <f aca="false">IF(AND(M307&lt;&gt;"",ISNUMBER(K307),LEFT(M307,9)&lt;&gt;"Total for",M307&lt;&gt;"Gross Profit",M307&lt;&gt;"Net Operating Revenue",M307&lt;&gt;"Net Other Revenue",M307&lt;&gt;"Net Revenue"),1,0)</f>
        <v>0</v>
      </c>
      <c r="Q307" s="36" t="str">
        <f aca="false">IF(P307=1,IF(AND(LEN(M307)&gt;7,ISNUMBER(VALUE(LEFT(M307,6))),MID(M307,7,1)=" "),LEFT(M307,6),M307),"")</f>
        <v/>
      </c>
      <c r="V307" s="36" t="str">
        <f aca="false">TRIM(S307)</f>
        <v/>
      </c>
      <c r="W307" s="36" t="str">
        <f aca="false">IF(V307="Revenue","Revenue",IF(V307="Cost of Goods Sold","COGS",IF(V307="Expenditures","Expense",IF(V307="Other Revenue","Other Revenue",IF(V307="Other Expenditures","Other Expense",W306)))))</f>
        <v/>
      </c>
      <c r="X307" s="36" t="str">
        <f aca="false">IF(OR(V307="Revenue",V307="Cost of Goods Sold",V307="Expenditures",V307="Other Revenue",V307="Other Expenditures"),W307,IF(AND(LEN(V307)&gt;2,MID(V307,2,1)=" ",ISNUMBER(VALUE(LEFT(V307,1)))),V307,X306))</f>
        <v/>
      </c>
      <c r="Y307" s="36" t="n">
        <f aca="false">IF(AND(V307&lt;&gt;"",ISNUMBER(T307),LEFT(V307,9)&lt;&gt;"Total for",V307&lt;&gt;"Gross Profit",V307&lt;&gt;"Net Operating Revenue",V307&lt;&gt;"Net Other Revenue",V307&lt;&gt;"Net Revenue"),1,0)</f>
        <v>0</v>
      </c>
      <c r="Z307" s="36" t="str">
        <f aca="false">IF(Y307=1,IF(AND(LEN(V307)&gt;7,ISNUMBER(VALUE(LEFT(V307,6))),MID(V307,7,1)=" "),LEFT(V307,6),V307),"")</f>
        <v/>
      </c>
      <c r="AE307" s="36" t="str">
        <f aca="false">TRIM(AB307)</f>
        <v/>
      </c>
      <c r="AF307" s="36" t="str">
        <f aca="false">IF(AE307="Revenue","Revenue",IF(AE307="Cost of Goods Sold","COGS",IF(AE307="Expenditures","Expense",IF(AE307="Other Revenue","Other Revenue",IF(AE307="Other Expenditures","Other Expense",AF306)))))</f>
        <v/>
      </c>
      <c r="AG307" s="36" t="str">
        <f aca="false">IF(OR(AE307="Revenue",AE307="Cost of Goods Sold",AE307="Expenditures",AE307="Other Revenue",AE307="Other Expenditures"),AF307,IF(AND(LEN(AE307)&gt;2,MID(AE307,2,1)=" ",ISNUMBER(VALUE(LEFT(AE307,1)))),AE307,AG306))</f>
        <v/>
      </c>
      <c r="AH307" s="36" t="n">
        <f aca="false">IF(AND(AE307&lt;&gt;"",ISNUMBER(AC307),LEFT(AE307,9)&lt;&gt;"Total for",AE307&lt;&gt;"Gross Profit",AE307&lt;&gt;"Net Operating Revenue",AE307&lt;&gt;"Net Other Revenue",AE307&lt;&gt;"Net Revenue"),1,0)</f>
        <v>0</v>
      </c>
      <c r="AI307" s="36" t="str">
        <f aca="false">IF(AH307=1,IF(AND(LEN(AE307)&gt;7,ISNUMBER(VALUE(LEFT(AE307,6))),MID(AE307,7,1)=" "),LEFT(AE307,6),AE307),"")</f>
        <v/>
      </c>
      <c r="AN307" s="36" t="str">
        <f aca="false">TRIM(AK307)</f>
        <v/>
      </c>
      <c r="AO307" s="36" t="str">
        <f aca="false">IF(AN307="Revenue","Revenue",IF(AN307="Cost of Goods Sold","COGS",IF(AN307="Expenditures","Expense",IF(AN307="Other Revenue","Other Revenue",IF(AN307="Other Expenditures","Other Expense",AO306)))))</f>
        <v/>
      </c>
      <c r="AP307" s="36" t="str">
        <f aca="false">IF(OR(AN307="Revenue",AN307="Cost of Goods Sold",AN307="Expenditures",AN307="Other Revenue",AN307="Other Expenditures"),AO307,IF(AND(LEN(AN307)&gt;2,MID(AN307,2,1)=" ",ISNUMBER(VALUE(LEFT(AN307,1)))),AN307,AP306))</f>
        <v/>
      </c>
      <c r="AQ307" s="36" t="n">
        <f aca="false">IF(AND(AN307&lt;&gt;"",ISNUMBER(AL307),LEFT(AN307,9)&lt;&gt;"Total for",AN307&lt;&gt;"Gross Profit",AN307&lt;&gt;"Net Operating Revenue",AN307&lt;&gt;"Net Other Revenue",AN307&lt;&gt;"Net Revenue"),1,0)</f>
        <v>0</v>
      </c>
      <c r="AR307" s="36" t="str">
        <f aca="false">IF(AQ307=1,IF(AND(LEN(AN307)&gt;7,ISNUMBER(VALUE(LEFT(AN307,6))),MID(AN307,7,1)=" "),LEFT(AN307,6),AN307),"")</f>
        <v/>
      </c>
    </row>
    <row r="308" customFormat="false" ht="15" hidden="false" customHeight="false" outlineLevel="0" collapsed="false">
      <c r="D308" s="36" t="str">
        <f aca="false">TRIM(A308)</f>
        <v/>
      </c>
      <c r="E308" s="36" t="str">
        <f aca="false">IF(D308="Revenue","Revenue",IF(D308="Cost of Goods Sold","COGS",IF(D308="Expenditures","Expense",IF(D308="Other Revenue","Other Revenue",IF(D308="Other Expenditures","Other Expense",E307)))))</f>
        <v/>
      </c>
      <c r="F308" s="36" t="str">
        <f aca="false">IF(OR(D308="Revenue",D308="Cost of Goods Sold",D308="Expenditures",D308="Other Revenue",D308="Other Expenditures"),E308,IF(AND(LEN(D308)&gt;2,MID(D308,2,1)=" ",ISNUMBER(VALUE(LEFT(D308,1)))),D308,F307))</f>
        <v/>
      </c>
      <c r="G308" s="36" t="n">
        <f aca="false">IF(AND(D308&lt;&gt;"",ISNUMBER(B308),LEFT(D308,9)&lt;&gt;"Total for",D308&lt;&gt;"Gross Profit",D308&lt;&gt;"Net Operating Revenue",D308&lt;&gt;"Net Other Revenue",D308&lt;&gt;"Net Revenue"),1,0)</f>
        <v>0</v>
      </c>
      <c r="H308" s="36" t="str">
        <f aca="false">IF(G308=1,IF(AND(LEN(D308)&gt;7,ISNUMBER(VALUE(LEFT(D308,6))),MID(D308,7,1)=" "),LEFT(D308,6),D308),"")</f>
        <v/>
      </c>
      <c r="M308" s="36" t="str">
        <f aca="false">TRIM(J308)</f>
        <v/>
      </c>
      <c r="N308" s="36" t="str">
        <f aca="false">IF(M308="Revenue","Revenue",IF(M308="Cost of Goods Sold","COGS",IF(M308="Expenditures","Expense",IF(M308="Other Revenue","Other Revenue",IF(M308="Other Expenditures","Other Expense",N307)))))</f>
        <v/>
      </c>
      <c r="O308" s="36" t="str">
        <f aca="false">IF(OR(M308="Revenue",M308="Cost of Goods Sold",M308="Expenditures",M308="Other Revenue",M308="Other Expenditures"),N308,IF(AND(LEN(M308)&gt;2,MID(M308,2,1)=" ",ISNUMBER(VALUE(LEFT(M308,1)))),M308,O307))</f>
        <v/>
      </c>
      <c r="P308" s="36" t="n">
        <f aca="false">IF(AND(M308&lt;&gt;"",ISNUMBER(K308),LEFT(M308,9)&lt;&gt;"Total for",M308&lt;&gt;"Gross Profit",M308&lt;&gt;"Net Operating Revenue",M308&lt;&gt;"Net Other Revenue",M308&lt;&gt;"Net Revenue"),1,0)</f>
        <v>0</v>
      </c>
      <c r="Q308" s="36" t="str">
        <f aca="false">IF(P308=1,IF(AND(LEN(M308)&gt;7,ISNUMBER(VALUE(LEFT(M308,6))),MID(M308,7,1)=" "),LEFT(M308,6),M308),"")</f>
        <v/>
      </c>
      <c r="V308" s="36" t="str">
        <f aca="false">TRIM(S308)</f>
        <v/>
      </c>
      <c r="W308" s="36" t="str">
        <f aca="false">IF(V308="Revenue","Revenue",IF(V308="Cost of Goods Sold","COGS",IF(V308="Expenditures","Expense",IF(V308="Other Revenue","Other Revenue",IF(V308="Other Expenditures","Other Expense",W307)))))</f>
        <v/>
      </c>
      <c r="X308" s="36" t="str">
        <f aca="false">IF(OR(V308="Revenue",V308="Cost of Goods Sold",V308="Expenditures",V308="Other Revenue",V308="Other Expenditures"),W308,IF(AND(LEN(V308)&gt;2,MID(V308,2,1)=" ",ISNUMBER(VALUE(LEFT(V308,1)))),V308,X307))</f>
        <v/>
      </c>
      <c r="Y308" s="36" t="n">
        <f aca="false">IF(AND(V308&lt;&gt;"",ISNUMBER(T308),LEFT(V308,9)&lt;&gt;"Total for",V308&lt;&gt;"Gross Profit",V308&lt;&gt;"Net Operating Revenue",V308&lt;&gt;"Net Other Revenue",V308&lt;&gt;"Net Revenue"),1,0)</f>
        <v>0</v>
      </c>
      <c r="Z308" s="36" t="str">
        <f aca="false">IF(Y308=1,IF(AND(LEN(V308)&gt;7,ISNUMBER(VALUE(LEFT(V308,6))),MID(V308,7,1)=" "),LEFT(V308,6),V308),"")</f>
        <v/>
      </c>
      <c r="AE308" s="36" t="str">
        <f aca="false">TRIM(AB308)</f>
        <v/>
      </c>
      <c r="AF308" s="36" t="str">
        <f aca="false">IF(AE308="Revenue","Revenue",IF(AE308="Cost of Goods Sold","COGS",IF(AE308="Expenditures","Expense",IF(AE308="Other Revenue","Other Revenue",IF(AE308="Other Expenditures","Other Expense",AF307)))))</f>
        <v/>
      </c>
      <c r="AG308" s="36" t="str">
        <f aca="false">IF(OR(AE308="Revenue",AE308="Cost of Goods Sold",AE308="Expenditures",AE308="Other Revenue",AE308="Other Expenditures"),AF308,IF(AND(LEN(AE308)&gt;2,MID(AE308,2,1)=" ",ISNUMBER(VALUE(LEFT(AE308,1)))),AE308,AG307))</f>
        <v/>
      </c>
      <c r="AH308" s="36" t="n">
        <f aca="false">IF(AND(AE308&lt;&gt;"",ISNUMBER(AC308),LEFT(AE308,9)&lt;&gt;"Total for",AE308&lt;&gt;"Gross Profit",AE308&lt;&gt;"Net Operating Revenue",AE308&lt;&gt;"Net Other Revenue",AE308&lt;&gt;"Net Revenue"),1,0)</f>
        <v>0</v>
      </c>
      <c r="AI308" s="36" t="str">
        <f aca="false">IF(AH308=1,IF(AND(LEN(AE308)&gt;7,ISNUMBER(VALUE(LEFT(AE308,6))),MID(AE308,7,1)=" "),LEFT(AE308,6),AE308),"")</f>
        <v/>
      </c>
      <c r="AN308" s="36" t="str">
        <f aca="false">TRIM(AK308)</f>
        <v/>
      </c>
      <c r="AO308" s="36" t="str">
        <f aca="false">IF(AN308="Revenue","Revenue",IF(AN308="Cost of Goods Sold","COGS",IF(AN308="Expenditures","Expense",IF(AN308="Other Revenue","Other Revenue",IF(AN308="Other Expenditures","Other Expense",AO307)))))</f>
        <v/>
      </c>
      <c r="AP308" s="36" t="str">
        <f aca="false">IF(OR(AN308="Revenue",AN308="Cost of Goods Sold",AN308="Expenditures",AN308="Other Revenue",AN308="Other Expenditures"),AO308,IF(AND(LEN(AN308)&gt;2,MID(AN308,2,1)=" ",ISNUMBER(VALUE(LEFT(AN308,1)))),AN308,AP307))</f>
        <v/>
      </c>
      <c r="AQ308" s="36" t="n">
        <f aca="false">IF(AND(AN308&lt;&gt;"",ISNUMBER(AL308),LEFT(AN308,9)&lt;&gt;"Total for",AN308&lt;&gt;"Gross Profit",AN308&lt;&gt;"Net Operating Revenue",AN308&lt;&gt;"Net Other Revenue",AN308&lt;&gt;"Net Revenue"),1,0)</f>
        <v>0</v>
      </c>
      <c r="AR308" s="36" t="str">
        <f aca="false">IF(AQ308=1,IF(AND(LEN(AN308)&gt;7,ISNUMBER(VALUE(LEFT(AN308,6))),MID(AN308,7,1)=" "),LEFT(AN308,6),AN308),"")</f>
        <v/>
      </c>
    </row>
    <row r="309" customFormat="false" ht="15" hidden="false" customHeight="false" outlineLevel="0" collapsed="false">
      <c r="D309" s="36" t="str">
        <f aca="false">TRIM(A309)</f>
        <v/>
      </c>
      <c r="E309" s="36" t="str">
        <f aca="false">IF(D309="Revenue","Revenue",IF(D309="Cost of Goods Sold","COGS",IF(D309="Expenditures","Expense",IF(D309="Other Revenue","Other Revenue",IF(D309="Other Expenditures","Other Expense",E308)))))</f>
        <v/>
      </c>
      <c r="F309" s="36" t="str">
        <f aca="false">IF(OR(D309="Revenue",D309="Cost of Goods Sold",D309="Expenditures",D309="Other Revenue",D309="Other Expenditures"),E309,IF(AND(LEN(D309)&gt;2,MID(D309,2,1)=" ",ISNUMBER(VALUE(LEFT(D309,1)))),D309,F308))</f>
        <v/>
      </c>
      <c r="G309" s="36" t="n">
        <f aca="false">IF(AND(D309&lt;&gt;"",ISNUMBER(B309),LEFT(D309,9)&lt;&gt;"Total for",D309&lt;&gt;"Gross Profit",D309&lt;&gt;"Net Operating Revenue",D309&lt;&gt;"Net Other Revenue",D309&lt;&gt;"Net Revenue"),1,0)</f>
        <v>0</v>
      </c>
      <c r="H309" s="36" t="str">
        <f aca="false">IF(G309=1,IF(AND(LEN(D309)&gt;7,ISNUMBER(VALUE(LEFT(D309,6))),MID(D309,7,1)=" "),LEFT(D309,6),D309),"")</f>
        <v/>
      </c>
      <c r="M309" s="36" t="str">
        <f aca="false">TRIM(J309)</f>
        <v/>
      </c>
      <c r="N309" s="36" t="str">
        <f aca="false">IF(M309="Revenue","Revenue",IF(M309="Cost of Goods Sold","COGS",IF(M309="Expenditures","Expense",IF(M309="Other Revenue","Other Revenue",IF(M309="Other Expenditures","Other Expense",N308)))))</f>
        <v/>
      </c>
      <c r="O309" s="36" t="str">
        <f aca="false">IF(OR(M309="Revenue",M309="Cost of Goods Sold",M309="Expenditures",M309="Other Revenue",M309="Other Expenditures"),N309,IF(AND(LEN(M309)&gt;2,MID(M309,2,1)=" ",ISNUMBER(VALUE(LEFT(M309,1)))),M309,O308))</f>
        <v/>
      </c>
      <c r="P309" s="36" t="n">
        <f aca="false">IF(AND(M309&lt;&gt;"",ISNUMBER(K309),LEFT(M309,9)&lt;&gt;"Total for",M309&lt;&gt;"Gross Profit",M309&lt;&gt;"Net Operating Revenue",M309&lt;&gt;"Net Other Revenue",M309&lt;&gt;"Net Revenue"),1,0)</f>
        <v>0</v>
      </c>
      <c r="Q309" s="36" t="str">
        <f aca="false">IF(P309=1,IF(AND(LEN(M309)&gt;7,ISNUMBER(VALUE(LEFT(M309,6))),MID(M309,7,1)=" "),LEFT(M309,6),M309),"")</f>
        <v/>
      </c>
      <c r="V309" s="36" t="str">
        <f aca="false">TRIM(S309)</f>
        <v/>
      </c>
      <c r="W309" s="36" t="str">
        <f aca="false">IF(V309="Revenue","Revenue",IF(V309="Cost of Goods Sold","COGS",IF(V309="Expenditures","Expense",IF(V309="Other Revenue","Other Revenue",IF(V309="Other Expenditures","Other Expense",W308)))))</f>
        <v/>
      </c>
      <c r="X309" s="36" t="str">
        <f aca="false">IF(OR(V309="Revenue",V309="Cost of Goods Sold",V309="Expenditures",V309="Other Revenue",V309="Other Expenditures"),W309,IF(AND(LEN(V309)&gt;2,MID(V309,2,1)=" ",ISNUMBER(VALUE(LEFT(V309,1)))),V309,X308))</f>
        <v/>
      </c>
      <c r="Y309" s="36" t="n">
        <f aca="false">IF(AND(V309&lt;&gt;"",ISNUMBER(T309),LEFT(V309,9)&lt;&gt;"Total for",V309&lt;&gt;"Gross Profit",V309&lt;&gt;"Net Operating Revenue",V309&lt;&gt;"Net Other Revenue",V309&lt;&gt;"Net Revenue"),1,0)</f>
        <v>0</v>
      </c>
      <c r="Z309" s="36" t="str">
        <f aca="false">IF(Y309=1,IF(AND(LEN(V309)&gt;7,ISNUMBER(VALUE(LEFT(V309,6))),MID(V309,7,1)=" "),LEFT(V309,6),V309),"")</f>
        <v/>
      </c>
      <c r="AE309" s="36" t="str">
        <f aca="false">TRIM(AB309)</f>
        <v/>
      </c>
      <c r="AF309" s="36" t="str">
        <f aca="false">IF(AE309="Revenue","Revenue",IF(AE309="Cost of Goods Sold","COGS",IF(AE309="Expenditures","Expense",IF(AE309="Other Revenue","Other Revenue",IF(AE309="Other Expenditures","Other Expense",AF308)))))</f>
        <v/>
      </c>
      <c r="AG309" s="36" t="str">
        <f aca="false">IF(OR(AE309="Revenue",AE309="Cost of Goods Sold",AE309="Expenditures",AE309="Other Revenue",AE309="Other Expenditures"),AF309,IF(AND(LEN(AE309)&gt;2,MID(AE309,2,1)=" ",ISNUMBER(VALUE(LEFT(AE309,1)))),AE309,AG308))</f>
        <v/>
      </c>
      <c r="AH309" s="36" t="n">
        <f aca="false">IF(AND(AE309&lt;&gt;"",ISNUMBER(AC309),LEFT(AE309,9)&lt;&gt;"Total for",AE309&lt;&gt;"Gross Profit",AE309&lt;&gt;"Net Operating Revenue",AE309&lt;&gt;"Net Other Revenue",AE309&lt;&gt;"Net Revenue"),1,0)</f>
        <v>0</v>
      </c>
      <c r="AI309" s="36" t="str">
        <f aca="false">IF(AH309=1,IF(AND(LEN(AE309)&gt;7,ISNUMBER(VALUE(LEFT(AE309,6))),MID(AE309,7,1)=" "),LEFT(AE309,6),AE309),"")</f>
        <v/>
      </c>
      <c r="AN309" s="36" t="str">
        <f aca="false">TRIM(AK309)</f>
        <v/>
      </c>
      <c r="AO309" s="36" t="str">
        <f aca="false">IF(AN309="Revenue","Revenue",IF(AN309="Cost of Goods Sold","COGS",IF(AN309="Expenditures","Expense",IF(AN309="Other Revenue","Other Revenue",IF(AN309="Other Expenditures","Other Expense",AO308)))))</f>
        <v/>
      </c>
      <c r="AP309" s="36" t="str">
        <f aca="false">IF(OR(AN309="Revenue",AN309="Cost of Goods Sold",AN309="Expenditures",AN309="Other Revenue",AN309="Other Expenditures"),AO309,IF(AND(LEN(AN309)&gt;2,MID(AN309,2,1)=" ",ISNUMBER(VALUE(LEFT(AN309,1)))),AN309,AP308))</f>
        <v/>
      </c>
      <c r="AQ309" s="36" t="n">
        <f aca="false">IF(AND(AN309&lt;&gt;"",ISNUMBER(AL309),LEFT(AN309,9)&lt;&gt;"Total for",AN309&lt;&gt;"Gross Profit",AN309&lt;&gt;"Net Operating Revenue",AN309&lt;&gt;"Net Other Revenue",AN309&lt;&gt;"Net Revenue"),1,0)</f>
        <v>0</v>
      </c>
      <c r="AR309" s="36" t="str">
        <f aca="false">IF(AQ309=1,IF(AND(LEN(AN309)&gt;7,ISNUMBER(VALUE(LEFT(AN309,6))),MID(AN309,7,1)=" "),LEFT(AN309,6),AN309),"")</f>
        <v/>
      </c>
    </row>
    <row r="310" customFormat="false" ht="15" hidden="false" customHeight="false" outlineLevel="0" collapsed="false">
      <c r="D310" s="36" t="str">
        <f aca="false">TRIM(A310)</f>
        <v/>
      </c>
      <c r="E310" s="36" t="str">
        <f aca="false">IF(D310="Revenue","Revenue",IF(D310="Cost of Goods Sold","COGS",IF(D310="Expenditures","Expense",IF(D310="Other Revenue","Other Revenue",IF(D310="Other Expenditures","Other Expense",E309)))))</f>
        <v/>
      </c>
      <c r="F310" s="36" t="str">
        <f aca="false">IF(OR(D310="Revenue",D310="Cost of Goods Sold",D310="Expenditures",D310="Other Revenue",D310="Other Expenditures"),E310,IF(AND(LEN(D310)&gt;2,MID(D310,2,1)=" ",ISNUMBER(VALUE(LEFT(D310,1)))),D310,F309))</f>
        <v/>
      </c>
      <c r="G310" s="36" t="n">
        <f aca="false">IF(AND(D310&lt;&gt;"",ISNUMBER(B310),LEFT(D310,9)&lt;&gt;"Total for",D310&lt;&gt;"Gross Profit",D310&lt;&gt;"Net Operating Revenue",D310&lt;&gt;"Net Other Revenue",D310&lt;&gt;"Net Revenue"),1,0)</f>
        <v>0</v>
      </c>
      <c r="H310" s="36" t="str">
        <f aca="false">IF(G310=1,IF(AND(LEN(D310)&gt;7,ISNUMBER(VALUE(LEFT(D310,6))),MID(D310,7,1)=" "),LEFT(D310,6),D310),"")</f>
        <v/>
      </c>
      <c r="M310" s="36" t="str">
        <f aca="false">TRIM(J310)</f>
        <v/>
      </c>
      <c r="N310" s="36" t="str">
        <f aca="false">IF(M310="Revenue","Revenue",IF(M310="Cost of Goods Sold","COGS",IF(M310="Expenditures","Expense",IF(M310="Other Revenue","Other Revenue",IF(M310="Other Expenditures","Other Expense",N309)))))</f>
        <v/>
      </c>
      <c r="O310" s="36" t="str">
        <f aca="false">IF(OR(M310="Revenue",M310="Cost of Goods Sold",M310="Expenditures",M310="Other Revenue",M310="Other Expenditures"),N310,IF(AND(LEN(M310)&gt;2,MID(M310,2,1)=" ",ISNUMBER(VALUE(LEFT(M310,1)))),M310,O309))</f>
        <v/>
      </c>
      <c r="P310" s="36" t="n">
        <f aca="false">IF(AND(M310&lt;&gt;"",ISNUMBER(K310),LEFT(M310,9)&lt;&gt;"Total for",M310&lt;&gt;"Gross Profit",M310&lt;&gt;"Net Operating Revenue",M310&lt;&gt;"Net Other Revenue",M310&lt;&gt;"Net Revenue"),1,0)</f>
        <v>0</v>
      </c>
      <c r="Q310" s="36" t="str">
        <f aca="false">IF(P310=1,IF(AND(LEN(M310)&gt;7,ISNUMBER(VALUE(LEFT(M310,6))),MID(M310,7,1)=" "),LEFT(M310,6),M310),"")</f>
        <v/>
      </c>
      <c r="V310" s="36" t="str">
        <f aca="false">TRIM(S310)</f>
        <v/>
      </c>
      <c r="W310" s="36" t="str">
        <f aca="false">IF(V310="Revenue","Revenue",IF(V310="Cost of Goods Sold","COGS",IF(V310="Expenditures","Expense",IF(V310="Other Revenue","Other Revenue",IF(V310="Other Expenditures","Other Expense",W309)))))</f>
        <v/>
      </c>
      <c r="X310" s="36" t="str">
        <f aca="false">IF(OR(V310="Revenue",V310="Cost of Goods Sold",V310="Expenditures",V310="Other Revenue",V310="Other Expenditures"),W310,IF(AND(LEN(V310)&gt;2,MID(V310,2,1)=" ",ISNUMBER(VALUE(LEFT(V310,1)))),V310,X309))</f>
        <v/>
      </c>
      <c r="Y310" s="36" t="n">
        <f aca="false">IF(AND(V310&lt;&gt;"",ISNUMBER(T310),LEFT(V310,9)&lt;&gt;"Total for",V310&lt;&gt;"Gross Profit",V310&lt;&gt;"Net Operating Revenue",V310&lt;&gt;"Net Other Revenue",V310&lt;&gt;"Net Revenue"),1,0)</f>
        <v>0</v>
      </c>
      <c r="Z310" s="36" t="str">
        <f aca="false">IF(Y310=1,IF(AND(LEN(V310)&gt;7,ISNUMBER(VALUE(LEFT(V310,6))),MID(V310,7,1)=" "),LEFT(V310,6),V310),"")</f>
        <v/>
      </c>
      <c r="AE310" s="36" t="str">
        <f aca="false">TRIM(AB310)</f>
        <v/>
      </c>
      <c r="AF310" s="36" t="str">
        <f aca="false">IF(AE310="Revenue","Revenue",IF(AE310="Cost of Goods Sold","COGS",IF(AE310="Expenditures","Expense",IF(AE310="Other Revenue","Other Revenue",IF(AE310="Other Expenditures","Other Expense",AF309)))))</f>
        <v/>
      </c>
      <c r="AG310" s="36" t="str">
        <f aca="false">IF(OR(AE310="Revenue",AE310="Cost of Goods Sold",AE310="Expenditures",AE310="Other Revenue",AE310="Other Expenditures"),AF310,IF(AND(LEN(AE310)&gt;2,MID(AE310,2,1)=" ",ISNUMBER(VALUE(LEFT(AE310,1)))),AE310,AG309))</f>
        <v/>
      </c>
      <c r="AH310" s="36" t="n">
        <f aca="false">IF(AND(AE310&lt;&gt;"",ISNUMBER(AC310),LEFT(AE310,9)&lt;&gt;"Total for",AE310&lt;&gt;"Gross Profit",AE310&lt;&gt;"Net Operating Revenue",AE310&lt;&gt;"Net Other Revenue",AE310&lt;&gt;"Net Revenue"),1,0)</f>
        <v>0</v>
      </c>
      <c r="AI310" s="36" t="str">
        <f aca="false">IF(AH310=1,IF(AND(LEN(AE310)&gt;7,ISNUMBER(VALUE(LEFT(AE310,6))),MID(AE310,7,1)=" "),LEFT(AE310,6),AE310),"")</f>
        <v/>
      </c>
      <c r="AN310" s="36" t="str">
        <f aca="false">TRIM(AK310)</f>
        <v/>
      </c>
      <c r="AO310" s="36" t="str">
        <f aca="false">IF(AN310="Revenue","Revenue",IF(AN310="Cost of Goods Sold","COGS",IF(AN310="Expenditures","Expense",IF(AN310="Other Revenue","Other Revenue",IF(AN310="Other Expenditures","Other Expense",AO309)))))</f>
        <v/>
      </c>
      <c r="AP310" s="36" t="str">
        <f aca="false">IF(OR(AN310="Revenue",AN310="Cost of Goods Sold",AN310="Expenditures",AN310="Other Revenue",AN310="Other Expenditures"),AO310,IF(AND(LEN(AN310)&gt;2,MID(AN310,2,1)=" ",ISNUMBER(VALUE(LEFT(AN310,1)))),AN310,AP309))</f>
        <v/>
      </c>
      <c r="AQ310" s="36" t="n">
        <f aca="false">IF(AND(AN310&lt;&gt;"",ISNUMBER(AL310),LEFT(AN310,9)&lt;&gt;"Total for",AN310&lt;&gt;"Gross Profit",AN310&lt;&gt;"Net Operating Revenue",AN310&lt;&gt;"Net Other Revenue",AN310&lt;&gt;"Net Revenue"),1,0)</f>
        <v>0</v>
      </c>
      <c r="AR310" s="36" t="str">
        <f aca="false">IF(AQ310=1,IF(AND(LEN(AN310)&gt;7,ISNUMBER(VALUE(LEFT(AN310,6))),MID(AN310,7,1)=" "),LEFT(AN310,6),AN310),"")</f>
        <v/>
      </c>
    </row>
    <row r="311" customFormat="false" ht="15" hidden="false" customHeight="false" outlineLevel="0" collapsed="false">
      <c r="D311" s="36" t="str">
        <f aca="false">TRIM(A311)</f>
        <v/>
      </c>
      <c r="E311" s="36" t="str">
        <f aca="false">IF(D311="Revenue","Revenue",IF(D311="Cost of Goods Sold","COGS",IF(D311="Expenditures","Expense",IF(D311="Other Revenue","Other Revenue",IF(D311="Other Expenditures","Other Expense",E310)))))</f>
        <v/>
      </c>
      <c r="F311" s="36" t="str">
        <f aca="false">IF(OR(D311="Revenue",D311="Cost of Goods Sold",D311="Expenditures",D311="Other Revenue",D311="Other Expenditures"),E311,IF(AND(LEN(D311)&gt;2,MID(D311,2,1)=" ",ISNUMBER(VALUE(LEFT(D311,1)))),D311,F310))</f>
        <v/>
      </c>
      <c r="G311" s="36" t="n">
        <f aca="false">IF(AND(D311&lt;&gt;"",ISNUMBER(B311),LEFT(D311,9)&lt;&gt;"Total for",D311&lt;&gt;"Gross Profit",D311&lt;&gt;"Net Operating Revenue",D311&lt;&gt;"Net Other Revenue",D311&lt;&gt;"Net Revenue"),1,0)</f>
        <v>0</v>
      </c>
      <c r="H311" s="36" t="str">
        <f aca="false">IF(G311=1,IF(AND(LEN(D311)&gt;7,ISNUMBER(VALUE(LEFT(D311,6))),MID(D311,7,1)=" "),LEFT(D311,6),D311),"")</f>
        <v/>
      </c>
      <c r="M311" s="36" t="str">
        <f aca="false">TRIM(J311)</f>
        <v/>
      </c>
      <c r="N311" s="36" t="str">
        <f aca="false">IF(M311="Revenue","Revenue",IF(M311="Cost of Goods Sold","COGS",IF(M311="Expenditures","Expense",IF(M311="Other Revenue","Other Revenue",IF(M311="Other Expenditures","Other Expense",N310)))))</f>
        <v/>
      </c>
      <c r="O311" s="36" t="str">
        <f aca="false">IF(OR(M311="Revenue",M311="Cost of Goods Sold",M311="Expenditures",M311="Other Revenue",M311="Other Expenditures"),N311,IF(AND(LEN(M311)&gt;2,MID(M311,2,1)=" ",ISNUMBER(VALUE(LEFT(M311,1)))),M311,O310))</f>
        <v/>
      </c>
      <c r="P311" s="36" t="n">
        <f aca="false">IF(AND(M311&lt;&gt;"",ISNUMBER(K311),LEFT(M311,9)&lt;&gt;"Total for",M311&lt;&gt;"Gross Profit",M311&lt;&gt;"Net Operating Revenue",M311&lt;&gt;"Net Other Revenue",M311&lt;&gt;"Net Revenue"),1,0)</f>
        <v>0</v>
      </c>
      <c r="Q311" s="36" t="str">
        <f aca="false">IF(P311=1,IF(AND(LEN(M311)&gt;7,ISNUMBER(VALUE(LEFT(M311,6))),MID(M311,7,1)=" "),LEFT(M311,6),M311),"")</f>
        <v/>
      </c>
      <c r="V311" s="36" t="str">
        <f aca="false">TRIM(S311)</f>
        <v/>
      </c>
      <c r="W311" s="36" t="str">
        <f aca="false">IF(V311="Revenue","Revenue",IF(V311="Cost of Goods Sold","COGS",IF(V311="Expenditures","Expense",IF(V311="Other Revenue","Other Revenue",IF(V311="Other Expenditures","Other Expense",W310)))))</f>
        <v/>
      </c>
      <c r="X311" s="36" t="str">
        <f aca="false">IF(OR(V311="Revenue",V311="Cost of Goods Sold",V311="Expenditures",V311="Other Revenue",V311="Other Expenditures"),W311,IF(AND(LEN(V311)&gt;2,MID(V311,2,1)=" ",ISNUMBER(VALUE(LEFT(V311,1)))),V311,X310))</f>
        <v/>
      </c>
      <c r="Y311" s="36" t="n">
        <f aca="false">IF(AND(V311&lt;&gt;"",ISNUMBER(T311),LEFT(V311,9)&lt;&gt;"Total for",V311&lt;&gt;"Gross Profit",V311&lt;&gt;"Net Operating Revenue",V311&lt;&gt;"Net Other Revenue",V311&lt;&gt;"Net Revenue"),1,0)</f>
        <v>0</v>
      </c>
      <c r="Z311" s="36" t="str">
        <f aca="false">IF(Y311=1,IF(AND(LEN(V311)&gt;7,ISNUMBER(VALUE(LEFT(V311,6))),MID(V311,7,1)=" "),LEFT(V311,6),V311),"")</f>
        <v/>
      </c>
      <c r="AE311" s="36" t="str">
        <f aca="false">TRIM(AB311)</f>
        <v/>
      </c>
      <c r="AF311" s="36" t="str">
        <f aca="false">IF(AE311="Revenue","Revenue",IF(AE311="Cost of Goods Sold","COGS",IF(AE311="Expenditures","Expense",IF(AE311="Other Revenue","Other Revenue",IF(AE311="Other Expenditures","Other Expense",AF310)))))</f>
        <v/>
      </c>
      <c r="AG311" s="36" t="str">
        <f aca="false">IF(OR(AE311="Revenue",AE311="Cost of Goods Sold",AE311="Expenditures",AE311="Other Revenue",AE311="Other Expenditures"),AF311,IF(AND(LEN(AE311)&gt;2,MID(AE311,2,1)=" ",ISNUMBER(VALUE(LEFT(AE311,1)))),AE311,AG310))</f>
        <v/>
      </c>
      <c r="AH311" s="36" t="n">
        <f aca="false">IF(AND(AE311&lt;&gt;"",ISNUMBER(AC311),LEFT(AE311,9)&lt;&gt;"Total for",AE311&lt;&gt;"Gross Profit",AE311&lt;&gt;"Net Operating Revenue",AE311&lt;&gt;"Net Other Revenue",AE311&lt;&gt;"Net Revenue"),1,0)</f>
        <v>0</v>
      </c>
      <c r="AI311" s="36" t="str">
        <f aca="false">IF(AH311=1,IF(AND(LEN(AE311)&gt;7,ISNUMBER(VALUE(LEFT(AE311,6))),MID(AE311,7,1)=" "),LEFT(AE311,6),AE311),"")</f>
        <v/>
      </c>
      <c r="AN311" s="36" t="str">
        <f aca="false">TRIM(AK311)</f>
        <v/>
      </c>
      <c r="AO311" s="36" t="str">
        <f aca="false">IF(AN311="Revenue","Revenue",IF(AN311="Cost of Goods Sold","COGS",IF(AN311="Expenditures","Expense",IF(AN311="Other Revenue","Other Revenue",IF(AN311="Other Expenditures","Other Expense",AO310)))))</f>
        <v/>
      </c>
      <c r="AP311" s="36" t="str">
        <f aca="false">IF(OR(AN311="Revenue",AN311="Cost of Goods Sold",AN311="Expenditures",AN311="Other Revenue",AN311="Other Expenditures"),AO311,IF(AND(LEN(AN311)&gt;2,MID(AN311,2,1)=" ",ISNUMBER(VALUE(LEFT(AN311,1)))),AN311,AP310))</f>
        <v/>
      </c>
      <c r="AQ311" s="36" t="n">
        <f aca="false">IF(AND(AN311&lt;&gt;"",ISNUMBER(AL311),LEFT(AN311,9)&lt;&gt;"Total for",AN311&lt;&gt;"Gross Profit",AN311&lt;&gt;"Net Operating Revenue",AN311&lt;&gt;"Net Other Revenue",AN311&lt;&gt;"Net Revenue"),1,0)</f>
        <v>0</v>
      </c>
      <c r="AR311" s="36" t="str">
        <f aca="false">IF(AQ311=1,IF(AND(LEN(AN311)&gt;7,ISNUMBER(VALUE(LEFT(AN311,6))),MID(AN311,7,1)=" "),LEFT(AN311,6),AN311),"")</f>
        <v/>
      </c>
    </row>
    <row r="312" customFormat="false" ht="15" hidden="false" customHeight="false" outlineLevel="0" collapsed="false">
      <c r="D312" s="36" t="str">
        <f aca="false">TRIM(A312)</f>
        <v/>
      </c>
      <c r="E312" s="36" t="str">
        <f aca="false">IF(D312="Revenue","Revenue",IF(D312="Cost of Goods Sold","COGS",IF(D312="Expenditures","Expense",IF(D312="Other Revenue","Other Revenue",IF(D312="Other Expenditures","Other Expense",E311)))))</f>
        <v/>
      </c>
      <c r="F312" s="36" t="str">
        <f aca="false">IF(OR(D312="Revenue",D312="Cost of Goods Sold",D312="Expenditures",D312="Other Revenue",D312="Other Expenditures"),E312,IF(AND(LEN(D312)&gt;2,MID(D312,2,1)=" ",ISNUMBER(VALUE(LEFT(D312,1)))),D312,F311))</f>
        <v/>
      </c>
      <c r="G312" s="36" t="n">
        <f aca="false">IF(AND(D312&lt;&gt;"",ISNUMBER(B312),LEFT(D312,9)&lt;&gt;"Total for",D312&lt;&gt;"Gross Profit",D312&lt;&gt;"Net Operating Revenue",D312&lt;&gt;"Net Other Revenue",D312&lt;&gt;"Net Revenue"),1,0)</f>
        <v>0</v>
      </c>
      <c r="H312" s="36" t="str">
        <f aca="false">IF(G312=1,IF(AND(LEN(D312)&gt;7,ISNUMBER(VALUE(LEFT(D312,6))),MID(D312,7,1)=" "),LEFT(D312,6),D312),"")</f>
        <v/>
      </c>
      <c r="M312" s="36" t="str">
        <f aca="false">TRIM(J312)</f>
        <v/>
      </c>
      <c r="N312" s="36" t="str">
        <f aca="false">IF(M312="Revenue","Revenue",IF(M312="Cost of Goods Sold","COGS",IF(M312="Expenditures","Expense",IF(M312="Other Revenue","Other Revenue",IF(M312="Other Expenditures","Other Expense",N311)))))</f>
        <v/>
      </c>
      <c r="O312" s="36" t="str">
        <f aca="false">IF(OR(M312="Revenue",M312="Cost of Goods Sold",M312="Expenditures",M312="Other Revenue",M312="Other Expenditures"),N312,IF(AND(LEN(M312)&gt;2,MID(M312,2,1)=" ",ISNUMBER(VALUE(LEFT(M312,1)))),M312,O311))</f>
        <v/>
      </c>
      <c r="P312" s="36" t="n">
        <f aca="false">IF(AND(M312&lt;&gt;"",ISNUMBER(K312),LEFT(M312,9)&lt;&gt;"Total for",M312&lt;&gt;"Gross Profit",M312&lt;&gt;"Net Operating Revenue",M312&lt;&gt;"Net Other Revenue",M312&lt;&gt;"Net Revenue"),1,0)</f>
        <v>0</v>
      </c>
      <c r="Q312" s="36" t="str">
        <f aca="false">IF(P312=1,IF(AND(LEN(M312)&gt;7,ISNUMBER(VALUE(LEFT(M312,6))),MID(M312,7,1)=" "),LEFT(M312,6),M312),"")</f>
        <v/>
      </c>
      <c r="V312" s="36" t="str">
        <f aca="false">TRIM(S312)</f>
        <v/>
      </c>
      <c r="W312" s="36" t="str">
        <f aca="false">IF(V312="Revenue","Revenue",IF(V312="Cost of Goods Sold","COGS",IF(V312="Expenditures","Expense",IF(V312="Other Revenue","Other Revenue",IF(V312="Other Expenditures","Other Expense",W311)))))</f>
        <v/>
      </c>
      <c r="X312" s="36" t="str">
        <f aca="false">IF(OR(V312="Revenue",V312="Cost of Goods Sold",V312="Expenditures",V312="Other Revenue",V312="Other Expenditures"),W312,IF(AND(LEN(V312)&gt;2,MID(V312,2,1)=" ",ISNUMBER(VALUE(LEFT(V312,1)))),V312,X311))</f>
        <v/>
      </c>
      <c r="Y312" s="36" t="n">
        <f aca="false">IF(AND(V312&lt;&gt;"",ISNUMBER(T312),LEFT(V312,9)&lt;&gt;"Total for",V312&lt;&gt;"Gross Profit",V312&lt;&gt;"Net Operating Revenue",V312&lt;&gt;"Net Other Revenue",V312&lt;&gt;"Net Revenue"),1,0)</f>
        <v>0</v>
      </c>
      <c r="Z312" s="36" t="str">
        <f aca="false">IF(Y312=1,IF(AND(LEN(V312)&gt;7,ISNUMBER(VALUE(LEFT(V312,6))),MID(V312,7,1)=" "),LEFT(V312,6),V312),"")</f>
        <v/>
      </c>
      <c r="AE312" s="36" t="str">
        <f aca="false">TRIM(AB312)</f>
        <v/>
      </c>
      <c r="AF312" s="36" t="str">
        <f aca="false">IF(AE312="Revenue","Revenue",IF(AE312="Cost of Goods Sold","COGS",IF(AE312="Expenditures","Expense",IF(AE312="Other Revenue","Other Revenue",IF(AE312="Other Expenditures","Other Expense",AF311)))))</f>
        <v/>
      </c>
      <c r="AG312" s="36" t="str">
        <f aca="false">IF(OR(AE312="Revenue",AE312="Cost of Goods Sold",AE312="Expenditures",AE312="Other Revenue",AE312="Other Expenditures"),AF312,IF(AND(LEN(AE312)&gt;2,MID(AE312,2,1)=" ",ISNUMBER(VALUE(LEFT(AE312,1)))),AE312,AG311))</f>
        <v/>
      </c>
      <c r="AH312" s="36" t="n">
        <f aca="false">IF(AND(AE312&lt;&gt;"",ISNUMBER(AC312),LEFT(AE312,9)&lt;&gt;"Total for",AE312&lt;&gt;"Gross Profit",AE312&lt;&gt;"Net Operating Revenue",AE312&lt;&gt;"Net Other Revenue",AE312&lt;&gt;"Net Revenue"),1,0)</f>
        <v>0</v>
      </c>
      <c r="AI312" s="36" t="str">
        <f aca="false">IF(AH312=1,IF(AND(LEN(AE312)&gt;7,ISNUMBER(VALUE(LEFT(AE312,6))),MID(AE312,7,1)=" "),LEFT(AE312,6),AE312),"")</f>
        <v/>
      </c>
      <c r="AN312" s="36" t="str">
        <f aca="false">TRIM(AK312)</f>
        <v/>
      </c>
      <c r="AO312" s="36" t="str">
        <f aca="false">IF(AN312="Revenue","Revenue",IF(AN312="Cost of Goods Sold","COGS",IF(AN312="Expenditures","Expense",IF(AN312="Other Revenue","Other Revenue",IF(AN312="Other Expenditures","Other Expense",AO311)))))</f>
        <v/>
      </c>
      <c r="AP312" s="36" t="str">
        <f aca="false">IF(OR(AN312="Revenue",AN312="Cost of Goods Sold",AN312="Expenditures",AN312="Other Revenue",AN312="Other Expenditures"),AO312,IF(AND(LEN(AN312)&gt;2,MID(AN312,2,1)=" ",ISNUMBER(VALUE(LEFT(AN312,1)))),AN312,AP311))</f>
        <v/>
      </c>
      <c r="AQ312" s="36" t="n">
        <f aca="false">IF(AND(AN312&lt;&gt;"",ISNUMBER(AL312),LEFT(AN312,9)&lt;&gt;"Total for",AN312&lt;&gt;"Gross Profit",AN312&lt;&gt;"Net Operating Revenue",AN312&lt;&gt;"Net Other Revenue",AN312&lt;&gt;"Net Revenue"),1,0)</f>
        <v>0</v>
      </c>
      <c r="AR312" s="36" t="str">
        <f aca="false">IF(AQ312=1,IF(AND(LEN(AN312)&gt;7,ISNUMBER(VALUE(LEFT(AN312,6))),MID(AN312,7,1)=" "),LEFT(AN312,6),AN312),"")</f>
        <v/>
      </c>
    </row>
    <row r="313" customFormat="false" ht="15" hidden="false" customHeight="false" outlineLevel="0" collapsed="false">
      <c r="D313" s="36" t="str">
        <f aca="false">TRIM(A313)</f>
        <v/>
      </c>
      <c r="E313" s="36" t="str">
        <f aca="false">IF(D313="Revenue","Revenue",IF(D313="Cost of Goods Sold","COGS",IF(D313="Expenditures","Expense",IF(D313="Other Revenue","Other Revenue",IF(D313="Other Expenditures","Other Expense",E312)))))</f>
        <v/>
      </c>
      <c r="F313" s="36" t="str">
        <f aca="false">IF(OR(D313="Revenue",D313="Cost of Goods Sold",D313="Expenditures",D313="Other Revenue",D313="Other Expenditures"),E313,IF(AND(LEN(D313)&gt;2,MID(D313,2,1)=" ",ISNUMBER(VALUE(LEFT(D313,1)))),D313,F312))</f>
        <v/>
      </c>
      <c r="G313" s="36" t="n">
        <f aca="false">IF(AND(D313&lt;&gt;"",ISNUMBER(B313),LEFT(D313,9)&lt;&gt;"Total for",D313&lt;&gt;"Gross Profit",D313&lt;&gt;"Net Operating Revenue",D313&lt;&gt;"Net Other Revenue",D313&lt;&gt;"Net Revenue"),1,0)</f>
        <v>0</v>
      </c>
      <c r="H313" s="36" t="str">
        <f aca="false">IF(G313=1,IF(AND(LEN(D313)&gt;7,ISNUMBER(VALUE(LEFT(D313,6))),MID(D313,7,1)=" "),LEFT(D313,6),D313),"")</f>
        <v/>
      </c>
      <c r="M313" s="36" t="str">
        <f aca="false">TRIM(J313)</f>
        <v/>
      </c>
      <c r="N313" s="36" t="str">
        <f aca="false">IF(M313="Revenue","Revenue",IF(M313="Cost of Goods Sold","COGS",IF(M313="Expenditures","Expense",IF(M313="Other Revenue","Other Revenue",IF(M313="Other Expenditures","Other Expense",N312)))))</f>
        <v/>
      </c>
      <c r="O313" s="36" t="str">
        <f aca="false">IF(OR(M313="Revenue",M313="Cost of Goods Sold",M313="Expenditures",M313="Other Revenue",M313="Other Expenditures"),N313,IF(AND(LEN(M313)&gt;2,MID(M313,2,1)=" ",ISNUMBER(VALUE(LEFT(M313,1)))),M313,O312))</f>
        <v/>
      </c>
      <c r="P313" s="36" t="n">
        <f aca="false">IF(AND(M313&lt;&gt;"",ISNUMBER(K313),LEFT(M313,9)&lt;&gt;"Total for",M313&lt;&gt;"Gross Profit",M313&lt;&gt;"Net Operating Revenue",M313&lt;&gt;"Net Other Revenue",M313&lt;&gt;"Net Revenue"),1,0)</f>
        <v>0</v>
      </c>
      <c r="Q313" s="36" t="str">
        <f aca="false">IF(P313=1,IF(AND(LEN(M313)&gt;7,ISNUMBER(VALUE(LEFT(M313,6))),MID(M313,7,1)=" "),LEFT(M313,6),M313),"")</f>
        <v/>
      </c>
      <c r="V313" s="36" t="str">
        <f aca="false">TRIM(S313)</f>
        <v/>
      </c>
      <c r="W313" s="36" t="str">
        <f aca="false">IF(V313="Revenue","Revenue",IF(V313="Cost of Goods Sold","COGS",IF(V313="Expenditures","Expense",IF(V313="Other Revenue","Other Revenue",IF(V313="Other Expenditures","Other Expense",W312)))))</f>
        <v/>
      </c>
      <c r="X313" s="36" t="str">
        <f aca="false">IF(OR(V313="Revenue",V313="Cost of Goods Sold",V313="Expenditures",V313="Other Revenue",V313="Other Expenditures"),W313,IF(AND(LEN(V313)&gt;2,MID(V313,2,1)=" ",ISNUMBER(VALUE(LEFT(V313,1)))),V313,X312))</f>
        <v/>
      </c>
      <c r="Y313" s="36" t="n">
        <f aca="false">IF(AND(V313&lt;&gt;"",ISNUMBER(T313),LEFT(V313,9)&lt;&gt;"Total for",V313&lt;&gt;"Gross Profit",V313&lt;&gt;"Net Operating Revenue",V313&lt;&gt;"Net Other Revenue",V313&lt;&gt;"Net Revenue"),1,0)</f>
        <v>0</v>
      </c>
      <c r="Z313" s="36" t="str">
        <f aca="false">IF(Y313=1,IF(AND(LEN(V313)&gt;7,ISNUMBER(VALUE(LEFT(V313,6))),MID(V313,7,1)=" "),LEFT(V313,6),V313),"")</f>
        <v/>
      </c>
      <c r="AE313" s="36" t="str">
        <f aca="false">TRIM(AB313)</f>
        <v/>
      </c>
      <c r="AF313" s="36" t="str">
        <f aca="false">IF(AE313="Revenue","Revenue",IF(AE313="Cost of Goods Sold","COGS",IF(AE313="Expenditures","Expense",IF(AE313="Other Revenue","Other Revenue",IF(AE313="Other Expenditures","Other Expense",AF312)))))</f>
        <v/>
      </c>
      <c r="AG313" s="36" t="str">
        <f aca="false">IF(OR(AE313="Revenue",AE313="Cost of Goods Sold",AE313="Expenditures",AE313="Other Revenue",AE313="Other Expenditures"),AF313,IF(AND(LEN(AE313)&gt;2,MID(AE313,2,1)=" ",ISNUMBER(VALUE(LEFT(AE313,1)))),AE313,AG312))</f>
        <v/>
      </c>
      <c r="AH313" s="36" t="n">
        <f aca="false">IF(AND(AE313&lt;&gt;"",ISNUMBER(AC313),LEFT(AE313,9)&lt;&gt;"Total for",AE313&lt;&gt;"Gross Profit",AE313&lt;&gt;"Net Operating Revenue",AE313&lt;&gt;"Net Other Revenue",AE313&lt;&gt;"Net Revenue"),1,0)</f>
        <v>0</v>
      </c>
      <c r="AI313" s="36" t="str">
        <f aca="false">IF(AH313=1,IF(AND(LEN(AE313)&gt;7,ISNUMBER(VALUE(LEFT(AE313,6))),MID(AE313,7,1)=" "),LEFT(AE313,6),AE313),"")</f>
        <v/>
      </c>
      <c r="AN313" s="36" t="str">
        <f aca="false">TRIM(AK313)</f>
        <v/>
      </c>
      <c r="AO313" s="36" t="str">
        <f aca="false">IF(AN313="Revenue","Revenue",IF(AN313="Cost of Goods Sold","COGS",IF(AN313="Expenditures","Expense",IF(AN313="Other Revenue","Other Revenue",IF(AN313="Other Expenditures","Other Expense",AO312)))))</f>
        <v/>
      </c>
      <c r="AP313" s="36" t="str">
        <f aca="false">IF(OR(AN313="Revenue",AN313="Cost of Goods Sold",AN313="Expenditures",AN313="Other Revenue",AN313="Other Expenditures"),AO313,IF(AND(LEN(AN313)&gt;2,MID(AN313,2,1)=" ",ISNUMBER(VALUE(LEFT(AN313,1)))),AN313,AP312))</f>
        <v/>
      </c>
      <c r="AQ313" s="36" t="n">
        <f aca="false">IF(AND(AN313&lt;&gt;"",ISNUMBER(AL313),LEFT(AN313,9)&lt;&gt;"Total for",AN313&lt;&gt;"Gross Profit",AN313&lt;&gt;"Net Operating Revenue",AN313&lt;&gt;"Net Other Revenue",AN313&lt;&gt;"Net Revenue"),1,0)</f>
        <v>0</v>
      </c>
      <c r="AR313" s="36" t="str">
        <f aca="false">IF(AQ313=1,IF(AND(LEN(AN313)&gt;7,ISNUMBER(VALUE(LEFT(AN313,6))),MID(AN313,7,1)=" "),LEFT(AN313,6),AN313),"")</f>
        <v/>
      </c>
    </row>
    <row r="314" customFormat="false" ht="15" hidden="false" customHeight="false" outlineLevel="0" collapsed="false">
      <c r="D314" s="36" t="str">
        <f aca="false">TRIM(A314)</f>
        <v/>
      </c>
      <c r="E314" s="36" t="str">
        <f aca="false">IF(D314="Revenue","Revenue",IF(D314="Cost of Goods Sold","COGS",IF(D314="Expenditures","Expense",IF(D314="Other Revenue","Other Revenue",IF(D314="Other Expenditures","Other Expense",E313)))))</f>
        <v/>
      </c>
      <c r="F314" s="36" t="str">
        <f aca="false">IF(OR(D314="Revenue",D314="Cost of Goods Sold",D314="Expenditures",D314="Other Revenue",D314="Other Expenditures"),E314,IF(AND(LEN(D314)&gt;2,MID(D314,2,1)=" ",ISNUMBER(VALUE(LEFT(D314,1)))),D314,F313))</f>
        <v/>
      </c>
      <c r="G314" s="36" t="n">
        <f aca="false">IF(AND(D314&lt;&gt;"",ISNUMBER(B314),LEFT(D314,9)&lt;&gt;"Total for",D314&lt;&gt;"Gross Profit",D314&lt;&gt;"Net Operating Revenue",D314&lt;&gt;"Net Other Revenue",D314&lt;&gt;"Net Revenue"),1,0)</f>
        <v>0</v>
      </c>
      <c r="H314" s="36" t="str">
        <f aca="false">IF(G314=1,IF(AND(LEN(D314)&gt;7,ISNUMBER(VALUE(LEFT(D314,6))),MID(D314,7,1)=" "),LEFT(D314,6),D314),"")</f>
        <v/>
      </c>
      <c r="M314" s="36" t="str">
        <f aca="false">TRIM(J314)</f>
        <v/>
      </c>
      <c r="N314" s="36" t="str">
        <f aca="false">IF(M314="Revenue","Revenue",IF(M314="Cost of Goods Sold","COGS",IF(M314="Expenditures","Expense",IF(M314="Other Revenue","Other Revenue",IF(M314="Other Expenditures","Other Expense",N313)))))</f>
        <v/>
      </c>
      <c r="O314" s="36" t="str">
        <f aca="false">IF(OR(M314="Revenue",M314="Cost of Goods Sold",M314="Expenditures",M314="Other Revenue",M314="Other Expenditures"),N314,IF(AND(LEN(M314)&gt;2,MID(M314,2,1)=" ",ISNUMBER(VALUE(LEFT(M314,1)))),M314,O313))</f>
        <v/>
      </c>
      <c r="P314" s="36" t="n">
        <f aca="false">IF(AND(M314&lt;&gt;"",ISNUMBER(K314),LEFT(M314,9)&lt;&gt;"Total for",M314&lt;&gt;"Gross Profit",M314&lt;&gt;"Net Operating Revenue",M314&lt;&gt;"Net Other Revenue",M314&lt;&gt;"Net Revenue"),1,0)</f>
        <v>0</v>
      </c>
      <c r="Q314" s="36" t="str">
        <f aca="false">IF(P314=1,IF(AND(LEN(M314)&gt;7,ISNUMBER(VALUE(LEFT(M314,6))),MID(M314,7,1)=" "),LEFT(M314,6),M314),"")</f>
        <v/>
      </c>
      <c r="V314" s="36" t="str">
        <f aca="false">TRIM(S314)</f>
        <v/>
      </c>
      <c r="W314" s="36" t="str">
        <f aca="false">IF(V314="Revenue","Revenue",IF(V314="Cost of Goods Sold","COGS",IF(V314="Expenditures","Expense",IF(V314="Other Revenue","Other Revenue",IF(V314="Other Expenditures","Other Expense",W313)))))</f>
        <v/>
      </c>
      <c r="X314" s="36" t="str">
        <f aca="false">IF(OR(V314="Revenue",V314="Cost of Goods Sold",V314="Expenditures",V314="Other Revenue",V314="Other Expenditures"),W314,IF(AND(LEN(V314)&gt;2,MID(V314,2,1)=" ",ISNUMBER(VALUE(LEFT(V314,1)))),V314,X313))</f>
        <v/>
      </c>
      <c r="Y314" s="36" t="n">
        <f aca="false">IF(AND(V314&lt;&gt;"",ISNUMBER(T314),LEFT(V314,9)&lt;&gt;"Total for",V314&lt;&gt;"Gross Profit",V314&lt;&gt;"Net Operating Revenue",V314&lt;&gt;"Net Other Revenue",V314&lt;&gt;"Net Revenue"),1,0)</f>
        <v>0</v>
      </c>
      <c r="Z314" s="36" t="str">
        <f aca="false">IF(Y314=1,IF(AND(LEN(V314)&gt;7,ISNUMBER(VALUE(LEFT(V314,6))),MID(V314,7,1)=" "),LEFT(V314,6),V314),"")</f>
        <v/>
      </c>
      <c r="AE314" s="36" t="str">
        <f aca="false">TRIM(AB314)</f>
        <v/>
      </c>
      <c r="AF314" s="36" t="str">
        <f aca="false">IF(AE314="Revenue","Revenue",IF(AE314="Cost of Goods Sold","COGS",IF(AE314="Expenditures","Expense",IF(AE314="Other Revenue","Other Revenue",IF(AE314="Other Expenditures","Other Expense",AF313)))))</f>
        <v/>
      </c>
      <c r="AG314" s="36" t="str">
        <f aca="false">IF(OR(AE314="Revenue",AE314="Cost of Goods Sold",AE314="Expenditures",AE314="Other Revenue",AE314="Other Expenditures"),AF314,IF(AND(LEN(AE314)&gt;2,MID(AE314,2,1)=" ",ISNUMBER(VALUE(LEFT(AE314,1)))),AE314,AG313))</f>
        <v/>
      </c>
      <c r="AH314" s="36" t="n">
        <f aca="false">IF(AND(AE314&lt;&gt;"",ISNUMBER(AC314),LEFT(AE314,9)&lt;&gt;"Total for",AE314&lt;&gt;"Gross Profit",AE314&lt;&gt;"Net Operating Revenue",AE314&lt;&gt;"Net Other Revenue",AE314&lt;&gt;"Net Revenue"),1,0)</f>
        <v>0</v>
      </c>
      <c r="AI314" s="36" t="str">
        <f aca="false">IF(AH314=1,IF(AND(LEN(AE314)&gt;7,ISNUMBER(VALUE(LEFT(AE314,6))),MID(AE314,7,1)=" "),LEFT(AE314,6),AE314),"")</f>
        <v/>
      </c>
      <c r="AN314" s="36" t="str">
        <f aca="false">TRIM(AK314)</f>
        <v/>
      </c>
      <c r="AO314" s="36" t="str">
        <f aca="false">IF(AN314="Revenue","Revenue",IF(AN314="Cost of Goods Sold","COGS",IF(AN314="Expenditures","Expense",IF(AN314="Other Revenue","Other Revenue",IF(AN314="Other Expenditures","Other Expense",AO313)))))</f>
        <v/>
      </c>
      <c r="AP314" s="36" t="str">
        <f aca="false">IF(OR(AN314="Revenue",AN314="Cost of Goods Sold",AN314="Expenditures",AN314="Other Revenue",AN314="Other Expenditures"),AO314,IF(AND(LEN(AN314)&gt;2,MID(AN314,2,1)=" ",ISNUMBER(VALUE(LEFT(AN314,1)))),AN314,AP313))</f>
        <v/>
      </c>
      <c r="AQ314" s="36" t="n">
        <f aca="false">IF(AND(AN314&lt;&gt;"",ISNUMBER(AL314),LEFT(AN314,9)&lt;&gt;"Total for",AN314&lt;&gt;"Gross Profit",AN314&lt;&gt;"Net Operating Revenue",AN314&lt;&gt;"Net Other Revenue",AN314&lt;&gt;"Net Revenue"),1,0)</f>
        <v>0</v>
      </c>
      <c r="AR314" s="36" t="str">
        <f aca="false">IF(AQ314=1,IF(AND(LEN(AN314)&gt;7,ISNUMBER(VALUE(LEFT(AN314,6))),MID(AN314,7,1)=" "),LEFT(AN314,6),AN314),"")</f>
        <v/>
      </c>
    </row>
    <row r="315" customFormat="false" ht="15" hidden="false" customHeight="false" outlineLevel="0" collapsed="false">
      <c r="D315" s="36" t="str">
        <f aca="false">TRIM(A315)</f>
        <v/>
      </c>
      <c r="E315" s="36" t="str">
        <f aca="false">IF(D315="Revenue","Revenue",IF(D315="Cost of Goods Sold","COGS",IF(D315="Expenditures","Expense",IF(D315="Other Revenue","Other Revenue",IF(D315="Other Expenditures","Other Expense",E314)))))</f>
        <v/>
      </c>
      <c r="F315" s="36" t="str">
        <f aca="false">IF(OR(D315="Revenue",D315="Cost of Goods Sold",D315="Expenditures",D315="Other Revenue",D315="Other Expenditures"),E315,IF(AND(LEN(D315)&gt;2,MID(D315,2,1)=" ",ISNUMBER(VALUE(LEFT(D315,1)))),D315,F314))</f>
        <v/>
      </c>
      <c r="G315" s="36" t="n">
        <f aca="false">IF(AND(D315&lt;&gt;"",ISNUMBER(B315),LEFT(D315,9)&lt;&gt;"Total for",D315&lt;&gt;"Gross Profit",D315&lt;&gt;"Net Operating Revenue",D315&lt;&gt;"Net Other Revenue",D315&lt;&gt;"Net Revenue"),1,0)</f>
        <v>0</v>
      </c>
      <c r="H315" s="36" t="str">
        <f aca="false">IF(G315=1,IF(AND(LEN(D315)&gt;7,ISNUMBER(VALUE(LEFT(D315,6))),MID(D315,7,1)=" "),LEFT(D315,6),D315),"")</f>
        <v/>
      </c>
      <c r="M315" s="36" t="str">
        <f aca="false">TRIM(J315)</f>
        <v/>
      </c>
      <c r="N315" s="36" t="str">
        <f aca="false">IF(M315="Revenue","Revenue",IF(M315="Cost of Goods Sold","COGS",IF(M315="Expenditures","Expense",IF(M315="Other Revenue","Other Revenue",IF(M315="Other Expenditures","Other Expense",N314)))))</f>
        <v/>
      </c>
      <c r="O315" s="36" t="str">
        <f aca="false">IF(OR(M315="Revenue",M315="Cost of Goods Sold",M315="Expenditures",M315="Other Revenue",M315="Other Expenditures"),N315,IF(AND(LEN(M315)&gt;2,MID(M315,2,1)=" ",ISNUMBER(VALUE(LEFT(M315,1)))),M315,O314))</f>
        <v/>
      </c>
      <c r="P315" s="36" t="n">
        <f aca="false">IF(AND(M315&lt;&gt;"",ISNUMBER(K315),LEFT(M315,9)&lt;&gt;"Total for",M315&lt;&gt;"Gross Profit",M315&lt;&gt;"Net Operating Revenue",M315&lt;&gt;"Net Other Revenue",M315&lt;&gt;"Net Revenue"),1,0)</f>
        <v>0</v>
      </c>
      <c r="Q315" s="36" t="str">
        <f aca="false">IF(P315=1,IF(AND(LEN(M315)&gt;7,ISNUMBER(VALUE(LEFT(M315,6))),MID(M315,7,1)=" "),LEFT(M315,6),M315),"")</f>
        <v/>
      </c>
      <c r="V315" s="36" t="str">
        <f aca="false">TRIM(S315)</f>
        <v/>
      </c>
      <c r="W315" s="36" t="str">
        <f aca="false">IF(V315="Revenue","Revenue",IF(V315="Cost of Goods Sold","COGS",IF(V315="Expenditures","Expense",IF(V315="Other Revenue","Other Revenue",IF(V315="Other Expenditures","Other Expense",W314)))))</f>
        <v/>
      </c>
      <c r="X315" s="36" t="str">
        <f aca="false">IF(OR(V315="Revenue",V315="Cost of Goods Sold",V315="Expenditures",V315="Other Revenue",V315="Other Expenditures"),W315,IF(AND(LEN(V315)&gt;2,MID(V315,2,1)=" ",ISNUMBER(VALUE(LEFT(V315,1)))),V315,X314))</f>
        <v/>
      </c>
      <c r="Y315" s="36" t="n">
        <f aca="false">IF(AND(V315&lt;&gt;"",ISNUMBER(T315),LEFT(V315,9)&lt;&gt;"Total for",V315&lt;&gt;"Gross Profit",V315&lt;&gt;"Net Operating Revenue",V315&lt;&gt;"Net Other Revenue",V315&lt;&gt;"Net Revenue"),1,0)</f>
        <v>0</v>
      </c>
      <c r="Z315" s="36" t="str">
        <f aca="false">IF(Y315=1,IF(AND(LEN(V315)&gt;7,ISNUMBER(VALUE(LEFT(V315,6))),MID(V315,7,1)=" "),LEFT(V315,6),V315),"")</f>
        <v/>
      </c>
      <c r="AE315" s="36" t="str">
        <f aca="false">TRIM(AB315)</f>
        <v/>
      </c>
      <c r="AF315" s="36" t="str">
        <f aca="false">IF(AE315="Revenue","Revenue",IF(AE315="Cost of Goods Sold","COGS",IF(AE315="Expenditures","Expense",IF(AE315="Other Revenue","Other Revenue",IF(AE315="Other Expenditures","Other Expense",AF314)))))</f>
        <v/>
      </c>
      <c r="AG315" s="36" t="str">
        <f aca="false">IF(OR(AE315="Revenue",AE315="Cost of Goods Sold",AE315="Expenditures",AE315="Other Revenue",AE315="Other Expenditures"),AF315,IF(AND(LEN(AE315)&gt;2,MID(AE315,2,1)=" ",ISNUMBER(VALUE(LEFT(AE315,1)))),AE315,AG314))</f>
        <v/>
      </c>
      <c r="AH315" s="36" t="n">
        <f aca="false">IF(AND(AE315&lt;&gt;"",ISNUMBER(AC315),LEFT(AE315,9)&lt;&gt;"Total for",AE315&lt;&gt;"Gross Profit",AE315&lt;&gt;"Net Operating Revenue",AE315&lt;&gt;"Net Other Revenue",AE315&lt;&gt;"Net Revenue"),1,0)</f>
        <v>0</v>
      </c>
      <c r="AI315" s="36" t="str">
        <f aca="false">IF(AH315=1,IF(AND(LEN(AE315)&gt;7,ISNUMBER(VALUE(LEFT(AE315,6))),MID(AE315,7,1)=" "),LEFT(AE315,6),AE315),"")</f>
        <v/>
      </c>
      <c r="AN315" s="36" t="str">
        <f aca="false">TRIM(AK315)</f>
        <v/>
      </c>
      <c r="AO315" s="36" t="str">
        <f aca="false">IF(AN315="Revenue","Revenue",IF(AN315="Cost of Goods Sold","COGS",IF(AN315="Expenditures","Expense",IF(AN315="Other Revenue","Other Revenue",IF(AN315="Other Expenditures","Other Expense",AO314)))))</f>
        <v/>
      </c>
      <c r="AP315" s="36" t="str">
        <f aca="false">IF(OR(AN315="Revenue",AN315="Cost of Goods Sold",AN315="Expenditures",AN315="Other Revenue",AN315="Other Expenditures"),AO315,IF(AND(LEN(AN315)&gt;2,MID(AN315,2,1)=" ",ISNUMBER(VALUE(LEFT(AN315,1)))),AN315,AP314))</f>
        <v/>
      </c>
      <c r="AQ315" s="36" t="n">
        <f aca="false">IF(AND(AN315&lt;&gt;"",ISNUMBER(AL315),LEFT(AN315,9)&lt;&gt;"Total for",AN315&lt;&gt;"Gross Profit",AN315&lt;&gt;"Net Operating Revenue",AN315&lt;&gt;"Net Other Revenue",AN315&lt;&gt;"Net Revenue"),1,0)</f>
        <v>0</v>
      </c>
      <c r="AR315" s="36" t="str">
        <f aca="false">IF(AQ315=1,IF(AND(LEN(AN315)&gt;7,ISNUMBER(VALUE(LEFT(AN315,6))),MID(AN315,7,1)=" "),LEFT(AN315,6),AN315),"")</f>
        <v/>
      </c>
    </row>
    <row r="316" customFormat="false" ht="15" hidden="false" customHeight="false" outlineLevel="0" collapsed="false">
      <c r="D316" s="36" t="str">
        <f aca="false">TRIM(A316)</f>
        <v/>
      </c>
      <c r="E316" s="36" t="str">
        <f aca="false">IF(D316="Revenue","Revenue",IF(D316="Cost of Goods Sold","COGS",IF(D316="Expenditures","Expense",IF(D316="Other Revenue","Other Revenue",IF(D316="Other Expenditures","Other Expense",E315)))))</f>
        <v/>
      </c>
      <c r="F316" s="36" t="str">
        <f aca="false">IF(OR(D316="Revenue",D316="Cost of Goods Sold",D316="Expenditures",D316="Other Revenue",D316="Other Expenditures"),E316,IF(AND(LEN(D316)&gt;2,MID(D316,2,1)=" ",ISNUMBER(VALUE(LEFT(D316,1)))),D316,F315))</f>
        <v/>
      </c>
      <c r="G316" s="36" t="n">
        <f aca="false">IF(AND(D316&lt;&gt;"",ISNUMBER(B316),LEFT(D316,9)&lt;&gt;"Total for",D316&lt;&gt;"Gross Profit",D316&lt;&gt;"Net Operating Revenue",D316&lt;&gt;"Net Other Revenue",D316&lt;&gt;"Net Revenue"),1,0)</f>
        <v>0</v>
      </c>
      <c r="H316" s="36" t="str">
        <f aca="false">IF(G316=1,IF(AND(LEN(D316)&gt;7,ISNUMBER(VALUE(LEFT(D316,6))),MID(D316,7,1)=" "),LEFT(D316,6),D316),"")</f>
        <v/>
      </c>
      <c r="M316" s="36" t="str">
        <f aca="false">TRIM(J316)</f>
        <v/>
      </c>
      <c r="N316" s="36" t="str">
        <f aca="false">IF(M316="Revenue","Revenue",IF(M316="Cost of Goods Sold","COGS",IF(M316="Expenditures","Expense",IF(M316="Other Revenue","Other Revenue",IF(M316="Other Expenditures","Other Expense",N315)))))</f>
        <v/>
      </c>
      <c r="O316" s="36" t="str">
        <f aca="false">IF(OR(M316="Revenue",M316="Cost of Goods Sold",M316="Expenditures",M316="Other Revenue",M316="Other Expenditures"),N316,IF(AND(LEN(M316)&gt;2,MID(M316,2,1)=" ",ISNUMBER(VALUE(LEFT(M316,1)))),M316,O315))</f>
        <v/>
      </c>
      <c r="P316" s="36" t="n">
        <f aca="false">IF(AND(M316&lt;&gt;"",ISNUMBER(K316),LEFT(M316,9)&lt;&gt;"Total for",M316&lt;&gt;"Gross Profit",M316&lt;&gt;"Net Operating Revenue",M316&lt;&gt;"Net Other Revenue",M316&lt;&gt;"Net Revenue"),1,0)</f>
        <v>0</v>
      </c>
      <c r="Q316" s="36" t="str">
        <f aca="false">IF(P316=1,IF(AND(LEN(M316)&gt;7,ISNUMBER(VALUE(LEFT(M316,6))),MID(M316,7,1)=" "),LEFT(M316,6),M316),"")</f>
        <v/>
      </c>
      <c r="V316" s="36" t="str">
        <f aca="false">TRIM(S316)</f>
        <v/>
      </c>
      <c r="W316" s="36" t="str">
        <f aca="false">IF(V316="Revenue","Revenue",IF(V316="Cost of Goods Sold","COGS",IF(V316="Expenditures","Expense",IF(V316="Other Revenue","Other Revenue",IF(V316="Other Expenditures","Other Expense",W315)))))</f>
        <v/>
      </c>
      <c r="X316" s="36" t="str">
        <f aca="false">IF(OR(V316="Revenue",V316="Cost of Goods Sold",V316="Expenditures",V316="Other Revenue",V316="Other Expenditures"),W316,IF(AND(LEN(V316)&gt;2,MID(V316,2,1)=" ",ISNUMBER(VALUE(LEFT(V316,1)))),V316,X315))</f>
        <v/>
      </c>
      <c r="Y316" s="36" t="n">
        <f aca="false">IF(AND(V316&lt;&gt;"",ISNUMBER(T316),LEFT(V316,9)&lt;&gt;"Total for",V316&lt;&gt;"Gross Profit",V316&lt;&gt;"Net Operating Revenue",V316&lt;&gt;"Net Other Revenue",V316&lt;&gt;"Net Revenue"),1,0)</f>
        <v>0</v>
      </c>
      <c r="Z316" s="36" t="str">
        <f aca="false">IF(Y316=1,IF(AND(LEN(V316)&gt;7,ISNUMBER(VALUE(LEFT(V316,6))),MID(V316,7,1)=" "),LEFT(V316,6),V316),"")</f>
        <v/>
      </c>
      <c r="AE316" s="36" t="str">
        <f aca="false">TRIM(AB316)</f>
        <v/>
      </c>
      <c r="AF316" s="36" t="str">
        <f aca="false">IF(AE316="Revenue","Revenue",IF(AE316="Cost of Goods Sold","COGS",IF(AE316="Expenditures","Expense",IF(AE316="Other Revenue","Other Revenue",IF(AE316="Other Expenditures","Other Expense",AF315)))))</f>
        <v/>
      </c>
      <c r="AG316" s="36" t="str">
        <f aca="false">IF(OR(AE316="Revenue",AE316="Cost of Goods Sold",AE316="Expenditures",AE316="Other Revenue",AE316="Other Expenditures"),AF316,IF(AND(LEN(AE316)&gt;2,MID(AE316,2,1)=" ",ISNUMBER(VALUE(LEFT(AE316,1)))),AE316,AG315))</f>
        <v/>
      </c>
      <c r="AH316" s="36" t="n">
        <f aca="false">IF(AND(AE316&lt;&gt;"",ISNUMBER(AC316),LEFT(AE316,9)&lt;&gt;"Total for",AE316&lt;&gt;"Gross Profit",AE316&lt;&gt;"Net Operating Revenue",AE316&lt;&gt;"Net Other Revenue",AE316&lt;&gt;"Net Revenue"),1,0)</f>
        <v>0</v>
      </c>
      <c r="AI316" s="36" t="str">
        <f aca="false">IF(AH316=1,IF(AND(LEN(AE316)&gt;7,ISNUMBER(VALUE(LEFT(AE316,6))),MID(AE316,7,1)=" "),LEFT(AE316,6),AE316),"")</f>
        <v/>
      </c>
      <c r="AN316" s="36" t="str">
        <f aca="false">TRIM(AK316)</f>
        <v/>
      </c>
      <c r="AO316" s="36" t="str">
        <f aca="false">IF(AN316="Revenue","Revenue",IF(AN316="Cost of Goods Sold","COGS",IF(AN316="Expenditures","Expense",IF(AN316="Other Revenue","Other Revenue",IF(AN316="Other Expenditures","Other Expense",AO315)))))</f>
        <v/>
      </c>
      <c r="AP316" s="36" t="str">
        <f aca="false">IF(OR(AN316="Revenue",AN316="Cost of Goods Sold",AN316="Expenditures",AN316="Other Revenue",AN316="Other Expenditures"),AO316,IF(AND(LEN(AN316)&gt;2,MID(AN316,2,1)=" ",ISNUMBER(VALUE(LEFT(AN316,1)))),AN316,AP315))</f>
        <v/>
      </c>
      <c r="AQ316" s="36" t="n">
        <f aca="false">IF(AND(AN316&lt;&gt;"",ISNUMBER(AL316),LEFT(AN316,9)&lt;&gt;"Total for",AN316&lt;&gt;"Gross Profit",AN316&lt;&gt;"Net Operating Revenue",AN316&lt;&gt;"Net Other Revenue",AN316&lt;&gt;"Net Revenue"),1,0)</f>
        <v>0</v>
      </c>
      <c r="AR316" s="36" t="str">
        <f aca="false">IF(AQ316=1,IF(AND(LEN(AN316)&gt;7,ISNUMBER(VALUE(LEFT(AN316,6))),MID(AN316,7,1)=" "),LEFT(AN316,6),AN316),"")</f>
        <v/>
      </c>
    </row>
    <row r="317" customFormat="false" ht="15" hidden="false" customHeight="false" outlineLevel="0" collapsed="false">
      <c r="D317" s="36" t="str">
        <f aca="false">TRIM(A317)</f>
        <v/>
      </c>
      <c r="E317" s="36" t="str">
        <f aca="false">IF(D317="Revenue","Revenue",IF(D317="Cost of Goods Sold","COGS",IF(D317="Expenditures","Expense",IF(D317="Other Revenue","Other Revenue",IF(D317="Other Expenditures","Other Expense",E316)))))</f>
        <v/>
      </c>
      <c r="F317" s="36" t="str">
        <f aca="false">IF(OR(D317="Revenue",D317="Cost of Goods Sold",D317="Expenditures",D317="Other Revenue",D317="Other Expenditures"),E317,IF(AND(LEN(D317)&gt;2,MID(D317,2,1)=" ",ISNUMBER(VALUE(LEFT(D317,1)))),D317,F316))</f>
        <v/>
      </c>
      <c r="G317" s="36" t="n">
        <f aca="false">IF(AND(D317&lt;&gt;"",ISNUMBER(B317),LEFT(D317,9)&lt;&gt;"Total for",D317&lt;&gt;"Gross Profit",D317&lt;&gt;"Net Operating Revenue",D317&lt;&gt;"Net Other Revenue",D317&lt;&gt;"Net Revenue"),1,0)</f>
        <v>0</v>
      </c>
      <c r="H317" s="36" t="str">
        <f aca="false">IF(G317=1,IF(AND(LEN(D317)&gt;7,ISNUMBER(VALUE(LEFT(D317,6))),MID(D317,7,1)=" "),LEFT(D317,6),D317),"")</f>
        <v/>
      </c>
      <c r="M317" s="36" t="str">
        <f aca="false">TRIM(J317)</f>
        <v/>
      </c>
      <c r="N317" s="36" t="str">
        <f aca="false">IF(M317="Revenue","Revenue",IF(M317="Cost of Goods Sold","COGS",IF(M317="Expenditures","Expense",IF(M317="Other Revenue","Other Revenue",IF(M317="Other Expenditures","Other Expense",N316)))))</f>
        <v/>
      </c>
      <c r="O317" s="36" t="str">
        <f aca="false">IF(OR(M317="Revenue",M317="Cost of Goods Sold",M317="Expenditures",M317="Other Revenue",M317="Other Expenditures"),N317,IF(AND(LEN(M317)&gt;2,MID(M317,2,1)=" ",ISNUMBER(VALUE(LEFT(M317,1)))),M317,O316))</f>
        <v/>
      </c>
      <c r="P317" s="36" t="n">
        <f aca="false">IF(AND(M317&lt;&gt;"",ISNUMBER(K317),LEFT(M317,9)&lt;&gt;"Total for",M317&lt;&gt;"Gross Profit",M317&lt;&gt;"Net Operating Revenue",M317&lt;&gt;"Net Other Revenue",M317&lt;&gt;"Net Revenue"),1,0)</f>
        <v>0</v>
      </c>
      <c r="Q317" s="36" t="str">
        <f aca="false">IF(P317=1,IF(AND(LEN(M317)&gt;7,ISNUMBER(VALUE(LEFT(M317,6))),MID(M317,7,1)=" "),LEFT(M317,6),M317),"")</f>
        <v/>
      </c>
      <c r="V317" s="36" t="str">
        <f aca="false">TRIM(S317)</f>
        <v/>
      </c>
      <c r="W317" s="36" t="str">
        <f aca="false">IF(V317="Revenue","Revenue",IF(V317="Cost of Goods Sold","COGS",IF(V317="Expenditures","Expense",IF(V317="Other Revenue","Other Revenue",IF(V317="Other Expenditures","Other Expense",W316)))))</f>
        <v/>
      </c>
      <c r="X317" s="36" t="str">
        <f aca="false">IF(OR(V317="Revenue",V317="Cost of Goods Sold",V317="Expenditures",V317="Other Revenue",V317="Other Expenditures"),W317,IF(AND(LEN(V317)&gt;2,MID(V317,2,1)=" ",ISNUMBER(VALUE(LEFT(V317,1)))),V317,X316))</f>
        <v/>
      </c>
      <c r="Y317" s="36" t="n">
        <f aca="false">IF(AND(V317&lt;&gt;"",ISNUMBER(T317),LEFT(V317,9)&lt;&gt;"Total for",V317&lt;&gt;"Gross Profit",V317&lt;&gt;"Net Operating Revenue",V317&lt;&gt;"Net Other Revenue",V317&lt;&gt;"Net Revenue"),1,0)</f>
        <v>0</v>
      </c>
      <c r="Z317" s="36" t="str">
        <f aca="false">IF(Y317=1,IF(AND(LEN(V317)&gt;7,ISNUMBER(VALUE(LEFT(V317,6))),MID(V317,7,1)=" "),LEFT(V317,6),V317),"")</f>
        <v/>
      </c>
      <c r="AE317" s="36" t="str">
        <f aca="false">TRIM(AB317)</f>
        <v/>
      </c>
      <c r="AF317" s="36" t="str">
        <f aca="false">IF(AE317="Revenue","Revenue",IF(AE317="Cost of Goods Sold","COGS",IF(AE317="Expenditures","Expense",IF(AE317="Other Revenue","Other Revenue",IF(AE317="Other Expenditures","Other Expense",AF316)))))</f>
        <v/>
      </c>
      <c r="AG317" s="36" t="str">
        <f aca="false">IF(OR(AE317="Revenue",AE317="Cost of Goods Sold",AE317="Expenditures",AE317="Other Revenue",AE317="Other Expenditures"),AF317,IF(AND(LEN(AE317)&gt;2,MID(AE317,2,1)=" ",ISNUMBER(VALUE(LEFT(AE317,1)))),AE317,AG316))</f>
        <v/>
      </c>
      <c r="AH317" s="36" t="n">
        <f aca="false">IF(AND(AE317&lt;&gt;"",ISNUMBER(AC317),LEFT(AE317,9)&lt;&gt;"Total for",AE317&lt;&gt;"Gross Profit",AE317&lt;&gt;"Net Operating Revenue",AE317&lt;&gt;"Net Other Revenue",AE317&lt;&gt;"Net Revenue"),1,0)</f>
        <v>0</v>
      </c>
      <c r="AI317" s="36" t="str">
        <f aca="false">IF(AH317=1,IF(AND(LEN(AE317)&gt;7,ISNUMBER(VALUE(LEFT(AE317,6))),MID(AE317,7,1)=" "),LEFT(AE317,6),AE317),"")</f>
        <v/>
      </c>
      <c r="AN317" s="36" t="str">
        <f aca="false">TRIM(AK317)</f>
        <v/>
      </c>
      <c r="AO317" s="36" t="str">
        <f aca="false">IF(AN317="Revenue","Revenue",IF(AN317="Cost of Goods Sold","COGS",IF(AN317="Expenditures","Expense",IF(AN317="Other Revenue","Other Revenue",IF(AN317="Other Expenditures","Other Expense",AO316)))))</f>
        <v/>
      </c>
      <c r="AP317" s="36" t="str">
        <f aca="false">IF(OR(AN317="Revenue",AN317="Cost of Goods Sold",AN317="Expenditures",AN317="Other Revenue",AN317="Other Expenditures"),AO317,IF(AND(LEN(AN317)&gt;2,MID(AN317,2,1)=" ",ISNUMBER(VALUE(LEFT(AN317,1)))),AN317,AP316))</f>
        <v/>
      </c>
      <c r="AQ317" s="36" t="n">
        <f aca="false">IF(AND(AN317&lt;&gt;"",ISNUMBER(AL317),LEFT(AN317,9)&lt;&gt;"Total for",AN317&lt;&gt;"Gross Profit",AN317&lt;&gt;"Net Operating Revenue",AN317&lt;&gt;"Net Other Revenue",AN317&lt;&gt;"Net Revenue"),1,0)</f>
        <v>0</v>
      </c>
      <c r="AR317" s="36" t="str">
        <f aca="false">IF(AQ317=1,IF(AND(LEN(AN317)&gt;7,ISNUMBER(VALUE(LEFT(AN317,6))),MID(AN317,7,1)=" "),LEFT(AN317,6),AN317),"")</f>
        <v/>
      </c>
    </row>
    <row r="318" customFormat="false" ht="15" hidden="false" customHeight="false" outlineLevel="0" collapsed="false">
      <c r="D318" s="36" t="str">
        <f aca="false">TRIM(A318)</f>
        <v/>
      </c>
      <c r="E318" s="36" t="str">
        <f aca="false">IF(D318="Revenue","Revenue",IF(D318="Cost of Goods Sold","COGS",IF(D318="Expenditures","Expense",IF(D318="Other Revenue","Other Revenue",IF(D318="Other Expenditures","Other Expense",E317)))))</f>
        <v/>
      </c>
      <c r="F318" s="36" t="str">
        <f aca="false">IF(OR(D318="Revenue",D318="Cost of Goods Sold",D318="Expenditures",D318="Other Revenue",D318="Other Expenditures"),E318,IF(AND(LEN(D318)&gt;2,MID(D318,2,1)=" ",ISNUMBER(VALUE(LEFT(D318,1)))),D318,F317))</f>
        <v/>
      </c>
      <c r="G318" s="36" t="n">
        <f aca="false">IF(AND(D318&lt;&gt;"",ISNUMBER(B318),LEFT(D318,9)&lt;&gt;"Total for",D318&lt;&gt;"Gross Profit",D318&lt;&gt;"Net Operating Revenue",D318&lt;&gt;"Net Other Revenue",D318&lt;&gt;"Net Revenue"),1,0)</f>
        <v>0</v>
      </c>
      <c r="H318" s="36" t="str">
        <f aca="false">IF(G318=1,IF(AND(LEN(D318)&gt;7,ISNUMBER(VALUE(LEFT(D318,6))),MID(D318,7,1)=" "),LEFT(D318,6),D318),"")</f>
        <v/>
      </c>
      <c r="M318" s="36" t="str">
        <f aca="false">TRIM(J318)</f>
        <v/>
      </c>
      <c r="N318" s="36" t="str">
        <f aca="false">IF(M318="Revenue","Revenue",IF(M318="Cost of Goods Sold","COGS",IF(M318="Expenditures","Expense",IF(M318="Other Revenue","Other Revenue",IF(M318="Other Expenditures","Other Expense",N317)))))</f>
        <v/>
      </c>
      <c r="O318" s="36" t="str">
        <f aca="false">IF(OR(M318="Revenue",M318="Cost of Goods Sold",M318="Expenditures",M318="Other Revenue",M318="Other Expenditures"),N318,IF(AND(LEN(M318)&gt;2,MID(M318,2,1)=" ",ISNUMBER(VALUE(LEFT(M318,1)))),M318,O317))</f>
        <v/>
      </c>
      <c r="P318" s="36" t="n">
        <f aca="false">IF(AND(M318&lt;&gt;"",ISNUMBER(K318),LEFT(M318,9)&lt;&gt;"Total for",M318&lt;&gt;"Gross Profit",M318&lt;&gt;"Net Operating Revenue",M318&lt;&gt;"Net Other Revenue",M318&lt;&gt;"Net Revenue"),1,0)</f>
        <v>0</v>
      </c>
      <c r="Q318" s="36" t="str">
        <f aca="false">IF(P318=1,IF(AND(LEN(M318)&gt;7,ISNUMBER(VALUE(LEFT(M318,6))),MID(M318,7,1)=" "),LEFT(M318,6),M318),"")</f>
        <v/>
      </c>
      <c r="V318" s="36" t="str">
        <f aca="false">TRIM(S318)</f>
        <v/>
      </c>
      <c r="W318" s="36" t="str">
        <f aca="false">IF(V318="Revenue","Revenue",IF(V318="Cost of Goods Sold","COGS",IF(V318="Expenditures","Expense",IF(V318="Other Revenue","Other Revenue",IF(V318="Other Expenditures","Other Expense",W317)))))</f>
        <v/>
      </c>
      <c r="X318" s="36" t="str">
        <f aca="false">IF(OR(V318="Revenue",V318="Cost of Goods Sold",V318="Expenditures",V318="Other Revenue",V318="Other Expenditures"),W318,IF(AND(LEN(V318)&gt;2,MID(V318,2,1)=" ",ISNUMBER(VALUE(LEFT(V318,1)))),V318,X317))</f>
        <v/>
      </c>
      <c r="Y318" s="36" t="n">
        <f aca="false">IF(AND(V318&lt;&gt;"",ISNUMBER(T318),LEFT(V318,9)&lt;&gt;"Total for",V318&lt;&gt;"Gross Profit",V318&lt;&gt;"Net Operating Revenue",V318&lt;&gt;"Net Other Revenue",V318&lt;&gt;"Net Revenue"),1,0)</f>
        <v>0</v>
      </c>
      <c r="Z318" s="36" t="str">
        <f aca="false">IF(Y318=1,IF(AND(LEN(V318)&gt;7,ISNUMBER(VALUE(LEFT(V318,6))),MID(V318,7,1)=" "),LEFT(V318,6),V318),"")</f>
        <v/>
      </c>
      <c r="AE318" s="36" t="str">
        <f aca="false">TRIM(AB318)</f>
        <v/>
      </c>
      <c r="AF318" s="36" t="str">
        <f aca="false">IF(AE318="Revenue","Revenue",IF(AE318="Cost of Goods Sold","COGS",IF(AE318="Expenditures","Expense",IF(AE318="Other Revenue","Other Revenue",IF(AE318="Other Expenditures","Other Expense",AF317)))))</f>
        <v/>
      </c>
      <c r="AG318" s="36" t="str">
        <f aca="false">IF(OR(AE318="Revenue",AE318="Cost of Goods Sold",AE318="Expenditures",AE318="Other Revenue",AE318="Other Expenditures"),AF318,IF(AND(LEN(AE318)&gt;2,MID(AE318,2,1)=" ",ISNUMBER(VALUE(LEFT(AE318,1)))),AE318,AG317))</f>
        <v/>
      </c>
      <c r="AH318" s="36" t="n">
        <f aca="false">IF(AND(AE318&lt;&gt;"",ISNUMBER(AC318),LEFT(AE318,9)&lt;&gt;"Total for",AE318&lt;&gt;"Gross Profit",AE318&lt;&gt;"Net Operating Revenue",AE318&lt;&gt;"Net Other Revenue",AE318&lt;&gt;"Net Revenue"),1,0)</f>
        <v>0</v>
      </c>
      <c r="AI318" s="36" t="str">
        <f aca="false">IF(AH318=1,IF(AND(LEN(AE318)&gt;7,ISNUMBER(VALUE(LEFT(AE318,6))),MID(AE318,7,1)=" "),LEFT(AE318,6),AE318),"")</f>
        <v/>
      </c>
      <c r="AN318" s="36" t="str">
        <f aca="false">TRIM(AK318)</f>
        <v/>
      </c>
      <c r="AO318" s="36" t="str">
        <f aca="false">IF(AN318="Revenue","Revenue",IF(AN318="Cost of Goods Sold","COGS",IF(AN318="Expenditures","Expense",IF(AN318="Other Revenue","Other Revenue",IF(AN318="Other Expenditures","Other Expense",AO317)))))</f>
        <v/>
      </c>
      <c r="AP318" s="36" t="str">
        <f aca="false">IF(OR(AN318="Revenue",AN318="Cost of Goods Sold",AN318="Expenditures",AN318="Other Revenue",AN318="Other Expenditures"),AO318,IF(AND(LEN(AN318)&gt;2,MID(AN318,2,1)=" ",ISNUMBER(VALUE(LEFT(AN318,1)))),AN318,AP317))</f>
        <v/>
      </c>
      <c r="AQ318" s="36" t="n">
        <f aca="false">IF(AND(AN318&lt;&gt;"",ISNUMBER(AL318),LEFT(AN318,9)&lt;&gt;"Total for",AN318&lt;&gt;"Gross Profit",AN318&lt;&gt;"Net Operating Revenue",AN318&lt;&gt;"Net Other Revenue",AN318&lt;&gt;"Net Revenue"),1,0)</f>
        <v>0</v>
      </c>
      <c r="AR318" s="36" t="str">
        <f aca="false">IF(AQ318=1,IF(AND(LEN(AN318)&gt;7,ISNUMBER(VALUE(LEFT(AN318,6))),MID(AN318,7,1)=" "),LEFT(AN318,6),AN318),"")</f>
        <v/>
      </c>
    </row>
    <row r="319" customFormat="false" ht="15" hidden="false" customHeight="false" outlineLevel="0" collapsed="false">
      <c r="D319" s="36" t="str">
        <f aca="false">TRIM(A319)</f>
        <v/>
      </c>
      <c r="E319" s="36" t="str">
        <f aca="false">IF(D319="Revenue","Revenue",IF(D319="Cost of Goods Sold","COGS",IF(D319="Expenditures","Expense",IF(D319="Other Revenue","Other Revenue",IF(D319="Other Expenditures","Other Expense",E318)))))</f>
        <v/>
      </c>
      <c r="F319" s="36" t="str">
        <f aca="false">IF(OR(D319="Revenue",D319="Cost of Goods Sold",D319="Expenditures",D319="Other Revenue",D319="Other Expenditures"),E319,IF(AND(LEN(D319)&gt;2,MID(D319,2,1)=" ",ISNUMBER(VALUE(LEFT(D319,1)))),D319,F318))</f>
        <v/>
      </c>
      <c r="G319" s="36" t="n">
        <f aca="false">IF(AND(D319&lt;&gt;"",ISNUMBER(B319),LEFT(D319,9)&lt;&gt;"Total for",D319&lt;&gt;"Gross Profit",D319&lt;&gt;"Net Operating Revenue",D319&lt;&gt;"Net Other Revenue",D319&lt;&gt;"Net Revenue"),1,0)</f>
        <v>0</v>
      </c>
      <c r="H319" s="36" t="str">
        <f aca="false">IF(G319=1,IF(AND(LEN(D319)&gt;7,ISNUMBER(VALUE(LEFT(D319,6))),MID(D319,7,1)=" "),LEFT(D319,6),D319),"")</f>
        <v/>
      </c>
      <c r="M319" s="36" t="str">
        <f aca="false">TRIM(J319)</f>
        <v/>
      </c>
      <c r="N319" s="36" t="str">
        <f aca="false">IF(M319="Revenue","Revenue",IF(M319="Cost of Goods Sold","COGS",IF(M319="Expenditures","Expense",IF(M319="Other Revenue","Other Revenue",IF(M319="Other Expenditures","Other Expense",N318)))))</f>
        <v/>
      </c>
      <c r="O319" s="36" t="str">
        <f aca="false">IF(OR(M319="Revenue",M319="Cost of Goods Sold",M319="Expenditures",M319="Other Revenue",M319="Other Expenditures"),N319,IF(AND(LEN(M319)&gt;2,MID(M319,2,1)=" ",ISNUMBER(VALUE(LEFT(M319,1)))),M319,O318))</f>
        <v/>
      </c>
      <c r="P319" s="36" t="n">
        <f aca="false">IF(AND(M319&lt;&gt;"",ISNUMBER(K319),LEFT(M319,9)&lt;&gt;"Total for",M319&lt;&gt;"Gross Profit",M319&lt;&gt;"Net Operating Revenue",M319&lt;&gt;"Net Other Revenue",M319&lt;&gt;"Net Revenue"),1,0)</f>
        <v>0</v>
      </c>
      <c r="Q319" s="36" t="str">
        <f aca="false">IF(P319=1,IF(AND(LEN(M319)&gt;7,ISNUMBER(VALUE(LEFT(M319,6))),MID(M319,7,1)=" "),LEFT(M319,6),M319),"")</f>
        <v/>
      </c>
      <c r="V319" s="36" t="str">
        <f aca="false">TRIM(S319)</f>
        <v/>
      </c>
      <c r="W319" s="36" t="str">
        <f aca="false">IF(V319="Revenue","Revenue",IF(V319="Cost of Goods Sold","COGS",IF(V319="Expenditures","Expense",IF(V319="Other Revenue","Other Revenue",IF(V319="Other Expenditures","Other Expense",W318)))))</f>
        <v/>
      </c>
      <c r="X319" s="36" t="str">
        <f aca="false">IF(OR(V319="Revenue",V319="Cost of Goods Sold",V319="Expenditures",V319="Other Revenue",V319="Other Expenditures"),W319,IF(AND(LEN(V319)&gt;2,MID(V319,2,1)=" ",ISNUMBER(VALUE(LEFT(V319,1)))),V319,X318))</f>
        <v/>
      </c>
      <c r="Y319" s="36" t="n">
        <f aca="false">IF(AND(V319&lt;&gt;"",ISNUMBER(T319),LEFT(V319,9)&lt;&gt;"Total for",V319&lt;&gt;"Gross Profit",V319&lt;&gt;"Net Operating Revenue",V319&lt;&gt;"Net Other Revenue",V319&lt;&gt;"Net Revenue"),1,0)</f>
        <v>0</v>
      </c>
      <c r="Z319" s="36" t="str">
        <f aca="false">IF(Y319=1,IF(AND(LEN(V319)&gt;7,ISNUMBER(VALUE(LEFT(V319,6))),MID(V319,7,1)=" "),LEFT(V319,6),V319),"")</f>
        <v/>
      </c>
      <c r="AE319" s="36" t="str">
        <f aca="false">TRIM(AB319)</f>
        <v/>
      </c>
      <c r="AF319" s="36" t="str">
        <f aca="false">IF(AE319="Revenue","Revenue",IF(AE319="Cost of Goods Sold","COGS",IF(AE319="Expenditures","Expense",IF(AE319="Other Revenue","Other Revenue",IF(AE319="Other Expenditures","Other Expense",AF318)))))</f>
        <v/>
      </c>
      <c r="AG319" s="36" t="str">
        <f aca="false">IF(OR(AE319="Revenue",AE319="Cost of Goods Sold",AE319="Expenditures",AE319="Other Revenue",AE319="Other Expenditures"),AF319,IF(AND(LEN(AE319)&gt;2,MID(AE319,2,1)=" ",ISNUMBER(VALUE(LEFT(AE319,1)))),AE319,AG318))</f>
        <v/>
      </c>
      <c r="AH319" s="36" t="n">
        <f aca="false">IF(AND(AE319&lt;&gt;"",ISNUMBER(AC319),LEFT(AE319,9)&lt;&gt;"Total for",AE319&lt;&gt;"Gross Profit",AE319&lt;&gt;"Net Operating Revenue",AE319&lt;&gt;"Net Other Revenue",AE319&lt;&gt;"Net Revenue"),1,0)</f>
        <v>0</v>
      </c>
      <c r="AI319" s="36" t="str">
        <f aca="false">IF(AH319=1,IF(AND(LEN(AE319)&gt;7,ISNUMBER(VALUE(LEFT(AE319,6))),MID(AE319,7,1)=" "),LEFT(AE319,6),AE319),"")</f>
        <v/>
      </c>
      <c r="AN319" s="36" t="str">
        <f aca="false">TRIM(AK319)</f>
        <v/>
      </c>
      <c r="AO319" s="36" t="str">
        <f aca="false">IF(AN319="Revenue","Revenue",IF(AN319="Cost of Goods Sold","COGS",IF(AN319="Expenditures","Expense",IF(AN319="Other Revenue","Other Revenue",IF(AN319="Other Expenditures","Other Expense",AO318)))))</f>
        <v/>
      </c>
      <c r="AP319" s="36" t="str">
        <f aca="false">IF(OR(AN319="Revenue",AN319="Cost of Goods Sold",AN319="Expenditures",AN319="Other Revenue",AN319="Other Expenditures"),AO319,IF(AND(LEN(AN319)&gt;2,MID(AN319,2,1)=" ",ISNUMBER(VALUE(LEFT(AN319,1)))),AN319,AP318))</f>
        <v/>
      </c>
      <c r="AQ319" s="36" t="n">
        <f aca="false">IF(AND(AN319&lt;&gt;"",ISNUMBER(AL319),LEFT(AN319,9)&lt;&gt;"Total for",AN319&lt;&gt;"Gross Profit",AN319&lt;&gt;"Net Operating Revenue",AN319&lt;&gt;"Net Other Revenue",AN319&lt;&gt;"Net Revenue"),1,0)</f>
        <v>0</v>
      </c>
      <c r="AR319" s="36" t="str">
        <f aca="false">IF(AQ319=1,IF(AND(LEN(AN319)&gt;7,ISNUMBER(VALUE(LEFT(AN319,6))),MID(AN319,7,1)=" "),LEFT(AN319,6),AN319),"")</f>
        <v/>
      </c>
    </row>
    <row r="320" customFormat="false" ht="15" hidden="false" customHeight="false" outlineLevel="0" collapsed="false">
      <c r="D320" s="36" t="str">
        <f aca="false">TRIM(A320)</f>
        <v/>
      </c>
      <c r="E320" s="36" t="str">
        <f aca="false">IF(D320="Revenue","Revenue",IF(D320="Cost of Goods Sold","COGS",IF(D320="Expenditures","Expense",IF(D320="Other Revenue","Other Revenue",IF(D320="Other Expenditures","Other Expense",E319)))))</f>
        <v/>
      </c>
      <c r="F320" s="36" t="str">
        <f aca="false">IF(OR(D320="Revenue",D320="Cost of Goods Sold",D320="Expenditures",D320="Other Revenue",D320="Other Expenditures"),E320,IF(AND(LEN(D320)&gt;2,MID(D320,2,1)=" ",ISNUMBER(VALUE(LEFT(D320,1)))),D320,F319))</f>
        <v/>
      </c>
      <c r="G320" s="36" t="n">
        <f aca="false">IF(AND(D320&lt;&gt;"",ISNUMBER(B320),LEFT(D320,9)&lt;&gt;"Total for",D320&lt;&gt;"Gross Profit",D320&lt;&gt;"Net Operating Revenue",D320&lt;&gt;"Net Other Revenue",D320&lt;&gt;"Net Revenue"),1,0)</f>
        <v>0</v>
      </c>
      <c r="H320" s="36" t="str">
        <f aca="false">IF(G320=1,IF(AND(LEN(D320)&gt;7,ISNUMBER(VALUE(LEFT(D320,6))),MID(D320,7,1)=" "),LEFT(D320,6),D320),"")</f>
        <v/>
      </c>
      <c r="M320" s="36" t="str">
        <f aca="false">TRIM(J320)</f>
        <v/>
      </c>
      <c r="N320" s="36" t="str">
        <f aca="false">IF(M320="Revenue","Revenue",IF(M320="Cost of Goods Sold","COGS",IF(M320="Expenditures","Expense",IF(M320="Other Revenue","Other Revenue",IF(M320="Other Expenditures","Other Expense",N319)))))</f>
        <v/>
      </c>
      <c r="O320" s="36" t="str">
        <f aca="false">IF(OR(M320="Revenue",M320="Cost of Goods Sold",M320="Expenditures",M320="Other Revenue",M320="Other Expenditures"),N320,IF(AND(LEN(M320)&gt;2,MID(M320,2,1)=" ",ISNUMBER(VALUE(LEFT(M320,1)))),M320,O319))</f>
        <v/>
      </c>
      <c r="P320" s="36" t="n">
        <f aca="false">IF(AND(M320&lt;&gt;"",ISNUMBER(K320),LEFT(M320,9)&lt;&gt;"Total for",M320&lt;&gt;"Gross Profit",M320&lt;&gt;"Net Operating Revenue",M320&lt;&gt;"Net Other Revenue",M320&lt;&gt;"Net Revenue"),1,0)</f>
        <v>0</v>
      </c>
      <c r="Q320" s="36" t="str">
        <f aca="false">IF(P320=1,IF(AND(LEN(M320)&gt;7,ISNUMBER(VALUE(LEFT(M320,6))),MID(M320,7,1)=" "),LEFT(M320,6),M320),"")</f>
        <v/>
      </c>
      <c r="V320" s="36" t="str">
        <f aca="false">TRIM(S320)</f>
        <v/>
      </c>
      <c r="W320" s="36" t="str">
        <f aca="false">IF(V320="Revenue","Revenue",IF(V320="Cost of Goods Sold","COGS",IF(V320="Expenditures","Expense",IF(V320="Other Revenue","Other Revenue",IF(V320="Other Expenditures","Other Expense",W319)))))</f>
        <v/>
      </c>
      <c r="X320" s="36" t="str">
        <f aca="false">IF(OR(V320="Revenue",V320="Cost of Goods Sold",V320="Expenditures",V320="Other Revenue",V320="Other Expenditures"),W320,IF(AND(LEN(V320)&gt;2,MID(V320,2,1)=" ",ISNUMBER(VALUE(LEFT(V320,1)))),V320,X319))</f>
        <v/>
      </c>
      <c r="Y320" s="36" t="n">
        <f aca="false">IF(AND(V320&lt;&gt;"",ISNUMBER(T320),LEFT(V320,9)&lt;&gt;"Total for",V320&lt;&gt;"Gross Profit",V320&lt;&gt;"Net Operating Revenue",V320&lt;&gt;"Net Other Revenue",V320&lt;&gt;"Net Revenue"),1,0)</f>
        <v>0</v>
      </c>
      <c r="Z320" s="36" t="str">
        <f aca="false">IF(Y320=1,IF(AND(LEN(V320)&gt;7,ISNUMBER(VALUE(LEFT(V320,6))),MID(V320,7,1)=" "),LEFT(V320,6),V320),"")</f>
        <v/>
      </c>
      <c r="AE320" s="36" t="str">
        <f aca="false">TRIM(AB320)</f>
        <v/>
      </c>
      <c r="AF320" s="36" t="str">
        <f aca="false">IF(AE320="Revenue","Revenue",IF(AE320="Cost of Goods Sold","COGS",IF(AE320="Expenditures","Expense",IF(AE320="Other Revenue","Other Revenue",IF(AE320="Other Expenditures","Other Expense",AF319)))))</f>
        <v/>
      </c>
      <c r="AG320" s="36" t="str">
        <f aca="false">IF(OR(AE320="Revenue",AE320="Cost of Goods Sold",AE320="Expenditures",AE320="Other Revenue",AE320="Other Expenditures"),AF320,IF(AND(LEN(AE320)&gt;2,MID(AE320,2,1)=" ",ISNUMBER(VALUE(LEFT(AE320,1)))),AE320,AG319))</f>
        <v/>
      </c>
      <c r="AH320" s="36" t="n">
        <f aca="false">IF(AND(AE320&lt;&gt;"",ISNUMBER(AC320),LEFT(AE320,9)&lt;&gt;"Total for",AE320&lt;&gt;"Gross Profit",AE320&lt;&gt;"Net Operating Revenue",AE320&lt;&gt;"Net Other Revenue",AE320&lt;&gt;"Net Revenue"),1,0)</f>
        <v>0</v>
      </c>
      <c r="AI320" s="36" t="str">
        <f aca="false">IF(AH320=1,IF(AND(LEN(AE320)&gt;7,ISNUMBER(VALUE(LEFT(AE320,6))),MID(AE320,7,1)=" "),LEFT(AE320,6),AE320),"")</f>
        <v/>
      </c>
      <c r="AN320" s="36" t="str">
        <f aca="false">TRIM(AK320)</f>
        <v/>
      </c>
      <c r="AO320" s="36" t="str">
        <f aca="false">IF(AN320="Revenue","Revenue",IF(AN320="Cost of Goods Sold","COGS",IF(AN320="Expenditures","Expense",IF(AN320="Other Revenue","Other Revenue",IF(AN320="Other Expenditures","Other Expense",AO319)))))</f>
        <v/>
      </c>
      <c r="AP320" s="36" t="str">
        <f aca="false">IF(OR(AN320="Revenue",AN320="Cost of Goods Sold",AN320="Expenditures",AN320="Other Revenue",AN320="Other Expenditures"),AO320,IF(AND(LEN(AN320)&gt;2,MID(AN320,2,1)=" ",ISNUMBER(VALUE(LEFT(AN320,1)))),AN320,AP319))</f>
        <v/>
      </c>
      <c r="AQ320" s="36" t="n">
        <f aca="false">IF(AND(AN320&lt;&gt;"",ISNUMBER(AL320),LEFT(AN320,9)&lt;&gt;"Total for",AN320&lt;&gt;"Gross Profit",AN320&lt;&gt;"Net Operating Revenue",AN320&lt;&gt;"Net Other Revenue",AN320&lt;&gt;"Net Revenue"),1,0)</f>
        <v>0</v>
      </c>
      <c r="AR320" s="36" t="str">
        <f aca="false">IF(AQ320=1,IF(AND(LEN(AN320)&gt;7,ISNUMBER(VALUE(LEFT(AN320,6))),MID(AN320,7,1)=" "),LEFT(AN320,6),AN320),"")</f>
        <v/>
      </c>
    </row>
    <row r="321" customFormat="false" ht="15" hidden="false" customHeight="false" outlineLevel="0" collapsed="false">
      <c r="D321" s="36" t="str">
        <f aca="false">TRIM(A321)</f>
        <v/>
      </c>
      <c r="E321" s="36" t="str">
        <f aca="false">IF(D321="Revenue","Revenue",IF(D321="Cost of Goods Sold","COGS",IF(D321="Expenditures","Expense",IF(D321="Other Revenue","Other Revenue",IF(D321="Other Expenditures","Other Expense",E320)))))</f>
        <v/>
      </c>
      <c r="F321" s="36" t="str">
        <f aca="false">IF(OR(D321="Revenue",D321="Cost of Goods Sold",D321="Expenditures",D321="Other Revenue",D321="Other Expenditures"),E321,IF(AND(LEN(D321)&gt;2,MID(D321,2,1)=" ",ISNUMBER(VALUE(LEFT(D321,1)))),D321,F320))</f>
        <v/>
      </c>
      <c r="G321" s="36" t="n">
        <f aca="false">IF(AND(D321&lt;&gt;"",ISNUMBER(B321),LEFT(D321,9)&lt;&gt;"Total for",D321&lt;&gt;"Gross Profit",D321&lt;&gt;"Net Operating Revenue",D321&lt;&gt;"Net Other Revenue",D321&lt;&gt;"Net Revenue"),1,0)</f>
        <v>0</v>
      </c>
      <c r="H321" s="36" t="str">
        <f aca="false">IF(G321=1,IF(AND(LEN(D321)&gt;7,ISNUMBER(VALUE(LEFT(D321,6))),MID(D321,7,1)=" "),LEFT(D321,6),D321),"")</f>
        <v/>
      </c>
      <c r="M321" s="36" t="str">
        <f aca="false">TRIM(J321)</f>
        <v/>
      </c>
      <c r="N321" s="36" t="str">
        <f aca="false">IF(M321="Revenue","Revenue",IF(M321="Cost of Goods Sold","COGS",IF(M321="Expenditures","Expense",IF(M321="Other Revenue","Other Revenue",IF(M321="Other Expenditures","Other Expense",N320)))))</f>
        <v/>
      </c>
      <c r="O321" s="36" t="str">
        <f aca="false">IF(OR(M321="Revenue",M321="Cost of Goods Sold",M321="Expenditures",M321="Other Revenue",M321="Other Expenditures"),N321,IF(AND(LEN(M321)&gt;2,MID(M321,2,1)=" ",ISNUMBER(VALUE(LEFT(M321,1)))),M321,O320))</f>
        <v/>
      </c>
      <c r="P321" s="36" t="n">
        <f aca="false">IF(AND(M321&lt;&gt;"",ISNUMBER(K321),LEFT(M321,9)&lt;&gt;"Total for",M321&lt;&gt;"Gross Profit",M321&lt;&gt;"Net Operating Revenue",M321&lt;&gt;"Net Other Revenue",M321&lt;&gt;"Net Revenue"),1,0)</f>
        <v>0</v>
      </c>
      <c r="Q321" s="36" t="str">
        <f aca="false">IF(P321=1,IF(AND(LEN(M321)&gt;7,ISNUMBER(VALUE(LEFT(M321,6))),MID(M321,7,1)=" "),LEFT(M321,6),M321),"")</f>
        <v/>
      </c>
      <c r="V321" s="36" t="str">
        <f aca="false">TRIM(S321)</f>
        <v/>
      </c>
      <c r="W321" s="36" t="str">
        <f aca="false">IF(V321="Revenue","Revenue",IF(V321="Cost of Goods Sold","COGS",IF(V321="Expenditures","Expense",IF(V321="Other Revenue","Other Revenue",IF(V321="Other Expenditures","Other Expense",W320)))))</f>
        <v/>
      </c>
      <c r="X321" s="36" t="str">
        <f aca="false">IF(OR(V321="Revenue",V321="Cost of Goods Sold",V321="Expenditures",V321="Other Revenue",V321="Other Expenditures"),W321,IF(AND(LEN(V321)&gt;2,MID(V321,2,1)=" ",ISNUMBER(VALUE(LEFT(V321,1)))),V321,X320))</f>
        <v/>
      </c>
      <c r="Y321" s="36" t="n">
        <f aca="false">IF(AND(V321&lt;&gt;"",ISNUMBER(T321),LEFT(V321,9)&lt;&gt;"Total for",V321&lt;&gt;"Gross Profit",V321&lt;&gt;"Net Operating Revenue",V321&lt;&gt;"Net Other Revenue",V321&lt;&gt;"Net Revenue"),1,0)</f>
        <v>0</v>
      </c>
      <c r="Z321" s="36" t="str">
        <f aca="false">IF(Y321=1,IF(AND(LEN(V321)&gt;7,ISNUMBER(VALUE(LEFT(V321,6))),MID(V321,7,1)=" "),LEFT(V321,6),V321),"")</f>
        <v/>
      </c>
      <c r="AE321" s="36" t="str">
        <f aca="false">TRIM(AB321)</f>
        <v/>
      </c>
      <c r="AF321" s="36" t="str">
        <f aca="false">IF(AE321="Revenue","Revenue",IF(AE321="Cost of Goods Sold","COGS",IF(AE321="Expenditures","Expense",IF(AE321="Other Revenue","Other Revenue",IF(AE321="Other Expenditures","Other Expense",AF320)))))</f>
        <v/>
      </c>
      <c r="AG321" s="36" t="str">
        <f aca="false">IF(OR(AE321="Revenue",AE321="Cost of Goods Sold",AE321="Expenditures",AE321="Other Revenue",AE321="Other Expenditures"),AF321,IF(AND(LEN(AE321)&gt;2,MID(AE321,2,1)=" ",ISNUMBER(VALUE(LEFT(AE321,1)))),AE321,AG320))</f>
        <v/>
      </c>
      <c r="AH321" s="36" t="n">
        <f aca="false">IF(AND(AE321&lt;&gt;"",ISNUMBER(AC321),LEFT(AE321,9)&lt;&gt;"Total for",AE321&lt;&gt;"Gross Profit",AE321&lt;&gt;"Net Operating Revenue",AE321&lt;&gt;"Net Other Revenue",AE321&lt;&gt;"Net Revenue"),1,0)</f>
        <v>0</v>
      </c>
      <c r="AI321" s="36" t="str">
        <f aca="false">IF(AH321=1,IF(AND(LEN(AE321)&gt;7,ISNUMBER(VALUE(LEFT(AE321,6))),MID(AE321,7,1)=" "),LEFT(AE321,6),AE321),"")</f>
        <v/>
      </c>
      <c r="AN321" s="36" t="str">
        <f aca="false">TRIM(AK321)</f>
        <v/>
      </c>
      <c r="AO321" s="36" t="str">
        <f aca="false">IF(AN321="Revenue","Revenue",IF(AN321="Cost of Goods Sold","COGS",IF(AN321="Expenditures","Expense",IF(AN321="Other Revenue","Other Revenue",IF(AN321="Other Expenditures","Other Expense",AO320)))))</f>
        <v/>
      </c>
      <c r="AP321" s="36" t="str">
        <f aca="false">IF(OR(AN321="Revenue",AN321="Cost of Goods Sold",AN321="Expenditures",AN321="Other Revenue",AN321="Other Expenditures"),AO321,IF(AND(LEN(AN321)&gt;2,MID(AN321,2,1)=" ",ISNUMBER(VALUE(LEFT(AN321,1)))),AN321,AP320))</f>
        <v/>
      </c>
      <c r="AQ321" s="36" t="n">
        <f aca="false">IF(AND(AN321&lt;&gt;"",ISNUMBER(AL321),LEFT(AN321,9)&lt;&gt;"Total for",AN321&lt;&gt;"Gross Profit",AN321&lt;&gt;"Net Operating Revenue",AN321&lt;&gt;"Net Other Revenue",AN321&lt;&gt;"Net Revenue"),1,0)</f>
        <v>0</v>
      </c>
      <c r="AR321" s="36" t="str">
        <f aca="false">IF(AQ321=1,IF(AND(LEN(AN321)&gt;7,ISNUMBER(VALUE(LEFT(AN321,6))),MID(AN321,7,1)=" "),LEFT(AN321,6),AN321),"")</f>
        <v/>
      </c>
    </row>
    <row r="322" customFormat="false" ht="15" hidden="false" customHeight="false" outlineLevel="0" collapsed="false">
      <c r="D322" s="36" t="str">
        <f aca="false">TRIM(A322)</f>
        <v/>
      </c>
      <c r="E322" s="36" t="str">
        <f aca="false">IF(D322="Revenue","Revenue",IF(D322="Cost of Goods Sold","COGS",IF(D322="Expenditures","Expense",IF(D322="Other Revenue","Other Revenue",IF(D322="Other Expenditures","Other Expense",E321)))))</f>
        <v/>
      </c>
      <c r="F322" s="36" t="str">
        <f aca="false">IF(OR(D322="Revenue",D322="Cost of Goods Sold",D322="Expenditures",D322="Other Revenue",D322="Other Expenditures"),E322,IF(AND(LEN(D322)&gt;2,MID(D322,2,1)=" ",ISNUMBER(VALUE(LEFT(D322,1)))),D322,F321))</f>
        <v/>
      </c>
      <c r="G322" s="36" t="n">
        <f aca="false">IF(AND(D322&lt;&gt;"",ISNUMBER(B322),LEFT(D322,9)&lt;&gt;"Total for",D322&lt;&gt;"Gross Profit",D322&lt;&gt;"Net Operating Revenue",D322&lt;&gt;"Net Other Revenue",D322&lt;&gt;"Net Revenue"),1,0)</f>
        <v>0</v>
      </c>
      <c r="H322" s="36" t="str">
        <f aca="false">IF(G322=1,IF(AND(LEN(D322)&gt;7,ISNUMBER(VALUE(LEFT(D322,6))),MID(D322,7,1)=" "),LEFT(D322,6),D322),"")</f>
        <v/>
      </c>
      <c r="M322" s="36" t="str">
        <f aca="false">TRIM(J322)</f>
        <v/>
      </c>
      <c r="N322" s="36" t="str">
        <f aca="false">IF(M322="Revenue","Revenue",IF(M322="Cost of Goods Sold","COGS",IF(M322="Expenditures","Expense",IF(M322="Other Revenue","Other Revenue",IF(M322="Other Expenditures","Other Expense",N321)))))</f>
        <v/>
      </c>
      <c r="O322" s="36" t="str">
        <f aca="false">IF(OR(M322="Revenue",M322="Cost of Goods Sold",M322="Expenditures",M322="Other Revenue",M322="Other Expenditures"),N322,IF(AND(LEN(M322)&gt;2,MID(M322,2,1)=" ",ISNUMBER(VALUE(LEFT(M322,1)))),M322,O321))</f>
        <v/>
      </c>
      <c r="P322" s="36" t="n">
        <f aca="false">IF(AND(M322&lt;&gt;"",ISNUMBER(K322),LEFT(M322,9)&lt;&gt;"Total for",M322&lt;&gt;"Gross Profit",M322&lt;&gt;"Net Operating Revenue",M322&lt;&gt;"Net Other Revenue",M322&lt;&gt;"Net Revenue"),1,0)</f>
        <v>0</v>
      </c>
      <c r="Q322" s="36" t="str">
        <f aca="false">IF(P322=1,IF(AND(LEN(M322)&gt;7,ISNUMBER(VALUE(LEFT(M322,6))),MID(M322,7,1)=" "),LEFT(M322,6),M322),"")</f>
        <v/>
      </c>
      <c r="V322" s="36" t="str">
        <f aca="false">TRIM(S322)</f>
        <v/>
      </c>
      <c r="W322" s="36" t="str">
        <f aca="false">IF(V322="Revenue","Revenue",IF(V322="Cost of Goods Sold","COGS",IF(V322="Expenditures","Expense",IF(V322="Other Revenue","Other Revenue",IF(V322="Other Expenditures","Other Expense",W321)))))</f>
        <v/>
      </c>
      <c r="X322" s="36" t="str">
        <f aca="false">IF(OR(V322="Revenue",V322="Cost of Goods Sold",V322="Expenditures",V322="Other Revenue",V322="Other Expenditures"),W322,IF(AND(LEN(V322)&gt;2,MID(V322,2,1)=" ",ISNUMBER(VALUE(LEFT(V322,1)))),V322,X321))</f>
        <v/>
      </c>
      <c r="Y322" s="36" t="n">
        <f aca="false">IF(AND(V322&lt;&gt;"",ISNUMBER(T322),LEFT(V322,9)&lt;&gt;"Total for",V322&lt;&gt;"Gross Profit",V322&lt;&gt;"Net Operating Revenue",V322&lt;&gt;"Net Other Revenue",V322&lt;&gt;"Net Revenue"),1,0)</f>
        <v>0</v>
      </c>
      <c r="Z322" s="36" t="str">
        <f aca="false">IF(Y322=1,IF(AND(LEN(V322)&gt;7,ISNUMBER(VALUE(LEFT(V322,6))),MID(V322,7,1)=" "),LEFT(V322,6),V322),"")</f>
        <v/>
      </c>
      <c r="AE322" s="36" t="str">
        <f aca="false">TRIM(AB322)</f>
        <v/>
      </c>
      <c r="AF322" s="36" t="str">
        <f aca="false">IF(AE322="Revenue","Revenue",IF(AE322="Cost of Goods Sold","COGS",IF(AE322="Expenditures","Expense",IF(AE322="Other Revenue","Other Revenue",IF(AE322="Other Expenditures","Other Expense",AF321)))))</f>
        <v/>
      </c>
      <c r="AG322" s="36" t="str">
        <f aca="false">IF(OR(AE322="Revenue",AE322="Cost of Goods Sold",AE322="Expenditures",AE322="Other Revenue",AE322="Other Expenditures"),AF322,IF(AND(LEN(AE322)&gt;2,MID(AE322,2,1)=" ",ISNUMBER(VALUE(LEFT(AE322,1)))),AE322,AG321))</f>
        <v/>
      </c>
      <c r="AH322" s="36" t="n">
        <f aca="false">IF(AND(AE322&lt;&gt;"",ISNUMBER(AC322),LEFT(AE322,9)&lt;&gt;"Total for",AE322&lt;&gt;"Gross Profit",AE322&lt;&gt;"Net Operating Revenue",AE322&lt;&gt;"Net Other Revenue",AE322&lt;&gt;"Net Revenue"),1,0)</f>
        <v>0</v>
      </c>
      <c r="AI322" s="36" t="str">
        <f aca="false">IF(AH322=1,IF(AND(LEN(AE322)&gt;7,ISNUMBER(VALUE(LEFT(AE322,6))),MID(AE322,7,1)=" "),LEFT(AE322,6),AE322),"")</f>
        <v/>
      </c>
      <c r="AN322" s="36" t="str">
        <f aca="false">TRIM(AK322)</f>
        <v/>
      </c>
      <c r="AO322" s="36" t="str">
        <f aca="false">IF(AN322="Revenue","Revenue",IF(AN322="Cost of Goods Sold","COGS",IF(AN322="Expenditures","Expense",IF(AN322="Other Revenue","Other Revenue",IF(AN322="Other Expenditures","Other Expense",AO321)))))</f>
        <v/>
      </c>
      <c r="AP322" s="36" t="str">
        <f aca="false">IF(OR(AN322="Revenue",AN322="Cost of Goods Sold",AN322="Expenditures",AN322="Other Revenue",AN322="Other Expenditures"),AO322,IF(AND(LEN(AN322)&gt;2,MID(AN322,2,1)=" ",ISNUMBER(VALUE(LEFT(AN322,1)))),AN322,AP321))</f>
        <v/>
      </c>
      <c r="AQ322" s="36" t="n">
        <f aca="false">IF(AND(AN322&lt;&gt;"",ISNUMBER(AL322),LEFT(AN322,9)&lt;&gt;"Total for",AN322&lt;&gt;"Gross Profit",AN322&lt;&gt;"Net Operating Revenue",AN322&lt;&gt;"Net Other Revenue",AN322&lt;&gt;"Net Revenue"),1,0)</f>
        <v>0</v>
      </c>
      <c r="AR322" s="36" t="str">
        <f aca="false">IF(AQ322=1,IF(AND(LEN(AN322)&gt;7,ISNUMBER(VALUE(LEFT(AN322,6))),MID(AN322,7,1)=" "),LEFT(AN322,6),AN322),"")</f>
        <v/>
      </c>
    </row>
    <row r="323" customFormat="false" ht="15" hidden="false" customHeight="false" outlineLevel="0" collapsed="false">
      <c r="D323" s="36" t="str">
        <f aca="false">TRIM(A323)</f>
        <v/>
      </c>
      <c r="E323" s="36" t="str">
        <f aca="false">IF(D323="Revenue","Revenue",IF(D323="Cost of Goods Sold","COGS",IF(D323="Expenditures","Expense",IF(D323="Other Revenue","Other Revenue",IF(D323="Other Expenditures","Other Expense",E322)))))</f>
        <v/>
      </c>
      <c r="F323" s="36" t="str">
        <f aca="false">IF(OR(D323="Revenue",D323="Cost of Goods Sold",D323="Expenditures",D323="Other Revenue",D323="Other Expenditures"),E323,IF(AND(LEN(D323)&gt;2,MID(D323,2,1)=" ",ISNUMBER(VALUE(LEFT(D323,1)))),D323,F322))</f>
        <v/>
      </c>
      <c r="G323" s="36" t="n">
        <f aca="false">IF(AND(D323&lt;&gt;"",ISNUMBER(B323),LEFT(D323,9)&lt;&gt;"Total for",D323&lt;&gt;"Gross Profit",D323&lt;&gt;"Net Operating Revenue",D323&lt;&gt;"Net Other Revenue",D323&lt;&gt;"Net Revenue"),1,0)</f>
        <v>0</v>
      </c>
      <c r="H323" s="36" t="str">
        <f aca="false">IF(G323=1,IF(AND(LEN(D323)&gt;7,ISNUMBER(VALUE(LEFT(D323,6))),MID(D323,7,1)=" "),LEFT(D323,6),D323),"")</f>
        <v/>
      </c>
      <c r="M323" s="36" t="str">
        <f aca="false">TRIM(J323)</f>
        <v/>
      </c>
      <c r="N323" s="36" t="str">
        <f aca="false">IF(M323="Revenue","Revenue",IF(M323="Cost of Goods Sold","COGS",IF(M323="Expenditures","Expense",IF(M323="Other Revenue","Other Revenue",IF(M323="Other Expenditures","Other Expense",N322)))))</f>
        <v/>
      </c>
      <c r="O323" s="36" t="str">
        <f aca="false">IF(OR(M323="Revenue",M323="Cost of Goods Sold",M323="Expenditures",M323="Other Revenue",M323="Other Expenditures"),N323,IF(AND(LEN(M323)&gt;2,MID(M323,2,1)=" ",ISNUMBER(VALUE(LEFT(M323,1)))),M323,O322))</f>
        <v/>
      </c>
      <c r="P323" s="36" t="n">
        <f aca="false">IF(AND(M323&lt;&gt;"",ISNUMBER(K323),LEFT(M323,9)&lt;&gt;"Total for",M323&lt;&gt;"Gross Profit",M323&lt;&gt;"Net Operating Revenue",M323&lt;&gt;"Net Other Revenue",M323&lt;&gt;"Net Revenue"),1,0)</f>
        <v>0</v>
      </c>
      <c r="Q323" s="36" t="str">
        <f aca="false">IF(P323=1,IF(AND(LEN(M323)&gt;7,ISNUMBER(VALUE(LEFT(M323,6))),MID(M323,7,1)=" "),LEFT(M323,6),M323),"")</f>
        <v/>
      </c>
      <c r="V323" s="36" t="str">
        <f aca="false">TRIM(S323)</f>
        <v/>
      </c>
      <c r="W323" s="36" t="str">
        <f aca="false">IF(V323="Revenue","Revenue",IF(V323="Cost of Goods Sold","COGS",IF(V323="Expenditures","Expense",IF(V323="Other Revenue","Other Revenue",IF(V323="Other Expenditures","Other Expense",W322)))))</f>
        <v/>
      </c>
      <c r="X323" s="36" t="str">
        <f aca="false">IF(OR(V323="Revenue",V323="Cost of Goods Sold",V323="Expenditures",V323="Other Revenue",V323="Other Expenditures"),W323,IF(AND(LEN(V323)&gt;2,MID(V323,2,1)=" ",ISNUMBER(VALUE(LEFT(V323,1)))),V323,X322))</f>
        <v/>
      </c>
      <c r="Y323" s="36" t="n">
        <f aca="false">IF(AND(V323&lt;&gt;"",ISNUMBER(T323),LEFT(V323,9)&lt;&gt;"Total for",V323&lt;&gt;"Gross Profit",V323&lt;&gt;"Net Operating Revenue",V323&lt;&gt;"Net Other Revenue",V323&lt;&gt;"Net Revenue"),1,0)</f>
        <v>0</v>
      </c>
      <c r="Z323" s="36" t="str">
        <f aca="false">IF(Y323=1,IF(AND(LEN(V323)&gt;7,ISNUMBER(VALUE(LEFT(V323,6))),MID(V323,7,1)=" "),LEFT(V323,6),V323),"")</f>
        <v/>
      </c>
      <c r="AE323" s="36" t="str">
        <f aca="false">TRIM(AB323)</f>
        <v/>
      </c>
      <c r="AF323" s="36" t="str">
        <f aca="false">IF(AE323="Revenue","Revenue",IF(AE323="Cost of Goods Sold","COGS",IF(AE323="Expenditures","Expense",IF(AE323="Other Revenue","Other Revenue",IF(AE323="Other Expenditures","Other Expense",AF322)))))</f>
        <v/>
      </c>
      <c r="AG323" s="36" t="str">
        <f aca="false">IF(OR(AE323="Revenue",AE323="Cost of Goods Sold",AE323="Expenditures",AE323="Other Revenue",AE323="Other Expenditures"),AF323,IF(AND(LEN(AE323)&gt;2,MID(AE323,2,1)=" ",ISNUMBER(VALUE(LEFT(AE323,1)))),AE323,AG322))</f>
        <v/>
      </c>
      <c r="AH323" s="36" t="n">
        <f aca="false">IF(AND(AE323&lt;&gt;"",ISNUMBER(AC323),LEFT(AE323,9)&lt;&gt;"Total for",AE323&lt;&gt;"Gross Profit",AE323&lt;&gt;"Net Operating Revenue",AE323&lt;&gt;"Net Other Revenue",AE323&lt;&gt;"Net Revenue"),1,0)</f>
        <v>0</v>
      </c>
      <c r="AI323" s="36" t="str">
        <f aca="false">IF(AH323=1,IF(AND(LEN(AE323)&gt;7,ISNUMBER(VALUE(LEFT(AE323,6))),MID(AE323,7,1)=" "),LEFT(AE323,6),AE323),"")</f>
        <v/>
      </c>
      <c r="AN323" s="36" t="str">
        <f aca="false">TRIM(AK323)</f>
        <v/>
      </c>
      <c r="AO323" s="36" t="str">
        <f aca="false">IF(AN323="Revenue","Revenue",IF(AN323="Cost of Goods Sold","COGS",IF(AN323="Expenditures","Expense",IF(AN323="Other Revenue","Other Revenue",IF(AN323="Other Expenditures","Other Expense",AO322)))))</f>
        <v/>
      </c>
      <c r="AP323" s="36" t="str">
        <f aca="false">IF(OR(AN323="Revenue",AN323="Cost of Goods Sold",AN323="Expenditures",AN323="Other Revenue",AN323="Other Expenditures"),AO323,IF(AND(LEN(AN323)&gt;2,MID(AN323,2,1)=" ",ISNUMBER(VALUE(LEFT(AN323,1)))),AN323,AP322))</f>
        <v/>
      </c>
      <c r="AQ323" s="36" t="n">
        <f aca="false">IF(AND(AN323&lt;&gt;"",ISNUMBER(AL323),LEFT(AN323,9)&lt;&gt;"Total for",AN323&lt;&gt;"Gross Profit",AN323&lt;&gt;"Net Operating Revenue",AN323&lt;&gt;"Net Other Revenue",AN323&lt;&gt;"Net Revenue"),1,0)</f>
        <v>0</v>
      </c>
      <c r="AR323" s="36" t="str">
        <f aca="false">IF(AQ323=1,IF(AND(LEN(AN323)&gt;7,ISNUMBER(VALUE(LEFT(AN323,6))),MID(AN323,7,1)=" "),LEFT(AN323,6),AN323),"")</f>
        <v/>
      </c>
    </row>
    <row r="324" customFormat="false" ht="15" hidden="false" customHeight="false" outlineLevel="0" collapsed="false">
      <c r="D324" s="36" t="str">
        <f aca="false">TRIM(A324)</f>
        <v/>
      </c>
      <c r="E324" s="36" t="str">
        <f aca="false">IF(D324="Revenue","Revenue",IF(D324="Cost of Goods Sold","COGS",IF(D324="Expenditures","Expense",IF(D324="Other Revenue","Other Revenue",IF(D324="Other Expenditures","Other Expense",E323)))))</f>
        <v/>
      </c>
      <c r="F324" s="36" t="str">
        <f aca="false">IF(OR(D324="Revenue",D324="Cost of Goods Sold",D324="Expenditures",D324="Other Revenue",D324="Other Expenditures"),E324,IF(AND(LEN(D324)&gt;2,MID(D324,2,1)=" ",ISNUMBER(VALUE(LEFT(D324,1)))),D324,F323))</f>
        <v/>
      </c>
      <c r="G324" s="36" t="n">
        <f aca="false">IF(AND(D324&lt;&gt;"",ISNUMBER(B324),LEFT(D324,9)&lt;&gt;"Total for",D324&lt;&gt;"Gross Profit",D324&lt;&gt;"Net Operating Revenue",D324&lt;&gt;"Net Other Revenue",D324&lt;&gt;"Net Revenue"),1,0)</f>
        <v>0</v>
      </c>
      <c r="H324" s="36" t="str">
        <f aca="false">IF(G324=1,IF(AND(LEN(D324)&gt;7,ISNUMBER(VALUE(LEFT(D324,6))),MID(D324,7,1)=" "),LEFT(D324,6),D324),"")</f>
        <v/>
      </c>
      <c r="M324" s="36" t="str">
        <f aca="false">TRIM(J324)</f>
        <v/>
      </c>
      <c r="N324" s="36" t="str">
        <f aca="false">IF(M324="Revenue","Revenue",IF(M324="Cost of Goods Sold","COGS",IF(M324="Expenditures","Expense",IF(M324="Other Revenue","Other Revenue",IF(M324="Other Expenditures","Other Expense",N323)))))</f>
        <v/>
      </c>
      <c r="O324" s="36" t="str">
        <f aca="false">IF(OR(M324="Revenue",M324="Cost of Goods Sold",M324="Expenditures",M324="Other Revenue",M324="Other Expenditures"),N324,IF(AND(LEN(M324)&gt;2,MID(M324,2,1)=" ",ISNUMBER(VALUE(LEFT(M324,1)))),M324,O323))</f>
        <v/>
      </c>
      <c r="P324" s="36" t="n">
        <f aca="false">IF(AND(M324&lt;&gt;"",ISNUMBER(K324),LEFT(M324,9)&lt;&gt;"Total for",M324&lt;&gt;"Gross Profit",M324&lt;&gt;"Net Operating Revenue",M324&lt;&gt;"Net Other Revenue",M324&lt;&gt;"Net Revenue"),1,0)</f>
        <v>0</v>
      </c>
      <c r="Q324" s="36" t="str">
        <f aca="false">IF(P324=1,IF(AND(LEN(M324)&gt;7,ISNUMBER(VALUE(LEFT(M324,6))),MID(M324,7,1)=" "),LEFT(M324,6),M324),"")</f>
        <v/>
      </c>
      <c r="V324" s="36" t="str">
        <f aca="false">TRIM(S324)</f>
        <v/>
      </c>
      <c r="W324" s="36" t="str">
        <f aca="false">IF(V324="Revenue","Revenue",IF(V324="Cost of Goods Sold","COGS",IF(V324="Expenditures","Expense",IF(V324="Other Revenue","Other Revenue",IF(V324="Other Expenditures","Other Expense",W323)))))</f>
        <v/>
      </c>
      <c r="X324" s="36" t="str">
        <f aca="false">IF(OR(V324="Revenue",V324="Cost of Goods Sold",V324="Expenditures",V324="Other Revenue",V324="Other Expenditures"),W324,IF(AND(LEN(V324)&gt;2,MID(V324,2,1)=" ",ISNUMBER(VALUE(LEFT(V324,1)))),V324,X323))</f>
        <v/>
      </c>
      <c r="Y324" s="36" t="n">
        <f aca="false">IF(AND(V324&lt;&gt;"",ISNUMBER(T324),LEFT(V324,9)&lt;&gt;"Total for",V324&lt;&gt;"Gross Profit",V324&lt;&gt;"Net Operating Revenue",V324&lt;&gt;"Net Other Revenue",V324&lt;&gt;"Net Revenue"),1,0)</f>
        <v>0</v>
      </c>
      <c r="Z324" s="36" t="str">
        <f aca="false">IF(Y324=1,IF(AND(LEN(V324)&gt;7,ISNUMBER(VALUE(LEFT(V324,6))),MID(V324,7,1)=" "),LEFT(V324,6),V324),"")</f>
        <v/>
      </c>
      <c r="AE324" s="36" t="str">
        <f aca="false">TRIM(AB324)</f>
        <v/>
      </c>
      <c r="AF324" s="36" t="str">
        <f aca="false">IF(AE324="Revenue","Revenue",IF(AE324="Cost of Goods Sold","COGS",IF(AE324="Expenditures","Expense",IF(AE324="Other Revenue","Other Revenue",IF(AE324="Other Expenditures","Other Expense",AF323)))))</f>
        <v/>
      </c>
      <c r="AG324" s="36" t="str">
        <f aca="false">IF(OR(AE324="Revenue",AE324="Cost of Goods Sold",AE324="Expenditures",AE324="Other Revenue",AE324="Other Expenditures"),AF324,IF(AND(LEN(AE324)&gt;2,MID(AE324,2,1)=" ",ISNUMBER(VALUE(LEFT(AE324,1)))),AE324,AG323))</f>
        <v/>
      </c>
      <c r="AH324" s="36" t="n">
        <f aca="false">IF(AND(AE324&lt;&gt;"",ISNUMBER(AC324),LEFT(AE324,9)&lt;&gt;"Total for",AE324&lt;&gt;"Gross Profit",AE324&lt;&gt;"Net Operating Revenue",AE324&lt;&gt;"Net Other Revenue",AE324&lt;&gt;"Net Revenue"),1,0)</f>
        <v>0</v>
      </c>
      <c r="AI324" s="36" t="str">
        <f aca="false">IF(AH324=1,IF(AND(LEN(AE324)&gt;7,ISNUMBER(VALUE(LEFT(AE324,6))),MID(AE324,7,1)=" "),LEFT(AE324,6),AE324),"")</f>
        <v/>
      </c>
      <c r="AN324" s="36" t="str">
        <f aca="false">TRIM(AK324)</f>
        <v/>
      </c>
      <c r="AO324" s="36" t="str">
        <f aca="false">IF(AN324="Revenue","Revenue",IF(AN324="Cost of Goods Sold","COGS",IF(AN324="Expenditures","Expense",IF(AN324="Other Revenue","Other Revenue",IF(AN324="Other Expenditures","Other Expense",AO323)))))</f>
        <v/>
      </c>
      <c r="AP324" s="36" t="str">
        <f aca="false">IF(OR(AN324="Revenue",AN324="Cost of Goods Sold",AN324="Expenditures",AN324="Other Revenue",AN324="Other Expenditures"),AO324,IF(AND(LEN(AN324)&gt;2,MID(AN324,2,1)=" ",ISNUMBER(VALUE(LEFT(AN324,1)))),AN324,AP323))</f>
        <v/>
      </c>
      <c r="AQ324" s="36" t="n">
        <f aca="false">IF(AND(AN324&lt;&gt;"",ISNUMBER(AL324),LEFT(AN324,9)&lt;&gt;"Total for",AN324&lt;&gt;"Gross Profit",AN324&lt;&gt;"Net Operating Revenue",AN324&lt;&gt;"Net Other Revenue",AN324&lt;&gt;"Net Revenue"),1,0)</f>
        <v>0</v>
      </c>
      <c r="AR324" s="36" t="str">
        <f aca="false">IF(AQ324=1,IF(AND(LEN(AN324)&gt;7,ISNUMBER(VALUE(LEFT(AN324,6))),MID(AN324,7,1)=" "),LEFT(AN324,6),AN324),"")</f>
        <v/>
      </c>
    </row>
    <row r="325" customFormat="false" ht="15" hidden="false" customHeight="false" outlineLevel="0" collapsed="false">
      <c r="D325" s="36" t="str">
        <f aca="false">TRIM(A325)</f>
        <v/>
      </c>
      <c r="E325" s="36" t="str">
        <f aca="false">IF(D325="Revenue","Revenue",IF(D325="Cost of Goods Sold","COGS",IF(D325="Expenditures","Expense",IF(D325="Other Revenue","Other Revenue",IF(D325="Other Expenditures","Other Expense",E324)))))</f>
        <v/>
      </c>
      <c r="F325" s="36" t="str">
        <f aca="false">IF(OR(D325="Revenue",D325="Cost of Goods Sold",D325="Expenditures",D325="Other Revenue",D325="Other Expenditures"),E325,IF(AND(LEN(D325)&gt;2,MID(D325,2,1)=" ",ISNUMBER(VALUE(LEFT(D325,1)))),D325,F324))</f>
        <v/>
      </c>
      <c r="G325" s="36" t="n">
        <f aca="false">IF(AND(D325&lt;&gt;"",ISNUMBER(B325),LEFT(D325,9)&lt;&gt;"Total for",D325&lt;&gt;"Gross Profit",D325&lt;&gt;"Net Operating Revenue",D325&lt;&gt;"Net Other Revenue",D325&lt;&gt;"Net Revenue"),1,0)</f>
        <v>0</v>
      </c>
      <c r="H325" s="36" t="str">
        <f aca="false">IF(G325=1,IF(AND(LEN(D325)&gt;7,ISNUMBER(VALUE(LEFT(D325,6))),MID(D325,7,1)=" "),LEFT(D325,6),D325),"")</f>
        <v/>
      </c>
      <c r="M325" s="36" t="str">
        <f aca="false">TRIM(J325)</f>
        <v/>
      </c>
      <c r="N325" s="36" t="str">
        <f aca="false">IF(M325="Revenue","Revenue",IF(M325="Cost of Goods Sold","COGS",IF(M325="Expenditures","Expense",IF(M325="Other Revenue","Other Revenue",IF(M325="Other Expenditures","Other Expense",N324)))))</f>
        <v/>
      </c>
      <c r="O325" s="36" t="str">
        <f aca="false">IF(OR(M325="Revenue",M325="Cost of Goods Sold",M325="Expenditures",M325="Other Revenue",M325="Other Expenditures"),N325,IF(AND(LEN(M325)&gt;2,MID(M325,2,1)=" ",ISNUMBER(VALUE(LEFT(M325,1)))),M325,O324))</f>
        <v/>
      </c>
      <c r="P325" s="36" t="n">
        <f aca="false">IF(AND(M325&lt;&gt;"",ISNUMBER(K325),LEFT(M325,9)&lt;&gt;"Total for",M325&lt;&gt;"Gross Profit",M325&lt;&gt;"Net Operating Revenue",M325&lt;&gt;"Net Other Revenue",M325&lt;&gt;"Net Revenue"),1,0)</f>
        <v>0</v>
      </c>
      <c r="Q325" s="36" t="str">
        <f aca="false">IF(P325=1,IF(AND(LEN(M325)&gt;7,ISNUMBER(VALUE(LEFT(M325,6))),MID(M325,7,1)=" "),LEFT(M325,6),M325),"")</f>
        <v/>
      </c>
      <c r="V325" s="36" t="str">
        <f aca="false">TRIM(S325)</f>
        <v/>
      </c>
      <c r="W325" s="36" t="str">
        <f aca="false">IF(V325="Revenue","Revenue",IF(V325="Cost of Goods Sold","COGS",IF(V325="Expenditures","Expense",IF(V325="Other Revenue","Other Revenue",IF(V325="Other Expenditures","Other Expense",W324)))))</f>
        <v/>
      </c>
      <c r="X325" s="36" t="str">
        <f aca="false">IF(OR(V325="Revenue",V325="Cost of Goods Sold",V325="Expenditures",V325="Other Revenue",V325="Other Expenditures"),W325,IF(AND(LEN(V325)&gt;2,MID(V325,2,1)=" ",ISNUMBER(VALUE(LEFT(V325,1)))),V325,X324))</f>
        <v/>
      </c>
      <c r="Y325" s="36" t="n">
        <f aca="false">IF(AND(V325&lt;&gt;"",ISNUMBER(T325),LEFT(V325,9)&lt;&gt;"Total for",V325&lt;&gt;"Gross Profit",V325&lt;&gt;"Net Operating Revenue",V325&lt;&gt;"Net Other Revenue",V325&lt;&gt;"Net Revenue"),1,0)</f>
        <v>0</v>
      </c>
      <c r="Z325" s="36" t="str">
        <f aca="false">IF(Y325=1,IF(AND(LEN(V325)&gt;7,ISNUMBER(VALUE(LEFT(V325,6))),MID(V325,7,1)=" "),LEFT(V325,6),V325),"")</f>
        <v/>
      </c>
      <c r="AE325" s="36" t="str">
        <f aca="false">TRIM(AB325)</f>
        <v/>
      </c>
      <c r="AF325" s="36" t="str">
        <f aca="false">IF(AE325="Revenue","Revenue",IF(AE325="Cost of Goods Sold","COGS",IF(AE325="Expenditures","Expense",IF(AE325="Other Revenue","Other Revenue",IF(AE325="Other Expenditures","Other Expense",AF324)))))</f>
        <v/>
      </c>
      <c r="AG325" s="36" t="str">
        <f aca="false">IF(OR(AE325="Revenue",AE325="Cost of Goods Sold",AE325="Expenditures",AE325="Other Revenue",AE325="Other Expenditures"),AF325,IF(AND(LEN(AE325)&gt;2,MID(AE325,2,1)=" ",ISNUMBER(VALUE(LEFT(AE325,1)))),AE325,AG324))</f>
        <v/>
      </c>
      <c r="AH325" s="36" t="n">
        <f aca="false">IF(AND(AE325&lt;&gt;"",ISNUMBER(AC325),LEFT(AE325,9)&lt;&gt;"Total for",AE325&lt;&gt;"Gross Profit",AE325&lt;&gt;"Net Operating Revenue",AE325&lt;&gt;"Net Other Revenue",AE325&lt;&gt;"Net Revenue"),1,0)</f>
        <v>0</v>
      </c>
      <c r="AI325" s="36" t="str">
        <f aca="false">IF(AH325=1,IF(AND(LEN(AE325)&gt;7,ISNUMBER(VALUE(LEFT(AE325,6))),MID(AE325,7,1)=" "),LEFT(AE325,6),AE325),"")</f>
        <v/>
      </c>
      <c r="AN325" s="36" t="str">
        <f aca="false">TRIM(AK325)</f>
        <v/>
      </c>
      <c r="AO325" s="36" t="str">
        <f aca="false">IF(AN325="Revenue","Revenue",IF(AN325="Cost of Goods Sold","COGS",IF(AN325="Expenditures","Expense",IF(AN325="Other Revenue","Other Revenue",IF(AN325="Other Expenditures","Other Expense",AO324)))))</f>
        <v/>
      </c>
      <c r="AP325" s="36" t="str">
        <f aca="false">IF(OR(AN325="Revenue",AN325="Cost of Goods Sold",AN325="Expenditures",AN325="Other Revenue",AN325="Other Expenditures"),AO325,IF(AND(LEN(AN325)&gt;2,MID(AN325,2,1)=" ",ISNUMBER(VALUE(LEFT(AN325,1)))),AN325,AP324))</f>
        <v/>
      </c>
      <c r="AQ325" s="36" t="n">
        <f aca="false">IF(AND(AN325&lt;&gt;"",ISNUMBER(AL325),LEFT(AN325,9)&lt;&gt;"Total for",AN325&lt;&gt;"Gross Profit",AN325&lt;&gt;"Net Operating Revenue",AN325&lt;&gt;"Net Other Revenue",AN325&lt;&gt;"Net Revenue"),1,0)</f>
        <v>0</v>
      </c>
      <c r="AR325" s="36" t="str">
        <f aca="false">IF(AQ325=1,IF(AND(LEN(AN325)&gt;7,ISNUMBER(VALUE(LEFT(AN325,6))),MID(AN325,7,1)=" "),LEFT(AN325,6),AN325),"")</f>
        <v/>
      </c>
    </row>
    <row r="326" customFormat="false" ht="15" hidden="false" customHeight="false" outlineLevel="0" collapsed="false">
      <c r="D326" s="36" t="str">
        <f aca="false">TRIM(A326)</f>
        <v/>
      </c>
      <c r="E326" s="36" t="str">
        <f aca="false">IF(D326="Revenue","Revenue",IF(D326="Cost of Goods Sold","COGS",IF(D326="Expenditures","Expense",IF(D326="Other Revenue","Other Revenue",IF(D326="Other Expenditures","Other Expense",E325)))))</f>
        <v/>
      </c>
      <c r="F326" s="36" t="str">
        <f aca="false">IF(OR(D326="Revenue",D326="Cost of Goods Sold",D326="Expenditures",D326="Other Revenue",D326="Other Expenditures"),E326,IF(AND(LEN(D326)&gt;2,MID(D326,2,1)=" ",ISNUMBER(VALUE(LEFT(D326,1)))),D326,F325))</f>
        <v/>
      </c>
      <c r="G326" s="36" t="n">
        <f aca="false">IF(AND(D326&lt;&gt;"",ISNUMBER(B326),LEFT(D326,9)&lt;&gt;"Total for",D326&lt;&gt;"Gross Profit",D326&lt;&gt;"Net Operating Revenue",D326&lt;&gt;"Net Other Revenue",D326&lt;&gt;"Net Revenue"),1,0)</f>
        <v>0</v>
      </c>
      <c r="H326" s="36" t="str">
        <f aca="false">IF(G326=1,IF(AND(LEN(D326)&gt;7,ISNUMBER(VALUE(LEFT(D326,6))),MID(D326,7,1)=" "),LEFT(D326,6),D326),"")</f>
        <v/>
      </c>
      <c r="M326" s="36" t="str">
        <f aca="false">TRIM(J326)</f>
        <v/>
      </c>
      <c r="N326" s="36" t="str">
        <f aca="false">IF(M326="Revenue","Revenue",IF(M326="Cost of Goods Sold","COGS",IF(M326="Expenditures","Expense",IF(M326="Other Revenue","Other Revenue",IF(M326="Other Expenditures","Other Expense",N325)))))</f>
        <v/>
      </c>
      <c r="O326" s="36" t="str">
        <f aca="false">IF(OR(M326="Revenue",M326="Cost of Goods Sold",M326="Expenditures",M326="Other Revenue",M326="Other Expenditures"),N326,IF(AND(LEN(M326)&gt;2,MID(M326,2,1)=" ",ISNUMBER(VALUE(LEFT(M326,1)))),M326,O325))</f>
        <v/>
      </c>
      <c r="P326" s="36" t="n">
        <f aca="false">IF(AND(M326&lt;&gt;"",ISNUMBER(K326),LEFT(M326,9)&lt;&gt;"Total for",M326&lt;&gt;"Gross Profit",M326&lt;&gt;"Net Operating Revenue",M326&lt;&gt;"Net Other Revenue",M326&lt;&gt;"Net Revenue"),1,0)</f>
        <v>0</v>
      </c>
      <c r="Q326" s="36" t="str">
        <f aca="false">IF(P326=1,IF(AND(LEN(M326)&gt;7,ISNUMBER(VALUE(LEFT(M326,6))),MID(M326,7,1)=" "),LEFT(M326,6),M326),"")</f>
        <v/>
      </c>
      <c r="V326" s="36" t="str">
        <f aca="false">TRIM(S326)</f>
        <v/>
      </c>
      <c r="W326" s="36" t="str">
        <f aca="false">IF(V326="Revenue","Revenue",IF(V326="Cost of Goods Sold","COGS",IF(V326="Expenditures","Expense",IF(V326="Other Revenue","Other Revenue",IF(V326="Other Expenditures","Other Expense",W325)))))</f>
        <v/>
      </c>
      <c r="X326" s="36" t="str">
        <f aca="false">IF(OR(V326="Revenue",V326="Cost of Goods Sold",V326="Expenditures",V326="Other Revenue",V326="Other Expenditures"),W326,IF(AND(LEN(V326)&gt;2,MID(V326,2,1)=" ",ISNUMBER(VALUE(LEFT(V326,1)))),V326,X325))</f>
        <v/>
      </c>
      <c r="Y326" s="36" t="n">
        <f aca="false">IF(AND(V326&lt;&gt;"",ISNUMBER(T326),LEFT(V326,9)&lt;&gt;"Total for",V326&lt;&gt;"Gross Profit",V326&lt;&gt;"Net Operating Revenue",V326&lt;&gt;"Net Other Revenue",V326&lt;&gt;"Net Revenue"),1,0)</f>
        <v>0</v>
      </c>
      <c r="Z326" s="36" t="str">
        <f aca="false">IF(Y326=1,IF(AND(LEN(V326)&gt;7,ISNUMBER(VALUE(LEFT(V326,6))),MID(V326,7,1)=" "),LEFT(V326,6),V326),"")</f>
        <v/>
      </c>
      <c r="AE326" s="36" t="str">
        <f aca="false">TRIM(AB326)</f>
        <v/>
      </c>
      <c r="AF326" s="36" t="str">
        <f aca="false">IF(AE326="Revenue","Revenue",IF(AE326="Cost of Goods Sold","COGS",IF(AE326="Expenditures","Expense",IF(AE326="Other Revenue","Other Revenue",IF(AE326="Other Expenditures","Other Expense",AF325)))))</f>
        <v/>
      </c>
      <c r="AG326" s="36" t="str">
        <f aca="false">IF(OR(AE326="Revenue",AE326="Cost of Goods Sold",AE326="Expenditures",AE326="Other Revenue",AE326="Other Expenditures"),AF326,IF(AND(LEN(AE326)&gt;2,MID(AE326,2,1)=" ",ISNUMBER(VALUE(LEFT(AE326,1)))),AE326,AG325))</f>
        <v/>
      </c>
      <c r="AH326" s="36" t="n">
        <f aca="false">IF(AND(AE326&lt;&gt;"",ISNUMBER(AC326),LEFT(AE326,9)&lt;&gt;"Total for",AE326&lt;&gt;"Gross Profit",AE326&lt;&gt;"Net Operating Revenue",AE326&lt;&gt;"Net Other Revenue",AE326&lt;&gt;"Net Revenue"),1,0)</f>
        <v>0</v>
      </c>
      <c r="AI326" s="36" t="str">
        <f aca="false">IF(AH326=1,IF(AND(LEN(AE326)&gt;7,ISNUMBER(VALUE(LEFT(AE326,6))),MID(AE326,7,1)=" "),LEFT(AE326,6),AE326),"")</f>
        <v/>
      </c>
      <c r="AN326" s="36" t="str">
        <f aca="false">TRIM(AK326)</f>
        <v/>
      </c>
      <c r="AO326" s="36" t="str">
        <f aca="false">IF(AN326="Revenue","Revenue",IF(AN326="Cost of Goods Sold","COGS",IF(AN326="Expenditures","Expense",IF(AN326="Other Revenue","Other Revenue",IF(AN326="Other Expenditures","Other Expense",AO325)))))</f>
        <v/>
      </c>
      <c r="AP326" s="36" t="str">
        <f aca="false">IF(OR(AN326="Revenue",AN326="Cost of Goods Sold",AN326="Expenditures",AN326="Other Revenue",AN326="Other Expenditures"),AO326,IF(AND(LEN(AN326)&gt;2,MID(AN326,2,1)=" ",ISNUMBER(VALUE(LEFT(AN326,1)))),AN326,AP325))</f>
        <v/>
      </c>
      <c r="AQ326" s="36" t="n">
        <f aca="false">IF(AND(AN326&lt;&gt;"",ISNUMBER(AL326),LEFT(AN326,9)&lt;&gt;"Total for",AN326&lt;&gt;"Gross Profit",AN326&lt;&gt;"Net Operating Revenue",AN326&lt;&gt;"Net Other Revenue",AN326&lt;&gt;"Net Revenue"),1,0)</f>
        <v>0</v>
      </c>
      <c r="AR326" s="36" t="str">
        <f aca="false">IF(AQ326=1,IF(AND(LEN(AN326)&gt;7,ISNUMBER(VALUE(LEFT(AN326,6))),MID(AN326,7,1)=" "),LEFT(AN326,6),AN326),"")</f>
        <v/>
      </c>
    </row>
    <row r="327" customFormat="false" ht="15" hidden="false" customHeight="false" outlineLevel="0" collapsed="false">
      <c r="D327" s="36" t="str">
        <f aca="false">TRIM(A327)</f>
        <v/>
      </c>
      <c r="E327" s="36" t="str">
        <f aca="false">IF(D327="Revenue","Revenue",IF(D327="Cost of Goods Sold","COGS",IF(D327="Expenditures","Expense",IF(D327="Other Revenue","Other Revenue",IF(D327="Other Expenditures","Other Expense",E326)))))</f>
        <v/>
      </c>
      <c r="F327" s="36" t="str">
        <f aca="false">IF(OR(D327="Revenue",D327="Cost of Goods Sold",D327="Expenditures",D327="Other Revenue",D327="Other Expenditures"),E327,IF(AND(LEN(D327)&gt;2,MID(D327,2,1)=" ",ISNUMBER(VALUE(LEFT(D327,1)))),D327,F326))</f>
        <v/>
      </c>
      <c r="G327" s="36" t="n">
        <f aca="false">IF(AND(D327&lt;&gt;"",ISNUMBER(B327),LEFT(D327,9)&lt;&gt;"Total for",D327&lt;&gt;"Gross Profit",D327&lt;&gt;"Net Operating Revenue",D327&lt;&gt;"Net Other Revenue",D327&lt;&gt;"Net Revenue"),1,0)</f>
        <v>0</v>
      </c>
      <c r="H327" s="36" t="str">
        <f aca="false">IF(G327=1,IF(AND(LEN(D327)&gt;7,ISNUMBER(VALUE(LEFT(D327,6))),MID(D327,7,1)=" "),LEFT(D327,6),D327),"")</f>
        <v/>
      </c>
      <c r="M327" s="36" t="str">
        <f aca="false">TRIM(J327)</f>
        <v/>
      </c>
      <c r="N327" s="36" t="str">
        <f aca="false">IF(M327="Revenue","Revenue",IF(M327="Cost of Goods Sold","COGS",IF(M327="Expenditures","Expense",IF(M327="Other Revenue","Other Revenue",IF(M327="Other Expenditures","Other Expense",N326)))))</f>
        <v/>
      </c>
      <c r="O327" s="36" t="str">
        <f aca="false">IF(OR(M327="Revenue",M327="Cost of Goods Sold",M327="Expenditures",M327="Other Revenue",M327="Other Expenditures"),N327,IF(AND(LEN(M327)&gt;2,MID(M327,2,1)=" ",ISNUMBER(VALUE(LEFT(M327,1)))),M327,O326))</f>
        <v/>
      </c>
      <c r="P327" s="36" t="n">
        <f aca="false">IF(AND(M327&lt;&gt;"",ISNUMBER(K327),LEFT(M327,9)&lt;&gt;"Total for",M327&lt;&gt;"Gross Profit",M327&lt;&gt;"Net Operating Revenue",M327&lt;&gt;"Net Other Revenue",M327&lt;&gt;"Net Revenue"),1,0)</f>
        <v>0</v>
      </c>
      <c r="Q327" s="36" t="str">
        <f aca="false">IF(P327=1,IF(AND(LEN(M327)&gt;7,ISNUMBER(VALUE(LEFT(M327,6))),MID(M327,7,1)=" "),LEFT(M327,6),M327),"")</f>
        <v/>
      </c>
      <c r="V327" s="36" t="str">
        <f aca="false">TRIM(S327)</f>
        <v/>
      </c>
      <c r="W327" s="36" t="str">
        <f aca="false">IF(V327="Revenue","Revenue",IF(V327="Cost of Goods Sold","COGS",IF(V327="Expenditures","Expense",IF(V327="Other Revenue","Other Revenue",IF(V327="Other Expenditures","Other Expense",W326)))))</f>
        <v/>
      </c>
      <c r="X327" s="36" t="str">
        <f aca="false">IF(OR(V327="Revenue",V327="Cost of Goods Sold",V327="Expenditures",V327="Other Revenue",V327="Other Expenditures"),W327,IF(AND(LEN(V327)&gt;2,MID(V327,2,1)=" ",ISNUMBER(VALUE(LEFT(V327,1)))),V327,X326))</f>
        <v/>
      </c>
      <c r="Y327" s="36" t="n">
        <f aca="false">IF(AND(V327&lt;&gt;"",ISNUMBER(T327),LEFT(V327,9)&lt;&gt;"Total for",V327&lt;&gt;"Gross Profit",V327&lt;&gt;"Net Operating Revenue",V327&lt;&gt;"Net Other Revenue",V327&lt;&gt;"Net Revenue"),1,0)</f>
        <v>0</v>
      </c>
      <c r="Z327" s="36" t="str">
        <f aca="false">IF(Y327=1,IF(AND(LEN(V327)&gt;7,ISNUMBER(VALUE(LEFT(V327,6))),MID(V327,7,1)=" "),LEFT(V327,6),V327),"")</f>
        <v/>
      </c>
      <c r="AE327" s="36" t="str">
        <f aca="false">TRIM(AB327)</f>
        <v/>
      </c>
      <c r="AF327" s="36" t="str">
        <f aca="false">IF(AE327="Revenue","Revenue",IF(AE327="Cost of Goods Sold","COGS",IF(AE327="Expenditures","Expense",IF(AE327="Other Revenue","Other Revenue",IF(AE327="Other Expenditures","Other Expense",AF326)))))</f>
        <v/>
      </c>
      <c r="AG327" s="36" t="str">
        <f aca="false">IF(OR(AE327="Revenue",AE327="Cost of Goods Sold",AE327="Expenditures",AE327="Other Revenue",AE327="Other Expenditures"),AF327,IF(AND(LEN(AE327)&gt;2,MID(AE327,2,1)=" ",ISNUMBER(VALUE(LEFT(AE327,1)))),AE327,AG326))</f>
        <v/>
      </c>
      <c r="AH327" s="36" t="n">
        <f aca="false">IF(AND(AE327&lt;&gt;"",ISNUMBER(AC327),LEFT(AE327,9)&lt;&gt;"Total for",AE327&lt;&gt;"Gross Profit",AE327&lt;&gt;"Net Operating Revenue",AE327&lt;&gt;"Net Other Revenue",AE327&lt;&gt;"Net Revenue"),1,0)</f>
        <v>0</v>
      </c>
      <c r="AI327" s="36" t="str">
        <f aca="false">IF(AH327=1,IF(AND(LEN(AE327)&gt;7,ISNUMBER(VALUE(LEFT(AE327,6))),MID(AE327,7,1)=" "),LEFT(AE327,6),AE327),"")</f>
        <v/>
      </c>
      <c r="AN327" s="36" t="str">
        <f aca="false">TRIM(AK327)</f>
        <v/>
      </c>
      <c r="AO327" s="36" t="str">
        <f aca="false">IF(AN327="Revenue","Revenue",IF(AN327="Cost of Goods Sold","COGS",IF(AN327="Expenditures","Expense",IF(AN327="Other Revenue","Other Revenue",IF(AN327="Other Expenditures","Other Expense",AO326)))))</f>
        <v/>
      </c>
      <c r="AP327" s="36" t="str">
        <f aca="false">IF(OR(AN327="Revenue",AN327="Cost of Goods Sold",AN327="Expenditures",AN327="Other Revenue",AN327="Other Expenditures"),AO327,IF(AND(LEN(AN327)&gt;2,MID(AN327,2,1)=" ",ISNUMBER(VALUE(LEFT(AN327,1)))),AN327,AP326))</f>
        <v/>
      </c>
      <c r="AQ327" s="36" t="n">
        <f aca="false">IF(AND(AN327&lt;&gt;"",ISNUMBER(AL327),LEFT(AN327,9)&lt;&gt;"Total for",AN327&lt;&gt;"Gross Profit",AN327&lt;&gt;"Net Operating Revenue",AN327&lt;&gt;"Net Other Revenue",AN327&lt;&gt;"Net Revenue"),1,0)</f>
        <v>0</v>
      </c>
      <c r="AR327" s="36" t="str">
        <f aca="false">IF(AQ327=1,IF(AND(LEN(AN327)&gt;7,ISNUMBER(VALUE(LEFT(AN327,6))),MID(AN327,7,1)=" "),LEFT(AN327,6),AN327),"")</f>
        <v/>
      </c>
    </row>
    <row r="328" customFormat="false" ht="15" hidden="false" customHeight="false" outlineLevel="0" collapsed="false">
      <c r="D328" s="36" t="str">
        <f aca="false">TRIM(A328)</f>
        <v/>
      </c>
      <c r="E328" s="36" t="str">
        <f aca="false">IF(D328="Revenue","Revenue",IF(D328="Cost of Goods Sold","COGS",IF(D328="Expenditures","Expense",IF(D328="Other Revenue","Other Revenue",IF(D328="Other Expenditures","Other Expense",E327)))))</f>
        <v/>
      </c>
      <c r="F328" s="36" t="str">
        <f aca="false">IF(OR(D328="Revenue",D328="Cost of Goods Sold",D328="Expenditures",D328="Other Revenue",D328="Other Expenditures"),E328,IF(AND(LEN(D328)&gt;2,MID(D328,2,1)=" ",ISNUMBER(VALUE(LEFT(D328,1)))),D328,F327))</f>
        <v/>
      </c>
      <c r="G328" s="36" t="n">
        <f aca="false">IF(AND(D328&lt;&gt;"",ISNUMBER(B328),LEFT(D328,9)&lt;&gt;"Total for",D328&lt;&gt;"Gross Profit",D328&lt;&gt;"Net Operating Revenue",D328&lt;&gt;"Net Other Revenue",D328&lt;&gt;"Net Revenue"),1,0)</f>
        <v>0</v>
      </c>
      <c r="H328" s="36" t="str">
        <f aca="false">IF(G328=1,IF(AND(LEN(D328)&gt;7,ISNUMBER(VALUE(LEFT(D328,6))),MID(D328,7,1)=" "),LEFT(D328,6),D328),"")</f>
        <v/>
      </c>
      <c r="M328" s="36" t="str">
        <f aca="false">TRIM(J328)</f>
        <v/>
      </c>
      <c r="N328" s="36" t="str">
        <f aca="false">IF(M328="Revenue","Revenue",IF(M328="Cost of Goods Sold","COGS",IF(M328="Expenditures","Expense",IF(M328="Other Revenue","Other Revenue",IF(M328="Other Expenditures","Other Expense",N327)))))</f>
        <v/>
      </c>
      <c r="O328" s="36" t="str">
        <f aca="false">IF(OR(M328="Revenue",M328="Cost of Goods Sold",M328="Expenditures",M328="Other Revenue",M328="Other Expenditures"),N328,IF(AND(LEN(M328)&gt;2,MID(M328,2,1)=" ",ISNUMBER(VALUE(LEFT(M328,1)))),M328,O327))</f>
        <v/>
      </c>
      <c r="P328" s="36" t="n">
        <f aca="false">IF(AND(M328&lt;&gt;"",ISNUMBER(K328),LEFT(M328,9)&lt;&gt;"Total for",M328&lt;&gt;"Gross Profit",M328&lt;&gt;"Net Operating Revenue",M328&lt;&gt;"Net Other Revenue",M328&lt;&gt;"Net Revenue"),1,0)</f>
        <v>0</v>
      </c>
      <c r="Q328" s="36" t="str">
        <f aca="false">IF(P328=1,IF(AND(LEN(M328)&gt;7,ISNUMBER(VALUE(LEFT(M328,6))),MID(M328,7,1)=" "),LEFT(M328,6),M328),"")</f>
        <v/>
      </c>
      <c r="V328" s="36" t="str">
        <f aca="false">TRIM(S328)</f>
        <v/>
      </c>
      <c r="W328" s="36" t="str">
        <f aca="false">IF(V328="Revenue","Revenue",IF(V328="Cost of Goods Sold","COGS",IF(V328="Expenditures","Expense",IF(V328="Other Revenue","Other Revenue",IF(V328="Other Expenditures","Other Expense",W327)))))</f>
        <v/>
      </c>
      <c r="X328" s="36" t="str">
        <f aca="false">IF(OR(V328="Revenue",V328="Cost of Goods Sold",V328="Expenditures",V328="Other Revenue",V328="Other Expenditures"),W328,IF(AND(LEN(V328)&gt;2,MID(V328,2,1)=" ",ISNUMBER(VALUE(LEFT(V328,1)))),V328,X327))</f>
        <v/>
      </c>
      <c r="Y328" s="36" t="n">
        <f aca="false">IF(AND(V328&lt;&gt;"",ISNUMBER(T328),LEFT(V328,9)&lt;&gt;"Total for",V328&lt;&gt;"Gross Profit",V328&lt;&gt;"Net Operating Revenue",V328&lt;&gt;"Net Other Revenue",V328&lt;&gt;"Net Revenue"),1,0)</f>
        <v>0</v>
      </c>
      <c r="Z328" s="36" t="str">
        <f aca="false">IF(Y328=1,IF(AND(LEN(V328)&gt;7,ISNUMBER(VALUE(LEFT(V328,6))),MID(V328,7,1)=" "),LEFT(V328,6),V328),"")</f>
        <v/>
      </c>
      <c r="AE328" s="36" t="str">
        <f aca="false">TRIM(AB328)</f>
        <v/>
      </c>
      <c r="AF328" s="36" t="str">
        <f aca="false">IF(AE328="Revenue","Revenue",IF(AE328="Cost of Goods Sold","COGS",IF(AE328="Expenditures","Expense",IF(AE328="Other Revenue","Other Revenue",IF(AE328="Other Expenditures","Other Expense",AF327)))))</f>
        <v/>
      </c>
      <c r="AG328" s="36" t="str">
        <f aca="false">IF(OR(AE328="Revenue",AE328="Cost of Goods Sold",AE328="Expenditures",AE328="Other Revenue",AE328="Other Expenditures"),AF328,IF(AND(LEN(AE328)&gt;2,MID(AE328,2,1)=" ",ISNUMBER(VALUE(LEFT(AE328,1)))),AE328,AG327))</f>
        <v/>
      </c>
      <c r="AH328" s="36" t="n">
        <f aca="false">IF(AND(AE328&lt;&gt;"",ISNUMBER(AC328),LEFT(AE328,9)&lt;&gt;"Total for",AE328&lt;&gt;"Gross Profit",AE328&lt;&gt;"Net Operating Revenue",AE328&lt;&gt;"Net Other Revenue",AE328&lt;&gt;"Net Revenue"),1,0)</f>
        <v>0</v>
      </c>
      <c r="AI328" s="36" t="str">
        <f aca="false">IF(AH328=1,IF(AND(LEN(AE328)&gt;7,ISNUMBER(VALUE(LEFT(AE328,6))),MID(AE328,7,1)=" "),LEFT(AE328,6),AE328),"")</f>
        <v/>
      </c>
      <c r="AN328" s="36" t="str">
        <f aca="false">TRIM(AK328)</f>
        <v/>
      </c>
      <c r="AO328" s="36" t="str">
        <f aca="false">IF(AN328="Revenue","Revenue",IF(AN328="Cost of Goods Sold","COGS",IF(AN328="Expenditures","Expense",IF(AN328="Other Revenue","Other Revenue",IF(AN328="Other Expenditures","Other Expense",AO327)))))</f>
        <v/>
      </c>
      <c r="AP328" s="36" t="str">
        <f aca="false">IF(OR(AN328="Revenue",AN328="Cost of Goods Sold",AN328="Expenditures",AN328="Other Revenue",AN328="Other Expenditures"),AO328,IF(AND(LEN(AN328)&gt;2,MID(AN328,2,1)=" ",ISNUMBER(VALUE(LEFT(AN328,1)))),AN328,AP327))</f>
        <v/>
      </c>
      <c r="AQ328" s="36" t="n">
        <f aca="false">IF(AND(AN328&lt;&gt;"",ISNUMBER(AL328),LEFT(AN328,9)&lt;&gt;"Total for",AN328&lt;&gt;"Gross Profit",AN328&lt;&gt;"Net Operating Revenue",AN328&lt;&gt;"Net Other Revenue",AN328&lt;&gt;"Net Revenue"),1,0)</f>
        <v>0</v>
      </c>
      <c r="AR328" s="36" t="str">
        <f aca="false">IF(AQ328=1,IF(AND(LEN(AN328)&gt;7,ISNUMBER(VALUE(LEFT(AN328,6))),MID(AN328,7,1)=" "),LEFT(AN328,6),AN328),"")</f>
        <v/>
      </c>
    </row>
    <row r="329" customFormat="false" ht="15" hidden="false" customHeight="false" outlineLevel="0" collapsed="false">
      <c r="D329" s="36" t="str">
        <f aca="false">TRIM(A329)</f>
        <v/>
      </c>
      <c r="E329" s="36" t="str">
        <f aca="false">IF(D329="Revenue","Revenue",IF(D329="Cost of Goods Sold","COGS",IF(D329="Expenditures","Expense",IF(D329="Other Revenue","Other Revenue",IF(D329="Other Expenditures","Other Expense",E328)))))</f>
        <v/>
      </c>
      <c r="F329" s="36" t="str">
        <f aca="false">IF(OR(D329="Revenue",D329="Cost of Goods Sold",D329="Expenditures",D329="Other Revenue",D329="Other Expenditures"),E329,IF(AND(LEN(D329)&gt;2,MID(D329,2,1)=" ",ISNUMBER(VALUE(LEFT(D329,1)))),D329,F328))</f>
        <v/>
      </c>
      <c r="G329" s="36" t="n">
        <f aca="false">IF(AND(D329&lt;&gt;"",ISNUMBER(B329),LEFT(D329,9)&lt;&gt;"Total for",D329&lt;&gt;"Gross Profit",D329&lt;&gt;"Net Operating Revenue",D329&lt;&gt;"Net Other Revenue",D329&lt;&gt;"Net Revenue"),1,0)</f>
        <v>0</v>
      </c>
      <c r="H329" s="36" t="str">
        <f aca="false">IF(G329=1,IF(AND(LEN(D329)&gt;7,ISNUMBER(VALUE(LEFT(D329,6))),MID(D329,7,1)=" "),LEFT(D329,6),D329),"")</f>
        <v/>
      </c>
      <c r="M329" s="36" t="str">
        <f aca="false">TRIM(J329)</f>
        <v/>
      </c>
      <c r="N329" s="36" t="str">
        <f aca="false">IF(M329="Revenue","Revenue",IF(M329="Cost of Goods Sold","COGS",IF(M329="Expenditures","Expense",IF(M329="Other Revenue","Other Revenue",IF(M329="Other Expenditures","Other Expense",N328)))))</f>
        <v/>
      </c>
      <c r="O329" s="36" t="str">
        <f aca="false">IF(OR(M329="Revenue",M329="Cost of Goods Sold",M329="Expenditures",M329="Other Revenue",M329="Other Expenditures"),N329,IF(AND(LEN(M329)&gt;2,MID(M329,2,1)=" ",ISNUMBER(VALUE(LEFT(M329,1)))),M329,O328))</f>
        <v/>
      </c>
      <c r="P329" s="36" t="n">
        <f aca="false">IF(AND(M329&lt;&gt;"",ISNUMBER(K329),LEFT(M329,9)&lt;&gt;"Total for",M329&lt;&gt;"Gross Profit",M329&lt;&gt;"Net Operating Revenue",M329&lt;&gt;"Net Other Revenue",M329&lt;&gt;"Net Revenue"),1,0)</f>
        <v>0</v>
      </c>
      <c r="Q329" s="36" t="str">
        <f aca="false">IF(P329=1,IF(AND(LEN(M329)&gt;7,ISNUMBER(VALUE(LEFT(M329,6))),MID(M329,7,1)=" "),LEFT(M329,6),M329),"")</f>
        <v/>
      </c>
      <c r="V329" s="36" t="str">
        <f aca="false">TRIM(S329)</f>
        <v/>
      </c>
      <c r="W329" s="36" t="str">
        <f aca="false">IF(V329="Revenue","Revenue",IF(V329="Cost of Goods Sold","COGS",IF(V329="Expenditures","Expense",IF(V329="Other Revenue","Other Revenue",IF(V329="Other Expenditures","Other Expense",W328)))))</f>
        <v/>
      </c>
      <c r="X329" s="36" t="str">
        <f aca="false">IF(OR(V329="Revenue",V329="Cost of Goods Sold",V329="Expenditures",V329="Other Revenue",V329="Other Expenditures"),W329,IF(AND(LEN(V329)&gt;2,MID(V329,2,1)=" ",ISNUMBER(VALUE(LEFT(V329,1)))),V329,X328))</f>
        <v/>
      </c>
      <c r="Y329" s="36" t="n">
        <f aca="false">IF(AND(V329&lt;&gt;"",ISNUMBER(T329),LEFT(V329,9)&lt;&gt;"Total for",V329&lt;&gt;"Gross Profit",V329&lt;&gt;"Net Operating Revenue",V329&lt;&gt;"Net Other Revenue",V329&lt;&gt;"Net Revenue"),1,0)</f>
        <v>0</v>
      </c>
      <c r="Z329" s="36" t="str">
        <f aca="false">IF(Y329=1,IF(AND(LEN(V329)&gt;7,ISNUMBER(VALUE(LEFT(V329,6))),MID(V329,7,1)=" "),LEFT(V329,6),V329),"")</f>
        <v/>
      </c>
      <c r="AE329" s="36" t="str">
        <f aca="false">TRIM(AB329)</f>
        <v/>
      </c>
      <c r="AF329" s="36" t="str">
        <f aca="false">IF(AE329="Revenue","Revenue",IF(AE329="Cost of Goods Sold","COGS",IF(AE329="Expenditures","Expense",IF(AE329="Other Revenue","Other Revenue",IF(AE329="Other Expenditures","Other Expense",AF328)))))</f>
        <v/>
      </c>
      <c r="AG329" s="36" t="str">
        <f aca="false">IF(OR(AE329="Revenue",AE329="Cost of Goods Sold",AE329="Expenditures",AE329="Other Revenue",AE329="Other Expenditures"),AF329,IF(AND(LEN(AE329)&gt;2,MID(AE329,2,1)=" ",ISNUMBER(VALUE(LEFT(AE329,1)))),AE329,AG328))</f>
        <v/>
      </c>
      <c r="AH329" s="36" t="n">
        <f aca="false">IF(AND(AE329&lt;&gt;"",ISNUMBER(AC329),LEFT(AE329,9)&lt;&gt;"Total for",AE329&lt;&gt;"Gross Profit",AE329&lt;&gt;"Net Operating Revenue",AE329&lt;&gt;"Net Other Revenue",AE329&lt;&gt;"Net Revenue"),1,0)</f>
        <v>0</v>
      </c>
      <c r="AI329" s="36" t="str">
        <f aca="false">IF(AH329=1,IF(AND(LEN(AE329)&gt;7,ISNUMBER(VALUE(LEFT(AE329,6))),MID(AE329,7,1)=" "),LEFT(AE329,6),AE329),"")</f>
        <v/>
      </c>
      <c r="AN329" s="36" t="str">
        <f aca="false">TRIM(AK329)</f>
        <v/>
      </c>
      <c r="AO329" s="36" t="str">
        <f aca="false">IF(AN329="Revenue","Revenue",IF(AN329="Cost of Goods Sold","COGS",IF(AN329="Expenditures","Expense",IF(AN329="Other Revenue","Other Revenue",IF(AN329="Other Expenditures","Other Expense",AO328)))))</f>
        <v/>
      </c>
      <c r="AP329" s="36" t="str">
        <f aca="false">IF(OR(AN329="Revenue",AN329="Cost of Goods Sold",AN329="Expenditures",AN329="Other Revenue",AN329="Other Expenditures"),AO329,IF(AND(LEN(AN329)&gt;2,MID(AN329,2,1)=" ",ISNUMBER(VALUE(LEFT(AN329,1)))),AN329,AP328))</f>
        <v/>
      </c>
      <c r="AQ329" s="36" t="n">
        <f aca="false">IF(AND(AN329&lt;&gt;"",ISNUMBER(AL329),LEFT(AN329,9)&lt;&gt;"Total for",AN329&lt;&gt;"Gross Profit",AN329&lt;&gt;"Net Operating Revenue",AN329&lt;&gt;"Net Other Revenue",AN329&lt;&gt;"Net Revenue"),1,0)</f>
        <v>0</v>
      </c>
      <c r="AR329" s="36" t="str">
        <f aca="false">IF(AQ329=1,IF(AND(LEN(AN329)&gt;7,ISNUMBER(VALUE(LEFT(AN329,6))),MID(AN329,7,1)=" "),LEFT(AN329,6),AN329),"")</f>
        <v/>
      </c>
    </row>
    <row r="330" customFormat="false" ht="15" hidden="false" customHeight="false" outlineLevel="0" collapsed="false">
      <c r="D330" s="36" t="str">
        <f aca="false">TRIM(A330)</f>
        <v/>
      </c>
      <c r="E330" s="36" t="str">
        <f aca="false">IF(D330="Revenue","Revenue",IF(D330="Cost of Goods Sold","COGS",IF(D330="Expenditures","Expense",IF(D330="Other Revenue","Other Revenue",IF(D330="Other Expenditures","Other Expense",E329)))))</f>
        <v/>
      </c>
      <c r="F330" s="36" t="str">
        <f aca="false">IF(OR(D330="Revenue",D330="Cost of Goods Sold",D330="Expenditures",D330="Other Revenue",D330="Other Expenditures"),E330,IF(AND(LEN(D330)&gt;2,MID(D330,2,1)=" ",ISNUMBER(VALUE(LEFT(D330,1)))),D330,F329))</f>
        <v/>
      </c>
      <c r="G330" s="36" t="n">
        <f aca="false">IF(AND(D330&lt;&gt;"",ISNUMBER(B330),LEFT(D330,9)&lt;&gt;"Total for",D330&lt;&gt;"Gross Profit",D330&lt;&gt;"Net Operating Revenue",D330&lt;&gt;"Net Other Revenue",D330&lt;&gt;"Net Revenue"),1,0)</f>
        <v>0</v>
      </c>
      <c r="H330" s="36" t="str">
        <f aca="false">IF(G330=1,IF(AND(LEN(D330)&gt;7,ISNUMBER(VALUE(LEFT(D330,6))),MID(D330,7,1)=" "),LEFT(D330,6),D330),"")</f>
        <v/>
      </c>
      <c r="M330" s="36" t="str">
        <f aca="false">TRIM(J330)</f>
        <v/>
      </c>
      <c r="N330" s="36" t="str">
        <f aca="false">IF(M330="Revenue","Revenue",IF(M330="Cost of Goods Sold","COGS",IF(M330="Expenditures","Expense",IF(M330="Other Revenue","Other Revenue",IF(M330="Other Expenditures","Other Expense",N329)))))</f>
        <v/>
      </c>
      <c r="O330" s="36" t="str">
        <f aca="false">IF(OR(M330="Revenue",M330="Cost of Goods Sold",M330="Expenditures",M330="Other Revenue",M330="Other Expenditures"),N330,IF(AND(LEN(M330)&gt;2,MID(M330,2,1)=" ",ISNUMBER(VALUE(LEFT(M330,1)))),M330,O329))</f>
        <v/>
      </c>
      <c r="P330" s="36" t="n">
        <f aca="false">IF(AND(M330&lt;&gt;"",ISNUMBER(K330),LEFT(M330,9)&lt;&gt;"Total for",M330&lt;&gt;"Gross Profit",M330&lt;&gt;"Net Operating Revenue",M330&lt;&gt;"Net Other Revenue",M330&lt;&gt;"Net Revenue"),1,0)</f>
        <v>0</v>
      </c>
      <c r="Q330" s="36" t="str">
        <f aca="false">IF(P330=1,IF(AND(LEN(M330)&gt;7,ISNUMBER(VALUE(LEFT(M330,6))),MID(M330,7,1)=" "),LEFT(M330,6),M330),"")</f>
        <v/>
      </c>
      <c r="V330" s="36" t="str">
        <f aca="false">TRIM(S330)</f>
        <v/>
      </c>
      <c r="W330" s="36" t="str">
        <f aca="false">IF(V330="Revenue","Revenue",IF(V330="Cost of Goods Sold","COGS",IF(V330="Expenditures","Expense",IF(V330="Other Revenue","Other Revenue",IF(V330="Other Expenditures","Other Expense",W329)))))</f>
        <v/>
      </c>
      <c r="X330" s="36" t="str">
        <f aca="false">IF(OR(V330="Revenue",V330="Cost of Goods Sold",V330="Expenditures",V330="Other Revenue",V330="Other Expenditures"),W330,IF(AND(LEN(V330)&gt;2,MID(V330,2,1)=" ",ISNUMBER(VALUE(LEFT(V330,1)))),V330,X329))</f>
        <v/>
      </c>
      <c r="Y330" s="36" t="n">
        <f aca="false">IF(AND(V330&lt;&gt;"",ISNUMBER(T330),LEFT(V330,9)&lt;&gt;"Total for",V330&lt;&gt;"Gross Profit",V330&lt;&gt;"Net Operating Revenue",V330&lt;&gt;"Net Other Revenue",V330&lt;&gt;"Net Revenue"),1,0)</f>
        <v>0</v>
      </c>
      <c r="Z330" s="36" t="str">
        <f aca="false">IF(Y330=1,IF(AND(LEN(V330)&gt;7,ISNUMBER(VALUE(LEFT(V330,6))),MID(V330,7,1)=" "),LEFT(V330,6),V330),"")</f>
        <v/>
      </c>
      <c r="AE330" s="36" t="str">
        <f aca="false">TRIM(AB330)</f>
        <v/>
      </c>
      <c r="AF330" s="36" t="str">
        <f aca="false">IF(AE330="Revenue","Revenue",IF(AE330="Cost of Goods Sold","COGS",IF(AE330="Expenditures","Expense",IF(AE330="Other Revenue","Other Revenue",IF(AE330="Other Expenditures","Other Expense",AF329)))))</f>
        <v/>
      </c>
      <c r="AG330" s="36" t="str">
        <f aca="false">IF(OR(AE330="Revenue",AE330="Cost of Goods Sold",AE330="Expenditures",AE330="Other Revenue",AE330="Other Expenditures"),AF330,IF(AND(LEN(AE330)&gt;2,MID(AE330,2,1)=" ",ISNUMBER(VALUE(LEFT(AE330,1)))),AE330,AG329))</f>
        <v/>
      </c>
      <c r="AH330" s="36" t="n">
        <f aca="false">IF(AND(AE330&lt;&gt;"",ISNUMBER(AC330),LEFT(AE330,9)&lt;&gt;"Total for",AE330&lt;&gt;"Gross Profit",AE330&lt;&gt;"Net Operating Revenue",AE330&lt;&gt;"Net Other Revenue",AE330&lt;&gt;"Net Revenue"),1,0)</f>
        <v>0</v>
      </c>
      <c r="AI330" s="36" t="str">
        <f aca="false">IF(AH330=1,IF(AND(LEN(AE330)&gt;7,ISNUMBER(VALUE(LEFT(AE330,6))),MID(AE330,7,1)=" "),LEFT(AE330,6),AE330),"")</f>
        <v/>
      </c>
      <c r="AN330" s="36" t="str">
        <f aca="false">TRIM(AK330)</f>
        <v/>
      </c>
      <c r="AO330" s="36" t="str">
        <f aca="false">IF(AN330="Revenue","Revenue",IF(AN330="Cost of Goods Sold","COGS",IF(AN330="Expenditures","Expense",IF(AN330="Other Revenue","Other Revenue",IF(AN330="Other Expenditures","Other Expense",AO329)))))</f>
        <v/>
      </c>
      <c r="AP330" s="36" t="str">
        <f aca="false">IF(OR(AN330="Revenue",AN330="Cost of Goods Sold",AN330="Expenditures",AN330="Other Revenue",AN330="Other Expenditures"),AO330,IF(AND(LEN(AN330)&gt;2,MID(AN330,2,1)=" ",ISNUMBER(VALUE(LEFT(AN330,1)))),AN330,AP329))</f>
        <v/>
      </c>
      <c r="AQ330" s="36" t="n">
        <f aca="false">IF(AND(AN330&lt;&gt;"",ISNUMBER(AL330),LEFT(AN330,9)&lt;&gt;"Total for",AN330&lt;&gt;"Gross Profit",AN330&lt;&gt;"Net Operating Revenue",AN330&lt;&gt;"Net Other Revenue",AN330&lt;&gt;"Net Revenue"),1,0)</f>
        <v>0</v>
      </c>
      <c r="AR330" s="36" t="str">
        <f aca="false">IF(AQ330=1,IF(AND(LEN(AN330)&gt;7,ISNUMBER(VALUE(LEFT(AN330,6))),MID(AN330,7,1)=" "),LEFT(AN330,6),AN330),"")</f>
        <v/>
      </c>
    </row>
    <row r="331" customFormat="false" ht="15" hidden="false" customHeight="false" outlineLevel="0" collapsed="false">
      <c r="D331" s="36" t="str">
        <f aca="false">TRIM(A331)</f>
        <v/>
      </c>
      <c r="E331" s="36" t="str">
        <f aca="false">IF(D331="Revenue","Revenue",IF(D331="Cost of Goods Sold","COGS",IF(D331="Expenditures","Expense",IF(D331="Other Revenue","Other Revenue",IF(D331="Other Expenditures","Other Expense",E330)))))</f>
        <v/>
      </c>
      <c r="F331" s="36" t="str">
        <f aca="false">IF(OR(D331="Revenue",D331="Cost of Goods Sold",D331="Expenditures",D331="Other Revenue",D331="Other Expenditures"),E331,IF(AND(LEN(D331)&gt;2,MID(D331,2,1)=" ",ISNUMBER(VALUE(LEFT(D331,1)))),D331,F330))</f>
        <v/>
      </c>
      <c r="G331" s="36" t="n">
        <f aca="false">IF(AND(D331&lt;&gt;"",ISNUMBER(B331),LEFT(D331,9)&lt;&gt;"Total for",D331&lt;&gt;"Gross Profit",D331&lt;&gt;"Net Operating Revenue",D331&lt;&gt;"Net Other Revenue",D331&lt;&gt;"Net Revenue"),1,0)</f>
        <v>0</v>
      </c>
      <c r="H331" s="36" t="str">
        <f aca="false">IF(G331=1,IF(AND(LEN(D331)&gt;7,ISNUMBER(VALUE(LEFT(D331,6))),MID(D331,7,1)=" "),LEFT(D331,6),D331),"")</f>
        <v/>
      </c>
      <c r="M331" s="36" t="str">
        <f aca="false">TRIM(J331)</f>
        <v/>
      </c>
      <c r="N331" s="36" t="str">
        <f aca="false">IF(M331="Revenue","Revenue",IF(M331="Cost of Goods Sold","COGS",IF(M331="Expenditures","Expense",IF(M331="Other Revenue","Other Revenue",IF(M331="Other Expenditures","Other Expense",N330)))))</f>
        <v/>
      </c>
      <c r="O331" s="36" t="str">
        <f aca="false">IF(OR(M331="Revenue",M331="Cost of Goods Sold",M331="Expenditures",M331="Other Revenue",M331="Other Expenditures"),N331,IF(AND(LEN(M331)&gt;2,MID(M331,2,1)=" ",ISNUMBER(VALUE(LEFT(M331,1)))),M331,O330))</f>
        <v/>
      </c>
      <c r="P331" s="36" t="n">
        <f aca="false">IF(AND(M331&lt;&gt;"",ISNUMBER(K331),LEFT(M331,9)&lt;&gt;"Total for",M331&lt;&gt;"Gross Profit",M331&lt;&gt;"Net Operating Revenue",M331&lt;&gt;"Net Other Revenue",M331&lt;&gt;"Net Revenue"),1,0)</f>
        <v>0</v>
      </c>
      <c r="Q331" s="36" t="str">
        <f aca="false">IF(P331=1,IF(AND(LEN(M331)&gt;7,ISNUMBER(VALUE(LEFT(M331,6))),MID(M331,7,1)=" "),LEFT(M331,6),M331),"")</f>
        <v/>
      </c>
      <c r="V331" s="36" t="str">
        <f aca="false">TRIM(S331)</f>
        <v/>
      </c>
      <c r="W331" s="36" t="str">
        <f aca="false">IF(V331="Revenue","Revenue",IF(V331="Cost of Goods Sold","COGS",IF(V331="Expenditures","Expense",IF(V331="Other Revenue","Other Revenue",IF(V331="Other Expenditures","Other Expense",W330)))))</f>
        <v/>
      </c>
      <c r="X331" s="36" t="str">
        <f aca="false">IF(OR(V331="Revenue",V331="Cost of Goods Sold",V331="Expenditures",V331="Other Revenue",V331="Other Expenditures"),W331,IF(AND(LEN(V331)&gt;2,MID(V331,2,1)=" ",ISNUMBER(VALUE(LEFT(V331,1)))),V331,X330))</f>
        <v/>
      </c>
      <c r="Y331" s="36" t="n">
        <f aca="false">IF(AND(V331&lt;&gt;"",ISNUMBER(T331),LEFT(V331,9)&lt;&gt;"Total for",V331&lt;&gt;"Gross Profit",V331&lt;&gt;"Net Operating Revenue",V331&lt;&gt;"Net Other Revenue",V331&lt;&gt;"Net Revenue"),1,0)</f>
        <v>0</v>
      </c>
      <c r="Z331" s="36" t="str">
        <f aca="false">IF(Y331=1,IF(AND(LEN(V331)&gt;7,ISNUMBER(VALUE(LEFT(V331,6))),MID(V331,7,1)=" "),LEFT(V331,6),V331),"")</f>
        <v/>
      </c>
      <c r="AE331" s="36" t="str">
        <f aca="false">TRIM(AB331)</f>
        <v/>
      </c>
      <c r="AF331" s="36" t="str">
        <f aca="false">IF(AE331="Revenue","Revenue",IF(AE331="Cost of Goods Sold","COGS",IF(AE331="Expenditures","Expense",IF(AE331="Other Revenue","Other Revenue",IF(AE331="Other Expenditures","Other Expense",AF330)))))</f>
        <v/>
      </c>
      <c r="AG331" s="36" t="str">
        <f aca="false">IF(OR(AE331="Revenue",AE331="Cost of Goods Sold",AE331="Expenditures",AE331="Other Revenue",AE331="Other Expenditures"),AF331,IF(AND(LEN(AE331)&gt;2,MID(AE331,2,1)=" ",ISNUMBER(VALUE(LEFT(AE331,1)))),AE331,AG330))</f>
        <v/>
      </c>
      <c r="AH331" s="36" t="n">
        <f aca="false">IF(AND(AE331&lt;&gt;"",ISNUMBER(AC331),LEFT(AE331,9)&lt;&gt;"Total for",AE331&lt;&gt;"Gross Profit",AE331&lt;&gt;"Net Operating Revenue",AE331&lt;&gt;"Net Other Revenue",AE331&lt;&gt;"Net Revenue"),1,0)</f>
        <v>0</v>
      </c>
      <c r="AI331" s="36" t="str">
        <f aca="false">IF(AH331=1,IF(AND(LEN(AE331)&gt;7,ISNUMBER(VALUE(LEFT(AE331,6))),MID(AE331,7,1)=" "),LEFT(AE331,6),AE331),"")</f>
        <v/>
      </c>
      <c r="AN331" s="36" t="str">
        <f aca="false">TRIM(AK331)</f>
        <v/>
      </c>
      <c r="AO331" s="36" t="str">
        <f aca="false">IF(AN331="Revenue","Revenue",IF(AN331="Cost of Goods Sold","COGS",IF(AN331="Expenditures","Expense",IF(AN331="Other Revenue","Other Revenue",IF(AN331="Other Expenditures","Other Expense",AO330)))))</f>
        <v/>
      </c>
      <c r="AP331" s="36" t="str">
        <f aca="false">IF(OR(AN331="Revenue",AN331="Cost of Goods Sold",AN331="Expenditures",AN331="Other Revenue",AN331="Other Expenditures"),AO331,IF(AND(LEN(AN331)&gt;2,MID(AN331,2,1)=" ",ISNUMBER(VALUE(LEFT(AN331,1)))),AN331,AP330))</f>
        <v/>
      </c>
      <c r="AQ331" s="36" t="n">
        <f aca="false">IF(AND(AN331&lt;&gt;"",ISNUMBER(AL331),LEFT(AN331,9)&lt;&gt;"Total for",AN331&lt;&gt;"Gross Profit",AN331&lt;&gt;"Net Operating Revenue",AN331&lt;&gt;"Net Other Revenue",AN331&lt;&gt;"Net Revenue"),1,0)</f>
        <v>0</v>
      </c>
      <c r="AR331" s="36" t="str">
        <f aca="false">IF(AQ331=1,IF(AND(LEN(AN331)&gt;7,ISNUMBER(VALUE(LEFT(AN331,6))),MID(AN331,7,1)=" "),LEFT(AN331,6),AN331),"")</f>
        <v/>
      </c>
    </row>
    <row r="332" customFormat="false" ht="15" hidden="false" customHeight="false" outlineLevel="0" collapsed="false">
      <c r="D332" s="36" t="str">
        <f aca="false">TRIM(A332)</f>
        <v/>
      </c>
      <c r="E332" s="36" t="str">
        <f aca="false">IF(D332="Revenue","Revenue",IF(D332="Cost of Goods Sold","COGS",IF(D332="Expenditures","Expense",IF(D332="Other Revenue","Other Revenue",IF(D332="Other Expenditures","Other Expense",E331)))))</f>
        <v/>
      </c>
      <c r="F332" s="36" t="str">
        <f aca="false">IF(OR(D332="Revenue",D332="Cost of Goods Sold",D332="Expenditures",D332="Other Revenue",D332="Other Expenditures"),E332,IF(AND(LEN(D332)&gt;2,MID(D332,2,1)=" ",ISNUMBER(VALUE(LEFT(D332,1)))),D332,F331))</f>
        <v/>
      </c>
      <c r="G332" s="36" t="n">
        <f aca="false">IF(AND(D332&lt;&gt;"",ISNUMBER(B332),LEFT(D332,9)&lt;&gt;"Total for",D332&lt;&gt;"Gross Profit",D332&lt;&gt;"Net Operating Revenue",D332&lt;&gt;"Net Other Revenue",D332&lt;&gt;"Net Revenue"),1,0)</f>
        <v>0</v>
      </c>
      <c r="H332" s="36" t="str">
        <f aca="false">IF(G332=1,IF(AND(LEN(D332)&gt;7,ISNUMBER(VALUE(LEFT(D332,6))),MID(D332,7,1)=" "),LEFT(D332,6),D332),"")</f>
        <v/>
      </c>
      <c r="M332" s="36" t="str">
        <f aca="false">TRIM(J332)</f>
        <v/>
      </c>
      <c r="N332" s="36" t="str">
        <f aca="false">IF(M332="Revenue","Revenue",IF(M332="Cost of Goods Sold","COGS",IF(M332="Expenditures","Expense",IF(M332="Other Revenue","Other Revenue",IF(M332="Other Expenditures","Other Expense",N331)))))</f>
        <v/>
      </c>
      <c r="O332" s="36" t="str">
        <f aca="false">IF(OR(M332="Revenue",M332="Cost of Goods Sold",M332="Expenditures",M332="Other Revenue",M332="Other Expenditures"),N332,IF(AND(LEN(M332)&gt;2,MID(M332,2,1)=" ",ISNUMBER(VALUE(LEFT(M332,1)))),M332,O331))</f>
        <v/>
      </c>
      <c r="P332" s="36" t="n">
        <f aca="false">IF(AND(M332&lt;&gt;"",ISNUMBER(K332),LEFT(M332,9)&lt;&gt;"Total for",M332&lt;&gt;"Gross Profit",M332&lt;&gt;"Net Operating Revenue",M332&lt;&gt;"Net Other Revenue",M332&lt;&gt;"Net Revenue"),1,0)</f>
        <v>0</v>
      </c>
      <c r="Q332" s="36" t="str">
        <f aca="false">IF(P332=1,IF(AND(LEN(M332)&gt;7,ISNUMBER(VALUE(LEFT(M332,6))),MID(M332,7,1)=" "),LEFT(M332,6),M332),"")</f>
        <v/>
      </c>
      <c r="V332" s="36" t="str">
        <f aca="false">TRIM(S332)</f>
        <v/>
      </c>
      <c r="W332" s="36" t="str">
        <f aca="false">IF(V332="Revenue","Revenue",IF(V332="Cost of Goods Sold","COGS",IF(V332="Expenditures","Expense",IF(V332="Other Revenue","Other Revenue",IF(V332="Other Expenditures","Other Expense",W331)))))</f>
        <v/>
      </c>
      <c r="X332" s="36" t="str">
        <f aca="false">IF(OR(V332="Revenue",V332="Cost of Goods Sold",V332="Expenditures",V332="Other Revenue",V332="Other Expenditures"),W332,IF(AND(LEN(V332)&gt;2,MID(V332,2,1)=" ",ISNUMBER(VALUE(LEFT(V332,1)))),V332,X331))</f>
        <v/>
      </c>
      <c r="Y332" s="36" t="n">
        <f aca="false">IF(AND(V332&lt;&gt;"",ISNUMBER(T332),LEFT(V332,9)&lt;&gt;"Total for",V332&lt;&gt;"Gross Profit",V332&lt;&gt;"Net Operating Revenue",V332&lt;&gt;"Net Other Revenue",V332&lt;&gt;"Net Revenue"),1,0)</f>
        <v>0</v>
      </c>
      <c r="Z332" s="36" t="str">
        <f aca="false">IF(Y332=1,IF(AND(LEN(V332)&gt;7,ISNUMBER(VALUE(LEFT(V332,6))),MID(V332,7,1)=" "),LEFT(V332,6),V332),"")</f>
        <v/>
      </c>
      <c r="AE332" s="36" t="str">
        <f aca="false">TRIM(AB332)</f>
        <v/>
      </c>
      <c r="AF332" s="36" t="str">
        <f aca="false">IF(AE332="Revenue","Revenue",IF(AE332="Cost of Goods Sold","COGS",IF(AE332="Expenditures","Expense",IF(AE332="Other Revenue","Other Revenue",IF(AE332="Other Expenditures","Other Expense",AF331)))))</f>
        <v/>
      </c>
      <c r="AG332" s="36" t="str">
        <f aca="false">IF(OR(AE332="Revenue",AE332="Cost of Goods Sold",AE332="Expenditures",AE332="Other Revenue",AE332="Other Expenditures"),AF332,IF(AND(LEN(AE332)&gt;2,MID(AE332,2,1)=" ",ISNUMBER(VALUE(LEFT(AE332,1)))),AE332,AG331))</f>
        <v/>
      </c>
      <c r="AH332" s="36" t="n">
        <f aca="false">IF(AND(AE332&lt;&gt;"",ISNUMBER(AC332),LEFT(AE332,9)&lt;&gt;"Total for",AE332&lt;&gt;"Gross Profit",AE332&lt;&gt;"Net Operating Revenue",AE332&lt;&gt;"Net Other Revenue",AE332&lt;&gt;"Net Revenue"),1,0)</f>
        <v>0</v>
      </c>
      <c r="AI332" s="36" t="str">
        <f aca="false">IF(AH332=1,IF(AND(LEN(AE332)&gt;7,ISNUMBER(VALUE(LEFT(AE332,6))),MID(AE332,7,1)=" "),LEFT(AE332,6),AE332),"")</f>
        <v/>
      </c>
      <c r="AN332" s="36" t="str">
        <f aca="false">TRIM(AK332)</f>
        <v/>
      </c>
      <c r="AO332" s="36" t="str">
        <f aca="false">IF(AN332="Revenue","Revenue",IF(AN332="Cost of Goods Sold","COGS",IF(AN332="Expenditures","Expense",IF(AN332="Other Revenue","Other Revenue",IF(AN332="Other Expenditures","Other Expense",AO331)))))</f>
        <v/>
      </c>
      <c r="AP332" s="36" t="str">
        <f aca="false">IF(OR(AN332="Revenue",AN332="Cost of Goods Sold",AN332="Expenditures",AN332="Other Revenue",AN332="Other Expenditures"),AO332,IF(AND(LEN(AN332)&gt;2,MID(AN332,2,1)=" ",ISNUMBER(VALUE(LEFT(AN332,1)))),AN332,AP331))</f>
        <v/>
      </c>
      <c r="AQ332" s="36" t="n">
        <f aca="false">IF(AND(AN332&lt;&gt;"",ISNUMBER(AL332),LEFT(AN332,9)&lt;&gt;"Total for",AN332&lt;&gt;"Gross Profit",AN332&lt;&gt;"Net Operating Revenue",AN332&lt;&gt;"Net Other Revenue",AN332&lt;&gt;"Net Revenue"),1,0)</f>
        <v>0</v>
      </c>
      <c r="AR332" s="36" t="str">
        <f aca="false">IF(AQ332=1,IF(AND(LEN(AN332)&gt;7,ISNUMBER(VALUE(LEFT(AN332,6))),MID(AN332,7,1)=" "),LEFT(AN332,6),AN332),"")</f>
        <v/>
      </c>
    </row>
    <row r="333" customFormat="false" ht="15" hidden="false" customHeight="false" outlineLevel="0" collapsed="false">
      <c r="D333" s="36" t="str">
        <f aca="false">TRIM(A333)</f>
        <v/>
      </c>
      <c r="E333" s="36" t="str">
        <f aca="false">IF(D333="Revenue","Revenue",IF(D333="Cost of Goods Sold","COGS",IF(D333="Expenditures","Expense",IF(D333="Other Revenue","Other Revenue",IF(D333="Other Expenditures","Other Expense",E332)))))</f>
        <v/>
      </c>
      <c r="F333" s="36" t="str">
        <f aca="false">IF(OR(D333="Revenue",D333="Cost of Goods Sold",D333="Expenditures",D333="Other Revenue",D333="Other Expenditures"),E333,IF(AND(LEN(D333)&gt;2,MID(D333,2,1)=" ",ISNUMBER(VALUE(LEFT(D333,1)))),D333,F332))</f>
        <v/>
      </c>
      <c r="G333" s="36" t="n">
        <f aca="false">IF(AND(D333&lt;&gt;"",ISNUMBER(B333),LEFT(D333,9)&lt;&gt;"Total for",D333&lt;&gt;"Gross Profit",D333&lt;&gt;"Net Operating Revenue",D333&lt;&gt;"Net Other Revenue",D333&lt;&gt;"Net Revenue"),1,0)</f>
        <v>0</v>
      </c>
      <c r="H333" s="36" t="str">
        <f aca="false">IF(G333=1,IF(AND(LEN(D333)&gt;7,ISNUMBER(VALUE(LEFT(D333,6))),MID(D333,7,1)=" "),LEFT(D333,6),D333),"")</f>
        <v/>
      </c>
      <c r="M333" s="36" t="str">
        <f aca="false">TRIM(J333)</f>
        <v/>
      </c>
      <c r="N333" s="36" t="str">
        <f aca="false">IF(M333="Revenue","Revenue",IF(M333="Cost of Goods Sold","COGS",IF(M333="Expenditures","Expense",IF(M333="Other Revenue","Other Revenue",IF(M333="Other Expenditures","Other Expense",N332)))))</f>
        <v/>
      </c>
      <c r="O333" s="36" t="str">
        <f aca="false">IF(OR(M333="Revenue",M333="Cost of Goods Sold",M333="Expenditures",M333="Other Revenue",M333="Other Expenditures"),N333,IF(AND(LEN(M333)&gt;2,MID(M333,2,1)=" ",ISNUMBER(VALUE(LEFT(M333,1)))),M333,O332))</f>
        <v/>
      </c>
      <c r="P333" s="36" t="n">
        <f aca="false">IF(AND(M333&lt;&gt;"",ISNUMBER(K333),LEFT(M333,9)&lt;&gt;"Total for",M333&lt;&gt;"Gross Profit",M333&lt;&gt;"Net Operating Revenue",M333&lt;&gt;"Net Other Revenue",M333&lt;&gt;"Net Revenue"),1,0)</f>
        <v>0</v>
      </c>
      <c r="Q333" s="36" t="str">
        <f aca="false">IF(P333=1,IF(AND(LEN(M333)&gt;7,ISNUMBER(VALUE(LEFT(M333,6))),MID(M333,7,1)=" "),LEFT(M333,6),M333),"")</f>
        <v/>
      </c>
      <c r="V333" s="36" t="str">
        <f aca="false">TRIM(S333)</f>
        <v/>
      </c>
      <c r="W333" s="36" t="str">
        <f aca="false">IF(V333="Revenue","Revenue",IF(V333="Cost of Goods Sold","COGS",IF(V333="Expenditures","Expense",IF(V333="Other Revenue","Other Revenue",IF(V333="Other Expenditures","Other Expense",W332)))))</f>
        <v/>
      </c>
      <c r="X333" s="36" t="str">
        <f aca="false">IF(OR(V333="Revenue",V333="Cost of Goods Sold",V333="Expenditures",V333="Other Revenue",V333="Other Expenditures"),W333,IF(AND(LEN(V333)&gt;2,MID(V333,2,1)=" ",ISNUMBER(VALUE(LEFT(V333,1)))),V333,X332))</f>
        <v/>
      </c>
      <c r="Y333" s="36" t="n">
        <f aca="false">IF(AND(V333&lt;&gt;"",ISNUMBER(T333),LEFT(V333,9)&lt;&gt;"Total for",V333&lt;&gt;"Gross Profit",V333&lt;&gt;"Net Operating Revenue",V333&lt;&gt;"Net Other Revenue",V333&lt;&gt;"Net Revenue"),1,0)</f>
        <v>0</v>
      </c>
      <c r="Z333" s="36" t="str">
        <f aca="false">IF(Y333=1,IF(AND(LEN(V333)&gt;7,ISNUMBER(VALUE(LEFT(V333,6))),MID(V333,7,1)=" "),LEFT(V333,6),V333),"")</f>
        <v/>
      </c>
      <c r="AE333" s="36" t="str">
        <f aca="false">TRIM(AB333)</f>
        <v/>
      </c>
      <c r="AF333" s="36" t="str">
        <f aca="false">IF(AE333="Revenue","Revenue",IF(AE333="Cost of Goods Sold","COGS",IF(AE333="Expenditures","Expense",IF(AE333="Other Revenue","Other Revenue",IF(AE333="Other Expenditures","Other Expense",AF332)))))</f>
        <v/>
      </c>
      <c r="AG333" s="36" t="str">
        <f aca="false">IF(OR(AE333="Revenue",AE333="Cost of Goods Sold",AE333="Expenditures",AE333="Other Revenue",AE333="Other Expenditures"),AF333,IF(AND(LEN(AE333)&gt;2,MID(AE333,2,1)=" ",ISNUMBER(VALUE(LEFT(AE333,1)))),AE333,AG332))</f>
        <v/>
      </c>
      <c r="AH333" s="36" t="n">
        <f aca="false">IF(AND(AE333&lt;&gt;"",ISNUMBER(AC333),LEFT(AE333,9)&lt;&gt;"Total for",AE333&lt;&gt;"Gross Profit",AE333&lt;&gt;"Net Operating Revenue",AE333&lt;&gt;"Net Other Revenue",AE333&lt;&gt;"Net Revenue"),1,0)</f>
        <v>0</v>
      </c>
      <c r="AI333" s="36" t="str">
        <f aca="false">IF(AH333=1,IF(AND(LEN(AE333)&gt;7,ISNUMBER(VALUE(LEFT(AE333,6))),MID(AE333,7,1)=" "),LEFT(AE333,6),AE333),"")</f>
        <v/>
      </c>
      <c r="AN333" s="36" t="str">
        <f aca="false">TRIM(AK333)</f>
        <v/>
      </c>
      <c r="AO333" s="36" t="str">
        <f aca="false">IF(AN333="Revenue","Revenue",IF(AN333="Cost of Goods Sold","COGS",IF(AN333="Expenditures","Expense",IF(AN333="Other Revenue","Other Revenue",IF(AN333="Other Expenditures","Other Expense",AO332)))))</f>
        <v/>
      </c>
      <c r="AP333" s="36" t="str">
        <f aca="false">IF(OR(AN333="Revenue",AN333="Cost of Goods Sold",AN333="Expenditures",AN333="Other Revenue",AN333="Other Expenditures"),AO333,IF(AND(LEN(AN333)&gt;2,MID(AN333,2,1)=" ",ISNUMBER(VALUE(LEFT(AN333,1)))),AN333,AP332))</f>
        <v/>
      </c>
      <c r="AQ333" s="36" t="n">
        <f aca="false">IF(AND(AN333&lt;&gt;"",ISNUMBER(AL333),LEFT(AN333,9)&lt;&gt;"Total for",AN333&lt;&gt;"Gross Profit",AN333&lt;&gt;"Net Operating Revenue",AN333&lt;&gt;"Net Other Revenue",AN333&lt;&gt;"Net Revenue"),1,0)</f>
        <v>0</v>
      </c>
      <c r="AR333" s="36" t="str">
        <f aca="false">IF(AQ333=1,IF(AND(LEN(AN333)&gt;7,ISNUMBER(VALUE(LEFT(AN333,6))),MID(AN333,7,1)=" "),LEFT(AN333,6),AN333),"")</f>
        <v/>
      </c>
    </row>
    <row r="334" customFormat="false" ht="15" hidden="false" customHeight="false" outlineLevel="0" collapsed="false">
      <c r="D334" s="36" t="str">
        <f aca="false">TRIM(A334)</f>
        <v/>
      </c>
      <c r="E334" s="36" t="str">
        <f aca="false">IF(D334="Revenue","Revenue",IF(D334="Cost of Goods Sold","COGS",IF(D334="Expenditures","Expense",IF(D334="Other Revenue","Other Revenue",IF(D334="Other Expenditures","Other Expense",E333)))))</f>
        <v/>
      </c>
      <c r="F334" s="36" t="str">
        <f aca="false">IF(OR(D334="Revenue",D334="Cost of Goods Sold",D334="Expenditures",D334="Other Revenue",D334="Other Expenditures"),E334,IF(AND(LEN(D334)&gt;2,MID(D334,2,1)=" ",ISNUMBER(VALUE(LEFT(D334,1)))),D334,F333))</f>
        <v/>
      </c>
      <c r="G334" s="36" t="n">
        <f aca="false">IF(AND(D334&lt;&gt;"",ISNUMBER(B334),LEFT(D334,9)&lt;&gt;"Total for",D334&lt;&gt;"Gross Profit",D334&lt;&gt;"Net Operating Revenue",D334&lt;&gt;"Net Other Revenue",D334&lt;&gt;"Net Revenue"),1,0)</f>
        <v>0</v>
      </c>
      <c r="H334" s="36" t="str">
        <f aca="false">IF(G334=1,IF(AND(LEN(D334)&gt;7,ISNUMBER(VALUE(LEFT(D334,6))),MID(D334,7,1)=" "),LEFT(D334,6),D334),"")</f>
        <v/>
      </c>
      <c r="M334" s="36" t="str">
        <f aca="false">TRIM(J334)</f>
        <v/>
      </c>
      <c r="N334" s="36" t="str">
        <f aca="false">IF(M334="Revenue","Revenue",IF(M334="Cost of Goods Sold","COGS",IF(M334="Expenditures","Expense",IF(M334="Other Revenue","Other Revenue",IF(M334="Other Expenditures","Other Expense",N333)))))</f>
        <v/>
      </c>
      <c r="O334" s="36" t="str">
        <f aca="false">IF(OR(M334="Revenue",M334="Cost of Goods Sold",M334="Expenditures",M334="Other Revenue",M334="Other Expenditures"),N334,IF(AND(LEN(M334)&gt;2,MID(M334,2,1)=" ",ISNUMBER(VALUE(LEFT(M334,1)))),M334,O333))</f>
        <v/>
      </c>
      <c r="P334" s="36" t="n">
        <f aca="false">IF(AND(M334&lt;&gt;"",ISNUMBER(K334),LEFT(M334,9)&lt;&gt;"Total for",M334&lt;&gt;"Gross Profit",M334&lt;&gt;"Net Operating Revenue",M334&lt;&gt;"Net Other Revenue",M334&lt;&gt;"Net Revenue"),1,0)</f>
        <v>0</v>
      </c>
      <c r="Q334" s="36" t="str">
        <f aca="false">IF(P334=1,IF(AND(LEN(M334)&gt;7,ISNUMBER(VALUE(LEFT(M334,6))),MID(M334,7,1)=" "),LEFT(M334,6),M334),"")</f>
        <v/>
      </c>
      <c r="V334" s="36" t="str">
        <f aca="false">TRIM(S334)</f>
        <v/>
      </c>
      <c r="W334" s="36" t="str">
        <f aca="false">IF(V334="Revenue","Revenue",IF(V334="Cost of Goods Sold","COGS",IF(V334="Expenditures","Expense",IF(V334="Other Revenue","Other Revenue",IF(V334="Other Expenditures","Other Expense",W333)))))</f>
        <v/>
      </c>
      <c r="X334" s="36" t="str">
        <f aca="false">IF(OR(V334="Revenue",V334="Cost of Goods Sold",V334="Expenditures",V334="Other Revenue",V334="Other Expenditures"),W334,IF(AND(LEN(V334)&gt;2,MID(V334,2,1)=" ",ISNUMBER(VALUE(LEFT(V334,1)))),V334,X333))</f>
        <v/>
      </c>
      <c r="Y334" s="36" t="n">
        <f aca="false">IF(AND(V334&lt;&gt;"",ISNUMBER(T334),LEFT(V334,9)&lt;&gt;"Total for",V334&lt;&gt;"Gross Profit",V334&lt;&gt;"Net Operating Revenue",V334&lt;&gt;"Net Other Revenue",V334&lt;&gt;"Net Revenue"),1,0)</f>
        <v>0</v>
      </c>
      <c r="Z334" s="36" t="str">
        <f aca="false">IF(Y334=1,IF(AND(LEN(V334)&gt;7,ISNUMBER(VALUE(LEFT(V334,6))),MID(V334,7,1)=" "),LEFT(V334,6),V334),"")</f>
        <v/>
      </c>
      <c r="AE334" s="36" t="str">
        <f aca="false">TRIM(AB334)</f>
        <v/>
      </c>
      <c r="AF334" s="36" t="str">
        <f aca="false">IF(AE334="Revenue","Revenue",IF(AE334="Cost of Goods Sold","COGS",IF(AE334="Expenditures","Expense",IF(AE334="Other Revenue","Other Revenue",IF(AE334="Other Expenditures","Other Expense",AF333)))))</f>
        <v/>
      </c>
      <c r="AG334" s="36" t="str">
        <f aca="false">IF(OR(AE334="Revenue",AE334="Cost of Goods Sold",AE334="Expenditures",AE334="Other Revenue",AE334="Other Expenditures"),AF334,IF(AND(LEN(AE334)&gt;2,MID(AE334,2,1)=" ",ISNUMBER(VALUE(LEFT(AE334,1)))),AE334,AG333))</f>
        <v/>
      </c>
      <c r="AH334" s="36" t="n">
        <f aca="false">IF(AND(AE334&lt;&gt;"",ISNUMBER(AC334),LEFT(AE334,9)&lt;&gt;"Total for",AE334&lt;&gt;"Gross Profit",AE334&lt;&gt;"Net Operating Revenue",AE334&lt;&gt;"Net Other Revenue",AE334&lt;&gt;"Net Revenue"),1,0)</f>
        <v>0</v>
      </c>
      <c r="AI334" s="36" t="str">
        <f aca="false">IF(AH334=1,IF(AND(LEN(AE334)&gt;7,ISNUMBER(VALUE(LEFT(AE334,6))),MID(AE334,7,1)=" "),LEFT(AE334,6),AE334),"")</f>
        <v/>
      </c>
      <c r="AN334" s="36" t="str">
        <f aca="false">TRIM(AK334)</f>
        <v/>
      </c>
      <c r="AO334" s="36" t="str">
        <f aca="false">IF(AN334="Revenue","Revenue",IF(AN334="Cost of Goods Sold","COGS",IF(AN334="Expenditures","Expense",IF(AN334="Other Revenue","Other Revenue",IF(AN334="Other Expenditures","Other Expense",AO333)))))</f>
        <v/>
      </c>
      <c r="AP334" s="36" t="str">
        <f aca="false">IF(OR(AN334="Revenue",AN334="Cost of Goods Sold",AN334="Expenditures",AN334="Other Revenue",AN334="Other Expenditures"),AO334,IF(AND(LEN(AN334)&gt;2,MID(AN334,2,1)=" ",ISNUMBER(VALUE(LEFT(AN334,1)))),AN334,AP333))</f>
        <v/>
      </c>
      <c r="AQ334" s="36" t="n">
        <f aca="false">IF(AND(AN334&lt;&gt;"",ISNUMBER(AL334),LEFT(AN334,9)&lt;&gt;"Total for",AN334&lt;&gt;"Gross Profit",AN334&lt;&gt;"Net Operating Revenue",AN334&lt;&gt;"Net Other Revenue",AN334&lt;&gt;"Net Revenue"),1,0)</f>
        <v>0</v>
      </c>
      <c r="AR334" s="36" t="str">
        <f aca="false">IF(AQ334=1,IF(AND(LEN(AN334)&gt;7,ISNUMBER(VALUE(LEFT(AN334,6))),MID(AN334,7,1)=" "),LEFT(AN334,6),AN334),"")</f>
        <v/>
      </c>
    </row>
    <row r="335" customFormat="false" ht="15" hidden="false" customHeight="false" outlineLevel="0" collapsed="false">
      <c r="D335" s="36" t="str">
        <f aca="false">TRIM(A335)</f>
        <v/>
      </c>
      <c r="E335" s="36" t="str">
        <f aca="false">IF(D335="Revenue","Revenue",IF(D335="Cost of Goods Sold","COGS",IF(D335="Expenditures","Expense",IF(D335="Other Revenue","Other Revenue",IF(D335="Other Expenditures","Other Expense",E334)))))</f>
        <v/>
      </c>
      <c r="F335" s="36" t="str">
        <f aca="false">IF(OR(D335="Revenue",D335="Cost of Goods Sold",D335="Expenditures",D335="Other Revenue",D335="Other Expenditures"),E335,IF(AND(LEN(D335)&gt;2,MID(D335,2,1)=" ",ISNUMBER(VALUE(LEFT(D335,1)))),D335,F334))</f>
        <v/>
      </c>
      <c r="G335" s="36" t="n">
        <f aca="false">IF(AND(D335&lt;&gt;"",ISNUMBER(B335),LEFT(D335,9)&lt;&gt;"Total for",D335&lt;&gt;"Gross Profit",D335&lt;&gt;"Net Operating Revenue",D335&lt;&gt;"Net Other Revenue",D335&lt;&gt;"Net Revenue"),1,0)</f>
        <v>0</v>
      </c>
      <c r="H335" s="36" t="str">
        <f aca="false">IF(G335=1,IF(AND(LEN(D335)&gt;7,ISNUMBER(VALUE(LEFT(D335,6))),MID(D335,7,1)=" "),LEFT(D335,6),D335),"")</f>
        <v/>
      </c>
      <c r="M335" s="36" t="str">
        <f aca="false">TRIM(J335)</f>
        <v/>
      </c>
      <c r="N335" s="36" t="str">
        <f aca="false">IF(M335="Revenue","Revenue",IF(M335="Cost of Goods Sold","COGS",IF(M335="Expenditures","Expense",IF(M335="Other Revenue","Other Revenue",IF(M335="Other Expenditures","Other Expense",N334)))))</f>
        <v/>
      </c>
      <c r="O335" s="36" t="str">
        <f aca="false">IF(OR(M335="Revenue",M335="Cost of Goods Sold",M335="Expenditures",M335="Other Revenue",M335="Other Expenditures"),N335,IF(AND(LEN(M335)&gt;2,MID(M335,2,1)=" ",ISNUMBER(VALUE(LEFT(M335,1)))),M335,O334))</f>
        <v/>
      </c>
      <c r="P335" s="36" t="n">
        <f aca="false">IF(AND(M335&lt;&gt;"",ISNUMBER(K335),LEFT(M335,9)&lt;&gt;"Total for",M335&lt;&gt;"Gross Profit",M335&lt;&gt;"Net Operating Revenue",M335&lt;&gt;"Net Other Revenue",M335&lt;&gt;"Net Revenue"),1,0)</f>
        <v>0</v>
      </c>
      <c r="Q335" s="36" t="str">
        <f aca="false">IF(P335=1,IF(AND(LEN(M335)&gt;7,ISNUMBER(VALUE(LEFT(M335,6))),MID(M335,7,1)=" "),LEFT(M335,6),M335),"")</f>
        <v/>
      </c>
      <c r="V335" s="36" t="str">
        <f aca="false">TRIM(S335)</f>
        <v/>
      </c>
      <c r="W335" s="36" t="str">
        <f aca="false">IF(V335="Revenue","Revenue",IF(V335="Cost of Goods Sold","COGS",IF(V335="Expenditures","Expense",IF(V335="Other Revenue","Other Revenue",IF(V335="Other Expenditures","Other Expense",W334)))))</f>
        <v/>
      </c>
      <c r="X335" s="36" t="str">
        <f aca="false">IF(OR(V335="Revenue",V335="Cost of Goods Sold",V335="Expenditures",V335="Other Revenue",V335="Other Expenditures"),W335,IF(AND(LEN(V335)&gt;2,MID(V335,2,1)=" ",ISNUMBER(VALUE(LEFT(V335,1)))),V335,X334))</f>
        <v/>
      </c>
      <c r="Y335" s="36" t="n">
        <f aca="false">IF(AND(V335&lt;&gt;"",ISNUMBER(T335),LEFT(V335,9)&lt;&gt;"Total for",V335&lt;&gt;"Gross Profit",V335&lt;&gt;"Net Operating Revenue",V335&lt;&gt;"Net Other Revenue",V335&lt;&gt;"Net Revenue"),1,0)</f>
        <v>0</v>
      </c>
      <c r="Z335" s="36" t="str">
        <f aca="false">IF(Y335=1,IF(AND(LEN(V335)&gt;7,ISNUMBER(VALUE(LEFT(V335,6))),MID(V335,7,1)=" "),LEFT(V335,6),V335),"")</f>
        <v/>
      </c>
      <c r="AE335" s="36" t="str">
        <f aca="false">TRIM(AB335)</f>
        <v/>
      </c>
      <c r="AF335" s="36" t="str">
        <f aca="false">IF(AE335="Revenue","Revenue",IF(AE335="Cost of Goods Sold","COGS",IF(AE335="Expenditures","Expense",IF(AE335="Other Revenue","Other Revenue",IF(AE335="Other Expenditures","Other Expense",AF334)))))</f>
        <v/>
      </c>
      <c r="AG335" s="36" t="str">
        <f aca="false">IF(OR(AE335="Revenue",AE335="Cost of Goods Sold",AE335="Expenditures",AE335="Other Revenue",AE335="Other Expenditures"),AF335,IF(AND(LEN(AE335)&gt;2,MID(AE335,2,1)=" ",ISNUMBER(VALUE(LEFT(AE335,1)))),AE335,AG334))</f>
        <v/>
      </c>
      <c r="AH335" s="36" t="n">
        <f aca="false">IF(AND(AE335&lt;&gt;"",ISNUMBER(AC335),LEFT(AE335,9)&lt;&gt;"Total for",AE335&lt;&gt;"Gross Profit",AE335&lt;&gt;"Net Operating Revenue",AE335&lt;&gt;"Net Other Revenue",AE335&lt;&gt;"Net Revenue"),1,0)</f>
        <v>0</v>
      </c>
      <c r="AI335" s="36" t="str">
        <f aca="false">IF(AH335=1,IF(AND(LEN(AE335)&gt;7,ISNUMBER(VALUE(LEFT(AE335,6))),MID(AE335,7,1)=" "),LEFT(AE335,6),AE335),"")</f>
        <v/>
      </c>
      <c r="AN335" s="36" t="str">
        <f aca="false">TRIM(AK335)</f>
        <v/>
      </c>
      <c r="AO335" s="36" t="str">
        <f aca="false">IF(AN335="Revenue","Revenue",IF(AN335="Cost of Goods Sold","COGS",IF(AN335="Expenditures","Expense",IF(AN335="Other Revenue","Other Revenue",IF(AN335="Other Expenditures","Other Expense",AO334)))))</f>
        <v/>
      </c>
      <c r="AP335" s="36" t="str">
        <f aca="false">IF(OR(AN335="Revenue",AN335="Cost of Goods Sold",AN335="Expenditures",AN335="Other Revenue",AN335="Other Expenditures"),AO335,IF(AND(LEN(AN335)&gt;2,MID(AN335,2,1)=" ",ISNUMBER(VALUE(LEFT(AN335,1)))),AN335,AP334))</f>
        <v/>
      </c>
      <c r="AQ335" s="36" t="n">
        <f aca="false">IF(AND(AN335&lt;&gt;"",ISNUMBER(AL335),LEFT(AN335,9)&lt;&gt;"Total for",AN335&lt;&gt;"Gross Profit",AN335&lt;&gt;"Net Operating Revenue",AN335&lt;&gt;"Net Other Revenue",AN335&lt;&gt;"Net Revenue"),1,0)</f>
        <v>0</v>
      </c>
      <c r="AR335" s="36" t="str">
        <f aca="false">IF(AQ335=1,IF(AND(LEN(AN335)&gt;7,ISNUMBER(VALUE(LEFT(AN335,6))),MID(AN335,7,1)=" "),LEFT(AN335,6),AN335),"")</f>
        <v/>
      </c>
    </row>
    <row r="336" customFormat="false" ht="15" hidden="false" customHeight="false" outlineLevel="0" collapsed="false">
      <c r="D336" s="36" t="str">
        <f aca="false">TRIM(A336)</f>
        <v/>
      </c>
      <c r="E336" s="36" t="str">
        <f aca="false">IF(D336="Revenue","Revenue",IF(D336="Cost of Goods Sold","COGS",IF(D336="Expenditures","Expense",IF(D336="Other Revenue","Other Revenue",IF(D336="Other Expenditures","Other Expense",E335)))))</f>
        <v/>
      </c>
      <c r="F336" s="36" t="str">
        <f aca="false">IF(OR(D336="Revenue",D336="Cost of Goods Sold",D336="Expenditures",D336="Other Revenue",D336="Other Expenditures"),E336,IF(AND(LEN(D336)&gt;2,MID(D336,2,1)=" ",ISNUMBER(VALUE(LEFT(D336,1)))),D336,F335))</f>
        <v/>
      </c>
      <c r="G336" s="36" t="n">
        <f aca="false">IF(AND(D336&lt;&gt;"",ISNUMBER(B336),LEFT(D336,9)&lt;&gt;"Total for",D336&lt;&gt;"Gross Profit",D336&lt;&gt;"Net Operating Revenue",D336&lt;&gt;"Net Other Revenue",D336&lt;&gt;"Net Revenue"),1,0)</f>
        <v>0</v>
      </c>
      <c r="H336" s="36" t="str">
        <f aca="false">IF(G336=1,IF(AND(LEN(D336)&gt;7,ISNUMBER(VALUE(LEFT(D336,6))),MID(D336,7,1)=" "),LEFT(D336,6),D336),"")</f>
        <v/>
      </c>
      <c r="M336" s="36" t="str">
        <f aca="false">TRIM(J336)</f>
        <v/>
      </c>
      <c r="N336" s="36" t="str">
        <f aca="false">IF(M336="Revenue","Revenue",IF(M336="Cost of Goods Sold","COGS",IF(M336="Expenditures","Expense",IF(M336="Other Revenue","Other Revenue",IF(M336="Other Expenditures","Other Expense",N335)))))</f>
        <v/>
      </c>
      <c r="O336" s="36" t="str">
        <f aca="false">IF(OR(M336="Revenue",M336="Cost of Goods Sold",M336="Expenditures",M336="Other Revenue",M336="Other Expenditures"),N336,IF(AND(LEN(M336)&gt;2,MID(M336,2,1)=" ",ISNUMBER(VALUE(LEFT(M336,1)))),M336,O335))</f>
        <v/>
      </c>
      <c r="P336" s="36" t="n">
        <f aca="false">IF(AND(M336&lt;&gt;"",ISNUMBER(K336),LEFT(M336,9)&lt;&gt;"Total for",M336&lt;&gt;"Gross Profit",M336&lt;&gt;"Net Operating Revenue",M336&lt;&gt;"Net Other Revenue",M336&lt;&gt;"Net Revenue"),1,0)</f>
        <v>0</v>
      </c>
      <c r="Q336" s="36" t="str">
        <f aca="false">IF(P336=1,IF(AND(LEN(M336)&gt;7,ISNUMBER(VALUE(LEFT(M336,6))),MID(M336,7,1)=" "),LEFT(M336,6),M336),"")</f>
        <v/>
      </c>
      <c r="V336" s="36" t="str">
        <f aca="false">TRIM(S336)</f>
        <v/>
      </c>
      <c r="W336" s="36" t="str">
        <f aca="false">IF(V336="Revenue","Revenue",IF(V336="Cost of Goods Sold","COGS",IF(V336="Expenditures","Expense",IF(V336="Other Revenue","Other Revenue",IF(V336="Other Expenditures","Other Expense",W335)))))</f>
        <v/>
      </c>
      <c r="X336" s="36" t="str">
        <f aca="false">IF(OR(V336="Revenue",V336="Cost of Goods Sold",V336="Expenditures",V336="Other Revenue",V336="Other Expenditures"),W336,IF(AND(LEN(V336)&gt;2,MID(V336,2,1)=" ",ISNUMBER(VALUE(LEFT(V336,1)))),V336,X335))</f>
        <v/>
      </c>
      <c r="Y336" s="36" t="n">
        <f aca="false">IF(AND(V336&lt;&gt;"",ISNUMBER(T336),LEFT(V336,9)&lt;&gt;"Total for",V336&lt;&gt;"Gross Profit",V336&lt;&gt;"Net Operating Revenue",V336&lt;&gt;"Net Other Revenue",V336&lt;&gt;"Net Revenue"),1,0)</f>
        <v>0</v>
      </c>
      <c r="Z336" s="36" t="str">
        <f aca="false">IF(Y336=1,IF(AND(LEN(V336)&gt;7,ISNUMBER(VALUE(LEFT(V336,6))),MID(V336,7,1)=" "),LEFT(V336,6),V336),"")</f>
        <v/>
      </c>
      <c r="AE336" s="36" t="str">
        <f aca="false">TRIM(AB336)</f>
        <v/>
      </c>
      <c r="AF336" s="36" t="str">
        <f aca="false">IF(AE336="Revenue","Revenue",IF(AE336="Cost of Goods Sold","COGS",IF(AE336="Expenditures","Expense",IF(AE336="Other Revenue","Other Revenue",IF(AE336="Other Expenditures","Other Expense",AF335)))))</f>
        <v/>
      </c>
      <c r="AG336" s="36" t="str">
        <f aca="false">IF(OR(AE336="Revenue",AE336="Cost of Goods Sold",AE336="Expenditures",AE336="Other Revenue",AE336="Other Expenditures"),AF336,IF(AND(LEN(AE336)&gt;2,MID(AE336,2,1)=" ",ISNUMBER(VALUE(LEFT(AE336,1)))),AE336,AG335))</f>
        <v/>
      </c>
      <c r="AH336" s="36" t="n">
        <f aca="false">IF(AND(AE336&lt;&gt;"",ISNUMBER(AC336),LEFT(AE336,9)&lt;&gt;"Total for",AE336&lt;&gt;"Gross Profit",AE336&lt;&gt;"Net Operating Revenue",AE336&lt;&gt;"Net Other Revenue",AE336&lt;&gt;"Net Revenue"),1,0)</f>
        <v>0</v>
      </c>
      <c r="AI336" s="36" t="str">
        <f aca="false">IF(AH336=1,IF(AND(LEN(AE336)&gt;7,ISNUMBER(VALUE(LEFT(AE336,6))),MID(AE336,7,1)=" "),LEFT(AE336,6),AE336),"")</f>
        <v/>
      </c>
      <c r="AN336" s="36" t="str">
        <f aca="false">TRIM(AK336)</f>
        <v/>
      </c>
      <c r="AO336" s="36" t="str">
        <f aca="false">IF(AN336="Revenue","Revenue",IF(AN336="Cost of Goods Sold","COGS",IF(AN336="Expenditures","Expense",IF(AN336="Other Revenue","Other Revenue",IF(AN336="Other Expenditures","Other Expense",AO335)))))</f>
        <v/>
      </c>
      <c r="AP336" s="36" t="str">
        <f aca="false">IF(OR(AN336="Revenue",AN336="Cost of Goods Sold",AN336="Expenditures",AN336="Other Revenue",AN336="Other Expenditures"),AO336,IF(AND(LEN(AN336)&gt;2,MID(AN336,2,1)=" ",ISNUMBER(VALUE(LEFT(AN336,1)))),AN336,AP335))</f>
        <v/>
      </c>
      <c r="AQ336" s="36" t="n">
        <f aca="false">IF(AND(AN336&lt;&gt;"",ISNUMBER(AL336),LEFT(AN336,9)&lt;&gt;"Total for",AN336&lt;&gt;"Gross Profit",AN336&lt;&gt;"Net Operating Revenue",AN336&lt;&gt;"Net Other Revenue",AN336&lt;&gt;"Net Revenue"),1,0)</f>
        <v>0</v>
      </c>
      <c r="AR336" s="36" t="str">
        <f aca="false">IF(AQ336=1,IF(AND(LEN(AN336)&gt;7,ISNUMBER(VALUE(LEFT(AN336,6))),MID(AN336,7,1)=" "),LEFT(AN336,6),AN336),"")</f>
        <v/>
      </c>
    </row>
    <row r="337" customFormat="false" ht="15" hidden="false" customHeight="false" outlineLevel="0" collapsed="false">
      <c r="D337" s="36" t="str">
        <f aca="false">TRIM(A337)</f>
        <v/>
      </c>
      <c r="E337" s="36" t="str">
        <f aca="false">IF(D337="Revenue","Revenue",IF(D337="Cost of Goods Sold","COGS",IF(D337="Expenditures","Expense",IF(D337="Other Revenue","Other Revenue",IF(D337="Other Expenditures","Other Expense",E336)))))</f>
        <v/>
      </c>
      <c r="F337" s="36" t="str">
        <f aca="false">IF(OR(D337="Revenue",D337="Cost of Goods Sold",D337="Expenditures",D337="Other Revenue",D337="Other Expenditures"),E337,IF(AND(LEN(D337)&gt;2,MID(D337,2,1)=" ",ISNUMBER(VALUE(LEFT(D337,1)))),D337,F336))</f>
        <v/>
      </c>
      <c r="G337" s="36" t="n">
        <f aca="false">IF(AND(D337&lt;&gt;"",ISNUMBER(B337),LEFT(D337,9)&lt;&gt;"Total for",D337&lt;&gt;"Gross Profit",D337&lt;&gt;"Net Operating Revenue",D337&lt;&gt;"Net Other Revenue",D337&lt;&gt;"Net Revenue"),1,0)</f>
        <v>0</v>
      </c>
      <c r="H337" s="36" t="str">
        <f aca="false">IF(G337=1,IF(AND(LEN(D337)&gt;7,ISNUMBER(VALUE(LEFT(D337,6))),MID(D337,7,1)=" "),LEFT(D337,6),D337),"")</f>
        <v/>
      </c>
      <c r="M337" s="36" t="str">
        <f aca="false">TRIM(J337)</f>
        <v/>
      </c>
      <c r="N337" s="36" t="str">
        <f aca="false">IF(M337="Revenue","Revenue",IF(M337="Cost of Goods Sold","COGS",IF(M337="Expenditures","Expense",IF(M337="Other Revenue","Other Revenue",IF(M337="Other Expenditures","Other Expense",N336)))))</f>
        <v/>
      </c>
      <c r="O337" s="36" t="str">
        <f aca="false">IF(OR(M337="Revenue",M337="Cost of Goods Sold",M337="Expenditures",M337="Other Revenue",M337="Other Expenditures"),N337,IF(AND(LEN(M337)&gt;2,MID(M337,2,1)=" ",ISNUMBER(VALUE(LEFT(M337,1)))),M337,O336))</f>
        <v/>
      </c>
      <c r="P337" s="36" t="n">
        <f aca="false">IF(AND(M337&lt;&gt;"",ISNUMBER(K337),LEFT(M337,9)&lt;&gt;"Total for",M337&lt;&gt;"Gross Profit",M337&lt;&gt;"Net Operating Revenue",M337&lt;&gt;"Net Other Revenue",M337&lt;&gt;"Net Revenue"),1,0)</f>
        <v>0</v>
      </c>
      <c r="Q337" s="36" t="str">
        <f aca="false">IF(P337=1,IF(AND(LEN(M337)&gt;7,ISNUMBER(VALUE(LEFT(M337,6))),MID(M337,7,1)=" "),LEFT(M337,6),M337),"")</f>
        <v/>
      </c>
      <c r="V337" s="36" t="str">
        <f aca="false">TRIM(S337)</f>
        <v/>
      </c>
      <c r="W337" s="36" t="str">
        <f aca="false">IF(V337="Revenue","Revenue",IF(V337="Cost of Goods Sold","COGS",IF(V337="Expenditures","Expense",IF(V337="Other Revenue","Other Revenue",IF(V337="Other Expenditures","Other Expense",W336)))))</f>
        <v/>
      </c>
      <c r="X337" s="36" t="str">
        <f aca="false">IF(OR(V337="Revenue",V337="Cost of Goods Sold",V337="Expenditures",V337="Other Revenue",V337="Other Expenditures"),W337,IF(AND(LEN(V337)&gt;2,MID(V337,2,1)=" ",ISNUMBER(VALUE(LEFT(V337,1)))),V337,X336))</f>
        <v/>
      </c>
      <c r="Y337" s="36" t="n">
        <f aca="false">IF(AND(V337&lt;&gt;"",ISNUMBER(T337),LEFT(V337,9)&lt;&gt;"Total for",V337&lt;&gt;"Gross Profit",V337&lt;&gt;"Net Operating Revenue",V337&lt;&gt;"Net Other Revenue",V337&lt;&gt;"Net Revenue"),1,0)</f>
        <v>0</v>
      </c>
      <c r="Z337" s="36" t="str">
        <f aca="false">IF(Y337=1,IF(AND(LEN(V337)&gt;7,ISNUMBER(VALUE(LEFT(V337,6))),MID(V337,7,1)=" "),LEFT(V337,6),V337),"")</f>
        <v/>
      </c>
      <c r="AE337" s="36" t="str">
        <f aca="false">TRIM(AB337)</f>
        <v/>
      </c>
      <c r="AF337" s="36" t="str">
        <f aca="false">IF(AE337="Revenue","Revenue",IF(AE337="Cost of Goods Sold","COGS",IF(AE337="Expenditures","Expense",IF(AE337="Other Revenue","Other Revenue",IF(AE337="Other Expenditures","Other Expense",AF336)))))</f>
        <v/>
      </c>
      <c r="AG337" s="36" t="str">
        <f aca="false">IF(OR(AE337="Revenue",AE337="Cost of Goods Sold",AE337="Expenditures",AE337="Other Revenue",AE337="Other Expenditures"),AF337,IF(AND(LEN(AE337)&gt;2,MID(AE337,2,1)=" ",ISNUMBER(VALUE(LEFT(AE337,1)))),AE337,AG336))</f>
        <v/>
      </c>
      <c r="AH337" s="36" t="n">
        <f aca="false">IF(AND(AE337&lt;&gt;"",ISNUMBER(AC337),LEFT(AE337,9)&lt;&gt;"Total for",AE337&lt;&gt;"Gross Profit",AE337&lt;&gt;"Net Operating Revenue",AE337&lt;&gt;"Net Other Revenue",AE337&lt;&gt;"Net Revenue"),1,0)</f>
        <v>0</v>
      </c>
      <c r="AI337" s="36" t="str">
        <f aca="false">IF(AH337=1,IF(AND(LEN(AE337)&gt;7,ISNUMBER(VALUE(LEFT(AE337,6))),MID(AE337,7,1)=" "),LEFT(AE337,6),AE337),"")</f>
        <v/>
      </c>
      <c r="AN337" s="36" t="str">
        <f aca="false">TRIM(AK337)</f>
        <v/>
      </c>
      <c r="AO337" s="36" t="str">
        <f aca="false">IF(AN337="Revenue","Revenue",IF(AN337="Cost of Goods Sold","COGS",IF(AN337="Expenditures","Expense",IF(AN337="Other Revenue","Other Revenue",IF(AN337="Other Expenditures","Other Expense",AO336)))))</f>
        <v/>
      </c>
      <c r="AP337" s="36" t="str">
        <f aca="false">IF(OR(AN337="Revenue",AN337="Cost of Goods Sold",AN337="Expenditures",AN337="Other Revenue",AN337="Other Expenditures"),AO337,IF(AND(LEN(AN337)&gt;2,MID(AN337,2,1)=" ",ISNUMBER(VALUE(LEFT(AN337,1)))),AN337,AP336))</f>
        <v/>
      </c>
      <c r="AQ337" s="36" t="n">
        <f aca="false">IF(AND(AN337&lt;&gt;"",ISNUMBER(AL337),LEFT(AN337,9)&lt;&gt;"Total for",AN337&lt;&gt;"Gross Profit",AN337&lt;&gt;"Net Operating Revenue",AN337&lt;&gt;"Net Other Revenue",AN337&lt;&gt;"Net Revenue"),1,0)</f>
        <v>0</v>
      </c>
      <c r="AR337" s="36" t="str">
        <f aca="false">IF(AQ337=1,IF(AND(LEN(AN337)&gt;7,ISNUMBER(VALUE(LEFT(AN337,6))),MID(AN337,7,1)=" "),LEFT(AN337,6),AN337),"")</f>
        <v/>
      </c>
    </row>
    <row r="338" customFormat="false" ht="15" hidden="false" customHeight="false" outlineLevel="0" collapsed="false">
      <c r="D338" s="36" t="str">
        <f aca="false">TRIM(A338)</f>
        <v/>
      </c>
      <c r="E338" s="36" t="str">
        <f aca="false">IF(D338="Revenue","Revenue",IF(D338="Cost of Goods Sold","COGS",IF(D338="Expenditures","Expense",IF(D338="Other Revenue","Other Revenue",IF(D338="Other Expenditures","Other Expense",E337)))))</f>
        <v/>
      </c>
      <c r="F338" s="36" t="str">
        <f aca="false">IF(OR(D338="Revenue",D338="Cost of Goods Sold",D338="Expenditures",D338="Other Revenue",D338="Other Expenditures"),E338,IF(AND(LEN(D338)&gt;2,MID(D338,2,1)=" ",ISNUMBER(VALUE(LEFT(D338,1)))),D338,F337))</f>
        <v/>
      </c>
      <c r="G338" s="36" t="n">
        <f aca="false">IF(AND(D338&lt;&gt;"",ISNUMBER(B338),LEFT(D338,9)&lt;&gt;"Total for",D338&lt;&gt;"Gross Profit",D338&lt;&gt;"Net Operating Revenue",D338&lt;&gt;"Net Other Revenue",D338&lt;&gt;"Net Revenue"),1,0)</f>
        <v>0</v>
      </c>
      <c r="H338" s="36" t="str">
        <f aca="false">IF(G338=1,IF(AND(LEN(D338)&gt;7,ISNUMBER(VALUE(LEFT(D338,6))),MID(D338,7,1)=" "),LEFT(D338,6),D338),"")</f>
        <v/>
      </c>
      <c r="M338" s="36" t="str">
        <f aca="false">TRIM(J338)</f>
        <v/>
      </c>
      <c r="N338" s="36" t="str">
        <f aca="false">IF(M338="Revenue","Revenue",IF(M338="Cost of Goods Sold","COGS",IF(M338="Expenditures","Expense",IF(M338="Other Revenue","Other Revenue",IF(M338="Other Expenditures","Other Expense",N337)))))</f>
        <v/>
      </c>
      <c r="O338" s="36" t="str">
        <f aca="false">IF(OR(M338="Revenue",M338="Cost of Goods Sold",M338="Expenditures",M338="Other Revenue",M338="Other Expenditures"),N338,IF(AND(LEN(M338)&gt;2,MID(M338,2,1)=" ",ISNUMBER(VALUE(LEFT(M338,1)))),M338,O337))</f>
        <v/>
      </c>
      <c r="P338" s="36" t="n">
        <f aca="false">IF(AND(M338&lt;&gt;"",ISNUMBER(K338),LEFT(M338,9)&lt;&gt;"Total for",M338&lt;&gt;"Gross Profit",M338&lt;&gt;"Net Operating Revenue",M338&lt;&gt;"Net Other Revenue",M338&lt;&gt;"Net Revenue"),1,0)</f>
        <v>0</v>
      </c>
      <c r="Q338" s="36" t="str">
        <f aca="false">IF(P338=1,IF(AND(LEN(M338)&gt;7,ISNUMBER(VALUE(LEFT(M338,6))),MID(M338,7,1)=" "),LEFT(M338,6),M338),"")</f>
        <v/>
      </c>
      <c r="V338" s="36" t="str">
        <f aca="false">TRIM(S338)</f>
        <v/>
      </c>
      <c r="W338" s="36" t="str">
        <f aca="false">IF(V338="Revenue","Revenue",IF(V338="Cost of Goods Sold","COGS",IF(V338="Expenditures","Expense",IF(V338="Other Revenue","Other Revenue",IF(V338="Other Expenditures","Other Expense",W337)))))</f>
        <v/>
      </c>
      <c r="X338" s="36" t="str">
        <f aca="false">IF(OR(V338="Revenue",V338="Cost of Goods Sold",V338="Expenditures",V338="Other Revenue",V338="Other Expenditures"),W338,IF(AND(LEN(V338)&gt;2,MID(V338,2,1)=" ",ISNUMBER(VALUE(LEFT(V338,1)))),V338,X337))</f>
        <v/>
      </c>
      <c r="Y338" s="36" t="n">
        <f aca="false">IF(AND(V338&lt;&gt;"",ISNUMBER(T338),LEFT(V338,9)&lt;&gt;"Total for",V338&lt;&gt;"Gross Profit",V338&lt;&gt;"Net Operating Revenue",V338&lt;&gt;"Net Other Revenue",V338&lt;&gt;"Net Revenue"),1,0)</f>
        <v>0</v>
      </c>
      <c r="Z338" s="36" t="str">
        <f aca="false">IF(Y338=1,IF(AND(LEN(V338)&gt;7,ISNUMBER(VALUE(LEFT(V338,6))),MID(V338,7,1)=" "),LEFT(V338,6),V338),"")</f>
        <v/>
      </c>
      <c r="AE338" s="36" t="str">
        <f aca="false">TRIM(AB338)</f>
        <v/>
      </c>
      <c r="AF338" s="36" t="str">
        <f aca="false">IF(AE338="Revenue","Revenue",IF(AE338="Cost of Goods Sold","COGS",IF(AE338="Expenditures","Expense",IF(AE338="Other Revenue","Other Revenue",IF(AE338="Other Expenditures","Other Expense",AF337)))))</f>
        <v/>
      </c>
      <c r="AG338" s="36" t="str">
        <f aca="false">IF(OR(AE338="Revenue",AE338="Cost of Goods Sold",AE338="Expenditures",AE338="Other Revenue",AE338="Other Expenditures"),AF338,IF(AND(LEN(AE338)&gt;2,MID(AE338,2,1)=" ",ISNUMBER(VALUE(LEFT(AE338,1)))),AE338,AG337))</f>
        <v/>
      </c>
      <c r="AH338" s="36" t="n">
        <f aca="false">IF(AND(AE338&lt;&gt;"",ISNUMBER(AC338),LEFT(AE338,9)&lt;&gt;"Total for",AE338&lt;&gt;"Gross Profit",AE338&lt;&gt;"Net Operating Revenue",AE338&lt;&gt;"Net Other Revenue",AE338&lt;&gt;"Net Revenue"),1,0)</f>
        <v>0</v>
      </c>
      <c r="AI338" s="36" t="str">
        <f aca="false">IF(AH338=1,IF(AND(LEN(AE338)&gt;7,ISNUMBER(VALUE(LEFT(AE338,6))),MID(AE338,7,1)=" "),LEFT(AE338,6),AE338),"")</f>
        <v/>
      </c>
      <c r="AN338" s="36" t="str">
        <f aca="false">TRIM(AK338)</f>
        <v/>
      </c>
      <c r="AO338" s="36" t="str">
        <f aca="false">IF(AN338="Revenue","Revenue",IF(AN338="Cost of Goods Sold","COGS",IF(AN338="Expenditures","Expense",IF(AN338="Other Revenue","Other Revenue",IF(AN338="Other Expenditures","Other Expense",AO337)))))</f>
        <v/>
      </c>
      <c r="AP338" s="36" t="str">
        <f aca="false">IF(OR(AN338="Revenue",AN338="Cost of Goods Sold",AN338="Expenditures",AN338="Other Revenue",AN338="Other Expenditures"),AO338,IF(AND(LEN(AN338)&gt;2,MID(AN338,2,1)=" ",ISNUMBER(VALUE(LEFT(AN338,1)))),AN338,AP337))</f>
        <v/>
      </c>
      <c r="AQ338" s="36" t="n">
        <f aca="false">IF(AND(AN338&lt;&gt;"",ISNUMBER(AL338),LEFT(AN338,9)&lt;&gt;"Total for",AN338&lt;&gt;"Gross Profit",AN338&lt;&gt;"Net Operating Revenue",AN338&lt;&gt;"Net Other Revenue",AN338&lt;&gt;"Net Revenue"),1,0)</f>
        <v>0</v>
      </c>
      <c r="AR338" s="36" t="str">
        <f aca="false">IF(AQ338=1,IF(AND(LEN(AN338)&gt;7,ISNUMBER(VALUE(LEFT(AN338,6))),MID(AN338,7,1)=" "),LEFT(AN338,6),AN338),"")</f>
        <v/>
      </c>
    </row>
    <row r="339" customFormat="false" ht="15" hidden="false" customHeight="false" outlineLevel="0" collapsed="false">
      <c r="D339" s="36" t="str">
        <f aca="false">TRIM(A339)</f>
        <v/>
      </c>
      <c r="E339" s="36" t="str">
        <f aca="false">IF(D339="Revenue","Revenue",IF(D339="Cost of Goods Sold","COGS",IF(D339="Expenditures","Expense",IF(D339="Other Revenue","Other Revenue",IF(D339="Other Expenditures","Other Expense",E338)))))</f>
        <v/>
      </c>
      <c r="F339" s="36" t="str">
        <f aca="false">IF(OR(D339="Revenue",D339="Cost of Goods Sold",D339="Expenditures",D339="Other Revenue",D339="Other Expenditures"),E339,IF(AND(LEN(D339)&gt;2,MID(D339,2,1)=" ",ISNUMBER(VALUE(LEFT(D339,1)))),D339,F338))</f>
        <v/>
      </c>
      <c r="G339" s="36" t="n">
        <f aca="false">IF(AND(D339&lt;&gt;"",ISNUMBER(B339),LEFT(D339,9)&lt;&gt;"Total for",D339&lt;&gt;"Gross Profit",D339&lt;&gt;"Net Operating Revenue",D339&lt;&gt;"Net Other Revenue",D339&lt;&gt;"Net Revenue"),1,0)</f>
        <v>0</v>
      </c>
      <c r="H339" s="36" t="str">
        <f aca="false">IF(G339=1,IF(AND(LEN(D339)&gt;7,ISNUMBER(VALUE(LEFT(D339,6))),MID(D339,7,1)=" "),LEFT(D339,6),D339),"")</f>
        <v/>
      </c>
      <c r="M339" s="36" t="str">
        <f aca="false">TRIM(J339)</f>
        <v/>
      </c>
      <c r="N339" s="36" t="str">
        <f aca="false">IF(M339="Revenue","Revenue",IF(M339="Cost of Goods Sold","COGS",IF(M339="Expenditures","Expense",IF(M339="Other Revenue","Other Revenue",IF(M339="Other Expenditures","Other Expense",N338)))))</f>
        <v/>
      </c>
      <c r="O339" s="36" t="str">
        <f aca="false">IF(OR(M339="Revenue",M339="Cost of Goods Sold",M339="Expenditures",M339="Other Revenue",M339="Other Expenditures"),N339,IF(AND(LEN(M339)&gt;2,MID(M339,2,1)=" ",ISNUMBER(VALUE(LEFT(M339,1)))),M339,O338))</f>
        <v/>
      </c>
      <c r="P339" s="36" t="n">
        <f aca="false">IF(AND(M339&lt;&gt;"",ISNUMBER(K339),LEFT(M339,9)&lt;&gt;"Total for",M339&lt;&gt;"Gross Profit",M339&lt;&gt;"Net Operating Revenue",M339&lt;&gt;"Net Other Revenue",M339&lt;&gt;"Net Revenue"),1,0)</f>
        <v>0</v>
      </c>
      <c r="Q339" s="36" t="str">
        <f aca="false">IF(P339=1,IF(AND(LEN(M339)&gt;7,ISNUMBER(VALUE(LEFT(M339,6))),MID(M339,7,1)=" "),LEFT(M339,6),M339),"")</f>
        <v/>
      </c>
      <c r="V339" s="36" t="str">
        <f aca="false">TRIM(S339)</f>
        <v/>
      </c>
      <c r="W339" s="36" t="str">
        <f aca="false">IF(V339="Revenue","Revenue",IF(V339="Cost of Goods Sold","COGS",IF(V339="Expenditures","Expense",IF(V339="Other Revenue","Other Revenue",IF(V339="Other Expenditures","Other Expense",W338)))))</f>
        <v/>
      </c>
      <c r="X339" s="36" t="str">
        <f aca="false">IF(OR(V339="Revenue",V339="Cost of Goods Sold",V339="Expenditures",V339="Other Revenue",V339="Other Expenditures"),W339,IF(AND(LEN(V339)&gt;2,MID(V339,2,1)=" ",ISNUMBER(VALUE(LEFT(V339,1)))),V339,X338))</f>
        <v/>
      </c>
      <c r="Y339" s="36" t="n">
        <f aca="false">IF(AND(V339&lt;&gt;"",ISNUMBER(T339),LEFT(V339,9)&lt;&gt;"Total for",V339&lt;&gt;"Gross Profit",V339&lt;&gt;"Net Operating Revenue",V339&lt;&gt;"Net Other Revenue",V339&lt;&gt;"Net Revenue"),1,0)</f>
        <v>0</v>
      </c>
      <c r="Z339" s="36" t="str">
        <f aca="false">IF(Y339=1,IF(AND(LEN(V339)&gt;7,ISNUMBER(VALUE(LEFT(V339,6))),MID(V339,7,1)=" "),LEFT(V339,6),V339),"")</f>
        <v/>
      </c>
      <c r="AE339" s="36" t="str">
        <f aca="false">TRIM(AB339)</f>
        <v/>
      </c>
      <c r="AF339" s="36" t="str">
        <f aca="false">IF(AE339="Revenue","Revenue",IF(AE339="Cost of Goods Sold","COGS",IF(AE339="Expenditures","Expense",IF(AE339="Other Revenue","Other Revenue",IF(AE339="Other Expenditures","Other Expense",AF338)))))</f>
        <v/>
      </c>
      <c r="AG339" s="36" t="str">
        <f aca="false">IF(OR(AE339="Revenue",AE339="Cost of Goods Sold",AE339="Expenditures",AE339="Other Revenue",AE339="Other Expenditures"),AF339,IF(AND(LEN(AE339)&gt;2,MID(AE339,2,1)=" ",ISNUMBER(VALUE(LEFT(AE339,1)))),AE339,AG338))</f>
        <v/>
      </c>
      <c r="AH339" s="36" t="n">
        <f aca="false">IF(AND(AE339&lt;&gt;"",ISNUMBER(AC339),LEFT(AE339,9)&lt;&gt;"Total for",AE339&lt;&gt;"Gross Profit",AE339&lt;&gt;"Net Operating Revenue",AE339&lt;&gt;"Net Other Revenue",AE339&lt;&gt;"Net Revenue"),1,0)</f>
        <v>0</v>
      </c>
      <c r="AI339" s="36" t="str">
        <f aca="false">IF(AH339=1,IF(AND(LEN(AE339)&gt;7,ISNUMBER(VALUE(LEFT(AE339,6))),MID(AE339,7,1)=" "),LEFT(AE339,6),AE339),"")</f>
        <v/>
      </c>
      <c r="AN339" s="36" t="str">
        <f aca="false">TRIM(AK339)</f>
        <v/>
      </c>
      <c r="AO339" s="36" t="str">
        <f aca="false">IF(AN339="Revenue","Revenue",IF(AN339="Cost of Goods Sold","COGS",IF(AN339="Expenditures","Expense",IF(AN339="Other Revenue","Other Revenue",IF(AN339="Other Expenditures","Other Expense",AO338)))))</f>
        <v/>
      </c>
      <c r="AP339" s="36" t="str">
        <f aca="false">IF(OR(AN339="Revenue",AN339="Cost of Goods Sold",AN339="Expenditures",AN339="Other Revenue",AN339="Other Expenditures"),AO339,IF(AND(LEN(AN339)&gt;2,MID(AN339,2,1)=" ",ISNUMBER(VALUE(LEFT(AN339,1)))),AN339,AP338))</f>
        <v/>
      </c>
      <c r="AQ339" s="36" t="n">
        <f aca="false">IF(AND(AN339&lt;&gt;"",ISNUMBER(AL339),LEFT(AN339,9)&lt;&gt;"Total for",AN339&lt;&gt;"Gross Profit",AN339&lt;&gt;"Net Operating Revenue",AN339&lt;&gt;"Net Other Revenue",AN339&lt;&gt;"Net Revenue"),1,0)</f>
        <v>0</v>
      </c>
      <c r="AR339" s="36" t="str">
        <f aca="false">IF(AQ339=1,IF(AND(LEN(AN339)&gt;7,ISNUMBER(VALUE(LEFT(AN339,6))),MID(AN339,7,1)=" "),LEFT(AN339,6),AN339),"")</f>
        <v/>
      </c>
    </row>
    <row r="340" customFormat="false" ht="15" hidden="false" customHeight="false" outlineLevel="0" collapsed="false">
      <c r="D340" s="36" t="str">
        <f aca="false">TRIM(A340)</f>
        <v/>
      </c>
      <c r="E340" s="36" t="str">
        <f aca="false">IF(D340="Revenue","Revenue",IF(D340="Cost of Goods Sold","COGS",IF(D340="Expenditures","Expense",IF(D340="Other Revenue","Other Revenue",IF(D340="Other Expenditures","Other Expense",E339)))))</f>
        <v/>
      </c>
      <c r="F340" s="36" t="str">
        <f aca="false">IF(OR(D340="Revenue",D340="Cost of Goods Sold",D340="Expenditures",D340="Other Revenue",D340="Other Expenditures"),E340,IF(AND(LEN(D340)&gt;2,MID(D340,2,1)=" ",ISNUMBER(VALUE(LEFT(D340,1)))),D340,F339))</f>
        <v/>
      </c>
      <c r="G340" s="36" t="n">
        <f aca="false">IF(AND(D340&lt;&gt;"",ISNUMBER(B340),LEFT(D340,9)&lt;&gt;"Total for",D340&lt;&gt;"Gross Profit",D340&lt;&gt;"Net Operating Revenue",D340&lt;&gt;"Net Other Revenue",D340&lt;&gt;"Net Revenue"),1,0)</f>
        <v>0</v>
      </c>
      <c r="H340" s="36" t="str">
        <f aca="false">IF(G340=1,IF(AND(LEN(D340)&gt;7,ISNUMBER(VALUE(LEFT(D340,6))),MID(D340,7,1)=" "),LEFT(D340,6),D340),"")</f>
        <v/>
      </c>
      <c r="M340" s="36" t="str">
        <f aca="false">TRIM(J340)</f>
        <v/>
      </c>
      <c r="N340" s="36" t="str">
        <f aca="false">IF(M340="Revenue","Revenue",IF(M340="Cost of Goods Sold","COGS",IF(M340="Expenditures","Expense",IF(M340="Other Revenue","Other Revenue",IF(M340="Other Expenditures","Other Expense",N339)))))</f>
        <v/>
      </c>
      <c r="O340" s="36" t="str">
        <f aca="false">IF(OR(M340="Revenue",M340="Cost of Goods Sold",M340="Expenditures",M340="Other Revenue",M340="Other Expenditures"),N340,IF(AND(LEN(M340)&gt;2,MID(M340,2,1)=" ",ISNUMBER(VALUE(LEFT(M340,1)))),M340,O339))</f>
        <v/>
      </c>
      <c r="P340" s="36" t="n">
        <f aca="false">IF(AND(M340&lt;&gt;"",ISNUMBER(K340),LEFT(M340,9)&lt;&gt;"Total for",M340&lt;&gt;"Gross Profit",M340&lt;&gt;"Net Operating Revenue",M340&lt;&gt;"Net Other Revenue",M340&lt;&gt;"Net Revenue"),1,0)</f>
        <v>0</v>
      </c>
      <c r="Q340" s="36" t="str">
        <f aca="false">IF(P340=1,IF(AND(LEN(M340)&gt;7,ISNUMBER(VALUE(LEFT(M340,6))),MID(M340,7,1)=" "),LEFT(M340,6),M340),"")</f>
        <v/>
      </c>
      <c r="V340" s="36" t="str">
        <f aca="false">TRIM(S340)</f>
        <v/>
      </c>
      <c r="W340" s="36" t="str">
        <f aca="false">IF(V340="Revenue","Revenue",IF(V340="Cost of Goods Sold","COGS",IF(V340="Expenditures","Expense",IF(V340="Other Revenue","Other Revenue",IF(V340="Other Expenditures","Other Expense",W339)))))</f>
        <v/>
      </c>
      <c r="X340" s="36" t="str">
        <f aca="false">IF(OR(V340="Revenue",V340="Cost of Goods Sold",V340="Expenditures",V340="Other Revenue",V340="Other Expenditures"),W340,IF(AND(LEN(V340)&gt;2,MID(V340,2,1)=" ",ISNUMBER(VALUE(LEFT(V340,1)))),V340,X339))</f>
        <v/>
      </c>
      <c r="Y340" s="36" t="n">
        <f aca="false">IF(AND(V340&lt;&gt;"",ISNUMBER(T340),LEFT(V340,9)&lt;&gt;"Total for",V340&lt;&gt;"Gross Profit",V340&lt;&gt;"Net Operating Revenue",V340&lt;&gt;"Net Other Revenue",V340&lt;&gt;"Net Revenue"),1,0)</f>
        <v>0</v>
      </c>
      <c r="Z340" s="36" t="str">
        <f aca="false">IF(Y340=1,IF(AND(LEN(V340)&gt;7,ISNUMBER(VALUE(LEFT(V340,6))),MID(V340,7,1)=" "),LEFT(V340,6),V340),"")</f>
        <v/>
      </c>
      <c r="AE340" s="36" t="str">
        <f aca="false">TRIM(AB340)</f>
        <v/>
      </c>
      <c r="AF340" s="36" t="str">
        <f aca="false">IF(AE340="Revenue","Revenue",IF(AE340="Cost of Goods Sold","COGS",IF(AE340="Expenditures","Expense",IF(AE340="Other Revenue","Other Revenue",IF(AE340="Other Expenditures","Other Expense",AF339)))))</f>
        <v/>
      </c>
      <c r="AG340" s="36" t="str">
        <f aca="false">IF(OR(AE340="Revenue",AE340="Cost of Goods Sold",AE340="Expenditures",AE340="Other Revenue",AE340="Other Expenditures"),AF340,IF(AND(LEN(AE340)&gt;2,MID(AE340,2,1)=" ",ISNUMBER(VALUE(LEFT(AE340,1)))),AE340,AG339))</f>
        <v/>
      </c>
      <c r="AH340" s="36" t="n">
        <f aca="false">IF(AND(AE340&lt;&gt;"",ISNUMBER(AC340),LEFT(AE340,9)&lt;&gt;"Total for",AE340&lt;&gt;"Gross Profit",AE340&lt;&gt;"Net Operating Revenue",AE340&lt;&gt;"Net Other Revenue",AE340&lt;&gt;"Net Revenue"),1,0)</f>
        <v>0</v>
      </c>
      <c r="AI340" s="36" t="str">
        <f aca="false">IF(AH340=1,IF(AND(LEN(AE340)&gt;7,ISNUMBER(VALUE(LEFT(AE340,6))),MID(AE340,7,1)=" "),LEFT(AE340,6),AE340),"")</f>
        <v/>
      </c>
      <c r="AN340" s="36" t="str">
        <f aca="false">TRIM(AK340)</f>
        <v/>
      </c>
      <c r="AO340" s="36" t="str">
        <f aca="false">IF(AN340="Revenue","Revenue",IF(AN340="Cost of Goods Sold","COGS",IF(AN340="Expenditures","Expense",IF(AN340="Other Revenue","Other Revenue",IF(AN340="Other Expenditures","Other Expense",AO339)))))</f>
        <v/>
      </c>
      <c r="AP340" s="36" t="str">
        <f aca="false">IF(OR(AN340="Revenue",AN340="Cost of Goods Sold",AN340="Expenditures",AN340="Other Revenue",AN340="Other Expenditures"),AO340,IF(AND(LEN(AN340)&gt;2,MID(AN340,2,1)=" ",ISNUMBER(VALUE(LEFT(AN340,1)))),AN340,AP339))</f>
        <v/>
      </c>
      <c r="AQ340" s="36" t="n">
        <f aca="false">IF(AND(AN340&lt;&gt;"",ISNUMBER(AL340),LEFT(AN340,9)&lt;&gt;"Total for",AN340&lt;&gt;"Gross Profit",AN340&lt;&gt;"Net Operating Revenue",AN340&lt;&gt;"Net Other Revenue",AN340&lt;&gt;"Net Revenue"),1,0)</f>
        <v>0</v>
      </c>
      <c r="AR340" s="36" t="str">
        <f aca="false">IF(AQ340=1,IF(AND(LEN(AN340)&gt;7,ISNUMBER(VALUE(LEFT(AN340,6))),MID(AN340,7,1)=" "),LEFT(AN340,6),AN340),"")</f>
        <v/>
      </c>
    </row>
    <row r="341" customFormat="false" ht="15" hidden="false" customHeight="false" outlineLevel="0" collapsed="false">
      <c r="D341" s="36" t="str">
        <f aca="false">TRIM(A341)</f>
        <v/>
      </c>
      <c r="E341" s="36" t="str">
        <f aca="false">IF(D341="Revenue","Revenue",IF(D341="Cost of Goods Sold","COGS",IF(D341="Expenditures","Expense",IF(D341="Other Revenue","Other Revenue",IF(D341="Other Expenditures","Other Expense",E340)))))</f>
        <v/>
      </c>
      <c r="F341" s="36" t="str">
        <f aca="false">IF(OR(D341="Revenue",D341="Cost of Goods Sold",D341="Expenditures",D341="Other Revenue",D341="Other Expenditures"),E341,IF(AND(LEN(D341)&gt;2,MID(D341,2,1)=" ",ISNUMBER(VALUE(LEFT(D341,1)))),D341,F340))</f>
        <v/>
      </c>
      <c r="G341" s="36" t="n">
        <f aca="false">IF(AND(D341&lt;&gt;"",ISNUMBER(B341),LEFT(D341,9)&lt;&gt;"Total for",D341&lt;&gt;"Gross Profit",D341&lt;&gt;"Net Operating Revenue",D341&lt;&gt;"Net Other Revenue",D341&lt;&gt;"Net Revenue"),1,0)</f>
        <v>0</v>
      </c>
      <c r="H341" s="36" t="str">
        <f aca="false">IF(G341=1,IF(AND(LEN(D341)&gt;7,ISNUMBER(VALUE(LEFT(D341,6))),MID(D341,7,1)=" "),LEFT(D341,6),D341),"")</f>
        <v/>
      </c>
      <c r="M341" s="36" t="str">
        <f aca="false">TRIM(J341)</f>
        <v/>
      </c>
      <c r="N341" s="36" t="str">
        <f aca="false">IF(M341="Revenue","Revenue",IF(M341="Cost of Goods Sold","COGS",IF(M341="Expenditures","Expense",IF(M341="Other Revenue","Other Revenue",IF(M341="Other Expenditures","Other Expense",N340)))))</f>
        <v/>
      </c>
      <c r="O341" s="36" t="str">
        <f aca="false">IF(OR(M341="Revenue",M341="Cost of Goods Sold",M341="Expenditures",M341="Other Revenue",M341="Other Expenditures"),N341,IF(AND(LEN(M341)&gt;2,MID(M341,2,1)=" ",ISNUMBER(VALUE(LEFT(M341,1)))),M341,O340))</f>
        <v/>
      </c>
      <c r="P341" s="36" t="n">
        <f aca="false">IF(AND(M341&lt;&gt;"",ISNUMBER(K341),LEFT(M341,9)&lt;&gt;"Total for",M341&lt;&gt;"Gross Profit",M341&lt;&gt;"Net Operating Revenue",M341&lt;&gt;"Net Other Revenue",M341&lt;&gt;"Net Revenue"),1,0)</f>
        <v>0</v>
      </c>
      <c r="Q341" s="36" t="str">
        <f aca="false">IF(P341=1,IF(AND(LEN(M341)&gt;7,ISNUMBER(VALUE(LEFT(M341,6))),MID(M341,7,1)=" "),LEFT(M341,6),M341),"")</f>
        <v/>
      </c>
      <c r="V341" s="36" t="str">
        <f aca="false">TRIM(S341)</f>
        <v/>
      </c>
      <c r="W341" s="36" t="str">
        <f aca="false">IF(V341="Revenue","Revenue",IF(V341="Cost of Goods Sold","COGS",IF(V341="Expenditures","Expense",IF(V341="Other Revenue","Other Revenue",IF(V341="Other Expenditures","Other Expense",W340)))))</f>
        <v/>
      </c>
      <c r="X341" s="36" t="str">
        <f aca="false">IF(OR(V341="Revenue",V341="Cost of Goods Sold",V341="Expenditures",V341="Other Revenue",V341="Other Expenditures"),W341,IF(AND(LEN(V341)&gt;2,MID(V341,2,1)=" ",ISNUMBER(VALUE(LEFT(V341,1)))),V341,X340))</f>
        <v/>
      </c>
      <c r="Y341" s="36" t="n">
        <f aca="false">IF(AND(V341&lt;&gt;"",ISNUMBER(T341),LEFT(V341,9)&lt;&gt;"Total for",V341&lt;&gt;"Gross Profit",V341&lt;&gt;"Net Operating Revenue",V341&lt;&gt;"Net Other Revenue",V341&lt;&gt;"Net Revenue"),1,0)</f>
        <v>0</v>
      </c>
      <c r="Z341" s="36" t="str">
        <f aca="false">IF(Y341=1,IF(AND(LEN(V341)&gt;7,ISNUMBER(VALUE(LEFT(V341,6))),MID(V341,7,1)=" "),LEFT(V341,6),V341),"")</f>
        <v/>
      </c>
      <c r="AE341" s="36" t="str">
        <f aca="false">TRIM(AB341)</f>
        <v/>
      </c>
      <c r="AF341" s="36" t="str">
        <f aca="false">IF(AE341="Revenue","Revenue",IF(AE341="Cost of Goods Sold","COGS",IF(AE341="Expenditures","Expense",IF(AE341="Other Revenue","Other Revenue",IF(AE341="Other Expenditures","Other Expense",AF340)))))</f>
        <v/>
      </c>
      <c r="AG341" s="36" t="str">
        <f aca="false">IF(OR(AE341="Revenue",AE341="Cost of Goods Sold",AE341="Expenditures",AE341="Other Revenue",AE341="Other Expenditures"),AF341,IF(AND(LEN(AE341)&gt;2,MID(AE341,2,1)=" ",ISNUMBER(VALUE(LEFT(AE341,1)))),AE341,AG340))</f>
        <v/>
      </c>
      <c r="AH341" s="36" t="n">
        <f aca="false">IF(AND(AE341&lt;&gt;"",ISNUMBER(AC341),LEFT(AE341,9)&lt;&gt;"Total for",AE341&lt;&gt;"Gross Profit",AE341&lt;&gt;"Net Operating Revenue",AE341&lt;&gt;"Net Other Revenue",AE341&lt;&gt;"Net Revenue"),1,0)</f>
        <v>0</v>
      </c>
      <c r="AI341" s="36" t="str">
        <f aca="false">IF(AH341=1,IF(AND(LEN(AE341)&gt;7,ISNUMBER(VALUE(LEFT(AE341,6))),MID(AE341,7,1)=" "),LEFT(AE341,6),AE341),"")</f>
        <v/>
      </c>
      <c r="AN341" s="36" t="str">
        <f aca="false">TRIM(AK341)</f>
        <v/>
      </c>
      <c r="AO341" s="36" t="str">
        <f aca="false">IF(AN341="Revenue","Revenue",IF(AN341="Cost of Goods Sold","COGS",IF(AN341="Expenditures","Expense",IF(AN341="Other Revenue","Other Revenue",IF(AN341="Other Expenditures","Other Expense",AO340)))))</f>
        <v/>
      </c>
      <c r="AP341" s="36" t="str">
        <f aca="false">IF(OR(AN341="Revenue",AN341="Cost of Goods Sold",AN341="Expenditures",AN341="Other Revenue",AN341="Other Expenditures"),AO341,IF(AND(LEN(AN341)&gt;2,MID(AN341,2,1)=" ",ISNUMBER(VALUE(LEFT(AN341,1)))),AN341,AP340))</f>
        <v/>
      </c>
      <c r="AQ341" s="36" t="n">
        <f aca="false">IF(AND(AN341&lt;&gt;"",ISNUMBER(AL341),LEFT(AN341,9)&lt;&gt;"Total for",AN341&lt;&gt;"Gross Profit",AN341&lt;&gt;"Net Operating Revenue",AN341&lt;&gt;"Net Other Revenue",AN341&lt;&gt;"Net Revenue"),1,0)</f>
        <v>0</v>
      </c>
      <c r="AR341" s="36" t="str">
        <f aca="false">IF(AQ341=1,IF(AND(LEN(AN341)&gt;7,ISNUMBER(VALUE(LEFT(AN341,6))),MID(AN341,7,1)=" "),LEFT(AN341,6),AN341),"")</f>
        <v/>
      </c>
    </row>
    <row r="342" customFormat="false" ht="15" hidden="false" customHeight="false" outlineLevel="0" collapsed="false">
      <c r="D342" s="36" t="str">
        <f aca="false">TRIM(A342)</f>
        <v/>
      </c>
      <c r="E342" s="36" t="str">
        <f aca="false">IF(D342="Revenue","Revenue",IF(D342="Cost of Goods Sold","COGS",IF(D342="Expenditures","Expense",IF(D342="Other Revenue","Other Revenue",IF(D342="Other Expenditures","Other Expense",E341)))))</f>
        <v/>
      </c>
      <c r="F342" s="36" t="str">
        <f aca="false">IF(OR(D342="Revenue",D342="Cost of Goods Sold",D342="Expenditures",D342="Other Revenue",D342="Other Expenditures"),E342,IF(AND(LEN(D342)&gt;2,MID(D342,2,1)=" ",ISNUMBER(VALUE(LEFT(D342,1)))),D342,F341))</f>
        <v/>
      </c>
      <c r="G342" s="36" t="n">
        <f aca="false">IF(AND(D342&lt;&gt;"",ISNUMBER(B342),LEFT(D342,9)&lt;&gt;"Total for",D342&lt;&gt;"Gross Profit",D342&lt;&gt;"Net Operating Revenue",D342&lt;&gt;"Net Other Revenue",D342&lt;&gt;"Net Revenue"),1,0)</f>
        <v>0</v>
      </c>
      <c r="H342" s="36" t="str">
        <f aca="false">IF(G342=1,IF(AND(LEN(D342)&gt;7,ISNUMBER(VALUE(LEFT(D342,6))),MID(D342,7,1)=" "),LEFT(D342,6),D342),"")</f>
        <v/>
      </c>
      <c r="M342" s="36" t="str">
        <f aca="false">TRIM(J342)</f>
        <v/>
      </c>
      <c r="N342" s="36" t="str">
        <f aca="false">IF(M342="Revenue","Revenue",IF(M342="Cost of Goods Sold","COGS",IF(M342="Expenditures","Expense",IF(M342="Other Revenue","Other Revenue",IF(M342="Other Expenditures","Other Expense",N341)))))</f>
        <v/>
      </c>
      <c r="O342" s="36" t="str">
        <f aca="false">IF(OR(M342="Revenue",M342="Cost of Goods Sold",M342="Expenditures",M342="Other Revenue",M342="Other Expenditures"),N342,IF(AND(LEN(M342)&gt;2,MID(M342,2,1)=" ",ISNUMBER(VALUE(LEFT(M342,1)))),M342,O341))</f>
        <v/>
      </c>
      <c r="P342" s="36" t="n">
        <f aca="false">IF(AND(M342&lt;&gt;"",ISNUMBER(K342),LEFT(M342,9)&lt;&gt;"Total for",M342&lt;&gt;"Gross Profit",M342&lt;&gt;"Net Operating Revenue",M342&lt;&gt;"Net Other Revenue",M342&lt;&gt;"Net Revenue"),1,0)</f>
        <v>0</v>
      </c>
      <c r="Q342" s="36" t="str">
        <f aca="false">IF(P342=1,IF(AND(LEN(M342)&gt;7,ISNUMBER(VALUE(LEFT(M342,6))),MID(M342,7,1)=" "),LEFT(M342,6),M342),"")</f>
        <v/>
      </c>
      <c r="V342" s="36" t="str">
        <f aca="false">TRIM(S342)</f>
        <v/>
      </c>
      <c r="W342" s="36" t="str">
        <f aca="false">IF(V342="Revenue","Revenue",IF(V342="Cost of Goods Sold","COGS",IF(V342="Expenditures","Expense",IF(V342="Other Revenue","Other Revenue",IF(V342="Other Expenditures","Other Expense",W341)))))</f>
        <v/>
      </c>
      <c r="X342" s="36" t="str">
        <f aca="false">IF(OR(V342="Revenue",V342="Cost of Goods Sold",V342="Expenditures",V342="Other Revenue",V342="Other Expenditures"),W342,IF(AND(LEN(V342)&gt;2,MID(V342,2,1)=" ",ISNUMBER(VALUE(LEFT(V342,1)))),V342,X341))</f>
        <v/>
      </c>
      <c r="Y342" s="36" t="n">
        <f aca="false">IF(AND(V342&lt;&gt;"",ISNUMBER(T342),LEFT(V342,9)&lt;&gt;"Total for",V342&lt;&gt;"Gross Profit",V342&lt;&gt;"Net Operating Revenue",V342&lt;&gt;"Net Other Revenue",V342&lt;&gt;"Net Revenue"),1,0)</f>
        <v>0</v>
      </c>
      <c r="Z342" s="36" t="str">
        <f aca="false">IF(Y342=1,IF(AND(LEN(V342)&gt;7,ISNUMBER(VALUE(LEFT(V342,6))),MID(V342,7,1)=" "),LEFT(V342,6),V342),"")</f>
        <v/>
      </c>
      <c r="AE342" s="36" t="str">
        <f aca="false">TRIM(AB342)</f>
        <v/>
      </c>
      <c r="AF342" s="36" t="str">
        <f aca="false">IF(AE342="Revenue","Revenue",IF(AE342="Cost of Goods Sold","COGS",IF(AE342="Expenditures","Expense",IF(AE342="Other Revenue","Other Revenue",IF(AE342="Other Expenditures","Other Expense",AF341)))))</f>
        <v/>
      </c>
      <c r="AG342" s="36" t="str">
        <f aca="false">IF(OR(AE342="Revenue",AE342="Cost of Goods Sold",AE342="Expenditures",AE342="Other Revenue",AE342="Other Expenditures"),AF342,IF(AND(LEN(AE342)&gt;2,MID(AE342,2,1)=" ",ISNUMBER(VALUE(LEFT(AE342,1)))),AE342,AG341))</f>
        <v/>
      </c>
      <c r="AH342" s="36" t="n">
        <f aca="false">IF(AND(AE342&lt;&gt;"",ISNUMBER(AC342),LEFT(AE342,9)&lt;&gt;"Total for",AE342&lt;&gt;"Gross Profit",AE342&lt;&gt;"Net Operating Revenue",AE342&lt;&gt;"Net Other Revenue",AE342&lt;&gt;"Net Revenue"),1,0)</f>
        <v>0</v>
      </c>
      <c r="AI342" s="36" t="str">
        <f aca="false">IF(AH342=1,IF(AND(LEN(AE342)&gt;7,ISNUMBER(VALUE(LEFT(AE342,6))),MID(AE342,7,1)=" "),LEFT(AE342,6),AE342),"")</f>
        <v/>
      </c>
      <c r="AN342" s="36" t="str">
        <f aca="false">TRIM(AK342)</f>
        <v/>
      </c>
      <c r="AO342" s="36" t="str">
        <f aca="false">IF(AN342="Revenue","Revenue",IF(AN342="Cost of Goods Sold","COGS",IF(AN342="Expenditures","Expense",IF(AN342="Other Revenue","Other Revenue",IF(AN342="Other Expenditures","Other Expense",AO341)))))</f>
        <v/>
      </c>
      <c r="AP342" s="36" t="str">
        <f aca="false">IF(OR(AN342="Revenue",AN342="Cost of Goods Sold",AN342="Expenditures",AN342="Other Revenue",AN342="Other Expenditures"),AO342,IF(AND(LEN(AN342)&gt;2,MID(AN342,2,1)=" ",ISNUMBER(VALUE(LEFT(AN342,1)))),AN342,AP341))</f>
        <v/>
      </c>
      <c r="AQ342" s="36" t="n">
        <f aca="false">IF(AND(AN342&lt;&gt;"",ISNUMBER(AL342),LEFT(AN342,9)&lt;&gt;"Total for",AN342&lt;&gt;"Gross Profit",AN342&lt;&gt;"Net Operating Revenue",AN342&lt;&gt;"Net Other Revenue",AN342&lt;&gt;"Net Revenue"),1,0)</f>
        <v>0</v>
      </c>
      <c r="AR342" s="36" t="str">
        <f aca="false">IF(AQ342=1,IF(AND(LEN(AN342)&gt;7,ISNUMBER(VALUE(LEFT(AN342,6))),MID(AN342,7,1)=" "),LEFT(AN342,6),AN342),"")</f>
        <v/>
      </c>
    </row>
    <row r="343" customFormat="false" ht="15" hidden="false" customHeight="false" outlineLevel="0" collapsed="false">
      <c r="D343" s="36" t="str">
        <f aca="false">TRIM(A343)</f>
        <v/>
      </c>
      <c r="E343" s="36" t="str">
        <f aca="false">IF(D343="Revenue","Revenue",IF(D343="Cost of Goods Sold","COGS",IF(D343="Expenditures","Expense",IF(D343="Other Revenue","Other Revenue",IF(D343="Other Expenditures","Other Expense",E342)))))</f>
        <v/>
      </c>
      <c r="F343" s="36" t="str">
        <f aca="false">IF(OR(D343="Revenue",D343="Cost of Goods Sold",D343="Expenditures",D343="Other Revenue",D343="Other Expenditures"),E343,IF(AND(LEN(D343)&gt;2,MID(D343,2,1)=" ",ISNUMBER(VALUE(LEFT(D343,1)))),D343,F342))</f>
        <v/>
      </c>
      <c r="G343" s="36" t="n">
        <f aca="false">IF(AND(D343&lt;&gt;"",ISNUMBER(B343),LEFT(D343,9)&lt;&gt;"Total for",D343&lt;&gt;"Gross Profit",D343&lt;&gt;"Net Operating Revenue",D343&lt;&gt;"Net Other Revenue",D343&lt;&gt;"Net Revenue"),1,0)</f>
        <v>0</v>
      </c>
      <c r="H343" s="36" t="str">
        <f aca="false">IF(G343=1,IF(AND(LEN(D343)&gt;7,ISNUMBER(VALUE(LEFT(D343,6))),MID(D343,7,1)=" "),LEFT(D343,6),D343),"")</f>
        <v/>
      </c>
      <c r="M343" s="36" t="str">
        <f aca="false">TRIM(J343)</f>
        <v/>
      </c>
      <c r="N343" s="36" t="str">
        <f aca="false">IF(M343="Revenue","Revenue",IF(M343="Cost of Goods Sold","COGS",IF(M343="Expenditures","Expense",IF(M343="Other Revenue","Other Revenue",IF(M343="Other Expenditures","Other Expense",N342)))))</f>
        <v/>
      </c>
      <c r="O343" s="36" t="str">
        <f aca="false">IF(OR(M343="Revenue",M343="Cost of Goods Sold",M343="Expenditures",M343="Other Revenue",M343="Other Expenditures"),N343,IF(AND(LEN(M343)&gt;2,MID(M343,2,1)=" ",ISNUMBER(VALUE(LEFT(M343,1)))),M343,O342))</f>
        <v/>
      </c>
      <c r="P343" s="36" t="n">
        <f aca="false">IF(AND(M343&lt;&gt;"",ISNUMBER(K343),LEFT(M343,9)&lt;&gt;"Total for",M343&lt;&gt;"Gross Profit",M343&lt;&gt;"Net Operating Revenue",M343&lt;&gt;"Net Other Revenue",M343&lt;&gt;"Net Revenue"),1,0)</f>
        <v>0</v>
      </c>
      <c r="Q343" s="36" t="str">
        <f aca="false">IF(P343=1,IF(AND(LEN(M343)&gt;7,ISNUMBER(VALUE(LEFT(M343,6))),MID(M343,7,1)=" "),LEFT(M343,6),M343),"")</f>
        <v/>
      </c>
      <c r="V343" s="36" t="str">
        <f aca="false">TRIM(S343)</f>
        <v/>
      </c>
      <c r="W343" s="36" t="str">
        <f aca="false">IF(V343="Revenue","Revenue",IF(V343="Cost of Goods Sold","COGS",IF(V343="Expenditures","Expense",IF(V343="Other Revenue","Other Revenue",IF(V343="Other Expenditures","Other Expense",W342)))))</f>
        <v/>
      </c>
      <c r="X343" s="36" t="str">
        <f aca="false">IF(OR(V343="Revenue",V343="Cost of Goods Sold",V343="Expenditures",V343="Other Revenue",V343="Other Expenditures"),W343,IF(AND(LEN(V343)&gt;2,MID(V343,2,1)=" ",ISNUMBER(VALUE(LEFT(V343,1)))),V343,X342))</f>
        <v/>
      </c>
      <c r="Y343" s="36" t="n">
        <f aca="false">IF(AND(V343&lt;&gt;"",ISNUMBER(T343),LEFT(V343,9)&lt;&gt;"Total for",V343&lt;&gt;"Gross Profit",V343&lt;&gt;"Net Operating Revenue",V343&lt;&gt;"Net Other Revenue",V343&lt;&gt;"Net Revenue"),1,0)</f>
        <v>0</v>
      </c>
      <c r="Z343" s="36" t="str">
        <f aca="false">IF(Y343=1,IF(AND(LEN(V343)&gt;7,ISNUMBER(VALUE(LEFT(V343,6))),MID(V343,7,1)=" "),LEFT(V343,6),V343),"")</f>
        <v/>
      </c>
      <c r="AE343" s="36" t="str">
        <f aca="false">TRIM(AB343)</f>
        <v/>
      </c>
      <c r="AF343" s="36" t="str">
        <f aca="false">IF(AE343="Revenue","Revenue",IF(AE343="Cost of Goods Sold","COGS",IF(AE343="Expenditures","Expense",IF(AE343="Other Revenue","Other Revenue",IF(AE343="Other Expenditures","Other Expense",AF342)))))</f>
        <v/>
      </c>
      <c r="AG343" s="36" t="str">
        <f aca="false">IF(OR(AE343="Revenue",AE343="Cost of Goods Sold",AE343="Expenditures",AE343="Other Revenue",AE343="Other Expenditures"),AF343,IF(AND(LEN(AE343)&gt;2,MID(AE343,2,1)=" ",ISNUMBER(VALUE(LEFT(AE343,1)))),AE343,AG342))</f>
        <v/>
      </c>
      <c r="AH343" s="36" t="n">
        <f aca="false">IF(AND(AE343&lt;&gt;"",ISNUMBER(AC343),LEFT(AE343,9)&lt;&gt;"Total for",AE343&lt;&gt;"Gross Profit",AE343&lt;&gt;"Net Operating Revenue",AE343&lt;&gt;"Net Other Revenue",AE343&lt;&gt;"Net Revenue"),1,0)</f>
        <v>0</v>
      </c>
      <c r="AI343" s="36" t="str">
        <f aca="false">IF(AH343=1,IF(AND(LEN(AE343)&gt;7,ISNUMBER(VALUE(LEFT(AE343,6))),MID(AE343,7,1)=" "),LEFT(AE343,6),AE343),"")</f>
        <v/>
      </c>
      <c r="AN343" s="36" t="str">
        <f aca="false">TRIM(AK343)</f>
        <v/>
      </c>
      <c r="AO343" s="36" t="str">
        <f aca="false">IF(AN343="Revenue","Revenue",IF(AN343="Cost of Goods Sold","COGS",IF(AN343="Expenditures","Expense",IF(AN343="Other Revenue","Other Revenue",IF(AN343="Other Expenditures","Other Expense",AO342)))))</f>
        <v/>
      </c>
      <c r="AP343" s="36" t="str">
        <f aca="false">IF(OR(AN343="Revenue",AN343="Cost of Goods Sold",AN343="Expenditures",AN343="Other Revenue",AN343="Other Expenditures"),AO343,IF(AND(LEN(AN343)&gt;2,MID(AN343,2,1)=" ",ISNUMBER(VALUE(LEFT(AN343,1)))),AN343,AP342))</f>
        <v/>
      </c>
      <c r="AQ343" s="36" t="n">
        <f aca="false">IF(AND(AN343&lt;&gt;"",ISNUMBER(AL343),LEFT(AN343,9)&lt;&gt;"Total for",AN343&lt;&gt;"Gross Profit",AN343&lt;&gt;"Net Operating Revenue",AN343&lt;&gt;"Net Other Revenue",AN343&lt;&gt;"Net Revenue"),1,0)</f>
        <v>0</v>
      </c>
      <c r="AR343" s="36" t="str">
        <f aca="false">IF(AQ343=1,IF(AND(LEN(AN343)&gt;7,ISNUMBER(VALUE(LEFT(AN343,6))),MID(AN343,7,1)=" "),LEFT(AN343,6),AN343),"")</f>
        <v/>
      </c>
    </row>
    <row r="344" customFormat="false" ht="15" hidden="false" customHeight="false" outlineLevel="0" collapsed="false">
      <c r="D344" s="36" t="str">
        <f aca="false">TRIM(A344)</f>
        <v/>
      </c>
      <c r="E344" s="36" t="str">
        <f aca="false">IF(D344="Revenue","Revenue",IF(D344="Cost of Goods Sold","COGS",IF(D344="Expenditures","Expense",IF(D344="Other Revenue","Other Revenue",IF(D344="Other Expenditures","Other Expense",E343)))))</f>
        <v/>
      </c>
      <c r="F344" s="36" t="str">
        <f aca="false">IF(OR(D344="Revenue",D344="Cost of Goods Sold",D344="Expenditures",D344="Other Revenue",D344="Other Expenditures"),E344,IF(AND(LEN(D344)&gt;2,MID(D344,2,1)=" ",ISNUMBER(VALUE(LEFT(D344,1)))),D344,F343))</f>
        <v/>
      </c>
      <c r="G344" s="36" t="n">
        <f aca="false">IF(AND(D344&lt;&gt;"",ISNUMBER(B344),LEFT(D344,9)&lt;&gt;"Total for",D344&lt;&gt;"Gross Profit",D344&lt;&gt;"Net Operating Revenue",D344&lt;&gt;"Net Other Revenue",D344&lt;&gt;"Net Revenue"),1,0)</f>
        <v>0</v>
      </c>
      <c r="H344" s="36" t="str">
        <f aca="false">IF(G344=1,IF(AND(LEN(D344)&gt;7,ISNUMBER(VALUE(LEFT(D344,6))),MID(D344,7,1)=" "),LEFT(D344,6),D344),"")</f>
        <v/>
      </c>
      <c r="M344" s="36" t="str">
        <f aca="false">TRIM(J344)</f>
        <v/>
      </c>
      <c r="N344" s="36" t="str">
        <f aca="false">IF(M344="Revenue","Revenue",IF(M344="Cost of Goods Sold","COGS",IF(M344="Expenditures","Expense",IF(M344="Other Revenue","Other Revenue",IF(M344="Other Expenditures","Other Expense",N343)))))</f>
        <v/>
      </c>
      <c r="O344" s="36" t="str">
        <f aca="false">IF(OR(M344="Revenue",M344="Cost of Goods Sold",M344="Expenditures",M344="Other Revenue",M344="Other Expenditures"),N344,IF(AND(LEN(M344)&gt;2,MID(M344,2,1)=" ",ISNUMBER(VALUE(LEFT(M344,1)))),M344,O343))</f>
        <v/>
      </c>
      <c r="P344" s="36" t="n">
        <f aca="false">IF(AND(M344&lt;&gt;"",ISNUMBER(K344),LEFT(M344,9)&lt;&gt;"Total for",M344&lt;&gt;"Gross Profit",M344&lt;&gt;"Net Operating Revenue",M344&lt;&gt;"Net Other Revenue",M344&lt;&gt;"Net Revenue"),1,0)</f>
        <v>0</v>
      </c>
      <c r="Q344" s="36" t="str">
        <f aca="false">IF(P344=1,IF(AND(LEN(M344)&gt;7,ISNUMBER(VALUE(LEFT(M344,6))),MID(M344,7,1)=" "),LEFT(M344,6),M344),"")</f>
        <v/>
      </c>
      <c r="V344" s="36" t="str">
        <f aca="false">TRIM(S344)</f>
        <v/>
      </c>
      <c r="W344" s="36" t="str">
        <f aca="false">IF(V344="Revenue","Revenue",IF(V344="Cost of Goods Sold","COGS",IF(V344="Expenditures","Expense",IF(V344="Other Revenue","Other Revenue",IF(V344="Other Expenditures","Other Expense",W343)))))</f>
        <v/>
      </c>
      <c r="X344" s="36" t="str">
        <f aca="false">IF(OR(V344="Revenue",V344="Cost of Goods Sold",V344="Expenditures",V344="Other Revenue",V344="Other Expenditures"),W344,IF(AND(LEN(V344)&gt;2,MID(V344,2,1)=" ",ISNUMBER(VALUE(LEFT(V344,1)))),V344,X343))</f>
        <v/>
      </c>
      <c r="Y344" s="36" t="n">
        <f aca="false">IF(AND(V344&lt;&gt;"",ISNUMBER(T344),LEFT(V344,9)&lt;&gt;"Total for",V344&lt;&gt;"Gross Profit",V344&lt;&gt;"Net Operating Revenue",V344&lt;&gt;"Net Other Revenue",V344&lt;&gt;"Net Revenue"),1,0)</f>
        <v>0</v>
      </c>
      <c r="Z344" s="36" t="str">
        <f aca="false">IF(Y344=1,IF(AND(LEN(V344)&gt;7,ISNUMBER(VALUE(LEFT(V344,6))),MID(V344,7,1)=" "),LEFT(V344,6),V344),"")</f>
        <v/>
      </c>
      <c r="AE344" s="36" t="str">
        <f aca="false">TRIM(AB344)</f>
        <v/>
      </c>
      <c r="AF344" s="36" t="str">
        <f aca="false">IF(AE344="Revenue","Revenue",IF(AE344="Cost of Goods Sold","COGS",IF(AE344="Expenditures","Expense",IF(AE344="Other Revenue","Other Revenue",IF(AE344="Other Expenditures","Other Expense",AF343)))))</f>
        <v/>
      </c>
      <c r="AG344" s="36" t="str">
        <f aca="false">IF(OR(AE344="Revenue",AE344="Cost of Goods Sold",AE344="Expenditures",AE344="Other Revenue",AE344="Other Expenditures"),AF344,IF(AND(LEN(AE344)&gt;2,MID(AE344,2,1)=" ",ISNUMBER(VALUE(LEFT(AE344,1)))),AE344,AG343))</f>
        <v/>
      </c>
      <c r="AH344" s="36" t="n">
        <f aca="false">IF(AND(AE344&lt;&gt;"",ISNUMBER(AC344),LEFT(AE344,9)&lt;&gt;"Total for",AE344&lt;&gt;"Gross Profit",AE344&lt;&gt;"Net Operating Revenue",AE344&lt;&gt;"Net Other Revenue",AE344&lt;&gt;"Net Revenue"),1,0)</f>
        <v>0</v>
      </c>
      <c r="AI344" s="36" t="str">
        <f aca="false">IF(AH344=1,IF(AND(LEN(AE344)&gt;7,ISNUMBER(VALUE(LEFT(AE344,6))),MID(AE344,7,1)=" "),LEFT(AE344,6),AE344),"")</f>
        <v/>
      </c>
      <c r="AN344" s="36" t="str">
        <f aca="false">TRIM(AK344)</f>
        <v/>
      </c>
      <c r="AO344" s="36" t="str">
        <f aca="false">IF(AN344="Revenue","Revenue",IF(AN344="Cost of Goods Sold","COGS",IF(AN344="Expenditures","Expense",IF(AN344="Other Revenue","Other Revenue",IF(AN344="Other Expenditures","Other Expense",AO343)))))</f>
        <v/>
      </c>
      <c r="AP344" s="36" t="str">
        <f aca="false">IF(OR(AN344="Revenue",AN344="Cost of Goods Sold",AN344="Expenditures",AN344="Other Revenue",AN344="Other Expenditures"),AO344,IF(AND(LEN(AN344)&gt;2,MID(AN344,2,1)=" ",ISNUMBER(VALUE(LEFT(AN344,1)))),AN344,AP343))</f>
        <v/>
      </c>
      <c r="AQ344" s="36" t="n">
        <f aca="false">IF(AND(AN344&lt;&gt;"",ISNUMBER(AL344),LEFT(AN344,9)&lt;&gt;"Total for",AN344&lt;&gt;"Gross Profit",AN344&lt;&gt;"Net Operating Revenue",AN344&lt;&gt;"Net Other Revenue",AN344&lt;&gt;"Net Revenue"),1,0)</f>
        <v>0</v>
      </c>
      <c r="AR344" s="36" t="str">
        <f aca="false">IF(AQ344=1,IF(AND(LEN(AN344)&gt;7,ISNUMBER(VALUE(LEFT(AN344,6))),MID(AN344,7,1)=" "),LEFT(AN344,6),AN344),"")</f>
        <v/>
      </c>
    </row>
    <row r="345" customFormat="false" ht="15" hidden="false" customHeight="false" outlineLevel="0" collapsed="false">
      <c r="D345" s="36" t="str">
        <f aca="false">TRIM(A345)</f>
        <v/>
      </c>
      <c r="E345" s="36" t="str">
        <f aca="false">IF(D345="Revenue","Revenue",IF(D345="Cost of Goods Sold","COGS",IF(D345="Expenditures","Expense",IF(D345="Other Revenue","Other Revenue",IF(D345="Other Expenditures","Other Expense",E344)))))</f>
        <v/>
      </c>
      <c r="F345" s="36" t="str">
        <f aca="false">IF(OR(D345="Revenue",D345="Cost of Goods Sold",D345="Expenditures",D345="Other Revenue",D345="Other Expenditures"),E345,IF(AND(LEN(D345)&gt;2,MID(D345,2,1)=" ",ISNUMBER(VALUE(LEFT(D345,1)))),D345,F344))</f>
        <v/>
      </c>
      <c r="G345" s="36" t="n">
        <f aca="false">IF(AND(D345&lt;&gt;"",ISNUMBER(B345),LEFT(D345,9)&lt;&gt;"Total for",D345&lt;&gt;"Gross Profit",D345&lt;&gt;"Net Operating Revenue",D345&lt;&gt;"Net Other Revenue",D345&lt;&gt;"Net Revenue"),1,0)</f>
        <v>0</v>
      </c>
      <c r="H345" s="36" t="str">
        <f aca="false">IF(G345=1,IF(AND(LEN(D345)&gt;7,ISNUMBER(VALUE(LEFT(D345,6))),MID(D345,7,1)=" "),LEFT(D345,6),D345),"")</f>
        <v/>
      </c>
      <c r="M345" s="36" t="str">
        <f aca="false">TRIM(J345)</f>
        <v/>
      </c>
      <c r="N345" s="36" t="str">
        <f aca="false">IF(M345="Revenue","Revenue",IF(M345="Cost of Goods Sold","COGS",IF(M345="Expenditures","Expense",IF(M345="Other Revenue","Other Revenue",IF(M345="Other Expenditures","Other Expense",N344)))))</f>
        <v/>
      </c>
      <c r="O345" s="36" t="str">
        <f aca="false">IF(OR(M345="Revenue",M345="Cost of Goods Sold",M345="Expenditures",M345="Other Revenue",M345="Other Expenditures"),N345,IF(AND(LEN(M345)&gt;2,MID(M345,2,1)=" ",ISNUMBER(VALUE(LEFT(M345,1)))),M345,O344))</f>
        <v/>
      </c>
      <c r="P345" s="36" t="n">
        <f aca="false">IF(AND(M345&lt;&gt;"",ISNUMBER(K345),LEFT(M345,9)&lt;&gt;"Total for",M345&lt;&gt;"Gross Profit",M345&lt;&gt;"Net Operating Revenue",M345&lt;&gt;"Net Other Revenue",M345&lt;&gt;"Net Revenue"),1,0)</f>
        <v>0</v>
      </c>
      <c r="Q345" s="36" t="str">
        <f aca="false">IF(P345=1,IF(AND(LEN(M345)&gt;7,ISNUMBER(VALUE(LEFT(M345,6))),MID(M345,7,1)=" "),LEFT(M345,6),M345),"")</f>
        <v/>
      </c>
      <c r="V345" s="36" t="str">
        <f aca="false">TRIM(S345)</f>
        <v/>
      </c>
      <c r="W345" s="36" t="str">
        <f aca="false">IF(V345="Revenue","Revenue",IF(V345="Cost of Goods Sold","COGS",IF(V345="Expenditures","Expense",IF(V345="Other Revenue","Other Revenue",IF(V345="Other Expenditures","Other Expense",W344)))))</f>
        <v/>
      </c>
      <c r="X345" s="36" t="str">
        <f aca="false">IF(OR(V345="Revenue",V345="Cost of Goods Sold",V345="Expenditures",V345="Other Revenue",V345="Other Expenditures"),W345,IF(AND(LEN(V345)&gt;2,MID(V345,2,1)=" ",ISNUMBER(VALUE(LEFT(V345,1)))),V345,X344))</f>
        <v/>
      </c>
      <c r="Y345" s="36" t="n">
        <f aca="false">IF(AND(V345&lt;&gt;"",ISNUMBER(T345),LEFT(V345,9)&lt;&gt;"Total for",V345&lt;&gt;"Gross Profit",V345&lt;&gt;"Net Operating Revenue",V345&lt;&gt;"Net Other Revenue",V345&lt;&gt;"Net Revenue"),1,0)</f>
        <v>0</v>
      </c>
      <c r="Z345" s="36" t="str">
        <f aca="false">IF(Y345=1,IF(AND(LEN(V345)&gt;7,ISNUMBER(VALUE(LEFT(V345,6))),MID(V345,7,1)=" "),LEFT(V345,6),V345),"")</f>
        <v/>
      </c>
      <c r="AE345" s="36" t="str">
        <f aca="false">TRIM(AB345)</f>
        <v/>
      </c>
      <c r="AF345" s="36" t="str">
        <f aca="false">IF(AE345="Revenue","Revenue",IF(AE345="Cost of Goods Sold","COGS",IF(AE345="Expenditures","Expense",IF(AE345="Other Revenue","Other Revenue",IF(AE345="Other Expenditures","Other Expense",AF344)))))</f>
        <v/>
      </c>
      <c r="AG345" s="36" t="str">
        <f aca="false">IF(OR(AE345="Revenue",AE345="Cost of Goods Sold",AE345="Expenditures",AE345="Other Revenue",AE345="Other Expenditures"),AF345,IF(AND(LEN(AE345)&gt;2,MID(AE345,2,1)=" ",ISNUMBER(VALUE(LEFT(AE345,1)))),AE345,AG344))</f>
        <v/>
      </c>
      <c r="AH345" s="36" t="n">
        <f aca="false">IF(AND(AE345&lt;&gt;"",ISNUMBER(AC345),LEFT(AE345,9)&lt;&gt;"Total for",AE345&lt;&gt;"Gross Profit",AE345&lt;&gt;"Net Operating Revenue",AE345&lt;&gt;"Net Other Revenue",AE345&lt;&gt;"Net Revenue"),1,0)</f>
        <v>0</v>
      </c>
      <c r="AI345" s="36" t="str">
        <f aca="false">IF(AH345=1,IF(AND(LEN(AE345)&gt;7,ISNUMBER(VALUE(LEFT(AE345,6))),MID(AE345,7,1)=" "),LEFT(AE345,6),AE345),"")</f>
        <v/>
      </c>
      <c r="AN345" s="36" t="str">
        <f aca="false">TRIM(AK345)</f>
        <v/>
      </c>
      <c r="AO345" s="36" t="str">
        <f aca="false">IF(AN345="Revenue","Revenue",IF(AN345="Cost of Goods Sold","COGS",IF(AN345="Expenditures","Expense",IF(AN345="Other Revenue","Other Revenue",IF(AN345="Other Expenditures","Other Expense",AO344)))))</f>
        <v/>
      </c>
      <c r="AP345" s="36" t="str">
        <f aca="false">IF(OR(AN345="Revenue",AN345="Cost of Goods Sold",AN345="Expenditures",AN345="Other Revenue",AN345="Other Expenditures"),AO345,IF(AND(LEN(AN345)&gt;2,MID(AN345,2,1)=" ",ISNUMBER(VALUE(LEFT(AN345,1)))),AN345,AP344))</f>
        <v/>
      </c>
      <c r="AQ345" s="36" t="n">
        <f aca="false">IF(AND(AN345&lt;&gt;"",ISNUMBER(AL345),LEFT(AN345,9)&lt;&gt;"Total for",AN345&lt;&gt;"Gross Profit",AN345&lt;&gt;"Net Operating Revenue",AN345&lt;&gt;"Net Other Revenue",AN345&lt;&gt;"Net Revenue"),1,0)</f>
        <v>0</v>
      </c>
      <c r="AR345" s="36" t="str">
        <f aca="false">IF(AQ345=1,IF(AND(LEN(AN345)&gt;7,ISNUMBER(VALUE(LEFT(AN345,6))),MID(AN345,7,1)=" "),LEFT(AN345,6),AN345),"")</f>
        <v/>
      </c>
    </row>
    <row r="346" customFormat="false" ht="15" hidden="false" customHeight="false" outlineLevel="0" collapsed="false">
      <c r="D346" s="36" t="str">
        <f aca="false">TRIM(A346)</f>
        <v/>
      </c>
      <c r="E346" s="36" t="str">
        <f aca="false">IF(D346="Revenue","Revenue",IF(D346="Cost of Goods Sold","COGS",IF(D346="Expenditures","Expense",IF(D346="Other Revenue","Other Revenue",IF(D346="Other Expenditures","Other Expense",E345)))))</f>
        <v/>
      </c>
      <c r="F346" s="36" t="str">
        <f aca="false">IF(OR(D346="Revenue",D346="Cost of Goods Sold",D346="Expenditures",D346="Other Revenue",D346="Other Expenditures"),E346,IF(AND(LEN(D346)&gt;2,MID(D346,2,1)=" ",ISNUMBER(VALUE(LEFT(D346,1)))),D346,F345))</f>
        <v/>
      </c>
      <c r="G346" s="36" t="n">
        <f aca="false">IF(AND(D346&lt;&gt;"",ISNUMBER(B346),LEFT(D346,9)&lt;&gt;"Total for",D346&lt;&gt;"Gross Profit",D346&lt;&gt;"Net Operating Revenue",D346&lt;&gt;"Net Other Revenue",D346&lt;&gt;"Net Revenue"),1,0)</f>
        <v>0</v>
      </c>
      <c r="H346" s="36" t="str">
        <f aca="false">IF(G346=1,IF(AND(LEN(D346)&gt;7,ISNUMBER(VALUE(LEFT(D346,6))),MID(D346,7,1)=" "),LEFT(D346,6),D346),"")</f>
        <v/>
      </c>
      <c r="M346" s="36" t="str">
        <f aca="false">TRIM(J346)</f>
        <v/>
      </c>
      <c r="N346" s="36" t="str">
        <f aca="false">IF(M346="Revenue","Revenue",IF(M346="Cost of Goods Sold","COGS",IF(M346="Expenditures","Expense",IF(M346="Other Revenue","Other Revenue",IF(M346="Other Expenditures","Other Expense",N345)))))</f>
        <v/>
      </c>
      <c r="O346" s="36" t="str">
        <f aca="false">IF(OR(M346="Revenue",M346="Cost of Goods Sold",M346="Expenditures",M346="Other Revenue",M346="Other Expenditures"),N346,IF(AND(LEN(M346)&gt;2,MID(M346,2,1)=" ",ISNUMBER(VALUE(LEFT(M346,1)))),M346,O345))</f>
        <v/>
      </c>
      <c r="P346" s="36" t="n">
        <f aca="false">IF(AND(M346&lt;&gt;"",ISNUMBER(K346),LEFT(M346,9)&lt;&gt;"Total for",M346&lt;&gt;"Gross Profit",M346&lt;&gt;"Net Operating Revenue",M346&lt;&gt;"Net Other Revenue",M346&lt;&gt;"Net Revenue"),1,0)</f>
        <v>0</v>
      </c>
      <c r="Q346" s="36" t="str">
        <f aca="false">IF(P346=1,IF(AND(LEN(M346)&gt;7,ISNUMBER(VALUE(LEFT(M346,6))),MID(M346,7,1)=" "),LEFT(M346,6),M346),"")</f>
        <v/>
      </c>
      <c r="V346" s="36" t="str">
        <f aca="false">TRIM(S346)</f>
        <v/>
      </c>
      <c r="W346" s="36" t="str">
        <f aca="false">IF(V346="Revenue","Revenue",IF(V346="Cost of Goods Sold","COGS",IF(V346="Expenditures","Expense",IF(V346="Other Revenue","Other Revenue",IF(V346="Other Expenditures","Other Expense",W345)))))</f>
        <v/>
      </c>
      <c r="X346" s="36" t="str">
        <f aca="false">IF(OR(V346="Revenue",V346="Cost of Goods Sold",V346="Expenditures",V346="Other Revenue",V346="Other Expenditures"),W346,IF(AND(LEN(V346)&gt;2,MID(V346,2,1)=" ",ISNUMBER(VALUE(LEFT(V346,1)))),V346,X345))</f>
        <v/>
      </c>
      <c r="Y346" s="36" t="n">
        <f aca="false">IF(AND(V346&lt;&gt;"",ISNUMBER(T346),LEFT(V346,9)&lt;&gt;"Total for",V346&lt;&gt;"Gross Profit",V346&lt;&gt;"Net Operating Revenue",V346&lt;&gt;"Net Other Revenue",V346&lt;&gt;"Net Revenue"),1,0)</f>
        <v>0</v>
      </c>
      <c r="Z346" s="36" t="str">
        <f aca="false">IF(Y346=1,IF(AND(LEN(V346)&gt;7,ISNUMBER(VALUE(LEFT(V346,6))),MID(V346,7,1)=" "),LEFT(V346,6),V346),"")</f>
        <v/>
      </c>
      <c r="AE346" s="36" t="str">
        <f aca="false">TRIM(AB346)</f>
        <v/>
      </c>
      <c r="AF346" s="36" t="str">
        <f aca="false">IF(AE346="Revenue","Revenue",IF(AE346="Cost of Goods Sold","COGS",IF(AE346="Expenditures","Expense",IF(AE346="Other Revenue","Other Revenue",IF(AE346="Other Expenditures","Other Expense",AF345)))))</f>
        <v/>
      </c>
      <c r="AG346" s="36" t="str">
        <f aca="false">IF(OR(AE346="Revenue",AE346="Cost of Goods Sold",AE346="Expenditures",AE346="Other Revenue",AE346="Other Expenditures"),AF346,IF(AND(LEN(AE346)&gt;2,MID(AE346,2,1)=" ",ISNUMBER(VALUE(LEFT(AE346,1)))),AE346,AG345))</f>
        <v/>
      </c>
      <c r="AH346" s="36" t="n">
        <f aca="false">IF(AND(AE346&lt;&gt;"",ISNUMBER(AC346),LEFT(AE346,9)&lt;&gt;"Total for",AE346&lt;&gt;"Gross Profit",AE346&lt;&gt;"Net Operating Revenue",AE346&lt;&gt;"Net Other Revenue",AE346&lt;&gt;"Net Revenue"),1,0)</f>
        <v>0</v>
      </c>
      <c r="AI346" s="36" t="str">
        <f aca="false">IF(AH346=1,IF(AND(LEN(AE346)&gt;7,ISNUMBER(VALUE(LEFT(AE346,6))),MID(AE346,7,1)=" "),LEFT(AE346,6),AE346),"")</f>
        <v/>
      </c>
      <c r="AN346" s="36" t="str">
        <f aca="false">TRIM(AK346)</f>
        <v/>
      </c>
      <c r="AO346" s="36" t="str">
        <f aca="false">IF(AN346="Revenue","Revenue",IF(AN346="Cost of Goods Sold","COGS",IF(AN346="Expenditures","Expense",IF(AN346="Other Revenue","Other Revenue",IF(AN346="Other Expenditures","Other Expense",AO345)))))</f>
        <v/>
      </c>
      <c r="AP346" s="36" t="str">
        <f aca="false">IF(OR(AN346="Revenue",AN346="Cost of Goods Sold",AN346="Expenditures",AN346="Other Revenue",AN346="Other Expenditures"),AO346,IF(AND(LEN(AN346)&gt;2,MID(AN346,2,1)=" ",ISNUMBER(VALUE(LEFT(AN346,1)))),AN346,AP345))</f>
        <v/>
      </c>
      <c r="AQ346" s="36" t="n">
        <f aca="false">IF(AND(AN346&lt;&gt;"",ISNUMBER(AL346),LEFT(AN346,9)&lt;&gt;"Total for",AN346&lt;&gt;"Gross Profit",AN346&lt;&gt;"Net Operating Revenue",AN346&lt;&gt;"Net Other Revenue",AN346&lt;&gt;"Net Revenue"),1,0)</f>
        <v>0</v>
      </c>
      <c r="AR346" s="36" t="str">
        <f aca="false">IF(AQ346=1,IF(AND(LEN(AN346)&gt;7,ISNUMBER(VALUE(LEFT(AN346,6))),MID(AN346,7,1)=" "),LEFT(AN346,6),AN346),"")</f>
        <v/>
      </c>
    </row>
    <row r="347" customFormat="false" ht="15" hidden="false" customHeight="false" outlineLevel="0" collapsed="false">
      <c r="D347" s="36" t="str">
        <f aca="false">TRIM(A347)</f>
        <v/>
      </c>
      <c r="E347" s="36" t="str">
        <f aca="false">IF(D347="Revenue","Revenue",IF(D347="Cost of Goods Sold","COGS",IF(D347="Expenditures","Expense",IF(D347="Other Revenue","Other Revenue",IF(D347="Other Expenditures","Other Expense",E346)))))</f>
        <v/>
      </c>
      <c r="F347" s="36" t="str">
        <f aca="false">IF(OR(D347="Revenue",D347="Cost of Goods Sold",D347="Expenditures",D347="Other Revenue",D347="Other Expenditures"),E347,IF(AND(LEN(D347)&gt;2,MID(D347,2,1)=" ",ISNUMBER(VALUE(LEFT(D347,1)))),D347,F346))</f>
        <v/>
      </c>
      <c r="G347" s="36" t="n">
        <f aca="false">IF(AND(D347&lt;&gt;"",ISNUMBER(B347),LEFT(D347,9)&lt;&gt;"Total for",D347&lt;&gt;"Gross Profit",D347&lt;&gt;"Net Operating Revenue",D347&lt;&gt;"Net Other Revenue",D347&lt;&gt;"Net Revenue"),1,0)</f>
        <v>0</v>
      </c>
      <c r="H347" s="36" t="str">
        <f aca="false">IF(G347=1,IF(AND(LEN(D347)&gt;7,ISNUMBER(VALUE(LEFT(D347,6))),MID(D347,7,1)=" "),LEFT(D347,6),D347),"")</f>
        <v/>
      </c>
      <c r="M347" s="36" t="str">
        <f aca="false">TRIM(J347)</f>
        <v/>
      </c>
      <c r="N347" s="36" t="str">
        <f aca="false">IF(M347="Revenue","Revenue",IF(M347="Cost of Goods Sold","COGS",IF(M347="Expenditures","Expense",IF(M347="Other Revenue","Other Revenue",IF(M347="Other Expenditures","Other Expense",N346)))))</f>
        <v/>
      </c>
      <c r="O347" s="36" t="str">
        <f aca="false">IF(OR(M347="Revenue",M347="Cost of Goods Sold",M347="Expenditures",M347="Other Revenue",M347="Other Expenditures"),N347,IF(AND(LEN(M347)&gt;2,MID(M347,2,1)=" ",ISNUMBER(VALUE(LEFT(M347,1)))),M347,O346))</f>
        <v/>
      </c>
      <c r="P347" s="36" t="n">
        <f aca="false">IF(AND(M347&lt;&gt;"",ISNUMBER(K347),LEFT(M347,9)&lt;&gt;"Total for",M347&lt;&gt;"Gross Profit",M347&lt;&gt;"Net Operating Revenue",M347&lt;&gt;"Net Other Revenue",M347&lt;&gt;"Net Revenue"),1,0)</f>
        <v>0</v>
      </c>
      <c r="Q347" s="36" t="str">
        <f aca="false">IF(P347=1,IF(AND(LEN(M347)&gt;7,ISNUMBER(VALUE(LEFT(M347,6))),MID(M347,7,1)=" "),LEFT(M347,6),M347),"")</f>
        <v/>
      </c>
      <c r="V347" s="36" t="str">
        <f aca="false">TRIM(S347)</f>
        <v/>
      </c>
      <c r="W347" s="36" t="str">
        <f aca="false">IF(V347="Revenue","Revenue",IF(V347="Cost of Goods Sold","COGS",IF(V347="Expenditures","Expense",IF(V347="Other Revenue","Other Revenue",IF(V347="Other Expenditures","Other Expense",W346)))))</f>
        <v/>
      </c>
      <c r="X347" s="36" t="str">
        <f aca="false">IF(OR(V347="Revenue",V347="Cost of Goods Sold",V347="Expenditures",V347="Other Revenue",V347="Other Expenditures"),W347,IF(AND(LEN(V347)&gt;2,MID(V347,2,1)=" ",ISNUMBER(VALUE(LEFT(V347,1)))),V347,X346))</f>
        <v/>
      </c>
      <c r="Y347" s="36" t="n">
        <f aca="false">IF(AND(V347&lt;&gt;"",ISNUMBER(T347),LEFT(V347,9)&lt;&gt;"Total for",V347&lt;&gt;"Gross Profit",V347&lt;&gt;"Net Operating Revenue",V347&lt;&gt;"Net Other Revenue",V347&lt;&gt;"Net Revenue"),1,0)</f>
        <v>0</v>
      </c>
      <c r="Z347" s="36" t="str">
        <f aca="false">IF(Y347=1,IF(AND(LEN(V347)&gt;7,ISNUMBER(VALUE(LEFT(V347,6))),MID(V347,7,1)=" "),LEFT(V347,6),V347),"")</f>
        <v/>
      </c>
      <c r="AE347" s="36" t="str">
        <f aca="false">TRIM(AB347)</f>
        <v/>
      </c>
      <c r="AF347" s="36" t="str">
        <f aca="false">IF(AE347="Revenue","Revenue",IF(AE347="Cost of Goods Sold","COGS",IF(AE347="Expenditures","Expense",IF(AE347="Other Revenue","Other Revenue",IF(AE347="Other Expenditures","Other Expense",AF346)))))</f>
        <v/>
      </c>
      <c r="AG347" s="36" t="str">
        <f aca="false">IF(OR(AE347="Revenue",AE347="Cost of Goods Sold",AE347="Expenditures",AE347="Other Revenue",AE347="Other Expenditures"),AF347,IF(AND(LEN(AE347)&gt;2,MID(AE347,2,1)=" ",ISNUMBER(VALUE(LEFT(AE347,1)))),AE347,AG346))</f>
        <v/>
      </c>
      <c r="AH347" s="36" t="n">
        <f aca="false">IF(AND(AE347&lt;&gt;"",ISNUMBER(AC347),LEFT(AE347,9)&lt;&gt;"Total for",AE347&lt;&gt;"Gross Profit",AE347&lt;&gt;"Net Operating Revenue",AE347&lt;&gt;"Net Other Revenue",AE347&lt;&gt;"Net Revenue"),1,0)</f>
        <v>0</v>
      </c>
      <c r="AI347" s="36" t="str">
        <f aca="false">IF(AH347=1,IF(AND(LEN(AE347)&gt;7,ISNUMBER(VALUE(LEFT(AE347,6))),MID(AE347,7,1)=" "),LEFT(AE347,6),AE347),"")</f>
        <v/>
      </c>
      <c r="AN347" s="36" t="str">
        <f aca="false">TRIM(AK347)</f>
        <v/>
      </c>
      <c r="AO347" s="36" t="str">
        <f aca="false">IF(AN347="Revenue","Revenue",IF(AN347="Cost of Goods Sold","COGS",IF(AN347="Expenditures","Expense",IF(AN347="Other Revenue","Other Revenue",IF(AN347="Other Expenditures","Other Expense",AO346)))))</f>
        <v/>
      </c>
      <c r="AP347" s="36" t="str">
        <f aca="false">IF(OR(AN347="Revenue",AN347="Cost of Goods Sold",AN347="Expenditures",AN347="Other Revenue",AN347="Other Expenditures"),AO347,IF(AND(LEN(AN347)&gt;2,MID(AN347,2,1)=" ",ISNUMBER(VALUE(LEFT(AN347,1)))),AN347,AP346))</f>
        <v/>
      </c>
      <c r="AQ347" s="36" t="n">
        <f aca="false">IF(AND(AN347&lt;&gt;"",ISNUMBER(AL347),LEFT(AN347,9)&lt;&gt;"Total for",AN347&lt;&gt;"Gross Profit",AN347&lt;&gt;"Net Operating Revenue",AN347&lt;&gt;"Net Other Revenue",AN347&lt;&gt;"Net Revenue"),1,0)</f>
        <v>0</v>
      </c>
      <c r="AR347" s="36" t="str">
        <f aca="false">IF(AQ347=1,IF(AND(LEN(AN347)&gt;7,ISNUMBER(VALUE(LEFT(AN347,6))),MID(AN347,7,1)=" "),LEFT(AN347,6),AN347),"")</f>
        <v/>
      </c>
    </row>
    <row r="348" customFormat="false" ht="15" hidden="false" customHeight="false" outlineLevel="0" collapsed="false">
      <c r="D348" s="36" t="str">
        <f aca="false">TRIM(A348)</f>
        <v/>
      </c>
      <c r="E348" s="36" t="str">
        <f aca="false">IF(D348="Revenue","Revenue",IF(D348="Cost of Goods Sold","COGS",IF(D348="Expenditures","Expense",IF(D348="Other Revenue","Other Revenue",IF(D348="Other Expenditures","Other Expense",E347)))))</f>
        <v/>
      </c>
      <c r="F348" s="36" t="str">
        <f aca="false">IF(OR(D348="Revenue",D348="Cost of Goods Sold",D348="Expenditures",D348="Other Revenue",D348="Other Expenditures"),E348,IF(AND(LEN(D348)&gt;2,MID(D348,2,1)=" ",ISNUMBER(VALUE(LEFT(D348,1)))),D348,F347))</f>
        <v/>
      </c>
      <c r="G348" s="36" t="n">
        <f aca="false">IF(AND(D348&lt;&gt;"",ISNUMBER(B348),LEFT(D348,9)&lt;&gt;"Total for",D348&lt;&gt;"Gross Profit",D348&lt;&gt;"Net Operating Revenue",D348&lt;&gt;"Net Other Revenue",D348&lt;&gt;"Net Revenue"),1,0)</f>
        <v>0</v>
      </c>
      <c r="H348" s="36" t="str">
        <f aca="false">IF(G348=1,IF(AND(LEN(D348)&gt;7,ISNUMBER(VALUE(LEFT(D348,6))),MID(D348,7,1)=" "),LEFT(D348,6),D348),"")</f>
        <v/>
      </c>
      <c r="M348" s="36" t="str">
        <f aca="false">TRIM(J348)</f>
        <v/>
      </c>
      <c r="N348" s="36" t="str">
        <f aca="false">IF(M348="Revenue","Revenue",IF(M348="Cost of Goods Sold","COGS",IF(M348="Expenditures","Expense",IF(M348="Other Revenue","Other Revenue",IF(M348="Other Expenditures","Other Expense",N347)))))</f>
        <v/>
      </c>
      <c r="O348" s="36" t="str">
        <f aca="false">IF(OR(M348="Revenue",M348="Cost of Goods Sold",M348="Expenditures",M348="Other Revenue",M348="Other Expenditures"),N348,IF(AND(LEN(M348)&gt;2,MID(M348,2,1)=" ",ISNUMBER(VALUE(LEFT(M348,1)))),M348,O347))</f>
        <v/>
      </c>
      <c r="P348" s="36" t="n">
        <f aca="false">IF(AND(M348&lt;&gt;"",ISNUMBER(K348),LEFT(M348,9)&lt;&gt;"Total for",M348&lt;&gt;"Gross Profit",M348&lt;&gt;"Net Operating Revenue",M348&lt;&gt;"Net Other Revenue",M348&lt;&gt;"Net Revenue"),1,0)</f>
        <v>0</v>
      </c>
      <c r="Q348" s="36" t="str">
        <f aca="false">IF(P348=1,IF(AND(LEN(M348)&gt;7,ISNUMBER(VALUE(LEFT(M348,6))),MID(M348,7,1)=" "),LEFT(M348,6),M348),"")</f>
        <v/>
      </c>
      <c r="V348" s="36" t="str">
        <f aca="false">TRIM(S348)</f>
        <v/>
      </c>
      <c r="W348" s="36" t="str">
        <f aca="false">IF(V348="Revenue","Revenue",IF(V348="Cost of Goods Sold","COGS",IF(V348="Expenditures","Expense",IF(V348="Other Revenue","Other Revenue",IF(V348="Other Expenditures","Other Expense",W347)))))</f>
        <v/>
      </c>
      <c r="X348" s="36" t="str">
        <f aca="false">IF(OR(V348="Revenue",V348="Cost of Goods Sold",V348="Expenditures",V348="Other Revenue",V348="Other Expenditures"),W348,IF(AND(LEN(V348)&gt;2,MID(V348,2,1)=" ",ISNUMBER(VALUE(LEFT(V348,1)))),V348,X347))</f>
        <v/>
      </c>
      <c r="Y348" s="36" t="n">
        <f aca="false">IF(AND(V348&lt;&gt;"",ISNUMBER(T348),LEFT(V348,9)&lt;&gt;"Total for",V348&lt;&gt;"Gross Profit",V348&lt;&gt;"Net Operating Revenue",V348&lt;&gt;"Net Other Revenue",V348&lt;&gt;"Net Revenue"),1,0)</f>
        <v>0</v>
      </c>
      <c r="Z348" s="36" t="str">
        <f aca="false">IF(Y348=1,IF(AND(LEN(V348)&gt;7,ISNUMBER(VALUE(LEFT(V348,6))),MID(V348,7,1)=" "),LEFT(V348,6),V348),"")</f>
        <v/>
      </c>
      <c r="AE348" s="36" t="str">
        <f aca="false">TRIM(AB348)</f>
        <v/>
      </c>
      <c r="AF348" s="36" t="str">
        <f aca="false">IF(AE348="Revenue","Revenue",IF(AE348="Cost of Goods Sold","COGS",IF(AE348="Expenditures","Expense",IF(AE348="Other Revenue","Other Revenue",IF(AE348="Other Expenditures","Other Expense",AF347)))))</f>
        <v/>
      </c>
      <c r="AG348" s="36" t="str">
        <f aca="false">IF(OR(AE348="Revenue",AE348="Cost of Goods Sold",AE348="Expenditures",AE348="Other Revenue",AE348="Other Expenditures"),AF348,IF(AND(LEN(AE348)&gt;2,MID(AE348,2,1)=" ",ISNUMBER(VALUE(LEFT(AE348,1)))),AE348,AG347))</f>
        <v/>
      </c>
      <c r="AH348" s="36" t="n">
        <f aca="false">IF(AND(AE348&lt;&gt;"",ISNUMBER(AC348),LEFT(AE348,9)&lt;&gt;"Total for",AE348&lt;&gt;"Gross Profit",AE348&lt;&gt;"Net Operating Revenue",AE348&lt;&gt;"Net Other Revenue",AE348&lt;&gt;"Net Revenue"),1,0)</f>
        <v>0</v>
      </c>
      <c r="AI348" s="36" t="str">
        <f aca="false">IF(AH348=1,IF(AND(LEN(AE348)&gt;7,ISNUMBER(VALUE(LEFT(AE348,6))),MID(AE348,7,1)=" "),LEFT(AE348,6),AE348),"")</f>
        <v/>
      </c>
      <c r="AN348" s="36" t="str">
        <f aca="false">TRIM(AK348)</f>
        <v/>
      </c>
      <c r="AO348" s="36" t="str">
        <f aca="false">IF(AN348="Revenue","Revenue",IF(AN348="Cost of Goods Sold","COGS",IF(AN348="Expenditures","Expense",IF(AN348="Other Revenue","Other Revenue",IF(AN348="Other Expenditures","Other Expense",AO347)))))</f>
        <v/>
      </c>
      <c r="AP348" s="36" t="str">
        <f aca="false">IF(OR(AN348="Revenue",AN348="Cost of Goods Sold",AN348="Expenditures",AN348="Other Revenue",AN348="Other Expenditures"),AO348,IF(AND(LEN(AN348)&gt;2,MID(AN348,2,1)=" ",ISNUMBER(VALUE(LEFT(AN348,1)))),AN348,AP347))</f>
        <v/>
      </c>
      <c r="AQ348" s="36" t="n">
        <f aca="false">IF(AND(AN348&lt;&gt;"",ISNUMBER(AL348),LEFT(AN348,9)&lt;&gt;"Total for",AN348&lt;&gt;"Gross Profit",AN348&lt;&gt;"Net Operating Revenue",AN348&lt;&gt;"Net Other Revenue",AN348&lt;&gt;"Net Revenue"),1,0)</f>
        <v>0</v>
      </c>
      <c r="AR348" s="36" t="str">
        <f aca="false">IF(AQ348=1,IF(AND(LEN(AN348)&gt;7,ISNUMBER(VALUE(LEFT(AN348,6))),MID(AN348,7,1)=" "),LEFT(AN348,6),AN348),"")</f>
        <v/>
      </c>
    </row>
    <row r="349" customFormat="false" ht="15" hidden="false" customHeight="false" outlineLevel="0" collapsed="false">
      <c r="D349" s="36" t="str">
        <f aca="false">TRIM(A349)</f>
        <v/>
      </c>
      <c r="E349" s="36" t="str">
        <f aca="false">IF(D349="Revenue","Revenue",IF(D349="Cost of Goods Sold","COGS",IF(D349="Expenditures","Expense",IF(D349="Other Revenue","Other Revenue",IF(D349="Other Expenditures","Other Expense",E348)))))</f>
        <v/>
      </c>
      <c r="F349" s="36" t="str">
        <f aca="false">IF(OR(D349="Revenue",D349="Cost of Goods Sold",D349="Expenditures",D349="Other Revenue",D349="Other Expenditures"),E349,IF(AND(LEN(D349)&gt;2,MID(D349,2,1)=" ",ISNUMBER(VALUE(LEFT(D349,1)))),D349,F348))</f>
        <v/>
      </c>
      <c r="G349" s="36" t="n">
        <f aca="false">IF(AND(D349&lt;&gt;"",ISNUMBER(B349),LEFT(D349,9)&lt;&gt;"Total for",D349&lt;&gt;"Gross Profit",D349&lt;&gt;"Net Operating Revenue",D349&lt;&gt;"Net Other Revenue",D349&lt;&gt;"Net Revenue"),1,0)</f>
        <v>0</v>
      </c>
      <c r="H349" s="36" t="str">
        <f aca="false">IF(G349=1,IF(AND(LEN(D349)&gt;7,ISNUMBER(VALUE(LEFT(D349,6))),MID(D349,7,1)=" "),LEFT(D349,6),D349),"")</f>
        <v/>
      </c>
      <c r="M349" s="36" t="str">
        <f aca="false">TRIM(J349)</f>
        <v/>
      </c>
      <c r="N349" s="36" t="str">
        <f aca="false">IF(M349="Revenue","Revenue",IF(M349="Cost of Goods Sold","COGS",IF(M349="Expenditures","Expense",IF(M349="Other Revenue","Other Revenue",IF(M349="Other Expenditures","Other Expense",N348)))))</f>
        <v/>
      </c>
      <c r="O349" s="36" t="str">
        <f aca="false">IF(OR(M349="Revenue",M349="Cost of Goods Sold",M349="Expenditures",M349="Other Revenue",M349="Other Expenditures"),N349,IF(AND(LEN(M349)&gt;2,MID(M349,2,1)=" ",ISNUMBER(VALUE(LEFT(M349,1)))),M349,O348))</f>
        <v/>
      </c>
      <c r="P349" s="36" t="n">
        <f aca="false">IF(AND(M349&lt;&gt;"",ISNUMBER(K349),LEFT(M349,9)&lt;&gt;"Total for",M349&lt;&gt;"Gross Profit",M349&lt;&gt;"Net Operating Revenue",M349&lt;&gt;"Net Other Revenue",M349&lt;&gt;"Net Revenue"),1,0)</f>
        <v>0</v>
      </c>
      <c r="Q349" s="36" t="str">
        <f aca="false">IF(P349=1,IF(AND(LEN(M349)&gt;7,ISNUMBER(VALUE(LEFT(M349,6))),MID(M349,7,1)=" "),LEFT(M349,6),M349),"")</f>
        <v/>
      </c>
      <c r="V349" s="36" t="str">
        <f aca="false">TRIM(S349)</f>
        <v/>
      </c>
      <c r="W349" s="36" t="str">
        <f aca="false">IF(V349="Revenue","Revenue",IF(V349="Cost of Goods Sold","COGS",IF(V349="Expenditures","Expense",IF(V349="Other Revenue","Other Revenue",IF(V349="Other Expenditures","Other Expense",W348)))))</f>
        <v/>
      </c>
      <c r="X349" s="36" t="str">
        <f aca="false">IF(OR(V349="Revenue",V349="Cost of Goods Sold",V349="Expenditures",V349="Other Revenue",V349="Other Expenditures"),W349,IF(AND(LEN(V349)&gt;2,MID(V349,2,1)=" ",ISNUMBER(VALUE(LEFT(V349,1)))),V349,X348))</f>
        <v/>
      </c>
      <c r="Y349" s="36" t="n">
        <f aca="false">IF(AND(V349&lt;&gt;"",ISNUMBER(T349),LEFT(V349,9)&lt;&gt;"Total for",V349&lt;&gt;"Gross Profit",V349&lt;&gt;"Net Operating Revenue",V349&lt;&gt;"Net Other Revenue",V349&lt;&gt;"Net Revenue"),1,0)</f>
        <v>0</v>
      </c>
      <c r="Z349" s="36" t="str">
        <f aca="false">IF(Y349=1,IF(AND(LEN(V349)&gt;7,ISNUMBER(VALUE(LEFT(V349,6))),MID(V349,7,1)=" "),LEFT(V349,6),V349),"")</f>
        <v/>
      </c>
      <c r="AE349" s="36" t="str">
        <f aca="false">TRIM(AB349)</f>
        <v/>
      </c>
      <c r="AF349" s="36" t="str">
        <f aca="false">IF(AE349="Revenue","Revenue",IF(AE349="Cost of Goods Sold","COGS",IF(AE349="Expenditures","Expense",IF(AE349="Other Revenue","Other Revenue",IF(AE349="Other Expenditures","Other Expense",AF348)))))</f>
        <v/>
      </c>
      <c r="AG349" s="36" t="str">
        <f aca="false">IF(OR(AE349="Revenue",AE349="Cost of Goods Sold",AE349="Expenditures",AE349="Other Revenue",AE349="Other Expenditures"),AF349,IF(AND(LEN(AE349)&gt;2,MID(AE349,2,1)=" ",ISNUMBER(VALUE(LEFT(AE349,1)))),AE349,AG348))</f>
        <v/>
      </c>
      <c r="AH349" s="36" t="n">
        <f aca="false">IF(AND(AE349&lt;&gt;"",ISNUMBER(AC349),LEFT(AE349,9)&lt;&gt;"Total for",AE349&lt;&gt;"Gross Profit",AE349&lt;&gt;"Net Operating Revenue",AE349&lt;&gt;"Net Other Revenue",AE349&lt;&gt;"Net Revenue"),1,0)</f>
        <v>0</v>
      </c>
      <c r="AI349" s="36" t="str">
        <f aca="false">IF(AH349=1,IF(AND(LEN(AE349)&gt;7,ISNUMBER(VALUE(LEFT(AE349,6))),MID(AE349,7,1)=" "),LEFT(AE349,6),AE349),"")</f>
        <v/>
      </c>
      <c r="AN349" s="36" t="str">
        <f aca="false">TRIM(AK349)</f>
        <v/>
      </c>
      <c r="AO349" s="36" t="str">
        <f aca="false">IF(AN349="Revenue","Revenue",IF(AN349="Cost of Goods Sold","COGS",IF(AN349="Expenditures","Expense",IF(AN349="Other Revenue","Other Revenue",IF(AN349="Other Expenditures","Other Expense",AO348)))))</f>
        <v/>
      </c>
      <c r="AP349" s="36" t="str">
        <f aca="false">IF(OR(AN349="Revenue",AN349="Cost of Goods Sold",AN349="Expenditures",AN349="Other Revenue",AN349="Other Expenditures"),AO349,IF(AND(LEN(AN349)&gt;2,MID(AN349,2,1)=" ",ISNUMBER(VALUE(LEFT(AN349,1)))),AN349,AP348))</f>
        <v/>
      </c>
      <c r="AQ349" s="36" t="n">
        <f aca="false">IF(AND(AN349&lt;&gt;"",ISNUMBER(AL349),LEFT(AN349,9)&lt;&gt;"Total for",AN349&lt;&gt;"Gross Profit",AN349&lt;&gt;"Net Operating Revenue",AN349&lt;&gt;"Net Other Revenue",AN349&lt;&gt;"Net Revenue"),1,0)</f>
        <v>0</v>
      </c>
      <c r="AR349" s="36" t="str">
        <f aca="false">IF(AQ349=1,IF(AND(LEN(AN349)&gt;7,ISNUMBER(VALUE(LEFT(AN349,6))),MID(AN349,7,1)=" "),LEFT(AN349,6),AN349),"")</f>
        <v/>
      </c>
    </row>
    <row r="350" customFormat="false" ht="15" hidden="false" customHeight="false" outlineLevel="0" collapsed="false">
      <c r="D350" s="36" t="str">
        <f aca="false">TRIM(A350)</f>
        <v/>
      </c>
      <c r="E350" s="36" t="str">
        <f aca="false">IF(D350="Revenue","Revenue",IF(D350="Cost of Goods Sold","COGS",IF(D350="Expenditures","Expense",IF(D350="Other Revenue","Other Revenue",IF(D350="Other Expenditures","Other Expense",E349)))))</f>
        <v/>
      </c>
      <c r="F350" s="36" t="str">
        <f aca="false">IF(OR(D350="Revenue",D350="Cost of Goods Sold",D350="Expenditures",D350="Other Revenue",D350="Other Expenditures"),E350,IF(AND(LEN(D350)&gt;2,MID(D350,2,1)=" ",ISNUMBER(VALUE(LEFT(D350,1)))),D350,F349))</f>
        <v/>
      </c>
      <c r="G350" s="36" t="n">
        <f aca="false">IF(AND(D350&lt;&gt;"",ISNUMBER(B350),LEFT(D350,9)&lt;&gt;"Total for",D350&lt;&gt;"Gross Profit",D350&lt;&gt;"Net Operating Revenue",D350&lt;&gt;"Net Other Revenue",D350&lt;&gt;"Net Revenue"),1,0)</f>
        <v>0</v>
      </c>
      <c r="H350" s="36" t="str">
        <f aca="false">IF(G350=1,IF(AND(LEN(D350)&gt;7,ISNUMBER(VALUE(LEFT(D350,6))),MID(D350,7,1)=" "),LEFT(D350,6),D350),"")</f>
        <v/>
      </c>
      <c r="M350" s="36" t="str">
        <f aca="false">TRIM(J350)</f>
        <v/>
      </c>
      <c r="N350" s="36" t="str">
        <f aca="false">IF(M350="Revenue","Revenue",IF(M350="Cost of Goods Sold","COGS",IF(M350="Expenditures","Expense",IF(M350="Other Revenue","Other Revenue",IF(M350="Other Expenditures","Other Expense",N349)))))</f>
        <v/>
      </c>
      <c r="O350" s="36" t="str">
        <f aca="false">IF(OR(M350="Revenue",M350="Cost of Goods Sold",M350="Expenditures",M350="Other Revenue",M350="Other Expenditures"),N350,IF(AND(LEN(M350)&gt;2,MID(M350,2,1)=" ",ISNUMBER(VALUE(LEFT(M350,1)))),M350,O349))</f>
        <v/>
      </c>
      <c r="P350" s="36" t="n">
        <f aca="false">IF(AND(M350&lt;&gt;"",ISNUMBER(K350),LEFT(M350,9)&lt;&gt;"Total for",M350&lt;&gt;"Gross Profit",M350&lt;&gt;"Net Operating Revenue",M350&lt;&gt;"Net Other Revenue",M350&lt;&gt;"Net Revenue"),1,0)</f>
        <v>0</v>
      </c>
      <c r="Q350" s="36" t="str">
        <f aca="false">IF(P350=1,IF(AND(LEN(M350)&gt;7,ISNUMBER(VALUE(LEFT(M350,6))),MID(M350,7,1)=" "),LEFT(M350,6),M350),"")</f>
        <v/>
      </c>
      <c r="V350" s="36" t="str">
        <f aca="false">TRIM(S350)</f>
        <v/>
      </c>
      <c r="W350" s="36" t="str">
        <f aca="false">IF(V350="Revenue","Revenue",IF(V350="Cost of Goods Sold","COGS",IF(V350="Expenditures","Expense",IF(V350="Other Revenue","Other Revenue",IF(V350="Other Expenditures","Other Expense",W349)))))</f>
        <v/>
      </c>
      <c r="X350" s="36" t="str">
        <f aca="false">IF(OR(V350="Revenue",V350="Cost of Goods Sold",V350="Expenditures",V350="Other Revenue",V350="Other Expenditures"),W350,IF(AND(LEN(V350)&gt;2,MID(V350,2,1)=" ",ISNUMBER(VALUE(LEFT(V350,1)))),V350,X349))</f>
        <v/>
      </c>
      <c r="Y350" s="36" t="n">
        <f aca="false">IF(AND(V350&lt;&gt;"",ISNUMBER(T350),LEFT(V350,9)&lt;&gt;"Total for",V350&lt;&gt;"Gross Profit",V350&lt;&gt;"Net Operating Revenue",V350&lt;&gt;"Net Other Revenue",V350&lt;&gt;"Net Revenue"),1,0)</f>
        <v>0</v>
      </c>
      <c r="Z350" s="36" t="str">
        <f aca="false">IF(Y350=1,IF(AND(LEN(V350)&gt;7,ISNUMBER(VALUE(LEFT(V350,6))),MID(V350,7,1)=" "),LEFT(V350,6),V350),"")</f>
        <v/>
      </c>
      <c r="AE350" s="36" t="str">
        <f aca="false">TRIM(AB350)</f>
        <v/>
      </c>
      <c r="AF350" s="36" t="str">
        <f aca="false">IF(AE350="Revenue","Revenue",IF(AE350="Cost of Goods Sold","COGS",IF(AE350="Expenditures","Expense",IF(AE350="Other Revenue","Other Revenue",IF(AE350="Other Expenditures","Other Expense",AF349)))))</f>
        <v/>
      </c>
      <c r="AG350" s="36" t="str">
        <f aca="false">IF(OR(AE350="Revenue",AE350="Cost of Goods Sold",AE350="Expenditures",AE350="Other Revenue",AE350="Other Expenditures"),AF350,IF(AND(LEN(AE350)&gt;2,MID(AE350,2,1)=" ",ISNUMBER(VALUE(LEFT(AE350,1)))),AE350,AG349))</f>
        <v/>
      </c>
      <c r="AH350" s="36" t="n">
        <f aca="false">IF(AND(AE350&lt;&gt;"",ISNUMBER(AC350),LEFT(AE350,9)&lt;&gt;"Total for",AE350&lt;&gt;"Gross Profit",AE350&lt;&gt;"Net Operating Revenue",AE350&lt;&gt;"Net Other Revenue",AE350&lt;&gt;"Net Revenue"),1,0)</f>
        <v>0</v>
      </c>
      <c r="AI350" s="36" t="str">
        <f aca="false">IF(AH350=1,IF(AND(LEN(AE350)&gt;7,ISNUMBER(VALUE(LEFT(AE350,6))),MID(AE350,7,1)=" "),LEFT(AE350,6),AE350),"")</f>
        <v/>
      </c>
      <c r="AN350" s="36" t="str">
        <f aca="false">TRIM(AK350)</f>
        <v/>
      </c>
      <c r="AO350" s="36" t="str">
        <f aca="false">IF(AN350="Revenue","Revenue",IF(AN350="Cost of Goods Sold","COGS",IF(AN350="Expenditures","Expense",IF(AN350="Other Revenue","Other Revenue",IF(AN350="Other Expenditures","Other Expense",AO349)))))</f>
        <v/>
      </c>
      <c r="AP350" s="36" t="str">
        <f aca="false">IF(OR(AN350="Revenue",AN350="Cost of Goods Sold",AN350="Expenditures",AN350="Other Revenue",AN350="Other Expenditures"),AO350,IF(AND(LEN(AN350)&gt;2,MID(AN350,2,1)=" ",ISNUMBER(VALUE(LEFT(AN350,1)))),AN350,AP349))</f>
        <v/>
      </c>
      <c r="AQ350" s="36" t="n">
        <f aca="false">IF(AND(AN350&lt;&gt;"",ISNUMBER(AL350),LEFT(AN350,9)&lt;&gt;"Total for",AN350&lt;&gt;"Gross Profit",AN350&lt;&gt;"Net Operating Revenue",AN350&lt;&gt;"Net Other Revenue",AN350&lt;&gt;"Net Revenue"),1,0)</f>
        <v>0</v>
      </c>
      <c r="AR350" s="36" t="str">
        <f aca="false">IF(AQ350=1,IF(AND(LEN(AN350)&gt;7,ISNUMBER(VALUE(LEFT(AN350,6))),MID(AN350,7,1)=" "),LEFT(AN350,6),AN350),"")</f>
        <v/>
      </c>
    </row>
    <row r="351" customFormat="false" ht="15" hidden="false" customHeight="false" outlineLevel="0" collapsed="false">
      <c r="D351" s="36" t="str">
        <f aca="false">TRIM(A351)</f>
        <v/>
      </c>
      <c r="E351" s="36" t="str">
        <f aca="false">IF(D351="Revenue","Revenue",IF(D351="Cost of Goods Sold","COGS",IF(D351="Expenditures","Expense",IF(D351="Other Revenue","Other Revenue",IF(D351="Other Expenditures","Other Expense",E350)))))</f>
        <v/>
      </c>
      <c r="F351" s="36" t="str">
        <f aca="false">IF(OR(D351="Revenue",D351="Cost of Goods Sold",D351="Expenditures",D351="Other Revenue",D351="Other Expenditures"),E351,IF(AND(LEN(D351)&gt;2,MID(D351,2,1)=" ",ISNUMBER(VALUE(LEFT(D351,1)))),D351,F350))</f>
        <v/>
      </c>
      <c r="G351" s="36" t="n">
        <f aca="false">IF(AND(D351&lt;&gt;"",ISNUMBER(B351),LEFT(D351,9)&lt;&gt;"Total for",D351&lt;&gt;"Gross Profit",D351&lt;&gt;"Net Operating Revenue",D351&lt;&gt;"Net Other Revenue",D351&lt;&gt;"Net Revenue"),1,0)</f>
        <v>0</v>
      </c>
      <c r="H351" s="36" t="str">
        <f aca="false">IF(G351=1,IF(AND(LEN(D351)&gt;7,ISNUMBER(VALUE(LEFT(D351,6))),MID(D351,7,1)=" "),LEFT(D351,6),D351),"")</f>
        <v/>
      </c>
      <c r="M351" s="36" t="str">
        <f aca="false">TRIM(J351)</f>
        <v/>
      </c>
      <c r="N351" s="36" t="str">
        <f aca="false">IF(M351="Revenue","Revenue",IF(M351="Cost of Goods Sold","COGS",IF(M351="Expenditures","Expense",IF(M351="Other Revenue","Other Revenue",IF(M351="Other Expenditures","Other Expense",N350)))))</f>
        <v/>
      </c>
      <c r="O351" s="36" t="str">
        <f aca="false">IF(OR(M351="Revenue",M351="Cost of Goods Sold",M351="Expenditures",M351="Other Revenue",M351="Other Expenditures"),N351,IF(AND(LEN(M351)&gt;2,MID(M351,2,1)=" ",ISNUMBER(VALUE(LEFT(M351,1)))),M351,O350))</f>
        <v/>
      </c>
      <c r="P351" s="36" t="n">
        <f aca="false">IF(AND(M351&lt;&gt;"",ISNUMBER(K351),LEFT(M351,9)&lt;&gt;"Total for",M351&lt;&gt;"Gross Profit",M351&lt;&gt;"Net Operating Revenue",M351&lt;&gt;"Net Other Revenue",M351&lt;&gt;"Net Revenue"),1,0)</f>
        <v>0</v>
      </c>
      <c r="Q351" s="36" t="str">
        <f aca="false">IF(P351=1,IF(AND(LEN(M351)&gt;7,ISNUMBER(VALUE(LEFT(M351,6))),MID(M351,7,1)=" "),LEFT(M351,6),M351),"")</f>
        <v/>
      </c>
      <c r="V351" s="36" t="str">
        <f aca="false">TRIM(S351)</f>
        <v/>
      </c>
      <c r="W351" s="36" t="str">
        <f aca="false">IF(V351="Revenue","Revenue",IF(V351="Cost of Goods Sold","COGS",IF(V351="Expenditures","Expense",IF(V351="Other Revenue","Other Revenue",IF(V351="Other Expenditures","Other Expense",W350)))))</f>
        <v/>
      </c>
      <c r="X351" s="36" t="str">
        <f aca="false">IF(OR(V351="Revenue",V351="Cost of Goods Sold",V351="Expenditures",V351="Other Revenue",V351="Other Expenditures"),W351,IF(AND(LEN(V351)&gt;2,MID(V351,2,1)=" ",ISNUMBER(VALUE(LEFT(V351,1)))),V351,X350))</f>
        <v/>
      </c>
      <c r="Y351" s="36" t="n">
        <f aca="false">IF(AND(V351&lt;&gt;"",ISNUMBER(T351),LEFT(V351,9)&lt;&gt;"Total for",V351&lt;&gt;"Gross Profit",V351&lt;&gt;"Net Operating Revenue",V351&lt;&gt;"Net Other Revenue",V351&lt;&gt;"Net Revenue"),1,0)</f>
        <v>0</v>
      </c>
      <c r="Z351" s="36" t="str">
        <f aca="false">IF(Y351=1,IF(AND(LEN(V351)&gt;7,ISNUMBER(VALUE(LEFT(V351,6))),MID(V351,7,1)=" "),LEFT(V351,6),V351),"")</f>
        <v/>
      </c>
      <c r="AE351" s="36" t="str">
        <f aca="false">TRIM(AB351)</f>
        <v/>
      </c>
      <c r="AF351" s="36" t="str">
        <f aca="false">IF(AE351="Revenue","Revenue",IF(AE351="Cost of Goods Sold","COGS",IF(AE351="Expenditures","Expense",IF(AE351="Other Revenue","Other Revenue",IF(AE351="Other Expenditures","Other Expense",AF350)))))</f>
        <v/>
      </c>
      <c r="AG351" s="36" t="str">
        <f aca="false">IF(OR(AE351="Revenue",AE351="Cost of Goods Sold",AE351="Expenditures",AE351="Other Revenue",AE351="Other Expenditures"),AF351,IF(AND(LEN(AE351)&gt;2,MID(AE351,2,1)=" ",ISNUMBER(VALUE(LEFT(AE351,1)))),AE351,AG350))</f>
        <v/>
      </c>
      <c r="AH351" s="36" t="n">
        <f aca="false">IF(AND(AE351&lt;&gt;"",ISNUMBER(AC351),LEFT(AE351,9)&lt;&gt;"Total for",AE351&lt;&gt;"Gross Profit",AE351&lt;&gt;"Net Operating Revenue",AE351&lt;&gt;"Net Other Revenue",AE351&lt;&gt;"Net Revenue"),1,0)</f>
        <v>0</v>
      </c>
      <c r="AI351" s="36" t="str">
        <f aca="false">IF(AH351=1,IF(AND(LEN(AE351)&gt;7,ISNUMBER(VALUE(LEFT(AE351,6))),MID(AE351,7,1)=" "),LEFT(AE351,6),AE351),"")</f>
        <v/>
      </c>
      <c r="AN351" s="36" t="str">
        <f aca="false">TRIM(AK351)</f>
        <v/>
      </c>
      <c r="AO351" s="36" t="str">
        <f aca="false">IF(AN351="Revenue","Revenue",IF(AN351="Cost of Goods Sold","COGS",IF(AN351="Expenditures","Expense",IF(AN351="Other Revenue","Other Revenue",IF(AN351="Other Expenditures","Other Expense",AO350)))))</f>
        <v/>
      </c>
      <c r="AP351" s="36" t="str">
        <f aca="false">IF(OR(AN351="Revenue",AN351="Cost of Goods Sold",AN351="Expenditures",AN351="Other Revenue",AN351="Other Expenditures"),AO351,IF(AND(LEN(AN351)&gt;2,MID(AN351,2,1)=" ",ISNUMBER(VALUE(LEFT(AN351,1)))),AN351,AP350))</f>
        <v/>
      </c>
      <c r="AQ351" s="36" t="n">
        <f aca="false">IF(AND(AN351&lt;&gt;"",ISNUMBER(AL351),LEFT(AN351,9)&lt;&gt;"Total for",AN351&lt;&gt;"Gross Profit",AN351&lt;&gt;"Net Operating Revenue",AN351&lt;&gt;"Net Other Revenue",AN351&lt;&gt;"Net Revenue"),1,0)</f>
        <v>0</v>
      </c>
      <c r="AR351" s="36" t="str">
        <f aca="false">IF(AQ351=1,IF(AND(LEN(AN351)&gt;7,ISNUMBER(VALUE(LEFT(AN351,6))),MID(AN351,7,1)=" "),LEFT(AN351,6),AN351),"")</f>
        <v/>
      </c>
    </row>
    <row r="352" customFormat="false" ht="15" hidden="false" customHeight="false" outlineLevel="0" collapsed="false">
      <c r="D352" s="36" t="str">
        <f aca="false">TRIM(A352)</f>
        <v/>
      </c>
      <c r="E352" s="36" t="str">
        <f aca="false">IF(D352="Revenue","Revenue",IF(D352="Cost of Goods Sold","COGS",IF(D352="Expenditures","Expense",IF(D352="Other Revenue","Other Revenue",IF(D352="Other Expenditures","Other Expense",E351)))))</f>
        <v/>
      </c>
      <c r="F352" s="36" t="str">
        <f aca="false">IF(OR(D352="Revenue",D352="Cost of Goods Sold",D352="Expenditures",D352="Other Revenue",D352="Other Expenditures"),E352,IF(AND(LEN(D352)&gt;2,MID(D352,2,1)=" ",ISNUMBER(VALUE(LEFT(D352,1)))),D352,F351))</f>
        <v/>
      </c>
      <c r="G352" s="36" t="n">
        <f aca="false">IF(AND(D352&lt;&gt;"",ISNUMBER(B352),LEFT(D352,9)&lt;&gt;"Total for",D352&lt;&gt;"Gross Profit",D352&lt;&gt;"Net Operating Revenue",D352&lt;&gt;"Net Other Revenue",D352&lt;&gt;"Net Revenue"),1,0)</f>
        <v>0</v>
      </c>
      <c r="H352" s="36" t="str">
        <f aca="false">IF(G352=1,IF(AND(LEN(D352)&gt;7,ISNUMBER(VALUE(LEFT(D352,6))),MID(D352,7,1)=" "),LEFT(D352,6),D352),"")</f>
        <v/>
      </c>
      <c r="M352" s="36" t="str">
        <f aca="false">TRIM(J352)</f>
        <v/>
      </c>
      <c r="N352" s="36" t="str">
        <f aca="false">IF(M352="Revenue","Revenue",IF(M352="Cost of Goods Sold","COGS",IF(M352="Expenditures","Expense",IF(M352="Other Revenue","Other Revenue",IF(M352="Other Expenditures","Other Expense",N351)))))</f>
        <v/>
      </c>
      <c r="O352" s="36" t="str">
        <f aca="false">IF(OR(M352="Revenue",M352="Cost of Goods Sold",M352="Expenditures",M352="Other Revenue",M352="Other Expenditures"),N352,IF(AND(LEN(M352)&gt;2,MID(M352,2,1)=" ",ISNUMBER(VALUE(LEFT(M352,1)))),M352,O351))</f>
        <v/>
      </c>
      <c r="P352" s="36" t="n">
        <f aca="false">IF(AND(M352&lt;&gt;"",ISNUMBER(K352),LEFT(M352,9)&lt;&gt;"Total for",M352&lt;&gt;"Gross Profit",M352&lt;&gt;"Net Operating Revenue",M352&lt;&gt;"Net Other Revenue",M352&lt;&gt;"Net Revenue"),1,0)</f>
        <v>0</v>
      </c>
      <c r="Q352" s="36" t="str">
        <f aca="false">IF(P352=1,IF(AND(LEN(M352)&gt;7,ISNUMBER(VALUE(LEFT(M352,6))),MID(M352,7,1)=" "),LEFT(M352,6),M352),"")</f>
        <v/>
      </c>
      <c r="V352" s="36" t="str">
        <f aca="false">TRIM(S352)</f>
        <v/>
      </c>
      <c r="W352" s="36" t="str">
        <f aca="false">IF(V352="Revenue","Revenue",IF(V352="Cost of Goods Sold","COGS",IF(V352="Expenditures","Expense",IF(V352="Other Revenue","Other Revenue",IF(V352="Other Expenditures","Other Expense",W351)))))</f>
        <v/>
      </c>
      <c r="X352" s="36" t="str">
        <f aca="false">IF(OR(V352="Revenue",V352="Cost of Goods Sold",V352="Expenditures",V352="Other Revenue",V352="Other Expenditures"),W352,IF(AND(LEN(V352)&gt;2,MID(V352,2,1)=" ",ISNUMBER(VALUE(LEFT(V352,1)))),V352,X351))</f>
        <v/>
      </c>
      <c r="Y352" s="36" t="n">
        <f aca="false">IF(AND(V352&lt;&gt;"",ISNUMBER(T352),LEFT(V352,9)&lt;&gt;"Total for",V352&lt;&gt;"Gross Profit",V352&lt;&gt;"Net Operating Revenue",V352&lt;&gt;"Net Other Revenue",V352&lt;&gt;"Net Revenue"),1,0)</f>
        <v>0</v>
      </c>
      <c r="Z352" s="36" t="str">
        <f aca="false">IF(Y352=1,IF(AND(LEN(V352)&gt;7,ISNUMBER(VALUE(LEFT(V352,6))),MID(V352,7,1)=" "),LEFT(V352,6),V352),"")</f>
        <v/>
      </c>
      <c r="AE352" s="36" t="str">
        <f aca="false">TRIM(AB352)</f>
        <v/>
      </c>
      <c r="AF352" s="36" t="str">
        <f aca="false">IF(AE352="Revenue","Revenue",IF(AE352="Cost of Goods Sold","COGS",IF(AE352="Expenditures","Expense",IF(AE352="Other Revenue","Other Revenue",IF(AE352="Other Expenditures","Other Expense",AF351)))))</f>
        <v/>
      </c>
      <c r="AG352" s="36" t="str">
        <f aca="false">IF(OR(AE352="Revenue",AE352="Cost of Goods Sold",AE352="Expenditures",AE352="Other Revenue",AE352="Other Expenditures"),AF352,IF(AND(LEN(AE352)&gt;2,MID(AE352,2,1)=" ",ISNUMBER(VALUE(LEFT(AE352,1)))),AE352,AG351))</f>
        <v/>
      </c>
      <c r="AH352" s="36" t="n">
        <f aca="false">IF(AND(AE352&lt;&gt;"",ISNUMBER(AC352),LEFT(AE352,9)&lt;&gt;"Total for",AE352&lt;&gt;"Gross Profit",AE352&lt;&gt;"Net Operating Revenue",AE352&lt;&gt;"Net Other Revenue",AE352&lt;&gt;"Net Revenue"),1,0)</f>
        <v>0</v>
      </c>
      <c r="AI352" s="36" t="str">
        <f aca="false">IF(AH352=1,IF(AND(LEN(AE352)&gt;7,ISNUMBER(VALUE(LEFT(AE352,6))),MID(AE352,7,1)=" "),LEFT(AE352,6),AE352),"")</f>
        <v/>
      </c>
      <c r="AN352" s="36" t="str">
        <f aca="false">TRIM(AK352)</f>
        <v/>
      </c>
      <c r="AO352" s="36" t="str">
        <f aca="false">IF(AN352="Revenue","Revenue",IF(AN352="Cost of Goods Sold","COGS",IF(AN352="Expenditures","Expense",IF(AN352="Other Revenue","Other Revenue",IF(AN352="Other Expenditures","Other Expense",AO351)))))</f>
        <v/>
      </c>
      <c r="AP352" s="36" t="str">
        <f aca="false">IF(OR(AN352="Revenue",AN352="Cost of Goods Sold",AN352="Expenditures",AN352="Other Revenue",AN352="Other Expenditures"),AO352,IF(AND(LEN(AN352)&gt;2,MID(AN352,2,1)=" ",ISNUMBER(VALUE(LEFT(AN352,1)))),AN352,AP351))</f>
        <v/>
      </c>
      <c r="AQ352" s="36" t="n">
        <f aca="false">IF(AND(AN352&lt;&gt;"",ISNUMBER(AL352),LEFT(AN352,9)&lt;&gt;"Total for",AN352&lt;&gt;"Gross Profit",AN352&lt;&gt;"Net Operating Revenue",AN352&lt;&gt;"Net Other Revenue",AN352&lt;&gt;"Net Revenue"),1,0)</f>
        <v>0</v>
      </c>
      <c r="AR352" s="36" t="str">
        <f aca="false">IF(AQ352=1,IF(AND(LEN(AN352)&gt;7,ISNUMBER(VALUE(LEFT(AN352,6))),MID(AN352,7,1)=" "),LEFT(AN352,6),AN352),"")</f>
        <v/>
      </c>
    </row>
    <row r="353" customFormat="false" ht="15" hidden="false" customHeight="false" outlineLevel="0" collapsed="false">
      <c r="D353" s="36" t="str">
        <f aca="false">TRIM(A353)</f>
        <v/>
      </c>
      <c r="E353" s="36" t="str">
        <f aca="false">IF(D353="Revenue","Revenue",IF(D353="Cost of Goods Sold","COGS",IF(D353="Expenditures","Expense",IF(D353="Other Revenue","Other Revenue",IF(D353="Other Expenditures","Other Expense",E352)))))</f>
        <v/>
      </c>
      <c r="F353" s="36" t="str">
        <f aca="false">IF(OR(D353="Revenue",D353="Cost of Goods Sold",D353="Expenditures",D353="Other Revenue",D353="Other Expenditures"),E353,IF(AND(LEN(D353)&gt;2,MID(D353,2,1)=" ",ISNUMBER(VALUE(LEFT(D353,1)))),D353,F352))</f>
        <v/>
      </c>
      <c r="G353" s="36" t="n">
        <f aca="false">IF(AND(D353&lt;&gt;"",ISNUMBER(B353),LEFT(D353,9)&lt;&gt;"Total for",D353&lt;&gt;"Gross Profit",D353&lt;&gt;"Net Operating Revenue",D353&lt;&gt;"Net Other Revenue",D353&lt;&gt;"Net Revenue"),1,0)</f>
        <v>0</v>
      </c>
      <c r="H353" s="36" t="str">
        <f aca="false">IF(G353=1,IF(AND(LEN(D353)&gt;7,ISNUMBER(VALUE(LEFT(D353,6))),MID(D353,7,1)=" "),LEFT(D353,6),D353),"")</f>
        <v/>
      </c>
      <c r="M353" s="36" t="str">
        <f aca="false">TRIM(J353)</f>
        <v/>
      </c>
      <c r="N353" s="36" t="str">
        <f aca="false">IF(M353="Revenue","Revenue",IF(M353="Cost of Goods Sold","COGS",IF(M353="Expenditures","Expense",IF(M353="Other Revenue","Other Revenue",IF(M353="Other Expenditures","Other Expense",N352)))))</f>
        <v/>
      </c>
      <c r="O353" s="36" t="str">
        <f aca="false">IF(OR(M353="Revenue",M353="Cost of Goods Sold",M353="Expenditures",M353="Other Revenue",M353="Other Expenditures"),N353,IF(AND(LEN(M353)&gt;2,MID(M353,2,1)=" ",ISNUMBER(VALUE(LEFT(M353,1)))),M353,O352))</f>
        <v/>
      </c>
      <c r="P353" s="36" t="n">
        <f aca="false">IF(AND(M353&lt;&gt;"",ISNUMBER(K353),LEFT(M353,9)&lt;&gt;"Total for",M353&lt;&gt;"Gross Profit",M353&lt;&gt;"Net Operating Revenue",M353&lt;&gt;"Net Other Revenue",M353&lt;&gt;"Net Revenue"),1,0)</f>
        <v>0</v>
      </c>
      <c r="Q353" s="36" t="str">
        <f aca="false">IF(P353=1,IF(AND(LEN(M353)&gt;7,ISNUMBER(VALUE(LEFT(M353,6))),MID(M353,7,1)=" "),LEFT(M353,6),M353),"")</f>
        <v/>
      </c>
      <c r="V353" s="36" t="str">
        <f aca="false">TRIM(S353)</f>
        <v/>
      </c>
      <c r="W353" s="36" t="str">
        <f aca="false">IF(V353="Revenue","Revenue",IF(V353="Cost of Goods Sold","COGS",IF(V353="Expenditures","Expense",IF(V353="Other Revenue","Other Revenue",IF(V353="Other Expenditures","Other Expense",W352)))))</f>
        <v/>
      </c>
      <c r="X353" s="36" t="str">
        <f aca="false">IF(OR(V353="Revenue",V353="Cost of Goods Sold",V353="Expenditures",V353="Other Revenue",V353="Other Expenditures"),W353,IF(AND(LEN(V353)&gt;2,MID(V353,2,1)=" ",ISNUMBER(VALUE(LEFT(V353,1)))),V353,X352))</f>
        <v/>
      </c>
      <c r="Y353" s="36" t="n">
        <f aca="false">IF(AND(V353&lt;&gt;"",ISNUMBER(T353),LEFT(V353,9)&lt;&gt;"Total for",V353&lt;&gt;"Gross Profit",V353&lt;&gt;"Net Operating Revenue",V353&lt;&gt;"Net Other Revenue",V353&lt;&gt;"Net Revenue"),1,0)</f>
        <v>0</v>
      </c>
      <c r="Z353" s="36" t="str">
        <f aca="false">IF(Y353=1,IF(AND(LEN(V353)&gt;7,ISNUMBER(VALUE(LEFT(V353,6))),MID(V353,7,1)=" "),LEFT(V353,6),V353),"")</f>
        <v/>
      </c>
      <c r="AE353" s="36" t="str">
        <f aca="false">TRIM(AB353)</f>
        <v/>
      </c>
      <c r="AF353" s="36" t="str">
        <f aca="false">IF(AE353="Revenue","Revenue",IF(AE353="Cost of Goods Sold","COGS",IF(AE353="Expenditures","Expense",IF(AE353="Other Revenue","Other Revenue",IF(AE353="Other Expenditures","Other Expense",AF352)))))</f>
        <v/>
      </c>
      <c r="AG353" s="36" t="str">
        <f aca="false">IF(OR(AE353="Revenue",AE353="Cost of Goods Sold",AE353="Expenditures",AE353="Other Revenue",AE353="Other Expenditures"),AF353,IF(AND(LEN(AE353)&gt;2,MID(AE353,2,1)=" ",ISNUMBER(VALUE(LEFT(AE353,1)))),AE353,AG352))</f>
        <v/>
      </c>
      <c r="AH353" s="36" t="n">
        <f aca="false">IF(AND(AE353&lt;&gt;"",ISNUMBER(AC353),LEFT(AE353,9)&lt;&gt;"Total for",AE353&lt;&gt;"Gross Profit",AE353&lt;&gt;"Net Operating Revenue",AE353&lt;&gt;"Net Other Revenue",AE353&lt;&gt;"Net Revenue"),1,0)</f>
        <v>0</v>
      </c>
      <c r="AI353" s="36" t="str">
        <f aca="false">IF(AH353=1,IF(AND(LEN(AE353)&gt;7,ISNUMBER(VALUE(LEFT(AE353,6))),MID(AE353,7,1)=" "),LEFT(AE353,6),AE353),"")</f>
        <v/>
      </c>
      <c r="AN353" s="36" t="str">
        <f aca="false">TRIM(AK353)</f>
        <v/>
      </c>
      <c r="AO353" s="36" t="str">
        <f aca="false">IF(AN353="Revenue","Revenue",IF(AN353="Cost of Goods Sold","COGS",IF(AN353="Expenditures","Expense",IF(AN353="Other Revenue","Other Revenue",IF(AN353="Other Expenditures","Other Expense",AO352)))))</f>
        <v/>
      </c>
      <c r="AP353" s="36" t="str">
        <f aca="false">IF(OR(AN353="Revenue",AN353="Cost of Goods Sold",AN353="Expenditures",AN353="Other Revenue",AN353="Other Expenditures"),AO353,IF(AND(LEN(AN353)&gt;2,MID(AN353,2,1)=" ",ISNUMBER(VALUE(LEFT(AN353,1)))),AN353,AP352))</f>
        <v/>
      </c>
      <c r="AQ353" s="36" t="n">
        <f aca="false">IF(AND(AN353&lt;&gt;"",ISNUMBER(AL353),LEFT(AN353,9)&lt;&gt;"Total for",AN353&lt;&gt;"Gross Profit",AN353&lt;&gt;"Net Operating Revenue",AN353&lt;&gt;"Net Other Revenue",AN353&lt;&gt;"Net Revenue"),1,0)</f>
        <v>0</v>
      </c>
      <c r="AR353" s="36" t="str">
        <f aca="false">IF(AQ353=1,IF(AND(LEN(AN353)&gt;7,ISNUMBER(VALUE(LEFT(AN353,6))),MID(AN353,7,1)=" "),LEFT(AN353,6),AN353),"")</f>
        <v/>
      </c>
    </row>
    <row r="354" customFormat="false" ht="15" hidden="false" customHeight="false" outlineLevel="0" collapsed="false">
      <c r="D354" s="36" t="str">
        <f aca="false">TRIM(A354)</f>
        <v/>
      </c>
      <c r="E354" s="36" t="str">
        <f aca="false">IF(D354="Revenue","Revenue",IF(D354="Cost of Goods Sold","COGS",IF(D354="Expenditures","Expense",IF(D354="Other Revenue","Other Revenue",IF(D354="Other Expenditures","Other Expense",E353)))))</f>
        <v/>
      </c>
      <c r="F354" s="36" t="str">
        <f aca="false">IF(OR(D354="Revenue",D354="Cost of Goods Sold",D354="Expenditures",D354="Other Revenue",D354="Other Expenditures"),E354,IF(AND(LEN(D354)&gt;2,MID(D354,2,1)=" ",ISNUMBER(VALUE(LEFT(D354,1)))),D354,F353))</f>
        <v/>
      </c>
      <c r="G354" s="36" t="n">
        <f aca="false">IF(AND(D354&lt;&gt;"",ISNUMBER(B354),LEFT(D354,9)&lt;&gt;"Total for",D354&lt;&gt;"Gross Profit",D354&lt;&gt;"Net Operating Revenue",D354&lt;&gt;"Net Other Revenue",D354&lt;&gt;"Net Revenue"),1,0)</f>
        <v>0</v>
      </c>
      <c r="H354" s="36" t="str">
        <f aca="false">IF(G354=1,IF(AND(LEN(D354)&gt;7,ISNUMBER(VALUE(LEFT(D354,6))),MID(D354,7,1)=" "),LEFT(D354,6),D354),"")</f>
        <v/>
      </c>
      <c r="M354" s="36" t="str">
        <f aca="false">TRIM(J354)</f>
        <v/>
      </c>
      <c r="N354" s="36" t="str">
        <f aca="false">IF(M354="Revenue","Revenue",IF(M354="Cost of Goods Sold","COGS",IF(M354="Expenditures","Expense",IF(M354="Other Revenue","Other Revenue",IF(M354="Other Expenditures","Other Expense",N353)))))</f>
        <v/>
      </c>
      <c r="O354" s="36" t="str">
        <f aca="false">IF(OR(M354="Revenue",M354="Cost of Goods Sold",M354="Expenditures",M354="Other Revenue",M354="Other Expenditures"),N354,IF(AND(LEN(M354)&gt;2,MID(M354,2,1)=" ",ISNUMBER(VALUE(LEFT(M354,1)))),M354,O353))</f>
        <v/>
      </c>
      <c r="P354" s="36" t="n">
        <f aca="false">IF(AND(M354&lt;&gt;"",ISNUMBER(K354),LEFT(M354,9)&lt;&gt;"Total for",M354&lt;&gt;"Gross Profit",M354&lt;&gt;"Net Operating Revenue",M354&lt;&gt;"Net Other Revenue",M354&lt;&gt;"Net Revenue"),1,0)</f>
        <v>0</v>
      </c>
      <c r="Q354" s="36" t="str">
        <f aca="false">IF(P354=1,IF(AND(LEN(M354)&gt;7,ISNUMBER(VALUE(LEFT(M354,6))),MID(M354,7,1)=" "),LEFT(M354,6),M354),"")</f>
        <v/>
      </c>
      <c r="V354" s="36" t="str">
        <f aca="false">TRIM(S354)</f>
        <v/>
      </c>
      <c r="W354" s="36" t="str">
        <f aca="false">IF(V354="Revenue","Revenue",IF(V354="Cost of Goods Sold","COGS",IF(V354="Expenditures","Expense",IF(V354="Other Revenue","Other Revenue",IF(V354="Other Expenditures","Other Expense",W353)))))</f>
        <v/>
      </c>
      <c r="X354" s="36" t="str">
        <f aca="false">IF(OR(V354="Revenue",V354="Cost of Goods Sold",V354="Expenditures",V354="Other Revenue",V354="Other Expenditures"),W354,IF(AND(LEN(V354)&gt;2,MID(V354,2,1)=" ",ISNUMBER(VALUE(LEFT(V354,1)))),V354,X353))</f>
        <v/>
      </c>
      <c r="Y354" s="36" t="n">
        <f aca="false">IF(AND(V354&lt;&gt;"",ISNUMBER(T354),LEFT(V354,9)&lt;&gt;"Total for",V354&lt;&gt;"Gross Profit",V354&lt;&gt;"Net Operating Revenue",V354&lt;&gt;"Net Other Revenue",V354&lt;&gt;"Net Revenue"),1,0)</f>
        <v>0</v>
      </c>
      <c r="Z354" s="36" t="str">
        <f aca="false">IF(Y354=1,IF(AND(LEN(V354)&gt;7,ISNUMBER(VALUE(LEFT(V354,6))),MID(V354,7,1)=" "),LEFT(V354,6),V354),"")</f>
        <v/>
      </c>
      <c r="AE354" s="36" t="str">
        <f aca="false">TRIM(AB354)</f>
        <v/>
      </c>
      <c r="AF354" s="36" t="str">
        <f aca="false">IF(AE354="Revenue","Revenue",IF(AE354="Cost of Goods Sold","COGS",IF(AE354="Expenditures","Expense",IF(AE354="Other Revenue","Other Revenue",IF(AE354="Other Expenditures","Other Expense",AF353)))))</f>
        <v/>
      </c>
      <c r="AG354" s="36" t="str">
        <f aca="false">IF(OR(AE354="Revenue",AE354="Cost of Goods Sold",AE354="Expenditures",AE354="Other Revenue",AE354="Other Expenditures"),AF354,IF(AND(LEN(AE354)&gt;2,MID(AE354,2,1)=" ",ISNUMBER(VALUE(LEFT(AE354,1)))),AE354,AG353))</f>
        <v/>
      </c>
      <c r="AH354" s="36" t="n">
        <f aca="false">IF(AND(AE354&lt;&gt;"",ISNUMBER(AC354),LEFT(AE354,9)&lt;&gt;"Total for",AE354&lt;&gt;"Gross Profit",AE354&lt;&gt;"Net Operating Revenue",AE354&lt;&gt;"Net Other Revenue",AE354&lt;&gt;"Net Revenue"),1,0)</f>
        <v>0</v>
      </c>
      <c r="AI354" s="36" t="str">
        <f aca="false">IF(AH354=1,IF(AND(LEN(AE354)&gt;7,ISNUMBER(VALUE(LEFT(AE354,6))),MID(AE354,7,1)=" "),LEFT(AE354,6),AE354),"")</f>
        <v/>
      </c>
      <c r="AN354" s="36" t="str">
        <f aca="false">TRIM(AK354)</f>
        <v/>
      </c>
      <c r="AO354" s="36" t="str">
        <f aca="false">IF(AN354="Revenue","Revenue",IF(AN354="Cost of Goods Sold","COGS",IF(AN354="Expenditures","Expense",IF(AN354="Other Revenue","Other Revenue",IF(AN354="Other Expenditures","Other Expense",AO353)))))</f>
        <v/>
      </c>
      <c r="AP354" s="36" t="str">
        <f aca="false">IF(OR(AN354="Revenue",AN354="Cost of Goods Sold",AN354="Expenditures",AN354="Other Revenue",AN354="Other Expenditures"),AO354,IF(AND(LEN(AN354)&gt;2,MID(AN354,2,1)=" ",ISNUMBER(VALUE(LEFT(AN354,1)))),AN354,AP353))</f>
        <v/>
      </c>
      <c r="AQ354" s="36" t="n">
        <f aca="false">IF(AND(AN354&lt;&gt;"",ISNUMBER(AL354),LEFT(AN354,9)&lt;&gt;"Total for",AN354&lt;&gt;"Gross Profit",AN354&lt;&gt;"Net Operating Revenue",AN354&lt;&gt;"Net Other Revenue",AN354&lt;&gt;"Net Revenue"),1,0)</f>
        <v>0</v>
      </c>
      <c r="AR354" s="36" t="str">
        <f aca="false">IF(AQ354=1,IF(AND(LEN(AN354)&gt;7,ISNUMBER(VALUE(LEFT(AN354,6))),MID(AN354,7,1)=" "),LEFT(AN354,6),AN354),"")</f>
        <v/>
      </c>
    </row>
    <row r="355" customFormat="false" ht="15" hidden="false" customHeight="false" outlineLevel="0" collapsed="false">
      <c r="D355" s="36" t="str">
        <f aca="false">TRIM(A355)</f>
        <v/>
      </c>
      <c r="E355" s="36" t="str">
        <f aca="false">IF(D355="Revenue","Revenue",IF(D355="Cost of Goods Sold","COGS",IF(D355="Expenditures","Expense",IF(D355="Other Revenue","Other Revenue",IF(D355="Other Expenditures","Other Expense",E354)))))</f>
        <v/>
      </c>
      <c r="F355" s="36" t="str">
        <f aca="false">IF(OR(D355="Revenue",D355="Cost of Goods Sold",D355="Expenditures",D355="Other Revenue",D355="Other Expenditures"),E355,IF(AND(LEN(D355)&gt;2,MID(D355,2,1)=" ",ISNUMBER(VALUE(LEFT(D355,1)))),D355,F354))</f>
        <v/>
      </c>
      <c r="G355" s="36" t="n">
        <f aca="false">IF(AND(D355&lt;&gt;"",ISNUMBER(B355),LEFT(D355,9)&lt;&gt;"Total for",D355&lt;&gt;"Gross Profit",D355&lt;&gt;"Net Operating Revenue",D355&lt;&gt;"Net Other Revenue",D355&lt;&gt;"Net Revenue"),1,0)</f>
        <v>0</v>
      </c>
      <c r="H355" s="36" t="str">
        <f aca="false">IF(G355=1,IF(AND(LEN(D355)&gt;7,ISNUMBER(VALUE(LEFT(D355,6))),MID(D355,7,1)=" "),LEFT(D355,6),D355),"")</f>
        <v/>
      </c>
      <c r="M355" s="36" t="str">
        <f aca="false">TRIM(J355)</f>
        <v/>
      </c>
      <c r="N355" s="36" t="str">
        <f aca="false">IF(M355="Revenue","Revenue",IF(M355="Cost of Goods Sold","COGS",IF(M355="Expenditures","Expense",IF(M355="Other Revenue","Other Revenue",IF(M355="Other Expenditures","Other Expense",N354)))))</f>
        <v/>
      </c>
      <c r="O355" s="36" t="str">
        <f aca="false">IF(OR(M355="Revenue",M355="Cost of Goods Sold",M355="Expenditures",M355="Other Revenue",M355="Other Expenditures"),N355,IF(AND(LEN(M355)&gt;2,MID(M355,2,1)=" ",ISNUMBER(VALUE(LEFT(M355,1)))),M355,O354))</f>
        <v/>
      </c>
      <c r="P355" s="36" t="n">
        <f aca="false">IF(AND(M355&lt;&gt;"",ISNUMBER(K355),LEFT(M355,9)&lt;&gt;"Total for",M355&lt;&gt;"Gross Profit",M355&lt;&gt;"Net Operating Revenue",M355&lt;&gt;"Net Other Revenue",M355&lt;&gt;"Net Revenue"),1,0)</f>
        <v>0</v>
      </c>
      <c r="Q355" s="36" t="str">
        <f aca="false">IF(P355=1,IF(AND(LEN(M355)&gt;7,ISNUMBER(VALUE(LEFT(M355,6))),MID(M355,7,1)=" "),LEFT(M355,6),M355),"")</f>
        <v/>
      </c>
      <c r="V355" s="36" t="str">
        <f aca="false">TRIM(S355)</f>
        <v/>
      </c>
      <c r="W355" s="36" t="str">
        <f aca="false">IF(V355="Revenue","Revenue",IF(V355="Cost of Goods Sold","COGS",IF(V355="Expenditures","Expense",IF(V355="Other Revenue","Other Revenue",IF(V355="Other Expenditures","Other Expense",W354)))))</f>
        <v/>
      </c>
      <c r="X355" s="36" t="str">
        <f aca="false">IF(OR(V355="Revenue",V355="Cost of Goods Sold",V355="Expenditures",V355="Other Revenue",V355="Other Expenditures"),W355,IF(AND(LEN(V355)&gt;2,MID(V355,2,1)=" ",ISNUMBER(VALUE(LEFT(V355,1)))),V355,X354))</f>
        <v/>
      </c>
      <c r="Y355" s="36" t="n">
        <f aca="false">IF(AND(V355&lt;&gt;"",ISNUMBER(T355),LEFT(V355,9)&lt;&gt;"Total for",V355&lt;&gt;"Gross Profit",V355&lt;&gt;"Net Operating Revenue",V355&lt;&gt;"Net Other Revenue",V355&lt;&gt;"Net Revenue"),1,0)</f>
        <v>0</v>
      </c>
      <c r="Z355" s="36" t="str">
        <f aca="false">IF(Y355=1,IF(AND(LEN(V355)&gt;7,ISNUMBER(VALUE(LEFT(V355,6))),MID(V355,7,1)=" "),LEFT(V355,6),V355),"")</f>
        <v/>
      </c>
      <c r="AE355" s="36" t="str">
        <f aca="false">TRIM(AB355)</f>
        <v/>
      </c>
      <c r="AF355" s="36" t="str">
        <f aca="false">IF(AE355="Revenue","Revenue",IF(AE355="Cost of Goods Sold","COGS",IF(AE355="Expenditures","Expense",IF(AE355="Other Revenue","Other Revenue",IF(AE355="Other Expenditures","Other Expense",AF354)))))</f>
        <v/>
      </c>
      <c r="AG355" s="36" t="str">
        <f aca="false">IF(OR(AE355="Revenue",AE355="Cost of Goods Sold",AE355="Expenditures",AE355="Other Revenue",AE355="Other Expenditures"),AF355,IF(AND(LEN(AE355)&gt;2,MID(AE355,2,1)=" ",ISNUMBER(VALUE(LEFT(AE355,1)))),AE355,AG354))</f>
        <v/>
      </c>
      <c r="AH355" s="36" t="n">
        <f aca="false">IF(AND(AE355&lt;&gt;"",ISNUMBER(AC355),LEFT(AE355,9)&lt;&gt;"Total for",AE355&lt;&gt;"Gross Profit",AE355&lt;&gt;"Net Operating Revenue",AE355&lt;&gt;"Net Other Revenue",AE355&lt;&gt;"Net Revenue"),1,0)</f>
        <v>0</v>
      </c>
      <c r="AI355" s="36" t="str">
        <f aca="false">IF(AH355=1,IF(AND(LEN(AE355)&gt;7,ISNUMBER(VALUE(LEFT(AE355,6))),MID(AE355,7,1)=" "),LEFT(AE355,6),AE355),"")</f>
        <v/>
      </c>
      <c r="AN355" s="36" t="str">
        <f aca="false">TRIM(AK355)</f>
        <v/>
      </c>
      <c r="AO355" s="36" t="str">
        <f aca="false">IF(AN355="Revenue","Revenue",IF(AN355="Cost of Goods Sold","COGS",IF(AN355="Expenditures","Expense",IF(AN355="Other Revenue","Other Revenue",IF(AN355="Other Expenditures","Other Expense",AO354)))))</f>
        <v/>
      </c>
      <c r="AP355" s="36" t="str">
        <f aca="false">IF(OR(AN355="Revenue",AN355="Cost of Goods Sold",AN355="Expenditures",AN355="Other Revenue",AN355="Other Expenditures"),AO355,IF(AND(LEN(AN355)&gt;2,MID(AN355,2,1)=" ",ISNUMBER(VALUE(LEFT(AN355,1)))),AN355,AP354))</f>
        <v/>
      </c>
      <c r="AQ355" s="36" t="n">
        <f aca="false">IF(AND(AN355&lt;&gt;"",ISNUMBER(AL355),LEFT(AN355,9)&lt;&gt;"Total for",AN355&lt;&gt;"Gross Profit",AN355&lt;&gt;"Net Operating Revenue",AN355&lt;&gt;"Net Other Revenue",AN355&lt;&gt;"Net Revenue"),1,0)</f>
        <v>0</v>
      </c>
      <c r="AR355" s="36" t="str">
        <f aca="false">IF(AQ355=1,IF(AND(LEN(AN355)&gt;7,ISNUMBER(VALUE(LEFT(AN355,6))),MID(AN355,7,1)=" "),LEFT(AN355,6),AN355),"")</f>
        <v/>
      </c>
    </row>
    <row r="356" customFormat="false" ht="15" hidden="false" customHeight="false" outlineLevel="0" collapsed="false">
      <c r="D356" s="36" t="str">
        <f aca="false">TRIM(A356)</f>
        <v/>
      </c>
      <c r="E356" s="36" t="str">
        <f aca="false">IF(D356="Revenue","Revenue",IF(D356="Cost of Goods Sold","COGS",IF(D356="Expenditures","Expense",IF(D356="Other Revenue","Other Revenue",IF(D356="Other Expenditures","Other Expense",E355)))))</f>
        <v/>
      </c>
      <c r="F356" s="36" t="str">
        <f aca="false">IF(OR(D356="Revenue",D356="Cost of Goods Sold",D356="Expenditures",D356="Other Revenue",D356="Other Expenditures"),E356,IF(AND(LEN(D356)&gt;2,MID(D356,2,1)=" ",ISNUMBER(VALUE(LEFT(D356,1)))),D356,F355))</f>
        <v/>
      </c>
      <c r="G356" s="36" t="n">
        <f aca="false">IF(AND(D356&lt;&gt;"",ISNUMBER(B356),LEFT(D356,9)&lt;&gt;"Total for",D356&lt;&gt;"Gross Profit",D356&lt;&gt;"Net Operating Revenue",D356&lt;&gt;"Net Other Revenue",D356&lt;&gt;"Net Revenue"),1,0)</f>
        <v>0</v>
      </c>
      <c r="H356" s="36" t="str">
        <f aca="false">IF(G356=1,IF(AND(LEN(D356)&gt;7,ISNUMBER(VALUE(LEFT(D356,6))),MID(D356,7,1)=" "),LEFT(D356,6),D356),"")</f>
        <v/>
      </c>
      <c r="M356" s="36" t="str">
        <f aca="false">TRIM(J356)</f>
        <v/>
      </c>
      <c r="N356" s="36" t="str">
        <f aca="false">IF(M356="Revenue","Revenue",IF(M356="Cost of Goods Sold","COGS",IF(M356="Expenditures","Expense",IF(M356="Other Revenue","Other Revenue",IF(M356="Other Expenditures","Other Expense",N355)))))</f>
        <v/>
      </c>
      <c r="O356" s="36" t="str">
        <f aca="false">IF(OR(M356="Revenue",M356="Cost of Goods Sold",M356="Expenditures",M356="Other Revenue",M356="Other Expenditures"),N356,IF(AND(LEN(M356)&gt;2,MID(M356,2,1)=" ",ISNUMBER(VALUE(LEFT(M356,1)))),M356,O355))</f>
        <v/>
      </c>
      <c r="P356" s="36" t="n">
        <f aca="false">IF(AND(M356&lt;&gt;"",ISNUMBER(K356),LEFT(M356,9)&lt;&gt;"Total for",M356&lt;&gt;"Gross Profit",M356&lt;&gt;"Net Operating Revenue",M356&lt;&gt;"Net Other Revenue",M356&lt;&gt;"Net Revenue"),1,0)</f>
        <v>0</v>
      </c>
      <c r="Q356" s="36" t="str">
        <f aca="false">IF(P356=1,IF(AND(LEN(M356)&gt;7,ISNUMBER(VALUE(LEFT(M356,6))),MID(M356,7,1)=" "),LEFT(M356,6),M356),"")</f>
        <v/>
      </c>
      <c r="V356" s="36" t="str">
        <f aca="false">TRIM(S356)</f>
        <v/>
      </c>
      <c r="W356" s="36" t="str">
        <f aca="false">IF(V356="Revenue","Revenue",IF(V356="Cost of Goods Sold","COGS",IF(V356="Expenditures","Expense",IF(V356="Other Revenue","Other Revenue",IF(V356="Other Expenditures","Other Expense",W355)))))</f>
        <v/>
      </c>
      <c r="X356" s="36" t="str">
        <f aca="false">IF(OR(V356="Revenue",V356="Cost of Goods Sold",V356="Expenditures",V356="Other Revenue",V356="Other Expenditures"),W356,IF(AND(LEN(V356)&gt;2,MID(V356,2,1)=" ",ISNUMBER(VALUE(LEFT(V356,1)))),V356,X355))</f>
        <v/>
      </c>
      <c r="Y356" s="36" t="n">
        <f aca="false">IF(AND(V356&lt;&gt;"",ISNUMBER(T356),LEFT(V356,9)&lt;&gt;"Total for",V356&lt;&gt;"Gross Profit",V356&lt;&gt;"Net Operating Revenue",V356&lt;&gt;"Net Other Revenue",V356&lt;&gt;"Net Revenue"),1,0)</f>
        <v>0</v>
      </c>
      <c r="Z356" s="36" t="str">
        <f aca="false">IF(Y356=1,IF(AND(LEN(V356)&gt;7,ISNUMBER(VALUE(LEFT(V356,6))),MID(V356,7,1)=" "),LEFT(V356,6),V356),"")</f>
        <v/>
      </c>
      <c r="AE356" s="36" t="str">
        <f aca="false">TRIM(AB356)</f>
        <v/>
      </c>
      <c r="AF356" s="36" t="str">
        <f aca="false">IF(AE356="Revenue","Revenue",IF(AE356="Cost of Goods Sold","COGS",IF(AE356="Expenditures","Expense",IF(AE356="Other Revenue","Other Revenue",IF(AE356="Other Expenditures","Other Expense",AF355)))))</f>
        <v/>
      </c>
      <c r="AG356" s="36" t="str">
        <f aca="false">IF(OR(AE356="Revenue",AE356="Cost of Goods Sold",AE356="Expenditures",AE356="Other Revenue",AE356="Other Expenditures"),AF356,IF(AND(LEN(AE356)&gt;2,MID(AE356,2,1)=" ",ISNUMBER(VALUE(LEFT(AE356,1)))),AE356,AG355))</f>
        <v/>
      </c>
      <c r="AH356" s="36" t="n">
        <f aca="false">IF(AND(AE356&lt;&gt;"",ISNUMBER(AC356),LEFT(AE356,9)&lt;&gt;"Total for",AE356&lt;&gt;"Gross Profit",AE356&lt;&gt;"Net Operating Revenue",AE356&lt;&gt;"Net Other Revenue",AE356&lt;&gt;"Net Revenue"),1,0)</f>
        <v>0</v>
      </c>
      <c r="AI356" s="36" t="str">
        <f aca="false">IF(AH356=1,IF(AND(LEN(AE356)&gt;7,ISNUMBER(VALUE(LEFT(AE356,6))),MID(AE356,7,1)=" "),LEFT(AE356,6),AE356),"")</f>
        <v/>
      </c>
      <c r="AN356" s="36" t="str">
        <f aca="false">TRIM(AK356)</f>
        <v/>
      </c>
      <c r="AO356" s="36" t="str">
        <f aca="false">IF(AN356="Revenue","Revenue",IF(AN356="Cost of Goods Sold","COGS",IF(AN356="Expenditures","Expense",IF(AN356="Other Revenue","Other Revenue",IF(AN356="Other Expenditures","Other Expense",AO355)))))</f>
        <v/>
      </c>
      <c r="AP356" s="36" t="str">
        <f aca="false">IF(OR(AN356="Revenue",AN356="Cost of Goods Sold",AN356="Expenditures",AN356="Other Revenue",AN356="Other Expenditures"),AO356,IF(AND(LEN(AN356)&gt;2,MID(AN356,2,1)=" ",ISNUMBER(VALUE(LEFT(AN356,1)))),AN356,AP355))</f>
        <v/>
      </c>
      <c r="AQ356" s="36" t="n">
        <f aca="false">IF(AND(AN356&lt;&gt;"",ISNUMBER(AL356),LEFT(AN356,9)&lt;&gt;"Total for",AN356&lt;&gt;"Gross Profit",AN356&lt;&gt;"Net Operating Revenue",AN356&lt;&gt;"Net Other Revenue",AN356&lt;&gt;"Net Revenue"),1,0)</f>
        <v>0</v>
      </c>
      <c r="AR356" s="36" t="str">
        <f aca="false">IF(AQ356=1,IF(AND(LEN(AN356)&gt;7,ISNUMBER(VALUE(LEFT(AN356,6))),MID(AN356,7,1)=" "),LEFT(AN356,6),AN356),"")</f>
        <v/>
      </c>
    </row>
    <row r="357" customFormat="false" ht="15" hidden="false" customHeight="false" outlineLevel="0" collapsed="false">
      <c r="D357" s="36" t="str">
        <f aca="false">TRIM(A357)</f>
        <v/>
      </c>
      <c r="E357" s="36" t="str">
        <f aca="false">IF(D357="Revenue","Revenue",IF(D357="Cost of Goods Sold","COGS",IF(D357="Expenditures","Expense",IF(D357="Other Revenue","Other Revenue",IF(D357="Other Expenditures","Other Expense",E356)))))</f>
        <v/>
      </c>
      <c r="F357" s="36" t="str">
        <f aca="false">IF(OR(D357="Revenue",D357="Cost of Goods Sold",D357="Expenditures",D357="Other Revenue",D357="Other Expenditures"),E357,IF(AND(LEN(D357)&gt;2,MID(D357,2,1)=" ",ISNUMBER(VALUE(LEFT(D357,1)))),D357,F356))</f>
        <v/>
      </c>
      <c r="G357" s="36" t="n">
        <f aca="false">IF(AND(D357&lt;&gt;"",ISNUMBER(B357),LEFT(D357,9)&lt;&gt;"Total for",D357&lt;&gt;"Gross Profit",D357&lt;&gt;"Net Operating Revenue",D357&lt;&gt;"Net Other Revenue",D357&lt;&gt;"Net Revenue"),1,0)</f>
        <v>0</v>
      </c>
      <c r="H357" s="36" t="str">
        <f aca="false">IF(G357=1,IF(AND(LEN(D357)&gt;7,ISNUMBER(VALUE(LEFT(D357,6))),MID(D357,7,1)=" "),LEFT(D357,6),D357),"")</f>
        <v/>
      </c>
      <c r="M357" s="36" t="str">
        <f aca="false">TRIM(J357)</f>
        <v/>
      </c>
      <c r="N357" s="36" t="str">
        <f aca="false">IF(M357="Revenue","Revenue",IF(M357="Cost of Goods Sold","COGS",IF(M357="Expenditures","Expense",IF(M357="Other Revenue","Other Revenue",IF(M357="Other Expenditures","Other Expense",N356)))))</f>
        <v/>
      </c>
      <c r="O357" s="36" t="str">
        <f aca="false">IF(OR(M357="Revenue",M357="Cost of Goods Sold",M357="Expenditures",M357="Other Revenue",M357="Other Expenditures"),N357,IF(AND(LEN(M357)&gt;2,MID(M357,2,1)=" ",ISNUMBER(VALUE(LEFT(M357,1)))),M357,O356))</f>
        <v/>
      </c>
      <c r="P357" s="36" t="n">
        <f aca="false">IF(AND(M357&lt;&gt;"",ISNUMBER(K357),LEFT(M357,9)&lt;&gt;"Total for",M357&lt;&gt;"Gross Profit",M357&lt;&gt;"Net Operating Revenue",M357&lt;&gt;"Net Other Revenue",M357&lt;&gt;"Net Revenue"),1,0)</f>
        <v>0</v>
      </c>
      <c r="Q357" s="36" t="str">
        <f aca="false">IF(P357=1,IF(AND(LEN(M357)&gt;7,ISNUMBER(VALUE(LEFT(M357,6))),MID(M357,7,1)=" "),LEFT(M357,6),M357),"")</f>
        <v/>
      </c>
      <c r="V357" s="36" t="str">
        <f aca="false">TRIM(S357)</f>
        <v/>
      </c>
      <c r="W357" s="36" t="str">
        <f aca="false">IF(V357="Revenue","Revenue",IF(V357="Cost of Goods Sold","COGS",IF(V357="Expenditures","Expense",IF(V357="Other Revenue","Other Revenue",IF(V357="Other Expenditures","Other Expense",W356)))))</f>
        <v/>
      </c>
      <c r="X357" s="36" t="str">
        <f aca="false">IF(OR(V357="Revenue",V357="Cost of Goods Sold",V357="Expenditures",V357="Other Revenue",V357="Other Expenditures"),W357,IF(AND(LEN(V357)&gt;2,MID(V357,2,1)=" ",ISNUMBER(VALUE(LEFT(V357,1)))),V357,X356))</f>
        <v/>
      </c>
      <c r="Y357" s="36" t="n">
        <f aca="false">IF(AND(V357&lt;&gt;"",ISNUMBER(T357),LEFT(V357,9)&lt;&gt;"Total for",V357&lt;&gt;"Gross Profit",V357&lt;&gt;"Net Operating Revenue",V357&lt;&gt;"Net Other Revenue",V357&lt;&gt;"Net Revenue"),1,0)</f>
        <v>0</v>
      </c>
      <c r="Z357" s="36" t="str">
        <f aca="false">IF(Y357=1,IF(AND(LEN(V357)&gt;7,ISNUMBER(VALUE(LEFT(V357,6))),MID(V357,7,1)=" "),LEFT(V357,6),V357),"")</f>
        <v/>
      </c>
      <c r="AE357" s="36" t="str">
        <f aca="false">TRIM(AB357)</f>
        <v/>
      </c>
      <c r="AF357" s="36" t="str">
        <f aca="false">IF(AE357="Revenue","Revenue",IF(AE357="Cost of Goods Sold","COGS",IF(AE357="Expenditures","Expense",IF(AE357="Other Revenue","Other Revenue",IF(AE357="Other Expenditures","Other Expense",AF356)))))</f>
        <v/>
      </c>
      <c r="AG357" s="36" t="str">
        <f aca="false">IF(OR(AE357="Revenue",AE357="Cost of Goods Sold",AE357="Expenditures",AE357="Other Revenue",AE357="Other Expenditures"),AF357,IF(AND(LEN(AE357)&gt;2,MID(AE357,2,1)=" ",ISNUMBER(VALUE(LEFT(AE357,1)))),AE357,AG356))</f>
        <v/>
      </c>
      <c r="AH357" s="36" t="n">
        <f aca="false">IF(AND(AE357&lt;&gt;"",ISNUMBER(AC357),LEFT(AE357,9)&lt;&gt;"Total for",AE357&lt;&gt;"Gross Profit",AE357&lt;&gt;"Net Operating Revenue",AE357&lt;&gt;"Net Other Revenue",AE357&lt;&gt;"Net Revenue"),1,0)</f>
        <v>0</v>
      </c>
      <c r="AI357" s="36" t="str">
        <f aca="false">IF(AH357=1,IF(AND(LEN(AE357)&gt;7,ISNUMBER(VALUE(LEFT(AE357,6))),MID(AE357,7,1)=" "),LEFT(AE357,6),AE357),"")</f>
        <v/>
      </c>
      <c r="AN357" s="36" t="str">
        <f aca="false">TRIM(AK357)</f>
        <v/>
      </c>
      <c r="AO357" s="36" t="str">
        <f aca="false">IF(AN357="Revenue","Revenue",IF(AN357="Cost of Goods Sold","COGS",IF(AN357="Expenditures","Expense",IF(AN357="Other Revenue","Other Revenue",IF(AN357="Other Expenditures","Other Expense",AO356)))))</f>
        <v/>
      </c>
      <c r="AP357" s="36" t="str">
        <f aca="false">IF(OR(AN357="Revenue",AN357="Cost of Goods Sold",AN357="Expenditures",AN357="Other Revenue",AN357="Other Expenditures"),AO357,IF(AND(LEN(AN357)&gt;2,MID(AN357,2,1)=" ",ISNUMBER(VALUE(LEFT(AN357,1)))),AN357,AP356))</f>
        <v/>
      </c>
      <c r="AQ357" s="36" t="n">
        <f aca="false">IF(AND(AN357&lt;&gt;"",ISNUMBER(AL357),LEFT(AN357,9)&lt;&gt;"Total for",AN357&lt;&gt;"Gross Profit",AN357&lt;&gt;"Net Operating Revenue",AN357&lt;&gt;"Net Other Revenue",AN357&lt;&gt;"Net Revenue"),1,0)</f>
        <v>0</v>
      </c>
      <c r="AR357" s="36" t="str">
        <f aca="false">IF(AQ357=1,IF(AND(LEN(AN357)&gt;7,ISNUMBER(VALUE(LEFT(AN357,6))),MID(AN357,7,1)=" "),LEFT(AN357,6),AN357),"")</f>
        <v/>
      </c>
    </row>
    <row r="358" customFormat="false" ht="15" hidden="false" customHeight="false" outlineLevel="0" collapsed="false">
      <c r="D358" s="36" t="str">
        <f aca="false">TRIM(A358)</f>
        <v/>
      </c>
      <c r="E358" s="36" t="str">
        <f aca="false">IF(D358="Revenue","Revenue",IF(D358="Cost of Goods Sold","COGS",IF(D358="Expenditures","Expense",IF(D358="Other Revenue","Other Revenue",IF(D358="Other Expenditures","Other Expense",E357)))))</f>
        <v/>
      </c>
      <c r="F358" s="36" t="str">
        <f aca="false">IF(OR(D358="Revenue",D358="Cost of Goods Sold",D358="Expenditures",D358="Other Revenue",D358="Other Expenditures"),E358,IF(AND(LEN(D358)&gt;2,MID(D358,2,1)=" ",ISNUMBER(VALUE(LEFT(D358,1)))),D358,F357))</f>
        <v/>
      </c>
      <c r="G358" s="36" t="n">
        <f aca="false">IF(AND(D358&lt;&gt;"",ISNUMBER(B358),LEFT(D358,9)&lt;&gt;"Total for",D358&lt;&gt;"Gross Profit",D358&lt;&gt;"Net Operating Revenue",D358&lt;&gt;"Net Other Revenue",D358&lt;&gt;"Net Revenue"),1,0)</f>
        <v>0</v>
      </c>
      <c r="H358" s="36" t="str">
        <f aca="false">IF(G358=1,IF(AND(LEN(D358)&gt;7,ISNUMBER(VALUE(LEFT(D358,6))),MID(D358,7,1)=" "),LEFT(D358,6),D358),"")</f>
        <v/>
      </c>
      <c r="M358" s="36" t="str">
        <f aca="false">TRIM(J358)</f>
        <v/>
      </c>
      <c r="N358" s="36" t="str">
        <f aca="false">IF(M358="Revenue","Revenue",IF(M358="Cost of Goods Sold","COGS",IF(M358="Expenditures","Expense",IF(M358="Other Revenue","Other Revenue",IF(M358="Other Expenditures","Other Expense",N357)))))</f>
        <v/>
      </c>
      <c r="O358" s="36" t="str">
        <f aca="false">IF(OR(M358="Revenue",M358="Cost of Goods Sold",M358="Expenditures",M358="Other Revenue",M358="Other Expenditures"),N358,IF(AND(LEN(M358)&gt;2,MID(M358,2,1)=" ",ISNUMBER(VALUE(LEFT(M358,1)))),M358,O357))</f>
        <v/>
      </c>
      <c r="P358" s="36" t="n">
        <f aca="false">IF(AND(M358&lt;&gt;"",ISNUMBER(K358),LEFT(M358,9)&lt;&gt;"Total for",M358&lt;&gt;"Gross Profit",M358&lt;&gt;"Net Operating Revenue",M358&lt;&gt;"Net Other Revenue",M358&lt;&gt;"Net Revenue"),1,0)</f>
        <v>0</v>
      </c>
      <c r="Q358" s="36" t="str">
        <f aca="false">IF(P358=1,IF(AND(LEN(M358)&gt;7,ISNUMBER(VALUE(LEFT(M358,6))),MID(M358,7,1)=" "),LEFT(M358,6),M358),"")</f>
        <v/>
      </c>
      <c r="V358" s="36" t="str">
        <f aca="false">TRIM(S358)</f>
        <v/>
      </c>
      <c r="W358" s="36" t="str">
        <f aca="false">IF(V358="Revenue","Revenue",IF(V358="Cost of Goods Sold","COGS",IF(V358="Expenditures","Expense",IF(V358="Other Revenue","Other Revenue",IF(V358="Other Expenditures","Other Expense",W357)))))</f>
        <v/>
      </c>
      <c r="X358" s="36" t="str">
        <f aca="false">IF(OR(V358="Revenue",V358="Cost of Goods Sold",V358="Expenditures",V358="Other Revenue",V358="Other Expenditures"),W358,IF(AND(LEN(V358)&gt;2,MID(V358,2,1)=" ",ISNUMBER(VALUE(LEFT(V358,1)))),V358,X357))</f>
        <v/>
      </c>
      <c r="Y358" s="36" t="n">
        <f aca="false">IF(AND(V358&lt;&gt;"",ISNUMBER(T358),LEFT(V358,9)&lt;&gt;"Total for",V358&lt;&gt;"Gross Profit",V358&lt;&gt;"Net Operating Revenue",V358&lt;&gt;"Net Other Revenue",V358&lt;&gt;"Net Revenue"),1,0)</f>
        <v>0</v>
      </c>
      <c r="Z358" s="36" t="str">
        <f aca="false">IF(Y358=1,IF(AND(LEN(V358)&gt;7,ISNUMBER(VALUE(LEFT(V358,6))),MID(V358,7,1)=" "),LEFT(V358,6),V358),"")</f>
        <v/>
      </c>
      <c r="AE358" s="36" t="str">
        <f aca="false">TRIM(AB358)</f>
        <v/>
      </c>
      <c r="AF358" s="36" t="str">
        <f aca="false">IF(AE358="Revenue","Revenue",IF(AE358="Cost of Goods Sold","COGS",IF(AE358="Expenditures","Expense",IF(AE358="Other Revenue","Other Revenue",IF(AE358="Other Expenditures","Other Expense",AF357)))))</f>
        <v/>
      </c>
      <c r="AG358" s="36" t="str">
        <f aca="false">IF(OR(AE358="Revenue",AE358="Cost of Goods Sold",AE358="Expenditures",AE358="Other Revenue",AE358="Other Expenditures"),AF358,IF(AND(LEN(AE358)&gt;2,MID(AE358,2,1)=" ",ISNUMBER(VALUE(LEFT(AE358,1)))),AE358,AG357))</f>
        <v/>
      </c>
      <c r="AH358" s="36" t="n">
        <f aca="false">IF(AND(AE358&lt;&gt;"",ISNUMBER(AC358),LEFT(AE358,9)&lt;&gt;"Total for",AE358&lt;&gt;"Gross Profit",AE358&lt;&gt;"Net Operating Revenue",AE358&lt;&gt;"Net Other Revenue",AE358&lt;&gt;"Net Revenue"),1,0)</f>
        <v>0</v>
      </c>
      <c r="AI358" s="36" t="str">
        <f aca="false">IF(AH358=1,IF(AND(LEN(AE358)&gt;7,ISNUMBER(VALUE(LEFT(AE358,6))),MID(AE358,7,1)=" "),LEFT(AE358,6),AE358),"")</f>
        <v/>
      </c>
      <c r="AN358" s="36" t="str">
        <f aca="false">TRIM(AK358)</f>
        <v/>
      </c>
      <c r="AO358" s="36" t="str">
        <f aca="false">IF(AN358="Revenue","Revenue",IF(AN358="Cost of Goods Sold","COGS",IF(AN358="Expenditures","Expense",IF(AN358="Other Revenue","Other Revenue",IF(AN358="Other Expenditures","Other Expense",AO357)))))</f>
        <v/>
      </c>
      <c r="AP358" s="36" t="str">
        <f aca="false">IF(OR(AN358="Revenue",AN358="Cost of Goods Sold",AN358="Expenditures",AN358="Other Revenue",AN358="Other Expenditures"),AO358,IF(AND(LEN(AN358)&gt;2,MID(AN358,2,1)=" ",ISNUMBER(VALUE(LEFT(AN358,1)))),AN358,AP357))</f>
        <v/>
      </c>
      <c r="AQ358" s="36" t="n">
        <f aca="false">IF(AND(AN358&lt;&gt;"",ISNUMBER(AL358),LEFT(AN358,9)&lt;&gt;"Total for",AN358&lt;&gt;"Gross Profit",AN358&lt;&gt;"Net Operating Revenue",AN358&lt;&gt;"Net Other Revenue",AN358&lt;&gt;"Net Revenue"),1,0)</f>
        <v>0</v>
      </c>
      <c r="AR358" s="36" t="str">
        <f aca="false">IF(AQ358=1,IF(AND(LEN(AN358)&gt;7,ISNUMBER(VALUE(LEFT(AN358,6))),MID(AN358,7,1)=" "),LEFT(AN358,6),AN358),"")</f>
        <v/>
      </c>
    </row>
    <row r="359" customFormat="false" ht="15" hidden="false" customHeight="false" outlineLevel="0" collapsed="false">
      <c r="D359" s="36" t="str">
        <f aca="false">TRIM(A359)</f>
        <v/>
      </c>
      <c r="E359" s="36" t="str">
        <f aca="false">IF(D359="Revenue","Revenue",IF(D359="Cost of Goods Sold","COGS",IF(D359="Expenditures","Expense",IF(D359="Other Revenue","Other Revenue",IF(D359="Other Expenditures","Other Expense",E358)))))</f>
        <v/>
      </c>
      <c r="F359" s="36" t="str">
        <f aca="false">IF(OR(D359="Revenue",D359="Cost of Goods Sold",D359="Expenditures",D359="Other Revenue",D359="Other Expenditures"),E359,IF(AND(LEN(D359)&gt;2,MID(D359,2,1)=" ",ISNUMBER(VALUE(LEFT(D359,1)))),D359,F358))</f>
        <v/>
      </c>
      <c r="G359" s="36" t="n">
        <f aca="false">IF(AND(D359&lt;&gt;"",ISNUMBER(B359),LEFT(D359,9)&lt;&gt;"Total for",D359&lt;&gt;"Gross Profit",D359&lt;&gt;"Net Operating Revenue",D359&lt;&gt;"Net Other Revenue",D359&lt;&gt;"Net Revenue"),1,0)</f>
        <v>0</v>
      </c>
      <c r="H359" s="36" t="str">
        <f aca="false">IF(G359=1,IF(AND(LEN(D359)&gt;7,ISNUMBER(VALUE(LEFT(D359,6))),MID(D359,7,1)=" "),LEFT(D359,6),D359),"")</f>
        <v/>
      </c>
      <c r="M359" s="36" t="str">
        <f aca="false">TRIM(J359)</f>
        <v/>
      </c>
      <c r="N359" s="36" t="str">
        <f aca="false">IF(M359="Revenue","Revenue",IF(M359="Cost of Goods Sold","COGS",IF(M359="Expenditures","Expense",IF(M359="Other Revenue","Other Revenue",IF(M359="Other Expenditures","Other Expense",N358)))))</f>
        <v/>
      </c>
      <c r="O359" s="36" t="str">
        <f aca="false">IF(OR(M359="Revenue",M359="Cost of Goods Sold",M359="Expenditures",M359="Other Revenue",M359="Other Expenditures"),N359,IF(AND(LEN(M359)&gt;2,MID(M359,2,1)=" ",ISNUMBER(VALUE(LEFT(M359,1)))),M359,O358))</f>
        <v/>
      </c>
      <c r="P359" s="36" t="n">
        <f aca="false">IF(AND(M359&lt;&gt;"",ISNUMBER(K359),LEFT(M359,9)&lt;&gt;"Total for",M359&lt;&gt;"Gross Profit",M359&lt;&gt;"Net Operating Revenue",M359&lt;&gt;"Net Other Revenue",M359&lt;&gt;"Net Revenue"),1,0)</f>
        <v>0</v>
      </c>
      <c r="Q359" s="36" t="str">
        <f aca="false">IF(P359=1,IF(AND(LEN(M359)&gt;7,ISNUMBER(VALUE(LEFT(M359,6))),MID(M359,7,1)=" "),LEFT(M359,6),M359),"")</f>
        <v/>
      </c>
      <c r="V359" s="36" t="str">
        <f aca="false">TRIM(S359)</f>
        <v/>
      </c>
      <c r="W359" s="36" t="str">
        <f aca="false">IF(V359="Revenue","Revenue",IF(V359="Cost of Goods Sold","COGS",IF(V359="Expenditures","Expense",IF(V359="Other Revenue","Other Revenue",IF(V359="Other Expenditures","Other Expense",W358)))))</f>
        <v/>
      </c>
      <c r="X359" s="36" t="str">
        <f aca="false">IF(OR(V359="Revenue",V359="Cost of Goods Sold",V359="Expenditures",V359="Other Revenue",V359="Other Expenditures"),W359,IF(AND(LEN(V359)&gt;2,MID(V359,2,1)=" ",ISNUMBER(VALUE(LEFT(V359,1)))),V359,X358))</f>
        <v/>
      </c>
      <c r="Y359" s="36" t="n">
        <f aca="false">IF(AND(V359&lt;&gt;"",ISNUMBER(T359),LEFT(V359,9)&lt;&gt;"Total for",V359&lt;&gt;"Gross Profit",V359&lt;&gt;"Net Operating Revenue",V359&lt;&gt;"Net Other Revenue",V359&lt;&gt;"Net Revenue"),1,0)</f>
        <v>0</v>
      </c>
      <c r="Z359" s="36" t="str">
        <f aca="false">IF(Y359=1,IF(AND(LEN(V359)&gt;7,ISNUMBER(VALUE(LEFT(V359,6))),MID(V359,7,1)=" "),LEFT(V359,6),V359),"")</f>
        <v/>
      </c>
      <c r="AE359" s="36" t="str">
        <f aca="false">TRIM(AB359)</f>
        <v/>
      </c>
      <c r="AF359" s="36" t="str">
        <f aca="false">IF(AE359="Revenue","Revenue",IF(AE359="Cost of Goods Sold","COGS",IF(AE359="Expenditures","Expense",IF(AE359="Other Revenue","Other Revenue",IF(AE359="Other Expenditures","Other Expense",AF358)))))</f>
        <v/>
      </c>
      <c r="AG359" s="36" t="str">
        <f aca="false">IF(OR(AE359="Revenue",AE359="Cost of Goods Sold",AE359="Expenditures",AE359="Other Revenue",AE359="Other Expenditures"),AF359,IF(AND(LEN(AE359)&gt;2,MID(AE359,2,1)=" ",ISNUMBER(VALUE(LEFT(AE359,1)))),AE359,AG358))</f>
        <v/>
      </c>
      <c r="AH359" s="36" t="n">
        <f aca="false">IF(AND(AE359&lt;&gt;"",ISNUMBER(AC359),LEFT(AE359,9)&lt;&gt;"Total for",AE359&lt;&gt;"Gross Profit",AE359&lt;&gt;"Net Operating Revenue",AE359&lt;&gt;"Net Other Revenue",AE359&lt;&gt;"Net Revenue"),1,0)</f>
        <v>0</v>
      </c>
      <c r="AI359" s="36" t="str">
        <f aca="false">IF(AH359=1,IF(AND(LEN(AE359)&gt;7,ISNUMBER(VALUE(LEFT(AE359,6))),MID(AE359,7,1)=" "),LEFT(AE359,6),AE359),"")</f>
        <v/>
      </c>
      <c r="AN359" s="36" t="str">
        <f aca="false">TRIM(AK359)</f>
        <v/>
      </c>
      <c r="AO359" s="36" t="str">
        <f aca="false">IF(AN359="Revenue","Revenue",IF(AN359="Cost of Goods Sold","COGS",IF(AN359="Expenditures","Expense",IF(AN359="Other Revenue","Other Revenue",IF(AN359="Other Expenditures","Other Expense",AO358)))))</f>
        <v/>
      </c>
      <c r="AP359" s="36" t="str">
        <f aca="false">IF(OR(AN359="Revenue",AN359="Cost of Goods Sold",AN359="Expenditures",AN359="Other Revenue",AN359="Other Expenditures"),AO359,IF(AND(LEN(AN359)&gt;2,MID(AN359,2,1)=" ",ISNUMBER(VALUE(LEFT(AN359,1)))),AN359,AP358))</f>
        <v/>
      </c>
      <c r="AQ359" s="36" t="n">
        <f aca="false">IF(AND(AN359&lt;&gt;"",ISNUMBER(AL359),LEFT(AN359,9)&lt;&gt;"Total for",AN359&lt;&gt;"Gross Profit",AN359&lt;&gt;"Net Operating Revenue",AN359&lt;&gt;"Net Other Revenue",AN359&lt;&gt;"Net Revenue"),1,0)</f>
        <v>0</v>
      </c>
      <c r="AR359" s="36" t="str">
        <f aca="false">IF(AQ359=1,IF(AND(LEN(AN359)&gt;7,ISNUMBER(VALUE(LEFT(AN359,6))),MID(AN359,7,1)=" "),LEFT(AN359,6),AN359),"")</f>
        <v/>
      </c>
    </row>
    <row r="360" customFormat="false" ht="15" hidden="false" customHeight="false" outlineLevel="0" collapsed="false">
      <c r="D360" s="36" t="str">
        <f aca="false">TRIM(A360)</f>
        <v/>
      </c>
      <c r="E360" s="36" t="str">
        <f aca="false">IF(D360="Revenue","Revenue",IF(D360="Cost of Goods Sold","COGS",IF(D360="Expenditures","Expense",IF(D360="Other Revenue","Other Revenue",IF(D360="Other Expenditures","Other Expense",E359)))))</f>
        <v/>
      </c>
      <c r="F360" s="36" t="str">
        <f aca="false">IF(OR(D360="Revenue",D360="Cost of Goods Sold",D360="Expenditures",D360="Other Revenue",D360="Other Expenditures"),E360,IF(AND(LEN(D360)&gt;2,MID(D360,2,1)=" ",ISNUMBER(VALUE(LEFT(D360,1)))),D360,F359))</f>
        <v/>
      </c>
      <c r="G360" s="36" t="n">
        <f aca="false">IF(AND(D360&lt;&gt;"",ISNUMBER(B360),LEFT(D360,9)&lt;&gt;"Total for",D360&lt;&gt;"Gross Profit",D360&lt;&gt;"Net Operating Revenue",D360&lt;&gt;"Net Other Revenue",D360&lt;&gt;"Net Revenue"),1,0)</f>
        <v>0</v>
      </c>
      <c r="H360" s="36" t="str">
        <f aca="false">IF(G360=1,IF(AND(LEN(D360)&gt;7,ISNUMBER(VALUE(LEFT(D360,6))),MID(D360,7,1)=" "),LEFT(D360,6),D360),"")</f>
        <v/>
      </c>
      <c r="M360" s="36" t="str">
        <f aca="false">TRIM(J360)</f>
        <v/>
      </c>
      <c r="N360" s="36" t="str">
        <f aca="false">IF(M360="Revenue","Revenue",IF(M360="Cost of Goods Sold","COGS",IF(M360="Expenditures","Expense",IF(M360="Other Revenue","Other Revenue",IF(M360="Other Expenditures","Other Expense",N359)))))</f>
        <v/>
      </c>
      <c r="O360" s="36" t="str">
        <f aca="false">IF(OR(M360="Revenue",M360="Cost of Goods Sold",M360="Expenditures",M360="Other Revenue",M360="Other Expenditures"),N360,IF(AND(LEN(M360)&gt;2,MID(M360,2,1)=" ",ISNUMBER(VALUE(LEFT(M360,1)))),M360,O359))</f>
        <v/>
      </c>
      <c r="P360" s="36" t="n">
        <f aca="false">IF(AND(M360&lt;&gt;"",ISNUMBER(K360),LEFT(M360,9)&lt;&gt;"Total for",M360&lt;&gt;"Gross Profit",M360&lt;&gt;"Net Operating Revenue",M360&lt;&gt;"Net Other Revenue",M360&lt;&gt;"Net Revenue"),1,0)</f>
        <v>0</v>
      </c>
      <c r="Q360" s="36" t="str">
        <f aca="false">IF(P360=1,IF(AND(LEN(M360)&gt;7,ISNUMBER(VALUE(LEFT(M360,6))),MID(M360,7,1)=" "),LEFT(M360,6),M360),"")</f>
        <v/>
      </c>
      <c r="V360" s="36" t="str">
        <f aca="false">TRIM(S360)</f>
        <v/>
      </c>
      <c r="W360" s="36" t="str">
        <f aca="false">IF(V360="Revenue","Revenue",IF(V360="Cost of Goods Sold","COGS",IF(V360="Expenditures","Expense",IF(V360="Other Revenue","Other Revenue",IF(V360="Other Expenditures","Other Expense",W359)))))</f>
        <v/>
      </c>
      <c r="X360" s="36" t="str">
        <f aca="false">IF(OR(V360="Revenue",V360="Cost of Goods Sold",V360="Expenditures",V360="Other Revenue",V360="Other Expenditures"),W360,IF(AND(LEN(V360)&gt;2,MID(V360,2,1)=" ",ISNUMBER(VALUE(LEFT(V360,1)))),V360,X359))</f>
        <v/>
      </c>
      <c r="Y360" s="36" t="n">
        <f aca="false">IF(AND(V360&lt;&gt;"",ISNUMBER(T360),LEFT(V360,9)&lt;&gt;"Total for",V360&lt;&gt;"Gross Profit",V360&lt;&gt;"Net Operating Revenue",V360&lt;&gt;"Net Other Revenue",V360&lt;&gt;"Net Revenue"),1,0)</f>
        <v>0</v>
      </c>
      <c r="Z360" s="36" t="str">
        <f aca="false">IF(Y360=1,IF(AND(LEN(V360)&gt;7,ISNUMBER(VALUE(LEFT(V360,6))),MID(V360,7,1)=" "),LEFT(V360,6),V360),"")</f>
        <v/>
      </c>
      <c r="AE360" s="36" t="str">
        <f aca="false">TRIM(AB360)</f>
        <v/>
      </c>
      <c r="AF360" s="36" t="str">
        <f aca="false">IF(AE360="Revenue","Revenue",IF(AE360="Cost of Goods Sold","COGS",IF(AE360="Expenditures","Expense",IF(AE360="Other Revenue","Other Revenue",IF(AE360="Other Expenditures","Other Expense",AF359)))))</f>
        <v/>
      </c>
      <c r="AG360" s="36" t="str">
        <f aca="false">IF(OR(AE360="Revenue",AE360="Cost of Goods Sold",AE360="Expenditures",AE360="Other Revenue",AE360="Other Expenditures"),AF360,IF(AND(LEN(AE360)&gt;2,MID(AE360,2,1)=" ",ISNUMBER(VALUE(LEFT(AE360,1)))),AE360,AG359))</f>
        <v/>
      </c>
      <c r="AH360" s="36" t="n">
        <f aca="false">IF(AND(AE360&lt;&gt;"",ISNUMBER(AC360),LEFT(AE360,9)&lt;&gt;"Total for",AE360&lt;&gt;"Gross Profit",AE360&lt;&gt;"Net Operating Revenue",AE360&lt;&gt;"Net Other Revenue",AE360&lt;&gt;"Net Revenue"),1,0)</f>
        <v>0</v>
      </c>
      <c r="AI360" s="36" t="str">
        <f aca="false">IF(AH360=1,IF(AND(LEN(AE360)&gt;7,ISNUMBER(VALUE(LEFT(AE360,6))),MID(AE360,7,1)=" "),LEFT(AE360,6),AE360),"")</f>
        <v/>
      </c>
      <c r="AN360" s="36" t="str">
        <f aca="false">TRIM(AK360)</f>
        <v/>
      </c>
      <c r="AO360" s="36" t="str">
        <f aca="false">IF(AN360="Revenue","Revenue",IF(AN360="Cost of Goods Sold","COGS",IF(AN360="Expenditures","Expense",IF(AN360="Other Revenue","Other Revenue",IF(AN360="Other Expenditures","Other Expense",AO359)))))</f>
        <v/>
      </c>
      <c r="AP360" s="36" t="str">
        <f aca="false">IF(OR(AN360="Revenue",AN360="Cost of Goods Sold",AN360="Expenditures",AN360="Other Revenue",AN360="Other Expenditures"),AO360,IF(AND(LEN(AN360)&gt;2,MID(AN360,2,1)=" ",ISNUMBER(VALUE(LEFT(AN360,1)))),AN360,AP359))</f>
        <v/>
      </c>
      <c r="AQ360" s="36" t="n">
        <f aca="false">IF(AND(AN360&lt;&gt;"",ISNUMBER(AL360),LEFT(AN360,9)&lt;&gt;"Total for",AN360&lt;&gt;"Gross Profit",AN360&lt;&gt;"Net Operating Revenue",AN360&lt;&gt;"Net Other Revenue",AN360&lt;&gt;"Net Revenue"),1,0)</f>
        <v>0</v>
      </c>
      <c r="AR360" s="36" t="str">
        <f aca="false">IF(AQ360=1,IF(AND(LEN(AN360)&gt;7,ISNUMBER(VALUE(LEFT(AN360,6))),MID(AN360,7,1)=" "),LEFT(AN360,6),AN360),"")</f>
        <v/>
      </c>
    </row>
    <row r="361" customFormat="false" ht="15" hidden="false" customHeight="false" outlineLevel="0" collapsed="false">
      <c r="D361" s="36" t="str">
        <f aca="false">TRIM(A361)</f>
        <v/>
      </c>
      <c r="E361" s="36" t="str">
        <f aca="false">IF(D361="Revenue","Revenue",IF(D361="Cost of Goods Sold","COGS",IF(D361="Expenditures","Expense",IF(D361="Other Revenue","Other Revenue",IF(D361="Other Expenditures","Other Expense",E360)))))</f>
        <v/>
      </c>
      <c r="F361" s="36" t="str">
        <f aca="false">IF(OR(D361="Revenue",D361="Cost of Goods Sold",D361="Expenditures",D361="Other Revenue",D361="Other Expenditures"),E361,IF(AND(LEN(D361)&gt;2,MID(D361,2,1)=" ",ISNUMBER(VALUE(LEFT(D361,1)))),D361,F360))</f>
        <v/>
      </c>
      <c r="G361" s="36" t="n">
        <f aca="false">IF(AND(D361&lt;&gt;"",ISNUMBER(B361),LEFT(D361,9)&lt;&gt;"Total for",D361&lt;&gt;"Gross Profit",D361&lt;&gt;"Net Operating Revenue",D361&lt;&gt;"Net Other Revenue",D361&lt;&gt;"Net Revenue"),1,0)</f>
        <v>0</v>
      </c>
      <c r="H361" s="36" t="str">
        <f aca="false">IF(G361=1,IF(AND(LEN(D361)&gt;7,ISNUMBER(VALUE(LEFT(D361,6))),MID(D361,7,1)=" "),LEFT(D361,6),D361),"")</f>
        <v/>
      </c>
      <c r="M361" s="36" t="str">
        <f aca="false">TRIM(J361)</f>
        <v/>
      </c>
      <c r="N361" s="36" t="str">
        <f aca="false">IF(M361="Revenue","Revenue",IF(M361="Cost of Goods Sold","COGS",IF(M361="Expenditures","Expense",IF(M361="Other Revenue","Other Revenue",IF(M361="Other Expenditures","Other Expense",N360)))))</f>
        <v/>
      </c>
      <c r="O361" s="36" t="str">
        <f aca="false">IF(OR(M361="Revenue",M361="Cost of Goods Sold",M361="Expenditures",M361="Other Revenue",M361="Other Expenditures"),N361,IF(AND(LEN(M361)&gt;2,MID(M361,2,1)=" ",ISNUMBER(VALUE(LEFT(M361,1)))),M361,O360))</f>
        <v/>
      </c>
      <c r="P361" s="36" t="n">
        <f aca="false">IF(AND(M361&lt;&gt;"",ISNUMBER(K361),LEFT(M361,9)&lt;&gt;"Total for",M361&lt;&gt;"Gross Profit",M361&lt;&gt;"Net Operating Revenue",M361&lt;&gt;"Net Other Revenue",M361&lt;&gt;"Net Revenue"),1,0)</f>
        <v>0</v>
      </c>
      <c r="Q361" s="36" t="str">
        <f aca="false">IF(P361=1,IF(AND(LEN(M361)&gt;7,ISNUMBER(VALUE(LEFT(M361,6))),MID(M361,7,1)=" "),LEFT(M361,6),M361),"")</f>
        <v/>
      </c>
      <c r="V361" s="36" t="str">
        <f aca="false">TRIM(S361)</f>
        <v/>
      </c>
      <c r="W361" s="36" t="str">
        <f aca="false">IF(V361="Revenue","Revenue",IF(V361="Cost of Goods Sold","COGS",IF(V361="Expenditures","Expense",IF(V361="Other Revenue","Other Revenue",IF(V361="Other Expenditures","Other Expense",W360)))))</f>
        <v/>
      </c>
      <c r="X361" s="36" t="str">
        <f aca="false">IF(OR(V361="Revenue",V361="Cost of Goods Sold",V361="Expenditures",V361="Other Revenue",V361="Other Expenditures"),W361,IF(AND(LEN(V361)&gt;2,MID(V361,2,1)=" ",ISNUMBER(VALUE(LEFT(V361,1)))),V361,X360))</f>
        <v/>
      </c>
      <c r="Y361" s="36" t="n">
        <f aca="false">IF(AND(V361&lt;&gt;"",ISNUMBER(T361),LEFT(V361,9)&lt;&gt;"Total for",V361&lt;&gt;"Gross Profit",V361&lt;&gt;"Net Operating Revenue",V361&lt;&gt;"Net Other Revenue",V361&lt;&gt;"Net Revenue"),1,0)</f>
        <v>0</v>
      </c>
      <c r="Z361" s="36" t="str">
        <f aca="false">IF(Y361=1,IF(AND(LEN(V361)&gt;7,ISNUMBER(VALUE(LEFT(V361,6))),MID(V361,7,1)=" "),LEFT(V361,6),V361),"")</f>
        <v/>
      </c>
      <c r="AE361" s="36" t="str">
        <f aca="false">TRIM(AB361)</f>
        <v/>
      </c>
      <c r="AF361" s="36" t="str">
        <f aca="false">IF(AE361="Revenue","Revenue",IF(AE361="Cost of Goods Sold","COGS",IF(AE361="Expenditures","Expense",IF(AE361="Other Revenue","Other Revenue",IF(AE361="Other Expenditures","Other Expense",AF360)))))</f>
        <v/>
      </c>
      <c r="AG361" s="36" t="str">
        <f aca="false">IF(OR(AE361="Revenue",AE361="Cost of Goods Sold",AE361="Expenditures",AE361="Other Revenue",AE361="Other Expenditures"),AF361,IF(AND(LEN(AE361)&gt;2,MID(AE361,2,1)=" ",ISNUMBER(VALUE(LEFT(AE361,1)))),AE361,AG360))</f>
        <v/>
      </c>
      <c r="AH361" s="36" t="n">
        <f aca="false">IF(AND(AE361&lt;&gt;"",ISNUMBER(AC361),LEFT(AE361,9)&lt;&gt;"Total for",AE361&lt;&gt;"Gross Profit",AE361&lt;&gt;"Net Operating Revenue",AE361&lt;&gt;"Net Other Revenue",AE361&lt;&gt;"Net Revenue"),1,0)</f>
        <v>0</v>
      </c>
      <c r="AI361" s="36" t="str">
        <f aca="false">IF(AH361=1,IF(AND(LEN(AE361)&gt;7,ISNUMBER(VALUE(LEFT(AE361,6))),MID(AE361,7,1)=" "),LEFT(AE361,6),AE361),"")</f>
        <v/>
      </c>
      <c r="AN361" s="36" t="str">
        <f aca="false">TRIM(AK361)</f>
        <v/>
      </c>
      <c r="AO361" s="36" t="str">
        <f aca="false">IF(AN361="Revenue","Revenue",IF(AN361="Cost of Goods Sold","COGS",IF(AN361="Expenditures","Expense",IF(AN361="Other Revenue","Other Revenue",IF(AN361="Other Expenditures","Other Expense",AO360)))))</f>
        <v/>
      </c>
      <c r="AP361" s="36" t="str">
        <f aca="false">IF(OR(AN361="Revenue",AN361="Cost of Goods Sold",AN361="Expenditures",AN361="Other Revenue",AN361="Other Expenditures"),AO361,IF(AND(LEN(AN361)&gt;2,MID(AN361,2,1)=" ",ISNUMBER(VALUE(LEFT(AN361,1)))),AN361,AP360))</f>
        <v/>
      </c>
      <c r="AQ361" s="36" t="n">
        <f aca="false">IF(AND(AN361&lt;&gt;"",ISNUMBER(AL361),LEFT(AN361,9)&lt;&gt;"Total for",AN361&lt;&gt;"Gross Profit",AN361&lt;&gt;"Net Operating Revenue",AN361&lt;&gt;"Net Other Revenue",AN361&lt;&gt;"Net Revenue"),1,0)</f>
        <v>0</v>
      </c>
      <c r="AR361" s="36" t="str">
        <f aca="false">IF(AQ361=1,IF(AND(LEN(AN361)&gt;7,ISNUMBER(VALUE(LEFT(AN361,6))),MID(AN361,7,1)=" "),LEFT(AN361,6),AN361),"")</f>
        <v/>
      </c>
    </row>
    <row r="362" customFormat="false" ht="15" hidden="false" customHeight="false" outlineLevel="0" collapsed="false">
      <c r="D362" s="36" t="str">
        <f aca="false">TRIM(A362)</f>
        <v/>
      </c>
      <c r="E362" s="36" t="str">
        <f aca="false">IF(D362="Revenue","Revenue",IF(D362="Cost of Goods Sold","COGS",IF(D362="Expenditures","Expense",IF(D362="Other Revenue","Other Revenue",IF(D362="Other Expenditures","Other Expense",E361)))))</f>
        <v/>
      </c>
      <c r="F362" s="36" t="str">
        <f aca="false">IF(OR(D362="Revenue",D362="Cost of Goods Sold",D362="Expenditures",D362="Other Revenue",D362="Other Expenditures"),E362,IF(AND(LEN(D362)&gt;2,MID(D362,2,1)=" ",ISNUMBER(VALUE(LEFT(D362,1)))),D362,F361))</f>
        <v/>
      </c>
      <c r="G362" s="36" t="n">
        <f aca="false">IF(AND(D362&lt;&gt;"",ISNUMBER(B362),LEFT(D362,9)&lt;&gt;"Total for",D362&lt;&gt;"Gross Profit",D362&lt;&gt;"Net Operating Revenue",D362&lt;&gt;"Net Other Revenue",D362&lt;&gt;"Net Revenue"),1,0)</f>
        <v>0</v>
      </c>
      <c r="H362" s="36" t="str">
        <f aca="false">IF(G362=1,IF(AND(LEN(D362)&gt;7,ISNUMBER(VALUE(LEFT(D362,6))),MID(D362,7,1)=" "),LEFT(D362,6),D362),"")</f>
        <v/>
      </c>
      <c r="M362" s="36" t="str">
        <f aca="false">TRIM(J362)</f>
        <v/>
      </c>
      <c r="N362" s="36" t="str">
        <f aca="false">IF(M362="Revenue","Revenue",IF(M362="Cost of Goods Sold","COGS",IF(M362="Expenditures","Expense",IF(M362="Other Revenue","Other Revenue",IF(M362="Other Expenditures","Other Expense",N361)))))</f>
        <v/>
      </c>
      <c r="O362" s="36" t="str">
        <f aca="false">IF(OR(M362="Revenue",M362="Cost of Goods Sold",M362="Expenditures",M362="Other Revenue",M362="Other Expenditures"),N362,IF(AND(LEN(M362)&gt;2,MID(M362,2,1)=" ",ISNUMBER(VALUE(LEFT(M362,1)))),M362,O361))</f>
        <v/>
      </c>
      <c r="P362" s="36" t="n">
        <f aca="false">IF(AND(M362&lt;&gt;"",ISNUMBER(K362),LEFT(M362,9)&lt;&gt;"Total for",M362&lt;&gt;"Gross Profit",M362&lt;&gt;"Net Operating Revenue",M362&lt;&gt;"Net Other Revenue",M362&lt;&gt;"Net Revenue"),1,0)</f>
        <v>0</v>
      </c>
      <c r="Q362" s="36" t="str">
        <f aca="false">IF(P362=1,IF(AND(LEN(M362)&gt;7,ISNUMBER(VALUE(LEFT(M362,6))),MID(M362,7,1)=" "),LEFT(M362,6),M362),"")</f>
        <v/>
      </c>
      <c r="V362" s="36" t="str">
        <f aca="false">TRIM(S362)</f>
        <v/>
      </c>
      <c r="W362" s="36" t="str">
        <f aca="false">IF(V362="Revenue","Revenue",IF(V362="Cost of Goods Sold","COGS",IF(V362="Expenditures","Expense",IF(V362="Other Revenue","Other Revenue",IF(V362="Other Expenditures","Other Expense",W361)))))</f>
        <v/>
      </c>
      <c r="X362" s="36" t="str">
        <f aca="false">IF(OR(V362="Revenue",V362="Cost of Goods Sold",V362="Expenditures",V362="Other Revenue",V362="Other Expenditures"),W362,IF(AND(LEN(V362)&gt;2,MID(V362,2,1)=" ",ISNUMBER(VALUE(LEFT(V362,1)))),V362,X361))</f>
        <v/>
      </c>
      <c r="Y362" s="36" t="n">
        <f aca="false">IF(AND(V362&lt;&gt;"",ISNUMBER(T362),LEFT(V362,9)&lt;&gt;"Total for",V362&lt;&gt;"Gross Profit",V362&lt;&gt;"Net Operating Revenue",V362&lt;&gt;"Net Other Revenue",V362&lt;&gt;"Net Revenue"),1,0)</f>
        <v>0</v>
      </c>
      <c r="Z362" s="36" t="str">
        <f aca="false">IF(Y362=1,IF(AND(LEN(V362)&gt;7,ISNUMBER(VALUE(LEFT(V362,6))),MID(V362,7,1)=" "),LEFT(V362,6),V362),"")</f>
        <v/>
      </c>
      <c r="AE362" s="36" t="str">
        <f aca="false">TRIM(AB362)</f>
        <v/>
      </c>
      <c r="AF362" s="36" t="str">
        <f aca="false">IF(AE362="Revenue","Revenue",IF(AE362="Cost of Goods Sold","COGS",IF(AE362="Expenditures","Expense",IF(AE362="Other Revenue","Other Revenue",IF(AE362="Other Expenditures","Other Expense",AF361)))))</f>
        <v/>
      </c>
      <c r="AG362" s="36" t="str">
        <f aca="false">IF(OR(AE362="Revenue",AE362="Cost of Goods Sold",AE362="Expenditures",AE362="Other Revenue",AE362="Other Expenditures"),AF362,IF(AND(LEN(AE362)&gt;2,MID(AE362,2,1)=" ",ISNUMBER(VALUE(LEFT(AE362,1)))),AE362,AG361))</f>
        <v/>
      </c>
      <c r="AH362" s="36" t="n">
        <f aca="false">IF(AND(AE362&lt;&gt;"",ISNUMBER(AC362),LEFT(AE362,9)&lt;&gt;"Total for",AE362&lt;&gt;"Gross Profit",AE362&lt;&gt;"Net Operating Revenue",AE362&lt;&gt;"Net Other Revenue",AE362&lt;&gt;"Net Revenue"),1,0)</f>
        <v>0</v>
      </c>
      <c r="AI362" s="36" t="str">
        <f aca="false">IF(AH362=1,IF(AND(LEN(AE362)&gt;7,ISNUMBER(VALUE(LEFT(AE362,6))),MID(AE362,7,1)=" "),LEFT(AE362,6),AE362),"")</f>
        <v/>
      </c>
      <c r="AN362" s="36" t="str">
        <f aca="false">TRIM(AK362)</f>
        <v/>
      </c>
      <c r="AO362" s="36" t="str">
        <f aca="false">IF(AN362="Revenue","Revenue",IF(AN362="Cost of Goods Sold","COGS",IF(AN362="Expenditures","Expense",IF(AN362="Other Revenue","Other Revenue",IF(AN362="Other Expenditures","Other Expense",AO361)))))</f>
        <v/>
      </c>
      <c r="AP362" s="36" t="str">
        <f aca="false">IF(OR(AN362="Revenue",AN362="Cost of Goods Sold",AN362="Expenditures",AN362="Other Revenue",AN362="Other Expenditures"),AO362,IF(AND(LEN(AN362)&gt;2,MID(AN362,2,1)=" ",ISNUMBER(VALUE(LEFT(AN362,1)))),AN362,AP361))</f>
        <v/>
      </c>
      <c r="AQ362" s="36" t="n">
        <f aca="false">IF(AND(AN362&lt;&gt;"",ISNUMBER(AL362),LEFT(AN362,9)&lt;&gt;"Total for",AN362&lt;&gt;"Gross Profit",AN362&lt;&gt;"Net Operating Revenue",AN362&lt;&gt;"Net Other Revenue",AN362&lt;&gt;"Net Revenue"),1,0)</f>
        <v>0</v>
      </c>
      <c r="AR362" s="36" t="str">
        <f aca="false">IF(AQ362=1,IF(AND(LEN(AN362)&gt;7,ISNUMBER(VALUE(LEFT(AN362,6))),MID(AN362,7,1)=" "),LEFT(AN362,6),AN362),"")</f>
        <v/>
      </c>
    </row>
    <row r="363" customFormat="false" ht="15" hidden="false" customHeight="false" outlineLevel="0" collapsed="false">
      <c r="D363" s="36" t="str">
        <f aca="false">TRIM(A363)</f>
        <v/>
      </c>
      <c r="E363" s="36" t="str">
        <f aca="false">IF(D363="Revenue","Revenue",IF(D363="Cost of Goods Sold","COGS",IF(D363="Expenditures","Expense",IF(D363="Other Revenue","Other Revenue",IF(D363="Other Expenditures","Other Expense",E362)))))</f>
        <v/>
      </c>
      <c r="F363" s="36" t="str">
        <f aca="false">IF(OR(D363="Revenue",D363="Cost of Goods Sold",D363="Expenditures",D363="Other Revenue",D363="Other Expenditures"),E363,IF(AND(LEN(D363)&gt;2,MID(D363,2,1)=" ",ISNUMBER(VALUE(LEFT(D363,1)))),D363,F362))</f>
        <v/>
      </c>
      <c r="G363" s="36" t="n">
        <f aca="false">IF(AND(D363&lt;&gt;"",ISNUMBER(B363),LEFT(D363,9)&lt;&gt;"Total for",D363&lt;&gt;"Gross Profit",D363&lt;&gt;"Net Operating Revenue",D363&lt;&gt;"Net Other Revenue",D363&lt;&gt;"Net Revenue"),1,0)</f>
        <v>0</v>
      </c>
      <c r="H363" s="36" t="str">
        <f aca="false">IF(G363=1,IF(AND(LEN(D363)&gt;7,ISNUMBER(VALUE(LEFT(D363,6))),MID(D363,7,1)=" "),LEFT(D363,6),D363),"")</f>
        <v/>
      </c>
      <c r="M363" s="36" t="str">
        <f aca="false">TRIM(J363)</f>
        <v/>
      </c>
      <c r="N363" s="36" t="str">
        <f aca="false">IF(M363="Revenue","Revenue",IF(M363="Cost of Goods Sold","COGS",IF(M363="Expenditures","Expense",IF(M363="Other Revenue","Other Revenue",IF(M363="Other Expenditures","Other Expense",N362)))))</f>
        <v/>
      </c>
      <c r="O363" s="36" t="str">
        <f aca="false">IF(OR(M363="Revenue",M363="Cost of Goods Sold",M363="Expenditures",M363="Other Revenue",M363="Other Expenditures"),N363,IF(AND(LEN(M363)&gt;2,MID(M363,2,1)=" ",ISNUMBER(VALUE(LEFT(M363,1)))),M363,O362))</f>
        <v/>
      </c>
      <c r="P363" s="36" t="n">
        <f aca="false">IF(AND(M363&lt;&gt;"",ISNUMBER(K363),LEFT(M363,9)&lt;&gt;"Total for",M363&lt;&gt;"Gross Profit",M363&lt;&gt;"Net Operating Revenue",M363&lt;&gt;"Net Other Revenue",M363&lt;&gt;"Net Revenue"),1,0)</f>
        <v>0</v>
      </c>
      <c r="Q363" s="36" t="str">
        <f aca="false">IF(P363=1,IF(AND(LEN(M363)&gt;7,ISNUMBER(VALUE(LEFT(M363,6))),MID(M363,7,1)=" "),LEFT(M363,6),M363),"")</f>
        <v/>
      </c>
      <c r="V363" s="36" t="str">
        <f aca="false">TRIM(S363)</f>
        <v/>
      </c>
      <c r="W363" s="36" t="str">
        <f aca="false">IF(V363="Revenue","Revenue",IF(V363="Cost of Goods Sold","COGS",IF(V363="Expenditures","Expense",IF(V363="Other Revenue","Other Revenue",IF(V363="Other Expenditures","Other Expense",W362)))))</f>
        <v/>
      </c>
      <c r="X363" s="36" t="str">
        <f aca="false">IF(OR(V363="Revenue",V363="Cost of Goods Sold",V363="Expenditures",V363="Other Revenue",V363="Other Expenditures"),W363,IF(AND(LEN(V363)&gt;2,MID(V363,2,1)=" ",ISNUMBER(VALUE(LEFT(V363,1)))),V363,X362))</f>
        <v/>
      </c>
      <c r="Y363" s="36" t="n">
        <f aca="false">IF(AND(V363&lt;&gt;"",ISNUMBER(T363),LEFT(V363,9)&lt;&gt;"Total for",V363&lt;&gt;"Gross Profit",V363&lt;&gt;"Net Operating Revenue",V363&lt;&gt;"Net Other Revenue",V363&lt;&gt;"Net Revenue"),1,0)</f>
        <v>0</v>
      </c>
      <c r="Z363" s="36" t="str">
        <f aca="false">IF(Y363=1,IF(AND(LEN(V363)&gt;7,ISNUMBER(VALUE(LEFT(V363,6))),MID(V363,7,1)=" "),LEFT(V363,6),V363),"")</f>
        <v/>
      </c>
      <c r="AE363" s="36" t="str">
        <f aca="false">TRIM(AB363)</f>
        <v/>
      </c>
      <c r="AF363" s="36" t="str">
        <f aca="false">IF(AE363="Revenue","Revenue",IF(AE363="Cost of Goods Sold","COGS",IF(AE363="Expenditures","Expense",IF(AE363="Other Revenue","Other Revenue",IF(AE363="Other Expenditures","Other Expense",AF362)))))</f>
        <v/>
      </c>
      <c r="AG363" s="36" t="str">
        <f aca="false">IF(OR(AE363="Revenue",AE363="Cost of Goods Sold",AE363="Expenditures",AE363="Other Revenue",AE363="Other Expenditures"),AF363,IF(AND(LEN(AE363)&gt;2,MID(AE363,2,1)=" ",ISNUMBER(VALUE(LEFT(AE363,1)))),AE363,AG362))</f>
        <v/>
      </c>
      <c r="AH363" s="36" t="n">
        <f aca="false">IF(AND(AE363&lt;&gt;"",ISNUMBER(AC363),LEFT(AE363,9)&lt;&gt;"Total for",AE363&lt;&gt;"Gross Profit",AE363&lt;&gt;"Net Operating Revenue",AE363&lt;&gt;"Net Other Revenue",AE363&lt;&gt;"Net Revenue"),1,0)</f>
        <v>0</v>
      </c>
      <c r="AI363" s="36" t="str">
        <f aca="false">IF(AH363=1,IF(AND(LEN(AE363)&gt;7,ISNUMBER(VALUE(LEFT(AE363,6))),MID(AE363,7,1)=" "),LEFT(AE363,6),AE363),"")</f>
        <v/>
      </c>
      <c r="AN363" s="36" t="str">
        <f aca="false">TRIM(AK363)</f>
        <v/>
      </c>
      <c r="AO363" s="36" t="str">
        <f aca="false">IF(AN363="Revenue","Revenue",IF(AN363="Cost of Goods Sold","COGS",IF(AN363="Expenditures","Expense",IF(AN363="Other Revenue","Other Revenue",IF(AN363="Other Expenditures","Other Expense",AO362)))))</f>
        <v/>
      </c>
      <c r="AP363" s="36" t="str">
        <f aca="false">IF(OR(AN363="Revenue",AN363="Cost of Goods Sold",AN363="Expenditures",AN363="Other Revenue",AN363="Other Expenditures"),AO363,IF(AND(LEN(AN363)&gt;2,MID(AN363,2,1)=" ",ISNUMBER(VALUE(LEFT(AN363,1)))),AN363,AP362))</f>
        <v/>
      </c>
      <c r="AQ363" s="36" t="n">
        <f aca="false">IF(AND(AN363&lt;&gt;"",ISNUMBER(AL363),LEFT(AN363,9)&lt;&gt;"Total for",AN363&lt;&gt;"Gross Profit",AN363&lt;&gt;"Net Operating Revenue",AN363&lt;&gt;"Net Other Revenue",AN363&lt;&gt;"Net Revenue"),1,0)</f>
        <v>0</v>
      </c>
      <c r="AR363" s="36" t="str">
        <f aca="false">IF(AQ363=1,IF(AND(LEN(AN363)&gt;7,ISNUMBER(VALUE(LEFT(AN363,6))),MID(AN363,7,1)=" "),LEFT(AN363,6),AN363),"")</f>
        <v/>
      </c>
    </row>
    <row r="364" customFormat="false" ht="15" hidden="false" customHeight="false" outlineLevel="0" collapsed="false">
      <c r="D364" s="36" t="str">
        <f aca="false">TRIM(A364)</f>
        <v/>
      </c>
      <c r="E364" s="36" t="str">
        <f aca="false">IF(D364="Revenue","Revenue",IF(D364="Cost of Goods Sold","COGS",IF(D364="Expenditures","Expense",IF(D364="Other Revenue","Other Revenue",IF(D364="Other Expenditures","Other Expense",E363)))))</f>
        <v/>
      </c>
      <c r="F364" s="36" t="str">
        <f aca="false">IF(OR(D364="Revenue",D364="Cost of Goods Sold",D364="Expenditures",D364="Other Revenue",D364="Other Expenditures"),E364,IF(AND(LEN(D364)&gt;2,MID(D364,2,1)=" ",ISNUMBER(VALUE(LEFT(D364,1)))),D364,F363))</f>
        <v/>
      </c>
      <c r="G364" s="36" t="n">
        <f aca="false">IF(AND(D364&lt;&gt;"",ISNUMBER(B364),LEFT(D364,9)&lt;&gt;"Total for",D364&lt;&gt;"Gross Profit",D364&lt;&gt;"Net Operating Revenue",D364&lt;&gt;"Net Other Revenue",D364&lt;&gt;"Net Revenue"),1,0)</f>
        <v>0</v>
      </c>
      <c r="H364" s="36" t="str">
        <f aca="false">IF(G364=1,IF(AND(LEN(D364)&gt;7,ISNUMBER(VALUE(LEFT(D364,6))),MID(D364,7,1)=" "),LEFT(D364,6),D364),"")</f>
        <v/>
      </c>
      <c r="M364" s="36" t="str">
        <f aca="false">TRIM(J364)</f>
        <v/>
      </c>
      <c r="N364" s="36" t="str">
        <f aca="false">IF(M364="Revenue","Revenue",IF(M364="Cost of Goods Sold","COGS",IF(M364="Expenditures","Expense",IF(M364="Other Revenue","Other Revenue",IF(M364="Other Expenditures","Other Expense",N363)))))</f>
        <v/>
      </c>
      <c r="O364" s="36" t="str">
        <f aca="false">IF(OR(M364="Revenue",M364="Cost of Goods Sold",M364="Expenditures",M364="Other Revenue",M364="Other Expenditures"),N364,IF(AND(LEN(M364)&gt;2,MID(M364,2,1)=" ",ISNUMBER(VALUE(LEFT(M364,1)))),M364,O363))</f>
        <v/>
      </c>
      <c r="P364" s="36" t="n">
        <f aca="false">IF(AND(M364&lt;&gt;"",ISNUMBER(K364),LEFT(M364,9)&lt;&gt;"Total for",M364&lt;&gt;"Gross Profit",M364&lt;&gt;"Net Operating Revenue",M364&lt;&gt;"Net Other Revenue",M364&lt;&gt;"Net Revenue"),1,0)</f>
        <v>0</v>
      </c>
      <c r="Q364" s="36" t="str">
        <f aca="false">IF(P364=1,IF(AND(LEN(M364)&gt;7,ISNUMBER(VALUE(LEFT(M364,6))),MID(M364,7,1)=" "),LEFT(M364,6),M364),"")</f>
        <v/>
      </c>
      <c r="V364" s="36" t="str">
        <f aca="false">TRIM(S364)</f>
        <v/>
      </c>
      <c r="W364" s="36" t="str">
        <f aca="false">IF(V364="Revenue","Revenue",IF(V364="Cost of Goods Sold","COGS",IF(V364="Expenditures","Expense",IF(V364="Other Revenue","Other Revenue",IF(V364="Other Expenditures","Other Expense",W363)))))</f>
        <v/>
      </c>
      <c r="X364" s="36" t="str">
        <f aca="false">IF(OR(V364="Revenue",V364="Cost of Goods Sold",V364="Expenditures",V364="Other Revenue",V364="Other Expenditures"),W364,IF(AND(LEN(V364)&gt;2,MID(V364,2,1)=" ",ISNUMBER(VALUE(LEFT(V364,1)))),V364,X363))</f>
        <v/>
      </c>
      <c r="Y364" s="36" t="n">
        <f aca="false">IF(AND(V364&lt;&gt;"",ISNUMBER(T364),LEFT(V364,9)&lt;&gt;"Total for",V364&lt;&gt;"Gross Profit",V364&lt;&gt;"Net Operating Revenue",V364&lt;&gt;"Net Other Revenue",V364&lt;&gt;"Net Revenue"),1,0)</f>
        <v>0</v>
      </c>
      <c r="Z364" s="36" t="str">
        <f aca="false">IF(Y364=1,IF(AND(LEN(V364)&gt;7,ISNUMBER(VALUE(LEFT(V364,6))),MID(V364,7,1)=" "),LEFT(V364,6),V364),"")</f>
        <v/>
      </c>
      <c r="AE364" s="36" t="str">
        <f aca="false">TRIM(AB364)</f>
        <v/>
      </c>
      <c r="AF364" s="36" t="str">
        <f aca="false">IF(AE364="Revenue","Revenue",IF(AE364="Cost of Goods Sold","COGS",IF(AE364="Expenditures","Expense",IF(AE364="Other Revenue","Other Revenue",IF(AE364="Other Expenditures","Other Expense",AF363)))))</f>
        <v/>
      </c>
      <c r="AG364" s="36" t="str">
        <f aca="false">IF(OR(AE364="Revenue",AE364="Cost of Goods Sold",AE364="Expenditures",AE364="Other Revenue",AE364="Other Expenditures"),AF364,IF(AND(LEN(AE364)&gt;2,MID(AE364,2,1)=" ",ISNUMBER(VALUE(LEFT(AE364,1)))),AE364,AG363))</f>
        <v/>
      </c>
      <c r="AH364" s="36" t="n">
        <f aca="false">IF(AND(AE364&lt;&gt;"",ISNUMBER(AC364),LEFT(AE364,9)&lt;&gt;"Total for",AE364&lt;&gt;"Gross Profit",AE364&lt;&gt;"Net Operating Revenue",AE364&lt;&gt;"Net Other Revenue",AE364&lt;&gt;"Net Revenue"),1,0)</f>
        <v>0</v>
      </c>
      <c r="AI364" s="36" t="str">
        <f aca="false">IF(AH364=1,IF(AND(LEN(AE364)&gt;7,ISNUMBER(VALUE(LEFT(AE364,6))),MID(AE364,7,1)=" "),LEFT(AE364,6),AE364),"")</f>
        <v/>
      </c>
      <c r="AN364" s="36" t="str">
        <f aca="false">TRIM(AK364)</f>
        <v/>
      </c>
      <c r="AO364" s="36" t="str">
        <f aca="false">IF(AN364="Revenue","Revenue",IF(AN364="Cost of Goods Sold","COGS",IF(AN364="Expenditures","Expense",IF(AN364="Other Revenue","Other Revenue",IF(AN364="Other Expenditures","Other Expense",AO363)))))</f>
        <v/>
      </c>
      <c r="AP364" s="36" t="str">
        <f aca="false">IF(OR(AN364="Revenue",AN364="Cost of Goods Sold",AN364="Expenditures",AN364="Other Revenue",AN364="Other Expenditures"),AO364,IF(AND(LEN(AN364)&gt;2,MID(AN364,2,1)=" ",ISNUMBER(VALUE(LEFT(AN364,1)))),AN364,AP363))</f>
        <v/>
      </c>
      <c r="AQ364" s="36" t="n">
        <f aca="false">IF(AND(AN364&lt;&gt;"",ISNUMBER(AL364),LEFT(AN364,9)&lt;&gt;"Total for",AN364&lt;&gt;"Gross Profit",AN364&lt;&gt;"Net Operating Revenue",AN364&lt;&gt;"Net Other Revenue",AN364&lt;&gt;"Net Revenue"),1,0)</f>
        <v>0</v>
      </c>
      <c r="AR364" s="36" t="str">
        <f aca="false">IF(AQ364=1,IF(AND(LEN(AN364)&gt;7,ISNUMBER(VALUE(LEFT(AN364,6))),MID(AN364,7,1)=" "),LEFT(AN364,6),AN364),"")</f>
        <v/>
      </c>
    </row>
    <row r="365" customFormat="false" ht="15" hidden="false" customHeight="false" outlineLevel="0" collapsed="false">
      <c r="D365" s="36" t="str">
        <f aca="false">TRIM(A365)</f>
        <v/>
      </c>
      <c r="E365" s="36" t="str">
        <f aca="false">IF(D365="Revenue","Revenue",IF(D365="Cost of Goods Sold","COGS",IF(D365="Expenditures","Expense",IF(D365="Other Revenue","Other Revenue",IF(D365="Other Expenditures","Other Expense",E364)))))</f>
        <v/>
      </c>
      <c r="F365" s="36" t="str">
        <f aca="false">IF(OR(D365="Revenue",D365="Cost of Goods Sold",D365="Expenditures",D365="Other Revenue",D365="Other Expenditures"),E365,IF(AND(LEN(D365)&gt;2,MID(D365,2,1)=" ",ISNUMBER(VALUE(LEFT(D365,1)))),D365,F364))</f>
        <v/>
      </c>
      <c r="G365" s="36" t="n">
        <f aca="false">IF(AND(D365&lt;&gt;"",ISNUMBER(B365),LEFT(D365,9)&lt;&gt;"Total for",D365&lt;&gt;"Gross Profit",D365&lt;&gt;"Net Operating Revenue",D365&lt;&gt;"Net Other Revenue",D365&lt;&gt;"Net Revenue"),1,0)</f>
        <v>0</v>
      </c>
      <c r="H365" s="36" t="str">
        <f aca="false">IF(G365=1,IF(AND(LEN(D365)&gt;7,ISNUMBER(VALUE(LEFT(D365,6))),MID(D365,7,1)=" "),LEFT(D365,6),D365),"")</f>
        <v/>
      </c>
      <c r="M365" s="36" t="str">
        <f aca="false">TRIM(J365)</f>
        <v/>
      </c>
      <c r="N365" s="36" t="str">
        <f aca="false">IF(M365="Revenue","Revenue",IF(M365="Cost of Goods Sold","COGS",IF(M365="Expenditures","Expense",IF(M365="Other Revenue","Other Revenue",IF(M365="Other Expenditures","Other Expense",N364)))))</f>
        <v/>
      </c>
      <c r="O365" s="36" t="str">
        <f aca="false">IF(OR(M365="Revenue",M365="Cost of Goods Sold",M365="Expenditures",M365="Other Revenue",M365="Other Expenditures"),N365,IF(AND(LEN(M365)&gt;2,MID(M365,2,1)=" ",ISNUMBER(VALUE(LEFT(M365,1)))),M365,O364))</f>
        <v/>
      </c>
      <c r="P365" s="36" t="n">
        <f aca="false">IF(AND(M365&lt;&gt;"",ISNUMBER(K365),LEFT(M365,9)&lt;&gt;"Total for",M365&lt;&gt;"Gross Profit",M365&lt;&gt;"Net Operating Revenue",M365&lt;&gt;"Net Other Revenue",M365&lt;&gt;"Net Revenue"),1,0)</f>
        <v>0</v>
      </c>
      <c r="Q365" s="36" t="str">
        <f aca="false">IF(P365=1,IF(AND(LEN(M365)&gt;7,ISNUMBER(VALUE(LEFT(M365,6))),MID(M365,7,1)=" "),LEFT(M365,6),M365),"")</f>
        <v/>
      </c>
      <c r="V365" s="36" t="str">
        <f aca="false">TRIM(S365)</f>
        <v/>
      </c>
      <c r="W365" s="36" t="str">
        <f aca="false">IF(V365="Revenue","Revenue",IF(V365="Cost of Goods Sold","COGS",IF(V365="Expenditures","Expense",IF(V365="Other Revenue","Other Revenue",IF(V365="Other Expenditures","Other Expense",W364)))))</f>
        <v/>
      </c>
      <c r="X365" s="36" t="str">
        <f aca="false">IF(OR(V365="Revenue",V365="Cost of Goods Sold",V365="Expenditures",V365="Other Revenue",V365="Other Expenditures"),W365,IF(AND(LEN(V365)&gt;2,MID(V365,2,1)=" ",ISNUMBER(VALUE(LEFT(V365,1)))),V365,X364))</f>
        <v/>
      </c>
      <c r="Y365" s="36" t="n">
        <f aca="false">IF(AND(V365&lt;&gt;"",ISNUMBER(T365),LEFT(V365,9)&lt;&gt;"Total for",V365&lt;&gt;"Gross Profit",V365&lt;&gt;"Net Operating Revenue",V365&lt;&gt;"Net Other Revenue",V365&lt;&gt;"Net Revenue"),1,0)</f>
        <v>0</v>
      </c>
      <c r="Z365" s="36" t="str">
        <f aca="false">IF(Y365=1,IF(AND(LEN(V365)&gt;7,ISNUMBER(VALUE(LEFT(V365,6))),MID(V365,7,1)=" "),LEFT(V365,6),V365),"")</f>
        <v/>
      </c>
      <c r="AE365" s="36" t="str">
        <f aca="false">TRIM(AB365)</f>
        <v/>
      </c>
      <c r="AF365" s="36" t="str">
        <f aca="false">IF(AE365="Revenue","Revenue",IF(AE365="Cost of Goods Sold","COGS",IF(AE365="Expenditures","Expense",IF(AE365="Other Revenue","Other Revenue",IF(AE365="Other Expenditures","Other Expense",AF364)))))</f>
        <v/>
      </c>
      <c r="AG365" s="36" t="str">
        <f aca="false">IF(OR(AE365="Revenue",AE365="Cost of Goods Sold",AE365="Expenditures",AE365="Other Revenue",AE365="Other Expenditures"),AF365,IF(AND(LEN(AE365)&gt;2,MID(AE365,2,1)=" ",ISNUMBER(VALUE(LEFT(AE365,1)))),AE365,AG364))</f>
        <v/>
      </c>
      <c r="AH365" s="36" t="n">
        <f aca="false">IF(AND(AE365&lt;&gt;"",ISNUMBER(AC365),LEFT(AE365,9)&lt;&gt;"Total for",AE365&lt;&gt;"Gross Profit",AE365&lt;&gt;"Net Operating Revenue",AE365&lt;&gt;"Net Other Revenue",AE365&lt;&gt;"Net Revenue"),1,0)</f>
        <v>0</v>
      </c>
      <c r="AI365" s="36" t="str">
        <f aca="false">IF(AH365=1,IF(AND(LEN(AE365)&gt;7,ISNUMBER(VALUE(LEFT(AE365,6))),MID(AE365,7,1)=" "),LEFT(AE365,6),AE365),"")</f>
        <v/>
      </c>
      <c r="AN365" s="36" t="str">
        <f aca="false">TRIM(AK365)</f>
        <v/>
      </c>
      <c r="AO365" s="36" t="str">
        <f aca="false">IF(AN365="Revenue","Revenue",IF(AN365="Cost of Goods Sold","COGS",IF(AN365="Expenditures","Expense",IF(AN365="Other Revenue","Other Revenue",IF(AN365="Other Expenditures","Other Expense",AO364)))))</f>
        <v/>
      </c>
      <c r="AP365" s="36" t="str">
        <f aca="false">IF(OR(AN365="Revenue",AN365="Cost of Goods Sold",AN365="Expenditures",AN365="Other Revenue",AN365="Other Expenditures"),AO365,IF(AND(LEN(AN365)&gt;2,MID(AN365,2,1)=" ",ISNUMBER(VALUE(LEFT(AN365,1)))),AN365,AP364))</f>
        <v/>
      </c>
      <c r="AQ365" s="36" t="n">
        <f aca="false">IF(AND(AN365&lt;&gt;"",ISNUMBER(AL365),LEFT(AN365,9)&lt;&gt;"Total for",AN365&lt;&gt;"Gross Profit",AN365&lt;&gt;"Net Operating Revenue",AN365&lt;&gt;"Net Other Revenue",AN365&lt;&gt;"Net Revenue"),1,0)</f>
        <v>0</v>
      </c>
      <c r="AR365" s="36" t="str">
        <f aca="false">IF(AQ365=1,IF(AND(LEN(AN365)&gt;7,ISNUMBER(VALUE(LEFT(AN365,6))),MID(AN365,7,1)=" "),LEFT(AN365,6),AN365),"")</f>
        <v/>
      </c>
    </row>
    <row r="366" customFormat="false" ht="15" hidden="false" customHeight="false" outlineLevel="0" collapsed="false">
      <c r="D366" s="36" t="str">
        <f aca="false">TRIM(A366)</f>
        <v/>
      </c>
      <c r="E366" s="36" t="str">
        <f aca="false">IF(D366="Revenue","Revenue",IF(D366="Cost of Goods Sold","COGS",IF(D366="Expenditures","Expense",IF(D366="Other Revenue","Other Revenue",IF(D366="Other Expenditures","Other Expense",E365)))))</f>
        <v/>
      </c>
      <c r="F366" s="36" t="str">
        <f aca="false">IF(OR(D366="Revenue",D366="Cost of Goods Sold",D366="Expenditures",D366="Other Revenue",D366="Other Expenditures"),E366,IF(AND(LEN(D366)&gt;2,MID(D366,2,1)=" ",ISNUMBER(VALUE(LEFT(D366,1)))),D366,F365))</f>
        <v/>
      </c>
      <c r="G366" s="36" t="n">
        <f aca="false">IF(AND(D366&lt;&gt;"",ISNUMBER(B366),LEFT(D366,9)&lt;&gt;"Total for",D366&lt;&gt;"Gross Profit",D366&lt;&gt;"Net Operating Revenue",D366&lt;&gt;"Net Other Revenue",D366&lt;&gt;"Net Revenue"),1,0)</f>
        <v>0</v>
      </c>
      <c r="H366" s="36" t="str">
        <f aca="false">IF(G366=1,IF(AND(LEN(D366)&gt;7,ISNUMBER(VALUE(LEFT(D366,6))),MID(D366,7,1)=" "),LEFT(D366,6),D366),"")</f>
        <v/>
      </c>
      <c r="M366" s="36" t="str">
        <f aca="false">TRIM(J366)</f>
        <v/>
      </c>
      <c r="N366" s="36" t="str">
        <f aca="false">IF(M366="Revenue","Revenue",IF(M366="Cost of Goods Sold","COGS",IF(M366="Expenditures","Expense",IF(M366="Other Revenue","Other Revenue",IF(M366="Other Expenditures","Other Expense",N365)))))</f>
        <v/>
      </c>
      <c r="O366" s="36" t="str">
        <f aca="false">IF(OR(M366="Revenue",M366="Cost of Goods Sold",M366="Expenditures",M366="Other Revenue",M366="Other Expenditures"),N366,IF(AND(LEN(M366)&gt;2,MID(M366,2,1)=" ",ISNUMBER(VALUE(LEFT(M366,1)))),M366,O365))</f>
        <v/>
      </c>
      <c r="P366" s="36" t="n">
        <f aca="false">IF(AND(M366&lt;&gt;"",ISNUMBER(K366),LEFT(M366,9)&lt;&gt;"Total for",M366&lt;&gt;"Gross Profit",M366&lt;&gt;"Net Operating Revenue",M366&lt;&gt;"Net Other Revenue",M366&lt;&gt;"Net Revenue"),1,0)</f>
        <v>0</v>
      </c>
      <c r="Q366" s="36" t="str">
        <f aca="false">IF(P366=1,IF(AND(LEN(M366)&gt;7,ISNUMBER(VALUE(LEFT(M366,6))),MID(M366,7,1)=" "),LEFT(M366,6),M366),"")</f>
        <v/>
      </c>
      <c r="V366" s="36" t="str">
        <f aca="false">TRIM(S366)</f>
        <v/>
      </c>
      <c r="W366" s="36" t="str">
        <f aca="false">IF(V366="Revenue","Revenue",IF(V366="Cost of Goods Sold","COGS",IF(V366="Expenditures","Expense",IF(V366="Other Revenue","Other Revenue",IF(V366="Other Expenditures","Other Expense",W365)))))</f>
        <v/>
      </c>
      <c r="X366" s="36" t="str">
        <f aca="false">IF(OR(V366="Revenue",V366="Cost of Goods Sold",V366="Expenditures",V366="Other Revenue",V366="Other Expenditures"),W366,IF(AND(LEN(V366)&gt;2,MID(V366,2,1)=" ",ISNUMBER(VALUE(LEFT(V366,1)))),V366,X365))</f>
        <v/>
      </c>
      <c r="Y366" s="36" t="n">
        <f aca="false">IF(AND(V366&lt;&gt;"",ISNUMBER(T366),LEFT(V366,9)&lt;&gt;"Total for",V366&lt;&gt;"Gross Profit",V366&lt;&gt;"Net Operating Revenue",V366&lt;&gt;"Net Other Revenue",V366&lt;&gt;"Net Revenue"),1,0)</f>
        <v>0</v>
      </c>
      <c r="Z366" s="36" t="str">
        <f aca="false">IF(Y366=1,IF(AND(LEN(V366)&gt;7,ISNUMBER(VALUE(LEFT(V366,6))),MID(V366,7,1)=" "),LEFT(V366,6),V366),"")</f>
        <v/>
      </c>
      <c r="AE366" s="36" t="str">
        <f aca="false">TRIM(AB366)</f>
        <v/>
      </c>
      <c r="AF366" s="36" t="str">
        <f aca="false">IF(AE366="Revenue","Revenue",IF(AE366="Cost of Goods Sold","COGS",IF(AE366="Expenditures","Expense",IF(AE366="Other Revenue","Other Revenue",IF(AE366="Other Expenditures","Other Expense",AF365)))))</f>
        <v/>
      </c>
      <c r="AG366" s="36" t="str">
        <f aca="false">IF(OR(AE366="Revenue",AE366="Cost of Goods Sold",AE366="Expenditures",AE366="Other Revenue",AE366="Other Expenditures"),AF366,IF(AND(LEN(AE366)&gt;2,MID(AE366,2,1)=" ",ISNUMBER(VALUE(LEFT(AE366,1)))),AE366,AG365))</f>
        <v/>
      </c>
      <c r="AH366" s="36" t="n">
        <f aca="false">IF(AND(AE366&lt;&gt;"",ISNUMBER(AC366),LEFT(AE366,9)&lt;&gt;"Total for",AE366&lt;&gt;"Gross Profit",AE366&lt;&gt;"Net Operating Revenue",AE366&lt;&gt;"Net Other Revenue",AE366&lt;&gt;"Net Revenue"),1,0)</f>
        <v>0</v>
      </c>
      <c r="AI366" s="36" t="str">
        <f aca="false">IF(AH366=1,IF(AND(LEN(AE366)&gt;7,ISNUMBER(VALUE(LEFT(AE366,6))),MID(AE366,7,1)=" "),LEFT(AE366,6),AE366),"")</f>
        <v/>
      </c>
      <c r="AN366" s="36" t="str">
        <f aca="false">TRIM(AK366)</f>
        <v/>
      </c>
      <c r="AO366" s="36" t="str">
        <f aca="false">IF(AN366="Revenue","Revenue",IF(AN366="Cost of Goods Sold","COGS",IF(AN366="Expenditures","Expense",IF(AN366="Other Revenue","Other Revenue",IF(AN366="Other Expenditures","Other Expense",AO365)))))</f>
        <v/>
      </c>
      <c r="AP366" s="36" t="str">
        <f aca="false">IF(OR(AN366="Revenue",AN366="Cost of Goods Sold",AN366="Expenditures",AN366="Other Revenue",AN366="Other Expenditures"),AO366,IF(AND(LEN(AN366)&gt;2,MID(AN366,2,1)=" ",ISNUMBER(VALUE(LEFT(AN366,1)))),AN366,AP365))</f>
        <v/>
      </c>
      <c r="AQ366" s="36" t="n">
        <f aca="false">IF(AND(AN366&lt;&gt;"",ISNUMBER(AL366),LEFT(AN366,9)&lt;&gt;"Total for",AN366&lt;&gt;"Gross Profit",AN366&lt;&gt;"Net Operating Revenue",AN366&lt;&gt;"Net Other Revenue",AN366&lt;&gt;"Net Revenue"),1,0)</f>
        <v>0</v>
      </c>
      <c r="AR366" s="36" t="str">
        <f aca="false">IF(AQ366=1,IF(AND(LEN(AN366)&gt;7,ISNUMBER(VALUE(LEFT(AN366,6))),MID(AN366,7,1)=" "),LEFT(AN366,6),AN366),"")</f>
        <v/>
      </c>
    </row>
    <row r="367" customFormat="false" ht="15" hidden="false" customHeight="false" outlineLevel="0" collapsed="false">
      <c r="D367" s="36" t="str">
        <f aca="false">TRIM(A367)</f>
        <v/>
      </c>
      <c r="E367" s="36" t="str">
        <f aca="false">IF(D367="Revenue","Revenue",IF(D367="Cost of Goods Sold","COGS",IF(D367="Expenditures","Expense",IF(D367="Other Revenue","Other Revenue",IF(D367="Other Expenditures","Other Expense",E366)))))</f>
        <v/>
      </c>
      <c r="F367" s="36" t="str">
        <f aca="false">IF(OR(D367="Revenue",D367="Cost of Goods Sold",D367="Expenditures",D367="Other Revenue",D367="Other Expenditures"),E367,IF(AND(LEN(D367)&gt;2,MID(D367,2,1)=" ",ISNUMBER(VALUE(LEFT(D367,1)))),D367,F366))</f>
        <v/>
      </c>
      <c r="G367" s="36" t="n">
        <f aca="false">IF(AND(D367&lt;&gt;"",ISNUMBER(B367),LEFT(D367,9)&lt;&gt;"Total for",D367&lt;&gt;"Gross Profit",D367&lt;&gt;"Net Operating Revenue",D367&lt;&gt;"Net Other Revenue",D367&lt;&gt;"Net Revenue"),1,0)</f>
        <v>0</v>
      </c>
      <c r="H367" s="36" t="str">
        <f aca="false">IF(G367=1,IF(AND(LEN(D367)&gt;7,ISNUMBER(VALUE(LEFT(D367,6))),MID(D367,7,1)=" "),LEFT(D367,6),D367),"")</f>
        <v/>
      </c>
      <c r="M367" s="36" t="str">
        <f aca="false">TRIM(J367)</f>
        <v/>
      </c>
      <c r="N367" s="36" t="str">
        <f aca="false">IF(M367="Revenue","Revenue",IF(M367="Cost of Goods Sold","COGS",IF(M367="Expenditures","Expense",IF(M367="Other Revenue","Other Revenue",IF(M367="Other Expenditures","Other Expense",N366)))))</f>
        <v/>
      </c>
      <c r="O367" s="36" t="str">
        <f aca="false">IF(OR(M367="Revenue",M367="Cost of Goods Sold",M367="Expenditures",M367="Other Revenue",M367="Other Expenditures"),N367,IF(AND(LEN(M367)&gt;2,MID(M367,2,1)=" ",ISNUMBER(VALUE(LEFT(M367,1)))),M367,O366))</f>
        <v/>
      </c>
      <c r="P367" s="36" t="n">
        <f aca="false">IF(AND(M367&lt;&gt;"",ISNUMBER(K367),LEFT(M367,9)&lt;&gt;"Total for",M367&lt;&gt;"Gross Profit",M367&lt;&gt;"Net Operating Revenue",M367&lt;&gt;"Net Other Revenue",M367&lt;&gt;"Net Revenue"),1,0)</f>
        <v>0</v>
      </c>
      <c r="Q367" s="36" t="str">
        <f aca="false">IF(P367=1,IF(AND(LEN(M367)&gt;7,ISNUMBER(VALUE(LEFT(M367,6))),MID(M367,7,1)=" "),LEFT(M367,6),M367),"")</f>
        <v/>
      </c>
      <c r="V367" s="36" t="str">
        <f aca="false">TRIM(S367)</f>
        <v/>
      </c>
      <c r="W367" s="36" t="str">
        <f aca="false">IF(V367="Revenue","Revenue",IF(V367="Cost of Goods Sold","COGS",IF(V367="Expenditures","Expense",IF(V367="Other Revenue","Other Revenue",IF(V367="Other Expenditures","Other Expense",W366)))))</f>
        <v/>
      </c>
      <c r="X367" s="36" t="str">
        <f aca="false">IF(OR(V367="Revenue",V367="Cost of Goods Sold",V367="Expenditures",V367="Other Revenue",V367="Other Expenditures"),W367,IF(AND(LEN(V367)&gt;2,MID(V367,2,1)=" ",ISNUMBER(VALUE(LEFT(V367,1)))),V367,X366))</f>
        <v/>
      </c>
      <c r="Y367" s="36" t="n">
        <f aca="false">IF(AND(V367&lt;&gt;"",ISNUMBER(T367),LEFT(V367,9)&lt;&gt;"Total for",V367&lt;&gt;"Gross Profit",V367&lt;&gt;"Net Operating Revenue",V367&lt;&gt;"Net Other Revenue",V367&lt;&gt;"Net Revenue"),1,0)</f>
        <v>0</v>
      </c>
      <c r="Z367" s="36" t="str">
        <f aca="false">IF(Y367=1,IF(AND(LEN(V367)&gt;7,ISNUMBER(VALUE(LEFT(V367,6))),MID(V367,7,1)=" "),LEFT(V367,6),V367),"")</f>
        <v/>
      </c>
      <c r="AE367" s="36" t="str">
        <f aca="false">TRIM(AB367)</f>
        <v/>
      </c>
      <c r="AF367" s="36" t="str">
        <f aca="false">IF(AE367="Revenue","Revenue",IF(AE367="Cost of Goods Sold","COGS",IF(AE367="Expenditures","Expense",IF(AE367="Other Revenue","Other Revenue",IF(AE367="Other Expenditures","Other Expense",AF366)))))</f>
        <v/>
      </c>
      <c r="AG367" s="36" t="str">
        <f aca="false">IF(OR(AE367="Revenue",AE367="Cost of Goods Sold",AE367="Expenditures",AE367="Other Revenue",AE367="Other Expenditures"),AF367,IF(AND(LEN(AE367)&gt;2,MID(AE367,2,1)=" ",ISNUMBER(VALUE(LEFT(AE367,1)))),AE367,AG366))</f>
        <v/>
      </c>
      <c r="AH367" s="36" t="n">
        <f aca="false">IF(AND(AE367&lt;&gt;"",ISNUMBER(AC367),LEFT(AE367,9)&lt;&gt;"Total for",AE367&lt;&gt;"Gross Profit",AE367&lt;&gt;"Net Operating Revenue",AE367&lt;&gt;"Net Other Revenue",AE367&lt;&gt;"Net Revenue"),1,0)</f>
        <v>0</v>
      </c>
      <c r="AI367" s="36" t="str">
        <f aca="false">IF(AH367=1,IF(AND(LEN(AE367)&gt;7,ISNUMBER(VALUE(LEFT(AE367,6))),MID(AE367,7,1)=" "),LEFT(AE367,6),AE367),"")</f>
        <v/>
      </c>
      <c r="AN367" s="36" t="str">
        <f aca="false">TRIM(AK367)</f>
        <v/>
      </c>
      <c r="AO367" s="36" t="str">
        <f aca="false">IF(AN367="Revenue","Revenue",IF(AN367="Cost of Goods Sold","COGS",IF(AN367="Expenditures","Expense",IF(AN367="Other Revenue","Other Revenue",IF(AN367="Other Expenditures","Other Expense",AO366)))))</f>
        <v/>
      </c>
      <c r="AP367" s="36" t="str">
        <f aca="false">IF(OR(AN367="Revenue",AN367="Cost of Goods Sold",AN367="Expenditures",AN367="Other Revenue",AN367="Other Expenditures"),AO367,IF(AND(LEN(AN367)&gt;2,MID(AN367,2,1)=" ",ISNUMBER(VALUE(LEFT(AN367,1)))),AN367,AP366))</f>
        <v/>
      </c>
      <c r="AQ367" s="36" t="n">
        <f aca="false">IF(AND(AN367&lt;&gt;"",ISNUMBER(AL367),LEFT(AN367,9)&lt;&gt;"Total for",AN367&lt;&gt;"Gross Profit",AN367&lt;&gt;"Net Operating Revenue",AN367&lt;&gt;"Net Other Revenue",AN367&lt;&gt;"Net Revenue"),1,0)</f>
        <v>0</v>
      </c>
      <c r="AR367" s="36" t="str">
        <f aca="false">IF(AQ367=1,IF(AND(LEN(AN367)&gt;7,ISNUMBER(VALUE(LEFT(AN367,6))),MID(AN367,7,1)=" "),LEFT(AN367,6),AN367),"")</f>
        <v/>
      </c>
    </row>
    <row r="368" customFormat="false" ht="15" hidden="false" customHeight="false" outlineLevel="0" collapsed="false">
      <c r="D368" s="36" t="str">
        <f aca="false">TRIM(A368)</f>
        <v/>
      </c>
      <c r="E368" s="36" t="str">
        <f aca="false">IF(D368="Revenue","Revenue",IF(D368="Cost of Goods Sold","COGS",IF(D368="Expenditures","Expense",IF(D368="Other Revenue","Other Revenue",IF(D368="Other Expenditures","Other Expense",E367)))))</f>
        <v/>
      </c>
      <c r="F368" s="36" t="str">
        <f aca="false">IF(OR(D368="Revenue",D368="Cost of Goods Sold",D368="Expenditures",D368="Other Revenue",D368="Other Expenditures"),E368,IF(AND(LEN(D368)&gt;2,MID(D368,2,1)=" ",ISNUMBER(VALUE(LEFT(D368,1)))),D368,F367))</f>
        <v/>
      </c>
      <c r="G368" s="36" t="n">
        <f aca="false">IF(AND(D368&lt;&gt;"",ISNUMBER(B368),LEFT(D368,9)&lt;&gt;"Total for",D368&lt;&gt;"Gross Profit",D368&lt;&gt;"Net Operating Revenue",D368&lt;&gt;"Net Other Revenue",D368&lt;&gt;"Net Revenue"),1,0)</f>
        <v>0</v>
      </c>
      <c r="H368" s="36" t="str">
        <f aca="false">IF(G368=1,IF(AND(LEN(D368)&gt;7,ISNUMBER(VALUE(LEFT(D368,6))),MID(D368,7,1)=" "),LEFT(D368,6),D368),"")</f>
        <v/>
      </c>
      <c r="M368" s="36" t="str">
        <f aca="false">TRIM(J368)</f>
        <v/>
      </c>
      <c r="N368" s="36" t="str">
        <f aca="false">IF(M368="Revenue","Revenue",IF(M368="Cost of Goods Sold","COGS",IF(M368="Expenditures","Expense",IF(M368="Other Revenue","Other Revenue",IF(M368="Other Expenditures","Other Expense",N367)))))</f>
        <v/>
      </c>
      <c r="O368" s="36" t="str">
        <f aca="false">IF(OR(M368="Revenue",M368="Cost of Goods Sold",M368="Expenditures",M368="Other Revenue",M368="Other Expenditures"),N368,IF(AND(LEN(M368)&gt;2,MID(M368,2,1)=" ",ISNUMBER(VALUE(LEFT(M368,1)))),M368,O367))</f>
        <v/>
      </c>
      <c r="P368" s="36" t="n">
        <f aca="false">IF(AND(M368&lt;&gt;"",ISNUMBER(K368),LEFT(M368,9)&lt;&gt;"Total for",M368&lt;&gt;"Gross Profit",M368&lt;&gt;"Net Operating Revenue",M368&lt;&gt;"Net Other Revenue",M368&lt;&gt;"Net Revenue"),1,0)</f>
        <v>0</v>
      </c>
      <c r="Q368" s="36" t="str">
        <f aca="false">IF(P368=1,IF(AND(LEN(M368)&gt;7,ISNUMBER(VALUE(LEFT(M368,6))),MID(M368,7,1)=" "),LEFT(M368,6),M368),"")</f>
        <v/>
      </c>
      <c r="V368" s="36" t="str">
        <f aca="false">TRIM(S368)</f>
        <v/>
      </c>
      <c r="W368" s="36" t="str">
        <f aca="false">IF(V368="Revenue","Revenue",IF(V368="Cost of Goods Sold","COGS",IF(V368="Expenditures","Expense",IF(V368="Other Revenue","Other Revenue",IF(V368="Other Expenditures","Other Expense",W367)))))</f>
        <v/>
      </c>
      <c r="X368" s="36" t="str">
        <f aca="false">IF(OR(V368="Revenue",V368="Cost of Goods Sold",V368="Expenditures",V368="Other Revenue",V368="Other Expenditures"),W368,IF(AND(LEN(V368)&gt;2,MID(V368,2,1)=" ",ISNUMBER(VALUE(LEFT(V368,1)))),V368,X367))</f>
        <v/>
      </c>
      <c r="Y368" s="36" t="n">
        <f aca="false">IF(AND(V368&lt;&gt;"",ISNUMBER(T368),LEFT(V368,9)&lt;&gt;"Total for",V368&lt;&gt;"Gross Profit",V368&lt;&gt;"Net Operating Revenue",V368&lt;&gt;"Net Other Revenue",V368&lt;&gt;"Net Revenue"),1,0)</f>
        <v>0</v>
      </c>
      <c r="Z368" s="36" t="str">
        <f aca="false">IF(Y368=1,IF(AND(LEN(V368)&gt;7,ISNUMBER(VALUE(LEFT(V368,6))),MID(V368,7,1)=" "),LEFT(V368,6),V368),"")</f>
        <v/>
      </c>
      <c r="AE368" s="36" t="str">
        <f aca="false">TRIM(AB368)</f>
        <v/>
      </c>
      <c r="AF368" s="36" t="str">
        <f aca="false">IF(AE368="Revenue","Revenue",IF(AE368="Cost of Goods Sold","COGS",IF(AE368="Expenditures","Expense",IF(AE368="Other Revenue","Other Revenue",IF(AE368="Other Expenditures","Other Expense",AF367)))))</f>
        <v/>
      </c>
      <c r="AG368" s="36" t="str">
        <f aca="false">IF(OR(AE368="Revenue",AE368="Cost of Goods Sold",AE368="Expenditures",AE368="Other Revenue",AE368="Other Expenditures"),AF368,IF(AND(LEN(AE368)&gt;2,MID(AE368,2,1)=" ",ISNUMBER(VALUE(LEFT(AE368,1)))),AE368,AG367))</f>
        <v/>
      </c>
      <c r="AH368" s="36" t="n">
        <f aca="false">IF(AND(AE368&lt;&gt;"",ISNUMBER(AC368),LEFT(AE368,9)&lt;&gt;"Total for",AE368&lt;&gt;"Gross Profit",AE368&lt;&gt;"Net Operating Revenue",AE368&lt;&gt;"Net Other Revenue",AE368&lt;&gt;"Net Revenue"),1,0)</f>
        <v>0</v>
      </c>
      <c r="AI368" s="36" t="str">
        <f aca="false">IF(AH368=1,IF(AND(LEN(AE368)&gt;7,ISNUMBER(VALUE(LEFT(AE368,6))),MID(AE368,7,1)=" "),LEFT(AE368,6),AE368),"")</f>
        <v/>
      </c>
      <c r="AN368" s="36" t="str">
        <f aca="false">TRIM(AK368)</f>
        <v/>
      </c>
      <c r="AO368" s="36" t="str">
        <f aca="false">IF(AN368="Revenue","Revenue",IF(AN368="Cost of Goods Sold","COGS",IF(AN368="Expenditures","Expense",IF(AN368="Other Revenue","Other Revenue",IF(AN368="Other Expenditures","Other Expense",AO367)))))</f>
        <v/>
      </c>
      <c r="AP368" s="36" t="str">
        <f aca="false">IF(OR(AN368="Revenue",AN368="Cost of Goods Sold",AN368="Expenditures",AN368="Other Revenue",AN368="Other Expenditures"),AO368,IF(AND(LEN(AN368)&gt;2,MID(AN368,2,1)=" ",ISNUMBER(VALUE(LEFT(AN368,1)))),AN368,AP367))</f>
        <v/>
      </c>
      <c r="AQ368" s="36" t="n">
        <f aca="false">IF(AND(AN368&lt;&gt;"",ISNUMBER(AL368),LEFT(AN368,9)&lt;&gt;"Total for",AN368&lt;&gt;"Gross Profit",AN368&lt;&gt;"Net Operating Revenue",AN368&lt;&gt;"Net Other Revenue",AN368&lt;&gt;"Net Revenue"),1,0)</f>
        <v>0</v>
      </c>
      <c r="AR368" s="36" t="str">
        <f aca="false">IF(AQ368=1,IF(AND(LEN(AN368)&gt;7,ISNUMBER(VALUE(LEFT(AN368,6))),MID(AN368,7,1)=" "),LEFT(AN368,6),AN368),"")</f>
        <v/>
      </c>
    </row>
    <row r="369" customFormat="false" ht="15" hidden="false" customHeight="false" outlineLevel="0" collapsed="false">
      <c r="D369" s="36" t="str">
        <f aca="false">TRIM(A369)</f>
        <v/>
      </c>
      <c r="E369" s="36" t="str">
        <f aca="false">IF(D369="Revenue","Revenue",IF(D369="Cost of Goods Sold","COGS",IF(D369="Expenditures","Expense",IF(D369="Other Revenue","Other Revenue",IF(D369="Other Expenditures","Other Expense",E368)))))</f>
        <v/>
      </c>
      <c r="F369" s="36" t="str">
        <f aca="false">IF(OR(D369="Revenue",D369="Cost of Goods Sold",D369="Expenditures",D369="Other Revenue",D369="Other Expenditures"),E369,IF(AND(LEN(D369)&gt;2,MID(D369,2,1)=" ",ISNUMBER(VALUE(LEFT(D369,1)))),D369,F368))</f>
        <v/>
      </c>
      <c r="G369" s="36" t="n">
        <f aca="false">IF(AND(D369&lt;&gt;"",ISNUMBER(B369),LEFT(D369,9)&lt;&gt;"Total for",D369&lt;&gt;"Gross Profit",D369&lt;&gt;"Net Operating Revenue",D369&lt;&gt;"Net Other Revenue",D369&lt;&gt;"Net Revenue"),1,0)</f>
        <v>0</v>
      </c>
      <c r="H369" s="36" t="str">
        <f aca="false">IF(G369=1,IF(AND(LEN(D369)&gt;7,ISNUMBER(VALUE(LEFT(D369,6))),MID(D369,7,1)=" "),LEFT(D369,6),D369),"")</f>
        <v/>
      </c>
      <c r="M369" s="36" t="str">
        <f aca="false">TRIM(J369)</f>
        <v/>
      </c>
      <c r="N369" s="36" t="str">
        <f aca="false">IF(M369="Revenue","Revenue",IF(M369="Cost of Goods Sold","COGS",IF(M369="Expenditures","Expense",IF(M369="Other Revenue","Other Revenue",IF(M369="Other Expenditures","Other Expense",N368)))))</f>
        <v/>
      </c>
      <c r="O369" s="36" t="str">
        <f aca="false">IF(OR(M369="Revenue",M369="Cost of Goods Sold",M369="Expenditures",M369="Other Revenue",M369="Other Expenditures"),N369,IF(AND(LEN(M369)&gt;2,MID(M369,2,1)=" ",ISNUMBER(VALUE(LEFT(M369,1)))),M369,O368))</f>
        <v/>
      </c>
      <c r="P369" s="36" t="n">
        <f aca="false">IF(AND(M369&lt;&gt;"",ISNUMBER(K369),LEFT(M369,9)&lt;&gt;"Total for",M369&lt;&gt;"Gross Profit",M369&lt;&gt;"Net Operating Revenue",M369&lt;&gt;"Net Other Revenue",M369&lt;&gt;"Net Revenue"),1,0)</f>
        <v>0</v>
      </c>
      <c r="Q369" s="36" t="str">
        <f aca="false">IF(P369=1,IF(AND(LEN(M369)&gt;7,ISNUMBER(VALUE(LEFT(M369,6))),MID(M369,7,1)=" "),LEFT(M369,6),M369),"")</f>
        <v/>
      </c>
      <c r="V369" s="36" t="str">
        <f aca="false">TRIM(S369)</f>
        <v/>
      </c>
      <c r="W369" s="36" t="str">
        <f aca="false">IF(V369="Revenue","Revenue",IF(V369="Cost of Goods Sold","COGS",IF(V369="Expenditures","Expense",IF(V369="Other Revenue","Other Revenue",IF(V369="Other Expenditures","Other Expense",W368)))))</f>
        <v/>
      </c>
      <c r="X369" s="36" t="str">
        <f aca="false">IF(OR(V369="Revenue",V369="Cost of Goods Sold",V369="Expenditures",V369="Other Revenue",V369="Other Expenditures"),W369,IF(AND(LEN(V369)&gt;2,MID(V369,2,1)=" ",ISNUMBER(VALUE(LEFT(V369,1)))),V369,X368))</f>
        <v/>
      </c>
      <c r="Y369" s="36" t="n">
        <f aca="false">IF(AND(V369&lt;&gt;"",ISNUMBER(T369),LEFT(V369,9)&lt;&gt;"Total for",V369&lt;&gt;"Gross Profit",V369&lt;&gt;"Net Operating Revenue",V369&lt;&gt;"Net Other Revenue",V369&lt;&gt;"Net Revenue"),1,0)</f>
        <v>0</v>
      </c>
      <c r="Z369" s="36" t="str">
        <f aca="false">IF(Y369=1,IF(AND(LEN(V369)&gt;7,ISNUMBER(VALUE(LEFT(V369,6))),MID(V369,7,1)=" "),LEFT(V369,6),V369),"")</f>
        <v/>
      </c>
      <c r="AE369" s="36" t="str">
        <f aca="false">TRIM(AB369)</f>
        <v/>
      </c>
      <c r="AF369" s="36" t="str">
        <f aca="false">IF(AE369="Revenue","Revenue",IF(AE369="Cost of Goods Sold","COGS",IF(AE369="Expenditures","Expense",IF(AE369="Other Revenue","Other Revenue",IF(AE369="Other Expenditures","Other Expense",AF368)))))</f>
        <v/>
      </c>
      <c r="AG369" s="36" t="str">
        <f aca="false">IF(OR(AE369="Revenue",AE369="Cost of Goods Sold",AE369="Expenditures",AE369="Other Revenue",AE369="Other Expenditures"),AF369,IF(AND(LEN(AE369)&gt;2,MID(AE369,2,1)=" ",ISNUMBER(VALUE(LEFT(AE369,1)))),AE369,AG368))</f>
        <v/>
      </c>
      <c r="AH369" s="36" t="n">
        <f aca="false">IF(AND(AE369&lt;&gt;"",ISNUMBER(AC369),LEFT(AE369,9)&lt;&gt;"Total for",AE369&lt;&gt;"Gross Profit",AE369&lt;&gt;"Net Operating Revenue",AE369&lt;&gt;"Net Other Revenue",AE369&lt;&gt;"Net Revenue"),1,0)</f>
        <v>0</v>
      </c>
      <c r="AI369" s="36" t="str">
        <f aca="false">IF(AH369=1,IF(AND(LEN(AE369)&gt;7,ISNUMBER(VALUE(LEFT(AE369,6))),MID(AE369,7,1)=" "),LEFT(AE369,6),AE369),"")</f>
        <v/>
      </c>
      <c r="AN369" s="36" t="str">
        <f aca="false">TRIM(AK369)</f>
        <v/>
      </c>
      <c r="AO369" s="36" t="str">
        <f aca="false">IF(AN369="Revenue","Revenue",IF(AN369="Cost of Goods Sold","COGS",IF(AN369="Expenditures","Expense",IF(AN369="Other Revenue","Other Revenue",IF(AN369="Other Expenditures","Other Expense",AO368)))))</f>
        <v/>
      </c>
      <c r="AP369" s="36" t="str">
        <f aca="false">IF(OR(AN369="Revenue",AN369="Cost of Goods Sold",AN369="Expenditures",AN369="Other Revenue",AN369="Other Expenditures"),AO369,IF(AND(LEN(AN369)&gt;2,MID(AN369,2,1)=" ",ISNUMBER(VALUE(LEFT(AN369,1)))),AN369,AP368))</f>
        <v/>
      </c>
      <c r="AQ369" s="36" t="n">
        <f aca="false">IF(AND(AN369&lt;&gt;"",ISNUMBER(AL369),LEFT(AN369,9)&lt;&gt;"Total for",AN369&lt;&gt;"Gross Profit",AN369&lt;&gt;"Net Operating Revenue",AN369&lt;&gt;"Net Other Revenue",AN369&lt;&gt;"Net Revenue"),1,0)</f>
        <v>0</v>
      </c>
      <c r="AR369" s="36" t="str">
        <f aca="false">IF(AQ369=1,IF(AND(LEN(AN369)&gt;7,ISNUMBER(VALUE(LEFT(AN369,6))),MID(AN369,7,1)=" "),LEFT(AN369,6),AN369),"")</f>
        <v/>
      </c>
    </row>
    <row r="370" customFormat="false" ht="15" hidden="false" customHeight="false" outlineLevel="0" collapsed="false">
      <c r="D370" s="36" t="str">
        <f aca="false">TRIM(A370)</f>
        <v/>
      </c>
      <c r="E370" s="36" t="str">
        <f aca="false">IF(D370="Revenue","Revenue",IF(D370="Cost of Goods Sold","COGS",IF(D370="Expenditures","Expense",IF(D370="Other Revenue","Other Revenue",IF(D370="Other Expenditures","Other Expense",E369)))))</f>
        <v/>
      </c>
      <c r="F370" s="36" t="str">
        <f aca="false">IF(OR(D370="Revenue",D370="Cost of Goods Sold",D370="Expenditures",D370="Other Revenue",D370="Other Expenditures"),E370,IF(AND(LEN(D370)&gt;2,MID(D370,2,1)=" ",ISNUMBER(VALUE(LEFT(D370,1)))),D370,F369))</f>
        <v/>
      </c>
      <c r="G370" s="36" t="n">
        <f aca="false">IF(AND(D370&lt;&gt;"",ISNUMBER(B370),LEFT(D370,9)&lt;&gt;"Total for",D370&lt;&gt;"Gross Profit",D370&lt;&gt;"Net Operating Revenue",D370&lt;&gt;"Net Other Revenue",D370&lt;&gt;"Net Revenue"),1,0)</f>
        <v>0</v>
      </c>
      <c r="H370" s="36" t="str">
        <f aca="false">IF(G370=1,IF(AND(LEN(D370)&gt;7,ISNUMBER(VALUE(LEFT(D370,6))),MID(D370,7,1)=" "),LEFT(D370,6),D370),"")</f>
        <v/>
      </c>
      <c r="M370" s="36" t="str">
        <f aca="false">TRIM(J370)</f>
        <v/>
      </c>
      <c r="N370" s="36" t="str">
        <f aca="false">IF(M370="Revenue","Revenue",IF(M370="Cost of Goods Sold","COGS",IF(M370="Expenditures","Expense",IF(M370="Other Revenue","Other Revenue",IF(M370="Other Expenditures","Other Expense",N369)))))</f>
        <v/>
      </c>
      <c r="O370" s="36" t="str">
        <f aca="false">IF(OR(M370="Revenue",M370="Cost of Goods Sold",M370="Expenditures",M370="Other Revenue",M370="Other Expenditures"),N370,IF(AND(LEN(M370)&gt;2,MID(M370,2,1)=" ",ISNUMBER(VALUE(LEFT(M370,1)))),M370,O369))</f>
        <v/>
      </c>
      <c r="P370" s="36" t="n">
        <f aca="false">IF(AND(M370&lt;&gt;"",ISNUMBER(K370),LEFT(M370,9)&lt;&gt;"Total for",M370&lt;&gt;"Gross Profit",M370&lt;&gt;"Net Operating Revenue",M370&lt;&gt;"Net Other Revenue",M370&lt;&gt;"Net Revenue"),1,0)</f>
        <v>0</v>
      </c>
      <c r="Q370" s="36" t="str">
        <f aca="false">IF(P370=1,IF(AND(LEN(M370)&gt;7,ISNUMBER(VALUE(LEFT(M370,6))),MID(M370,7,1)=" "),LEFT(M370,6),M370),"")</f>
        <v/>
      </c>
      <c r="V370" s="36" t="str">
        <f aca="false">TRIM(S370)</f>
        <v/>
      </c>
      <c r="W370" s="36" t="str">
        <f aca="false">IF(V370="Revenue","Revenue",IF(V370="Cost of Goods Sold","COGS",IF(V370="Expenditures","Expense",IF(V370="Other Revenue","Other Revenue",IF(V370="Other Expenditures","Other Expense",W369)))))</f>
        <v/>
      </c>
      <c r="X370" s="36" t="str">
        <f aca="false">IF(OR(V370="Revenue",V370="Cost of Goods Sold",V370="Expenditures",V370="Other Revenue",V370="Other Expenditures"),W370,IF(AND(LEN(V370)&gt;2,MID(V370,2,1)=" ",ISNUMBER(VALUE(LEFT(V370,1)))),V370,X369))</f>
        <v/>
      </c>
      <c r="Y370" s="36" t="n">
        <f aca="false">IF(AND(V370&lt;&gt;"",ISNUMBER(T370),LEFT(V370,9)&lt;&gt;"Total for",V370&lt;&gt;"Gross Profit",V370&lt;&gt;"Net Operating Revenue",V370&lt;&gt;"Net Other Revenue",V370&lt;&gt;"Net Revenue"),1,0)</f>
        <v>0</v>
      </c>
      <c r="Z370" s="36" t="str">
        <f aca="false">IF(Y370=1,IF(AND(LEN(V370)&gt;7,ISNUMBER(VALUE(LEFT(V370,6))),MID(V370,7,1)=" "),LEFT(V370,6),V370),"")</f>
        <v/>
      </c>
      <c r="AE370" s="36" t="str">
        <f aca="false">TRIM(AB370)</f>
        <v/>
      </c>
      <c r="AF370" s="36" t="str">
        <f aca="false">IF(AE370="Revenue","Revenue",IF(AE370="Cost of Goods Sold","COGS",IF(AE370="Expenditures","Expense",IF(AE370="Other Revenue","Other Revenue",IF(AE370="Other Expenditures","Other Expense",AF369)))))</f>
        <v/>
      </c>
      <c r="AG370" s="36" t="str">
        <f aca="false">IF(OR(AE370="Revenue",AE370="Cost of Goods Sold",AE370="Expenditures",AE370="Other Revenue",AE370="Other Expenditures"),AF370,IF(AND(LEN(AE370)&gt;2,MID(AE370,2,1)=" ",ISNUMBER(VALUE(LEFT(AE370,1)))),AE370,AG369))</f>
        <v/>
      </c>
      <c r="AH370" s="36" t="n">
        <f aca="false">IF(AND(AE370&lt;&gt;"",ISNUMBER(AC370),LEFT(AE370,9)&lt;&gt;"Total for",AE370&lt;&gt;"Gross Profit",AE370&lt;&gt;"Net Operating Revenue",AE370&lt;&gt;"Net Other Revenue",AE370&lt;&gt;"Net Revenue"),1,0)</f>
        <v>0</v>
      </c>
      <c r="AI370" s="36" t="str">
        <f aca="false">IF(AH370=1,IF(AND(LEN(AE370)&gt;7,ISNUMBER(VALUE(LEFT(AE370,6))),MID(AE370,7,1)=" "),LEFT(AE370,6),AE370),"")</f>
        <v/>
      </c>
      <c r="AN370" s="36" t="str">
        <f aca="false">TRIM(AK370)</f>
        <v/>
      </c>
      <c r="AO370" s="36" t="str">
        <f aca="false">IF(AN370="Revenue","Revenue",IF(AN370="Cost of Goods Sold","COGS",IF(AN370="Expenditures","Expense",IF(AN370="Other Revenue","Other Revenue",IF(AN370="Other Expenditures","Other Expense",AO369)))))</f>
        <v/>
      </c>
      <c r="AP370" s="36" t="str">
        <f aca="false">IF(OR(AN370="Revenue",AN370="Cost of Goods Sold",AN370="Expenditures",AN370="Other Revenue",AN370="Other Expenditures"),AO370,IF(AND(LEN(AN370)&gt;2,MID(AN370,2,1)=" ",ISNUMBER(VALUE(LEFT(AN370,1)))),AN370,AP369))</f>
        <v/>
      </c>
      <c r="AQ370" s="36" t="n">
        <f aca="false">IF(AND(AN370&lt;&gt;"",ISNUMBER(AL370),LEFT(AN370,9)&lt;&gt;"Total for",AN370&lt;&gt;"Gross Profit",AN370&lt;&gt;"Net Operating Revenue",AN370&lt;&gt;"Net Other Revenue",AN370&lt;&gt;"Net Revenue"),1,0)</f>
        <v>0</v>
      </c>
      <c r="AR370" s="36" t="str">
        <f aca="false">IF(AQ370=1,IF(AND(LEN(AN370)&gt;7,ISNUMBER(VALUE(LEFT(AN370,6))),MID(AN370,7,1)=" "),LEFT(AN370,6),AN370),"")</f>
        <v/>
      </c>
    </row>
    <row r="371" customFormat="false" ht="15" hidden="false" customHeight="false" outlineLevel="0" collapsed="false">
      <c r="D371" s="36" t="str">
        <f aca="false">TRIM(A371)</f>
        <v/>
      </c>
      <c r="E371" s="36" t="str">
        <f aca="false">IF(D371="Revenue","Revenue",IF(D371="Cost of Goods Sold","COGS",IF(D371="Expenditures","Expense",IF(D371="Other Revenue","Other Revenue",IF(D371="Other Expenditures","Other Expense",E370)))))</f>
        <v/>
      </c>
      <c r="F371" s="36" t="str">
        <f aca="false">IF(OR(D371="Revenue",D371="Cost of Goods Sold",D371="Expenditures",D371="Other Revenue",D371="Other Expenditures"),E371,IF(AND(LEN(D371)&gt;2,MID(D371,2,1)=" ",ISNUMBER(VALUE(LEFT(D371,1)))),D371,F370))</f>
        <v/>
      </c>
      <c r="G371" s="36" t="n">
        <f aca="false">IF(AND(D371&lt;&gt;"",ISNUMBER(B371),LEFT(D371,9)&lt;&gt;"Total for",D371&lt;&gt;"Gross Profit",D371&lt;&gt;"Net Operating Revenue",D371&lt;&gt;"Net Other Revenue",D371&lt;&gt;"Net Revenue"),1,0)</f>
        <v>0</v>
      </c>
      <c r="H371" s="36" t="str">
        <f aca="false">IF(G371=1,IF(AND(LEN(D371)&gt;7,ISNUMBER(VALUE(LEFT(D371,6))),MID(D371,7,1)=" "),LEFT(D371,6),D371),"")</f>
        <v/>
      </c>
      <c r="M371" s="36" t="str">
        <f aca="false">TRIM(J371)</f>
        <v/>
      </c>
      <c r="N371" s="36" t="str">
        <f aca="false">IF(M371="Revenue","Revenue",IF(M371="Cost of Goods Sold","COGS",IF(M371="Expenditures","Expense",IF(M371="Other Revenue","Other Revenue",IF(M371="Other Expenditures","Other Expense",N370)))))</f>
        <v/>
      </c>
      <c r="O371" s="36" t="str">
        <f aca="false">IF(OR(M371="Revenue",M371="Cost of Goods Sold",M371="Expenditures",M371="Other Revenue",M371="Other Expenditures"),N371,IF(AND(LEN(M371)&gt;2,MID(M371,2,1)=" ",ISNUMBER(VALUE(LEFT(M371,1)))),M371,O370))</f>
        <v/>
      </c>
      <c r="P371" s="36" t="n">
        <f aca="false">IF(AND(M371&lt;&gt;"",ISNUMBER(K371),LEFT(M371,9)&lt;&gt;"Total for",M371&lt;&gt;"Gross Profit",M371&lt;&gt;"Net Operating Revenue",M371&lt;&gt;"Net Other Revenue",M371&lt;&gt;"Net Revenue"),1,0)</f>
        <v>0</v>
      </c>
      <c r="Q371" s="36" t="str">
        <f aca="false">IF(P371=1,IF(AND(LEN(M371)&gt;7,ISNUMBER(VALUE(LEFT(M371,6))),MID(M371,7,1)=" "),LEFT(M371,6),M371),"")</f>
        <v/>
      </c>
      <c r="V371" s="36" t="str">
        <f aca="false">TRIM(S371)</f>
        <v/>
      </c>
      <c r="W371" s="36" t="str">
        <f aca="false">IF(V371="Revenue","Revenue",IF(V371="Cost of Goods Sold","COGS",IF(V371="Expenditures","Expense",IF(V371="Other Revenue","Other Revenue",IF(V371="Other Expenditures","Other Expense",W370)))))</f>
        <v/>
      </c>
      <c r="X371" s="36" t="str">
        <f aca="false">IF(OR(V371="Revenue",V371="Cost of Goods Sold",V371="Expenditures",V371="Other Revenue",V371="Other Expenditures"),W371,IF(AND(LEN(V371)&gt;2,MID(V371,2,1)=" ",ISNUMBER(VALUE(LEFT(V371,1)))),V371,X370))</f>
        <v/>
      </c>
      <c r="Y371" s="36" t="n">
        <f aca="false">IF(AND(V371&lt;&gt;"",ISNUMBER(T371),LEFT(V371,9)&lt;&gt;"Total for",V371&lt;&gt;"Gross Profit",V371&lt;&gt;"Net Operating Revenue",V371&lt;&gt;"Net Other Revenue",V371&lt;&gt;"Net Revenue"),1,0)</f>
        <v>0</v>
      </c>
      <c r="Z371" s="36" t="str">
        <f aca="false">IF(Y371=1,IF(AND(LEN(V371)&gt;7,ISNUMBER(VALUE(LEFT(V371,6))),MID(V371,7,1)=" "),LEFT(V371,6),V371),"")</f>
        <v/>
      </c>
      <c r="AE371" s="36" t="str">
        <f aca="false">TRIM(AB371)</f>
        <v/>
      </c>
      <c r="AF371" s="36" t="str">
        <f aca="false">IF(AE371="Revenue","Revenue",IF(AE371="Cost of Goods Sold","COGS",IF(AE371="Expenditures","Expense",IF(AE371="Other Revenue","Other Revenue",IF(AE371="Other Expenditures","Other Expense",AF370)))))</f>
        <v/>
      </c>
      <c r="AG371" s="36" t="str">
        <f aca="false">IF(OR(AE371="Revenue",AE371="Cost of Goods Sold",AE371="Expenditures",AE371="Other Revenue",AE371="Other Expenditures"),AF371,IF(AND(LEN(AE371)&gt;2,MID(AE371,2,1)=" ",ISNUMBER(VALUE(LEFT(AE371,1)))),AE371,AG370))</f>
        <v/>
      </c>
      <c r="AH371" s="36" t="n">
        <f aca="false">IF(AND(AE371&lt;&gt;"",ISNUMBER(AC371),LEFT(AE371,9)&lt;&gt;"Total for",AE371&lt;&gt;"Gross Profit",AE371&lt;&gt;"Net Operating Revenue",AE371&lt;&gt;"Net Other Revenue",AE371&lt;&gt;"Net Revenue"),1,0)</f>
        <v>0</v>
      </c>
      <c r="AI371" s="36" t="str">
        <f aca="false">IF(AH371=1,IF(AND(LEN(AE371)&gt;7,ISNUMBER(VALUE(LEFT(AE371,6))),MID(AE371,7,1)=" "),LEFT(AE371,6),AE371),"")</f>
        <v/>
      </c>
      <c r="AN371" s="36" t="str">
        <f aca="false">TRIM(AK371)</f>
        <v/>
      </c>
      <c r="AO371" s="36" t="str">
        <f aca="false">IF(AN371="Revenue","Revenue",IF(AN371="Cost of Goods Sold","COGS",IF(AN371="Expenditures","Expense",IF(AN371="Other Revenue","Other Revenue",IF(AN371="Other Expenditures","Other Expense",AO370)))))</f>
        <v/>
      </c>
      <c r="AP371" s="36" t="str">
        <f aca="false">IF(OR(AN371="Revenue",AN371="Cost of Goods Sold",AN371="Expenditures",AN371="Other Revenue",AN371="Other Expenditures"),AO371,IF(AND(LEN(AN371)&gt;2,MID(AN371,2,1)=" ",ISNUMBER(VALUE(LEFT(AN371,1)))),AN371,AP370))</f>
        <v/>
      </c>
      <c r="AQ371" s="36" t="n">
        <f aca="false">IF(AND(AN371&lt;&gt;"",ISNUMBER(AL371),LEFT(AN371,9)&lt;&gt;"Total for",AN371&lt;&gt;"Gross Profit",AN371&lt;&gt;"Net Operating Revenue",AN371&lt;&gt;"Net Other Revenue",AN371&lt;&gt;"Net Revenue"),1,0)</f>
        <v>0</v>
      </c>
      <c r="AR371" s="36" t="str">
        <f aca="false">IF(AQ371=1,IF(AND(LEN(AN371)&gt;7,ISNUMBER(VALUE(LEFT(AN371,6))),MID(AN371,7,1)=" "),LEFT(AN371,6),AN371),"")</f>
        <v/>
      </c>
    </row>
    <row r="372" customFormat="false" ht="15" hidden="false" customHeight="false" outlineLevel="0" collapsed="false">
      <c r="D372" s="36" t="str">
        <f aca="false">TRIM(A372)</f>
        <v/>
      </c>
      <c r="E372" s="36" t="str">
        <f aca="false">IF(D372="Revenue","Revenue",IF(D372="Cost of Goods Sold","COGS",IF(D372="Expenditures","Expense",IF(D372="Other Revenue","Other Revenue",IF(D372="Other Expenditures","Other Expense",E371)))))</f>
        <v/>
      </c>
      <c r="F372" s="36" t="str">
        <f aca="false">IF(OR(D372="Revenue",D372="Cost of Goods Sold",D372="Expenditures",D372="Other Revenue",D372="Other Expenditures"),E372,IF(AND(LEN(D372)&gt;2,MID(D372,2,1)=" ",ISNUMBER(VALUE(LEFT(D372,1)))),D372,F371))</f>
        <v/>
      </c>
      <c r="G372" s="36" t="n">
        <f aca="false">IF(AND(D372&lt;&gt;"",ISNUMBER(B372),LEFT(D372,9)&lt;&gt;"Total for",D372&lt;&gt;"Gross Profit",D372&lt;&gt;"Net Operating Revenue",D372&lt;&gt;"Net Other Revenue",D372&lt;&gt;"Net Revenue"),1,0)</f>
        <v>0</v>
      </c>
      <c r="H372" s="36" t="str">
        <f aca="false">IF(G372=1,IF(AND(LEN(D372)&gt;7,ISNUMBER(VALUE(LEFT(D372,6))),MID(D372,7,1)=" "),LEFT(D372,6),D372),"")</f>
        <v/>
      </c>
      <c r="M372" s="36" t="str">
        <f aca="false">TRIM(J372)</f>
        <v/>
      </c>
      <c r="N372" s="36" t="str">
        <f aca="false">IF(M372="Revenue","Revenue",IF(M372="Cost of Goods Sold","COGS",IF(M372="Expenditures","Expense",IF(M372="Other Revenue","Other Revenue",IF(M372="Other Expenditures","Other Expense",N371)))))</f>
        <v/>
      </c>
      <c r="O372" s="36" t="str">
        <f aca="false">IF(OR(M372="Revenue",M372="Cost of Goods Sold",M372="Expenditures",M372="Other Revenue",M372="Other Expenditures"),N372,IF(AND(LEN(M372)&gt;2,MID(M372,2,1)=" ",ISNUMBER(VALUE(LEFT(M372,1)))),M372,O371))</f>
        <v/>
      </c>
      <c r="P372" s="36" t="n">
        <f aca="false">IF(AND(M372&lt;&gt;"",ISNUMBER(K372),LEFT(M372,9)&lt;&gt;"Total for",M372&lt;&gt;"Gross Profit",M372&lt;&gt;"Net Operating Revenue",M372&lt;&gt;"Net Other Revenue",M372&lt;&gt;"Net Revenue"),1,0)</f>
        <v>0</v>
      </c>
      <c r="Q372" s="36" t="str">
        <f aca="false">IF(P372=1,IF(AND(LEN(M372)&gt;7,ISNUMBER(VALUE(LEFT(M372,6))),MID(M372,7,1)=" "),LEFT(M372,6),M372),"")</f>
        <v/>
      </c>
      <c r="V372" s="36" t="str">
        <f aca="false">TRIM(S372)</f>
        <v/>
      </c>
      <c r="W372" s="36" t="str">
        <f aca="false">IF(V372="Revenue","Revenue",IF(V372="Cost of Goods Sold","COGS",IF(V372="Expenditures","Expense",IF(V372="Other Revenue","Other Revenue",IF(V372="Other Expenditures","Other Expense",W371)))))</f>
        <v/>
      </c>
      <c r="X372" s="36" t="str">
        <f aca="false">IF(OR(V372="Revenue",V372="Cost of Goods Sold",V372="Expenditures",V372="Other Revenue",V372="Other Expenditures"),W372,IF(AND(LEN(V372)&gt;2,MID(V372,2,1)=" ",ISNUMBER(VALUE(LEFT(V372,1)))),V372,X371))</f>
        <v/>
      </c>
      <c r="Y372" s="36" t="n">
        <f aca="false">IF(AND(V372&lt;&gt;"",ISNUMBER(T372),LEFT(V372,9)&lt;&gt;"Total for",V372&lt;&gt;"Gross Profit",V372&lt;&gt;"Net Operating Revenue",V372&lt;&gt;"Net Other Revenue",V372&lt;&gt;"Net Revenue"),1,0)</f>
        <v>0</v>
      </c>
      <c r="Z372" s="36" t="str">
        <f aca="false">IF(Y372=1,IF(AND(LEN(V372)&gt;7,ISNUMBER(VALUE(LEFT(V372,6))),MID(V372,7,1)=" "),LEFT(V372,6),V372),"")</f>
        <v/>
      </c>
      <c r="AE372" s="36" t="str">
        <f aca="false">TRIM(AB372)</f>
        <v/>
      </c>
      <c r="AF372" s="36" t="str">
        <f aca="false">IF(AE372="Revenue","Revenue",IF(AE372="Cost of Goods Sold","COGS",IF(AE372="Expenditures","Expense",IF(AE372="Other Revenue","Other Revenue",IF(AE372="Other Expenditures","Other Expense",AF371)))))</f>
        <v/>
      </c>
      <c r="AG372" s="36" t="str">
        <f aca="false">IF(OR(AE372="Revenue",AE372="Cost of Goods Sold",AE372="Expenditures",AE372="Other Revenue",AE372="Other Expenditures"),AF372,IF(AND(LEN(AE372)&gt;2,MID(AE372,2,1)=" ",ISNUMBER(VALUE(LEFT(AE372,1)))),AE372,AG371))</f>
        <v/>
      </c>
      <c r="AH372" s="36" t="n">
        <f aca="false">IF(AND(AE372&lt;&gt;"",ISNUMBER(AC372),LEFT(AE372,9)&lt;&gt;"Total for",AE372&lt;&gt;"Gross Profit",AE372&lt;&gt;"Net Operating Revenue",AE372&lt;&gt;"Net Other Revenue",AE372&lt;&gt;"Net Revenue"),1,0)</f>
        <v>0</v>
      </c>
      <c r="AI372" s="36" t="str">
        <f aca="false">IF(AH372=1,IF(AND(LEN(AE372)&gt;7,ISNUMBER(VALUE(LEFT(AE372,6))),MID(AE372,7,1)=" "),LEFT(AE372,6),AE372),"")</f>
        <v/>
      </c>
      <c r="AN372" s="36" t="str">
        <f aca="false">TRIM(AK372)</f>
        <v/>
      </c>
      <c r="AO372" s="36" t="str">
        <f aca="false">IF(AN372="Revenue","Revenue",IF(AN372="Cost of Goods Sold","COGS",IF(AN372="Expenditures","Expense",IF(AN372="Other Revenue","Other Revenue",IF(AN372="Other Expenditures","Other Expense",AO371)))))</f>
        <v/>
      </c>
      <c r="AP372" s="36" t="str">
        <f aca="false">IF(OR(AN372="Revenue",AN372="Cost of Goods Sold",AN372="Expenditures",AN372="Other Revenue",AN372="Other Expenditures"),AO372,IF(AND(LEN(AN372)&gt;2,MID(AN372,2,1)=" ",ISNUMBER(VALUE(LEFT(AN372,1)))),AN372,AP371))</f>
        <v/>
      </c>
      <c r="AQ372" s="36" t="n">
        <f aca="false">IF(AND(AN372&lt;&gt;"",ISNUMBER(AL372),LEFT(AN372,9)&lt;&gt;"Total for",AN372&lt;&gt;"Gross Profit",AN372&lt;&gt;"Net Operating Revenue",AN372&lt;&gt;"Net Other Revenue",AN372&lt;&gt;"Net Revenue"),1,0)</f>
        <v>0</v>
      </c>
      <c r="AR372" s="36" t="str">
        <f aca="false">IF(AQ372=1,IF(AND(LEN(AN372)&gt;7,ISNUMBER(VALUE(LEFT(AN372,6))),MID(AN372,7,1)=" "),LEFT(AN372,6),AN372),"")</f>
        <v/>
      </c>
    </row>
    <row r="373" customFormat="false" ht="15" hidden="false" customHeight="false" outlineLevel="0" collapsed="false">
      <c r="D373" s="36" t="str">
        <f aca="false">TRIM(A373)</f>
        <v/>
      </c>
      <c r="E373" s="36" t="str">
        <f aca="false">IF(D373="Revenue","Revenue",IF(D373="Cost of Goods Sold","COGS",IF(D373="Expenditures","Expense",IF(D373="Other Revenue","Other Revenue",IF(D373="Other Expenditures","Other Expense",E372)))))</f>
        <v/>
      </c>
      <c r="F373" s="36" t="str">
        <f aca="false">IF(OR(D373="Revenue",D373="Cost of Goods Sold",D373="Expenditures",D373="Other Revenue",D373="Other Expenditures"),E373,IF(AND(LEN(D373)&gt;2,MID(D373,2,1)=" ",ISNUMBER(VALUE(LEFT(D373,1)))),D373,F372))</f>
        <v/>
      </c>
      <c r="G373" s="36" t="n">
        <f aca="false">IF(AND(D373&lt;&gt;"",ISNUMBER(B373),LEFT(D373,9)&lt;&gt;"Total for",D373&lt;&gt;"Gross Profit",D373&lt;&gt;"Net Operating Revenue",D373&lt;&gt;"Net Other Revenue",D373&lt;&gt;"Net Revenue"),1,0)</f>
        <v>0</v>
      </c>
      <c r="H373" s="36" t="str">
        <f aca="false">IF(G373=1,IF(AND(LEN(D373)&gt;7,ISNUMBER(VALUE(LEFT(D373,6))),MID(D373,7,1)=" "),LEFT(D373,6),D373),"")</f>
        <v/>
      </c>
      <c r="M373" s="36" t="str">
        <f aca="false">TRIM(J373)</f>
        <v/>
      </c>
      <c r="N373" s="36" t="str">
        <f aca="false">IF(M373="Revenue","Revenue",IF(M373="Cost of Goods Sold","COGS",IF(M373="Expenditures","Expense",IF(M373="Other Revenue","Other Revenue",IF(M373="Other Expenditures","Other Expense",N372)))))</f>
        <v/>
      </c>
      <c r="O373" s="36" t="str">
        <f aca="false">IF(OR(M373="Revenue",M373="Cost of Goods Sold",M373="Expenditures",M373="Other Revenue",M373="Other Expenditures"),N373,IF(AND(LEN(M373)&gt;2,MID(M373,2,1)=" ",ISNUMBER(VALUE(LEFT(M373,1)))),M373,O372))</f>
        <v/>
      </c>
      <c r="P373" s="36" t="n">
        <f aca="false">IF(AND(M373&lt;&gt;"",ISNUMBER(K373),LEFT(M373,9)&lt;&gt;"Total for",M373&lt;&gt;"Gross Profit",M373&lt;&gt;"Net Operating Revenue",M373&lt;&gt;"Net Other Revenue",M373&lt;&gt;"Net Revenue"),1,0)</f>
        <v>0</v>
      </c>
      <c r="Q373" s="36" t="str">
        <f aca="false">IF(P373=1,IF(AND(LEN(M373)&gt;7,ISNUMBER(VALUE(LEFT(M373,6))),MID(M373,7,1)=" "),LEFT(M373,6),M373),"")</f>
        <v/>
      </c>
      <c r="V373" s="36" t="str">
        <f aca="false">TRIM(S373)</f>
        <v/>
      </c>
      <c r="W373" s="36" t="str">
        <f aca="false">IF(V373="Revenue","Revenue",IF(V373="Cost of Goods Sold","COGS",IF(V373="Expenditures","Expense",IF(V373="Other Revenue","Other Revenue",IF(V373="Other Expenditures","Other Expense",W372)))))</f>
        <v/>
      </c>
      <c r="X373" s="36" t="str">
        <f aca="false">IF(OR(V373="Revenue",V373="Cost of Goods Sold",V373="Expenditures",V373="Other Revenue",V373="Other Expenditures"),W373,IF(AND(LEN(V373)&gt;2,MID(V373,2,1)=" ",ISNUMBER(VALUE(LEFT(V373,1)))),V373,X372))</f>
        <v/>
      </c>
      <c r="Y373" s="36" t="n">
        <f aca="false">IF(AND(V373&lt;&gt;"",ISNUMBER(T373),LEFT(V373,9)&lt;&gt;"Total for",V373&lt;&gt;"Gross Profit",V373&lt;&gt;"Net Operating Revenue",V373&lt;&gt;"Net Other Revenue",V373&lt;&gt;"Net Revenue"),1,0)</f>
        <v>0</v>
      </c>
      <c r="Z373" s="36" t="str">
        <f aca="false">IF(Y373=1,IF(AND(LEN(V373)&gt;7,ISNUMBER(VALUE(LEFT(V373,6))),MID(V373,7,1)=" "),LEFT(V373,6),V373),"")</f>
        <v/>
      </c>
      <c r="AE373" s="36" t="str">
        <f aca="false">TRIM(AB373)</f>
        <v/>
      </c>
      <c r="AF373" s="36" t="str">
        <f aca="false">IF(AE373="Revenue","Revenue",IF(AE373="Cost of Goods Sold","COGS",IF(AE373="Expenditures","Expense",IF(AE373="Other Revenue","Other Revenue",IF(AE373="Other Expenditures","Other Expense",AF372)))))</f>
        <v/>
      </c>
      <c r="AG373" s="36" t="str">
        <f aca="false">IF(OR(AE373="Revenue",AE373="Cost of Goods Sold",AE373="Expenditures",AE373="Other Revenue",AE373="Other Expenditures"),AF373,IF(AND(LEN(AE373)&gt;2,MID(AE373,2,1)=" ",ISNUMBER(VALUE(LEFT(AE373,1)))),AE373,AG372))</f>
        <v/>
      </c>
      <c r="AH373" s="36" t="n">
        <f aca="false">IF(AND(AE373&lt;&gt;"",ISNUMBER(AC373),LEFT(AE373,9)&lt;&gt;"Total for",AE373&lt;&gt;"Gross Profit",AE373&lt;&gt;"Net Operating Revenue",AE373&lt;&gt;"Net Other Revenue",AE373&lt;&gt;"Net Revenue"),1,0)</f>
        <v>0</v>
      </c>
      <c r="AI373" s="36" t="str">
        <f aca="false">IF(AH373=1,IF(AND(LEN(AE373)&gt;7,ISNUMBER(VALUE(LEFT(AE373,6))),MID(AE373,7,1)=" "),LEFT(AE373,6),AE373),"")</f>
        <v/>
      </c>
      <c r="AN373" s="36" t="str">
        <f aca="false">TRIM(AK373)</f>
        <v/>
      </c>
      <c r="AO373" s="36" t="str">
        <f aca="false">IF(AN373="Revenue","Revenue",IF(AN373="Cost of Goods Sold","COGS",IF(AN373="Expenditures","Expense",IF(AN373="Other Revenue","Other Revenue",IF(AN373="Other Expenditures","Other Expense",AO372)))))</f>
        <v/>
      </c>
      <c r="AP373" s="36" t="str">
        <f aca="false">IF(OR(AN373="Revenue",AN373="Cost of Goods Sold",AN373="Expenditures",AN373="Other Revenue",AN373="Other Expenditures"),AO373,IF(AND(LEN(AN373)&gt;2,MID(AN373,2,1)=" ",ISNUMBER(VALUE(LEFT(AN373,1)))),AN373,AP372))</f>
        <v/>
      </c>
      <c r="AQ373" s="36" t="n">
        <f aca="false">IF(AND(AN373&lt;&gt;"",ISNUMBER(AL373),LEFT(AN373,9)&lt;&gt;"Total for",AN373&lt;&gt;"Gross Profit",AN373&lt;&gt;"Net Operating Revenue",AN373&lt;&gt;"Net Other Revenue",AN373&lt;&gt;"Net Revenue"),1,0)</f>
        <v>0</v>
      </c>
      <c r="AR373" s="36" t="str">
        <f aca="false">IF(AQ373=1,IF(AND(LEN(AN373)&gt;7,ISNUMBER(VALUE(LEFT(AN373,6))),MID(AN373,7,1)=" "),LEFT(AN373,6),AN373),"")</f>
        <v/>
      </c>
    </row>
    <row r="374" customFormat="false" ht="15" hidden="false" customHeight="false" outlineLevel="0" collapsed="false">
      <c r="D374" s="36" t="str">
        <f aca="false">TRIM(A374)</f>
        <v/>
      </c>
      <c r="E374" s="36" t="str">
        <f aca="false">IF(D374="Revenue","Revenue",IF(D374="Cost of Goods Sold","COGS",IF(D374="Expenditures","Expense",IF(D374="Other Revenue","Other Revenue",IF(D374="Other Expenditures","Other Expense",E373)))))</f>
        <v/>
      </c>
      <c r="F374" s="36" t="str">
        <f aca="false">IF(OR(D374="Revenue",D374="Cost of Goods Sold",D374="Expenditures",D374="Other Revenue",D374="Other Expenditures"),E374,IF(AND(LEN(D374)&gt;2,MID(D374,2,1)=" ",ISNUMBER(VALUE(LEFT(D374,1)))),D374,F373))</f>
        <v/>
      </c>
      <c r="G374" s="36" t="n">
        <f aca="false">IF(AND(D374&lt;&gt;"",ISNUMBER(B374),LEFT(D374,9)&lt;&gt;"Total for",D374&lt;&gt;"Gross Profit",D374&lt;&gt;"Net Operating Revenue",D374&lt;&gt;"Net Other Revenue",D374&lt;&gt;"Net Revenue"),1,0)</f>
        <v>0</v>
      </c>
      <c r="H374" s="36" t="str">
        <f aca="false">IF(G374=1,IF(AND(LEN(D374)&gt;7,ISNUMBER(VALUE(LEFT(D374,6))),MID(D374,7,1)=" "),LEFT(D374,6),D374),"")</f>
        <v/>
      </c>
      <c r="M374" s="36" t="str">
        <f aca="false">TRIM(J374)</f>
        <v/>
      </c>
      <c r="N374" s="36" t="str">
        <f aca="false">IF(M374="Revenue","Revenue",IF(M374="Cost of Goods Sold","COGS",IF(M374="Expenditures","Expense",IF(M374="Other Revenue","Other Revenue",IF(M374="Other Expenditures","Other Expense",N373)))))</f>
        <v/>
      </c>
      <c r="O374" s="36" t="str">
        <f aca="false">IF(OR(M374="Revenue",M374="Cost of Goods Sold",M374="Expenditures",M374="Other Revenue",M374="Other Expenditures"),N374,IF(AND(LEN(M374)&gt;2,MID(M374,2,1)=" ",ISNUMBER(VALUE(LEFT(M374,1)))),M374,O373))</f>
        <v/>
      </c>
      <c r="P374" s="36" t="n">
        <f aca="false">IF(AND(M374&lt;&gt;"",ISNUMBER(K374),LEFT(M374,9)&lt;&gt;"Total for",M374&lt;&gt;"Gross Profit",M374&lt;&gt;"Net Operating Revenue",M374&lt;&gt;"Net Other Revenue",M374&lt;&gt;"Net Revenue"),1,0)</f>
        <v>0</v>
      </c>
      <c r="Q374" s="36" t="str">
        <f aca="false">IF(P374=1,IF(AND(LEN(M374)&gt;7,ISNUMBER(VALUE(LEFT(M374,6))),MID(M374,7,1)=" "),LEFT(M374,6),M374),"")</f>
        <v/>
      </c>
      <c r="V374" s="36" t="str">
        <f aca="false">TRIM(S374)</f>
        <v/>
      </c>
      <c r="W374" s="36" t="str">
        <f aca="false">IF(V374="Revenue","Revenue",IF(V374="Cost of Goods Sold","COGS",IF(V374="Expenditures","Expense",IF(V374="Other Revenue","Other Revenue",IF(V374="Other Expenditures","Other Expense",W373)))))</f>
        <v/>
      </c>
      <c r="X374" s="36" t="str">
        <f aca="false">IF(OR(V374="Revenue",V374="Cost of Goods Sold",V374="Expenditures",V374="Other Revenue",V374="Other Expenditures"),W374,IF(AND(LEN(V374)&gt;2,MID(V374,2,1)=" ",ISNUMBER(VALUE(LEFT(V374,1)))),V374,X373))</f>
        <v/>
      </c>
      <c r="Y374" s="36" t="n">
        <f aca="false">IF(AND(V374&lt;&gt;"",ISNUMBER(T374),LEFT(V374,9)&lt;&gt;"Total for",V374&lt;&gt;"Gross Profit",V374&lt;&gt;"Net Operating Revenue",V374&lt;&gt;"Net Other Revenue",V374&lt;&gt;"Net Revenue"),1,0)</f>
        <v>0</v>
      </c>
      <c r="Z374" s="36" t="str">
        <f aca="false">IF(Y374=1,IF(AND(LEN(V374)&gt;7,ISNUMBER(VALUE(LEFT(V374,6))),MID(V374,7,1)=" "),LEFT(V374,6),V374),"")</f>
        <v/>
      </c>
      <c r="AE374" s="36" t="str">
        <f aca="false">TRIM(AB374)</f>
        <v/>
      </c>
      <c r="AF374" s="36" t="str">
        <f aca="false">IF(AE374="Revenue","Revenue",IF(AE374="Cost of Goods Sold","COGS",IF(AE374="Expenditures","Expense",IF(AE374="Other Revenue","Other Revenue",IF(AE374="Other Expenditures","Other Expense",AF373)))))</f>
        <v/>
      </c>
      <c r="AG374" s="36" t="str">
        <f aca="false">IF(OR(AE374="Revenue",AE374="Cost of Goods Sold",AE374="Expenditures",AE374="Other Revenue",AE374="Other Expenditures"),AF374,IF(AND(LEN(AE374)&gt;2,MID(AE374,2,1)=" ",ISNUMBER(VALUE(LEFT(AE374,1)))),AE374,AG373))</f>
        <v/>
      </c>
      <c r="AH374" s="36" t="n">
        <f aca="false">IF(AND(AE374&lt;&gt;"",ISNUMBER(AC374),LEFT(AE374,9)&lt;&gt;"Total for",AE374&lt;&gt;"Gross Profit",AE374&lt;&gt;"Net Operating Revenue",AE374&lt;&gt;"Net Other Revenue",AE374&lt;&gt;"Net Revenue"),1,0)</f>
        <v>0</v>
      </c>
      <c r="AI374" s="36" t="str">
        <f aca="false">IF(AH374=1,IF(AND(LEN(AE374)&gt;7,ISNUMBER(VALUE(LEFT(AE374,6))),MID(AE374,7,1)=" "),LEFT(AE374,6),AE374),"")</f>
        <v/>
      </c>
      <c r="AN374" s="36" t="str">
        <f aca="false">TRIM(AK374)</f>
        <v/>
      </c>
      <c r="AO374" s="36" t="str">
        <f aca="false">IF(AN374="Revenue","Revenue",IF(AN374="Cost of Goods Sold","COGS",IF(AN374="Expenditures","Expense",IF(AN374="Other Revenue","Other Revenue",IF(AN374="Other Expenditures","Other Expense",AO373)))))</f>
        <v/>
      </c>
      <c r="AP374" s="36" t="str">
        <f aca="false">IF(OR(AN374="Revenue",AN374="Cost of Goods Sold",AN374="Expenditures",AN374="Other Revenue",AN374="Other Expenditures"),AO374,IF(AND(LEN(AN374)&gt;2,MID(AN374,2,1)=" ",ISNUMBER(VALUE(LEFT(AN374,1)))),AN374,AP373))</f>
        <v/>
      </c>
      <c r="AQ374" s="36" t="n">
        <f aca="false">IF(AND(AN374&lt;&gt;"",ISNUMBER(AL374),LEFT(AN374,9)&lt;&gt;"Total for",AN374&lt;&gt;"Gross Profit",AN374&lt;&gt;"Net Operating Revenue",AN374&lt;&gt;"Net Other Revenue",AN374&lt;&gt;"Net Revenue"),1,0)</f>
        <v>0</v>
      </c>
      <c r="AR374" s="36" t="str">
        <f aca="false">IF(AQ374=1,IF(AND(LEN(AN374)&gt;7,ISNUMBER(VALUE(LEFT(AN374,6))),MID(AN374,7,1)=" "),LEFT(AN374,6),AN374),"")</f>
        <v/>
      </c>
    </row>
    <row r="375" customFormat="false" ht="15" hidden="false" customHeight="false" outlineLevel="0" collapsed="false">
      <c r="D375" s="36" t="str">
        <f aca="false">TRIM(A375)</f>
        <v/>
      </c>
      <c r="E375" s="36" t="str">
        <f aca="false">IF(D375="Revenue","Revenue",IF(D375="Cost of Goods Sold","COGS",IF(D375="Expenditures","Expense",IF(D375="Other Revenue","Other Revenue",IF(D375="Other Expenditures","Other Expense",E374)))))</f>
        <v/>
      </c>
      <c r="F375" s="36" t="str">
        <f aca="false">IF(OR(D375="Revenue",D375="Cost of Goods Sold",D375="Expenditures",D375="Other Revenue",D375="Other Expenditures"),E375,IF(AND(LEN(D375)&gt;2,MID(D375,2,1)=" ",ISNUMBER(VALUE(LEFT(D375,1)))),D375,F374))</f>
        <v/>
      </c>
      <c r="G375" s="36" t="n">
        <f aca="false">IF(AND(D375&lt;&gt;"",ISNUMBER(B375),LEFT(D375,9)&lt;&gt;"Total for",D375&lt;&gt;"Gross Profit",D375&lt;&gt;"Net Operating Revenue",D375&lt;&gt;"Net Other Revenue",D375&lt;&gt;"Net Revenue"),1,0)</f>
        <v>0</v>
      </c>
      <c r="H375" s="36" t="str">
        <f aca="false">IF(G375=1,IF(AND(LEN(D375)&gt;7,ISNUMBER(VALUE(LEFT(D375,6))),MID(D375,7,1)=" "),LEFT(D375,6),D375),"")</f>
        <v/>
      </c>
      <c r="M375" s="36" t="str">
        <f aca="false">TRIM(J375)</f>
        <v/>
      </c>
      <c r="N375" s="36" t="str">
        <f aca="false">IF(M375="Revenue","Revenue",IF(M375="Cost of Goods Sold","COGS",IF(M375="Expenditures","Expense",IF(M375="Other Revenue","Other Revenue",IF(M375="Other Expenditures","Other Expense",N374)))))</f>
        <v/>
      </c>
      <c r="O375" s="36" t="str">
        <f aca="false">IF(OR(M375="Revenue",M375="Cost of Goods Sold",M375="Expenditures",M375="Other Revenue",M375="Other Expenditures"),N375,IF(AND(LEN(M375)&gt;2,MID(M375,2,1)=" ",ISNUMBER(VALUE(LEFT(M375,1)))),M375,O374))</f>
        <v/>
      </c>
      <c r="P375" s="36" t="n">
        <f aca="false">IF(AND(M375&lt;&gt;"",ISNUMBER(K375),LEFT(M375,9)&lt;&gt;"Total for",M375&lt;&gt;"Gross Profit",M375&lt;&gt;"Net Operating Revenue",M375&lt;&gt;"Net Other Revenue",M375&lt;&gt;"Net Revenue"),1,0)</f>
        <v>0</v>
      </c>
      <c r="Q375" s="36" t="str">
        <f aca="false">IF(P375=1,IF(AND(LEN(M375)&gt;7,ISNUMBER(VALUE(LEFT(M375,6))),MID(M375,7,1)=" "),LEFT(M375,6),M375),"")</f>
        <v/>
      </c>
      <c r="V375" s="36" t="str">
        <f aca="false">TRIM(S375)</f>
        <v/>
      </c>
      <c r="W375" s="36" t="str">
        <f aca="false">IF(V375="Revenue","Revenue",IF(V375="Cost of Goods Sold","COGS",IF(V375="Expenditures","Expense",IF(V375="Other Revenue","Other Revenue",IF(V375="Other Expenditures","Other Expense",W374)))))</f>
        <v/>
      </c>
      <c r="X375" s="36" t="str">
        <f aca="false">IF(OR(V375="Revenue",V375="Cost of Goods Sold",V375="Expenditures",V375="Other Revenue",V375="Other Expenditures"),W375,IF(AND(LEN(V375)&gt;2,MID(V375,2,1)=" ",ISNUMBER(VALUE(LEFT(V375,1)))),V375,X374))</f>
        <v/>
      </c>
      <c r="Y375" s="36" t="n">
        <f aca="false">IF(AND(V375&lt;&gt;"",ISNUMBER(T375),LEFT(V375,9)&lt;&gt;"Total for",V375&lt;&gt;"Gross Profit",V375&lt;&gt;"Net Operating Revenue",V375&lt;&gt;"Net Other Revenue",V375&lt;&gt;"Net Revenue"),1,0)</f>
        <v>0</v>
      </c>
      <c r="Z375" s="36" t="str">
        <f aca="false">IF(Y375=1,IF(AND(LEN(V375)&gt;7,ISNUMBER(VALUE(LEFT(V375,6))),MID(V375,7,1)=" "),LEFT(V375,6),V375),"")</f>
        <v/>
      </c>
      <c r="AE375" s="36" t="str">
        <f aca="false">TRIM(AB375)</f>
        <v/>
      </c>
      <c r="AF375" s="36" t="str">
        <f aca="false">IF(AE375="Revenue","Revenue",IF(AE375="Cost of Goods Sold","COGS",IF(AE375="Expenditures","Expense",IF(AE375="Other Revenue","Other Revenue",IF(AE375="Other Expenditures","Other Expense",AF374)))))</f>
        <v/>
      </c>
      <c r="AG375" s="36" t="str">
        <f aca="false">IF(OR(AE375="Revenue",AE375="Cost of Goods Sold",AE375="Expenditures",AE375="Other Revenue",AE375="Other Expenditures"),AF375,IF(AND(LEN(AE375)&gt;2,MID(AE375,2,1)=" ",ISNUMBER(VALUE(LEFT(AE375,1)))),AE375,AG374))</f>
        <v/>
      </c>
      <c r="AH375" s="36" t="n">
        <f aca="false">IF(AND(AE375&lt;&gt;"",ISNUMBER(AC375),LEFT(AE375,9)&lt;&gt;"Total for",AE375&lt;&gt;"Gross Profit",AE375&lt;&gt;"Net Operating Revenue",AE375&lt;&gt;"Net Other Revenue",AE375&lt;&gt;"Net Revenue"),1,0)</f>
        <v>0</v>
      </c>
      <c r="AI375" s="36" t="str">
        <f aca="false">IF(AH375=1,IF(AND(LEN(AE375)&gt;7,ISNUMBER(VALUE(LEFT(AE375,6))),MID(AE375,7,1)=" "),LEFT(AE375,6),AE375),"")</f>
        <v/>
      </c>
      <c r="AN375" s="36" t="str">
        <f aca="false">TRIM(AK375)</f>
        <v/>
      </c>
      <c r="AO375" s="36" t="str">
        <f aca="false">IF(AN375="Revenue","Revenue",IF(AN375="Cost of Goods Sold","COGS",IF(AN375="Expenditures","Expense",IF(AN375="Other Revenue","Other Revenue",IF(AN375="Other Expenditures","Other Expense",AO374)))))</f>
        <v/>
      </c>
      <c r="AP375" s="36" t="str">
        <f aca="false">IF(OR(AN375="Revenue",AN375="Cost of Goods Sold",AN375="Expenditures",AN375="Other Revenue",AN375="Other Expenditures"),AO375,IF(AND(LEN(AN375)&gt;2,MID(AN375,2,1)=" ",ISNUMBER(VALUE(LEFT(AN375,1)))),AN375,AP374))</f>
        <v/>
      </c>
      <c r="AQ375" s="36" t="n">
        <f aca="false">IF(AND(AN375&lt;&gt;"",ISNUMBER(AL375),LEFT(AN375,9)&lt;&gt;"Total for",AN375&lt;&gt;"Gross Profit",AN375&lt;&gt;"Net Operating Revenue",AN375&lt;&gt;"Net Other Revenue",AN375&lt;&gt;"Net Revenue"),1,0)</f>
        <v>0</v>
      </c>
      <c r="AR375" s="36" t="str">
        <f aca="false">IF(AQ375=1,IF(AND(LEN(AN375)&gt;7,ISNUMBER(VALUE(LEFT(AN375,6))),MID(AN375,7,1)=" "),LEFT(AN375,6),AN375),"")</f>
        <v/>
      </c>
    </row>
    <row r="376" customFormat="false" ht="15" hidden="false" customHeight="false" outlineLevel="0" collapsed="false">
      <c r="D376" s="36" t="str">
        <f aca="false">TRIM(A376)</f>
        <v/>
      </c>
      <c r="E376" s="36" t="str">
        <f aca="false">IF(D376="Revenue","Revenue",IF(D376="Cost of Goods Sold","COGS",IF(D376="Expenditures","Expense",IF(D376="Other Revenue","Other Revenue",IF(D376="Other Expenditures","Other Expense",E375)))))</f>
        <v/>
      </c>
      <c r="F376" s="36" t="str">
        <f aca="false">IF(OR(D376="Revenue",D376="Cost of Goods Sold",D376="Expenditures",D376="Other Revenue",D376="Other Expenditures"),E376,IF(AND(LEN(D376)&gt;2,MID(D376,2,1)=" ",ISNUMBER(VALUE(LEFT(D376,1)))),D376,F375))</f>
        <v/>
      </c>
      <c r="G376" s="36" t="n">
        <f aca="false">IF(AND(D376&lt;&gt;"",ISNUMBER(B376),LEFT(D376,9)&lt;&gt;"Total for",D376&lt;&gt;"Gross Profit",D376&lt;&gt;"Net Operating Revenue",D376&lt;&gt;"Net Other Revenue",D376&lt;&gt;"Net Revenue"),1,0)</f>
        <v>0</v>
      </c>
      <c r="H376" s="36" t="str">
        <f aca="false">IF(G376=1,IF(AND(LEN(D376)&gt;7,ISNUMBER(VALUE(LEFT(D376,6))),MID(D376,7,1)=" "),LEFT(D376,6),D376),"")</f>
        <v/>
      </c>
      <c r="M376" s="36" t="str">
        <f aca="false">TRIM(J376)</f>
        <v/>
      </c>
      <c r="N376" s="36" t="str">
        <f aca="false">IF(M376="Revenue","Revenue",IF(M376="Cost of Goods Sold","COGS",IF(M376="Expenditures","Expense",IF(M376="Other Revenue","Other Revenue",IF(M376="Other Expenditures","Other Expense",N375)))))</f>
        <v/>
      </c>
      <c r="O376" s="36" t="str">
        <f aca="false">IF(OR(M376="Revenue",M376="Cost of Goods Sold",M376="Expenditures",M376="Other Revenue",M376="Other Expenditures"),N376,IF(AND(LEN(M376)&gt;2,MID(M376,2,1)=" ",ISNUMBER(VALUE(LEFT(M376,1)))),M376,O375))</f>
        <v/>
      </c>
      <c r="P376" s="36" t="n">
        <f aca="false">IF(AND(M376&lt;&gt;"",ISNUMBER(K376),LEFT(M376,9)&lt;&gt;"Total for",M376&lt;&gt;"Gross Profit",M376&lt;&gt;"Net Operating Revenue",M376&lt;&gt;"Net Other Revenue",M376&lt;&gt;"Net Revenue"),1,0)</f>
        <v>0</v>
      </c>
      <c r="Q376" s="36" t="str">
        <f aca="false">IF(P376=1,IF(AND(LEN(M376)&gt;7,ISNUMBER(VALUE(LEFT(M376,6))),MID(M376,7,1)=" "),LEFT(M376,6),M376),"")</f>
        <v/>
      </c>
      <c r="V376" s="36" t="str">
        <f aca="false">TRIM(S376)</f>
        <v/>
      </c>
      <c r="W376" s="36" t="str">
        <f aca="false">IF(V376="Revenue","Revenue",IF(V376="Cost of Goods Sold","COGS",IF(V376="Expenditures","Expense",IF(V376="Other Revenue","Other Revenue",IF(V376="Other Expenditures","Other Expense",W375)))))</f>
        <v/>
      </c>
      <c r="X376" s="36" t="str">
        <f aca="false">IF(OR(V376="Revenue",V376="Cost of Goods Sold",V376="Expenditures",V376="Other Revenue",V376="Other Expenditures"),W376,IF(AND(LEN(V376)&gt;2,MID(V376,2,1)=" ",ISNUMBER(VALUE(LEFT(V376,1)))),V376,X375))</f>
        <v/>
      </c>
      <c r="Y376" s="36" t="n">
        <f aca="false">IF(AND(V376&lt;&gt;"",ISNUMBER(T376),LEFT(V376,9)&lt;&gt;"Total for",V376&lt;&gt;"Gross Profit",V376&lt;&gt;"Net Operating Revenue",V376&lt;&gt;"Net Other Revenue",V376&lt;&gt;"Net Revenue"),1,0)</f>
        <v>0</v>
      </c>
      <c r="Z376" s="36" t="str">
        <f aca="false">IF(Y376=1,IF(AND(LEN(V376)&gt;7,ISNUMBER(VALUE(LEFT(V376,6))),MID(V376,7,1)=" "),LEFT(V376,6),V376),"")</f>
        <v/>
      </c>
      <c r="AE376" s="36" t="str">
        <f aca="false">TRIM(AB376)</f>
        <v/>
      </c>
      <c r="AF376" s="36" t="str">
        <f aca="false">IF(AE376="Revenue","Revenue",IF(AE376="Cost of Goods Sold","COGS",IF(AE376="Expenditures","Expense",IF(AE376="Other Revenue","Other Revenue",IF(AE376="Other Expenditures","Other Expense",AF375)))))</f>
        <v/>
      </c>
      <c r="AG376" s="36" t="str">
        <f aca="false">IF(OR(AE376="Revenue",AE376="Cost of Goods Sold",AE376="Expenditures",AE376="Other Revenue",AE376="Other Expenditures"),AF376,IF(AND(LEN(AE376)&gt;2,MID(AE376,2,1)=" ",ISNUMBER(VALUE(LEFT(AE376,1)))),AE376,AG375))</f>
        <v/>
      </c>
      <c r="AH376" s="36" t="n">
        <f aca="false">IF(AND(AE376&lt;&gt;"",ISNUMBER(AC376),LEFT(AE376,9)&lt;&gt;"Total for",AE376&lt;&gt;"Gross Profit",AE376&lt;&gt;"Net Operating Revenue",AE376&lt;&gt;"Net Other Revenue",AE376&lt;&gt;"Net Revenue"),1,0)</f>
        <v>0</v>
      </c>
      <c r="AI376" s="36" t="str">
        <f aca="false">IF(AH376=1,IF(AND(LEN(AE376)&gt;7,ISNUMBER(VALUE(LEFT(AE376,6))),MID(AE376,7,1)=" "),LEFT(AE376,6),AE376),"")</f>
        <v/>
      </c>
      <c r="AN376" s="36" t="str">
        <f aca="false">TRIM(AK376)</f>
        <v/>
      </c>
      <c r="AO376" s="36" t="str">
        <f aca="false">IF(AN376="Revenue","Revenue",IF(AN376="Cost of Goods Sold","COGS",IF(AN376="Expenditures","Expense",IF(AN376="Other Revenue","Other Revenue",IF(AN376="Other Expenditures","Other Expense",AO375)))))</f>
        <v/>
      </c>
      <c r="AP376" s="36" t="str">
        <f aca="false">IF(OR(AN376="Revenue",AN376="Cost of Goods Sold",AN376="Expenditures",AN376="Other Revenue",AN376="Other Expenditures"),AO376,IF(AND(LEN(AN376)&gt;2,MID(AN376,2,1)=" ",ISNUMBER(VALUE(LEFT(AN376,1)))),AN376,AP375))</f>
        <v/>
      </c>
      <c r="AQ376" s="36" t="n">
        <f aca="false">IF(AND(AN376&lt;&gt;"",ISNUMBER(AL376),LEFT(AN376,9)&lt;&gt;"Total for",AN376&lt;&gt;"Gross Profit",AN376&lt;&gt;"Net Operating Revenue",AN376&lt;&gt;"Net Other Revenue",AN376&lt;&gt;"Net Revenue"),1,0)</f>
        <v>0</v>
      </c>
      <c r="AR376" s="36" t="str">
        <f aca="false">IF(AQ376=1,IF(AND(LEN(AN376)&gt;7,ISNUMBER(VALUE(LEFT(AN376,6))),MID(AN376,7,1)=" "),LEFT(AN376,6),AN376),"")</f>
        <v/>
      </c>
    </row>
    <row r="377" customFormat="false" ht="15" hidden="false" customHeight="false" outlineLevel="0" collapsed="false">
      <c r="D377" s="36" t="str">
        <f aca="false">TRIM(A377)</f>
        <v/>
      </c>
      <c r="E377" s="36" t="str">
        <f aca="false">IF(D377="Revenue","Revenue",IF(D377="Cost of Goods Sold","COGS",IF(D377="Expenditures","Expense",IF(D377="Other Revenue","Other Revenue",IF(D377="Other Expenditures","Other Expense",E376)))))</f>
        <v/>
      </c>
      <c r="F377" s="36" t="str">
        <f aca="false">IF(OR(D377="Revenue",D377="Cost of Goods Sold",D377="Expenditures",D377="Other Revenue",D377="Other Expenditures"),E377,IF(AND(LEN(D377)&gt;2,MID(D377,2,1)=" ",ISNUMBER(VALUE(LEFT(D377,1)))),D377,F376))</f>
        <v/>
      </c>
      <c r="G377" s="36" t="n">
        <f aca="false">IF(AND(D377&lt;&gt;"",ISNUMBER(B377),LEFT(D377,9)&lt;&gt;"Total for",D377&lt;&gt;"Gross Profit",D377&lt;&gt;"Net Operating Revenue",D377&lt;&gt;"Net Other Revenue",D377&lt;&gt;"Net Revenue"),1,0)</f>
        <v>0</v>
      </c>
      <c r="H377" s="36" t="str">
        <f aca="false">IF(G377=1,IF(AND(LEN(D377)&gt;7,ISNUMBER(VALUE(LEFT(D377,6))),MID(D377,7,1)=" "),LEFT(D377,6),D377),"")</f>
        <v/>
      </c>
      <c r="M377" s="36" t="str">
        <f aca="false">TRIM(J377)</f>
        <v/>
      </c>
      <c r="N377" s="36" t="str">
        <f aca="false">IF(M377="Revenue","Revenue",IF(M377="Cost of Goods Sold","COGS",IF(M377="Expenditures","Expense",IF(M377="Other Revenue","Other Revenue",IF(M377="Other Expenditures","Other Expense",N376)))))</f>
        <v/>
      </c>
      <c r="O377" s="36" t="str">
        <f aca="false">IF(OR(M377="Revenue",M377="Cost of Goods Sold",M377="Expenditures",M377="Other Revenue",M377="Other Expenditures"),N377,IF(AND(LEN(M377)&gt;2,MID(M377,2,1)=" ",ISNUMBER(VALUE(LEFT(M377,1)))),M377,O376))</f>
        <v/>
      </c>
      <c r="P377" s="36" t="n">
        <f aca="false">IF(AND(M377&lt;&gt;"",ISNUMBER(K377),LEFT(M377,9)&lt;&gt;"Total for",M377&lt;&gt;"Gross Profit",M377&lt;&gt;"Net Operating Revenue",M377&lt;&gt;"Net Other Revenue",M377&lt;&gt;"Net Revenue"),1,0)</f>
        <v>0</v>
      </c>
      <c r="Q377" s="36" t="str">
        <f aca="false">IF(P377=1,IF(AND(LEN(M377)&gt;7,ISNUMBER(VALUE(LEFT(M377,6))),MID(M377,7,1)=" "),LEFT(M377,6),M377),"")</f>
        <v/>
      </c>
      <c r="V377" s="36" t="str">
        <f aca="false">TRIM(S377)</f>
        <v/>
      </c>
      <c r="W377" s="36" t="str">
        <f aca="false">IF(V377="Revenue","Revenue",IF(V377="Cost of Goods Sold","COGS",IF(V377="Expenditures","Expense",IF(V377="Other Revenue","Other Revenue",IF(V377="Other Expenditures","Other Expense",W376)))))</f>
        <v/>
      </c>
      <c r="X377" s="36" t="str">
        <f aca="false">IF(OR(V377="Revenue",V377="Cost of Goods Sold",V377="Expenditures",V377="Other Revenue",V377="Other Expenditures"),W377,IF(AND(LEN(V377)&gt;2,MID(V377,2,1)=" ",ISNUMBER(VALUE(LEFT(V377,1)))),V377,X376))</f>
        <v/>
      </c>
      <c r="Y377" s="36" t="n">
        <f aca="false">IF(AND(V377&lt;&gt;"",ISNUMBER(T377),LEFT(V377,9)&lt;&gt;"Total for",V377&lt;&gt;"Gross Profit",V377&lt;&gt;"Net Operating Revenue",V377&lt;&gt;"Net Other Revenue",V377&lt;&gt;"Net Revenue"),1,0)</f>
        <v>0</v>
      </c>
      <c r="Z377" s="36" t="str">
        <f aca="false">IF(Y377=1,IF(AND(LEN(V377)&gt;7,ISNUMBER(VALUE(LEFT(V377,6))),MID(V377,7,1)=" "),LEFT(V377,6),V377),"")</f>
        <v/>
      </c>
      <c r="AE377" s="36" t="str">
        <f aca="false">TRIM(AB377)</f>
        <v/>
      </c>
      <c r="AF377" s="36" t="str">
        <f aca="false">IF(AE377="Revenue","Revenue",IF(AE377="Cost of Goods Sold","COGS",IF(AE377="Expenditures","Expense",IF(AE377="Other Revenue","Other Revenue",IF(AE377="Other Expenditures","Other Expense",AF376)))))</f>
        <v/>
      </c>
      <c r="AG377" s="36" t="str">
        <f aca="false">IF(OR(AE377="Revenue",AE377="Cost of Goods Sold",AE377="Expenditures",AE377="Other Revenue",AE377="Other Expenditures"),AF377,IF(AND(LEN(AE377)&gt;2,MID(AE377,2,1)=" ",ISNUMBER(VALUE(LEFT(AE377,1)))),AE377,AG376))</f>
        <v/>
      </c>
      <c r="AH377" s="36" t="n">
        <f aca="false">IF(AND(AE377&lt;&gt;"",ISNUMBER(AC377),LEFT(AE377,9)&lt;&gt;"Total for",AE377&lt;&gt;"Gross Profit",AE377&lt;&gt;"Net Operating Revenue",AE377&lt;&gt;"Net Other Revenue",AE377&lt;&gt;"Net Revenue"),1,0)</f>
        <v>0</v>
      </c>
      <c r="AI377" s="36" t="str">
        <f aca="false">IF(AH377=1,IF(AND(LEN(AE377)&gt;7,ISNUMBER(VALUE(LEFT(AE377,6))),MID(AE377,7,1)=" "),LEFT(AE377,6),AE377),"")</f>
        <v/>
      </c>
      <c r="AN377" s="36" t="str">
        <f aca="false">TRIM(AK377)</f>
        <v/>
      </c>
      <c r="AO377" s="36" t="str">
        <f aca="false">IF(AN377="Revenue","Revenue",IF(AN377="Cost of Goods Sold","COGS",IF(AN377="Expenditures","Expense",IF(AN377="Other Revenue","Other Revenue",IF(AN377="Other Expenditures","Other Expense",AO376)))))</f>
        <v/>
      </c>
      <c r="AP377" s="36" t="str">
        <f aca="false">IF(OR(AN377="Revenue",AN377="Cost of Goods Sold",AN377="Expenditures",AN377="Other Revenue",AN377="Other Expenditures"),AO377,IF(AND(LEN(AN377)&gt;2,MID(AN377,2,1)=" ",ISNUMBER(VALUE(LEFT(AN377,1)))),AN377,AP376))</f>
        <v/>
      </c>
      <c r="AQ377" s="36" t="n">
        <f aca="false">IF(AND(AN377&lt;&gt;"",ISNUMBER(AL377),LEFT(AN377,9)&lt;&gt;"Total for",AN377&lt;&gt;"Gross Profit",AN377&lt;&gt;"Net Operating Revenue",AN377&lt;&gt;"Net Other Revenue",AN377&lt;&gt;"Net Revenue"),1,0)</f>
        <v>0</v>
      </c>
      <c r="AR377" s="36" t="str">
        <f aca="false">IF(AQ377=1,IF(AND(LEN(AN377)&gt;7,ISNUMBER(VALUE(LEFT(AN377,6))),MID(AN377,7,1)=" "),LEFT(AN377,6),AN377),"")</f>
        <v/>
      </c>
    </row>
    <row r="378" customFormat="false" ht="15" hidden="false" customHeight="false" outlineLevel="0" collapsed="false">
      <c r="D378" s="36" t="str">
        <f aca="false">TRIM(A378)</f>
        <v/>
      </c>
      <c r="E378" s="36" t="str">
        <f aca="false">IF(D378="Revenue","Revenue",IF(D378="Cost of Goods Sold","COGS",IF(D378="Expenditures","Expense",IF(D378="Other Revenue","Other Revenue",IF(D378="Other Expenditures","Other Expense",E377)))))</f>
        <v/>
      </c>
      <c r="F378" s="36" t="str">
        <f aca="false">IF(OR(D378="Revenue",D378="Cost of Goods Sold",D378="Expenditures",D378="Other Revenue",D378="Other Expenditures"),E378,IF(AND(LEN(D378)&gt;2,MID(D378,2,1)=" ",ISNUMBER(VALUE(LEFT(D378,1)))),D378,F377))</f>
        <v/>
      </c>
      <c r="G378" s="36" t="n">
        <f aca="false">IF(AND(D378&lt;&gt;"",ISNUMBER(B378),LEFT(D378,9)&lt;&gt;"Total for",D378&lt;&gt;"Gross Profit",D378&lt;&gt;"Net Operating Revenue",D378&lt;&gt;"Net Other Revenue",D378&lt;&gt;"Net Revenue"),1,0)</f>
        <v>0</v>
      </c>
      <c r="H378" s="36" t="str">
        <f aca="false">IF(G378=1,IF(AND(LEN(D378)&gt;7,ISNUMBER(VALUE(LEFT(D378,6))),MID(D378,7,1)=" "),LEFT(D378,6),D378),"")</f>
        <v/>
      </c>
      <c r="M378" s="36" t="str">
        <f aca="false">TRIM(J378)</f>
        <v/>
      </c>
      <c r="N378" s="36" t="str">
        <f aca="false">IF(M378="Revenue","Revenue",IF(M378="Cost of Goods Sold","COGS",IF(M378="Expenditures","Expense",IF(M378="Other Revenue","Other Revenue",IF(M378="Other Expenditures","Other Expense",N377)))))</f>
        <v/>
      </c>
      <c r="O378" s="36" t="str">
        <f aca="false">IF(OR(M378="Revenue",M378="Cost of Goods Sold",M378="Expenditures",M378="Other Revenue",M378="Other Expenditures"),N378,IF(AND(LEN(M378)&gt;2,MID(M378,2,1)=" ",ISNUMBER(VALUE(LEFT(M378,1)))),M378,O377))</f>
        <v/>
      </c>
      <c r="P378" s="36" t="n">
        <f aca="false">IF(AND(M378&lt;&gt;"",ISNUMBER(K378),LEFT(M378,9)&lt;&gt;"Total for",M378&lt;&gt;"Gross Profit",M378&lt;&gt;"Net Operating Revenue",M378&lt;&gt;"Net Other Revenue",M378&lt;&gt;"Net Revenue"),1,0)</f>
        <v>0</v>
      </c>
      <c r="Q378" s="36" t="str">
        <f aca="false">IF(P378=1,IF(AND(LEN(M378)&gt;7,ISNUMBER(VALUE(LEFT(M378,6))),MID(M378,7,1)=" "),LEFT(M378,6),M378),"")</f>
        <v/>
      </c>
      <c r="V378" s="36" t="str">
        <f aca="false">TRIM(S378)</f>
        <v/>
      </c>
      <c r="W378" s="36" t="str">
        <f aca="false">IF(V378="Revenue","Revenue",IF(V378="Cost of Goods Sold","COGS",IF(V378="Expenditures","Expense",IF(V378="Other Revenue","Other Revenue",IF(V378="Other Expenditures","Other Expense",W377)))))</f>
        <v/>
      </c>
      <c r="X378" s="36" t="str">
        <f aca="false">IF(OR(V378="Revenue",V378="Cost of Goods Sold",V378="Expenditures",V378="Other Revenue",V378="Other Expenditures"),W378,IF(AND(LEN(V378)&gt;2,MID(V378,2,1)=" ",ISNUMBER(VALUE(LEFT(V378,1)))),V378,X377))</f>
        <v/>
      </c>
      <c r="Y378" s="36" t="n">
        <f aca="false">IF(AND(V378&lt;&gt;"",ISNUMBER(T378),LEFT(V378,9)&lt;&gt;"Total for",V378&lt;&gt;"Gross Profit",V378&lt;&gt;"Net Operating Revenue",V378&lt;&gt;"Net Other Revenue",V378&lt;&gt;"Net Revenue"),1,0)</f>
        <v>0</v>
      </c>
      <c r="Z378" s="36" t="str">
        <f aca="false">IF(Y378=1,IF(AND(LEN(V378)&gt;7,ISNUMBER(VALUE(LEFT(V378,6))),MID(V378,7,1)=" "),LEFT(V378,6),V378),"")</f>
        <v/>
      </c>
      <c r="AE378" s="36" t="str">
        <f aca="false">TRIM(AB378)</f>
        <v/>
      </c>
      <c r="AF378" s="36" t="str">
        <f aca="false">IF(AE378="Revenue","Revenue",IF(AE378="Cost of Goods Sold","COGS",IF(AE378="Expenditures","Expense",IF(AE378="Other Revenue","Other Revenue",IF(AE378="Other Expenditures","Other Expense",AF377)))))</f>
        <v/>
      </c>
      <c r="AG378" s="36" t="str">
        <f aca="false">IF(OR(AE378="Revenue",AE378="Cost of Goods Sold",AE378="Expenditures",AE378="Other Revenue",AE378="Other Expenditures"),AF378,IF(AND(LEN(AE378)&gt;2,MID(AE378,2,1)=" ",ISNUMBER(VALUE(LEFT(AE378,1)))),AE378,AG377))</f>
        <v/>
      </c>
      <c r="AH378" s="36" t="n">
        <f aca="false">IF(AND(AE378&lt;&gt;"",ISNUMBER(AC378),LEFT(AE378,9)&lt;&gt;"Total for",AE378&lt;&gt;"Gross Profit",AE378&lt;&gt;"Net Operating Revenue",AE378&lt;&gt;"Net Other Revenue",AE378&lt;&gt;"Net Revenue"),1,0)</f>
        <v>0</v>
      </c>
      <c r="AI378" s="36" t="str">
        <f aca="false">IF(AH378=1,IF(AND(LEN(AE378)&gt;7,ISNUMBER(VALUE(LEFT(AE378,6))),MID(AE378,7,1)=" "),LEFT(AE378,6),AE378),"")</f>
        <v/>
      </c>
      <c r="AN378" s="36" t="str">
        <f aca="false">TRIM(AK378)</f>
        <v/>
      </c>
      <c r="AO378" s="36" t="str">
        <f aca="false">IF(AN378="Revenue","Revenue",IF(AN378="Cost of Goods Sold","COGS",IF(AN378="Expenditures","Expense",IF(AN378="Other Revenue","Other Revenue",IF(AN378="Other Expenditures","Other Expense",AO377)))))</f>
        <v/>
      </c>
      <c r="AP378" s="36" t="str">
        <f aca="false">IF(OR(AN378="Revenue",AN378="Cost of Goods Sold",AN378="Expenditures",AN378="Other Revenue",AN378="Other Expenditures"),AO378,IF(AND(LEN(AN378)&gt;2,MID(AN378,2,1)=" ",ISNUMBER(VALUE(LEFT(AN378,1)))),AN378,AP377))</f>
        <v/>
      </c>
      <c r="AQ378" s="36" t="n">
        <f aca="false">IF(AND(AN378&lt;&gt;"",ISNUMBER(AL378),LEFT(AN378,9)&lt;&gt;"Total for",AN378&lt;&gt;"Gross Profit",AN378&lt;&gt;"Net Operating Revenue",AN378&lt;&gt;"Net Other Revenue",AN378&lt;&gt;"Net Revenue"),1,0)</f>
        <v>0</v>
      </c>
      <c r="AR378" s="36" t="str">
        <f aca="false">IF(AQ378=1,IF(AND(LEN(AN378)&gt;7,ISNUMBER(VALUE(LEFT(AN378,6))),MID(AN378,7,1)=" "),LEFT(AN378,6),AN378),"")</f>
        <v/>
      </c>
    </row>
    <row r="379" customFormat="false" ht="15" hidden="false" customHeight="false" outlineLevel="0" collapsed="false">
      <c r="D379" s="36" t="str">
        <f aca="false">TRIM(A379)</f>
        <v/>
      </c>
      <c r="E379" s="36" t="str">
        <f aca="false">IF(D379="Revenue","Revenue",IF(D379="Cost of Goods Sold","COGS",IF(D379="Expenditures","Expense",IF(D379="Other Revenue","Other Revenue",IF(D379="Other Expenditures","Other Expense",E378)))))</f>
        <v/>
      </c>
      <c r="F379" s="36" t="str">
        <f aca="false">IF(OR(D379="Revenue",D379="Cost of Goods Sold",D379="Expenditures",D379="Other Revenue",D379="Other Expenditures"),E379,IF(AND(LEN(D379)&gt;2,MID(D379,2,1)=" ",ISNUMBER(VALUE(LEFT(D379,1)))),D379,F378))</f>
        <v/>
      </c>
      <c r="G379" s="36" t="n">
        <f aca="false">IF(AND(D379&lt;&gt;"",ISNUMBER(B379),LEFT(D379,9)&lt;&gt;"Total for",D379&lt;&gt;"Gross Profit",D379&lt;&gt;"Net Operating Revenue",D379&lt;&gt;"Net Other Revenue",D379&lt;&gt;"Net Revenue"),1,0)</f>
        <v>0</v>
      </c>
      <c r="H379" s="36" t="str">
        <f aca="false">IF(G379=1,IF(AND(LEN(D379)&gt;7,ISNUMBER(VALUE(LEFT(D379,6))),MID(D379,7,1)=" "),LEFT(D379,6),D379),"")</f>
        <v/>
      </c>
      <c r="M379" s="36" t="str">
        <f aca="false">TRIM(J379)</f>
        <v/>
      </c>
      <c r="N379" s="36" t="str">
        <f aca="false">IF(M379="Revenue","Revenue",IF(M379="Cost of Goods Sold","COGS",IF(M379="Expenditures","Expense",IF(M379="Other Revenue","Other Revenue",IF(M379="Other Expenditures","Other Expense",N378)))))</f>
        <v/>
      </c>
      <c r="O379" s="36" t="str">
        <f aca="false">IF(OR(M379="Revenue",M379="Cost of Goods Sold",M379="Expenditures",M379="Other Revenue",M379="Other Expenditures"),N379,IF(AND(LEN(M379)&gt;2,MID(M379,2,1)=" ",ISNUMBER(VALUE(LEFT(M379,1)))),M379,O378))</f>
        <v/>
      </c>
      <c r="P379" s="36" t="n">
        <f aca="false">IF(AND(M379&lt;&gt;"",ISNUMBER(K379),LEFT(M379,9)&lt;&gt;"Total for",M379&lt;&gt;"Gross Profit",M379&lt;&gt;"Net Operating Revenue",M379&lt;&gt;"Net Other Revenue",M379&lt;&gt;"Net Revenue"),1,0)</f>
        <v>0</v>
      </c>
      <c r="Q379" s="36" t="str">
        <f aca="false">IF(P379=1,IF(AND(LEN(M379)&gt;7,ISNUMBER(VALUE(LEFT(M379,6))),MID(M379,7,1)=" "),LEFT(M379,6),M379),"")</f>
        <v/>
      </c>
      <c r="V379" s="36" t="str">
        <f aca="false">TRIM(S379)</f>
        <v/>
      </c>
      <c r="W379" s="36" t="str">
        <f aca="false">IF(V379="Revenue","Revenue",IF(V379="Cost of Goods Sold","COGS",IF(V379="Expenditures","Expense",IF(V379="Other Revenue","Other Revenue",IF(V379="Other Expenditures","Other Expense",W378)))))</f>
        <v/>
      </c>
      <c r="X379" s="36" t="str">
        <f aca="false">IF(OR(V379="Revenue",V379="Cost of Goods Sold",V379="Expenditures",V379="Other Revenue",V379="Other Expenditures"),W379,IF(AND(LEN(V379)&gt;2,MID(V379,2,1)=" ",ISNUMBER(VALUE(LEFT(V379,1)))),V379,X378))</f>
        <v/>
      </c>
      <c r="Y379" s="36" t="n">
        <f aca="false">IF(AND(V379&lt;&gt;"",ISNUMBER(T379),LEFT(V379,9)&lt;&gt;"Total for",V379&lt;&gt;"Gross Profit",V379&lt;&gt;"Net Operating Revenue",V379&lt;&gt;"Net Other Revenue",V379&lt;&gt;"Net Revenue"),1,0)</f>
        <v>0</v>
      </c>
      <c r="Z379" s="36" t="str">
        <f aca="false">IF(Y379=1,IF(AND(LEN(V379)&gt;7,ISNUMBER(VALUE(LEFT(V379,6))),MID(V379,7,1)=" "),LEFT(V379,6),V379),"")</f>
        <v/>
      </c>
      <c r="AE379" s="36" t="str">
        <f aca="false">TRIM(AB379)</f>
        <v/>
      </c>
      <c r="AF379" s="36" t="str">
        <f aca="false">IF(AE379="Revenue","Revenue",IF(AE379="Cost of Goods Sold","COGS",IF(AE379="Expenditures","Expense",IF(AE379="Other Revenue","Other Revenue",IF(AE379="Other Expenditures","Other Expense",AF378)))))</f>
        <v/>
      </c>
      <c r="AG379" s="36" t="str">
        <f aca="false">IF(OR(AE379="Revenue",AE379="Cost of Goods Sold",AE379="Expenditures",AE379="Other Revenue",AE379="Other Expenditures"),AF379,IF(AND(LEN(AE379)&gt;2,MID(AE379,2,1)=" ",ISNUMBER(VALUE(LEFT(AE379,1)))),AE379,AG378))</f>
        <v/>
      </c>
      <c r="AH379" s="36" t="n">
        <f aca="false">IF(AND(AE379&lt;&gt;"",ISNUMBER(AC379),LEFT(AE379,9)&lt;&gt;"Total for",AE379&lt;&gt;"Gross Profit",AE379&lt;&gt;"Net Operating Revenue",AE379&lt;&gt;"Net Other Revenue",AE379&lt;&gt;"Net Revenue"),1,0)</f>
        <v>0</v>
      </c>
      <c r="AI379" s="36" t="str">
        <f aca="false">IF(AH379=1,IF(AND(LEN(AE379)&gt;7,ISNUMBER(VALUE(LEFT(AE379,6))),MID(AE379,7,1)=" "),LEFT(AE379,6),AE379),"")</f>
        <v/>
      </c>
      <c r="AN379" s="36" t="str">
        <f aca="false">TRIM(AK379)</f>
        <v/>
      </c>
      <c r="AO379" s="36" t="str">
        <f aca="false">IF(AN379="Revenue","Revenue",IF(AN379="Cost of Goods Sold","COGS",IF(AN379="Expenditures","Expense",IF(AN379="Other Revenue","Other Revenue",IF(AN379="Other Expenditures","Other Expense",AO378)))))</f>
        <v/>
      </c>
      <c r="AP379" s="36" t="str">
        <f aca="false">IF(OR(AN379="Revenue",AN379="Cost of Goods Sold",AN379="Expenditures",AN379="Other Revenue",AN379="Other Expenditures"),AO379,IF(AND(LEN(AN379)&gt;2,MID(AN379,2,1)=" ",ISNUMBER(VALUE(LEFT(AN379,1)))),AN379,AP378))</f>
        <v/>
      </c>
      <c r="AQ379" s="36" t="n">
        <f aca="false">IF(AND(AN379&lt;&gt;"",ISNUMBER(AL379),LEFT(AN379,9)&lt;&gt;"Total for",AN379&lt;&gt;"Gross Profit",AN379&lt;&gt;"Net Operating Revenue",AN379&lt;&gt;"Net Other Revenue",AN379&lt;&gt;"Net Revenue"),1,0)</f>
        <v>0</v>
      </c>
      <c r="AR379" s="36" t="str">
        <f aca="false">IF(AQ379=1,IF(AND(LEN(AN379)&gt;7,ISNUMBER(VALUE(LEFT(AN379,6))),MID(AN379,7,1)=" "),LEFT(AN379,6),AN379),"")</f>
        <v/>
      </c>
    </row>
    <row r="380" customFormat="false" ht="15" hidden="false" customHeight="false" outlineLevel="0" collapsed="false">
      <c r="D380" s="36" t="str">
        <f aca="false">TRIM(A380)</f>
        <v/>
      </c>
      <c r="E380" s="36" t="str">
        <f aca="false">IF(D380="Revenue","Revenue",IF(D380="Cost of Goods Sold","COGS",IF(D380="Expenditures","Expense",IF(D380="Other Revenue","Other Revenue",IF(D380="Other Expenditures","Other Expense",E379)))))</f>
        <v/>
      </c>
      <c r="F380" s="36" t="str">
        <f aca="false">IF(OR(D380="Revenue",D380="Cost of Goods Sold",D380="Expenditures",D380="Other Revenue",D380="Other Expenditures"),E380,IF(AND(LEN(D380)&gt;2,MID(D380,2,1)=" ",ISNUMBER(VALUE(LEFT(D380,1)))),D380,F379))</f>
        <v/>
      </c>
      <c r="G380" s="36" t="n">
        <f aca="false">IF(AND(D380&lt;&gt;"",ISNUMBER(B380),LEFT(D380,9)&lt;&gt;"Total for",D380&lt;&gt;"Gross Profit",D380&lt;&gt;"Net Operating Revenue",D380&lt;&gt;"Net Other Revenue",D380&lt;&gt;"Net Revenue"),1,0)</f>
        <v>0</v>
      </c>
      <c r="H380" s="36" t="str">
        <f aca="false">IF(G380=1,IF(AND(LEN(D380)&gt;7,ISNUMBER(VALUE(LEFT(D380,6))),MID(D380,7,1)=" "),LEFT(D380,6),D380),"")</f>
        <v/>
      </c>
      <c r="M380" s="36" t="str">
        <f aca="false">TRIM(J380)</f>
        <v/>
      </c>
      <c r="N380" s="36" t="str">
        <f aca="false">IF(M380="Revenue","Revenue",IF(M380="Cost of Goods Sold","COGS",IF(M380="Expenditures","Expense",IF(M380="Other Revenue","Other Revenue",IF(M380="Other Expenditures","Other Expense",N379)))))</f>
        <v/>
      </c>
      <c r="O380" s="36" t="str">
        <f aca="false">IF(OR(M380="Revenue",M380="Cost of Goods Sold",M380="Expenditures",M380="Other Revenue",M380="Other Expenditures"),N380,IF(AND(LEN(M380)&gt;2,MID(M380,2,1)=" ",ISNUMBER(VALUE(LEFT(M380,1)))),M380,O379))</f>
        <v/>
      </c>
      <c r="P380" s="36" t="n">
        <f aca="false">IF(AND(M380&lt;&gt;"",ISNUMBER(K380),LEFT(M380,9)&lt;&gt;"Total for",M380&lt;&gt;"Gross Profit",M380&lt;&gt;"Net Operating Revenue",M380&lt;&gt;"Net Other Revenue",M380&lt;&gt;"Net Revenue"),1,0)</f>
        <v>0</v>
      </c>
      <c r="Q380" s="36" t="str">
        <f aca="false">IF(P380=1,IF(AND(LEN(M380)&gt;7,ISNUMBER(VALUE(LEFT(M380,6))),MID(M380,7,1)=" "),LEFT(M380,6),M380),"")</f>
        <v/>
      </c>
      <c r="V380" s="36" t="str">
        <f aca="false">TRIM(S380)</f>
        <v/>
      </c>
      <c r="W380" s="36" t="str">
        <f aca="false">IF(V380="Revenue","Revenue",IF(V380="Cost of Goods Sold","COGS",IF(V380="Expenditures","Expense",IF(V380="Other Revenue","Other Revenue",IF(V380="Other Expenditures","Other Expense",W379)))))</f>
        <v/>
      </c>
      <c r="X380" s="36" t="str">
        <f aca="false">IF(OR(V380="Revenue",V380="Cost of Goods Sold",V380="Expenditures",V380="Other Revenue",V380="Other Expenditures"),W380,IF(AND(LEN(V380)&gt;2,MID(V380,2,1)=" ",ISNUMBER(VALUE(LEFT(V380,1)))),V380,X379))</f>
        <v/>
      </c>
      <c r="Y380" s="36" t="n">
        <f aca="false">IF(AND(V380&lt;&gt;"",ISNUMBER(T380),LEFT(V380,9)&lt;&gt;"Total for",V380&lt;&gt;"Gross Profit",V380&lt;&gt;"Net Operating Revenue",V380&lt;&gt;"Net Other Revenue",V380&lt;&gt;"Net Revenue"),1,0)</f>
        <v>0</v>
      </c>
      <c r="Z380" s="36" t="str">
        <f aca="false">IF(Y380=1,IF(AND(LEN(V380)&gt;7,ISNUMBER(VALUE(LEFT(V380,6))),MID(V380,7,1)=" "),LEFT(V380,6),V380),"")</f>
        <v/>
      </c>
      <c r="AE380" s="36" t="str">
        <f aca="false">TRIM(AB380)</f>
        <v/>
      </c>
      <c r="AF380" s="36" t="str">
        <f aca="false">IF(AE380="Revenue","Revenue",IF(AE380="Cost of Goods Sold","COGS",IF(AE380="Expenditures","Expense",IF(AE380="Other Revenue","Other Revenue",IF(AE380="Other Expenditures","Other Expense",AF379)))))</f>
        <v/>
      </c>
      <c r="AG380" s="36" t="str">
        <f aca="false">IF(OR(AE380="Revenue",AE380="Cost of Goods Sold",AE380="Expenditures",AE380="Other Revenue",AE380="Other Expenditures"),AF380,IF(AND(LEN(AE380)&gt;2,MID(AE380,2,1)=" ",ISNUMBER(VALUE(LEFT(AE380,1)))),AE380,AG379))</f>
        <v/>
      </c>
      <c r="AH380" s="36" t="n">
        <f aca="false">IF(AND(AE380&lt;&gt;"",ISNUMBER(AC380),LEFT(AE380,9)&lt;&gt;"Total for",AE380&lt;&gt;"Gross Profit",AE380&lt;&gt;"Net Operating Revenue",AE380&lt;&gt;"Net Other Revenue",AE380&lt;&gt;"Net Revenue"),1,0)</f>
        <v>0</v>
      </c>
      <c r="AI380" s="36" t="str">
        <f aca="false">IF(AH380=1,IF(AND(LEN(AE380)&gt;7,ISNUMBER(VALUE(LEFT(AE380,6))),MID(AE380,7,1)=" "),LEFT(AE380,6),AE380),"")</f>
        <v/>
      </c>
      <c r="AN380" s="36" t="str">
        <f aca="false">TRIM(AK380)</f>
        <v/>
      </c>
      <c r="AO380" s="36" t="str">
        <f aca="false">IF(AN380="Revenue","Revenue",IF(AN380="Cost of Goods Sold","COGS",IF(AN380="Expenditures","Expense",IF(AN380="Other Revenue","Other Revenue",IF(AN380="Other Expenditures","Other Expense",AO379)))))</f>
        <v/>
      </c>
      <c r="AP380" s="36" t="str">
        <f aca="false">IF(OR(AN380="Revenue",AN380="Cost of Goods Sold",AN380="Expenditures",AN380="Other Revenue",AN380="Other Expenditures"),AO380,IF(AND(LEN(AN380)&gt;2,MID(AN380,2,1)=" ",ISNUMBER(VALUE(LEFT(AN380,1)))),AN380,AP379))</f>
        <v/>
      </c>
      <c r="AQ380" s="36" t="n">
        <f aca="false">IF(AND(AN380&lt;&gt;"",ISNUMBER(AL380),LEFT(AN380,9)&lt;&gt;"Total for",AN380&lt;&gt;"Gross Profit",AN380&lt;&gt;"Net Operating Revenue",AN380&lt;&gt;"Net Other Revenue",AN380&lt;&gt;"Net Revenue"),1,0)</f>
        <v>0</v>
      </c>
      <c r="AR380" s="36" t="str">
        <f aca="false">IF(AQ380=1,IF(AND(LEN(AN380)&gt;7,ISNUMBER(VALUE(LEFT(AN380,6))),MID(AN380,7,1)=" "),LEFT(AN380,6),AN380),"")</f>
        <v/>
      </c>
    </row>
    <row r="381" customFormat="false" ht="15" hidden="false" customHeight="false" outlineLevel="0" collapsed="false">
      <c r="D381" s="36" t="str">
        <f aca="false">TRIM(A381)</f>
        <v/>
      </c>
      <c r="E381" s="36" t="str">
        <f aca="false">IF(D381="Revenue","Revenue",IF(D381="Cost of Goods Sold","COGS",IF(D381="Expenditures","Expense",IF(D381="Other Revenue","Other Revenue",IF(D381="Other Expenditures","Other Expense",E380)))))</f>
        <v/>
      </c>
      <c r="F381" s="36" t="str">
        <f aca="false">IF(OR(D381="Revenue",D381="Cost of Goods Sold",D381="Expenditures",D381="Other Revenue",D381="Other Expenditures"),E381,IF(AND(LEN(D381)&gt;2,MID(D381,2,1)=" ",ISNUMBER(VALUE(LEFT(D381,1)))),D381,F380))</f>
        <v/>
      </c>
      <c r="G381" s="36" t="n">
        <f aca="false">IF(AND(D381&lt;&gt;"",ISNUMBER(B381),LEFT(D381,9)&lt;&gt;"Total for",D381&lt;&gt;"Gross Profit",D381&lt;&gt;"Net Operating Revenue",D381&lt;&gt;"Net Other Revenue",D381&lt;&gt;"Net Revenue"),1,0)</f>
        <v>0</v>
      </c>
      <c r="H381" s="36" t="str">
        <f aca="false">IF(G381=1,IF(AND(LEN(D381)&gt;7,ISNUMBER(VALUE(LEFT(D381,6))),MID(D381,7,1)=" "),LEFT(D381,6),D381),"")</f>
        <v/>
      </c>
      <c r="M381" s="36" t="str">
        <f aca="false">TRIM(J381)</f>
        <v/>
      </c>
      <c r="N381" s="36" t="str">
        <f aca="false">IF(M381="Revenue","Revenue",IF(M381="Cost of Goods Sold","COGS",IF(M381="Expenditures","Expense",IF(M381="Other Revenue","Other Revenue",IF(M381="Other Expenditures","Other Expense",N380)))))</f>
        <v/>
      </c>
      <c r="O381" s="36" t="str">
        <f aca="false">IF(OR(M381="Revenue",M381="Cost of Goods Sold",M381="Expenditures",M381="Other Revenue",M381="Other Expenditures"),N381,IF(AND(LEN(M381)&gt;2,MID(M381,2,1)=" ",ISNUMBER(VALUE(LEFT(M381,1)))),M381,O380))</f>
        <v/>
      </c>
      <c r="P381" s="36" t="n">
        <f aca="false">IF(AND(M381&lt;&gt;"",ISNUMBER(K381),LEFT(M381,9)&lt;&gt;"Total for",M381&lt;&gt;"Gross Profit",M381&lt;&gt;"Net Operating Revenue",M381&lt;&gt;"Net Other Revenue",M381&lt;&gt;"Net Revenue"),1,0)</f>
        <v>0</v>
      </c>
      <c r="Q381" s="36" t="str">
        <f aca="false">IF(P381=1,IF(AND(LEN(M381)&gt;7,ISNUMBER(VALUE(LEFT(M381,6))),MID(M381,7,1)=" "),LEFT(M381,6),M381),"")</f>
        <v/>
      </c>
      <c r="V381" s="36" t="str">
        <f aca="false">TRIM(S381)</f>
        <v/>
      </c>
      <c r="W381" s="36" t="str">
        <f aca="false">IF(V381="Revenue","Revenue",IF(V381="Cost of Goods Sold","COGS",IF(V381="Expenditures","Expense",IF(V381="Other Revenue","Other Revenue",IF(V381="Other Expenditures","Other Expense",W380)))))</f>
        <v/>
      </c>
      <c r="X381" s="36" t="str">
        <f aca="false">IF(OR(V381="Revenue",V381="Cost of Goods Sold",V381="Expenditures",V381="Other Revenue",V381="Other Expenditures"),W381,IF(AND(LEN(V381)&gt;2,MID(V381,2,1)=" ",ISNUMBER(VALUE(LEFT(V381,1)))),V381,X380))</f>
        <v/>
      </c>
      <c r="Y381" s="36" t="n">
        <f aca="false">IF(AND(V381&lt;&gt;"",ISNUMBER(T381),LEFT(V381,9)&lt;&gt;"Total for",V381&lt;&gt;"Gross Profit",V381&lt;&gt;"Net Operating Revenue",V381&lt;&gt;"Net Other Revenue",V381&lt;&gt;"Net Revenue"),1,0)</f>
        <v>0</v>
      </c>
      <c r="Z381" s="36" t="str">
        <f aca="false">IF(Y381=1,IF(AND(LEN(V381)&gt;7,ISNUMBER(VALUE(LEFT(V381,6))),MID(V381,7,1)=" "),LEFT(V381,6),V381),"")</f>
        <v/>
      </c>
      <c r="AE381" s="36" t="str">
        <f aca="false">TRIM(AB381)</f>
        <v/>
      </c>
      <c r="AF381" s="36" t="str">
        <f aca="false">IF(AE381="Revenue","Revenue",IF(AE381="Cost of Goods Sold","COGS",IF(AE381="Expenditures","Expense",IF(AE381="Other Revenue","Other Revenue",IF(AE381="Other Expenditures","Other Expense",AF380)))))</f>
        <v/>
      </c>
      <c r="AG381" s="36" t="str">
        <f aca="false">IF(OR(AE381="Revenue",AE381="Cost of Goods Sold",AE381="Expenditures",AE381="Other Revenue",AE381="Other Expenditures"),AF381,IF(AND(LEN(AE381)&gt;2,MID(AE381,2,1)=" ",ISNUMBER(VALUE(LEFT(AE381,1)))),AE381,AG380))</f>
        <v/>
      </c>
      <c r="AH381" s="36" t="n">
        <f aca="false">IF(AND(AE381&lt;&gt;"",ISNUMBER(AC381),LEFT(AE381,9)&lt;&gt;"Total for",AE381&lt;&gt;"Gross Profit",AE381&lt;&gt;"Net Operating Revenue",AE381&lt;&gt;"Net Other Revenue",AE381&lt;&gt;"Net Revenue"),1,0)</f>
        <v>0</v>
      </c>
      <c r="AI381" s="36" t="str">
        <f aca="false">IF(AH381=1,IF(AND(LEN(AE381)&gt;7,ISNUMBER(VALUE(LEFT(AE381,6))),MID(AE381,7,1)=" "),LEFT(AE381,6),AE381),"")</f>
        <v/>
      </c>
      <c r="AN381" s="36" t="str">
        <f aca="false">TRIM(AK381)</f>
        <v/>
      </c>
      <c r="AO381" s="36" t="str">
        <f aca="false">IF(AN381="Revenue","Revenue",IF(AN381="Cost of Goods Sold","COGS",IF(AN381="Expenditures","Expense",IF(AN381="Other Revenue","Other Revenue",IF(AN381="Other Expenditures","Other Expense",AO380)))))</f>
        <v/>
      </c>
      <c r="AP381" s="36" t="str">
        <f aca="false">IF(OR(AN381="Revenue",AN381="Cost of Goods Sold",AN381="Expenditures",AN381="Other Revenue",AN381="Other Expenditures"),AO381,IF(AND(LEN(AN381)&gt;2,MID(AN381,2,1)=" ",ISNUMBER(VALUE(LEFT(AN381,1)))),AN381,AP380))</f>
        <v/>
      </c>
      <c r="AQ381" s="36" t="n">
        <f aca="false">IF(AND(AN381&lt;&gt;"",ISNUMBER(AL381),LEFT(AN381,9)&lt;&gt;"Total for",AN381&lt;&gt;"Gross Profit",AN381&lt;&gt;"Net Operating Revenue",AN381&lt;&gt;"Net Other Revenue",AN381&lt;&gt;"Net Revenue"),1,0)</f>
        <v>0</v>
      </c>
      <c r="AR381" s="36" t="str">
        <f aca="false">IF(AQ381=1,IF(AND(LEN(AN381)&gt;7,ISNUMBER(VALUE(LEFT(AN381,6))),MID(AN381,7,1)=" "),LEFT(AN381,6),AN381),"")</f>
        <v/>
      </c>
    </row>
    <row r="382" customFormat="false" ht="15" hidden="false" customHeight="false" outlineLevel="0" collapsed="false">
      <c r="D382" s="36" t="str">
        <f aca="false">TRIM(A382)</f>
        <v/>
      </c>
      <c r="E382" s="36" t="str">
        <f aca="false">IF(D382="Revenue","Revenue",IF(D382="Cost of Goods Sold","COGS",IF(D382="Expenditures","Expense",IF(D382="Other Revenue","Other Revenue",IF(D382="Other Expenditures","Other Expense",E381)))))</f>
        <v/>
      </c>
      <c r="F382" s="36" t="str">
        <f aca="false">IF(OR(D382="Revenue",D382="Cost of Goods Sold",D382="Expenditures",D382="Other Revenue",D382="Other Expenditures"),E382,IF(AND(LEN(D382)&gt;2,MID(D382,2,1)=" ",ISNUMBER(VALUE(LEFT(D382,1)))),D382,F381))</f>
        <v/>
      </c>
      <c r="G382" s="36" t="n">
        <f aca="false">IF(AND(D382&lt;&gt;"",ISNUMBER(B382),LEFT(D382,9)&lt;&gt;"Total for",D382&lt;&gt;"Gross Profit",D382&lt;&gt;"Net Operating Revenue",D382&lt;&gt;"Net Other Revenue",D382&lt;&gt;"Net Revenue"),1,0)</f>
        <v>0</v>
      </c>
      <c r="H382" s="36" t="str">
        <f aca="false">IF(G382=1,IF(AND(LEN(D382)&gt;7,ISNUMBER(VALUE(LEFT(D382,6))),MID(D382,7,1)=" "),LEFT(D382,6),D382),"")</f>
        <v/>
      </c>
      <c r="M382" s="36" t="str">
        <f aca="false">TRIM(J382)</f>
        <v/>
      </c>
      <c r="N382" s="36" t="str">
        <f aca="false">IF(M382="Revenue","Revenue",IF(M382="Cost of Goods Sold","COGS",IF(M382="Expenditures","Expense",IF(M382="Other Revenue","Other Revenue",IF(M382="Other Expenditures","Other Expense",N381)))))</f>
        <v/>
      </c>
      <c r="O382" s="36" t="str">
        <f aca="false">IF(OR(M382="Revenue",M382="Cost of Goods Sold",M382="Expenditures",M382="Other Revenue",M382="Other Expenditures"),N382,IF(AND(LEN(M382)&gt;2,MID(M382,2,1)=" ",ISNUMBER(VALUE(LEFT(M382,1)))),M382,O381))</f>
        <v/>
      </c>
      <c r="P382" s="36" t="n">
        <f aca="false">IF(AND(M382&lt;&gt;"",ISNUMBER(K382),LEFT(M382,9)&lt;&gt;"Total for",M382&lt;&gt;"Gross Profit",M382&lt;&gt;"Net Operating Revenue",M382&lt;&gt;"Net Other Revenue",M382&lt;&gt;"Net Revenue"),1,0)</f>
        <v>0</v>
      </c>
      <c r="Q382" s="36" t="str">
        <f aca="false">IF(P382=1,IF(AND(LEN(M382)&gt;7,ISNUMBER(VALUE(LEFT(M382,6))),MID(M382,7,1)=" "),LEFT(M382,6),M382),"")</f>
        <v/>
      </c>
      <c r="V382" s="36" t="str">
        <f aca="false">TRIM(S382)</f>
        <v/>
      </c>
      <c r="W382" s="36" t="str">
        <f aca="false">IF(V382="Revenue","Revenue",IF(V382="Cost of Goods Sold","COGS",IF(V382="Expenditures","Expense",IF(V382="Other Revenue","Other Revenue",IF(V382="Other Expenditures","Other Expense",W381)))))</f>
        <v/>
      </c>
      <c r="X382" s="36" t="str">
        <f aca="false">IF(OR(V382="Revenue",V382="Cost of Goods Sold",V382="Expenditures",V382="Other Revenue",V382="Other Expenditures"),W382,IF(AND(LEN(V382)&gt;2,MID(V382,2,1)=" ",ISNUMBER(VALUE(LEFT(V382,1)))),V382,X381))</f>
        <v/>
      </c>
      <c r="Y382" s="36" t="n">
        <f aca="false">IF(AND(V382&lt;&gt;"",ISNUMBER(T382),LEFT(V382,9)&lt;&gt;"Total for",V382&lt;&gt;"Gross Profit",V382&lt;&gt;"Net Operating Revenue",V382&lt;&gt;"Net Other Revenue",V382&lt;&gt;"Net Revenue"),1,0)</f>
        <v>0</v>
      </c>
      <c r="Z382" s="36" t="str">
        <f aca="false">IF(Y382=1,IF(AND(LEN(V382)&gt;7,ISNUMBER(VALUE(LEFT(V382,6))),MID(V382,7,1)=" "),LEFT(V382,6),V382),"")</f>
        <v/>
      </c>
      <c r="AE382" s="36" t="str">
        <f aca="false">TRIM(AB382)</f>
        <v/>
      </c>
      <c r="AF382" s="36" t="str">
        <f aca="false">IF(AE382="Revenue","Revenue",IF(AE382="Cost of Goods Sold","COGS",IF(AE382="Expenditures","Expense",IF(AE382="Other Revenue","Other Revenue",IF(AE382="Other Expenditures","Other Expense",AF381)))))</f>
        <v/>
      </c>
      <c r="AG382" s="36" t="str">
        <f aca="false">IF(OR(AE382="Revenue",AE382="Cost of Goods Sold",AE382="Expenditures",AE382="Other Revenue",AE382="Other Expenditures"),AF382,IF(AND(LEN(AE382)&gt;2,MID(AE382,2,1)=" ",ISNUMBER(VALUE(LEFT(AE382,1)))),AE382,AG381))</f>
        <v/>
      </c>
      <c r="AH382" s="36" t="n">
        <f aca="false">IF(AND(AE382&lt;&gt;"",ISNUMBER(AC382),LEFT(AE382,9)&lt;&gt;"Total for",AE382&lt;&gt;"Gross Profit",AE382&lt;&gt;"Net Operating Revenue",AE382&lt;&gt;"Net Other Revenue",AE382&lt;&gt;"Net Revenue"),1,0)</f>
        <v>0</v>
      </c>
      <c r="AI382" s="36" t="str">
        <f aca="false">IF(AH382=1,IF(AND(LEN(AE382)&gt;7,ISNUMBER(VALUE(LEFT(AE382,6))),MID(AE382,7,1)=" "),LEFT(AE382,6),AE382),"")</f>
        <v/>
      </c>
      <c r="AN382" s="36" t="str">
        <f aca="false">TRIM(AK382)</f>
        <v/>
      </c>
      <c r="AO382" s="36" t="str">
        <f aca="false">IF(AN382="Revenue","Revenue",IF(AN382="Cost of Goods Sold","COGS",IF(AN382="Expenditures","Expense",IF(AN382="Other Revenue","Other Revenue",IF(AN382="Other Expenditures","Other Expense",AO381)))))</f>
        <v/>
      </c>
      <c r="AP382" s="36" t="str">
        <f aca="false">IF(OR(AN382="Revenue",AN382="Cost of Goods Sold",AN382="Expenditures",AN382="Other Revenue",AN382="Other Expenditures"),AO382,IF(AND(LEN(AN382)&gt;2,MID(AN382,2,1)=" ",ISNUMBER(VALUE(LEFT(AN382,1)))),AN382,AP381))</f>
        <v/>
      </c>
      <c r="AQ382" s="36" t="n">
        <f aca="false">IF(AND(AN382&lt;&gt;"",ISNUMBER(AL382),LEFT(AN382,9)&lt;&gt;"Total for",AN382&lt;&gt;"Gross Profit",AN382&lt;&gt;"Net Operating Revenue",AN382&lt;&gt;"Net Other Revenue",AN382&lt;&gt;"Net Revenue"),1,0)</f>
        <v>0</v>
      </c>
      <c r="AR382" s="36" t="str">
        <f aca="false">IF(AQ382=1,IF(AND(LEN(AN382)&gt;7,ISNUMBER(VALUE(LEFT(AN382,6))),MID(AN382,7,1)=" "),LEFT(AN382,6),AN382),"")</f>
        <v/>
      </c>
    </row>
    <row r="383" customFormat="false" ht="15" hidden="false" customHeight="false" outlineLevel="0" collapsed="false">
      <c r="D383" s="36" t="str">
        <f aca="false">TRIM(A383)</f>
        <v/>
      </c>
      <c r="E383" s="36" t="str">
        <f aca="false">IF(D383="Revenue","Revenue",IF(D383="Cost of Goods Sold","COGS",IF(D383="Expenditures","Expense",IF(D383="Other Revenue","Other Revenue",IF(D383="Other Expenditures","Other Expense",E382)))))</f>
        <v/>
      </c>
      <c r="F383" s="36" t="str">
        <f aca="false">IF(OR(D383="Revenue",D383="Cost of Goods Sold",D383="Expenditures",D383="Other Revenue",D383="Other Expenditures"),E383,IF(AND(LEN(D383)&gt;2,MID(D383,2,1)=" ",ISNUMBER(VALUE(LEFT(D383,1)))),D383,F382))</f>
        <v/>
      </c>
      <c r="G383" s="36" t="n">
        <f aca="false">IF(AND(D383&lt;&gt;"",ISNUMBER(B383),LEFT(D383,9)&lt;&gt;"Total for",D383&lt;&gt;"Gross Profit",D383&lt;&gt;"Net Operating Revenue",D383&lt;&gt;"Net Other Revenue",D383&lt;&gt;"Net Revenue"),1,0)</f>
        <v>0</v>
      </c>
      <c r="H383" s="36" t="str">
        <f aca="false">IF(G383=1,IF(AND(LEN(D383)&gt;7,ISNUMBER(VALUE(LEFT(D383,6))),MID(D383,7,1)=" "),LEFT(D383,6),D383),"")</f>
        <v/>
      </c>
      <c r="M383" s="36" t="str">
        <f aca="false">TRIM(J383)</f>
        <v/>
      </c>
      <c r="N383" s="36" t="str">
        <f aca="false">IF(M383="Revenue","Revenue",IF(M383="Cost of Goods Sold","COGS",IF(M383="Expenditures","Expense",IF(M383="Other Revenue","Other Revenue",IF(M383="Other Expenditures","Other Expense",N382)))))</f>
        <v/>
      </c>
      <c r="O383" s="36" t="str">
        <f aca="false">IF(OR(M383="Revenue",M383="Cost of Goods Sold",M383="Expenditures",M383="Other Revenue",M383="Other Expenditures"),N383,IF(AND(LEN(M383)&gt;2,MID(M383,2,1)=" ",ISNUMBER(VALUE(LEFT(M383,1)))),M383,O382))</f>
        <v/>
      </c>
      <c r="P383" s="36" t="n">
        <f aca="false">IF(AND(M383&lt;&gt;"",ISNUMBER(K383),LEFT(M383,9)&lt;&gt;"Total for",M383&lt;&gt;"Gross Profit",M383&lt;&gt;"Net Operating Revenue",M383&lt;&gt;"Net Other Revenue",M383&lt;&gt;"Net Revenue"),1,0)</f>
        <v>0</v>
      </c>
      <c r="Q383" s="36" t="str">
        <f aca="false">IF(P383=1,IF(AND(LEN(M383)&gt;7,ISNUMBER(VALUE(LEFT(M383,6))),MID(M383,7,1)=" "),LEFT(M383,6),M383),"")</f>
        <v/>
      </c>
      <c r="V383" s="36" t="str">
        <f aca="false">TRIM(S383)</f>
        <v/>
      </c>
      <c r="W383" s="36" t="str">
        <f aca="false">IF(V383="Revenue","Revenue",IF(V383="Cost of Goods Sold","COGS",IF(V383="Expenditures","Expense",IF(V383="Other Revenue","Other Revenue",IF(V383="Other Expenditures","Other Expense",W382)))))</f>
        <v/>
      </c>
      <c r="X383" s="36" t="str">
        <f aca="false">IF(OR(V383="Revenue",V383="Cost of Goods Sold",V383="Expenditures",V383="Other Revenue",V383="Other Expenditures"),W383,IF(AND(LEN(V383)&gt;2,MID(V383,2,1)=" ",ISNUMBER(VALUE(LEFT(V383,1)))),V383,X382))</f>
        <v/>
      </c>
      <c r="Y383" s="36" t="n">
        <f aca="false">IF(AND(V383&lt;&gt;"",ISNUMBER(T383),LEFT(V383,9)&lt;&gt;"Total for",V383&lt;&gt;"Gross Profit",V383&lt;&gt;"Net Operating Revenue",V383&lt;&gt;"Net Other Revenue",V383&lt;&gt;"Net Revenue"),1,0)</f>
        <v>0</v>
      </c>
      <c r="Z383" s="36" t="str">
        <f aca="false">IF(Y383=1,IF(AND(LEN(V383)&gt;7,ISNUMBER(VALUE(LEFT(V383,6))),MID(V383,7,1)=" "),LEFT(V383,6),V383),"")</f>
        <v/>
      </c>
      <c r="AE383" s="36" t="str">
        <f aca="false">TRIM(AB383)</f>
        <v/>
      </c>
      <c r="AF383" s="36" t="str">
        <f aca="false">IF(AE383="Revenue","Revenue",IF(AE383="Cost of Goods Sold","COGS",IF(AE383="Expenditures","Expense",IF(AE383="Other Revenue","Other Revenue",IF(AE383="Other Expenditures","Other Expense",AF382)))))</f>
        <v/>
      </c>
      <c r="AG383" s="36" t="str">
        <f aca="false">IF(OR(AE383="Revenue",AE383="Cost of Goods Sold",AE383="Expenditures",AE383="Other Revenue",AE383="Other Expenditures"),AF383,IF(AND(LEN(AE383)&gt;2,MID(AE383,2,1)=" ",ISNUMBER(VALUE(LEFT(AE383,1)))),AE383,AG382))</f>
        <v/>
      </c>
      <c r="AH383" s="36" t="n">
        <f aca="false">IF(AND(AE383&lt;&gt;"",ISNUMBER(AC383),LEFT(AE383,9)&lt;&gt;"Total for",AE383&lt;&gt;"Gross Profit",AE383&lt;&gt;"Net Operating Revenue",AE383&lt;&gt;"Net Other Revenue",AE383&lt;&gt;"Net Revenue"),1,0)</f>
        <v>0</v>
      </c>
      <c r="AI383" s="36" t="str">
        <f aca="false">IF(AH383=1,IF(AND(LEN(AE383)&gt;7,ISNUMBER(VALUE(LEFT(AE383,6))),MID(AE383,7,1)=" "),LEFT(AE383,6),AE383),"")</f>
        <v/>
      </c>
      <c r="AN383" s="36" t="str">
        <f aca="false">TRIM(AK383)</f>
        <v/>
      </c>
      <c r="AO383" s="36" t="str">
        <f aca="false">IF(AN383="Revenue","Revenue",IF(AN383="Cost of Goods Sold","COGS",IF(AN383="Expenditures","Expense",IF(AN383="Other Revenue","Other Revenue",IF(AN383="Other Expenditures","Other Expense",AO382)))))</f>
        <v/>
      </c>
      <c r="AP383" s="36" t="str">
        <f aca="false">IF(OR(AN383="Revenue",AN383="Cost of Goods Sold",AN383="Expenditures",AN383="Other Revenue",AN383="Other Expenditures"),AO383,IF(AND(LEN(AN383)&gt;2,MID(AN383,2,1)=" ",ISNUMBER(VALUE(LEFT(AN383,1)))),AN383,AP382))</f>
        <v/>
      </c>
      <c r="AQ383" s="36" t="n">
        <f aca="false">IF(AND(AN383&lt;&gt;"",ISNUMBER(AL383),LEFT(AN383,9)&lt;&gt;"Total for",AN383&lt;&gt;"Gross Profit",AN383&lt;&gt;"Net Operating Revenue",AN383&lt;&gt;"Net Other Revenue",AN383&lt;&gt;"Net Revenue"),1,0)</f>
        <v>0</v>
      </c>
      <c r="AR383" s="36" t="str">
        <f aca="false">IF(AQ383=1,IF(AND(LEN(AN383)&gt;7,ISNUMBER(VALUE(LEFT(AN383,6))),MID(AN383,7,1)=" "),LEFT(AN383,6),AN383),"")</f>
        <v/>
      </c>
    </row>
    <row r="384" customFormat="false" ht="15" hidden="false" customHeight="false" outlineLevel="0" collapsed="false">
      <c r="D384" s="36" t="str">
        <f aca="false">TRIM(A384)</f>
        <v/>
      </c>
      <c r="E384" s="36" t="str">
        <f aca="false">IF(D384="Revenue","Revenue",IF(D384="Cost of Goods Sold","COGS",IF(D384="Expenditures","Expense",IF(D384="Other Revenue","Other Revenue",IF(D384="Other Expenditures","Other Expense",E383)))))</f>
        <v/>
      </c>
      <c r="F384" s="36" t="str">
        <f aca="false">IF(OR(D384="Revenue",D384="Cost of Goods Sold",D384="Expenditures",D384="Other Revenue",D384="Other Expenditures"),E384,IF(AND(LEN(D384)&gt;2,MID(D384,2,1)=" ",ISNUMBER(VALUE(LEFT(D384,1)))),D384,F383))</f>
        <v/>
      </c>
      <c r="G384" s="36" t="n">
        <f aca="false">IF(AND(D384&lt;&gt;"",ISNUMBER(B384),LEFT(D384,9)&lt;&gt;"Total for",D384&lt;&gt;"Gross Profit",D384&lt;&gt;"Net Operating Revenue",D384&lt;&gt;"Net Other Revenue",D384&lt;&gt;"Net Revenue"),1,0)</f>
        <v>0</v>
      </c>
      <c r="H384" s="36" t="str">
        <f aca="false">IF(G384=1,IF(AND(LEN(D384)&gt;7,ISNUMBER(VALUE(LEFT(D384,6))),MID(D384,7,1)=" "),LEFT(D384,6),D384),"")</f>
        <v/>
      </c>
      <c r="M384" s="36" t="str">
        <f aca="false">TRIM(J384)</f>
        <v/>
      </c>
      <c r="N384" s="36" t="str">
        <f aca="false">IF(M384="Revenue","Revenue",IF(M384="Cost of Goods Sold","COGS",IF(M384="Expenditures","Expense",IF(M384="Other Revenue","Other Revenue",IF(M384="Other Expenditures","Other Expense",N383)))))</f>
        <v/>
      </c>
      <c r="O384" s="36" t="str">
        <f aca="false">IF(OR(M384="Revenue",M384="Cost of Goods Sold",M384="Expenditures",M384="Other Revenue",M384="Other Expenditures"),N384,IF(AND(LEN(M384)&gt;2,MID(M384,2,1)=" ",ISNUMBER(VALUE(LEFT(M384,1)))),M384,O383))</f>
        <v/>
      </c>
      <c r="P384" s="36" t="n">
        <f aca="false">IF(AND(M384&lt;&gt;"",ISNUMBER(K384),LEFT(M384,9)&lt;&gt;"Total for",M384&lt;&gt;"Gross Profit",M384&lt;&gt;"Net Operating Revenue",M384&lt;&gt;"Net Other Revenue",M384&lt;&gt;"Net Revenue"),1,0)</f>
        <v>0</v>
      </c>
      <c r="Q384" s="36" t="str">
        <f aca="false">IF(P384=1,IF(AND(LEN(M384)&gt;7,ISNUMBER(VALUE(LEFT(M384,6))),MID(M384,7,1)=" "),LEFT(M384,6),M384),"")</f>
        <v/>
      </c>
      <c r="V384" s="36" t="str">
        <f aca="false">TRIM(S384)</f>
        <v/>
      </c>
      <c r="W384" s="36" t="str">
        <f aca="false">IF(V384="Revenue","Revenue",IF(V384="Cost of Goods Sold","COGS",IF(V384="Expenditures","Expense",IF(V384="Other Revenue","Other Revenue",IF(V384="Other Expenditures","Other Expense",W383)))))</f>
        <v/>
      </c>
      <c r="X384" s="36" t="str">
        <f aca="false">IF(OR(V384="Revenue",V384="Cost of Goods Sold",V384="Expenditures",V384="Other Revenue",V384="Other Expenditures"),W384,IF(AND(LEN(V384)&gt;2,MID(V384,2,1)=" ",ISNUMBER(VALUE(LEFT(V384,1)))),V384,X383))</f>
        <v/>
      </c>
      <c r="Y384" s="36" t="n">
        <f aca="false">IF(AND(V384&lt;&gt;"",ISNUMBER(T384),LEFT(V384,9)&lt;&gt;"Total for",V384&lt;&gt;"Gross Profit",V384&lt;&gt;"Net Operating Revenue",V384&lt;&gt;"Net Other Revenue",V384&lt;&gt;"Net Revenue"),1,0)</f>
        <v>0</v>
      </c>
      <c r="Z384" s="36" t="str">
        <f aca="false">IF(Y384=1,IF(AND(LEN(V384)&gt;7,ISNUMBER(VALUE(LEFT(V384,6))),MID(V384,7,1)=" "),LEFT(V384,6),V384),"")</f>
        <v/>
      </c>
      <c r="AE384" s="36" t="str">
        <f aca="false">TRIM(AB384)</f>
        <v/>
      </c>
      <c r="AF384" s="36" t="str">
        <f aca="false">IF(AE384="Revenue","Revenue",IF(AE384="Cost of Goods Sold","COGS",IF(AE384="Expenditures","Expense",IF(AE384="Other Revenue","Other Revenue",IF(AE384="Other Expenditures","Other Expense",AF383)))))</f>
        <v/>
      </c>
      <c r="AG384" s="36" t="str">
        <f aca="false">IF(OR(AE384="Revenue",AE384="Cost of Goods Sold",AE384="Expenditures",AE384="Other Revenue",AE384="Other Expenditures"),AF384,IF(AND(LEN(AE384)&gt;2,MID(AE384,2,1)=" ",ISNUMBER(VALUE(LEFT(AE384,1)))),AE384,AG383))</f>
        <v/>
      </c>
      <c r="AH384" s="36" t="n">
        <f aca="false">IF(AND(AE384&lt;&gt;"",ISNUMBER(AC384),LEFT(AE384,9)&lt;&gt;"Total for",AE384&lt;&gt;"Gross Profit",AE384&lt;&gt;"Net Operating Revenue",AE384&lt;&gt;"Net Other Revenue",AE384&lt;&gt;"Net Revenue"),1,0)</f>
        <v>0</v>
      </c>
      <c r="AI384" s="36" t="str">
        <f aca="false">IF(AH384=1,IF(AND(LEN(AE384)&gt;7,ISNUMBER(VALUE(LEFT(AE384,6))),MID(AE384,7,1)=" "),LEFT(AE384,6),AE384),"")</f>
        <v/>
      </c>
      <c r="AN384" s="36" t="str">
        <f aca="false">TRIM(AK384)</f>
        <v/>
      </c>
      <c r="AO384" s="36" t="str">
        <f aca="false">IF(AN384="Revenue","Revenue",IF(AN384="Cost of Goods Sold","COGS",IF(AN384="Expenditures","Expense",IF(AN384="Other Revenue","Other Revenue",IF(AN384="Other Expenditures","Other Expense",AO383)))))</f>
        <v/>
      </c>
      <c r="AP384" s="36" t="str">
        <f aca="false">IF(OR(AN384="Revenue",AN384="Cost of Goods Sold",AN384="Expenditures",AN384="Other Revenue",AN384="Other Expenditures"),AO384,IF(AND(LEN(AN384)&gt;2,MID(AN384,2,1)=" ",ISNUMBER(VALUE(LEFT(AN384,1)))),AN384,AP383))</f>
        <v/>
      </c>
      <c r="AQ384" s="36" t="n">
        <f aca="false">IF(AND(AN384&lt;&gt;"",ISNUMBER(AL384),LEFT(AN384,9)&lt;&gt;"Total for",AN384&lt;&gt;"Gross Profit",AN384&lt;&gt;"Net Operating Revenue",AN384&lt;&gt;"Net Other Revenue",AN384&lt;&gt;"Net Revenue"),1,0)</f>
        <v>0</v>
      </c>
      <c r="AR384" s="36" t="str">
        <f aca="false">IF(AQ384=1,IF(AND(LEN(AN384)&gt;7,ISNUMBER(VALUE(LEFT(AN384,6))),MID(AN384,7,1)=" "),LEFT(AN384,6),AN384),"")</f>
        <v/>
      </c>
    </row>
    <row r="385" customFormat="false" ht="15" hidden="false" customHeight="false" outlineLevel="0" collapsed="false">
      <c r="D385" s="36" t="str">
        <f aca="false">TRIM(A385)</f>
        <v/>
      </c>
      <c r="E385" s="36" t="str">
        <f aca="false">IF(D385="Revenue","Revenue",IF(D385="Cost of Goods Sold","COGS",IF(D385="Expenditures","Expense",IF(D385="Other Revenue","Other Revenue",IF(D385="Other Expenditures","Other Expense",E384)))))</f>
        <v/>
      </c>
      <c r="F385" s="36" t="str">
        <f aca="false">IF(OR(D385="Revenue",D385="Cost of Goods Sold",D385="Expenditures",D385="Other Revenue",D385="Other Expenditures"),E385,IF(AND(LEN(D385)&gt;2,MID(D385,2,1)=" ",ISNUMBER(VALUE(LEFT(D385,1)))),D385,F384))</f>
        <v/>
      </c>
      <c r="G385" s="36" t="n">
        <f aca="false">IF(AND(D385&lt;&gt;"",ISNUMBER(B385),LEFT(D385,9)&lt;&gt;"Total for",D385&lt;&gt;"Gross Profit",D385&lt;&gt;"Net Operating Revenue",D385&lt;&gt;"Net Other Revenue",D385&lt;&gt;"Net Revenue"),1,0)</f>
        <v>0</v>
      </c>
      <c r="H385" s="36" t="str">
        <f aca="false">IF(G385=1,IF(AND(LEN(D385)&gt;7,ISNUMBER(VALUE(LEFT(D385,6))),MID(D385,7,1)=" "),LEFT(D385,6),D385),"")</f>
        <v/>
      </c>
      <c r="M385" s="36" t="str">
        <f aca="false">TRIM(J385)</f>
        <v/>
      </c>
      <c r="N385" s="36" t="str">
        <f aca="false">IF(M385="Revenue","Revenue",IF(M385="Cost of Goods Sold","COGS",IF(M385="Expenditures","Expense",IF(M385="Other Revenue","Other Revenue",IF(M385="Other Expenditures","Other Expense",N384)))))</f>
        <v/>
      </c>
      <c r="O385" s="36" t="str">
        <f aca="false">IF(OR(M385="Revenue",M385="Cost of Goods Sold",M385="Expenditures",M385="Other Revenue",M385="Other Expenditures"),N385,IF(AND(LEN(M385)&gt;2,MID(M385,2,1)=" ",ISNUMBER(VALUE(LEFT(M385,1)))),M385,O384))</f>
        <v/>
      </c>
      <c r="P385" s="36" t="n">
        <f aca="false">IF(AND(M385&lt;&gt;"",ISNUMBER(K385),LEFT(M385,9)&lt;&gt;"Total for",M385&lt;&gt;"Gross Profit",M385&lt;&gt;"Net Operating Revenue",M385&lt;&gt;"Net Other Revenue",M385&lt;&gt;"Net Revenue"),1,0)</f>
        <v>0</v>
      </c>
      <c r="Q385" s="36" t="str">
        <f aca="false">IF(P385=1,IF(AND(LEN(M385)&gt;7,ISNUMBER(VALUE(LEFT(M385,6))),MID(M385,7,1)=" "),LEFT(M385,6),M385),"")</f>
        <v/>
      </c>
      <c r="V385" s="36" t="str">
        <f aca="false">TRIM(S385)</f>
        <v/>
      </c>
      <c r="W385" s="36" t="str">
        <f aca="false">IF(V385="Revenue","Revenue",IF(V385="Cost of Goods Sold","COGS",IF(V385="Expenditures","Expense",IF(V385="Other Revenue","Other Revenue",IF(V385="Other Expenditures","Other Expense",W384)))))</f>
        <v/>
      </c>
      <c r="X385" s="36" t="str">
        <f aca="false">IF(OR(V385="Revenue",V385="Cost of Goods Sold",V385="Expenditures",V385="Other Revenue",V385="Other Expenditures"),W385,IF(AND(LEN(V385)&gt;2,MID(V385,2,1)=" ",ISNUMBER(VALUE(LEFT(V385,1)))),V385,X384))</f>
        <v/>
      </c>
      <c r="Y385" s="36" t="n">
        <f aca="false">IF(AND(V385&lt;&gt;"",ISNUMBER(T385),LEFT(V385,9)&lt;&gt;"Total for",V385&lt;&gt;"Gross Profit",V385&lt;&gt;"Net Operating Revenue",V385&lt;&gt;"Net Other Revenue",V385&lt;&gt;"Net Revenue"),1,0)</f>
        <v>0</v>
      </c>
      <c r="Z385" s="36" t="str">
        <f aca="false">IF(Y385=1,IF(AND(LEN(V385)&gt;7,ISNUMBER(VALUE(LEFT(V385,6))),MID(V385,7,1)=" "),LEFT(V385,6),V385),"")</f>
        <v/>
      </c>
      <c r="AE385" s="36" t="str">
        <f aca="false">TRIM(AB385)</f>
        <v/>
      </c>
      <c r="AF385" s="36" t="str">
        <f aca="false">IF(AE385="Revenue","Revenue",IF(AE385="Cost of Goods Sold","COGS",IF(AE385="Expenditures","Expense",IF(AE385="Other Revenue","Other Revenue",IF(AE385="Other Expenditures","Other Expense",AF384)))))</f>
        <v/>
      </c>
      <c r="AG385" s="36" t="str">
        <f aca="false">IF(OR(AE385="Revenue",AE385="Cost of Goods Sold",AE385="Expenditures",AE385="Other Revenue",AE385="Other Expenditures"),AF385,IF(AND(LEN(AE385)&gt;2,MID(AE385,2,1)=" ",ISNUMBER(VALUE(LEFT(AE385,1)))),AE385,AG384))</f>
        <v/>
      </c>
      <c r="AH385" s="36" t="n">
        <f aca="false">IF(AND(AE385&lt;&gt;"",ISNUMBER(AC385),LEFT(AE385,9)&lt;&gt;"Total for",AE385&lt;&gt;"Gross Profit",AE385&lt;&gt;"Net Operating Revenue",AE385&lt;&gt;"Net Other Revenue",AE385&lt;&gt;"Net Revenue"),1,0)</f>
        <v>0</v>
      </c>
      <c r="AI385" s="36" t="str">
        <f aca="false">IF(AH385=1,IF(AND(LEN(AE385)&gt;7,ISNUMBER(VALUE(LEFT(AE385,6))),MID(AE385,7,1)=" "),LEFT(AE385,6),AE385),"")</f>
        <v/>
      </c>
      <c r="AN385" s="36" t="str">
        <f aca="false">TRIM(AK385)</f>
        <v/>
      </c>
      <c r="AO385" s="36" t="str">
        <f aca="false">IF(AN385="Revenue","Revenue",IF(AN385="Cost of Goods Sold","COGS",IF(AN385="Expenditures","Expense",IF(AN385="Other Revenue","Other Revenue",IF(AN385="Other Expenditures","Other Expense",AO384)))))</f>
        <v/>
      </c>
      <c r="AP385" s="36" t="str">
        <f aca="false">IF(OR(AN385="Revenue",AN385="Cost of Goods Sold",AN385="Expenditures",AN385="Other Revenue",AN385="Other Expenditures"),AO385,IF(AND(LEN(AN385)&gt;2,MID(AN385,2,1)=" ",ISNUMBER(VALUE(LEFT(AN385,1)))),AN385,AP384))</f>
        <v/>
      </c>
      <c r="AQ385" s="36" t="n">
        <f aca="false">IF(AND(AN385&lt;&gt;"",ISNUMBER(AL385),LEFT(AN385,9)&lt;&gt;"Total for",AN385&lt;&gt;"Gross Profit",AN385&lt;&gt;"Net Operating Revenue",AN385&lt;&gt;"Net Other Revenue",AN385&lt;&gt;"Net Revenue"),1,0)</f>
        <v>0</v>
      </c>
      <c r="AR385" s="36" t="str">
        <f aca="false">IF(AQ385=1,IF(AND(LEN(AN385)&gt;7,ISNUMBER(VALUE(LEFT(AN385,6))),MID(AN385,7,1)=" "),LEFT(AN385,6),AN385),"")</f>
        <v/>
      </c>
    </row>
    <row r="386" customFormat="false" ht="15" hidden="false" customHeight="false" outlineLevel="0" collapsed="false">
      <c r="D386" s="36" t="str">
        <f aca="false">TRIM(A386)</f>
        <v/>
      </c>
      <c r="E386" s="36" t="str">
        <f aca="false">IF(D386="Revenue","Revenue",IF(D386="Cost of Goods Sold","COGS",IF(D386="Expenditures","Expense",IF(D386="Other Revenue","Other Revenue",IF(D386="Other Expenditures","Other Expense",E385)))))</f>
        <v/>
      </c>
      <c r="F386" s="36" t="str">
        <f aca="false">IF(OR(D386="Revenue",D386="Cost of Goods Sold",D386="Expenditures",D386="Other Revenue",D386="Other Expenditures"),E386,IF(AND(LEN(D386)&gt;2,MID(D386,2,1)=" ",ISNUMBER(VALUE(LEFT(D386,1)))),D386,F385))</f>
        <v/>
      </c>
      <c r="G386" s="36" t="n">
        <f aca="false">IF(AND(D386&lt;&gt;"",ISNUMBER(B386),LEFT(D386,9)&lt;&gt;"Total for",D386&lt;&gt;"Gross Profit",D386&lt;&gt;"Net Operating Revenue",D386&lt;&gt;"Net Other Revenue",D386&lt;&gt;"Net Revenue"),1,0)</f>
        <v>0</v>
      </c>
      <c r="H386" s="36" t="str">
        <f aca="false">IF(G386=1,IF(AND(LEN(D386)&gt;7,ISNUMBER(VALUE(LEFT(D386,6))),MID(D386,7,1)=" "),LEFT(D386,6),D386),"")</f>
        <v/>
      </c>
      <c r="M386" s="36" t="str">
        <f aca="false">TRIM(J386)</f>
        <v/>
      </c>
      <c r="N386" s="36" t="str">
        <f aca="false">IF(M386="Revenue","Revenue",IF(M386="Cost of Goods Sold","COGS",IF(M386="Expenditures","Expense",IF(M386="Other Revenue","Other Revenue",IF(M386="Other Expenditures","Other Expense",N385)))))</f>
        <v/>
      </c>
      <c r="O386" s="36" t="str">
        <f aca="false">IF(OR(M386="Revenue",M386="Cost of Goods Sold",M386="Expenditures",M386="Other Revenue",M386="Other Expenditures"),N386,IF(AND(LEN(M386)&gt;2,MID(M386,2,1)=" ",ISNUMBER(VALUE(LEFT(M386,1)))),M386,O385))</f>
        <v/>
      </c>
      <c r="P386" s="36" t="n">
        <f aca="false">IF(AND(M386&lt;&gt;"",ISNUMBER(K386),LEFT(M386,9)&lt;&gt;"Total for",M386&lt;&gt;"Gross Profit",M386&lt;&gt;"Net Operating Revenue",M386&lt;&gt;"Net Other Revenue",M386&lt;&gt;"Net Revenue"),1,0)</f>
        <v>0</v>
      </c>
      <c r="Q386" s="36" t="str">
        <f aca="false">IF(P386=1,IF(AND(LEN(M386)&gt;7,ISNUMBER(VALUE(LEFT(M386,6))),MID(M386,7,1)=" "),LEFT(M386,6),M386),"")</f>
        <v/>
      </c>
      <c r="V386" s="36" t="str">
        <f aca="false">TRIM(S386)</f>
        <v/>
      </c>
      <c r="W386" s="36" t="str">
        <f aca="false">IF(V386="Revenue","Revenue",IF(V386="Cost of Goods Sold","COGS",IF(V386="Expenditures","Expense",IF(V386="Other Revenue","Other Revenue",IF(V386="Other Expenditures","Other Expense",W385)))))</f>
        <v/>
      </c>
      <c r="X386" s="36" t="str">
        <f aca="false">IF(OR(V386="Revenue",V386="Cost of Goods Sold",V386="Expenditures",V386="Other Revenue",V386="Other Expenditures"),W386,IF(AND(LEN(V386)&gt;2,MID(V386,2,1)=" ",ISNUMBER(VALUE(LEFT(V386,1)))),V386,X385))</f>
        <v/>
      </c>
      <c r="Y386" s="36" t="n">
        <f aca="false">IF(AND(V386&lt;&gt;"",ISNUMBER(T386),LEFT(V386,9)&lt;&gt;"Total for",V386&lt;&gt;"Gross Profit",V386&lt;&gt;"Net Operating Revenue",V386&lt;&gt;"Net Other Revenue",V386&lt;&gt;"Net Revenue"),1,0)</f>
        <v>0</v>
      </c>
      <c r="Z386" s="36" t="str">
        <f aca="false">IF(Y386=1,IF(AND(LEN(V386)&gt;7,ISNUMBER(VALUE(LEFT(V386,6))),MID(V386,7,1)=" "),LEFT(V386,6),V386),"")</f>
        <v/>
      </c>
      <c r="AE386" s="36" t="str">
        <f aca="false">TRIM(AB386)</f>
        <v/>
      </c>
      <c r="AF386" s="36" t="str">
        <f aca="false">IF(AE386="Revenue","Revenue",IF(AE386="Cost of Goods Sold","COGS",IF(AE386="Expenditures","Expense",IF(AE386="Other Revenue","Other Revenue",IF(AE386="Other Expenditures","Other Expense",AF385)))))</f>
        <v/>
      </c>
      <c r="AG386" s="36" t="str">
        <f aca="false">IF(OR(AE386="Revenue",AE386="Cost of Goods Sold",AE386="Expenditures",AE386="Other Revenue",AE386="Other Expenditures"),AF386,IF(AND(LEN(AE386)&gt;2,MID(AE386,2,1)=" ",ISNUMBER(VALUE(LEFT(AE386,1)))),AE386,AG385))</f>
        <v/>
      </c>
      <c r="AH386" s="36" t="n">
        <f aca="false">IF(AND(AE386&lt;&gt;"",ISNUMBER(AC386),LEFT(AE386,9)&lt;&gt;"Total for",AE386&lt;&gt;"Gross Profit",AE386&lt;&gt;"Net Operating Revenue",AE386&lt;&gt;"Net Other Revenue",AE386&lt;&gt;"Net Revenue"),1,0)</f>
        <v>0</v>
      </c>
      <c r="AI386" s="36" t="str">
        <f aca="false">IF(AH386=1,IF(AND(LEN(AE386)&gt;7,ISNUMBER(VALUE(LEFT(AE386,6))),MID(AE386,7,1)=" "),LEFT(AE386,6),AE386),"")</f>
        <v/>
      </c>
      <c r="AN386" s="36" t="str">
        <f aca="false">TRIM(AK386)</f>
        <v/>
      </c>
      <c r="AO386" s="36" t="str">
        <f aca="false">IF(AN386="Revenue","Revenue",IF(AN386="Cost of Goods Sold","COGS",IF(AN386="Expenditures","Expense",IF(AN386="Other Revenue","Other Revenue",IF(AN386="Other Expenditures","Other Expense",AO385)))))</f>
        <v/>
      </c>
      <c r="AP386" s="36" t="str">
        <f aca="false">IF(OR(AN386="Revenue",AN386="Cost of Goods Sold",AN386="Expenditures",AN386="Other Revenue",AN386="Other Expenditures"),AO386,IF(AND(LEN(AN386)&gt;2,MID(AN386,2,1)=" ",ISNUMBER(VALUE(LEFT(AN386,1)))),AN386,AP385))</f>
        <v/>
      </c>
      <c r="AQ386" s="36" t="n">
        <f aca="false">IF(AND(AN386&lt;&gt;"",ISNUMBER(AL386),LEFT(AN386,9)&lt;&gt;"Total for",AN386&lt;&gt;"Gross Profit",AN386&lt;&gt;"Net Operating Revenue",AN386&lt;&gt;"Net Other Revenue",AN386&lt;&gt;"Net Revenue"),1,0)</f>
        <v>0</v>
      </c>
      <c r="AR386" s="36" t="str">
        <f aca="false">IF(AQ386=1,IF(AND(LEN(AN386)&gt;7,ISNUMBER(VALUE(LEFT(AN386,6))),MID(AN386,7,1)=" "),LEFT(AN386,6),AN386),"")</f>
        <v/>
      </c>
    </row>
    <row r="387" customFormat="false" ht="15" hidden="false" customHeight="false" outlineLevel="0" collapsed="false">
      <c r="D387" s="36" t="str">
        <f aca="false">TRIM(A387)</f>
        <v/>
      </c>
      <c r="E387" s="36" t="str">
        <f aca="false">IF(D387="Revenue","Revenue",IF(D387="Cost of Goods Sold","COGS",IF(D387="Expenditures","Expense",IF(D387="Other Revenue","Other Revenue",IF(D387="Other Expenditures","Other Expense",E386)))))</f>
        <v/>
      </c>
      <c r="F387" s="36" t="str">
        <f aca="false">IF(OR(D387="Revenue",D387="Cost of Goods Sold",D387="Expenditures",D387="Other Revenue",D387="Other Expenditures"),E387,IF(AND(LEN(D387)&gt;2,MID(D387,2,1)=" ",ISNUMBER(VALUE(LEFT(D387,1)))),D387,F386))</f>
        <v/>
      </c>
      <c r="G387" s="36" t="n">
        <f aca="false">IF(AND(D387&lt;&gt;"",ISNUMBER(B387),LEFT(D387,9)&lt;&gt;"Total for",D387&lt;&gt;"Gross Profit",D387&lt;&gt;"Net Operating Revenue",D387&lt;&gt;"Net Other Revenue",D387&lt;&gt;"Net Revenue"),1,0)</f>
        <v>0</v>
      </c>
      <c r="H387" s="36" t="str">
        <f aca="false">IF(G387=1,IF(AND(LEN(D387)&gt;7,ISNUMBER(VALUE(LEFT(D387,6))),MID(D387,7,1)=" "),LEFT(D387,6),D387),"")</f>
        <v/>
      </c>
      <c r="M387" s="36" t="str">
        <f aca="false">TRIM(J387)</f>
        <v/>
      </c>
      <c r="N387" s="36" t="str">
        <f aca="false">IF(M387="Revenue","Revenue",IF(M387="Cost of Goods Sold","COGS",IF(M387="Expenditures","Expense",IF(M387="Other Revenue","Other Revenue",IF(M387="Other Expenditures","Other Expense",N386)))))</f>
        <v/>
      </c>
      <c r="O387" s="36" t="str">
        <f aca="false">IF(OR(M387="Revenue",M387="Cost of Goods Sold",M387="Expenditures",M387="Other Revenue",M387="Other Expenditures"),N387,IF(AND(LEN(M387)&gt;2,MID(M387,2,1)=" ",ISNUMBER(VALUE(LEFT(M387,1)))),M387,O386))</f>
        <v/>
      </c>
      <c r="P387" s="36" t="n">
        <f aca="false">IF(AND(M387&lt;&gt;"",ISNUMBER(K387),LEFT(M387,9)&lt;&gt;"Total for",M387&lt;&gt;"Gross Profit",M387&lt;&gt;"Net Operating Revenue",M387&lt;&gt;"Net Other Revenue",M387&lt;&gt;"Net Revenue"),1,0)</f>
        <v>0</v>
      </c>
      <c r="Q387" s="36" t="str">
        <f aca="false">IF(P387=1,IF(AND(LEN(M387)&gt;7,ISNUMBER(VALUE(LEFT(M387,6))),MID(M387,7,1)=" "),LEFT(M387,6),M387),"")</f>
        <v/>
      </c>
      <c r="V387" s="36" t="str">
        <f aca="false">TRIM(S387)</f>
        <v/>
      </c>
      <c r="W387" s="36" t="str">
        <f aca="false">IF(V387="Revenue","Revenue",IF(V387="Cost of Goods Sold","COGS",IF(V387="Expenditures","Expense",IF(V387="Other Revenue","Other Revenue",IF(V387="Other Expenditures","Other Expense",W386)))))</f>
        <v/>
      </c>
      <c r="X387" s="36" t="str">
        <f aca="false">IF(OR(V387="Revenue",V387="Cost of Goods Sold",V387="Expenditures",V387="Other Revenue",V387="Other Expenditures"),W387,IF(AND(LEN(V387)&gt;2,MID(V387,2,1)=" ",ISNUMBER(VALUE(LEFT(V387,1)))),V387,X386))</f>
        <v/>
      </c>
      <c r="Y387" s="36" t="n">
        <f aca="false">IF(AND(V387&lt;&gt;"",ISNUMBER(T387),LEFT(V387,9)&lt;&gt;"Total for",V387&lt;&gt;"Gross Profit",V387&lt;&gt;"Net Operating Revenue",V387&lt;&gt;"Net Other Revenue",V387&lt;&gt;"Net Revenue"),1,0)</f>
        <v>0</v>
      </c>
      <c r="Z387" s="36" t="str">
        <f aca="false">IF(Y387=1,IF(AND(LEN(V387)&gt;7,ISNUMBER(VALUE(LEFT(V387,6))),MID(V387,7,1)=" "),LEFT(V387,6),V387),"")</f>
        <v/>
      </c>
      <c r="AE387" s="36" t="str">
        <f aca="false">TRIM(AB387)</f>
        <v/>
      </c>
      <c r="AF387" s="36" t="str">
        <f aca="false">IF(AE387="Revenue","Revenue",IF(AE387="Cost of Goods Sold","COGS",IF(AE387="Expenditures","Expense",IF(AE387="Other Revenue","Other Revenue",IF(AE387="Other Expenditures","Other Expense",AF386)))))</f>
        <v/>
      </c>
      <c r="AG387" s="36" t="str">
        <f aca="false">IF(OR(AE387="Revenue",AE387="Cost of Goods Sold",AE387="Expenditures",AE387="Other Revenue",AE387="Other Expenditures"),AF387,IF(AND(LEN(AE387)&gt;2,MID(AE387,2,1)=" ",ISNUMBER(VALUE(LEFT(AE387,1)))),AE387,AG386))</f>
        <v/>
      </c>
      <c r="AH387" s="36" t="n">
        <f aca="false">IF(AND(AE387&lt;&gt;"",ISNUMBER(AC387),LEFT(AE387,9)&lt;&gt;"Total for",AE387&lt;&gt;"Gross Profit",AE387&lt;&gt;"Net Operating Revenue",AE387&lt;&gt;"Net Other Revenue",AE387&lt;&gt;"Net Revenue"),1,0)</f>
        <v>0</v>
      </c>
      <c r="AI387" s="36" t="str">
        <f aca="false">IF(AH387=1,IF(AND(LEN(AE387)&gt;7,ISNUMBER(VALUE(LEFT(AE387,6))),MID(AE387,7,1)=" "),LEFT(AE387,6),AE387),"")</f>
        <v/>
      </c>
      <c r="AN387" s="36" t="str">
        <f aca="false">TRIM(AK387)</f>
        <v/>
      </c>
      <c r="AO387" s="36" t="str">
        <f aca="false">IF(AN387="Revenue","Revenue",IF(AN387="Cost of Goods Sold","COGS",IF(AN387="Expenditures","Expense",IF(AN387="Other Revenue","Other Revenue",IF(AN387="Other Expenditures","Other Expense",AO386)))))</f>
        <v/>
      </c>
      <c r="AP387" s="36" t="str">
        <f aca="false">IF(OR(AN387="Revenue",AN387="Cost of Goods Sold",AN387="Expenditures",AN387="Other Revenue",AN387="Other Expenditures"),AO387,IF(AND(LEN(AN387)&gt;2,MID(AN387,2,1)=" ",ISNUMBER(VALUE(LEFT(AN387,1)))),AN387,AP386))</f>
        <v/>
      </c>
      <c r="AQ387" s="36" t="n">
        <f aca="false">IF(AND(AN387&lt;&gt;"",ISNUMBER(AL387),LEFT(AN387,9)&lt;&gt;"Total for",AN387&lt;&gt;"Gross Profit",AN387&lt;&gt;"Net Operating Revenue",AN387&lt;&gt;"Net Other Revenue",AN387&lt;&gt;"Net Revenue"),1,0)</f>
        <v>0</v>
      </c>
      <c r="AR387" s="36" t="str">
        <f aca="false">IF(AQ387=1,IF(AND(LEN(AN387)&gt;7,ISNUMBER(VALUE(LEFT(AN387,6))),MID(AN387,7,1)=" "),LEFT(AN387,6),AN387),"")</f>
        <v/>
      </c>
    </row>
    <row r="388" customFormat="false" ht="15" hidden="false" customHeight="false" outlineLevel="0" collapsed="false">
      <c r="D388" s="36" t="str">
        <f aca="false">TRIM(A388)</f>
        <v/>
      </c>
      <c r="E388" s="36" t="str">
        <f aca="false">IF(D388="Revenue","Revenue",IF(D388="Cost of Goods Sold","COGS",IF(D388="Expenditures","Expense",IF(D388="Other Revenue","Other Revenue",IF(D388="Other Expenditures","Other Expense",E387)))))</f>
        <v/>
      </c>
      <c r="F388" s="36" t="str">
        <f aca="false">IF(OR(D388="Revenue",D388="Cost of Goods Sold",D388="Expenditures",D388="Other Revenue",D388="Other Expenditures"),E388,IF(AND(LEN(D388)&gt;2,MID(D388,2,1)=" ",ISNUMBER(VALUE(LEFT(D388,1)))),D388,F387))</f>
        <v/>
      </c>
      <c r="G388" s="36" t="n">
        <f aca="false">IF(AND(D388&lt;&gt;"",ISNUMBER(B388),LEFT(D388,9)&lt;&gt;"Total for",D388&lt;&gt;"Gross Profit",D388&lt;&gt;"Net Operating Revenue",D388&lt;&gt;"Net Other Revenue",D388&lt;&gt;"Net Revenue"),1,0)</f>
        <v>0</v>
      </c>
      <c r="H388" s="36" t="str">
        <f aca="false">IF(G388=1,IF(AND(LEN(D388)&gt;7,ISNUMBER(VALUE(LEFT(D388,6))),MID(D388,7,1)=" "),LEFT(D388,6),D388),"")</f>
        <v/>
      </c>
      <c r="M388" s="36" t="str">
        <f aca="false">TRIM(J388)</f>
        <v/>
      </c>
      <c r="N388" s="36" t="str">
        <f aca="false">IF(M388="Revenue","Revenue",IF(M388="Cost of Goods Sold","COGS",IF(M388="Expenditures","Expense",IF(M388="Other Revenue","Other Revenue",IF(M388="Other Expenditures","Other Expense",N387)))))</f>
        <v/>
      </c>
      <c r="O388" s="36" t="str">
        <f aca="false">IF(OR(M388="Revenue",M388="Cost of Goods Sold",M388="Expenditures",M388="Other Revenue",M388="Other Expenditures"),N388,IF(AND(LEN(M388)&gt;2,MID(M388,2,1)=" ",ISNUMBER(VALUE(LEFT(M388,1)))),M388,O387))</f>
        <v/>
      </c>
      <c r="P388" s="36" t="n">
        <f aca="false">IF(AND(M388&lt;&gt;"",ISNUMBER(K388),LEFT(M388,9)&lt;&gt;"Total for",M388&lt;&gt;"Gross Profit",M388&lt;&gt;"Net Operating Revenue",M388&lt;&gt;"Net Other Revenue",M388&lt;&gt;"Net Revenue"),1,0)</f>
        <v>0</v>
      </c>
      <c r="Q388" s="36" t="str">
        <f aca="false">IF(P388=1,IF(AND(LEN(M388)&gt;7,ISNUMBER(VALUE(LEFT(M388,6))),MID(M388,7,1)=" "),LEFT(M388,6),M388),"")</f>
        <v/>
      </c>
      <c r="V388" s="36" t="str">
        <f aca="false">TRIM(S388)</f>
        <v/>
      </c>
      <c r="W388" s="36" t="str">
        <f aca="false">IF(V388="Revenue","Revenue",IF(V388="Cost of Goods Sold","COGS",IF(V388="Expenditures","Expense",IF(V388="Other Revenue","Other Revenue",IF(V388="Other Expenditures","Other Expense",W387)))))</f>
        <v/>
      </c>
      <c r="X388" s="36" t="str">
        <f aca="false">IF(OR(V388="Revenue",V388="Cost of Goods Sold",V388="Expenditures",V388="Other Revenue",V388="Other Expenditures"),W388,IF(AND(LEN(V388)&gt;2,MID(V388,2,1)=" ",ISNUMBER(VALUE(LEFT(V388,1)))),V388,X387))</f>
        <v/>
      </c>
      <c r="Y388" s="36" t="n">
        <f aca="false">IF(AND(V388&lt;&gt;"",ISNUMBER(T388),LEFT(V388,9)&lt;&gt;"Total for",V388&lt;&gt;"Gross Profit",V388&lt;&gt;"Net Operating Revenue",V388&lt;&gt;"Net Other Revenue",V388&lt;&gt;"Net Revenue"),1,0)</f>
        <v>0</v>
      </c>
      <c r="Z388" s="36" t="str">
        <f aca="false">IF(Y388=1,IF(AND(LEN(V388)&gt;7,ISNUMBER(VALUE(LEFT(V388,6))),MID(V388,7,1)=" "),LEFT(V388,6),V388),"")</f>
        <v/>
      </c>
      <c r="AE388" s="36" t="str">
        <f aca="false">TRIM(AB388)</f>
        <v/>
      </c>
      <c r="AF388" s="36" t="str">
        <f aca="false">IF(AE388="Revenue","Revenue",IF(AE388="Cost of Goods Sold","COGS",IF(AE388="Expenditures","Expense",IF(AE388="Other Revenue","Other Revenue",IF(AE388="Other Expenditures","Other Expense",AF387)))))</f>
        <v/>
      </c>
      <c r="AG388" s="36" t="str">
        <f aca="false">IF(OR(AE388="Revenue",AE388="Cost of Goods Sold",AE388="Expenditures",AE388="Other Revenue",AE388="Other Expenditures"),AF388,IF(AND(LEN(AE388)&gt;2,MID(AE388,2,1)=" ",ISNUMBER(VALUE(LEFT(AE388,1)))),AE388,AG387))</f>
        <v/>
      </c>
      <c r="AH388" s="36" t="n">
        <f aca="false">IF(AND(AE388&lt;&gt;"",ISNUMBER(AC388),LEFT(AE388,9)&lt;&gt;"Total for",AE388&lt;&gt;"Gross Profit",AE388&lt;&gt;"Net Operating Revenue",AE388&lt;&gt;"Net Other Revenue",AE388&lt;&gt;"Net Revenue"),1,0)</f>
        <v>0</v>
      </c>
      <c r="AI388" s="36" t="str">
        <f aca="false">IF(AH388=1,IF(AND(LEN(AE388)&gt;7,ISNUMBER(VALUE(LEFT(AE388,6))),MID(AE388,7,1)=" "),LEFT(AE388,6),AE388),"")</f>
        <v/>
      </c>
      <c r="AN388" s="36" t="str">
        <f aca="false">TRIM(AK388)</f>
        <v/>
      </c>
      <c r="AO388" s="36" t="str">
        <f aca="false">IF(AN388="Revenue","Revenue",IF(AN388="Cost of Goods Sold","COGS",IF(AN388="Expenditures","Expense",IF(AN388="Other Revenue","Other Revenue",IF(AN388="Other Expenditures","Other Expense",AO387)))))</f>
        <v/>
      </c>
      <c r="AP388" s="36" t="str">
        <f aca="false">IF(OR(AN388="Revenue",AN388="Cost of Goods Sold",AN388="Expenditures",AN388="Other Revenue",AN388="Other Expenditures"),AO388,IF(AND(LEN(AN388)&gt;2,MID(AN388,2,1)=" ",ISNUMBER(VALUE(LEFT(AN388,1)))),AN388,AP387))</f>
        <v/>
      </c>
      <c r="AQ388" s="36" t="n">
        <f aca="false">IF(AND(AN388&lt;&gt;"",ISNUMBER(AL388),LEFT(AN388,9)&lt;&gt;"Total for",AN388&lt;&gt;"Gross Profit",AN388&lt;&gt;"Net Operating Revenue",AN388&lt;&gt;"Net Other Revenue",AN388&lt;&gt;"Net Revenue"),1,0)</f>
        <v>0</v>
      </c>
      <c r="AR388" s="36" t="str">
        <f aca="false">IF(AQ388=1,IF(AND(LEN(AN388)&gt;7,ISNUMBER(VALUE(LEFT(AN388,6))),MID(AN388,7,1)=" "),LEFT(AN388,6),AN388),"")</f>
        <v/>
      </c>
    </row>
    <row r="389" customFormat="false" ht="15" hidden="false" customHeight="false" outlineLevel="0" collapsed="false">
      <c r="D389" s="36" t="str">
        <f aca="false">TRIM(A389)</f>
        <v/>
      </c>
      <c r="E389" s="36" t="str">
        <f aca="false">IF(D389="Revenue","Revenue",IF(D389="Cost of Goods Sold","COGS",IF(D389="Expenditures","Expense",IF(D389="Other Revenue","Other Revenue",IF(D389="Other Expenditures","Other Expense",E388)))))</f>
        <v/>
      </c>
      <c r="F389" s="36" t="str">
        <f aca="false">IF(OR(D389="Revenue",D389="Cost of Goods Sold",D389="Expenditures",D389="Other Revenue",D389="Other Expenditures"),E389,IF(AND(LEN(D389)&gt;2,MID(D389,2,1)=" ",ISNUMBER(VALUE(LEFT(D389,1)))),D389,F388))</f>
        <v/>
      </c>
      <c r="G389" s="36" t="n">
        <f aca="false">IF(AND(D389&lt;&gt;"",ISNUMBER(B389),LEFT(D389,9)&lt;&gt;"Total for",D389&lt;&gt;"Gross Profit",D389&lt;&gt;"Net Operating Revenue",D389&lt;&gt;"Net Other Revenue",D389&lt;&gt;"Net Revenue"),1,0)</f>
        <v>0</v>
      </c>
      <c r="H389" s="36" t="str">
        <f aca="false">IF(G389=1,IF(AND(LEN(D389)&gt;7,ISNUMBER(VALUE(LEFT(D389,6))),MID(D389,7,1)=" "),LEFT(D389,6),D389),"")</f>
        <v/>
      </c>
      <c r="M389" s="36" t="str">
        <f aca="false">TRIM(J389)</f>
        <v/>
      </c>
      <c r="N389" s="36" t="str">
        <f aca="false">IF(M389="Revenue","Revenue",IF(M389="Cost of Goods Sold","COGS",IF(M389="Expenditures","Expense",IF(M389="Other Revenue","Other Revenue",IF(M389="Other Expenditures","Other Expense",N388)))))</f>
        <v/>
      </c>
      <c r="O389" s="36" t="str">
        <f aca="false">IF(OR(M389="Revenue",M389="Cost of Goods Sold",M389="Expenditures",M389="Other Revenue",M389="Other Expenditures"),N389,IF(AND(LEN(M389)&gt;2,MID(M389,2,1)=" ",ISNUMBER(VALUE(LEFT(M389,1)))),M389,O388))</f>
        <v/>
      </c>
      <c r="P389" s="36" t="n">
        <f aca="false">IF(AND(M389&lt;&gt;"",ISNUMBER(K389),LEFT(M389,9)&lt;&gt;"Total for",M389&lt;&gt;"Gross Profit",M389&lt;&gt;"Net Operating Revenue",M389&lt;&gt;"Net Other Revenue",M389&lt;&gt;"Net Revenue"),1,0)</f>
        <v>0</v>
      </c>
      <c r="Q389" s="36" t="str">
        <f aca="false">IF(P389=1,IF(AND(LEN(M389)&gt;7,ISNUMBER(VALUE(LEFT(M389,6))),MID(M389,7,1)=" "),LEFT(M389,6),M389),"")</f>
        <v/>
      </c>
      <c r="V389" s="36" t="str">
        <f aca="false">TRIM(S389)</f>
        <v/>
      </c>
      <c r="W389" s="36" t="str">
        <f aca="false">IF(V389="Revenue","Revenue",IF(V389="Cost of Goods Sold","COGS",IF(V389="Expenditures","Expense",IF(V389="Other Revenue","Other Revenue",IF(V389="Other Expenditures","Other Expense",W388)))))</f>
        <v/>
      </c>
      <c r="X389" s="36" t="str">
        <f aca="false">IF(OR(V389="Revenue",V389="Cost of Goods Sold",V389="Expenditures",V389="Other Revenue",V389="Other Expenditures"),W389,IF(AND(LEN(V389)&gt;2,MID(V389,2,1)=" ",ISNUMBER(VALUE(LEFT(V389,1)))),V389,X388))</f>
        <v/>
      </c>
      <c r="Y389" s="36" t="n">
        <f aca="false">IF(AND(V389&lt;&gt;"",ISNUMBER(T389),LEFT(V389,9)&lt;&gt;"Total for",V389&lt;&gt;"Gross Profit",V389&lt;&gt;"Net Operating Revenue",V389&lt;&gt;"Net Other Revenue",V389&lt;&gt;"Net Revenue"),1,0)</f>
        <v>0</v>
      </c>
      <c r="Z389" s="36" t="str">
        <f aca="false">IF(Y389=1,IF(AND(LEN(V389)&gt;7,ISNUMBER(VALUE(LEFT(V389,6))),MID(V389,7,1)=" "),LEFT(V389,6),V389),"")</f>
        <v/>
      </c>
      <c r="AE389" s="36" t="str">
        <f aca="false">TRIM(AB389)</f>
        <v/>
      </c>
      <c r="AF389" s="36" t="str">
        <f aca="false">IF(AE389="Revenue","Revenue",IF(AE389="Cost of Goods Sold","COGS",IF(AE389="Expenditures","Expense",IF(AE389="Other Revenue","Other Revenue",IF(AE389="Other Expenditures","Other Expense",AF388)))))</f>
        <v/>
      </c>
      <c r="AG389" s="36" t="str">
        <f aca="false">IF(OR(AE389="Revenue",AE389="Cost of Goods Sold",AE389="Expenditures",AE389="Other Revenue",AE389="Other Expenditures"),AF389,IF(AND(LEN(AE389)&gt;2,MID(AE389,2,1)=" ",ISNUMBER(VALUE(LEFT(AE389,1)))),AE389,AG388))</f>
        <v/>
      </c>
      <c r="AH389" s="36" t="n">
        <f aca="false">IF(AND(AE389&lt;&gt;"",ISNUMBER(AC389),LEFT(AE389,9)&lt;&gt;"Total for",AE389&lt;&gt;"Gross Profit",AE389&lt;&gt;"Net Operating Revenue",AE389&lt;&gt;"Net Other Revenue",AE389&lt;&gt;"Net Revenue"),1,0)</f>
        <v>0</v>
      </c>
      <c r="AI389" s="36" t="str">
        <f aca="false">IF(AH389=1,IF(AND(LEN(AE389)&gt;7,ISNUMBER(VALUE(LEFT(AE389,6))),MID(AE389,7,1)=" "),LEFT(AE389,6),AE389),"")</f>
        <v/>
      </c>
      <c r="AN389" s="36" t="str">
        <f aca="false">TRIM(AK389)</f>
        <v/>
      </c>
      <c r="AO389" s="36" t="str">
        <f aca="false">IF(AN389="Revenue","Revenue",IF(AN389="Cost of Goods Sold","COGS",IF(AN389="Expenditures","Expense",IF(AN389="Other Revenue","Other Revenue",IF(AN389="Other Expenditures","Other Expense",AO388)))))</f>
        <v/>
      </c>
      <c r="AP389" s="36" t="str">
        <f aca="false">IF(OR(AN389="Revenue",AN389="Cost of Goods Sold",AN389="Expenditures",AN389="Other Revenue",AN389="Other Expenditures"),AO389,IF(AND(LEN(AN389)&gt;2,MID(AN389,2,1)=" ",ISNUMBER(VALUE(LEFT(AN389,1)))),AN389,AP388))</f>
        <v/>
      </c>
      <c r="AQ389" s="36" t="n">
        <f aca="false">IF(AND(AN389&lt;&gt;"",ISNUMBER(AL389),LEFT(AN389,9)&lt;&gt;"Total for",AN389&lt;&gt;"Gross Profit",AN389&lt;&gt;"Net Operating Revenue",AN389&lt;&gt;"Net Other Revenue",AN389&lt;&gt;"Net Revenue"),1,0)</f>
        <v>0</v>
      </c>
      <c r="AR389" s="36" t="str">
        <f aca="false">IF(AQ389=1,IF(AND(LEN(AN389)&gt;7,ISNUMBER(VALUE(LEFT(AN389,6))),MID(AN389,7,1)=" "),LEFT(AN389,6),AN389),"")</f>
        <v/>
      </c>
    </row>
    <row r="390" customFormat="false" ht="15" hidden="false" customHeight="false" outlineLevel="0" collapsed="false">
      <c r="D390" s="36" t="str">
        <f aca="false">TRIM(A390)</f>
        <v/>
      </c>
      <c r="E390" s="36" t="str">
        <f aca="false">IF(D390="Revenue","Revenue",IF(D390="Cost of Goods Sold","COGS",IF(D390="Expenditures","Expense",IF(D390="Other Revenue","Other Revenue",IF(D390="Other Expenditures","Other Expense",E389)))))</f>
        <v/>
      </c>
      <c r="F390" s="36" t="str">
        <f aca="false">IF(OR(D390="Revenue",D390="Cost of Goods Sold",D390="Expenditures",D390="Other Revenue",D390="Other Expenditures"),E390,IF(AND(LEN(D390)&gt;2,MID(D390,2,1)=" ",ISNUMBER(VALUE(LEFT(D390,1)))),D390,F389))</f>
        <v/>
      </c>
      <c r="G390" s="36" t="n">
        <f aca="false">IF(AND(D390&lt;&gt;"",ISNUMBER(B390),LEFT(D390,9)&lt;&gt;"Total for",D390&lt;&gt;"Gross Profit",D390&lt;&gt;"Net Operating Revenue",D390&lt;&gt;"Net Other Revenue",D390&lt;&gt;"Net Revenue"),1,0)</f>
        <v>0</v>
      </c>
      <c r="H390" s="36" t="str">
        <f aca="false">IF(G390=1,IF(AND(LEN(D390)&gt;7,ISNUMBER(VALUE(LEFT(D390,6))),MID(D390,7,1)=" "),LEFT(D390,6),D390),"")</f>
        <v/>
      </c>
      <c r="M390" s="36" t="str">
        <f aca="false">TRIM(J390)</f>
        <v/>
      </c>
      <c r="N390" s="36" t="str">
        <f aca="false">IF(M390="Revenue","Revenue",IF(M390="Cost of Goods Sold","COGS",IF(M390="Expenditures","Expense",IF(M390="Other Revenue","Other Revenue",IF(M390="Other Expenditures","Other Expense",N389)))))</f>
        <v/>
      </c>
      <c r="O390" s="36" t="str">
        <f aca="false">IF(OR(M390="Revenue",M390="Cost of Goods Sold",M390="Expenditures",M390="Other Revenue",M390="Other Expenditures"),N390,IF(AND(LEN(M390)&gt;2,MID(M390,2,1)=" ",ISNUMBER(VALUE(LEFT(M390,1)))),M390,O389))</f>
        <v/>
      </c>
      <c r="P390" s="36" t="n">
        <f aca="false">IF(AND(M390&lt;&gt;"",ISNUMBER(K390),LEFT(M390,9)&lt;&gt;"Total for",M390&lt;&gt;"Gross Profit",M390&lt;&gt;"Net Operating Revenue",M390&lt;&gt;"Net Other Revenue",M390&lt;&gt;"Net Revenue"),1,0)</f>
        <v>0</v>
      </c>
      <c r="Q390" s="36" t="str">
        <f aca="false">IF(P390=1,IF(AND(LEN(M390)&gt;7,ISNUMBER(VALUE(LEFT(M390,6))),MID(M390,7,1)=" "),LEFT(M390,6),M390),"")</f>
        <v/>
      </c>
      <c r="V390" s="36" t="str">
        <f aca="false">TRIM(S390)</f>
        <v/>
      </c>
      <c r="W390" s="36" t="str">
        <f aca="false">IF(V390="Revenue","Revenue",IF(V390="Cost of Goods Sold","COGS",IF(V390="Expenditures","Expense",IF(V390="Other Revenue","Other Revenue",IF(V390="Other Expenditures","Other Expense",W389)))))</f>
        <v/>
      </c>
      <c r="X390" s="36" t="str">
        <f aca="false">IF(OR(V390="Revenue",V390="Cost of Goods Sold",V390="Expenditures",V390="Other Revenue",V390="Other Expenditures"),W390,IF(AND(LEN(V390)&gt;2,MID(V390,2,1)=" ",ISNUMBER(VALUE(LEFT(V390,1)))),V390,X389))</f>
        <v/>
      </c>
      <c r="Y390" s="36" t="n">
        <f aca="false">IF(AND(V390&lt;&gt;"",ISNUMBER(T390),LEFT(V390,9)&lt;&gt;"Total for",V390&lt;&gt;"Gross Profit",V390&lt;&gt;"Net Operating Revenue",V390&lt;&gt;"Net Other Revenue",V390&lt;&gt;"Net Revenue"),1,0)</f>
        <v>0</v>
      </c>
      <c r="Z390" s="36" t="str">
        <f aca="false">IF(Y390=1,IF(AND(LEN(V390)&gt;7,ISNUMBER(VALUE(LEFT(V390,6))),MID(V390,7,1)=" "),LEFT(V390,6),V390),"")</f>
        <v/>
      </c>
      <c r="AE390" s="36" t="str">
        <f aca="false">TRIM(AB390)</f>
        <v/>
      </c>
      <c r="AF390" s="36" t="str">
        <f aca="false">IF(AE390="Revenue","Revenue",IF(AE390="Cost of Goods Sold","COGS",IF(AE390="Expenditures","Expense",IF(AE390="Other Revenue","Other Revenue",IF(AE390="Other Expenditures","Other Expense",AF389)))))</f>
        <v/>
      </c>
      <c r="AG390" s="36" t="str">
        <f aca="false">IF(OR(AE390="Revenue",AE390="Cost of Goods Sold",AE390="Expenditures",AE390="Other Revenue",AE390="Other Expenditures"),AF390,IF(AND(LEN(AE390)&gt;2,MID(AE390,2,1)=" ",ISNUMBER(VALUE(LEFT(AE390,1)))),AE390,AG389))</f>
        <v/>
      </c>
      <c r="AH390" s="36" t="n">
        <f aca="false">IF(AND(AE390&lt;&gt;"",ISNUMBER(AC390),LEFT(AE390,9)&lt;&gt;"Total for",AE390&lt;&gt;"Gross Profit",AE390&lt;&gt;"Net Operating Revenue",AE390&lt;&gt;"Net Other Revenue",AE390&lt;&gt;"Net Revenue"),1,0)</f>
        <v>0</v>
      </c>
      <c r="AI390" s="36" t="str">
        <f aca="false">IF(AH390=1,IF(AND(LEN(AE390)&gt;7,ISNUMBER(VALUE(LEFT(AE390,6))),MID(AE390,7,1)=" "),LEFT(AE390,6),AE390),"")</f>
        <v/>
      </c>
      <c r="AN390" s="36" t="str">
        <f aca="false">TRIM(AK390)</f>
        <v/>
      </c>
      <c r="AO390" s="36" t="str">
        <f aca="false">IF(AN390="Revenue","Revenue",IF(AN390="Cost of Goods Sold","COGS",IF(AN390="Expenditures","Expense",IF(AN390="Other Revenue","Other Revenue",IF(AN390="Other Expenditures","Other Expense",AO389)))))</f>
        <v/>
      </c>
      <c r="AP390" s="36" t="str">
        <f aca="false">IF(OR(AN390="Revenue",AN390="Cost of Goods Sold",AN390="Expenditures",AN390="Other Revenue",AN390="Other Expenditures"),AO390,IF(AND(LEN(AN390)&gt;2,MID(AN390,2,1)=" ",ISNUMBER(VALUE(LEFT(AN390,1)))),AN390,AP389))</f>
        <v/>
      </c>
      <c r="AQ390" s="36" t="n">
        <f aca="false">IF(AND(AN390&lt;&gt;"",ISNUMBER(AL390),LEFT(AN390,9)&lt;&gt;"Total for",AN390&lt;&gt;"Gross Profit",AN390&lt;&gt;"Net Operating Revenue",AN390&lt;&gt;"Net Other Revenue",AN390&lt;&gt;"Net Revenue"),1,0)</f>
        <v>0</v>
      </c>
      <c r="AR390" s="36" t="str">
        <f aca="false">IF(AQ390=1,IF(AND(LEN(AN390)&gt;7,ISNUMBER(VALUE(LEFT(AN390,6))),MID(AN390,7,1)=" "),LEFT(AN390,6),AN390),"")</f>
        <v/>
      </c>
    </row>
    <row r="391" customFormat="false" ht="15" hidden="false" customHeight="false" outlineLevel="0" collapsed="false">
      <c r="D391" s="36" t="str">
        <f aca="false">TRIM(A391)</f>
        <v/>
      </c>
      <c r="E391" s="36" t="str">
        <f aca="false">IF(D391="Revenue","Revenue",IF(D391="Cost of Goods Sold","COGS",IF(D391="Expenditures","Expense",IF(D391="Other Revenue","Other Revenue",IF(D391="Other Expenditures","Other Expense",E390)))))</f>
        <v/>
      </c>
      <c r="F391" s="36" t="str">
        <f aca="false">IF(OR(D391="Revenue",D391="Cost of Goods Sold",D391="Expenditures",D391="Other Revenue",D391="Other Expenditures"),E391,IF(AND(LEN(D391)&gt;2,MID(D391,2,1)=" ",ISNUMBER(VALUE(LEFT(D391,1)))),D391,F390))</f>
        <v/>
      </c>
      <c r="G391" s="36" t="n">
        <f aca="false">IF(AND(D391&lt;&gt;"",ISNUMBER(B391),LEFT(D391,9)&lt;&gt;"Total for",D391&lt;&gt;"Gross Profit",D391&lt;&gt;"Net Operating Revenue",D391&lt;&gt;"Net Other Revenue",D391&lt;&gt;"Net Revenue"),1,0)</f>
        <v>0</v>
      </c>
      <c r="H391" s="36" t="str">
        <f aca="false">IF(G391=1,IF(AND(LEN(D391)&gt;7,ISNUMBER(VALUE(LEFT(D391,6))),MID(D391,7,1)=" "),LEFT(D391,6),D391),"")</f>
        <v/>
      </c>
      <c r="M391" s="36" t="str">
        <f aca="false">TRIM(J391)</f>
        <v/>
      </c>
      <c r="N391" s="36" t="str">
        <f aca="false">IF(M391="Revenue","Revenue",IF(M391="Cost of Goods Sold","COGS",IF(M391="Expenditures","Expense",IF(M391="Other Revenue","Other Revenue",IF(M391="Other Expenditures","Other Expense",N390)))))</f>
        <v/>
      </c>
      <c r="O391" s="36" t="str">
        <f aca="false">IF(OR(M391="Revenue",M391="Cost of Goods Sold",M391="Expenditures",M391="Other Revenue",M391="Other Expenditures"),N391,IF(AND(LEN(M391)&gt;2,MID(M391,2,1)=" ",ISNUMBER(VALUE(LEFT(M391,1)))),M391,O390))</f>
        <v/>
      </c>
      <c r="P391" s="36" t="n">
        <f aca="false">IF(AND(M391&lt;&gt;"",ISNUMBER(K391),LEFT(M391,9)&lt;&gt;"Total for",M391&lt;&gt;"Gross Profit",M391&lt;&gt;"Net Operating Revenue",M391&lt;&gt;"Net Other Revenue",M391&lt;&gt;"Net Revenue"),1,0)</f>
        <v>0</v>
      </c>
      <c r="Q391" s="36" t="str">
        <f aca="false">IF(P391=1,IF(AND(LEN(M391)&gt;7,ISNUMBER(VALUE(LEFT(M391,6))),MID(M391,7,1)=" "),LEFT(M391,6),M391),"")</f>
        <v/>
      </c>
      <c r="V391" s="36" t="str">
        <f aca="false">TRIM(S391)</f>
        <v/>
      </c>
      <c r="W391" s="36" t="str">
        <f aca="false">IF(V391="Revenue","Revenue",IF(V391="Cost of Goods Sold","COGS",IF(V391="Expenditures","Expense",IF(V391="Other Revenue","Other Revenue",IF(V391="Other Expenditures","Other Expense",W390)))))</f>
        <v/>
      </c>
      <c r="X391" s="36" t="str">
        <f aca="false">IF(OR(V391="Revenue",V391="Cost of Goods Sold",V391="Expenditures",V391="Other Revenue",V391="Other Expenditures"),W391,IF(AND(LEN(V391)&gt;2,MID(V391,2,1)=" ",ISNUMBER(VALUE(LEFT(V391,1)))),V391,X390))</f>
        <v/>
      </c>
      <c r="Y391" s="36" t="n">
        <f aca="false">IF(AND(V391&lt;&gt;"",ISNUMBER(T391),LEFT(V391,9)&lt;&gt;"Total for",V391&lt;&gt;"Gross Profit",V391&lt;&gt;"Net Operating Revenue",V391&lt;&gt;"Net Other Revenue",V391&lt;&gt;"Net Revenue"),1,0)</f>
        <v>0</v>
      </c>
      <c r="Z391" s="36" t="str">
        <f aca="false">IF(Y391=1,IF(AND(LEN(V391)&gt;7,ISNUMBER(VALUE(LEFT(V391,6))),MID(V391,7,1)=" "),LEFT(V391,6),V391),"")</f>
        <v/>
      </c>
      <c r="AE391" s="36" t="str">
        <f aca="false">TRIM(AB391)</f>
        <v/>
      </c>
      <c r="AF391" s="36" t="str">
        <f aca="false">IF(AE391="Revenue","Revenue",IF(AE391="Cost of Goods Sold","COGS",IF(AE391="Expenditures","Expense",IF(AE391="Other Revenue","Other Revenue",IF(AE391="Other Expenditures","Other Expense",AF390)))))</f>
        <v/>
      </c>
      <c r="AG391" s="36" t="str">
        <f aca="false">IF(OR(AE391="Revenue",AE391="Cost of Goods Sold",AE391="Expenditures",AE391="Other Revenue",AE391="Other Expenditures"),AF391,IF(AND(LEN(AE391)&gt;2,MID(AE391,2,1)=" ",ISNUMBER(VALUE(LEFT(AE391,1)))),AE391,AG390))</f>
        <v/>
      </c>
      <c r="AH391" s="36" t="n">
        <f aca="false">IF(AND(AE391&lt;&gt;"",ISNUMBER(AC391),LEFT(AE391,9)&lt;&gt;"Total for",AE391&lt;&gt;"Gross Profit",AE391&lt;&gt;"Net Operating Revenue",AE391&lt;&gt;"Net Other Revenue",AE391&lt;&gt;"Net Revenue"),1,0)</f>
        <v>0</v>
      </c>
      <c r="AI391" s="36" t="str">
        <f aca="false">IF(AH391=1,IF(AND(LEN(AE391)&gt;7,ISNUMBER(VALUE(LEFT(AE391,6))),MID(AE391,7,1)=" "),LEFT(AE391,6),AE391),"")</f>
        <v/>
      </c>
      <c r="AN391" s="36" t="str">
        <f aca="false">TRIM(AK391)</f>
        <v/>
      </c>
      <c r="AO391" s="36" t="str">
        <f aca="false">IF(AN391="Revenue","Revenue",IF(AN391="Cost of Goods Sold","COGS",IF(AN391="Expenditures","Expense",IF(AN391="Other Revenue","Other Revenue",IF(AN391="Other Expenditures","Other Expense",AO390)))))</f>
        <v/>
      </c>
      <c r="AP391" s="36" t="str">
        <f aca="false">IF(OR(AN391="Revenue",AN391="Cost of Goods Sold",AN391="Expenditures",AN391="Other Revenue",AN391="Other Expenditures"),AO391,IF(AND(LEN(AN391)&gt;2,MID(AN391,2,1)=" ",ISNUMBER(VALUE(LEFT(AN391,1)))),AN391,AP390))</f>
        <v/>
      </c>
      <c r="AQ391" s="36" t="n">
        <f aca="false">IF(AND(AN391&lt;&gt;"",ISNUMBER(AL391),LEFT(AN391,9)&lt;&gt;"Total for",AN391&lt;&gt;"Gross Profit",AN391&lt;&gt;"Net Operating Revenue",AN391&lt;&gt;"Net Other Revenue",AN391&lt;&gt;"Net Revenue"),1,0)</f>
        <v>0</v>
      </c>
      <c r="AR391" s="36" t="str">
        <f aca="false">IF(AQ391=1,IF(AND(LEN(AN391)&gt;7,ISNUMBER(VALUE(LEFT(AN391,6))),MID(AN391,7,1)=" "),LEFT(AN391,6),AN391),"")</f>
        <v/>
      </c>
    </row>
    <row r="392" customFormat="false" ht="15" hidden="false" customHeight="false" outlineLevel="0" collapsed="false">
      <c r="D392" s="36" t="str">
        <f aca="false">TRIM(A392)</f>
        <v/>
      </c>
      <c r="E392" s="36" t="str">
        <f aca="false">IF(D392="Revenue","Revenue",IF(D392="Cost of Goods Sold","COGS",IF(D392="Expenditures","Expense",IF(D392="Other Revenue","Other Revenue",IF(D392="Other Expenditures","Other Expense",E391)))))</f>
        <v/>
      </c>
      <c r="F392" s="36" t="str">
        <f aca="false">IF(OR(D392="Revenue",D392="Cost of Goods Sold",D392="Expenditures",D392="Other Revenue",D392="Other Expenditures"),E392,IF(AND(LEN(D392)&gt;2,MID(D392,2,1)=" ",ISNUMBER(VALUE(LEFT(D392,1)))),D392,F391))</f>
        <v/>
      </c>
      <c r="G392" s="36" t="n">
        <f aca="false">IF(AND(D392&lt;&gt;"",ISNUMBER(B392),LEFT(D392,9)&lt;&gt;"Total for",D392&lt;&gt;"Gross Profit",D392&lt;&gt;"Net Operating Revenue",D392&lt;&gt;"Net Other Revenue",D392&lt;&gt;"Net Revenue"),1,0)</f>
        <v>0</v>
      </c>
      <c r="H392" s="36" t="str">
        <f aca="false">IF(G392=1,IF(AND(LEN(D392)&gt;7,ISNUMBER(VALUE(LEFT(D392,6))),MID(D392,7,1)=" "),LEFT(D392,6),D392),"")</f>
        <v/>
      </c>
      <c r="M392" s="36" t="str">
        <f aca="false">TRIM(J392)</f>
        <v/>
      </c>
      <c r="N392" s="36" t="str">
        <f aca="false">IF(M392="Revenue","Revenue",IF(M392="Cost of Goods Sold","COGS",IF(M392="Expenditures","Expense",IF(M392="Other Revenue","Other Revenue",IF(M392="Other Expenditures","Other Expense",N391)))))</f>
        <v/>
      </c>
      <c r="O392" s="36" t="str">
        <f aca="false">IF(OR(M392="Revenue",M392="Cost of Goods Sold",M392="Expenditures",M392="Other Revenue",M392="Other Expenditures"),N392,IF(AND(LEN(M392)&gt;2,MID(M392,2,1)=" ",ISNUMBER(VALUE(LEFT(M392,1)))),M392,O391))</f>
        <v/>
      </c>
      <c r="P392" s="36" t="n">
        <f aca="false">IF(AND(M392&lt;&gt;"",ISNUMBER(K392),LEFT(M392,9)&lt;&gt;"Total for",M392&lt;&gt;"Gross Profit",M392&lt;&gt;"Net Operating Revenue",M392&lt;&gt;"Net Other Revenue",M392&lt;&gt;"Net Revenue"),1,0)</f>
        <v>0</v>
      </c>
      <c r="Q392" s="36" t="str">
        <f aca="false">IF(P392=1,IF(AND(LEN(M392)&gt;7,ISNUMBER(VALUE(LEFT(M392,6))),MID(M392,7,1)=" "),LEFT(M392,6),M392),"")</f>
        <v/>
      </c>
      <c r="V392" s="36" t="str">
        <f aca="false">TRIM(S392)</f>
        <v/>
      </c>
      <c r="W392" s="36" t="str">
        <f aca="false">IF(V392="Revenue","Revenue",IF(V392="Cost of Goods Sold","COGS",IF(V392="Expenditures","Expense",IF(V392="Other Revenue","Other Revenue",IF(V392="Other Expenditures","Other Expense",W391)))))</f>
        <v/>
      </c>
      <c r="X392" s="36" t="str">
        <f aca="false">IF(OR(V392="Revenue",V392="Cost of Goods Sold",V392="Expenditures",V392="Other Revenue",V392="Other Expenditures"),W392,IF(AND(LEN(V392)&gt;2,MID(V392,2,1)=" ",ISNUMBER(VALUE(LEFT(V392,1)))),V392,X391))</f>
        <v/>
      </c>
      <c r="Y392" s="36" t="n">
        <f aca="false">IF(AND(V392&lt;&gt;"",ISNUMBER(T392),LEFT(V392,9)&lt;&gt;"Total for",V392&lt;&gt;"Gross Profit",V392&lt;&gt;"Net Operating Revenue",V392&lt;&gt;"Net Other Revenue",V392&lt;&gt;"Net Revenue"),1,0)</f>
        <v>0</v>
      </c>
      <c r="Z392" s="36" t="str">
        <f aca="false">IF(Y392=1,IF(AND(LEN(V392)&gt;7,ISNUMBER(VALUE(LEFT(V392,6))),MID(V392,7,1)=" "),LEFT(V392,6),V392),"")</f>
        <v/>
      </c>
      <c r="AE392" s="36" t="str">
        <f aca="false">TRIM(AB392)</f>
        <v/>
      </c>
      <c r="AF392" s="36" t="str">
        <f aca="false">IF(AE392="Revenue","Revenue",IF(AE392="Cost of Goods Sold","COGS",IF(AE392="Expenditures","Expense",IF(AE392="Other Revenue","Other Revenue",IF(AE392="Other Expenditures","Other Expense",AF391)))))</f>
        <v/>
      </c>
      <c r="AG392" s="36" t="str">
        <f aca="false">IF(OR(AE392="Revenue",AE392="Cost of Goods Sold",AE392="Expenditures",AE392="Other Revenue",AE392="Other Expenditures"),AF392,IF(AND(LEN(AE392)&gt;2,MID(AE392,2,1)=" ",ISNUMBER(VALUE(LEFT(AE392,1)))),AE392,AG391))</f>
        <v/>
      </c>
      <c r="AH392" s="36" t="n">
        <f aca="false">IF(AND(AE392&lt;&gt;"",ISNUMBER(AC392),LEFT(AE392,9)&lt;&gt;"Total for",AE392&lt;&gt;"Gross Profit",AE392&lt;&gt;"Net Operating Revenue",AE392&lt;&gt;"Net Other Revenue",AE392&lt;&gt;"Net Revenue"),1,0)</f>
        <v>0</v>
      </c>
      <c r="AI392" s="36" t="str">
        <f aca="false">IF(AH392=1,IF(AND(LEN(AE392)&gt;7,ISNUMBER(VALUE(LEFT(AE392,6))),MID(AE392,7,1)=" "),LEFT(AE392,6),AE392),"")</f>
        <v/>
      </c>
      <c r="AN392" s="36" t="str">
        <f aca="false">TRIM(AK392)</f>
        <v/>
      </c>
      <c r="AO392" s="36" t="str">
        <f aca="false">IF(AN392="Revenue","Revenue",IF(AN392="Cost of Goods Sold","COGS",IF(AN392="Expenditures","Expense",IF(AN392="Other Revenue","Other Revenue",IF(AN392="Other Expenditures","Other Expense",AO391)))))</f>
        <v/>
      </c>
      <c r="AP392" s="36" t="str">
        <f aca="false">IF(OR(AN392="Revenue",AN392="Cost of Goods Sold",AN392="Expenditures",AN392="Other Revenue",AN392="Other Expenditures"),AO392,IF(AND(LEN(AN392)&gt;2,MID(AN392,2,1)=" ",ISNUMBER(VALUE(LEFT(AN392,1)))),AN392,AP391))</f>
        <v/>
      </c>
      <c r="AQ392" s="36" t="n">
        <f aca="false">IF(AND(AN392&lt;&gt;"",ISNUMBER(AL392),LEFT(AN392,9)&lt;&gt;"Total for",AN392&lt;&gt;"Gross Profit",AN392&lt;&gt;"Net Operating Revenue",AN392&lt;&gt;"Net Other Revenue",AN392&lt;&gt;"Net Revenue"),1,0)</f>
        <v>0</v>
      </c>
      <c r="AR392" s="36" t="str">
        <f aca="false">IF(AQ392=1,IF(AND(LEN(AN392)&gt;7,ISNUMBER(VALUE(LEFT(AN392,6))),MID(AN392,7,1)=" "),LEFT(AN392,6),AN392),"")</f>
        <v/>
      </c>
    </row>
    <row r="393" customFormat="false" ht="15" hidden="false" customHeight="false" outlineLevel="0" collapsed="false">
      <c r="D393" s="36" t="str">
        <f aca="false">TRIM(A393)</f>
        <v/>
      </c>
      <c r="E393" s="36" t="str">
        <f aca="false">IF(D393="Revenue","Revenue",IF(D393="Cost of Goods Sold","COGS",IF(D393="Expenditures","Expense",IF(D393="Other Revenue","Other Revenue",IF(D393="Other Expenditures","Other Expense",E392)))))</f>
        <v/>
      </c>
      <c r="F393" s="36" t="str">
        <f aca="false">IF(OR(D393="Revenue",D393="Cost of Goods Sold",D393="Expenditures",D393="Other Revenue",D393="Other Expenditures"),E393,IF(AND(LEN(D393)&gt;2,MID(D393,2,1)=" ",ISNUMBER(VALUE(LEFT(D393,1)))),D393,F392))</f>
        <v/>
      </c>
      <c r="G393" s="36" t="n">
        <f aca="false">IF(AND(D393&lt;&gt;"",ISNUMBER(B393),LEFT(D393,9)&lt;&gt;"Total for",D393&lt;&gt;"Gross Profit",D393&lt;&gt;"Net Operating Revenue",D393&lt;&gt;"Net Other Revenue",D393&lt;&gt;"Net Revenue"),1,0)</f>
        <v>0</v>
      </c>
      <c r="H393" s="36" t="str">
        <f aca="false">IF(G393=1,IF(AND(LEN(D393)&gt;7,ISNUMBER(VALUE(LEFT(D393,6))),MID(D393,7,1)=" "),LEFT(D393,6),D393),"")</f>
        <v/>
      </c>
      <c r="M393" s="36" t="str">
        <f aca="false">TRIM(J393)</f>
        <v/>
      </c>
      <c r="N393" s="36" t="str">
        <f aca="false">IF(M393="Revenue","Revenue",IF(M393="Cost of Goods Sold","COGS",IF(M393="Expenditures","Expense",IF(M393="Other Revenue","Other Revenue",IF(M393="Other Expenditures","Other Expense",N392)))))</f>
        <v/>
      </c>
      <c r="O393" s="36" t="str">
        <f aca="false">IF(OR(M393="Revenue",M393="Cost of Goods Sold",M393="Expenditures",M393="Other Revenue",M393="Other Expenditures"),N393,IF(AND(LEN(M393)&gt;2,MID(M393,2,1)=" ",ISNUMBER(VALUE(LEFT(M393,1)))),M393,O392))</f>
        <v/>
      </c>
      <c r="P393" s="36" t="n">
        <f aca="false">IF(AND(M393&lt;&gt;"",ISNUMBER(K393),LEFT(M393,9)&lt;&gt;"Total for",M393&lt;&gt;"Gross Profit",M393&lt;&gt;"Net Operating Revenue",M393&lt;&gt;"Net Other Revenue",M393&lt;&gt;"Net Revenue"),1,0)</f>
        <v>0</v>
      </c>
      <c r="Q393" s="36" t="str">
        <f aca="false">IF(P393=1,IF(AND(LEN(M393)&gt;7,ISNUMBER(VALUE(LEFT(M393,6))),MID(M393,7,1)=" "),LEFT(M393,6),M393),"")</f>
        <v/>
      </c>
      <c r="V393" s="36" t="str">
        <f aca="false">TRIM(S393)</f>
        <v/>
      </c>
      <c r="W393" s="36" t="str">
        <f aca="false">IF(V393="Revenue","Revenue",IF(V393="Cost of Goods Sold","COGS",IF(V393="Expenditures","Expense",IF(V393="Other Revenue","Other Revenue",IF(V393="Other Expenditures","Other Expense",W392)))))</f>
        <v/>
      </c>
      <c r="X393" s="36" t="str">
        <f aca="false">IF(OR(V393="Revenue",V393="Cost of Goods Sold",V393="Expenditures",V393="Other Revenue",V393="Other Expenditures"),W393,IF(AND(LEN(V393)&gt;2,MID(V393,2,1)=" ",ISNUMBER(VALUE(LEFT(V393,1)))),V393,X392))</f>
        <v/>
      </c>
      <c r="Y393" s="36" t="n">
        <f aca="false">IF(AND(V393&lt;&gt;"",ISNUMBER(T393),LEFT(V393,9)&lt;&gt;"Total for",V393&lt;&gt;"Gross Profit",V393&lt;&gt;"Net Operating Revenue",V393&lt;&gt;"Net Other Revenue",V393&lt;&gt;"Net Revenue"),1,0)</f>
        <v>0</v>
      </c>
      <c r="Z393" s="36" t="str">
        <f aca="false">IF(Y393=1,IF(AND(LEN(V393)&gt;7,ISNUMBER(VALUE(LEFT(V393,6))),MID(V393,7,1)=" "),LEFT(V393,6),V393),"")</f>
        <v/>
      </c>
      <c r="AE393" s="36" t="str">
        <f aca="false">TRIM(AB393)</f>
        <v/>
      </c>
      <c r="AF393" s="36" t="str">
        <f aca="false">IF(AE393="Revenue","Revenue",IF(AE393="Cost of Goods Sold","COGS",IF(AE393="Expenditures","Expense",IF(AE393="Other Revenue","Other Revenue",IF(AE393="Other Expenditures","Other Expense",AF392)))))</f>
        <v/>
      </c>
      <c r="AG393" s="36" t="str">
        <f aca="false">IF(OR(AE393="Revenue",AE393="Cost of Goods Sold",AE393="Expenditures",AE393="Other Revenue",AE393="Other Expenditures"),AF393,IF(AND(LEN(AE393)&gt;2,MID(AE393,2,1)=" ",ISNUMBER(VALUE(LEFT(AE393,1)))),AE393,AG392))</f>
        <v/>
      </c>
      <c r="AH393" s="36" t="n">
        <f aca="false">IF(AND(AE393&lt;&gt;"",ISNUMBER(AC393),LEFT(AE393,9)&lt;&gt;"Total for",AE393&lt;&gt;"Gross Profit",AE393&lt;&gt;"Net Operating Revenue",AE393&lt;&gt;"Net Other Revenue",AE393&lt;&gt;"Net Revenue"),1,0)</f>
        <v>0</v>
      </c>
      <c r="AI393" s="36" t="str">
        <f aca="false">IF(AH393=1,IF(AND(LEN(AE393)&gt;7,ISNUMBER(VALUE(LEFT(AE393,6))),MID(AE393,7,1)=" "),LEFT(AE393,6),AE393),"")</f>
        <v/>
      </c>
      <c r="AN393" s="36" t="str">
        <f aca="false">TRIM(AK393)</f>
        <v/>
      </c>
      <c r="AO393" s="36" t="str">
        <f aca="false">IF(AN393="Revenue","Revenue",IF(AN393="Cost of Goods Sold","COGS",IF(AN393="Expenditures","Expense",IF(AN393="Other Revenue","Other Revenue",IF(AN393="Other Expenditures","Other Expense",AO392)))))</f>
        <v/>
      </c>
      <c r="AP393" s="36" t="str">
        <f aca="false">IF(OR(AN393="Revenue",AN393="Cost of Goods Sold",AN393="Expenditures",AN393="Other Revenue",AN393="Other Expenditures"),AO393,IF(AND(LEN(AN393)&gt;2,MID(AN393,2,1)=" ",ISNUMBER(VALUE(LEFT(AN393,1)))),AN393,AP392))</f>
        <v/>
      </c>
      <c r="AQ393" s="36" t="n">
        <f aca="false">IF(AND(AN393&lt;&gt;"",ISNUMBER(AL393),LEFT(AN393,9)&lt;&gt;"Total for",AN393&lt;&gt;"Gross Profit",AN393&lt;&gt;"Net Operating Revenue",AN393&lt;&gt;"Net Other Revenue",AN393&lt;&gt;"Net Revenue"),1,0)</f>
        <v>0</v>
      </c>
      <c r="AR393" s="36" t="str">
        <f aca="false">IF(AQ393=1,IF(AND(LEN(AN393)&gt;7,ISNUMBER(VALUE(LEFT(AN393,6))),MID(AN393,7,1)=" "),LEFT(AN393,6),AN393),"")</f>
        <v/>
      </c>
    </row>
    <row r="394" customFormat="false" ht="15" hidden="false" customHeight="false" outlineLevel="0" collapsed="false">
      <c r="D394" s="36" t="str">
        <f aca="false">TRIM(A394)</f>
        <v/>
      </c>
      <c r="E394" s="36" t="str">
        <f aca="false">IF(D394="Revenue","Revenue",IF(D394="Cost of Goods Sold","COGS",IF(D394="Expenditures","Expense",IF(D394="Other Revenue","Other Revenue",IF(D394="Other Expenditures","Other Expense",E393)))))</f>
        <v/>
      </c>
      <c r="F394" s="36" t="str">
        <f aca="false">IF(OR(D394="Revenue",D394="Cost of Goods Sold",D394="Expenditures",D394="Other Revenue",D394="Other Expenditures"),E394,IF(AND(LEN(D394)&gt;2,MID(D394,2,1)=" ",ISNUMBER(VALUE(LEFT(D394,1)))),D394,F393))</f>
        <v/>
      </c>
      <c r="G394" s="36" t="n">
        <f aca="false">IF(AND(D394&lt;&gt;"",ISNUMBER(B394),LEFT(D394,9)&lt;&gt;"Total for",D394&lt;&gt;"Gross Profit",D394&lt;&gt;"Net Operating Revenue",D394&lt;&gt;"Net Other Revenue",D394&lt;&gt;"Net Revenue"),1,0)</f>
        <v>0</v>
      </c>
      <c r="H394" s="36" t="str">
        <f aca="false">IF(G394=1,IF(AND(LEN(D394)&gt;7,ISNUMBER(VALUE(LEFT(D394,6))),MID(D394,7,1)=" "),LEFT(D394,6),D394),"")</f>
        <v/>
      </c>
      <c r="M394" s="36" t="str">
        <f aca="false">TRIM(J394)</f>
        <v/>
      </c>
      <c r="N394" s="36" t="str">
        <f aca="false">IF(M394="Revenue","Revenue",IF(M394="Cost of Goods Sold","COGS",IF(M394="Expenditures","Expense",IF(M394="Other Revenue","Other Revenue",IF(M394="Other Expenditures","Other Expense",N393)))))</f>
        <v/>
      </c>
      <c r="O394" s="36" t="str">
        <f aca="false">IF(OR(M394="Revenue",M394="Cost of Goods Sold",M394="Expenditures",M394="Other Revenue",M394="Other Expenditures"),N394,IF(AND(LEN(M394)&gt;2,MID(M394,2,1)=" ",ISNUMBER(VALUE(LEFT(M394,1)))),M394,O393))</f>
        <v/>
      </c>
      <c r="P394" s="36" t="n">
        <f aca="false">IF(AND(M394&lt;&gt;"",ISNUMBER(K394),LEFT(M394,9)&lt;&gt;"Total for",M394&lt;&gt;"Gross Profit",M394&lt;&gt;"Net Operating Revenue",M394&lt;&gt;"Net Other Revenue",M394&lt;&gt;"Net Revenue"),1,0)</f>
        <v>0</v>
      </c>
      <c r="Q394" s="36" t="str">
        <f aca="false">IF(P394=1,IF(AND(LEN(M394)&gt;7,ISNUMBER(VALUE(LEFT(M394,6))),MID(M394,7,1)=" "),LEFT(M394,6),M394),"")</f>
        <v/>
      </c>
      <c r="V394" s="36" t="str">
        <f aca="false">TRIM(S394)</f>
        <v/>
      </c>
      <c r="W394" s="36" t="str">
        <f aca="false">IF(V394="Revenue","Revenue",IF(V394="Cost of Goods Sold","COGS",IF(V394="Expenditures","Expense",IF(V394="Other Revenue","Other Revenue",IF(V394="Other Expenditures","Other Expense",W393)))))</f>
        <v/>
      </c>
      <c r="X394" s="36" t="str">
        <f aca="false">IF(OR(V394="Revenue",V394="Cost of Goods Sold",V394="Expenditures",V394="Other Revenue",V394="Other Expenditures"),W394,IF(AND(LEN(V394)&gt;2,MID(V394,2,1)=" ",ISNUMBER(VALUE(LEFT(V394,1)))),V394,X393))</f>
        <v/>
      </c>
      <c r="Y394" s="36" t="n">
        <f aca="false">IF(AND(V394&lt;&gt;"",ISNUMBER(T394),LEFT(V394,9)&lt;&gt;"Total for",V394&lt;&gt;"Gross Profit",V394&lt;&gt;"Net Operating Revenue",V394&lt;&gt;"Net Other Revenue",V394&lt;&gt;"Net Revenue"),1,0)</f>
        <v>0</v>
      </c>
      <c r="Z394" s="36" t="str">
        <f aca="false">IF(Y394=1,IF(AND(LEN(V394)&gt;7,ISNUMBER(VALUE(LEFT(V394,6))),MID(V394,7,1)=" "),LEFT(V394,6),V394),"")</f>
        <v/>
      </c>
      <c r="AE394" s="36" t="str">
        <f aca="false">TRIM(AB394)</f>
        <v/>
      </c>
      <c r="AF394" s="36" t="str">
        <f aca="false">IF(AE394="Revenue","Revenue",IF(AE394="Cost of Goods Sold","COGS",IF(AE394="Expenditures","Expense",IF(AE394="Other Revenue","Other Revenue",IF(AE394="Other Expenditures","Other Expense",AF393)))))</f>
        <v/>
      </c>
      <c r="AG394" s="36" t="str">
        <f aca="false">IF(OR(AE394="Revenue",AE394="Cost of Goods Sold",AE394="Expenditures",AE394="Other Revenue",AE394="Other Expenditures"),AF394,IF(AND(LEN(AE394)&gt;2,MID(AE394,2,1)=" ",ISNUMBER(VALUE(LEFT(AE394,1)))),AE394,AG393))</f>
        <v/>
      </c>
      <c r="AH394" s="36" t="n">
        <f aca="false">IF(AND(AE394&lt;&gt;"",ISNUMBER(AC394),LEFT(AE394,9)&lt;&gt;"Total for",AE394&lt;&gt;"Gross Profit",AE394&lt;&gt;"Net Operating Revenue",AE394&lt;&gt;"Net Other Revenue",AE394&lt;&gt;"Net Revenue"),1,0)</f>
        <v>0</v>
      </c>
      <c r="AI394" s="36" t="str">
        <f aca="false">IF(AH394=1,IF(AND(LEN(AE394)&gt;7,ISNUMBER(VALUE(LEFT(AE394,6))),MID(AE394,7,1)=" "),LEFT(AE394,6),AE394),"")</f>
        <v/>
      </c>
      <c r="AN394" s="36" t="str">
        <f aca="false">TRIM(AK394)</f>
        <v/>
      </c>
      <c r="AO394" s="36" t="str">
        <f aca="false">IF(AN394="Revenue","Revenue",IF(AN394="Cost of Goods Sold","COGS",IF(AN394="Expenditures","Expense",IF(AN394="Other Revenue","Other Revenue",IF(AN394="Other Expenditures","Other Expense",AO393)))))</f>
        <v/>
      </c>
      <c r="AP394" s="36" t="str">
        <f aca="false">IF(OR(AN394="Revenue",AN394="Cost of Goods Sold",AN394="Expenditures",AN394="Other Revenue",AN394="Other Expenditures"),AO394,IF(AND(LEN(AN394)&gt;2,MID(AN394,2,1)=" ",ISNUMBER(VALUE(LEFT(AN394,1)))),AN394,AP393))</f>
        <v/>
      </c>
      <c r="AQ394" s="36" t="n">
        <f aca="false">IF(AND(AN394&lt;&gt;"",ISNUMBER(AL394),LEFT(AN394,9)&lt;&gt;"Total for",AN394&lt;&gt;"Gross Profit",AN394&lt;&gt;"Net Operating Revenue",AN394&lt;&gt;"Net Other Revenue",AN394&lt;&gt;"Net Revenue"),1,0)</f>
        <v>0</v>
      </c>
      <c r="AR394" s="36" t="str">
        <f aca="false">IF(AQ394=1,IF(AND(LEN(AN394)&gt;7,ISNUMBER(VALUE(LEFT(AN394,6))),MID(AN394,7,1)=" "),LEFT(AN394,6),AN394),"")</f>
        <v/>
      </c>
    </row>
    <row r="395" customFormat="false" ht="15" hidden="false" customHeight="false" outlineLevel="0" collapsed="false">
      <c r="D395" s="36" t="str">
        <f aca="false">TRIM(A395)</f>
        <v/>
      </c>
      <c r="E395" s="36" t="str">
        <f aca="false">IF(D395="Revenue","Revenue",IF(D395="Cost of Goods Sold","COGS",IF(D395="Expenditures","Expense",IF(D395="Other Revenue","Other Revenue",IF(D395="Other Expenditures","Other Expense",E394)))))</f>
        <v/>
      </c>
      <c r="F395" s="36" t="str">
        <f aca="false">IF(OR(D395="Revenue",D395="Cost of Goods Sold",D395="Expenditures",D395="Other Revenue",D395="Other Expenditures"),E395,IF(AND(LEN(D395)&gt;2,MID(D395,2,1)=" ",ISNUMBER(VALUE(LEFT(D395,1)))),D395,F394))</f>
        <v/>
      </c>
      <c r="G395" s="36" t="n">
        <f aca="false">IF(AND(D395&lt;&gt;"",ISNUMBER(B395),LEFT(D395,9)&lt;&gt;"Total for",D395&lt;&gt;"Gross Profit",D395&lt;&gt;"Net Operating Revenue",D395&lt;&gt;"Net Other Revenue",D395&lt;&gt;"Net Revenue"),1,0)</f>
        <v>0</v>
      </c>
      <c r="H395" s="36" t="str">
        <f aca="false">IF(G395=1,IF(AND(LEN(D395)&gt;7,ISNUMBER(VALUE(LEFT(D395,6))),MID(D395,7,1)=" "),LEFT(D395,6),D395),"")</f>
        <v/>
      </c>
      <c r="M395" s="36" t="str">
        <f aca="false">TRIM(J395)</f>
        <v/>
      </c>
      <c r="N395" s="36" t="str">
        <f aca="false">IF(M395="Revenue","Revenue",IF(M395="Cost of Goods Sold","COGS",IF(M395="Expenditures","Expense",IF(M395="Other Revenue","Other Revenue",IF(M395="Other Expenditures","Other Expense",N394)))))</f>
        <v/>
      </c>
      <c r="O395" s="36" t="str">
        <f aca="false">IF(OR(M395="Revenue",M395="Cost of Goods Sold",M395="Expenditures",M395="Other Revenue",M395="Other Expenditures"),N395,IF(AND(LEN(M395)&gt;2,MID(M395,2,1)=" ",ISNUMBER(VALUE(LEFT(M395,1)))),M395,O394))</f>
        <v/>
      </c>
      <c r="P395" s="36" t="n">
        <f aca="false">IF(AND(M395&lt;&gt;"",ISNUMBER(K395),LEFT(M395,9)&lt;&gt;"Total for",M395&lt;&gt;"Gross Profit",M395&lt;&gt;"Net Operating Revenue",M395&lt;&gt;"Net Other Revenue",M395&lt;&gt;"Net Revenue"),1,0)</f>
        <v>0</v>
      </c>
      <c r="Q395" s="36" t="str">
        <f aca="false">IF(P395=1,IF(AND(LEN(M395)&gt;7,ISNUMBER(VALUE(LEFT(M395,6))),MID(M395,7,1)=" "),LEFT(M395,6),M395),"")</f>
        <v/>
      </c>
      <c r="V395" s="36" t="str">
        <f aca="false">TRIM(S395)</f>
        <v/>
      </c>
      <c r="W395" s="36" t="str">
        <f aca="false">IF(V395="Revenue","Revenue",IF(V395="Cost of Goods Sold","COGS",IF(V395="Expenditures","Expense",IF(V395="Other Revenue","Other Revenue",IF(V395="Other Expenditures","Other Expense",W394)))))</f>
        <v/>
      </c>
      <c r="X395" s="36" t="str">
        <f aca="false">IF(OR(V395="Revenue",V395="Cost of Goods Sold",V395="Expenditures",V395="Other Revenue",V395="Other Expenditures"),W395,IF(AND(LEN(V395)&gt;2,MID(V395,2,1)=" ",ISNUMBER(VALUE(LEFT(V395,1)))),V395,X394))</f>
        <v/>
      </c>
      <c r="Y395" s="36" t="n">
        <f aca="false">IF(AND(V395&lt;&gt;"",ISNUMBER(T395),LEFT(V395,9)&lt;&gt;"Total for",V395&lt;&gt;"Gross Profit",V395&lt;&gt;"Net Operating Revenue",V395&lt;&gt;"Net Other Revenue",V395&lt;&gt;"Net Revenue"),1,0)</f>
        <v>0</v>
      </c>
      <c r="Z395" s="36" t="str">
        <f aca="false">IF(Y395=1,IF(AND(LEN(V395)&gt;7,ISNUMBER(VALUE(LEFT(V395,6))),MID(V395,7,1)=" "),LEFT(V395,6),V395),"")</f>
        <v/>
      </c>
      <c r="AE395" s="36" t="str">
        <f aca="false">TRIM(AB395)</f>
        <v/>
      </c>
      <c r="AF395" s="36" t="str">
        <f aca="false">IF(AE395="Revenue","Revenue",IF(AE395="Cost of Goods Sold","COGS",IF(AE395="Expenditures","Expense",IF(AE395="Other Revenue","Other Revenue",IF(AE395="Other Expenditures","Other Expense",AF394)))))</f>
        <v/>
      </c>
      <c r="AG395" s="36" t="str">
        <f aca="false">IF(OR(AE395="Revenue",AE395="Cost of Goods Sold",AE395="Expenditures",AE395="Other Revenue",AE395="Other Expenditures"),AF395,IF(AND(LEN(AE395)&gt;2,MID(AE395,2,1)=" ",ISNUMBER(VALUE(LEFT(AE395,1)))),AE395,AG394))</f>
        <v/>
      </c>
      <c r="AH395" s="36" t="n">
        <f aca="false">IF(AND(AE395&lt;&gt;"",ISNUMBER(AC395),LEFT(AE395,9)&lt;&gt;"Total for",AE395&lt;&gt;"Gross Profit",AE395&lt;&gt;"Net Operating Revenue",AE395&lt;&gt;"Net Other Revenue",AE395&lt;&gt;"Net Revenue"),1,0)</f>
        <v>0</v>
      </c>
      <c r="AI395" s="36" t="str">
        <f aca="false">IF(AH395=1,IF(AND(LEN(AE395)&gt;7,ISNUMBER(VALUE(LEFT(AE395,6))),MID(AE395,7,1)=" "),LEFT(AE395,6),AE395),"")</f>
        <v/>
      </c>
      <c r="AN395" s="36" t="str">
        <f aca="false">TRIM(AK395)</f>
        <v/>
      </c>
      <c r="AO395" s="36" t="str">
        <f aca="false">IF(AN395="Revenue","Revenue",IF(AN395="Cost of Goods Sold","COGS",IF(AN395="Expenditures","Expense",IF(AN395="Other Revenue","Other Revenue",IF(AN395="Other Expenditures","Other Expense",AO394)))))</f>
        <v/>
      </c>
      <c r="AP395" s="36" t="str">
        <f aca="false">IF(OR(AN395="Revenue",AN395="Cost of Goods Sold",AN395="Expenditures",AN395="Other Revenue",AN395="Other Expenditures"),AO395,IF(AND(LEN(AN395)&gt;2,MID(AN395,2,1)=" ",ISNUMBER(VALUE(LEFT(AN395,1)))),AN395,AP394))</f>
        <v/>
      </c>
      <c r="AQ395" s="36" t="n">
        <f aca="false">IF(AND(AN395&lt;&gt;"",ISNUMBER(AL395),LEFT(AN395,9)&lt;&gt;"Total for",AN395&lt;&gt;"Gross Profit",AN395&lt;&gt;"Net Operating Revenue",AN395&lt;&gt;"Net Other Revenue",AN395&lt;&gt;"Net Revenue"),1,0)</f>
        <v>0</v>
      </c>
      <c r="AR395" s="36" t="str">
        <f aca="false">IF(AQ395=1,IF(AND(LEN(AN395)&gt;7,ISNUMBER(VALUE(LEFT(AN395,6))),MID(AN395,7,1)=" "),LEFT(AN395,6),AN395),"")</f>
        <v/>
      </c>
    </row>
    <row r="396" customFormat="false" ht="15" hidden="false" customHeight="false" outlineLevel="0" collapsed="false">
      <c r="D396" s="36" t="str">
        <f aca="false">TRIM(A396)</f>
        <v/>
      </c>
      <c r="E396" s="36" t="str">
        <f aca="false">IF(D396="Revenue","Revenue",IF(D396="Cost of Goods Sold","COGS",IF(D396="Expenditures","Expense",IF(D396="Other Revenue","Other Revenue",IF(D396="Other Expenditures","Other Expense",E395)))))</f>
        <v/>
      </c>
      <c r="F396" s="36" t="str">
        <f aca="false">IF(OR(D396="Revenue",D396="Cost of Goods Sold",D396="Expenditures",D396="Other Revenue",D396="Other Expenditures"),E396,IF(AND(LEN(D396)&gt;2,MID(D396,2,1)=" ",ISNUMBER(VALUE(LEFT(D396,1)))),D396,F395))</f>
        <v/>
      </c>
      <c r="G396" s="36" t="n">
        <f aca="false">IF(AND(D396&lt;&gt;"",ISNUMBER(B396),LEFT(D396,9)&lt;&gt;"Total for",D396&lt;&gt;"Gross Profit",D396&lt;&gt;"Net Operating Revenue",D396&lt;&gt;"Net Other Revenue",D396&lt;&gt;"Net Revenue"),1,0)</f>
        <v>0</v>
      </c>
      <c r="H396" s="36" t="str">
        <f aca="false">IF(G396=1,IF(AND(LEN(D396)&gt;7,ISNUMBER(VALUE(LEFT(D396,6))),MID(D396,7,1)=" "),LEFT(D396,6),D396),"")</f>
        <v/>
      </c>
      <c r="M396" s="36" t="str">
        <f aca="false">TRIM(J396)</f>
        <v/>
      </c>
      <c r="N396" s="36" t="str">
        <f aca="false">IF(M396="Revenue","Revenue",IF(M396="Cost of Goods Sold","COGS",IF(M396="Expenditures","Expense",IF(M396="Other Revenue","Other Revenue",IF(M396="Other Expenditures","Other Expense",N395)))))</f>
        <v/>
      </c>
      <c r="O396" s="36" t="str">
        <f aca="false">IF(OR(M396="Revenue",M396="Cost of Goods Sold",M396="Expenditures",M396="Other Revenue",M396="Other Expenditures"),N396,IF(AND(LEN(M396)&gt;2,MID(M396,2,1)=" ",ISNUMBER(VALUE(LEFT(M396,1)))),M396,O395))</f>
        <v/>
      </c>
      <c r="P396" s="36" t="n">
        <f aca="false">IF(AND(M396&lt;&gt;"",ISNUMBER(K396),LEFT(M396,9)&lt;&gt;"Total for",M396&lt;&gt;"Gross Profit",M396&lt;&gt;"Net Operating Revenue",M396&lt;&gt;"Net Other Revenue",M396&lt;&gt;"Net Revenue"),1,0)</f>
        <v>0</v>
      </c>
      <c r="Q396" s="36" t="str">
        <f aca="false">IF(P396=1,IF(AND(LEN(M396)&gt;7,ISNUMBER(VALUE(LEFT(M396,6))),MID(M396,7,1)=" "),LEFT(M396,6),M396),"")</f>
        <v/>
      </c>
      <c r="V396" s="36" t="str">
        <f aca="false">TRIM(S396)</f>
        <v/>
      </c>
      <c r="W396" s="36" t="str">
        <f aca="false">IF(V396="Revenue","Revenue",IF(V396="Cost of Goods Sold","COGS",IF(V396="Expenditures","Expense",IF(V396="Other Revenue","Other Revenue",IF(V396="Other Expenditures","Other Expense",W395)))))</f>
        <v/>
      </c>
      <c r="X396" s="36" t="str">
        <f aca="false">IF(OR(V396="Revenue",V396="Cost of Goods Sold",V396="Expenditures",V396="Other Revenue",V396="Other Expenditures"),W396,IF(AND(LEN(V396)&gt;2,MID(V396,2,1)=" ",ISNUMBER(VALUE(LEFT(V396,1)))),V396,X395))</f>
        <v/>
      </c>
      <c r="Y396" s="36" t="n">
        <f aca="false">IF(AND(V396&lt;&gt;"",ISNUMBER(T396),LEFT(V396,9)&lt;&gt;"Total for",V396&lt;&gt;"Gross Profit",V396&lt;&gt;"Net Operating Revenue",V396&lt;&gt;"Net Other Revenue",V396&lt;&gt;"Net Revenue"),1,0)</f>
        <v>0</v>
      </c>
      <c r="Z396" s="36" t="str">
        <f aca="false">IF(Y396=1,IF(AND(LEN(V396)&gt;7,ISNUMBER(VALUE(LEFT(V396,6))),MID(V396,7,1)=" "),LEFT(V396,6),V396),"")</f>
        <v/>
      </c>
      <c r="AE396" s="36" t="str">
        <f aca="false">TRIM(AB396)</f>
        <v/>
      </c>
      <c r="AF396" s="36" t="str">
        <f aca="false">IF(AE396="Revenue","Revenue",IF(AE396="Cost of Goods Sold","COGS",IF(AE396="Expenditures","Expense",IF(AE396="Other Revenue","Other Revenue",IF(AE396="Other Expenditures","Other Expense",AF395)))))</f>
        <v/>
      </c>
      <c r="AG396" s="36" t="str">
        <f aca="false">IF(OR(AE396="Revenue",AE396="Cost of Goods Sold",AE396="Expenditures",AE396="Other Revenue",AE396="Other Expenditures"),AF396,IF(AND(LEN(AE396)&gt;2,MID(AE396,2,1)=" ",ISNUMBER(VALUE(LEFT(AE396,1)))),AE396,AG395))</f>
        <v/>
      </c>
      <c r="AH396" s="36" t="n">
        <f aca="false">IF(AND(AE396&lt;&gt;"",ISNUMBER(AC396),LEFT(AE396,9)&lt;&gt;"Total for",AE396&lt;&gt;"Gross Profit",AE396&lt;&gt;"Net Operating Revenue",AE396&lt;&gt;"Net Other Revenue",AE396&lt;&gt;"Net Revenue"),1,0)</f>
        <v>0</v>
      </c>
      <c r="AI396" s="36" t="str">
        <f aca="false">IF(AH396=1,IF(AND(LEN(AE396)&gt;7,ISNUMBER(VALUE(LEFT(AE396,6))),MID(AE396,7,1)=" "),LEFT(AE396,6),AE396),"")</f>
        <v/>
      </c>
      <c r="AN396" s="36" t="str">
        <f aca="false">TRIM(AK396)</f>
        <v/>
      </c>
      <c r="AO396" s="36" t="str">
        <f aca="false">IF(AN396="Revenue","Revenue",IF(AN396="Cost of Goods Sold","COGS",IF(AN396="Expenditures","Expense",IF(AN396="Other Revenue","Other Revenue",IF(AN396="Other Expenditures","Other Expense",AO395)))))</f>
        <v/>
      </c>
      <c r="AP396" s="36" t="str">
        <f aca="false">IF(OR(AN396="Revenue",AN396="Cost of Goods Sold",AN396="Expenditures",AN396="Other Revenue",AN396="Other Expenditures"),AO396,IF(AND(LEN(AN396)&gt;2,MID(AN396,2,1)=" ",ISNUMBER(VALUE(LEFT(AN396,1)))),AN396,AP395))</f>
        <v/>
      </c>
      <c r="AQ396" s="36" t="n">
        <f aca="false">IF(AND(AN396&lt;&gt;"",ISNUMBER(AL396),LEFT(AN396,9)&lt;&gt;"Total for",AN396&lt;&gt;"Gross Profit",AN396&lt;&gt;"Net Operating Revenue",AN396&lt;&gt;"Net Other Revenue",AN396&lt;&gt;"Net Revenue"),1,0)</f>
        <v>0</v>
      </c>
      <c r="AR396" s="36" t="str">
        <f aca="false">IF(AQ396=1,IF(AND(LEN(AN396)&gt;7,ISNUMBER(VALUE(LEFT(AN396,6))),MID(AN396,7,1)=" "),LEFT(AN396,6),AN396),"")</f>
        <v/>
      </c>
    </row>
    <row r="397" customFormat="false" ht="15" hidden="false" customHeight="false" outlineLevel="0" collapsed="false">
      <c r="D397" s="36" t="str">
        <f aca="false">TRIM(A397)</f>
        <v/>
      </c>
      <c r="E397" s="36" t="str">
        <f aca="false">IF(D397="Revenue","Revenue",IF(D397="Cost of Goods Sold","COGS",IF(D397="Expenditures","Expense",IF(D397="Other Revenue","Other Revenue",IF(D397="Other Expenditures","Other Expense",E396)))))</f>
        <v/>
      </c>
      <c r="F397" s="36" t="str">
        <f aca="false">IF(OR(D397="Revenue",D397="Cost of Goods Sold",D397="Expenditures",D397="Other Revenue",D397="Other Expenditures"),E397,IF(AND(LEN(D397)&gt;2,MID(D397,2,1)=" ",ISNUMBER(VALUE(LEFT(D397,1)))),D397,F396))</f>
        <v/>
      </c>
      <c r="G397" s="36" t="n">
        <f aca="false">IF(AND(D397&lt;&gt;"",ISNUMBER(B397),LEFT(D397,9)&lt;&gt;"Total for",D397&lt;&gt;"Gross Profit",D397&lt;&gt;"Net Operating Revenue",D397&lt;&gt;"Net Other Revenue",D397&lt;&gt;"Net Revenue"),1,0)</f>
        <v>0</v>
      </c>
      <c r="H397" s="36" t="str">
        <f aca="false">IF(G397=1,IF(AND(LEN(D397)&gt;7,ISNUMBER(VALUE(LEFT(D397,6))),MID(D397,7,1)=" "),LEFT(D397,6),D397),"")</f>
        <v/>
      </c>
      <c r="M397" s="36" t="str">
        <f aca="false">TRIM(J397)</f>
        <v/>
      </c>
      <c r="N397" s="36" t="str">
        <f aca="false">IF(M397="Revenue","Revenue",IF(M397="Cost of Goods Sold","COGS",IF(M397="Expenditures","Expense",IF(M397="Other Revenue","Other Revenue",IF(M397="Other Expenditures","Other Expense",N396)))))</f>
        <v/>
      </c>
      <c r="O397" s="36" t="str">
        <f aca="false">IF(OR(M397="Revenue",M397="Cost of Goods Sold",M397="Expenditures",M397="Other Revenue",M397="Other Expenditures"),N397,IF(AND(LEN(M397)&gt;2,MID(M397,2,1)=" ",ISNUMBER(VALUE(LEFT(M397,1)))),M397,O396))</f>
        <v/>
      </c>
      <c r="P397" s="36" t="n">
        <f aca="false">IF(AND(M397&lt;&gt;"",ISNUMBER(K397),LEFT(M397,9)&lt;&gt;"Total for",M397&lt;&gt;"Gross Profit",M397&lt;&gt;"Net Operating Revenue",M397&lt;&gt;"Net Other Revenue",M397&lt;&gt;"Net Revenue"),1,0)</f>
        <v>0</v>
      </c>
      <c r="Q397" s="36" t="str">
        <f aca="false">IF(P397=1,IF(AND(LEN(M397)&gt;7,ISNUMBER(VALUE(LEFT(M397,6))),MID(M397,7,1)=" "),LEFT(M397,6),M397),"")</f>
        <v/>
      </c>
      <c r="V397" s="36" t="str">
        <f aca="false">TRIM(S397)</f>
        <v/>
      </c>
      <c r="W397" s="36" t="str">
        <f aca="false">IF(V397="Revenue","Revenue",IF(V397="Cost of Goods Sold","COGS",IF(V397="Expenditures","Expense",IF(V397="Other Revenue","Other Revenue",IF(V397="Other Expenditures","Other Expense",W396)))))</f>
        <v/>
      </c>
      <c r="X397" s="36" t="str">
        <f aca="false">IF(OR(V397="Revenue",V397="Cost of Goods Sold",V397="Expenditures",V397="Other Revenue",V397="Other Expenditures"),W397,IF(AND(LEN(V397)&gt;2,MID(V397,2,1)=" ",ISNUMBER(VALUE(LEFT(V397,1)))),V397,X396))</f>
        <v/>
      </c>
      <c r="Y397" s="36" t="n">
        <f aca="false">IF(AND(V397&lt;&gt;"",ISNUMBER(T397),LEFT(V397,9)&lt;&gt;"Total for",V397&lt;&gt;"Gross Profit",V397&lt;&gt;"Net Operating Revenue",V397&lt;&gt;"Net Other Revenue",V397&lt;&gt;"Net Revenue"),1,0)</f>
        <v>0</v>
      </c>
      <c r="Z397" s="36" t="str">
        <f aca="false">IF(Y397=1,IF(AND(LEN(V397)&gt;7,ISNUMBER(VALUE(LEFT(V397,6))),MID(V397,7,1)=" "),LEFT(V397,6),V397),"")</f>
        <v/>
      </c>
      <c r="AE397" s="36" t="str">
        <f aca="false">TRIM(AB397)</f>
        <v/>
      </c>
      <c r="AF397" s="36" t="str">
        <f aca="false">IF(AE397="Revenue","Revenue",IF(AE397="Cost of Goods Sold","COGS",IF(AE397="Expenditures","Expense",IF(AE397="Other Revenue","Other Revenue",IF(AE397="Other Expenditures","Other Expense",AF396)))))</f>
        <v/>
      </c>
      <c r="AG397" s="36" t="str">
        <f aca="false">IF(OR(AE397="Revenue",AE397="Cost of Goods Sold",AE397="Expenditures",AE397="Other Revenue",AE397="Other Expenditures"),AF397,IF(AND(LEN(AE397)&gt;2,MID(AE397,2,1)=" ",ISNUMBER(VALUE(LEFT(AE397,1)))),AE397,AG396))</f>
        <v/>
      </c>
      <c r="AH397" s="36" t="n">
        <f aca="false">IF(AND(AE397&lt;&gt;"",ISNUMBER(AC397),LEFT(AE397,9)&lt;&gt;"Total for",AE397&lt;&gt;"Gross Profit",AE397&lt;&gt;"Net Operating Revenue",AE397&lt;&gt;"Net Other Revenue",AE397&lt;&gt;"Net Revenue"),1,0)</f>
        <v>0</v>
      </c>
      <c r="AI397" s="36" t="str">
        <f aca="false">IF(AH397=1,IF(AND(LEN(AE397)&gt;7,ISNUMBER(VALUE(LEFT(AE397,6))),MID(AE397,7,1)=" "),LEFT(AE397,6),AE397),"")</f>
        <v/>
      </c>
      <c r="AN397" s="36" t="str">
        <f aca="false">TRIM(AK397)</f>
        <v/>
      </c>
      <c r="AO397" s="36" t="str">
        <f aca="false">IF(AN397="Revenue","Revenue",IF(AN397="Cost of Goods Sold","COGS",IF(AN397="Expenditures","Expense",IF(AN397="Other Revenue","Other Revenue",IF(AN397="Other Expenditures","Other Expense",AO396)))))</f>
        <v/>
      </c>
      <c r="AP397" s="36" t="str">
        <f aca="false">IF(OR(AN397="Revenue",AN397="Cost of Goods Sold",AN397="Expenditures",AN397="Other Revenue",AN397="Other Expenditures"),AO397,IF(AND(LEN(AN397)&gt;2,MID(AN397,2,1)=" ",ISNUMBER(VALUE(LEFT(AN397,1)))),AN397,AP396))</f>
        <v/>
      </c>
      <c r="AQ397" s="36" t="n">
        <f aca="false">IF(AND(AN397&lt;&gt;"",ISNUMBER(AL397),LEFT(AN397,9)&lt;&gt;"Total for",AN397&lt;&gt;"Gross Profit",AN397&lt;&gt;"Net Operating Revenue",AN397&lt;&gt;"Net Other Revenue",AN397&lt;&gt;"Net Revenue"),1,0)</f>
        <v>0</v>
      </c>
      <c r="AR397" s="36" t="str">
        <f aca="false">IF(AQ397=1,IF(AND(LEN(AN397)&gt;7,ISNUMBER(VALUE(LEFT(AN397,6))),MID(AN397,7,1)=" "),LEFT(AN397,6),AN397),"")</f>
        <v/>
      </c>
    </row>
    <row r="398" customFormat="false" ht="15" hidden="false" customHeight="false" outlineLevel="0" collapsed="false">
      <c r="D398" s="36" t="str">
        <f aca="false">TRIM(A398)</f>
        <v/>
      </c>
      <c r="E398" s="36" t="str">
        <f aca="false">IF(D398="Revenue","Revenue",IF(D398="Cost of Goods Sold","COGS",IF(D398="Expenditures","Expense",IF(D398="Other Revenue","Other Revenue",IF(D398="Other Expenditures","Other Expense",E397)))))</f>
        <v/>
      </c>
      <c r="F398" s="36" t="str">
        <f aca="false">IF(OR(D398="Revenue",D398="Cost of Goods Sold",D398="Expenditures",D398="Other Revenue",D398="Other Expenditures"),E398,IF(AND(LEN(D398)&gt;2,MID(D398,2,1)=" ",ISNUMBER(VALUE(LEFT(D398,1)))),D398,F397))</f>
        <v/>
      </c>
      <c r="G398" s="36" t="n">
        <f aca="false">IF(AND(D398&lt;&gt;"",ISNUMBER(B398),LEFT(D398,9)&lt;&gt;"Total for",D398&lt;&gt;"Gross Profit",D398&lt;&gt;"Net Operating Revenue",D398&lt;&gt;"Net Other Revenue",D398&lt;&gt;"Net Revenue"),1,0)</f>
        <v>0</v>
      </c>
      <c r="H398" s="36" t="str">
        <f aca="false">IF(G398=1,IF(AND(LEN(D398)&gt;7,ISNUMBER(VALUE(LEFT(D398,6))),MID(D398,7,1)=" "),LEFT(D398,6),D398),"")</f>
        <v/>
      </c>
      <c r="M398" s="36" t="str">
        <f aca="false">TRIM(J398)</f>
        <v/>
      </c>
      <c r="N398" s="36" t="str">
        <f aca="false">IF(M398="Revenue","Revenue",IF(M398="Cost of Goods Sold","COGS",IF(M398="Expenditures","Expense",IF(M398="Other Revenue","Other Revenue",IF(M398="Other Expenditures","Other Expense",N397)))))</f>
        <v/>
      </c>
      <c r="O398" s="36" t="str">
        <f aca="false">IF(OR(M398="Revenue",M398="Cost of Goods Sold",M398="Expenditures",M398="Other Revenue",M398="Other Expenditures"),N398,IF(AND(LEN(M398)&gt;2,MID(M398,2,1)=" ",ISNUMBER(VALUE(LEFT(M398,1)))),M398,O397))</f>
        <v/>
      </c>
      <c r="P398" s="36" t="n">
        <f aca="false">IF(AND(M398&lt;&gt;"",ISNUMBER(K398),LEFT(M398,9)&lt;&gt;"Total for",M398&lt;&gt;"Gross Profit",M398&lt;&gt;"Net Operating Revenue",M398&lt;&gt;"Net Other Revenue",M398&lt;&gt;"Net Revenue"),1,0)</f>
        <v>0</v>
      </c>
      <c r="Q398" s="36" t="str">
        <f aca="false">IF(P398=1,IF(AND(LEN(M398)&gt;7,ISNUMBER(VALUE(LEFT(M398,6))),MID(M398,7,1)=" "),LEFT(M398,6),M398),"")</f>
        <v/>
      </c>
      <c r="V398" s="36" t="str">
        <f aca="false">TRIM(S398)</f>
        <v/>
      </c>
      <c r="W398" s="36" t="str">
        <f aca="false">IF(V398="Revenue","Revenue",IF(V398="Cost of Goods Sold","COGS",IF(V398="Expenditures","Expense",IF(V398="Other Revenue","Other Revenue",IF(V398="Other Expenditures","Other Expense",W397)))))</f>
        <v/>
      </c>
      <c r="X398" s="36" t="str">
        <f aca="false">IF(OR(V398="Revenue",V398="Cost of Goods Sold",V398="Expenditures",V398="Other Revenue",V398="Other Expenditures"),W398,IF(AND(LEN(V398)&gt;2,MID(V398,2,1)=" ",ISNUMBER(VALUE(LEFT(V398,1)))),V398,X397))</f>
        <v/>
      </c>
      <c r="Y398" s="36" t="n">
        <f aca="false">IF(AND(V398&lt;&gt;"",ISNUMBER(T398),LEFT(V398,9)&lt;&gt;"Total for",V398&lt;&gt;"Gross Profit",V398&lt;&gt;"Net Operating Revenue",V398&lt;&gt;"Net Other Revenue",V398&lt;&gt;"Net Revenue"),1,0)</f>
        <v>0</v>
      </c>
      <c r="Z398" s="36" t="str">
        <f aca="false">IF(Y398=1,IF(AND(LEN(V398)&gt;7,ISNUMBER(VALUE(LEFT(V398,6))),MID(V398,7,1)=" "),LEFT(V398,6),V398),"")</f>
        <v/>
      </c>
      <c r="AE398" s="36" t="str">
        <f aca="false">TRIM(AB398)</f>
        <v/>
      </c>
      <c r="AF398" s="36" t="str">
        <f aca="false">IF(AE398="Revenue","Revenue",IF(AE398="Cost of Goods Sold","COGS",IF(AE398="Expenditures","Expense",IF(AE398="Other Revenue","Other Revenue",IF(AE398="Other Expenditures","Other Expense",AF397)))))</f>
        <v/>
      </c>
      <c r="AG398" s="36" t="str">
        <f aca="false">IF(OR(AE398="Revenue",AE398="Cost of Goods Sold",AE398="Expenditures",AE398="Other Revenue",AE398="Other Expenditures"),AF398,IF(AND(LEN(AE398)&gt;2,MID(AE398,2,1)=" ",ISNUMBER(VALUE(LEFT(AE398,1)))),AE398,AG397))</f>
        <v/>
      </c>
      <c r="AH398" s="36" t="n">
        <f aca="false">IF(AND(AE398&lt;&gt;"",ISNUMBER(AC398),LEFT(AE398,9)&lt;&gt;"Total for",AE398&lt;&gt;"Gross Profit",AE398&lt;&gt;"Net Operating Revenue",AE398&lt;&gt;"Net Other Revenue",AE398&lt;&gt;"Net Revenue"),1,0)</f>
        <v>0</v>
      </c>
      <c r="AI398" s="36" t="str">
        <f aca="false">IF(AH398=1,IF(AND(LEN(AE398)&gt;7,ISNUMBER(VALUE(LEFT(AE398,6))),MID(AE398,7,1)=" "),LEFT(AE398,6),AE398),"")</f>
        <v/>
      </c>
      <c r="AN398" s="36" t="str">
        <f aca="false">TRIM(AK398)</f>
        <v/>
      </c>
      <c r="AO398" s="36" t="str">
        <f aca="false">IF(AN398="Revenue","Revenue",IF(AN398="Cost of Goods Sold","COGS",IF(AN398="Expenditures","Expense",IF(AN398="Other Revenue","Other Revenue",IF(AN398="Other Expenditures","Other Expense",AO397)))))</f>
        <v/>
      </c>
      <c r="AP398" s="36" t="str">
        <f aca="false">IF(OR(AN398="Revenue",AN398="Cost of Goods Sold",AN398="Expenditures",AN398="Other Revenue",AN398="Other Expenditures"),AO398,IF(AND(LEN(AN398)&gt;2,MID(AN398,2,1)=" ",ISNUMBER(VALUE(LEFT(AN398,1)))),AN398,AP397))</f>
        <v/>
      </c>
      <c r="AQ398" s="36" t="n">
        <f aca="false">IF(AND(AN398&lt;&gt;"",ISNUMBER(AL398),LEFT(AN398,9)&lt;&gt;"Total for",AN398&lt;&gt;"Gross Profit",AN398&lt;&gt;"Net Operating Revenue",AN398&lt;&gt;"Net Other Revenue",AN398&lt;&gt;"Net Revenue"),1,0)</f>
        <v>0</v>
      </c>
      <c r="AR398" s="36" t="str">
        <f aca="false">IF(AQ398=1,IF(AND(LEN(AN398)&gt;7,ISNUMBER(VALUE(LEFT(AN398,6))),MID(AN398,7,1)=" "),LEFT(AN398,6),AN398),"")</f>
        <v/>
      </c>
    </row>
    <row r="399" customFormat="false" ht="15" hidden="false" customHeight="false" outlineLevel="0" collapsed="false">
      <c r="D399" s="36" t="str">
        <f aca="false">TRIM(A399)</f>
        <v/>
      </c>
      <c r="E399" s="36" t="str">
        <f aca="false">IF(D399="Revenue","Revenue",IF(D399="Cost of Goods Sold","COGS",IF(D399="Expenditures","Expense",IF(D399="Other Revenue","Other Revenue",IF(D399="Other Expenditures","Other Expense",E398)))))</f>
        <v/>
      </c>
      <c r="F399" s="36" t="str">
        <f aca="false">IF(OR(D399="Revenue",D399="Cost of Goods Sold",D399="Expenditures",D399="Other Revenue",D399="Other Expenditures"),E399,IF(AND(LEN(D399)&gt;2,MID(D399,2,1)=" ",ISNUMBER(VALUE(LEFT(D399,1)))),D399,F398))</f>
        <v/>
      </c>
      <c r="G399" s="36" t="n">
        <f aca="false">IF(AND(D399&lt;&gt;"",ISNUMBER(B399),LEFT(D399,9)&lt;&gt;"Total for",D399&lt;&gt;"Gross Profit",D399&lt;&gt;"Net Operating Revenue",D399&lt;&gt;"Net Other Revenue",D399&lt;&gt;"Net Revenue"),1,0)</f>
        <v>0</v>
      </c>
      <c r="H399" s="36" t="str">
        <f aca="false">IF(G399=1,IF(AND(LEN(D399)&gt;7,ISNUMBER(VALUE(LEFT(D399,6))),MID(D399,7,1)=" "),LEFT(D399,6),D399),"")</f>
        <v/>
      </c>
      <c r="M399" s="36" t="str">
        <f aca="false">TRIM(J399)</f>
        <v/>
      </c>
      <c r="N399" s="36" t="str">
        <f aca="false">IF(M399="Revenue","Revenue",IF(M399="Cost of Goods Sold","COGS",IF(M399="Expenditures","Expense",IF(M399="Other Revenue","Other Revenue",IF(M399="Other Expenditures","Other Expense",N398)))))</f>
        <v/>
      </c>
      <c r="O399" s="36" t="str">
        <f aca="false">IF(OR(M399="Revenue",M399="Cost of Goods Sold",M399="Expenditures",M399="Other Revenue",M399="Other Expenditures"),N399,IF(AND(LEN(M399)&gt;2,MID(M399,2,1)=" ",ISNUMBER(VALUE(LEFT(M399,1)))),M399,O398))</f>
        <v/>
      </c>
      <c r="P399" s="36" t="n">
        <f aca="false">IF(AND(M399&lt;&gt;"",ISNUMBER(K399),LEFT(M399,9)&lt;&gt;"Total for",M399&lt;&gt;"Gross Profit",M399&lt;&gt;"Net Operating Revenue",M399&lt;&gt;"Net Other Revenue",M399&lt;&gt;"Net Revenue"),1,0)</f>
        <v>0</v>
      </c>
      <c r="Q399" s="36" t="str">
        <f aca="false">IF(P399=1,IF(AND(LEN(M399)&gt;7,ISNUMBER(VALUE(LEFT(M399,6))),MID(M399,7,1)=" "),LEFT(M399,6),M399),"")</f>
        <v/>
      </c>
      <c r="V399" s="36" t="str">
        <f aca="false">TRIM(S399)</f>
        <v/>
      </c>
      <c r="W399" s="36" t="str">
        <f aca="false">IF(V399="Revenue","Revenue",IF(V399="Cost of Goods Sold","COGS",IF(V399="Expenditures","Expense",IF(V399="Other Revenue","Other Revenue",IF(V399="Other Expenditures","Other Expense",W398)))))</f>
        <v/>
      </c>
      <c r="X399" s="36" t="str">
        <f aca="false">IF(OR(V399="Revenue",V399="Cost of Goods Sold",V399="Expenditures",V399="Other Revenue",V399="Other Expenditures"),W399,IF(AND(LEN(V399)&gt;2,MID(V399,2,1)=" ",ISNUMBER(VALUE(LEFT(V399,1)))),V399,X398))</f>
        <v/>
      </c>
      <c r="Y399" s="36" t="n">
        <f aca="false">IF(AND(V399&lt;&gt;"",ISNUMBER(T399),LEFT(V399,9)&lt;&gt;"Total for",V399&lt;&gt;"Gross Profit",V399&lt;&gt;"Net Operating Revenue",V399&lt;&gt;"Net Other Revenue",V399&lt;&gt;"Net Revenue"),1,0)</f>
        <v>0</v>
      </c>
      <c r="Z399" s="36" t="str">
        <f aca="false">IF(Y399=1,IF(AND(LEN(V399)&gt;7,ISNUMBER(VALUE(LEFT(V399,6))),MID(V399,7,1)=" "),LEFT(V399,6),V399),"")</f>
        <v/>
      </c>
      <c r="AE399" s="36" t="str">
        <f aca="false">TRIM(AB399)</f>
        <v/>
      </c>
      <c r="AF399" s="36" t="str">
        <f aca="false">IF(AE399="Revenue","Revenue",IF(AE399="Cost of Goods Sold","COGS",IF(AE399="Expenditures","Expense",IF(AE399="Other Revenue","Other Revenue",IF(AE399="Other Expenditures","Other Expense",AF398)))))</f>
        <v/>
      </c>
      <c r="AG399" s="36" t="str">
        <f aca="false">IF(OR(AE399="Revenue",AE399="Cost of Goods Sold",AE399="Expenditures",AE399="Other Revenue",AE399="Other Expenditures"),AF399,IF(AND(LEN(AE399)&gt;2,MID(AE399,2,1)=" ",ISNUMBER(VALUE(LEFT(AE399,1)))),AE399,AG398))</f>
        <v/>
      </c>
      <c r="AH399" s="36" t="n">
        <f aca="false">IF(AND(AE399&lt;&gt;"",ISNUMBER(AC399),LEFT(AE399,9)&lt;&gt;"Total for",AE399&lt;&gt;"Gross Profit",AE399&lt;&gt;"Net Operating Revenue",AE399&lt;&gt;"Net Other Revenue",AE399&lt;&gt;"Net Revenue"),1,0)</f>
        <v>0</v>
      </c>
      <c r="AI399" s="36" t="str">
        <f aca="false">IF(AH399=1,IF(AND(LEN(AE399)&gt;7,ISNUMBER(VALUE(LEFT(AE399,6))),MID(AE399,7,1)=" "),LEFT(AE399,6),AE399),"")</f>
        <v/>
      </c>
      <c r="AN399" s="36" t="str">
        <f aca="false">TRIM(AK399)</f>
        <v/>
      </c>
      <c r="AO399" s="36" t="str">
        <f aca="false">IF(AN399="Revenue","Revenue",IF(AN399="Cost of Goods Sold","COGS",IF(AN399="Expenditures","Expense",IF(AN399="Other Revenue","Other Revenue",IF(AN399="Other Expenditures","Other Expense",AO398)))))</f>
        <v/>
      </c>
      <c r="AP399" s="36" t="str">
        <f aca="false">IF(OR(AN399="Revenue",AN399="Cost of Goods Sold",AN399="Expenditures",AN399="Other Revenue",AN399="Other Expenditures"),AO399,IF(AND(LEN(AN399)&gt;2,MID(AN399,2,1)=" ",ISNUMBER(VALUE(LEFT(AN399,1)))),AN399,AP398))</f>
        <v/>
      </c>
      <c r="AQ399" s="36" t="n">
        <f aca="false">IF(AND(AN399&lt;&gt;"",ISNUMBER(AL399),LEFT(AN399,9)&lt;&gt;"Total for",AN399&lt;&gt;"Gross Profit",AN399&lt;&gt;"Net Operating Revenue",AN399&lt;&gt;"Net Other Revenue",AN399&lt;&gt;"Net Revenue"),1,0)</f>
        <v>0</v>
      </c>
      <c r="AR399" s="36" t="str">
        <f aca="false">IF(AQ399=1,IF(AND(LEN(AN399)&gt;7,ISNUMBER(VALUE(LEFT(AN399,6))),MID(AN399,7,1)=" "),LEFT(AN399,6),AN399),"")</f>
        <v/>
      </c>
    </row>
    <row r="400" customFormat="false" ht="15" hidden="false" customHeight="false" outlineLevel="0" collapsed="false">
      <c r="D400" s="36" t="str">
        <f aca="false">TRIM(A400)</f>
        <v/>
      </c>
      <c r="E400" s="36" t="str">
        <f aca="false">IF(D400="Revenue","Revenue",IF(D400="Cost of Goods Sold","COGS",IF(D400="Expenditures","Expense",IF(D400="Other Revenue","Other Revenue",IF(D400="Other Expenditures","Other Expense",E399)))))</f>
        <v/>
      </c>
      <c r="F400" s="36" t="str">
        <f aca="false">IF(OR(D400="Revenue",D400="Cost of Goods Sold",D400="Expenditures",D400="Other Revenue",D400="Other Expenditures"),E400,IF(AND(LEN(D400)&gt;2,MID(D400,2,1)=" ",ISNUMBER(VALUE(LEFT(D400,1)))),D400,F399))</f>
        <v/>
      </c>
      <c r="G400" s="36" t="n">
        <f aca="false">IF(AND(D400&lt;&gt;"",ISNUMBER(B400),LEFT(D400,9)&lt;&gt;"Total for",D400&lt;&gt;"Gross Profit",D400&lt;&gt;"Net Operating Revenue",D400&lt;&gt;"Net Other Revenue",D400&lt;&gt;"Net Revenue"),1,0)</f>
        <v>0</v>
      </c>
      <c r="H400" s="36" t="str">
        <f aca="false">IF(G400=1,IF(AND(LEN(D400)&gt;7,ISNUMBER(VALUE(LEFT(D400,6))),MID(D400,7,1)=" "),LEFT(D400,6),D400),"")</f>
        <v/>
      </c>
      <c r="M400" s="36" t="str">
        <f aca="false">TRIM(J400)</f>
        <v/>
      </c>
      <c r="N400" s="36" t="str">
        <f aca="false">IF(M400="Revenue","Revenue",IF(M400="Cost of Goods Sold","COGS",IF(M400="Expenditures","Expense",IF(M400="Other Revenue","Other Revenue",IF(M400="Other Expenditures","Other Expense",N399)))))</f>
        <v/>
      </c>
      <c r="O400" s="36" t="str">
        <f aca="false">IF(OR(M400="Revenue",M400="Cost of Goods Sold",M400="Expenditures",M400="Other Revenue",M400="Other Expenditures"),N400,IF(AND(LEN(M400)&gt;2,MID(M400,2,1)=" ",ISNUMBER(VALUE(LEFT(M400,1)))),M400,O399))</f>
        <v/>
      </c>
      <c r="P400" s="36" t="n">
        <f aca="false">IF(AND(M400&lt;&gt;"",ISNUMBER(K400),LEFT(M400,9)&lt;&gt;"Total for",M400&lt;&gt;"Gross Profit",M400&lt;&gt;"Net Operating Revenue",M400&lt;&gt;"Net Other Revenue",M400&lt;&gt;"Net Revenue"),1,0)</f>
        <v>0</v>
      </c>
      <c r="Q400" s="36" t="str">
        <f aca="false">IF(P400=1,IF(AND(LEN(M400)&gt;7,ISNUMBER(VALUE(LEFT(M400,6))),MID(M400,7,1)=" "),LEFT(M400,6),M400),"")</f>
        <v/>
      </c>
      <c r="V400" s="36" t="str">
        <f aca="false">TRIM(S400)</f>
        <v/>
      </c>
      <c r="W400" s="36" t="str">
        <f aca="false">IF(V400="Revenue","Revenue",IF(V400="Cost of Goods Sold","COGS",IF(V400="Expenditures","Expense",IF(V400="Other Revenue","Other Revenue",IF(V400="Other Expenditures","Other Expense",W399)))))</f>
        <v/>
      </c>
      <c r="X400" s="36" t="str">
        <f aca="false">IF(OR(V400="Revenue",V400="Cost of Goods Sold",V400="Expenditures",V400="Other Revenue",V400="Other Expenditures"),W400,IF(AND(LEN(V400)&gt;2,MID(V400,2,1)=" ",ISNUMBER(VALUE(LEFT(V400,1)))),V400,X399))</f>
        <v/>
      </c>
      <c r="Y400" s="36" t="n">
        <f aca="false">IF(AND(V400&lt;&gt;"",ISNUMBER(T400),LEFT(V400,9)&lt;&gt;"Total for",V400&lt;&gt;"Gross Profit",V400&lt;&gt;"Net Operating Revenue",V400&lt;&gt;"Net Other Revenue",V400&lt;&gt;"Net Revenue"),1,0)</f>
        <v>0</v>
      </c>
      <c r="Z400" s="36" t="str">
        <f aca="false">IF(Y400=1,IF(AND(LEN(V400)&gt;7,ISNUMBER(VALUE(LEFT(V400,6))),MID(V400,7,1)=" "),LEFT(V400,6),V400),"")</f>
        <v/>
      </c>
      <c r="AE400" s="36" t="str">
        <f aca="false">TRIM(AB400)</f>
        <v/>
      </c>
      <c r="AF400" s="36" t="str">
        <f aca="false">IF(AE400="Revenue","Revenue",IF(AE400="Cost of Goods Sold","COGS",IF(AE400="Expenditures","Expense",IF(AE400="Other Revenue","Other Revenue",IF(AE400="Other Expenditures","Other Expense",AF399)))))</f>
        <v/>
      </c>
      <c r="AG400" s="36" t="str">
        <f aca="false">IF(OR(AE400="Revenue",AE400="Cost of Goods Sold",AE400="Expenditures",AE400="Other Revenue",AE400="Other Expenditures"),AF400,IF(AND(LEN(AE400)&gt;2,MID(AE400,2,1)=" ",ISNUMBER(VALUE(LEFT(AE400,1)))),AE400,AG399))</f>
        <v/>
      </c>
      <c r="AH400" s="36" t="n">
        <f aca="false">IF(AND(AE400&lt;&gt;"",ISNUMBER(AC400),LEFT(AE400,9)&lt;&gt;"Total for",AE400&lt;&gt;"Gross Profit",AE400&lt;&gt;"Net Operating Revenue",AE400&lt;&gt;"Net Other Revenue",AE400&lt;&gt;"Net Revenue"),1,0)</f>
        <v>0</v>
      </c>
      <c r="AI400" s="36" t="str">
        <f aca="false">IF(AH400=1,IF(AND(LEN(AE400)&gt;7,ISNUMBER(VALUE(LEFT(AE400,6))),MID(AE400,7,1)=" "),LEFT(AE400,6),AE400),"")</f>
        <v/>
      </c>
      <c r="AN400" s="36" t="str">
        <f aca="false">TRIM(AK400)</f>
        <v/>
      </c>
      <c r="AO400" s="36" t="str">
        <f aca="false">IF(AN400="Revenue","Revenue",IF(AN400="Cost of Goods Sold","COGS",IF(AN400="Expenditures","Expense",IF(AN400="Other Revenue","Other Revenue",IF(AN400="Other Expenditures","Other Expense",AO399)))))</f>
        <v/>
      </c>
      <c r="AP400" s="36" t="str">
        <f aca="false">IF(OR(AN400="Revenue",AN400="Cost of Goods Sold",AN400="Expenditures",AN400="Other Revenue",AN400="Other Expenditures"),AO400,IF(AND(LEN(AN400)&gt;2,MID(AN400,2,1)=" ",ISNUMBER(VALUE(LEFT(AN400,1)))),AN400,AP399))</f>
        <v/>
      </c>
      <c r="AQ400" s="36" t="n">
        <f aca="false">IF(AND(AN400&lt;&gt;"",ISNUMBER(AL400),LEFT(AN400,9)&lt;&gt;"Total for",AN400&lt;&gt;"Gross Profit",AN400&lt;&gt;"Net Operating Revenue",AN400&lt;&gt;"Net Other Revenue",AN400&lt;&gt;"Net Revenue"),1,0)</f>
        <v>0</v>
      </c>
      <c r="AR400" s="36" t="str">
        <f aca="false">IF(AQ400=1,IF(AND(LEN(AN400)&gt;7,ISNUMBER(VALUE(LEFT(AN400,6))),MID(AN400,7,1)=" "),LEFT(AN400,6),AN400),"")</f>
        <v/>
      </c>
    </row>
    <row r="401" customFormat="false" ht="15" hidden="false" customHeight="false" outlineLevel="0" collapsed="false">
      <c r="D401" s="36" t="str">
        <f aca="false">TRIM(A401)</f>
        <v/>
      </c>
      <c r="E401" s="36" t="str">
        <f aca="false">IF(D401="Revenue","Revenue",IF(D401="Cost of Goods Sold","COGS",IF(D401="Expenditures","Expense",IF(D401="Other Revenue","Other Revenue",IF(D401="Other Expenditures","Other Expense",E400)))))</f>
        <v/>
      </c>
      <c r="F401" s="36" t="str">
        <f aca="false">IF(OR(D401="Revenue",D401="Cost of Goods Sold",D401="Expenditures",D401="Other Revenue",D401="Other Expenditures"),E401,IF(AND(LEN(D401)&gt;2,MID(D401,2,1)=" ",ISNUMBER(VALUE(LEFT(D401,1)))),D401,F400))</f>
        <v/>
      </c>
      <c r="G401" s="36" t="n">
        <f aca="false">IF(AND(D401&lt;&gt;"",ISNUMBER(B401),LEFT(D401,9)&lt;&gt;"Total for",D401&lt;&gt;"Gross Profit",D401&lt;&gt;"Net Operating Revenue",D401&lt;&gt;"Net Other Revenue",D401&lt;&gt;"Net Revenue"),1,0)</f>
        <v>0</v>
      </c>
      <c r="H401" s="36" t="str">
        <f aca="false">IF(G401=1,IF(AND(LEN(D401)&gt;7,ISNUMBER(VALUE(LEFT(D401,6))),MID(D401,7,1)=" "),LEFT(D401,6),D401),"")</f>
        <v/>
      </c>
      <c r="M401" s="36" t="str">
        <f aca="false">TRIM(J401)</f>
        <v/>
      </c>
      <c r="N401" s="36" t="str">
        <f aca="false">IF(M401="Revenue","Revenue",IF(M401="Cost of Goods Sold","COGS",IF(M401="Expenditures","Expense",IF(M401="Other Revenue","Other Revenue",IF(M401="Other Expenditures","Other Expense",N400)))))</f>
        <v/>
      </c>
      <c r="O401" s="36" t="str">
        <f aca="false">IF(OR(M401="Revenue",M401="Cost of Goods Sold",M401="Expenditures",M401="Other Revenue",M401="Other Expenditures"),N401,IF(AND(LEN(M401)&gt;2,MID(M401,2,1)=" ",ISNUMBER(VALUE(LEFT(M401,1)))),M401,O400))</f>
        <v/>
      </c>
      <c r="P401" s="36" t="n">
        <f aca="false">IF(AND(M401&lt;&gt;"",ISNUMBER(K401),LEFT(M401,9)&lt;&gt;"Total for",M401&lt;&gt;"Gross Profit",M401&lt;&gt;"Net Operating Revenue",M401&lt;&gt;"Net Other Revenue",M401&lt;&gt;"Net Revenue"),1,0)</f>
        <v>0</v>
      </c>
      <c r="Q401" s="36" t="str">
        <f aca="false">IF(P401=1,IF(AND(LEN(M401)&gt;7,ISNUMBER(VALUE(LEFT(M401,6))),MID(M401,7,1)=" "),LEFT(M401,6),M401),"")</f>
        <v/>
      </c>
      <c r="V401" s="36" t="str">
        <f aca="false">TRIM(S401)</f>
        <v/>
      </c>
      <c r="W401" s="36" t="str">
        <f aca="false">IF(V401="Revenue","Revenue",IF(V401="Cost of Goods Sold","COGS",IF(V401="Expenditures","Expense",IF(V401="Other Revenue","Other Revenue",IF(V401="Other Expenditures","Other Expense",W400)))))</f>
        <v/>
      </c>
      <c r="X401" s="36" t="str">
        <f aca="false">IF(OR(V401="Revenue",V401="Cost of Goods Sold",V401="Expenditures",V401="Other Revenue",V401="Other Expenditures"),W401,IF(AND(LEN(V401)&gt;2,MID(V401,2,1)=" ",ISNUMBER(VALUE(LEFT(V401,1)))),V401,X400))</f>
        <v/>
      </c>
      <c r="Y401" s="36" t="n">
        <f aca="false">IF(AND(V401&lt;&gt;"",ISNUMBER(T401),LEFT(V401,9)&lt;&gt;"Total for",V401&lt;&gt;"Gross Profit",V401&lt;&gt;"Net Operating Revenue",V401&lt;&gt;"Net Other Revenue",V401&lt;&gt;"Net Revenue"),1,0)</f>
        <v>0</v>
      </c>
      <c r="Z401" s="36" t="str">
        <f aca="false">IF(Y401=1,IF(AND(LEN(V401)&gt;7,ISNUMBER(VALUE(LEFT(V401,6))),MID(V401,7,1)=" "),LEFT(V401,6),V401),"")</f>
        <v/>
      </c>
      <c r="AE401" s="36" t="str">
        <f aca="false">TRIM(AB401)</f>
        <v/>
      </c>
      <c r="AF401" s="36" t="str">
        <f aca="false">IF(AE401="Revenue","Revenue",IF(AE401="Cost of Goods Sold","COGS",IF(AE401="Expenditures","Expense",IF(AE401="Other Revenue","Other Revenue",IF(AE401="Other Expenditures","Other Expense",AF400)))))</f>
        <v/>
      </c>
      <c r="AG401" s="36" t="str">
        <f aca="false">IF(OR(AE401="Revenue",AE401="Cost of Goods Sold",AE401="Expenditures",AE401="Other Revenue",AE401="Other Expenditures"),AF401,IF(AND(LEN(AE401)&gt;2,MID(AE401,2,1)=" ",ISNUMBER(VALUE(LEFT(AE401,1)))),AE401,AG400))</f>
        <v/>
      </c>
      <c r="AH401" s="36" t="n">
        <f aca="false">IF(AND(AE401&lt;&gt;"",ISNUMBER(AC401),LEFT(AE401,9)&lt;&gt;"Total for",AE401&lt;&gt;"Gross Profit",AE401&lt;&gt;"Net Operating Revenue",AE401&lt;&gt;"Net Other Revenue",AE401&lt;&gt;"Net Revenue"),1,0)</f>
        <v>0</v>
      </c>
      <c r="AI401" s="36" t="str">
        <f aca="false">IF(AH401=1,IF(AND(LEN(AE401)&gt;7,ISNUMBER(VALUE(LEFT(AE401,6))),MID(AE401,7,1)=" "),LEFT(AE401,6),AE401),"")</f>
        <v/>
      </c>
      <c r="AN401" s="36" t="str">
        <f aca="false">TRIM(AK401)</f>
        <v/>
      </c>
      <c r="AO401" s="36" t="str">
        <f aca="false">IF(AN401="Revenue","Revenue",IF(AN401="Cost of Goods Sold","COGS",IF(AN401="Expenditures","Expense",IF(AN401="Other Revenue","Other Revenue",IF(AN401="Other Expenditures","Other Expense",AO400)))))</f>
        <v/>
      </c>
      <c r="AP401" s="36" t="str">
        <f aca="false">IF(OR(AN401="Revenue",AN401="Cost of Goods Sold",AN401="Expenditures",AN401="Other Revenue",AN401="Other Expenditures"),AO401,IF(AND(LEN(AN401)&gt;2,MID(AN401,2,1)=" ",ISNUMBER(VALUE(LEFT(AN401,1)))),AN401,AP400))</f>
        <v/>
      </c>
      <c r="AQ401" s="36" t="n">
        <f aca="false">IF(AND(AN401&lt;&gt;"",ISNUMBER(AL401),LEFT(AN401,9)&lt;&gt;"Total for",AN401&lt;&gt;"Gross Profit",AN401&lt;&gt;"Net Operating Revenue",AN401&lt;&gt;"Net Other Revenue",AN401&lt;&gt;"Net Revenue"),1,0)</f>
        <v>0</v>
      </c>
      <c r="AR401" s="36" t="str">
        <f aca="false">IF(AQ401=1,IF(AND(LEN(AN401)&gt;7,ISNUMBER(VALUE(LEFT(AN401,6))),MID(AN401,7,1)=" "),LEFT(AN401,6),AN401),"")</f>
        <v/>
      </c>
    </row>
    <row r="402" customFormat="false" ht="15" hidden="false" customHeight="false" outlineLevel="0" collapsed="false">
      <c r="D402" s="36" t="str">
        <f aca="false">TRIM(A402)</f>
        <v/>
      </c>
      <c r="E402" s="36" t="str">
        <f aca="false">IF(D402="Revenue","Revenue",IF(D402="Cost of Goods Sold","COGS",IF(D402="Expenditures","Expense",IF(D402="Other Revenue","Other Revenue",IF(D402="Other Expenditures","Other Expense",E401)))))</f>
        <v/>
      </c>
      <c r="F402" s="36" t="str">
        <f aca="false">IF(OR(D402="Revenue",D402="Cost of Goods Sold",D402="Expenditures",D402="Other Revenue",D402="Other Expenditures"),E402,IF(AND(LEN(D402)&gt;2,MID(D402,2,1)=" ",ISNUMBER(VALUE(LEFT(D402,1)))),D402,F401))</f>
        <v/>
      </c>
      <c r="G402" s="36" t="n">
        <f aca="false">IF(AND(D402&lt;&gt;"",ISNUMBER(B402),LEFT(D402,9)&lt;&gt;"Total for",D402&lt;&gt;"Gross Profit",D402&lt;&gt;"Net Operating Revenue",D402&lt;&gt;"Net Other Revenue",D402&lt;&gt;"Net Revenue"),1,0)</f>
        <v>0</v>
      </c>
      <c r="H402" s="36" t="str">
        <f aca="false">IF(G402=1,IF(AND(LEN(D402)&gt;7,ISNUMBER(VALUE(LEFT(D402,6))),MID(D402,7,1)=" "),LEFT(D402,6),D402),"")</f>
        <v/>
      </c>
      <c r="M402" s="36" t="str">
        <f aca="false">TRIM(J402)</f>
        <v/>
      </c>
      <c r="N402" s="36" t="str">
        <f aca="false">IF(M402="Revenue","Revenue",IF(M402="Cost of Goods Sold","COGS",IF(M402="Expenditures","Expense",IF(M402="Other Revenue","Other Revenue",IF(M402="Other Expenditures","Other Expense",N401)))))</f>
        <v/>
      </c>
      <c r="O402" s="36" t="str">
        <f aca="false">IF(OR(M402="Revenue",M402="Cost of Goods Sold",M402="Expenditures",M402="Other Revenue",M402="Other Expenditures"),N402,IF(AND(LEN(M402)&gt;2,MID(M402,2,1)=" ",ISNUMBER(VALUE(LEFT(M402,1)))),M402,O401))</f>
        <v/>
      </c>
      <c r="P402" s="36" t="n">
        <f aca="false">IF(AND(M402&lt;&gt;"",ISNUMBER(K402),LEFT(M402,9)&lt;&gt;"Total for",M402&lt;&gt;"Gross Profit",M402&lt;&gt;"Net Operating Revenue",M402&lt;&gt;"Net Other Revenue",M402&lt;&gt;"Net Revenue"),1,0)</f>
        <v>0</v>
      </c>
      <c r="Q402" s="36" t="str">
        <f aca="false">IF(P402=1,IF(AND(LEN(M402)&gt;7,ISNUMBER(VALUE(LEFT(M402,6))),MID(M402,7,1)=" "),LEFT(M402,6),M402),"")</f>
        <v/>
      </c>
      <c r="V402" s="36" t="str">
        <f aca="false">TRIM(S402)</f>
        <v/>
      </c>
      <c r="W402" s="36" t="str">
        <f aca="false">IF(V402="Revenue","Revenue",IF(V402="Cost of Goods Sold","COGS",IF(V402="Expenditures","Expense",IF(V402="Other Revenue","Other Revenue",IF(V402="Other Expenditures","Other Expense",W401)))))</f>
        <v/>
      </c>
      <c r="X402" s="36" t="str">
        <f aca="false">IF(OR(V402="Revenue",V402="Cost of Goods Sold",V402="Expenditures",V402="Other Revenue",V402="Other Expenditures"),W402,IF(AND(LEN(V402)&gt;2,MID(V402,2,1)=" ",ISNUMBER(VALUE(LEFT(V402,1)))),V402,X401))</f>
        <v/>
      </c>
      <c r="Y402" s="36" t="n">
        <f aca="false">IF(AND(V402&lt;&gt;"",ISNUMBER(T402),LEFT(V402,9)&lt;&gt;"Total for",V402&lt;&gt;"Gross Profit",V402&lt;&gt;"Net Operating Revenue",V402&lt;&gt;"Net Other Revenue",V402&lt;&gt;"Net Revenue"),1,0)</f>
        <v>0</v>
      </c>
      <c r="Z402" s="36" t="str">
        <f aca="false">IF(Y402=1,IF(AND(LEN(V402)&gt;7,ISNUMBER(VALUE(LEFT(V402,6))),MID(V402,7,1)=" "),LEFT(V402,6),V402),"")</f>
        <v/>
      </c>
      <c r="AE402" s="36" t="str">
        <f aca="false">TRIM(AB402)</f>
        <v/>
      </c>
      <c r="AF402" s="36" t="str">
        <f aca="false">IF(AE402="Revenue","Revenue",IF(AE402="Cost of Goods Sold","COGS",IF(AE402="Expenditures","Expense",IF(AE402="Other Revenue","Other Revenue",IF(AE402="Other Expenditures","Other Expense",AF401)))))</f>
        <v/>
      </c>
      <c r="AG402" s="36" t="str">
        <f aca="false">IF(OR(AE402="Revenue",AE402="Cost of Goods Sold",AE402="Expenditures",AE402="Other Revenue",AE402="Other Expenditures"),AF402,IF(AND(LEN(AE402)&gt;2,MID(AE402,2,1)=" ",ISNUMBER(VALUE(LEFT(AE402,1)))),AE402,AG401))</f>
        <v/>
      </c>
      <c r="AH402" s="36" t="n">
        <f aca="false">IF(AND(AE402&lt;&gt;"",ISNUMBER(AC402),LEFT(AE402,9)&lt;&gt;"Total for",AE402&lt;&gt;"Gross Profit",AE402&lt;&gt;"Net Operating Revenue",AE402&lt;&gt;"Net Other Revenue",AE402&lt;&gt;"Net Revenue"),1,0)</f>
        <v>0</v>
      </c>
      <c r="AI402" s="36" t="str">
        <f aca="false">IF(AH402=1,IF(AND(LEN(AE402)&gt;7,ISNUMBER(VALUE(LEFT(AE402,6))),MID(AE402,7,1)=" "),LEFT(AE402,6),AE402),"")</f>
        <v/>
      </c>
      <c r="AN402" s="36" t="str">
        <f aca="false">TRIM(AK402)</f>
        <v/>
      </c>
      <c r="AO402" s="36" t="str">
        <f aca="false">IF(AN402="Revenue","Revenue",IF(AN402="Cost of Goods Sold","COGS",IF(AN402="Expenditures","Expense",IF(AN402="Other Revenue","Other Revenue",IF(AN402="Other Expenditures","Other Expense",AO401)))))</f>
        <v/>
      </c>
      <c r="AP402" s="36" t="str">
        <f aca="false">IF(OR(AN402="Revenue",AN402="Cost of Goods Sold",AN402="Expenditures",AN402="Other Revenue",AN402="Other Expenditures"),AO402,IF(AND(LEN(AN402)&gt;2,MID(AN402,2,1)=" ",ISNUMBER(VALUE(LEFT(AN402,1)))),AN402,AP401))</f>
        <v/>
      </c>
      <c r="AQ402" s="36" t="n">
        <f aca="false">IF(AND(AN402&lt;&gt;"",ISNUMBER(AL402),LEFT(AN402,9)&lt;&gt;"Total for",AN402&lt;&gt;"Gross Profit",AN402&lt;&gt;"Net Operating Revenue",AN402&lt;&gt;"Net Other Revenue",AN402&lt;&gt;"Net Revenue"),1,0)</f>
        <v>0</v>
      </c>
      <c r="AR402" s="36" t="str">
        <f aca="false">IF(AQ402=1,IF(AND(LEN(AN402)&gt;7,ISNUMBER(VALUE(LEFT(AN402,6))),MID(AN402,7,1)=" "),LEFT(AN402,6),AN402),"")</f>
        <v/>
      </c>
    </row>
    <row r="403" customFormat="false" ht="15" hidden="false" customHeight="false" outlineLevel="0" collapsed="false">
      <c r="D403" s="36" t="str">
        <f aca="false">TRIM(A403)</f>
        <v/>
      </c>
      <c r="E403" s="36" t="str">
        <f aca="false">IF(D403="Revenue","Revenue",IF(D403="Cost of Goods Sold","COGS",IF(D403="Expenditures","Expense",IF(D403="Other Revenue","Other Revenue",IF(D403="Other Expenditures","Other Expense",E402)))))</f>
        <v/>
      </c>
      <c r="F403" s="36" t="str">
        <f aca="false">IF(OR(D403="Revenue",D403="Cost of Goods Sold",D403="Expenditures",D403="Other Revenue",D403="Other Expenditures"),E403,IF(AND(LEN(D403)&gt;2,MID(D403,2,1)=" ",ISNUMBER(VALUE(LEFT(D403,1)))),D403,F402))</f>
        <v/>
      </c>
      <c r="G403" s="36" t="n">
        <f aca="false">IF(AND(D403&lt;&gt;"",ISNUMBER(B403),LEFT(D403,9)&lt;&gt;"Total for",D403&lt;&gt;"Gross Profit",D403&lt;&gt;"Net Operating Revenue",D403&lt;&gt;"Net Other Revenue",D403&lt;&gt;"Net Revenue"),1,0)</f>
        <v>0</v>
      </c>
      <c r="H403" s="36" t="str">
        <f aca="false">IF(G403=1,IF(AND(LEN(D403)&gt;7,ISNUMBER(VALUE(LEFT(D403,6))),MID(D403,7,1)=" "),LEFT(D403,6),D403),"")</f>
        <v/>
      </c>
      <c r="M403" s="36" t="str">
        <f aca="false">TRIM(J403)</f>
        <v/>
      </c>
      <c r="N403" s="36" t="str">
        <f aca="false">IF(M403="Revenue","Revenue",IF(M403="Cost of Goods Sold","COGS",IF(M403="Expenditures","Expense",IF(M403="Other Revenue","Other Revenue",IF(M403="Other Expenditures","Other Expense",N402)))))</f>
        <v/>
      </c>
      <c r="O403" s="36" t="str">
        <f aca="false">IF(OR(M403="Revenue",M403="Cost of Goods Sold",M403="Expenditures",M403="Other Revenue",M403="Other Expenditures"),N403,IF(AND(LEN(M403)&gt;2,MID(M403,2,1)=" ",ISNUMBER(VALUE(LEFT(M403,1)))),M403,O402))</f>
        <v/>
      </c>
      <c r="P403" s="36" t="n">
        <f aca="false">IF(AND(M403&lt;&gt;"",ISNUMBER(K403),LEFT(M403,9)&lt;&gt;"Total for",M403&lt;&gt;"Gross Profit",M403&lt;&gt;"Net Operating Revenue",M403&lt;&gt;"Net Other Revenue",M403&lt;&gt;"Net Revenue"),1,0)</f>
        <v>0</v>
      </c>
      <c r="Q403" s="36" t="str">
        <f aca="false">IF(P403=1,IF(AND(LEN(M403)&gt;7,ISNUMBER(VALUE(LEFT(M403,6))),MID(M403,7,1)=" "),LEFT(M403,6),M403),"")</f>
        <v/>
      </c>
      <c r="V403" s="36" t="str">
        <f aca="false">TRIM(S403)</f>
        <v/>
      </c>
      <c r="W403" s="36" t="str">
        <f aca="false">IF(V403="Revenue","Revenue",IF(V403="Cost of Goods Sold","COGS",IF(V403="Expenditures","Expense",IF(V403="Other Revenue","Other Revenue",IF(V403="Other Expenditures","Other Expense",W402)))))</f>
        <v/>
      </c>
      <c r="X403" s="36" t="str">
        <f aca="false">IF(OR(V403="Revenue",V403="Cost of Goods Sold",V403="Expenditures",V403="Other Revenue",V403="Other Expenditures"),W403,IF(AND(LEN(V403)&gt;2,MID(V403,2,1)=" ",ISNUMBER(VALUE(LEFT(V403,1)))),V403,X402))</f>
        <v/>
      </c>
      <c r="Y403" s="36" t="n">
        <f aca="false">IF(AND(V403&lt;&gt;"",ISNUMBER(T403),LEFT(V403,9)&lt;&gt;"Total for",V403&lt;&gt;"Gross Profit",V403&lt;&gt;"Net Operating Revenue",V403&lt;&gt;"Net Other Revenue",V403&lt;&gt;"Net Revenue"),1,0)</f>
        <v>0</v>
      </c>
      <c r="Z403" s="36" t="str">
        <f aca="false">IF(Y403=1,IF(AND(LEN(V403)&gt;7,ISNUMBER(VALUE(LEFT(V403,6))),MID(V403,7,1)=" "),LEFT(V403,6),V403),"")</f>
        <v/>
      </c>
      <c r="AE403" s="36" t="str">
        <f aca="false">TRIM(AB403)</f>
        <v/>
      </c>
      <c r="AF403" s="36" t="str">
        <f aca="false">IF(AE403="Revenue","Revenue",IF(AE403="Cost of Goods Sold","COGS",IF(AE403="Expenditures","Expense",IF(AE403="Other Revenue","Other Revenue",IF(AE403="Other Expenditures","Other Expense",AF402)))))</f>
        <v/>
      </c>
      <c r="AG403" s="36" t="str">
        <f aca="false">IF(OR(AE403="Revenue",AE403="Cost of Goods Sold",AE403="Expenditures",AE403="Other Revenue",AE403="Other Expenditures"),AF403,IF(AND(LEN(AE403)&gt;2,MID(AE403,2,1)=" ",ISNUMBER(VALUE(LEFT(AE403,1)))),AE403,AG402))</f>
        <v/>
      </c>
      <c r="AH403" s="36" t="n">
        <f aca="false">IF(AND(AE403&lt;&gt;"",ISNUMBER(AC403),LEFT(AE403,9)&lt;&gt;"Total for",AE403&lt;&gt;"Gross Profit",AE403&lt;&gt;"Net Operating Revenue",AE403&lt;&gt;"Net Other Revenue",AE403&lt;&gt;"Net Revenue"),1,0)</f>
        <v>0</v>
      </c>
      <c r="AI403" s="36" t="str">
        <f aca="false">IF(AH403=1,IF(AND(LEN(AE403)&gt;7,ISNUMBER(VALUE(LEFT(AE403,6))),MID(AE403,7,1)=" "),LEFT(AE403,6),AE403),"")</f>
        <v/>
      </c>
      <c r="AN403" s="36" t="str">
        <f aca="false">TRIM(AK403)</f>
        <v/>
      </c>
      <c r="AO403" s="36" t="str">
        <f aca="false">IF(AN403="Revenue","Revenue",IF(AN403="Cost of Goods Sold","COGS",IF(AN403="Expenditures","Expense",IF(AN403="Other Revenue","Other Revenue",IF(AN403="Other Expenditures","Other Expense",AO402)))))</f>
        <v/>
      </c>
      <c r="AP403" s="36" t="str">
        <f aca="false">IF(OR(AN403="Revenue",AN403="Cost of Goods Sold",AN403="Expenditures",AN403="Other Revenue",AN403="Other Expenditures"),AO403,IF(AND(LEN(AN403)&gt;2,MID(AN403,2,1)=" ",ISNUMBER(VALUE(LEFT(AN403,1)))),AN403,AP402))</f>
        <v/>
      </c>
      <c r="AQ403" s="36" t="n">
        <f aca="false">IF(AND(AN403&lt;&gt;"",ISNUMBER(AL403),LEFT(AN403,9)&lt;&gt;"Total for",AN403&lt;&gt;"Gross Profit",AN403&lt;&gt;"Net Operating Revenue",AN403&lt;&gt;"Net Other Revenue",AN403&lt;&gt;"Net Revenue"),1,0)</f>
        <v>0</v>
      </c>
      <c r="AR403" s="36" t="str">
        <f aca="false">IF(AQ403=1,IF(AND(LEN(AN403)&gt;7,ISNUMBER(VALUE(LEFT(AN403,6))),MID(AN403,7,1)=" "),LEFT(AN403,6),AN403),"")</f>
        <v/>
      </c>
    </row>
    <row r="404" customFormat="false" ht="15" hidden="false" customHeight="false" outlineLevel="0" collapsed="false">
      <c r="D404" s="36" t="str">
        <f aca="false">TRIM(A404)</f>
        <v/>
      </c>
      <c r="E404" s="36" t="str">
        <f aca="false">IF(D404="Revenue","Revenue",IF(D404="Cost of Goods Sold","COGS",IF(D404="Expenditures","Expense",IF(D404="Other Revenue","Other Revenue",IF(D404="Other Expenditures","Other Expense",E403)))))</f>
        <v/>
      </c>
      <c r="F404" s="36" t="str">
        <f aca="false">IF(OR(D404="Revenue",D404="Cost of Goods Sold",D404="Expenditures",D404="Other Revenue",D404="Other Expenditures"),E404,IF(AND(LEN(D404)&gt;2,MID(D404,2,1)=" ",ISNUMBER(VALUE(LEFT(D404,1)))),D404,F403))</f>
        <v/>
      </c>
      <c r="G404" s="36" t="n">
        <f aca="false">IF(AND(D404&lt;&gt;"",ISNUMBER(B404),LEFT(D404,9)&lt;&gt;"Total for",D404&lt;&gt;"Gross Profit",D404&lt;&gt;"Net Operating Revenue",D404&lt;&gt;"Net Other Revenue",D404&lt;&gt;"Net Revenue"),1,0)</f>
        <v>0</v>
      </c>
      <c r="H404" s="36" t="str">
        <f aca="false">IF(G404=1,IF(AND(LEN(D404)&gt;7,ISNUMBER(VALUE(LEFT(D404,6))),MID(D404,7,1)=" "),LEFT(D404,6),D404),"")</f>
        <v/>
      </c>
      <c r="M404" s="36" t="str">
        <f aca="false">TRIM(J404)</f>
        <v/>
      </c>
      <c r="N404" s="36" t="str">
        <f aca="false">IF(M404="Revenue","Revenue",IF(M404="Cost of Goods Sold","COGS",IF(M404="Expenditures","Expense",IF(M404="Other Revenue","Other Revenue",IF(M404="Other Expenditures","Other Expense",N403)))))</f>
        <v/>
      </c>
      <c r="O404" s="36" t="str">
        <f aca="false">IF(OR(M404="Revenue",M404="Cost of Goods Sold",M404="Expenditures",M404="Other Revenue",M404="Other Expenditures"),N404,IF(AND(LEN(M404)&gt;2,MID(M404,2,1)=" ",ISNUMBER(VALUE(LEFT(M404,1)))),M404,O403))</f>
        <v/>
      </c>
      <c r="P404" s="36" t="n">
        <f aca="false">IF(AND(M404&lt;&gt;"",ISNUMBER(K404),LEFT(M404,9)&lt;&gt;"Total for",M404&lt;&gt;"Gross Profit",M404&lt;&gt;"Net Operating Revenue",M404&lt;&gt;"Net Other Revenue",M404&lt;&gt;"Net Revenue"),1,0)</f>
        <v>0</v>
      </c>
      <c r="Q404" s="36" t="str">
        <f aca="false">IF(P404=1,IF(AND(LEN(M404)&gt;7,ISNUMBER(VALUE(LEFT(M404,6))),MID(M404,7,1)=" "),LEFT(M404,6),M404),"")</f>
        <v/>
      </c>
      <c r="V404" s="36" t="str">
        <f aca="false">TRIM(S404)</f>
        <v/>
      </c>
      <c r="W404" s="36" t="str">
        <f aca="false">IF(V404="Revenue","Revenue",IF(V404="Cost of Goods Sold","COGS",IF(V404="Expenditures","Expense",IF(V404="Other Revenue","Other Revenue",IF(V404="Other Expenditures","Other Expense",W403)))))</f>
        <v/>
      </c>
      <c r="X404" s="36" t="str">
        <f aca="false">IF(OR(V404="Revenue",V404="Cost of Goods Sold",V404="Expenditures",V404="Other Revenue",V404="Other Expenditures"),W404,IF(AND(LEN(V404)&gt;2,MID(V404,2,1)=" ",ISNUMBER(VALUE(LEFT(V404,1)))),V404,X403))</f>
        <v/>
      </c>
      <c r="Y404" s="36" t="n">
        <f aca="false">IF(AND(V404&lt;&gt;"",ISNUMBER(T404),LEFT(V404,9)&lt;&gt;"Total for",V404&lt;&gt;"Gross Profit",V404&lt;&gt;"Net Operating Revenue",V404&lt;&gt;"Net Other Revenue",V404&lt;&gt;"Net Revenue"),1,0)</f>
        <v>0</v>
      </c>
      <c r="Z404" s="36" t="str">
        <f aca="false">IF(Y404=1,IF(AND(LEN(V404)&gt;7,ISNUMBER(VALUE(LEFT(V404,6))),MID(V404,7,1)=" "),LEFT(V404,6),V404),"")</f>
        <v/>
      </c>
      <c r="AE404" s="36" t="str">
        <f aca="false">TRIM(AB404)</f>
        <v/>
      </c>
      <c r="AF404" s="36" t="str">
        <f aca="false">IF(AE404="Revenue","Revenue",IF(AE404="Cost of Goods Sold","COGS",IF(AE404="Expenditures","Expense",IF(AE404="Other Revenue","Other Revenue",IF(AE404="Other Expenditures","Other Expense",AF403)))))</f>
        <v/>
      </c>
      <c r="AG404" s="36" t="str">
        <f aca="false">IF(OR(AE404="Revenue",AE404="Cost of Goods Sold",AE404="Expenditures",AE404="Other Revenue",AE404="Other Expenditures"),AF404,IF(AND(LEN(AE404)&gt;2,MID(AE404,2,1)=" ",ISNUMBER(VALUE(LEFT(AE404,1)))),AE404,AG403))</f>
        <v/>
      </c>
      <c r="AH404" s="36" t="n">
        <f aca="false">IF(AND(AE404&lt;&gt;"",ISNUMBER(AC404),LEFT(AE404,9)&lt;&gt;"Total for",AE404&lt;&gt;"Gross Profit",AE404&lt;&gt;"Net Operating Revenue",AE404&lt;&gt;"Net Other Revenue",AE404&lt;&gt;"Net Revenue"),1,0)</f>
        <v>0</v>
      </c>
      <c r="AI404" s="36" t="str">
        <f aca="false">IF(AH404=1,IF(AND(LEN(AE404)&gt;7,ISNUMBER(VALUE(LEFT(AE404,6))),MID(AE404,7,1)=" "),LEFT(AE404,6),AE404),"")</f>
        <v/>
      </c>
      <c r="AN404" s="36" t="str">
        <f aca="false">TRIM(AK404)</f>
        <v/>
      </c>
      <c r="AO404" s="36" t="str">
        <f aca="false">IF(AN404="Revenue","Revenue",IF(AN404="Cost of Goods Sold","COGS",IF(AN404="Expenditures","Expense",IF(AN404="Other Revenue","Other Revenue",IF(AN404="Other Expenditures","Other Expense",AO403)))))</f>
        <v/>
      </c>
      <c r="AP404" s="36" t="str">
        <f aca="false">IF(OR(AN404="Revenue",AN404="Cost of Goods Sold",AN404="Expenditures",AN404="Other Revenue",AN404="Other Expenditures"),AO404,IF(AND(LEN(AN404)&gt;2,MID(AN404,2,1)=" ",ISNUMBER(VALUE(LEFT(AN404,1)))),AN404,AP403))</f>
        <v/>
      </c>
      <c r="AQ404" s="36" t="n">
        <f aca="false">IF(AND(AN404&lt;&gt;"",ISNUMBER(AL404),LEFT(AN404,9)&lt;&gt;"Total for",AN404&lt;&gt;"Gross Profit",AN404&lt;&gt;"Net Operating Revenue",AN404&lt;&gt;"Net Other Revenue",AN404&lt;&gt;"Net Revenue"),1,0)</f>
        <v>0</v>
      </c>
      <c r="AR404" s="36" t="str">
        <f aca="false">IF(AQ404=1,IF(AND(LEN(AN404)&gt;7,ISNUMBER(VALUE(LEFT(AN404,6))),MID(AN404,7,1)=" "),LEFT(AN404,6),AN404),"")</f>
        <v/>
      </c>
    </row>
    <row r="405" customFormat="false" ht="15" hidden="false" customHeight="false" outlineLevel="0" collapsed="false">
      <c r="D405" s="36" t="str">
        <f aca="false">TRIM(A405)</f>
        <v/>
      </c>
      <c r="E405" s="36" t="str">
        <f aca="false">IF(D405="Revenue","Revenue",IF(D405="Cost of Goods Sold","COGS",IF(D405="Expenditures","Expense",IF(D405="Other Revenue","Other Revenue",IF(D405="Other Expenditures","Other Expense",E404)))))</f>
        <v/>
      </c>
      <c r="F405" s="36" t="str">
        <f aca="false">IF(OR(D405="Revenue",D405="Cost of Goods Sold",D405="Expenditures",D405="Other Revenue",D405="Other Expenditures"),E405,IF(AND(LEN(D405)&gt;2,MID(D405,2,1)=" ",ISNUMBER(VALUE(LEFT(D405,1)))),D405,F404))</f>
        <v/>
      </c>
      <c r="G405" s="36" t="n">
        <f aca="false">IF(AND(D405&lt;&gt;"",ISNUMBER(B405),LEFT(D405,9)&lt;&gt;"Total for",D405&lt;&gt;"Gross Profit",D405&lt;&gt;"Net Operating Revenue",D405&lt;&gt;"Net Other Revenue",D405&lt;&gt;"Net Revenue"),1,0)</f>
        <v>0</v>
      </c>
      <c r="H405" s="36" t="str">
        <f aca="false">IF(G405=1,IF(AND(LEN(D405)&gt;7,ISNUMBER(VALUE(LEFT(D405,6))),MID(D405,7,1)=" "),LEFT(D405,6),D405),"")</f>
        <v/>
      </c>
      <c r="M405" s="36" t="str">
        <f aca="false">TRIM(J405)</f>
        <v/>
      </c>
      <c r="N405" s="36" t="str">
        <f aca="false">IF(M405="Revenue","Revenue",IF(M405="Cost of Goods Sold","COGS",IF(M405="Expenditures","Expense",IF(M405="Other Revenue","Other Revenue",IF(M405="Other Expenditures","Other Expense",N404)))))</f>
        <v/>
      </c>
      <c r="O405" s="36" t="str">
        <f aca="false">IF(OR(M405="Revenue",M405="Cost of Goods Sold",M405="Expenditures",M405="Other Revenue",M405="Other Expenditures"),N405,IF(AND(LEN(M405)&gt;2,MID(M405,2,1)=" ",ISNUMBER(VALUE(LEFT(M405,1)))),M405,O404))</f>
        <v/>
      </c>
      <c r="P405" s="36" t="n">
        <f aca="false">IF(AND(M405&lt;&gt;"",ISNUMBER(K405),LEFT(M405,9)&lt;&gt;"Total for",M405&lt;&gt;"Gross Profit",M405&lt;&gt;"Net Operating Revenue",M405&lt;&gt;"Net Other Revenue",M405&lt;&gt;"Net Revenue"),1,0)</f>
        <v>0</v>
      </c>
      <c r="Q405" s="36" t="str">
        <f aca="false">IF(P405=1,IF(AND(LEN(M405)&gt;7,ISNUMBER(VALUE(LEFT(M405,6))),MID(M405,7,1)=" "),LEFT(M405,6),M405),"")</f>
        <v/>
      </c>
      <c r="V405" s="36" t="str">
        <f aca="false">TRIM(S405)</f>
        <v/>
      </c>
      <c r="W405" s="36" t="str">
        <f aca="false">IF(V405="Revenue","Revenue",IF(V405="Cost of Goods Sold","COGS",IF(V405="Expenditures","Expense",IF(V405="Other Revenue","Other Revenue",IF(V405="Other Expenditures","Other Expense",W404)))))</f>
        <v/>
      </c>
      <c r="X405" s="36" t="str">
        <f aca="false">IF(OR(V405="Revenue",V405="Cost of Goods Sold",V405="Expenditures",V405="Other Revenue",V405="Other Expenditures"),W405,IF(AND(LEN(V405)&gt;2,MID(V405,2,1)=" ",ISNUMBER(VALUE(LEFT(V405,1)))),V405,X404))</f>
        <v/>
      </c>
      <c r="Y405" s="36" t="n">
        <f aca="false">IF(AND(V405&lt;&gt;"",ISNUMBER(T405),LEFT(V405,9)&lt;&gt;"Total for",V405&lt;&gt;"Gross Profit",V405&lt;&gt;"Net Operating Revenue",V405&lt;&gt;"Net Other Revenue",V405&lt;&gt;"Net Revenue"),1,0)</f>
        <v>0</v>
      </c>
      <c r="Z405" s="36" t="str">
        <f aca="false">IF(Y405=1,IF(AND(LEN(V405)&gt;7,ISNUMBER(VALUE(LEFT(V405,6))),MID(V405,7,1)=" "),LEFT(V405,6),V405),"")</f>
        <v/>
      </c>
      <c r="AE405" s="36" t="str">
        <f aca="false">TRIM(AB405)</f>
        <v/>
      </c>
      <c r="AF405" s="36" t="str">
        <f aca="false">IF(AE405="Revenue","Revenue",IF(AE405="Cost of Goods Sold","COGS",IF(AE405="Expenditures","Expense",IF(AE405="Other Revenue","Other Revenue",IF(AE405="Other Expenditures","Other Expense",AF404)))))</f>
        <v/>
      </c>
      <c r="AG405" s="36" t="str">
        <f aca="false">IF(OR(AE405="Revenue",AE405="Cost of Goods Sold",AE405="Expenditures",AE405="Other Revenue",AE405="Other Expenditures"),AF405,IF(AND(LEN(AE405)&gt;2,MID(AE405,2,1)=" ",ISNUMBER(VALUE(LEFT(AE405,1)))),AE405,AG404))</f>
        <v/>
      </c>
      <c r="AH405" s="36" t="n">
        <f aca="false">IF(AND(AE405&lt;&gt;"",ISNUMBER(AC405),LEFT(AE405,9)&lt;&gt;"Total for",AE405&lt;&gt;"Gross Profit",AE405&lt;&gt;"Net Operating Revenue",AE405&lt;&gt;"Net Other Revenue",AE405&lt;&gt;"Net Revenue"),1,0)</f>
        <v>0</v>
      </c>
      <c r="AI405" s="36" t="str">
        <f aca="false">IF(AH405=1,IF(AND(LEN(AE405)&gt;7,ISNUMBER(VALUE(LEFT(AE405,6))),MID(AE405,7,1)=" "),LEFT(AE405,6),AE405),"")</f>
        <v/>
      </c>
      <c r="AN405" s="36" t="str">
        <f aca="false">TRIM(AK405)</f>
        <v/>
      </c>
      <c r="AO405" s="36" t="str">
        <f aca="false">IF(AN405="Revenue","Revenue",IF(AN405="Cost of Goods Sold","COGS",IF(AN405="Expenditures","Expense",IF(AN405="Other Revenue","Other Revenue",IF(AN405="Other Expenditures","Other Expense",AO404)))))</f>
        <v/>
      </c>
      <c r="AP405" s="36" t="str">
        <f aca="false">IF(OR(AN405="Revenue",AN405="Cost of Goods Sold",AN405="Expenditures",AN405="Other Revenue",AN405="Other Expenditures"),AO405,IF(AND(LEN(AN405)&gt;2,MID(AN405,2,1)=" ",ISNUMBER(VALUE(LEFT(AN405,1)))),AN405,AP404))</f>
        <v/>
      </c>
      <c r="AQ405" s="36" t="n">
        <f aca="false">IF(AND(AN405&lt;&gt;"",ISNUMBER(AL405),LEFT(AN405,9)&lt;&gt;"Total for",AN405&lt;&gt;"Gross Profit",AN405&lt;&gt;"Net Operating Revenue",AN405&lt;&gt;"Net Other Revenue",AN405&lt;&gt;"Net Revenue"),1,0)</f>
        <v>0</v>
      </c>
      <c r="AR405" s="36" t="str">
        <f aca="false">IF(AQ405=1,IF(AND(LEN(AN405)&gt;7,ISNUMBER(VALUE(LEFT(AN405,6))),MID(AN405,7,1)=" "),LEFT(AN405,6),AN405),"")</f>
        <v/>
      </c>
    </row>
    <row r="406" customFormat="false" ht="15" hidden="false" customHeight="false" outlineLevel="0" collapsed="false">
      <c r="D406" s="36" t="str">
        <f aca="false">TRIM(A406)</f>
        <v/>
      </c>
      <c r="E406" s="36" t="str">
        <f aca="false">IF(D406="Revenue","Revenue",IF(D406="Cost of Goods Sold","COGS",IF(D406="Expenditures","Expense",IF(D406="Other Revenue","Other Revenue",IF(D406="Other Expenditures","Other Expense",E405)))))</f>
        <v/>
      </c>
      <c r="F406" s="36" t="str">
        <f aca="false">IF(OR(D406="Revenue",D406="Cost of Goods Sold",D406="Expenditures",D406="Other Revenue",D406="Other Expenditures"),E406,IF(AND(LEN(D406)&gt;2,MID(D406,2,1)=" ",ISNUMBER(VALUE(LEFT(D406,1)))),D406,F405))</f>
        <v/>
      </c>
      <c r="G406" s="36" t="n">
        <f aca="false">IF(AND(D406&lt;&gt;"",ISNUMBER(B406),LEFT(D406,9)&lt;&gt;"Total for",D406&lt;&gt;"Gross Profit",D406&lt;&gt;"Net Operating Revenue",D406&lt;&gt;"Net Other Revenue",D406&lt;&gt;"Net Revenue"),1,0)</f>
        <v>0</v>
      </c>
      <c r="H406" s="36" t="str">
        <f aca="false">IF(G406=1,IF(AND(LEN(D406)&gt;7,ISNUMBER(VALUE(LEFT(D406,6))),MID(D406,7,1)=" "),LEFT(D406,6),D406),"")</f>
        <v/>
      </c>
      <c r="M406" s="36" t="str">
        <f aca="false">TRIM(J406)</f>
        <v/>
      </c>
      <c r="N406" s="36" t="str">
        <f aca="false">IF(M406="Revenue","Revenue",IF(M406="Cost of Goods Sold","COGS",IF(M406="Expenditures","Expense",IF(M406="Other Revenue","Other Revenue",IF(M406="Other Expenditures","Other Expense",N405)))))</f>
        <v/>
      </c>
      <c r="O406" s="36" t="str">
        <f aca="false">IF(OR(M406="Revenue",M406="Cost of Goods Sold",M406="Expenditures",M406="Other Revenue",M406="Other Expenditures"),N406,IF(AND(LEN(M406)&gt;2,MID(M406,2,1)=" ",ISNUMBER(VALUE(LEFT(M406,1)))),M406,O405))</f>
        <v/>
      </c>
      <c r="P406" s="36" t="n">
        <f aca="false">IF(AND(M406&lt;&gt;"",ISNUMBER(K406),LEFT(M406,9)&lt;&gt;"Total for",M406&lt;&gt;"Gross Profit",M406&lt;&gt;"Net Operating Revenue",M406&lt;&gt;"Net Other Revenue",M406&lt;&gt;"Net Revenue"),1,0)</f>
        <v>0</v>
      </c>
      <c r="Q406" s="36" t="str">
        <f aca="false">IF(P406=1,IF(AND(LEN(M406)&gt;7,ISNUMBER(VALUE(LEFT(M406,6))),MID(M406,7,1)=" "),LEFT(M406,6),M406),"")</f>
        <v/>
      </c>
      <c r="V406" s="36" t="str">
        <f aca="false">TRIM(S406)</f>
        <v/>
      </c>
      <c r="W406" s="36" t="str">
        <f aca="false">IF(V406="Revenue","Revenue",IF(V406="Cost of Goods Sold","COGS",IF(V406="Expenditures","Expense",IF(V406="Other Revenue","Other Revenue",IF(V406="Other Expenditures","Other Expense",W405)))))</f>
        <v/>
      </c>
      <c r="X406" s="36" t="str">
        <f aca="false">IF(OR(V406="Revenue",V406="Cost of Goods Sold",V406="Expenditures",V406="Other Revenue",V406="Other Expenditures"),W406,IF(AND(LEN(V406)&gt;2,MID(V406,2,1)=" ",ISNUMBER(VALUE(LEFT(V406,1)))),V406,X405))</f>
        <v/>
      </c>
      <c r="Y406" s="36" t="n">
        <f aca="false">IF(AND(V406&lt;&gt;"",ISNUMBER(T406),LEFT(V406,9)&lt;&gt;"Total for",V406&lt;&gt;"Gross Profit",V406&lt;&gt;"Net Operating Revenue",V406&lt;&gt;"Net Other Revenue",V406&lt;&gt;"Net Revenue"),1,0)</f>
        <v>0</v>
      </c>
      <c r="Z406" s="36" t="str">
        <f aca="false">IF(Y406=1,IF(AND(LEN(V406)&gt;7,ISNUMBER(VALUE(LEFT(V406,6))),MID(V406,7,1)=" "),LEFT(V406,6),V406),"")</f>
        <v/>
      </c>
      <c r="AE406" s="36" t="str">
        <f aca="false">TRIM(AB406)</f>
        <v/>
      </c>
      <c r="AF406" s="36" t="str">
        <f aca="false">IF(AE406="Revenue","Revenue",IF(AE406="Cost of Goods Sold","COGS",IF(AE406="Expenditures","Expense",IF(AE406="Other Revenue","Other Revenue",IF(AE406="Other Expenditures","Other Expense",AF405)))))</f>
        <v/>
      </c>
      <c r="AG406" s="36" t="str">
        <f aca="false">IF(OR(AE406="Revenue",AE406="Cost of Goods Sold",AE406="Expenditures",AE406="Other Revenue",AE406="Other Expenditures"),AF406,IF(AND(LEN(AE406)&gt;2,MID(AE406,2,1)=" ",ISNUMBER(VALUE(LEFT(AE406,1)))),AE406,AG405))</f>
        <v/>
      </c>
      <c r="AH406" s="36" t="n">
        <f aca="false">IF(AND(AE406&lt;&gt;"",ISNUMBER(AC406),LEFT(AE406,9)&lt;&gt;"Total for",AE406&lt;&gt;"Gross Profit",AE406&lt;&gt;"Net Operating Revenue",AE406&lt;&gt;"Net Other Revenue",AE406&lt;&gt;"Net Revenue"),1,0)</f>
        <v>0</v>
      </c>
      <c r="AI406" s="36" t="str">
        <f aca="false">IF(AH406=1,IF(AND(LEN(AE406)&gt;7,ISNUMBER(VALUE(LEFT(AE406,6))),MID(AE406,7,1)=" "),LEFT(AE406,6),AE406),"")</f>
        <v/>
      </c>
      <c r="AN406" s="36" t="str">
        <f aca="false">TRIM(AK406)</f>
        <v/>
      </c>
      <c r="AO406" s="36" t="str">
        <f aca="false">IF(AN406="Revenue","Revenue",IF(AN406="Cost of Goods Sold","COGS",IF(AN406="Expenditures","Expense",IF(AN406="Other Revenue","Other Revenue",IF(AN406="Other Expenditures","Other Expense",AO405)))))</f>
        <v/>
      </c>
      <c r="AP406" s="36" t="str">
        <f aca="false">IF(OR(AN406="Revenue",AN406="Cost of Goods Sold",AN406="Expenditures",AN406="Other Revenue",AN406="Other Expenditures"),AO406,IF(AND(LEN(AN406)&gt;2,MID(AN406,2,1)=" ",ISNUMBER(VALUE(LEFT(AN406,1)))),AN406,AP405))</f>
        <v/>
      </c>
      <c r="AQ406" s="36" t="n">
        <f aca="false">IF(AND(AN406&lt;&gt;"",ISNUMBER(AL406),LEFT(AN406,9)&lt;&gt;"Total for",AN406&lt;&gt;"Gross Profit",AN406&lt;&gt;"Net Operating Revenue",AN406&lt;&gt;"Net Other Revenue",AN406&lt;&gt;"Net Revenue"),1,0)</f>
        <v>0</v>
      </c>
      <c r="AR406" s="36" t="str">
        <f aca="false">IF(AQ406=1,IF(AND(LEN(AN406)&gt;7,ISNUMBER(VALUE(LEFT(AN406,6))),MID(AN406,7,1)=" "),LEFT(AN406,6),AN406),"")</f>
        <v/>
      </c>
    </row>
    <row r="407" customFormat="false" ht="15" hidden="false" customHeight="false" outlineLevel="0" collapsed="false">
      <c r="D407" s="36" t="str">
        <f aca="false">TRIM(A407)</f>
        <v/>
      </c>
      <c r="E407" s="36" t="str">
        <f aca="false">IF(D407="Revenue","Revenue",IF(D407="Cost of Goods Sold","COGS",IF(D407="Expenditures","Expense",IF(D407="Other Revenue","Other Revenue",IF(D407="Other Expenditures","Other Expense",E406)))))</f>
        <v/>
      </c>
      <c r="F407" s="36" t="str">
        <f aca="false">IF(OR(D407="Revenue",D407="Cost of Goods Sold",D407="Expenditures",D407="Other Revenue",D407="Other Expenditures"),E407,IF(AND(LEN(D407)&gt;2,MID(D407,2,1)=" ",ISNUMBER(VALUE(LEFT(D407,1)))),D407,F406))</f>
        <v/>
      </c>
      <c r="G407" s="36" t="n">
        <f aca="false">IF(AND(D407&lt;&gt;"",ISNUMBER(B407),LEFT(D407,9)&lt;&gt;"Total for",D407&lt;&gt;"Gross Profit",D407&lt;&gt;"Net Operating Revenue",D407&lt;&gt;"Net Other Revenue",D407&lt;&gt;"Net Revenue"),1,0)</f>
        <v>0</v>
      </c>
      <c r="H407" s="36" t="str">
        <f aca="false">IF(G407=1,IF(AND(LEN(D407)&gt;7,ISNUMBER(VALUE(LEFT(D407,6))),MID(D407,7,1)=" "),LEFT(D407,6),D407),"")</f>
        <v/>
      </c>
      <c r="M407" s="36" t="str">
        <f aca="false">TRIM(J407)</f>
        <v/>
      </c>
      <c r="N407" s="36" t="str">
        <f aca="false">IF(M407="Revenue","Revenue",IF(M407="Cost of Goods Sold","COGS",IF(M407="Expenditures","Expense",IF(M407="Other Revenue","Other Revenue",IF(M407="Other Expenditures","Other Expense",N406)))))</f>
        <v/>
      </c>
      <c r="O407" s="36" t="str">
        <f aca="false">IF(OR(M407="Revenue",M407="Cost of Goods Sold",M407="Expenditures",M407="Other Revenue",M407="Other Expenditures"),N407,IF(AND(LEN(M407)&gt;2,MID(M407,2,1)=" ",ISNUMBER(VALUE(LEFT(M407,1)))),M407,O406))</f>
        <v/>
      </c>
      <c r="P407" s="36" t="n">
        <f aca="false">IF(AND(M407&lt;&gt;"",ISNUMBER(K407),LEFT(M407,9)&lt;&gt;"Total for",M407&lt;&gt;"Gross Profit",M407&lt;&gt;"Net Operating Revenue",M407&lt;&gt;"Net Other Revenue",M407&lt;&gt;"Net Revenue"),1,0)</f>
        <v>0</v>
      </c>
      <c r="Q407" s="36" t="str">
        <f aca="false">IF(P407=1,IF(AND(LEN(M407)&gt;7,ISNUMBER(VALUE(LEFT(M407,6))),MID(M407,7,1)=" "),LEFT(M407,6),M407),"")</f>
        <v/>
      </c>
      <c r="V407" s="36" t="str">
        <f aca="false">TRIM(S407)</f>
        <v/>
      </c>
      <c r="W407" s="36" t="str">
        <f aca="false">IF(V407="Revenue","Revenue",IF(V407="Cost of Goods Sold","COGS",IF(V407="Expenditures","Expense",IF(V407="Other Revenue","Other Revenue",IF(V407="Other Expenditures","Other Expense",W406)))))</f>
        <v/>
      </c>
      <c r="X407" s="36" t="str">
        <f aca="false">IF(OR(V407="Revenue",V407="Cost of Goods Sold",V407="Expenditures",V407="Other Revenue",V407="Other Expenditures"),W407,IF(AND(LEN(V407)&gt;2,MID(V407,2,1)=" ",ISNUMBER(VALUE(LEFT(V407,1)))),V407,X406))</f>
        <v/>
      </c>
      <c r="Y407" s="36" t="n">
        <f aca="false">IF(AND(V407&lt;&gt;"",ISNUMBER(T407),LEFT(V407,9)&lt;&gt;"Total for",V407&lt;&gt;"Gross Profit",V407&lt;&gt;"Net Operating Revenue",V407&lt;&gt;"Net Other Revenue",V407&lt;&gt;"Net Revenue"),1,0)</f>
        <v>0</v>
      </c>
      <c r="Z407" s="36" t="str">
        <f aca="false">IF(Y407=1,IF(AND(LEN(V407)&gt;7,ISNUMBER(VALUE(LEFT(V407,6))),MID(V407,7,1)=" "),LEFT(V407,6),V407),"")</f>
        <v/>
      </c>
      <c r="AE407" s="36" t="str">
        <f aca="false">TRIM(AB407)</f>
        <v/>
      </c>
      <c r="AF407" s="36" t="str">
        <f aca="false">IF(AE407="Revenue","Revenue",IF(AE407="Cost of Goods Sold","COGS",IF(AE407="Expenditures","Expense",IF(AE407="Other Revenue","Other Revenue",IF(AE407="Other Expenditures","Other Expense",AF406)))))</f>
        <v/>
      </c>
      <c r="AG407" s="36" t="str">
        <f aca="false">IF(OR(AE407="Revenue",AE407="Cost of Goods Sold",AE407="Expenditures",AE407="Other Revenue",AE407="Other Expenditures"),AF407,IF(AND(LEN(AE407)&gt;2,MID(AE407,2,1)=" ",ISNUMBER(VALUE(LEFT(AE407,1)))),AE407,AG406))</f>
        <v/>
      </c>
      <c r="AH407" s="36" t="n">
        <f aca="false">IF(AND(AE407&lt;&gt;"",ISNUMBER(AC407),LEFT(AE407,9)&lt;&gt;"Total for",AE407&lt;&gt;"Gross Profit",AE407&lt;&gt;"Net Operating Revenue",AE407&lt;&gt;"Net Other Revenue",AE407&lt;&gt;"Net Revenue"),1,0)</f>
        <v>0</v>
      </c>
      <c r="AI407" s="36" t="str">
        <f aca="false">IF(AH407=1,IF(AND(LEN(AE407)&gt;7,ISNUMBER(VALUE(LEFT(AE407,6))),MID(AE407,7,1)=" "),LEFT(AE407,6),AE407),"")</f>
        <v/>
      </c>
      <c r="AN407" s="36" t="str">
        <f aca="false">TRIM(AK407)</f>
        <v/>
      </c>
      <c r="AO407" s="36" t="str">
        <f aca="false">IF(AN407="Revenue","Revenue",IF(AN407="Cost of Goods Sold","COGS",IF(AN407="Expenditures","Expense",IF(AN407="Other Revenue","Other Revenue",IF(AN407="Other Expenditures","Other Expense",AO406)))))</f>
        <v/>
      </c>
      <c r="AP407" s="36" t="str">
        <f aca="false">IF(OR(AN407="Revenue",AN407="Cost of Goods Sold",AN407="Expenditures",AN407="Other Revenue",AN407="Other Expenditures"),AO407,IF(AND(LEN(AN407)&gt;2,MID(AN407,2,1)=" ",ISNUMBER(VALUE(LEFT(AN407,1)))),AN407,AP406))</f>
        <v/>
      </c>
      <c r="AQ407" s="36" t="n">
        <f aca="false">IF(AND(AN407&lt;&gt;"",ISNUMBER(AL407),LEFT(AN407,9)&lt;&gt;"Total for",AN407&lt;&gt;"Gross Profit",AN407&lt;&gt;"Net Operating Revenue",AN407&lt;&gt;"Net Other Revenue",AN407&lt;&gt;"Net Revenue"),1,0)</f>
        <v>0</v>
      </c>
      <c r="AR407" s="36" t="str">
        <f aca="false">IF(AQ407=1,IF(AND(LEN(AN407)&gt;7,ISNUMBER(VALUE(LEFT(AN407,6))),MID(AN407,7,1)=" "),LEFT(AN407,6),AN407),"")</f>
        <v/>
      </c>
    </row>
    <row r="408" customFormat="false" ht="15" hidden="false" customHeight="false" outlineLevel="0" collapsed="false">
      <c r="D408" s="36" t="str">
        <f aca="false">TRIM(A408)</f>
        <v/>
      </c>
      <c r="E408" s="36" t="str">
        <f aca="false">IF(D408="Revenue","Revenue",IF(D408="Cost of Goods Sold","COGS",IF(D408="Expenditures","Expense",IF(D408="Other Revenue","Other Revenue",IF(D408="Other Expenditures","Other Expense",E407)))))</f>
        <v/>
      </c>
      <c r="F408" s="36" t="str">
        <f aca="false">IF(OR(D408="Revenue",D408="Cost of Goods Sold",D408="Expenditures",D408="Other Revenue",D408="Other Expenditures"),E408,IF(AND(LEN(D408)&gt;2,MID(D408,2,1)=" ",ISNUMBER(VALUE(LEFT(D408,1)))),D408,F407))</f>
        <v/>
      </c>
      <c r="G408" s="36" t="n">
        <f aca="false">IF(AND(D408&lt;&gt;"",ISNUMBER(B408),LEFT(D408,9)&lt;&gt;"Total for",D408&lt;&gt;"Gross Profit",D408&lt;&gt;"Net Operating Revenue",D408&lt;&gt;"Net Other Revenue",D408&lt;&gt;"Net Revenue"),1,0)</f>
        <v>0</v>
      </c>
      <c r="H408" s="36" t="str">
        <f aca="false">IF(G408=1,IF(AND(LEN(D408)&gt;7,ISNUMBER(VALUE(LEFT(D408,6))),MID(D408,7,1)=" "),LEFT(D408,6),D408),"")</f>
        <v/>
      </c>
      <c r="M408" s="36" t="str">
        <f aca="false">TRIM(J408)</f>
        <v/>
      </c>
      <c r="N408" s="36" t="str">
        <f aca="false">IF(M408="Revenue","Revenue",IF(M408="Cost of Goods Sold","COGS",IF(M408="Expenditures","Expense",IF(M408="Other Revenue","Other Revenue",IF(M408="Other Expenditures","Other Expense",N407)))))</f>
        <v/>
      </c>
      <c r="O408" s="36" t="str">
        <f aca="false">IF(OR(M408="Revenue",M408="Cost of Goods Sold",M408="Expenditures",M408="Other Revenue",M408="Other Expenditures"),N408,IF(AND(LEN(M408)&gt;2,MID(M408,2,1)=" ",ISNUMBER(VALUE(LEFT(M408,1)))),M408,O407))</f>
        <v/>
      </c>
      <c r="P408" s="36" t="n">
        <f aca="false">IF(AND(M408&lt;&gt;"",ISNUMBER(K408),LEFT(M408,9)&lt;&gt;"Total for",M408&lt;&gt;"Gross Profit",M408&lt;&gt;"Net Operating Revenue",M408&lt;&gt;"Net Other Revenue",M408&lt;&gt;"Net Revenue"),1,0)</f>
        <v>0</v>
      </c>
      <c r="Q408" s="36" t="str">
        <f aca="false">IF(P408=1,IF(AND(LEN(M408)&gt;7,ISNUMBER(VALUE(LEFT(M408,6))),MID(M408,7,1)=" "),LEFT(M408,6),M408),"")</f>
        <v/>
      </c>
      <c r="V408" s="36" t="str">
        <f aca="false">TRIM(S408)</f>
        <v/>
      </c>
      <c r="W408" s="36" t="str">
        <f aca="false">IF(V408="Revenue","Revenue",IF(V408="Cost of Goods Sold","COGS",IF(V408="Expenditures","Expense",IF(V408="Other Revenue","Other Revenue",IF(V408="Other Expenditures","Other Expense",W407)))))</f>
        <v/>
      </c>
      <c r="X408" s="36" t="str">
        <f aca="false">IF(OR(V408="Revenue",V408="Cost of Goods Sold",V408="Expenditures",V408="Other Revenue",V408="Other Expenditures"),W408,IF(AND(LEN(V408)&gt;2,MID(V408,2,1)=" ",ISNUMBER(VALUE(LEFT(V408,1)))),V408,X407))</f>
        <v/>
      </c>
      <c r="Y408" s="36" t="n">
        <f aca="false">IF(AND(V408&lt;&gt;"",ISNUMBER(T408),LEFT(V408,9)&lt;&gt;"Total for",V408&lt;&gt;"Gross Profit",V408&lt;&gt;"Net Operating Revenue",V408&lt;&gt;"Net Other Revenue",V408&lt;&gt;"Net Revenue"),1,0)</f>
        <v>0</v>
      </c>
      <c r="Z408" s="36" t="str">
        <f aca="false">IF(Y408=1,IF(AND(LEN(V408)&gt;7,ISNUMBER(VALUE(LEFT(V408,6))),MID(V408,7,1)=" "),LEFT(V408,6),V408),"")</f>
        <v/>
      </c>
      <c r="AE408" s="36" t="str">
        <f aca="false">TRIM(AB408)</f>
        <v/>
      </c>
      <c r="AF408" s="36" t="str">
        <f aca="false">IF(AE408="Revenue","Revenue",IF(AE408="Cost of Goods Sold","COGS",IF(AE408="Expenditures","Expense",IF(AE408="Other Revenue","Other Revenue",IF(AE408="Other Expenditures","Other Expense",AF407)))))</f>
        <v/>
      </c>
      <c r="AG408" s="36" t="str">
        <f aca="false">IF(OR(AE408="Revenue",AE408="Cost of Goods Sold",AE408="Expenditures",AE408="Other Revenue",AE408="Other Expenditures"),AF408,IF(AND(LEN(AE408)&gt;2,MID(AE408,2,1)=" ",ISNUMBER(VALUE(LEFT(AE408,1)))),AE408,AG407))</f>
        <v/>
      </c>
      <c r="AH408" s="36" t="n">
        <f aca="false">IF(AND(AE408&lt;&gt;"",ISNUMBER(AC408),LEFT(AE408,9)&lt;&gt;"Total for",AE408&lt;&gt;"Gross Profit",AE408&lt;&gt;"Net Operating Revenue",AE408&lt;&gt;"Net Other Revenue",AE408&lt;&gt;"Net Revenue"),1,0)</f>
        <v>0</v>
      </c>
      <c r="AI408" s="36" t="str">
        <f aca="false">IF(AH408=1,IF(AND(LEN(AE408)&gt;7,ISNUMBER(VALUE(LEFT(AE408,6))),MID(AE408,7,1)=" "),LEFT(AE408,6),AE408),"")</f>
        <v/>
      </c>
      <c r="AN408" s="36" t="str">
        <f aca="false">TRIM(AK408)</f>
        <v/>
      </c>
      <c r="AO408" s="36" t="str">
        <f aca="false">IF(AN408="Revenue","Revenue",IF(AN408="Cost of Goods Sold","COGS",IF(AN408="Expenditures","Expense",IF(AN408="Other Revenue","Other Revenue",IF(AN408="Other Expenditures","Other Expense",AO407)))))</f>
        <v/>
      </c>
      <c r="AP408" s="36" t="str">
        <f aca="false">IF(OR(AN408="Revenue",AN408="Cost of Goods Sold",AN408="Expenditures",AN408="Other Revenue",AN408="Other Expenditures"),AO408,IF(AND(LEN(AN408)&gt;2,MID(AN408,2,1)=" ",ISNUMBER(VALUE(LEFT(AN408,1)))),AN408,AP407))</f>
        <v/>
      </c>
      <c r="AQ408" s="36" t="n">
        <f aca="false">IF(AND(AN408&lt;&gt;"",ISNUMBER(AL408),LEFT(AN408,9)&lt;&gt;"Total for",AN408&lt;&gt;"Gross Profit",AN408&lt;&gt;"Net Operating Revenue",AN408&lt;&gt;"Net Other Revenue",AN408&lt;&gt;"Net Revenue"),1,0)</f>
        <v>0</v>
      </c>
      <c r="AR408" s="36" t="str">
        <f aca="false">IF(AQ408=1,IF(AND(LEN(AN408)&gt;7,ISNUMBER(VALUE(LEFT(AN408,6))),MID(AN408,7,1)=" "),LEFT(AN408,6),AN408),"")</f>
        <v/>
      </c>
    </row>
    <row r="409" customFormat="false" ht="15" hidden="false" customHeight="false" outlineLevel="0" collapsed="false">
      <c r="D409" s="36" t="str">
        <f aca="false">TRIM(A409)</f>
        <v/>
      </c>
      <c r="E409" s="36" t="str">
        <f aca="false">IF(D409="Revenue","Revenue",IF(D409="Cost of Goods Sold","COGS",IF(D409="Expenditures","Expense",IF(D409="Other Revenue","Other Revenue",IF(D409="Other Expenditures","Other Expense",E408)))))</f>
        <v/>
      </c>
      <c r="F409" s="36" t="str">
        <f aca="false">IF(OR(D409="Revenue",D409="Cost of Goods Sold",D409="Expenditures",D409="Other Revenue",D409="Other Expenditures"),E409,IF(AND(LEN(D409)&gt;2,MID(D409,2,1)=" ",ISNUMBER(VALUE(LEFT(D409,1)))),D409,F408))</f>
        <v/>
      </c>
      <c r="G409" s="36" t="n">
        <f aca="false">IF(AND(D409&lt;&gt;"",ISNUMBER(B409),LEFT(D409,9)&lt;&gt;"Total for",D409&lt;&gt;"Gross Profit",D409&lt;&gt;"Net Operating Revenue",D409&lt;&gt;"Net Other Revenue",D409&lt;&gt;"Net Revenue"),1,0)</f>
        <v>0</v>
      </c>
      <c r="H409" s="36" t="str">
        <f aca="false">IF(G409=1,IF(AND(LEN(D409)&gt;7,ISNUMBER(VALUE(LEFT(D409,6))),MID(D409,7,1)=" "),LEFT(D409,6),D409),"")</f>
        <v/>
      </c>
      <c r="M409" s="36" t="str">
        <f aca="false">TRIM(J409)</f>
        <v/>
      </c>
      <c r="N409" s="36" t="str">
        <f aca="false">IF(M409="Revenue","Revenue",IF(M409="Cost of Goods Sold","COGS",IF(M409="Expenditures","Expense",IF(M409="Other Revenue","Other Revenue",IF(M409="Other Expenditures","Other Expense",N408)))))</f>
        <v/>
      </c>
      <c r="O409" s="36" t="str">
        <f aca="false">IF(OR(M409="Revenue",M409="Cost of Goods Sold",M409="Expenditures",M409="Other Revenue",M409="Other Expenditures"),N409,IF(AND(LEN(M409)&gt;2,MID(M409,2,1)=" ",ISNUMBER(VALUE(LEFT(M409,1)))),M409,O408))</f>
        <v/>
      </c>
      <c r="P409" s="36" t="n">
        <f aca="false">IF(AND(M409&lt;&gt;"",ISNUMBER(K409),LEFT(M409,9)&lt;&gt;"Total for",M409&lt;&gt;"Gross Profit",M409&lt;&gt;"Net Operating Revenue",M409&lt;&gt;"Net Other Revenue",M409&lt;&gt;"Net Revenue"),1,0)</f>
        <v>0</v>
      </c>
      <c r="Q409" s="36" t="str">
        <f aca="false">IF(P409=1,IF(AND(LEN(M409)&gt;7,ISNUMBER(VALUE(LEFT(M409,6))),MID(M409,7,1)=" "),LEFT(M409,6),M409),"")</f>
        <v/>
      </c>
      <c r="V409" s="36" t="str">
        <f aca="false">TRIM(S409)</f>
        <v/>
      </c>
      <c r="W409" s="36" t="str">
        <f aca="false">IF(V409="Revenue","Revenue",IF(V409="Cost of Goods Sold","COGS",IF(V409="Expenditures","Expense",IF(V409="Other Revenue","Other Revenue",IF(V409="Other Expenditures","Other Expense",W408)))))</f>
        <v/>
      </c>
      <c r="X409" s="36" t="str">
        <f aca="false">IF(OR(V409="Revenue",V409="Cost of Goods Sold",V409="Expenditures",V409="Other Revenue",V409="Other Expenditures"),W409,IF(AND(LEN(V409)&gt;2,MID(V409,2,1)=" ",ISNUMBER(VALUE(LEFT(V409,1)))),V409,X408))</f>
        <v/>
      </c>
      <c r="Y409" s="36" t="n">
        <f aca="false">IF(AND(V409&lt;&gt;"",ISNUMBER(T409),LEFT(V409,9)&lt;&gt;"Total for",V409&lt;&gt;"Gross Profit",V409&lt;&gt;"Net Operating Revenue",V409&lt;&gt;"Net Other Revenue",V409&lt;&gt;"Net Revenue"),1,0)</f>
        <v>0</v>
      </c>
      <c r="Z409" s="36" t="str">
        <f aca="false">IF(Y409=1,IF(AND(LEN(V409)&gt;7,ISNUMBER(VALUE(LEFT(V409,6))),MID(V409,7,1)=" "),LEFT(V409,6),V409),"")</f>
        <v/>
      </c>
      <c r="AE409" s="36" t="str">
        <f aca="false">TRIM(AB409)</f>
        <v/>
      </c>
      <c r="AF409" s="36" t="str">
        <f aca="false">IF(AE409="Revenue","Revenue",IF(AE409="Cost of Goods Sold","COGS",IF(AE409="Expenditures","Expense",IF(AE409="Other Revenue","Other Revenue",IF(AE409="Other Expenditures","Other Expense",AF408)))))</f>
        <v/>
      </c>
      <c r="AG409" s="36" t="str">
        <f aca="false">IF(OR(AE409="Revenue",AE409="Cost of Goods Sold",AE409="Expenditures",AE409="Other Revenue",AE409="Other Expenditures"),AF409,IF(AND(LEN(AE409)&gt;2,MID(AE409,2,1)=" ",ISNUMBER(VALUE(LEFT(AE409,1)))),AE409,AG408))</f>
        <v/>
      </c>
      <c r="AH409" s="36" t="n">
        <f aca="false">IF(AND(AE409&lt;&gt;"",ISNUMBER(AC409),LEFT(AE409,9)&lt;&gt;"Total for",AE409&lt;&gt;"Gross Profit",AE409&lt;&gt;"Net Operating Revenue",AE409&lt;&gt;"Net Other Revenue",AE409&lt;&gt;"Net Revenue"),1,0)</f>
        <v>0</v>
      </c>
      <c r="AI409" s="36" t="str">
        <f aca="false">IF(AH409=1,IF(AND(LEN(AE409)&gt;7,ISNUMBER(VALUE(LEFT(AE409,6))),MID(AE409,7,1)=" "),LEFT(AE409,6),AE409),"")</f>
        <v/>
      </c>
      <c r="AN409" s="36" t="str">
        <f aca="false">TRIM(AK409)</f>
        <v/>
      </c>
      <c r="AO409" s="36" t="str">
        <f aca="false">IF(AN409="Revenue","Revenue",IF(AN409="Cost of Goods Sold","COGS",IF(AN409="Expenditures","Expense",IF(AN409="Other Revenue","Other Revenue",IF(AN409="Other Expenditures","Other Expense",AO408)))))</f>
        <v/>
      </c>
      <c r="AP409" s="36" t="str">
        <f aca="false">IF(OR(AN409="Revenue",AN409="Cost of Goods Sold",AN409="Expenditures",AN409="Other Revenue",AN409="Other Expenditures"),AO409,IF(AND(LEN(AN409)&gt;2,MID(AN409,2,1)=" ",ISNUMBER(VALUE(LEFT(AN409,1)))),AN409,AP408))</f>
        <v/>
      </c>
      <c r="AQ409" s="36" t="n">
        <f aca="false">IF(AND(AN409&lt;&gt;"",ISNUMBER(AL409),LEFT(AN409,9)&lt;&gt;"Total for",AN409&lt;&gt;"Gross Profit",AN409&lt;&gt;"Net Operating Revenue",AN409&lt;&gt;"Net Other Revenue",AN409&lt;&gt;"Net Revenue"),1,0)</f>
        <v>0</v>
      </c>
      <c r="AR409" s="36" t="str">
        <f aca="false">IF(AQ409=1,IF(AND(LEN(AN409)&gt;7,ISNUMBER(VALUE(LEFT(AN409,6))),MID(AN409,7,1)=" "),LEFT(AN409,6),AN409),"")</f>
        <v/>
      </c>
    </row>
    <row r="410" customFormat="false" ht="15" hidden="false" customHeight="false" outlineLevel="0" collapsed="false">
      <c r="D410" s="36" t="str">
        <f aca="false">TRIM(A410)</f>
        <v/>
      </c>
      <c r="E410" s="36" t="str">
        <f aca="false">IF(D410="Revenue","Revenue",IF(D410="Cost of Goods Sold","COGS",IF(D410="Expenditures","Expense",IF(D410="Other Revenue","Other Revenue",IF(D410="Other Expenditures","Other Expense",E409)))))</f>
        <v/>
      </c>
      <c r="F410" s="36" t="str">
        <f aca="false">IF(OR(D410="Revenue",D410="Cost of Goods Sold",D410="Expenditures",D410="Other Revenue",D410="Other Expenditures"),E410,IF(AND(LEN(D410)&gt;2,MID(D410,2,1)=" ",ISNUMBER(VALUE(LEFT(D410,1)))),D410,F409))</f>
        <v/>
      </c>
      <c r="G410" s="36" t="n">
        <f aca="false">IF(AND(D410&lt;&gt;"",ISNUMBER(B410),LEFT(D410,9)&lt;&gt;"Total for",D410&lt;&gt;"Gross Profit",D410&lt;&gt;"Net Operating Revenue",D410&lt;&gt;"Net Other Revenue",D410&lt;&gt;"Net Revenue"),1,0)</f>
        <v>0</v>
      </c>
      <c r="H410" s="36" t="str">
        <f aca="false">IF(G410=1,IF(AND(LEN(D410)&gt;7,ISNUMBER(VALUE(LEFT(D410,6))),MID(D410,7,1)=" "),LEFT(D410,6),D410),"")</f>
        <v/>
      </c>
      <c r="M410" s="36" t="str">
        <f aca="false">TRIM(J410)</f>
        <v/>
      </c>
      <c r="N410" s="36" t="str">
        <f aca="false">IF(M410="Revenue","Revenue",IF(M410="Cost of Goods Sold","COGS",IF(M410="Expenditures","Expense",IF(M410="Other Revenue","Other Revenue",IF(M410="Other Expenditures","Other Expense",N409)))))</f>
        <v/>
      </c>
      <c r="O410" s="36" t="str">
        <f aca="false">IF(OR(M410="Revenue",M410="Cost of Goods Sold",M410="Expenditures",M410="Other Revenue",M410="Other Expenditures"),N410,IF(AND(LEN(M410)&gt;2,MID(M410,2,1)=" ",ISNUMBER(VALUE(LEFT(M410,1)))),M410,O409))</f>
        <v/>
      </c>
      <c r="P410" s="36" t="n">
        <f aca="false">IF(AND(M410&lt;&gt;"",ISNUMBER(K410),LEFT(M410,9)&lt;&gt;"Total for",M410&lt;&gt;"Gross Profit",M410&lt;&gt;"Net Operating Revenue",M410&lt;&gt;"Net Other Revenue",M410&lt;&gt;"Net Revenue"),1,0)</f>
        <v>0</v>
      </c>
      <c r="Q410" s="36" t="str">
        <f aca="false">IF(P410=1,IF(AND(LEN(M410)&gt;7,ISNUMBER(VALUE(LEFT(M410,6))),MID(M410,7,1)=" "),LEFT(M410,6),M410),"")</f>
        <v/>
      </c>
      <c r="V410" s="36" t="str">
        <f aca="false">TRIM(S410)</f>
        <v/>
      </c>
      <c r="W410" s="36" t="str">
        <f aca="false">IF(V410="Revenue","Revenue",IF(V410="Cost of Goods Sold","COGS",IF(V410="Expenditures","Expense",IF(V410="Other Revenue","Other Revenue",IF(V410="Other Expenditures","Other Expense",W409)))))</f>
        <v/>
      </c>
      <c r="X410" s="36" t="str">
        <f aca="false">IF(OR(V410="Revenue",V410="Cost of Goods Sold",V410="Expenditures",V410="Other Revenue",V410="Other Expenditures"),W410,IF(AND(LEN(V410)&gt;2,MID(V410,2,1)=" ",ISNUMBER(VALUE(LEFT(V410,1)))),V410,X409))</f>
        <v/>
      </c>
      <c r="Y410" s="36" t="n">
        <f aca="false">IF(AND(V410&lt;&gt;"",ISNUMBER(T410),LEFT(V410,9)&lt;&gt;"Total for",V410&lt;&gt;"Gross Profit",V410&lt;&gt;"Net Operating Revenue",V410&lt;&gt;"Net Other Revenue",V410&lt;&gt;"Net Revenue"),1,0)</f>
        <v>0</v>
      </c>
      <c r="Z410" s="36" t="str">
        <f aca="false">IF(Y410=1,IF(AND(LEN(V410)&gt;7,ISNUMBER(VALUE(LEFT(V410,6))),MID(V410,7,1)=" "),LEFT(V410,6),V410),"")</f>
        <v/>
      </c>
      <c r="AE410" s="36" t="str">
        <f aca="false">TRIM(AB410)</f>
        <v/>
      </c>
      <c r="AF410" s="36" t="str">
        <f aca="false">IF(AE410="Revenue","Revenue",IF(AE410="Cost of Goods Sold","COGS",IF(AE410="Expenditures","Expense",IF(AE410="Other Revenue","Other Revenue",IF(AE410="Other Expenditures","Other Expense",AF409)))))</f>
        <v/>
      </c>
      <c r="AG410" s="36" t="str">
        <f aca="false">IF(OR(AE410="Revenue",AE410="Cost of Goods Sold",AE410="Expenditures",AE410="Other Revenue",AE410="Other Expenditures"),AF410,IF(AND(LEN(AE410)&gt;2,MID(AE410,2,1)=" ",ISNUMBER(VALUE(LEFT(AE410,1)))),AE410,AG409))</f>
        <v/>
      </c>
      <c r="AH410" s="36" t="n">
        <f aca="false">IF(AND(AE410&lt;&gt;"",ISNUMBER(AC410),LEFT(AE410,9)&lt;&gt;"Total for",AE410&lt;&gt;"Gross Profit",AE410&lt;&gt;"Net Operating Revenue",AE410&lt;&gt;"Net Other Revenue",AE410&lt;&gt;"Net Revenue"),1,0)</f>
        <v>0</v>
      </c>
      <c r="AI410" s="36" t="str">
        <f aca="false">IF(AH410=1,IF(AND(LEN(AE410)&gt;7,ISNUMBER(VALUE(LEFT(AE410,6))),MID(AE410,7,1)=" "),LEFT(AE410,6),AE410),"")</f>
        <v/>
      </c>
      <c r="AN410" s="36" t="str">
        <f aca="false">TRIM(AK410)</f>
        <v/>
      </c>
      <c r="AO410" s="36" t="str">
        <f aca="false">IF(AN410="Revenue","Revenue",IF(AN410="Cost of Goods Sold","COGS",IF(AN410="Expenditures","Expense",IF(AN410="Other Revenue","Other Revenue",IF(AN410="Other Expenditures","Other Expense",AO409)))))</f>
        <v/>
      </c>
      <c r="AP410" s="36" t="str">
        <f aca="false">IF(OR(AN410="Revenue",AN410="Cost of Goods Sold",AN410="Expenditures",AN410="Other Revenue",AN410="Other Expenditures"),AO410,IF(AND(LEN(AN410)&gt;2,MID(AN410,2,1)=" ",ISNUMBER(VALUE(LEFT(AN410,1)))),AN410,AP409))</f>
        <v/>
      </c>
      <c r="AQ410" s="36" t="n">
        <f aca="false">IF(AND(AN410&lt;&gt;"",ISNUMBER(AL410),LEFT(AN410,9)&lt;&gt;"Total for",AN410&lt;&gt;"Gross Profit",AN410&lt;&gt;"Net Operating Revenue",AN410&lt;&gt;"Net Other Revenue",AN410&lt;&gt;"Net Revenue"),1,0)</f>
        <v>0</v>
      </c>
      <c r="AR410" s="36" t="str">
        <f aca="false">IF(AQ410=1,IF(AND(LEN(AN410)&gt;7,ISNUMBER(VALUE(LEFT(AN410,6))),MID(AN410,7,1)=" "),LEFT(AN410,6),AN410),"")</f>
        <v/>
      </c>
    </row>
    <row r="411" customFormat="false" ht="15" hidden="false" customHeight="false" outlineLevel="0" collapsed="false">
      <c r="D411" s="36" t="str">
        <f aca="false">TRIM(A411)</f>
        <v/>
      </c>
      <c r="E411" s="36" t="str">
        <f aca="false">IF(D411="Revenue","Revenue",IF(D411="Cost of Goods Sold","COGS",IF(D411="Expenditures","Expense",IF(D411="Other Revenue","Other Revenue",IF(D411="Other Expenditures","Other Expense",E410)))))</f>
        <v/>
      </c>
      <c r="F411" s="36" t="str">
        <f aca="false">IF(OR(D411="Revenue",D411="Cost of Goods Sold",D411="Expenditures",D411="Other Revenue",D411="Other Expenditures"),E411,IF(AND(LEN(D411)&gt;2,MID(D411,2,1)=" ",ISNUMBER(VALUE(LEFT(D411,1)))),D411,F410))</f>
        <v/>
      </c>
      <c r="G411" s="36" t="n">
        <f aca="false">IF(AND(D411&lt;&gt;"",ISNUMBER(B411),LEFT(D411,9)&lt;&gt;"Total for",D411&lt;&gt;"Gross Profit",D411&lt;&gt;"Net Operating Revenue",D411&lt;&gt;"Net Other Revenue",D411&lt;&gt;"Net Revenue"),1,0)</f>
        <v>0</v>
      </c>
      <c r="H411" s="36" t="str">
        <f aca="false">IF(G411=1,IF(AND(LEN(D411)&gt;7,ISNUMBER(VALUE(LEFT(D411,6))),MID(D411,7,1)=" "),LEFT(D411,6),D411),"")</f>
        <v/>
      </c>
      <c r="M411" s="36" t="str">
        <f aca="false">TRIM(J411)</f>
        <v/>
      </c>
      <c r="N411" s="36" t="str">
        <f aca="false">IF(M411="Revenue","Revenue",IF(M411="Cost of Goods Sold","COGS",IF(M411="Expenditures","Expense",IF(M411="Other Revenue","Other Revenue",IF(M411="Other Expenditures","Other Expense",N410)))))</f>
        <v/>
      </c>
      <c r="O411" s="36" t="str">
        <f aca="false">IF(OR(M411="Revenue",M411="Cost of Goods Sold",M411="Expenditures",M411="Other Revenue",M411="Other Expenditures"),N411,IF(AND(LEN(M411)&gt;2,MID(M411,2,1)=" ",ISNUMBER(VALUE(LEFT(M411,1)))),M411,O410))</f>
        <v/>
      </c>
      <c r="P411" s="36" t="n">
        <f aca="false">IF(AND(M411&lt;&gt;"",ISNUMBER(K411),LEFT(M411,9)&lt;&gt;"Total for",M411&lt;&gt;"Gross Profit",M411&lt;&gt;"Net Operating Revenue",M411&lt;&gt;"Net Other Revenue",M411&lt;&gt;"Net Revenue"),1,0)</f>
        <v>0</v>
      </c>
      <c r="Q411" s="36" t="str">
        <f aca="false">IF(P411=1,IF(AND(LEN(M411)&gt;7,ISNUMBER(VALUE(LEFT(M411,6))),MID(M411,7,1)=" "),LEFT(M411,6),M411),"")</f>
        <v/>
      </c>
      <c r="V411" s="36" t="str">
        <f aca="false">TRIM(S411)</f>
        <v/>
      </c>
      <c r="W411" s="36" t="str">
        <f aca="false">IF(V411="Revenue","Revenue",IF(V411="Cost of Goods Sold","COGS",IF(V411="Expenditures","Expense",IF(V411="Other Revenue","Other Revenue",IF(V411="Other Expenditures","Other Expense",W410)))))</f>
        <v/>
      </c>
      <c r="X411" s="36" t="str">
        <f aca="false">IF(OR(V411="Revenue",V411="Cost of Goods Sold",V411="Expenditures",V411="Other Revenue",V411="Other Expenditures"),W411,IF(AND(LEN(V411)&gt;2,MID(V411,2,1)=" ",ISNUMBER(VALUE(LEFT(V411,1)))),V411,X410))</f>
        <v/>
      </c>
      <c r="Y411" s="36" t="n">
        <f aca="false">IF(AND(V411&lt;&gt;"",ISNUMBER(T411),LEFT(V411,9)&lt;&gt;"Total for",V411&lt;&gt;"Gross Profit",V411&lt;&gt;"Net Operating Revenue",V411&lt;&gt;"Net Other Revenue",V411&lt;&gt;"Net Revenue"),1,0)</f>
        <v>0</v>
      </c>
      <c r="Z411" s="36" t="str">
        <f aca="false">IF(Y411=1,IF(AND(LEN(V411)&gt;7,ISNUMBER(VALUE(LEFT(V411,6))),MID(V411,7,1)=" "),LEFT(V411,6),V411),"")</f>
        <v/>
      </c>
      <c r="AE411" s="36" t="str">
        <f aca="false">TRIM(AB411)</f>
        <v/>
      </c>
      <c r="AF411" s="36" t="str">
        <f aca="false">IF(AE411="Revenue","Revenue",IF(AE411="Cost of Goods Sold","COGS",IF(AE411="Expenditures","Expense",IF(AE411="Other Revenue","Other Revenue",IF(AE411="Other Expenditures","Other Expense",AF410)))))</f>
        <v/>
      </c>
      <c r="AG411" s="36" t="str">
        <f aca="false">IF(OR(AE411="Revenue",AE411="Cost of Goods Sold",AE411="Expenditures",AE411="Other Revenue",AE411="Other Expenditures"),AF411,IF(AND(LEN(AE411)&gt;2,MID(AE411,2,1)=" ",ISNUMBER(VALUE(LEFT(AE411,1)))),AE411,AG410))</f>
        <v/>
      </c>
      <c r="AH411" s="36" t="n">
        <f aca="false">IF(AND(AE411&lt;&gt;"",ISNUMBER(AC411),LEFT(AE411,9)&lt;&gt;"Total for",AE411&lt;&gt;"Gross Profit",AE411&lt;&gt;"Net Operating Revenue",AE411&lt;&gt;"Net Other Revenue",AE411&lt;&gt;"Net Revenue"),1,0)</f>
        <v>0</v>
      </c>
      <c r="AI411" s="36" t="str">
        <f aca="false">IF(AH411=1,IF(AND(LEN(AE411)&gt;7,ISNUMBER(VALUE(LEFT(AE411,6))),MID(AE411,7,1)=" "),LEFT(AE411,6),AE411),"")</f>
        <v/>
      </c>
      <c r="AN411" s="36" t="str">
        <f aca="false">TRIM(AK411)</f>
        <v/>
      </c>
      <c r="AO411" s="36" t="str">
        <f aca="false">IF(AN411="Revenue","Revenue",IF(AN411="Cost of Goods Sold","COGS",IF(AN411="Expenditures","Expense",IF(AN411="Other Revenue","Other Revenue",IF(AN411="Other Expenditures","Other Expense",AO410)))))</f>
        <v/>
      </c>
      <c r="AP411" s="36" t="str">
        <f aca="false">IF(OR(AN411="Revenue",AN411="Cost of Goods Sold",AN411="Expenditures",AN411="Other Revenue",AN411="Other Expenditures"),AO411,IF(AND(LEN(AN411)&gt;2,MID(AN411,2,1)=" ",ISNUMBER(VALUE(LEFT(AN411,1)))),AN411,AP410))</f>
        <v/>
      </c>
      <c r="AQ411" s="36" t="n">
        <f aca="false">IF(AND(AN411&lt;&gt;"",ISNUMBER(AL411),LEFT(AN411,9)&lt;&gt;"Total for",AN411&lt;&gt;"Gross Profit",AN411&lt;&gt;"Net Operating Revenue",AN411&lt;&gt;"Net Other Revenue",AN411&lt;&gt;"Net Revenue"),1,0)</f>
        <v>0</v>
      </c>
      <c r="AR411" s="36" t="str">
        <f aca="false">IF(AQ411=1,IF(AND(LEN(AN411)&gt;7,ISNUMBER(VALUE(LEFT(AN411,6))),MID(AN411,7,1)=" "),LEFT(AN411,6),AN411),"")</f>
        <v/>
      </c>
    </row>
    <row r="412" customFormat="false" ht="15" hidden="false" customHeight="false" outlineLevel="0" collapsed="false">
      <c r="D412" s="36" t="str">
        <f aca="false">TRIM(A412)</f>
        <v/>
      </c>
      <c r="E412" s="36" t="str">
        <f aca="false">IF(D412="Revenue","Revenue",IF(D412="Cost of Goods Sold","COGS",IF(D412="Expenditures","Expense",IF(D412="Other Revenue","Other Revenue",IF(D412="Other Expenditures","Other Expense",E411)))))</f>
        <v/>
      </c>
      <c r="F412" s="36" t="str">
        <f aca="false">IF(OR(D412="Revenue",D412="Cost of Goods Sold",D412="Expenditures",D412="Other Revenue",D412="Other Expenditures"),E412,IF(AND(LEN(D412)&gt;2,MID(D412,2,1)=" ",ISNUMBER(VALUE(LEFT(D412,1)))),D412,F411))</f>
        <v/>
      </c>
      <c r="G412" s="36" t="n">
        <f aca="false">IF(AND(D412&lt;&gt;"",ISNUMBER(B412),LEFT(D412,9)&lt;&gt;"Total for",D412&lt;&gt;"Gross Profit",D412&lt;&gt;"Net Operating Revenue",D412&lt;&gt;"Net Other Revenue",D412&lt;&gt;"Net Revenue"),1,0)</f>
        <v>0</v>
      </c>
      <c r="H412" s="36" t="str">
        <f aca="false">IF(G412=1,IF(AND(LEN(D412)&gt;7,ISNUMBER(VALUE(LEFT(D412,6))),MID(D412,7,1)=" "),LEFT(D412,6),D412),"")</f>
        <v/>
      </c>
      <c r="M412" s="36" t="str">
        <f aca="false">TRIM(J412)</f>
        <v/>
      </c>
      <c r="N412" s="36" t="str">
        <f aca="false">IF(M412="Revenue","Revenue",IF(M412="Cost of Goods Sold","COGS",IF(M412="Expenditures","Expense",IF(M412="Other Revenue","Other Revenue",IF(M412="Other Expenditures","Other Expense",N411)))))</f>
        <v/>
      </c>
      <c r="O412" s="36" t="str">
        <f aca="false">IF(OR(M412="Revenue",M412="Cost of Goods Sold",M412="Expenditures",M412="Other Revenue",M412="Other Expenditures"),N412,IF(AND(LEN(M412)&gt;2,MID(M412,2,1)=" ",ISNUMBER(VALUE(LEFT(M412,1)))),M412,O411))</f>
        <v/>
      </c>
      <c r="P412" s="36" t="n">
        <f aca="false">IF(AND(M412&lt;&gt;"",ISNUMBER(K412),LEFT(M412,9)&lt;&gt;"Total for",M412&lt;&gt;"Gross Profit",M412&lt;&gt;"Net Operating Revenue",M412&lt;&gt;"Net Other Revenue",M412&lt;&gt;"Net Revenue"),1,0)</f>
        <v>0</v>
      </c>
      <c r="Q412" s="36" t="str">
        <f aca="false">IF(P412=1,IF(AND(LEN(M412)&gt;7,ISNUMBER(VALUE(LEFT(M412,6))),MID(M412,7,1)=" "),LEFT(M412,6),M412),"")</f>
        <v/>
      </c>
      <c r="V412" s="36" t="str">
        <f aca="false">TRIM(S412)</f>
        <v/>
      </c>
      <c r="W412" s="36" t="str">
        <f aca="false">IF(V412="Revenue","Revenue",IF(V412="Cost of Goods Sold","COGS",IF(V412="Expenditures","Expense",IF(V412="Other Revenue","Other Revenue",IF(V412="Other Expenditures","Other Expense",W411)))))</f>
        <v/>
      </c>
      <c r="X412" s="36" t="str">
        <f aca="false">IF(OR(V412="Revenue",V412="Cost of Goods Sold",V412="Expenditures",V412="Other Revenue",V412="Other Expenditures"),W412,IF(AND(LEN(V412)&gt;2,MID(V412,2,1)=" ",ISNUMBER(VALUE(LEFT(V412,1)))),V412,X411))</f>
        <v/>
      </c>
      <c r="Y412" s="36" t="n">
        <f aca="false">IF(AND(V412&lt;&gt;"",ISNUMBER(T412),LEFT(V412,9)&lt;&gt;"Total for",V412&lt;&gt;"Gross Profit",V412&lt;&gt;"Net Operating Revenue",V412&lt;&gt;"Net Other Revenue",V412&lt;&gt;"Net Revenue"),1,0)</f>
        <v>0</v>
      </c>
      <c r="Z412" s="36" t="str">
        <f aca="false">IF(Y412=1,IF(AND(LEN(V412)&gt;7,ISNUMBER(VALUE(LEFT(V412,6))),MID(V412,7,1)=" "),LEFT(V412,6),V412),"")</f>
        <v/>
      </c>
      <c r="AE412" s="36" t="str">
        <f aca="false">TRIM(AB412)</f>
        <v/>
      </c>
      <c r="AF412" s="36" t="str">
        <f aca="false">IF(AE412="Revenue","Revenue",IF(AE412="Cost of Goods Sold","COGS",IF(AE412="Expenditures","Expense",IF(AE412="Other Revenue","Other Revenue",IF(AE412="Other Expenditures","Other Expense",AF411)))))</f>
        <v/>
      </c>
      <c r="AG412" s="36" t="str">
        <f aca="false">IF(OR(AE412="Revenue",AE412="Cost of Goods Sold",AE412="Expenditures",AE412="Other Revenue",AE412="Other Expenditures"),AF412,IF(AND(LEN(AE412)&gt;2,MID(AE412,2,1)=" ",ISNUMBER(VALUE(LEFT(AE412,1)))),AE412,AG411))</f>
        <v/>
      </c>
      <c r="AH412" s="36" t="n">
        <f aca="false">IF(AND(AE412&lt;&gt;"",ISNUMBER(AC412),LEFT(AE412,9)&lt;&gt;"Total for",AE412&lt;&gt;"Gross Profit",AE412&lt;&gt;"Net Operating Revenue",AE412&lt;&gt;"Net Other Revenue",AE412&lt;&gt;"Net Revenue"),1,0)</f>
        <v>0</v>
      </c>
      <c r="AI412" s="36" t="str">
        <f aca="false">IF(AH412=1,IF(AND(LEN(AE412)&gt;7,ISNUMBER(VALUE(LEFT(AE412,6))),MID(AE412,7,1)=" "),LEFT(AE412,6),AE412),"")</f>
        <v/>
      </c>
      <c r="AN412" s="36" t="str">
        <f aca="false">TRIM(AK412)</f>
        <v/>
      </c>
      <c r="AO412" s="36" t="str">
        <f aca="false">IF(AN412="Revenue","Revenue",IF(AN412="Cost of Goods Sold","COGS",IF(AN412="Expenditures","Expense",IF(AN412="Other Revenue","Other Revenue",IF(AN412="Other Expenditures","Other Expense",AO411)))))</f>
        <v/>
      </c>
      <c r="AP412" s="36" t="str">
        <f aca="false">IF(OR(AN412="Revenue",AN412="Cost of Goods Sold",AN412="Expenditures",AN412="Other Revenue",AN412="Other Expenditures"),AO412,IF(AND(LEN(AN412)&gt;2,MID(AN412,2,1)=" ",ISNUMBER(VALUE(LEFT(AN412,1)))),AN412,AP411))</f>
        <v/>
      </c>
      <c r="AQ412" s="36" t="n">
        <f aca="false">IF(AND(AN412&lt;&gt;"",ISNUMBER(AL412),LEFT(AN412,9)&lt;&gt;"Total for",AN412&lt;&gt;"Gross Profit",AN412&lt;&gt;"Net Operating Revenue",AN412&lt;&gt;"Net Other Revenue",AN412&lt;&gt;"Net Revenue"),1,0)</f>
        <v>0</v>
      </c>
      <c r="AR412" s="36" t="str">
        <f aca="false">IF(AQ412=1,IF(AND(LEN(AN412)&gt;7,ISNUMBER(VALUE(LEFT(AN412,6))),MID(AN412,7,1)=" "),LEFT(AN412,6),AN412),"")</f>
        <v/>
      </c>
    </row>
    <row r="413" customFormat="false" ht="15" hidden="false" customHeight="false" outlineLevel="0" collapsed="false">
      <c r="D413" s="36" t="str">
        <f aca="false">TRIM(A413)</f>
        <v/>
      </c>
      <c r="E413" s="36" t="str">
        <f aca="false">IF(D413="Revenue","Revenue",IF(D413="Cost of Goods Sold","COGS",IF(D413="Expenditures","Expense",IF(D413="Other Revenue","Other Revenue",IF(D413="Other Expenditures","Other Expense",E412)))))</f>
        <v/>
      </c>
      <c r="F413" s="36" t="str">
        <f aca="false">IF(OR(D413="Revenue",D413="Cost of Goods Sold",D413="Expenditures",D413="Other Revenue",D413="Other Expenditures"),E413,IF(AND(LEN(D413)&gt;2,MID(D413,2,1)=" ",ISNUMBER(VALUE(LEFT(D413,1)))),D413,F412))</f>
        <v/>
      </c>
      <c r="G413" s="36" t="n">
        <f aca="false">IF(AND(D413&lt;&gt;"",ISNUMBER(B413),LEFT(D413,9)&lt;&gt;"Total for",D413&lt;&gt;"Gross Profit",D413&lt;&gt;"Net Operating Revenue",D413&lt;&gt;"Net Other Revenue",D413&lt;&gt;"Net Revenue"),1,0)</f>
        <v>0</v>
      </c>
      <c r="H413" s="36" t="str">
        <f aca="false">IF(G413=1,IF(AND(LEN(D413)&gt;7,ISNUMBER(VALUE(LEFT(D413,6))),MID(D413,7,1)=" "),LEFT(D413,6),D413),"")</f>
        <v/>
      </c>
      <c r="M413" s="36" t="str">
        <f aca="false">TRIM(J413)</f>
        <v/>
      </c>
      <c r="N413" s="36" t="str">
        <f aca="false">IF(M413="Revenue","Revenue",IF(M413="Cost of Goods Sold","COGS",IF(M413="Expenditures","Expense",IF(M413="Other Revenue","Other Revenue",IF(M413="Other Expenditures","Other Expense",N412)))))</f>
        <v/>
      </c>
      <c r="O413" s="36" t="str">
        <f aca="false">IF(OR(M413="Revenue",M413="Cost of Goods Sold",M413="Expenditures",M413="Other Revenue",M413="Other Expenditures"),N413,IF(AND(LEN(M413)&gt;2,MID(M413,2,1)=" ",ISNUMBER(VALUE(LEFT(M413,1)))),M413,O412))</f>
        <v/>
      </c>
      <c r="P413" s="36" t="n">
        <f aca="false">IF(AND(M413&lt;&gt;"",ISNUMBER(K413),LEFT(M413,9)&lt;&gt;"Total for",M413&lt;&gt;"Gross Profit",M413&lt;&gt;"Net Operating Revenue",M413&lt;&gt;"Net Other Revenue",M413&lt;&gt;"Net Revenue"),1,0)</f>
        <v>0</v>
      </c>
      <c r="Q413" s="36" t="str">
        <f aca="false">IF(P413=1,IF(AND(LEN(M413)&gt;7,ISNUMBER(VALUE(LEFT(M413,6))),MID(M413,7,1)=" "),LEFT(M413,6),M413),"")</f>
        <v/>
      </c>
      <c r="V413" s="36" t="str">
        <f aca="false">TRIM(S413)</f>
        <v/>
      </c>
      <c r="W413" s="36" t="str">
        <f aca="false">IF(V413="Revenue","Revenue",IF(V413="Cost of Goods Sold","COGS",IF(V413="Expenditures","Expense",IF(V413="Other Revenue","Other Revenue",IF(V413="Other Expenditures","Other Expense",W412)))))</f>
        <v/>
      </c>
      <c r="X413" s="36" t="str">
        <f aca="false">IF(OR(V413="Revenue",V413="Cost of Goods Sold",V413="Expenditures",V413="Other Revenue",V413="Other Expenditures"),W413,IF(AND(LEN(V413)&gt;2,MID(V413,2,1)=" ",ISNUMBER(VALUE(LEFT(V413,1)))),V413,X412))</f>
        <v/>
      </c>
      <c r="Y413" s="36" t="n">
        <f aca="false">IF(AND(V413&lt;&gt;"",ISNUMBER(T413),LEFT(V413,9)&lt;&gt;"Total for",V413&lt;&gt;"Gross Profit",V413&lt;&gt;"Net Operating Revenue",V413&lt;&gt;"Net Other Revenue",V413&lt;&gt;"Net Revenue"),1,0)</f>
        <v>0</v>
      </c>
      <c r="Z413" s="36" t="str">
        <f aca="false">IF(Y413=1,IF(AND(LEN(V413)&gt;7,ISNUMBER(VALUE(LEFT(V413,6))),MID(V413,7,1)=" "),LEFT(V413,6),V413),"")</f>
        <v/>
      </c>
      <c r="AE413" s="36" t="str">
        <f aca="false">TRIM(AB413)</f>
        <v/>
      </c>
      <c r="AF413" s="36" t="str">
        <f aca="false">IF(AE413="Revenue","Revenue",IF(AE413="Cost of Goods Sold","COGS",IF(AE413="Expenditures","Expense",IF(AE413="Other Revenue","Other Revenue",IF(AE413="Other Expenditures","Other Expense",AF412)))))</f>
        <v/>
      </c>
      <c r="AG413" s="36" t="str">
        <f aca="false">IF(OR(AE413="Revenue",AE413="Cost of Goods Sold",AE413="Expenditures",AE413="Other Revenue",AE413="Other Expenditures"),AF413,IF(AND(LEN(AE413)&gt;2,MID(AE413,2,1)=" ",ISNUMBER(VALUE(LEFT(AE413,1)))),AE413,AG412))</f>
        <v/>
      </c>
      <c r="AH413" s="36" t="n">
        <f aca="false">IF(AND(AE413&lt;&gt;"",ISNUMBER(AC413),LEFT(AE413,9)&lt;&gt;"Total for",AE413&lt;&gt;"Gross Profit",AE413&lt;&gt;"Net Operating Revenue",AE413&lt;&gt;"Net Other Revenue",AE413&lt;&gt;"Net Revenue"),1,0)</f>
        <v>0</v>
      </c>
      <c r="AI413" s="36" t="str">
        <f aca="false">IF(AH413=1,IF(AND(LEN(AE413)&gt;7,ISNUMBER(VALUE(LEFT(AE413,6))),MID(AE413,7,1)=" "),LEFT(AE413,6),AE413),"")</f>
        <v/>
      </c>
      <c r="AN413" s="36" t="str">
        <f aca="false">TRIM(AK413)</f>
        <v/>
      </c>
      <c r="AO413" s="36" t="str">
        <f aca="false">IF(AN413="Revenue","Revenue",IF(AN413="Cost of Goods Sold","COGS",IF(AN413="Expenditures","Expense",IF(AN413="Other Revenue","Other Revenue",IF(AN413="Other Expenditures","Other Expense",AO412)))))</f>
        <v/>
      </c>
      <c r="AP413" s="36" t="str">
        <f aca="false">IF(OR(AN413="Revenue",AN413="Cost of Goods Sold",AN413="Expenditures",AN413="Other Revenue",AN413="Other Expenditures"),AO413,IF(AND(LEN(AN413)&gt;2,MID(AN413,2,1)=" ",ISNUMBER(VALUE(LEFT(AN413,1)))),AN413,AP412))</f>
        <v/>
      </c>
      <c r="AQ413" s="36" t="n">
        <f aca="false">IF(AND(AN413&lt;&gt;"",ISNUMBER(AL413),LEFT(AN413,9)&lt;&gt;"Total for",AN413&lt;&gt;"Gross Profit",AN413&lt;&gt;"Net Operating Revenue",AN413&lt;&gt;"Net Other Revenue",AN413&lt;&gt;"Net Revenue"),1,0)</f>
        <v>0</v>
      </c>
      <c r="AR413" s="36" t="str">
        <f aca="false">IF(AQ413=1,IF(AND(LEN(AN413)&gt;7,ISNUMBER(VALUE(LEFT(AN413,6))),MID(AN413,7,1)=" "),LEFT(AN413,6),AN413),"")</f>
        <v/>
      </c>
    </row>
    <row r="414" customFormat="false" ht="15" hidden="false" customHeight="false" outlineLevel="0" collapsed="false">
      <c r="D414" s="36" t="str">
        <f aca="false">TRIM(A414)</f>
        <v/>
      </c>
      <c r="E414" s="36" t="str">
        <f aca="false">IF(D414="Revenue","Revenue",IF(D414="Cost of Goods Sold","COGS",IF(D414="Expenditures","Expense",IF(D414="Other Revenue","Other Revenue",IF(D414="Other Expenditures","Other Expense",E413)))))</f>
        <v/>
      </c>
      <c r="F414" s="36" t="str">
        <f aca="false">IF(OR(D414="Revenue",D414="Cost of Goods Sold",D414="Expenditures",D414="Other Revenue",D414="Other Expenditures"),E414,IF(AND(LEN(D414)&gt;2,MID(D414,2,1)=" ",ISNUMBER(VALUE(LEFT(D414,1)))),D414,F413))</f>
        <v/>
      </c>
      <c r="G414" s="36" t="n">
        <f aca="false">IF(AND(D414&lt;&gt;"",ISNUMBER(B414),LEFT(D414,9)&lt;&gt;"Total for",D414&lt;&gt;"Gross Profit",D414&lt;&gt;"Net Operating Revenue",D414&lt;&gt;"Net Other Revenue",D414&lt;&gt;"Net Revenue"),1,0)</f>
        <v>0</v>
      </c>
      <c r="H414" s="36" t="str">
        <f aca="false">IF(G414=1,IF(AND(LEN(D414)&gt;7,ISNUMBER(VALUE(LEFT(D414,6))),MID(D414,7,1)=" "),LEFT(D414,6),D414),"")</f>
        <v/>
      </c>
      <c r="M414" s="36" t="str">
        <f aca="false">TRIM(J414)</f>
        <v/>
      </c>
      <c r="N414" s="36" t="str">
        <f aca="false">IF(M414="Revenue","Revenue",IF(M414="Cost of Goods Sold","COGS",IF(M414="Expenditures","Expense",IF(M414="Other Revenue","Other Revenue",IF(M414="Other Expenditures","Other Expense",N413)))))</f>
        <v/>
      </c>
      <c r="O414" s="36" t="str">
        <f aca="false">IF(OR(M414="Revenue",M414="Cost of Goods Sold",M414="Expenditures",M414="Other Revenue",M414="Other Expenditures"),N414,IF(AND(LEN(M414)&gt;2,MID(M414,2,1)=" ",ISNUMBER(VALUE(LEFT(M414,1)))),M414,O413))</f>
        <v/>
      </c>
      <c r="P414" s="36" t="n">
        <f aca="false">IF(AND(M414&lt;&gt;"",ISNUMBER(K414),LEFT(M414,9)&lt;&gt;"Total for",M414&lt;&gt;"Gross Profit",M414&lt;&gt;"Net Operating Revenue",M414&lt;&gt;"Net Other Revenue",M414&lt;&gt;"Net Revenue"),1,0)</f>
        <v>0</v>
      </c>
      <c r="Q414" s="36" t="str">
        <f aca="false">IF(P414=1,IF(AND(LEN(M414)&gt;7,ISNUMBER(VALUE(LEFT(M414,6))),MID(M414,7,1)=" "),LEFT(M414,6),M414),"")</f>
        <v/>
      </c>
      <c r="V414" s="36" t="str">
        <f aca="false">TRIM(S414)</f>
        <v/>
      </c>
      <c r="W414" s="36" t="str">
        <f aca="false">IF(V414="Revenue","Revenue",IF(V414="Cost of Goods Sold","COGS",IF(V414="Expenditures","Expense",IF(V414="Other Revenue","Other Revenue",IF(V414="Other Expenditures","Other Expense",W413)))))</f>
        <v/>
      </c>
      <c r="X414" s="36" t="str">
        <f aca="false">IF(OR(V414="Revenue",V414="Cost of Goods Sold",V414="Expenditures",V414="Other Revenue",V414="Other Expenditures"),W414,IF(AND(LEN(V414)&gt;2,MID(V414,2,1)=" ",ISNUMBER(VALUE(LEFT(V414,1)))),V414,X413))</f>
        <v/>
      </c>
      <c r="Y414" s="36" t="n">
        <f aca="false">IF(AND(V414&lt;&gt;"",ISNUMBER(T414),LEFT(V414,9)&lt;&gt;"Total for",V414&lt;&gt;"Gross Profit",V414&lt;&gt;"Net Operating Revenue",V414&lt;&gt;"Net Other Revenue",V414&lt;&gt;"Net Revenue"),1,0)</f>
        <v>0</v>
      </c>
      <c r="Z414" s="36" t="str">
        <f aca="false">IF(Y414=1,IF(AND(LEN(V414)&gt;7,ISNUMBER(VALUE(LEFT(V414,6))),MID(V414,7,1)=" "),LEFT(V414,6),V414),"")</f>
        <v/>
      </c>
      <c r="AE414" s="36" t="str">
        <f aca="false">TRIM(AB414)</f>
        <v/>
      </c>
      <c r="AF414" s="36" t="str">
        <f aca="false">IF(AE414="Revenue","Revenue",IF(AE414="Cost of Goods Sold","COGS",IF(AE414="Expenditures","Expense",IF(AE414="Other Revenue","Other Revenue",IF(AE414="Other Expenditures","Other Expense",AF413)))))</f>
        <v/>
      </c>
      <c r="AG414" s="36" t="str">
        <f aca="false">IF(OR(AE414="Revenue",AE414="Cost of Goods Sold",AE414="Expenditures",AE414="Other Revenue",AE414="Other Expenditures"),AF414,IF(AND(LEN(AE414)&gt;2,MID(AE414,2,1)=" ",ISNUMBER(VALUE(LEFT(AE414,1)))),AE414,AG413))</f>
        <v/>
      </c>
      <c r="AH414" s="36" t="n">
        <f aca="false">IF(AND(AE414&lt;&gt;"",ISNUMBER(AC414),LEFT(AE414,9)&lt;&gt;"Total for",AE414&lt;&gt;"Gross Profit",AE414&lt;&gt;"Net Operating Revenue",AE414&lt;&gt;"Net Other Revenue",AE414&lt;&gt;"Net Revenue"),1,0)</f>
        <v>0</v>
      </c>
      <c r="AI414" s="36" t="str">
        <f aca="false">IF(AH414=1,IF(AND(LEN(AE414)&gt;7,ISNUMBER(VALUE(LEFT(AE414,6))),MID(AE414,7,1)=" "),LEFT(AE414,6),AE414),"")</f>
        <v/>
      </c>
      <c r="AN414" s="36" t="str">
        <f aca="false">TRIM(AK414)</f>
        <v/>
      </c>
      <c r="AO414" s="36" t="str">
        <f aca="false">IF(AN414="Revenue","Revenue",IF(AN414="Cost of Goods Sold","COGS",IF(AN414="Expenditures","Expense",IF(AN414="Other Revenue","Other Revenue",IF(AN414="Other Expenditures","Other Expense",AO413)))))</f>
        <v/>
      </c>
      <c r="AP414" s="36" t="str">
        <f aca="false">IF(OR(AN414="Revenue",AN414="Cost of Goods Sold",AN414="Expenditures",AN414="Other Revenue",AN414="Other Expenditures"),AO414,IF(AND(LEN(AN414)&gt;2,MID(AN414,2,1)=" ",ISNUMBER(VALUE(LEFT(AN414,1)))),AN414,AP413))</f>
        <v/>
      </c>
      <c r="AQ414" s="36" t="n">
        <f aca="false">IF(AND(AN414&lt;&gt;"",ISNUMBER(AL414),LEFT(AN414,9)&lt;&gt;"Total for",AN414&lt;&gt;"Gross Profit",AN414&lt;&gt;"Net Operating Revenue",AN414&lt;&gt;"Net Other Revenue",AN414&lt;&gt;"Net Revenue"),1,0)</f>
        <v>0</v>
      </c>
      <c r="AR414" s="36" t="str">
        <f aca="false">IF(AQ414=1,IF(AND(LEN(AN414)&gt;7,ISNUMBER(VALUE(LEFT(AN414,6))),MID(AN414,7,1)=" "),LEFT(AN414,6),AN414),"")</f>
        <v/>
      </c>
    </row>
    <row r="415" customFormat="false" ht="15" hidden="false" customHeight="false" outlineLevel="0" collapsed="false">
      <c r="D415" s="36" t="str">
        <f aca="false">TRIM(A415)</f>
        <v/>
      </c>
      <c r="E415" s="36" t="str">
        <f aca="false">IF(D415="Revenue","Revenue",IF(D415="Cost of Goods Sold","COGS",IF(D415="Expenditures","Expense",IF(D415="Other Revenue","Other Revenue",IF(D415="Other Expenditures","Other Expense",E414)))))</f>
        <v/>
      </c>
      <c r="F415" s="36" t="str">
        <f aca="false">IF(OR(D415="Revenue",D415="Cost of Goods Sold",D415="Expenditures",D415="Other Revenue",D415="Other Expenditures"),E415,IF(AND(LEN(D415)&gt;2,MID(D415,2,1)=" ",ISNUMBER(VALUE(LEFT(D415,1)))),D415,F414))</f>
        <v/>
      </c>
      <c r="G415" s="36" t="n">
        <f aca="false">IF(AND(D415&lt;&gt;"",ISNUMBER(B415),LEFT(D415,9)&lt;&gt;"Total for",D415&lt;&gt;"Gross Profit",D415&lt;&gt;"Net Operating Revenue",D415&lt;&gt;"Net Other Revenue",D415&lt;&gt;"Net Revenue"),1,0)</f>
        <v>0</v>
      </c>
      <c r="H415" s="36" t="str">
        <f aca="false">IF(G415=1,IF(AND(LEN(D415)&gt;7,ISNUMBER(VALUE(LEFT(D415,6))),MID(D415,7,1)=" "),LEFT(D415,6),D415),"")</f>
        <v/>
      </c>
      <c r="M415" s="36" t="str">
        <f aca="false">TRIM(J415)</f>
        <v/>
      </c>
      <c r="N415" s="36" t="str">
        <f aca="false">IF(M415="Revenue","Revenue",IF(M415="Cost of Goods Sold","COGS",IF(M415="Expenditures","Expense",IF(M415="Other Revenue","Other Revenue",IF(M415="Other Expenditures","Other Expense",N414)))))</f>
        <v/>
      </c>
      <c r="O415" s="36" t="str">
        <f aca="false">IF(OR(M415="Revenue",M415="Cost of Goods Sold",M415="Expenditures",M415="Other Revenue",M415="Other Expenditures"),N415,IF(AND(LEN(M415)&gt;2,MID(M415,2,1)=" ",ISNUMBER(VALUE(LEFT(M415,1)))),M415,O414))</f>
        <v/>
      </c>
      <c r="P415" s="36" t="n">
        <f aca="false">IF(AND(M415&lt;&gt;"",ISNUMBER(K415),LEFT(M415,9)&lt;&gt;"Total for",M415&lt;&gt;"Gross Profit",M415&lt;&gt;"Net Operating Revenue",M415&lt;&gt;"Net Other Revenue",M415&lt;&gt;"Net Revenue"),1,0)</f>
        <v>0</v>
      </c>
      <c r="Q415" s="36" t="str">
        <f aca="false">IF(P415=1,IF(AND(LEN(M415)&gt;7,ISNUMBER(VALUE(LEFT(M415,6))),MID(M415,7,1)=" "),LEFT(M415,6),M415),"")</f>
        <v/>
      </c>
      <c r="V415" s="36" t="str">
        <f aca="false">TRIM(S415)</f>
        <v/>
      </c>
      <c r="W415" s="36" t="str">
        <f aca="false">IF(V415="Revenue","Revenue",IF(V415="Cost of Goods Sold","COGS",IF(V415="Expenditures","Expense",IF(V415="Other Revenue","Other Revenue",IF(V415="Other Expenditures","Other Expense",W414)))))</f>
        <v/>
      </c>
      <c r="X415" s="36" t="str">
        <f aca="false">IF(OR(V415="Revenue",V415="Cost of Goods Sold",V415="Expenditures",V415="Other Revenue",V415="Other Expenditures"),W415,IF(AND(LEN(V415)&gt;2,MID(V415,2,1)=" ",ISNUMBER(VALUE(LEFT(V415,1)))),V415,X414))</f>
        <v/>
      </c>
      <c r="Y415" s="36" t="n">
        <f aca="false">IF(AND(V415&lt;&gt;"",ISNUMBER(T415),LEFT(V415,9)&lt;&gt;"Total for",V415&lt;&gt;"Gross Profit",V415&lt;&gt;"Net Operating Revenue",V415&lt;&gt;"Net Other Revenue",V415&lt;&gt;"Net Revenue"),1,0)</f>
        <v>0</v>
      </c>
      <c r="Z415" s="36" t="str">
        <f aca="false">IF(Y415=1,IF(AND(LEN(V415)&gt;7,ISNUMBER(VALUE(LEFT(V415,6))),MID(V415,7,1)=" "),LEFT(V415,6),V415),"")</f>
        <v/>
      </c>
      <c r="AE415" s="36" t="str">
        <f aca="false">TRIM(AB415)</f>
        <v/>
      </c>
      <c r="AF415" s="36" t="str">
        <f aca="false">IF(AE415="Revenue","Revenue",IF(AE415="Cost of Goods Sold","COGS",IF(AE415="Expenditures","Expense",IF(AE415="Other Revenue","Other Revenue",IF(AE415="Other Expenditures","Other Expense",AF414)))))</f>
        <v/>
      </c>
      <c r="AG415" s="36" t="str">
        <f aca="false">IF(OR(AE415="Revenue",AE415="Cost of Goods Sold",AE415="Expenditures",AE415="Other Revenue",AE415="Other Expenditures"),AF415,IF(AND(LEN(AE415)&gt;2,MID(AE415,2,1)=" ",ISNUMBER(VALUE(LEFT(AE415,1)))),AE415,AG414))</f>
        <v/>
      </c>
      <c r="AH415" s="36" t="n">
        <f aca="false">IF(AND(AE415&lt;&gt;"",ISNUMBER(AC415),LEFT(AE415,9)&lt;&gt;"Total for",AE415&lt;&gt;"Gross Profit",AE415&lt;&gt;"Net Operating Revenue",AE415&lt;&gt;"Net Other Revenue",AE415&lt;&gt;"Net Revenue"),1,0)</f>
        <v>0</v>
      </c>
      <c r="AI415" s="36" t="str">
        <f aca="false">IF(AH415=1,IF(AND(LEN(AE415)&gt;7,ISNUMBER(VALUE(LEFT(AE415,6))),MID(AE415,7,1)=" "),LEFT(AE415,6),AE415),"")</f>
        <v/>
      </c>
      <c r="AN415" s="36" t="str">
        <f aca="false">TRIM(AK415)</f>
        <v/>
      </c>
      <c r="AO415" s="36" t="str">
        <f aca="false">IF(AN415="Revenue","Revenue",IF(AN415="Cost of Goods Sold","COGS",IF(AN415="Expenditures","Expense",IF(AN415="Other Revenue","Other Revenue",IF(AN415="Other Expenditures","Other Expense",AO414)))))</f>
        <v/>
      </c>
      <c r="AP415" s="36" t="str">
        <f aca="false">IF(OR(AN415="Revenue",AN415="Cost of Goods Sold",AN415="Expenditures",AN415="Other Revenue",AN415="Other Expenditures"),AO415,IF(AND(LEN(AN415)&gt;2,MID(AN415,2,1)=" ",ISNUMBER(VALUE(LEFT(AN415,1)))),AN415,AP414))</f>
        <v/>
      </c>
      <c r="AQ415" s="36" t="n">
        <f aca="false">IF(AND(AN415&lt;&gt;"",ISNUMBER(AL415),LEFT(AN415,9)&lt;&gt;"Total for",AN415&lt;&gt;"Gross Profit",AN415&lt;&gt;"Net Operating Revenue",AN415&lt;&gt;"Net Other Revenue",AN415&lt;&gt;"Net Revenue"),1,0)</f>
        <v>0</v>
      </c>
      <c r="AR415" s="36" t="str">
        <f aca="false">IF(AQ415=1,IF(AND(LEN(AN415)&gt;7,ISNUMBER(VALUE(LEFT(AN415,6))),MID(AN415,7,1)=" "),LEFT(AN415,6),AN415),"")</f>
        <v/>
      </c>
    </row>
    <row r="416" customFormat="false" ht="15" hidden="false" customHeight="false" outlineLevel="0" collapsed="false">
      <c r="D416" s="36" t="str">
        <f aca="false">TRIM(A416)</f>
        <v/>
      </c>
      <c r="E416" s="36" t="str">
        <f aca="false">IF(D416="Revenue","Revenue",IF(D416="Cost of Goods Sold","COGS",IF(D416="Expenditures","Expense",IF(D416="Other Revenue","Other Revenue",IF(D416="Other Expenditures","Other Expense",E415)))))</f>
        <v/>
      </c>
      <c r="F416" s="36" t="str">
        <f aca="false">IF(OR(D416="Revenue",D416="Cost of Goods Sold",D416="Expenditures",D416="Other Revenue",D416="Other Expenditures"),E416,IF(AND(LEN(D416)&gt;2,MID(D416,2,1)=" ",ISNUMBER(VALUE(LEFT(D416,1)))),D416,F415))</f>
        <v/>
      </c>
      <c r="G416" s="36" t="n">
        <f aca="false">IF(AND(D416&lt;&gt;"",ISNUMBER(B416),LEFT(D416,9)&lt;&gt;"Total for",D416&lt;&gt;"Gross Profit",D416&lt;&gt;"Net Operating Revenue",D416&lt;&gt;"Net Other Revenue",D416&lt;&gt;"Net Revenue"),1,0)</f>
        <v>0</v>
      </c>
      <c r="H416" s="36" t="str">
        <f aca="false">IF(G416=1,IF(AND(LEN(D416)&gt;7,ISNUMBER(VALUE(LEFT(D416,6))),MID(D416,7,1)=" "),LEFT(D416,6),D416),"")</f>
        <v/>
      </c>
      <c r="M416" s="36" t="str">
        <f aca="false">TRIM(J416)</f>
        <v/>
      </c>
      <c r="N416" s="36" t="str">
        <f aca="false">IF(M416="Revenue","Revenue",IF(M416="Cost of Goods Sold","COGS",IF(M416="Expenditures","Expense",IF(M416="Other Revenue","Other Revenue",IF(M416="Other Expenditures","Other Expense",N415)))))</f>
        <v/>
      </c>
      <c r="O416" s="36" t="str">
        <f aca="false">IF(OR(M416="Revenue",M416="Cost of Goods Sold",M416="Expenditures",M416="Other Revenue",M416="Other Expenditures"),N416,IF(AND(LEN(M416)&gt;2,MID(M416,2,1)=" ",ISNUMBER(VALUE(LEFT(M416,1)))),M416,O415))</f>
        <v/>
      </c>
      <c r="P416" s="36" t="n">
        <f aca="false">IF(AND(M416&lt;&gt;"",ISNUMBER(K416),LEFT(M416,9)&lt;&gt;"Total for",M416&lt;&gt;"Gross Profit",M416&lt;&gt;"Net Operating Revenue",M416&lt;&gt;"Net Other Revenue",M416&lt;&gt;"Net Revenue"),1,0)</f>
        <v>0</v>
      </c>
      <c r="Q416" s="36" t="str">
        <f aca="false">IF(P416=1,IF(AND(LEN(M416)&gt;7,ISNUMBER(VALUE(LEFT(M416,6))),MID(M416,7,1)=" "),LEFT(M416,6),M416),"")</f>
        <v/>
      </c>
      <c r="V416" s="36" t="str">
        <f aca="false">TRIM(S416)</f>
        <v/>
      </c>
      <c r="W416" s="36" t="str">
        <f aca="false">IF(V416="Revenue","Revenue",IF(V416="Cost of Goods Sold","COGS",IF(V416="Expenditures","Expense",IF(V416="Other Revenue","Other Revenue",IF(V416="Other Expenditures","Other Expense",W415)))))</f>
        <v/>
      </c>
      <c r="X416" s="36" t="str">
        <f aca="false">IF(OR(V416="Revenue",V416="Cost of Goods Sold",V416="Expenditures",V416="Other Revenue",V416="Other Expenditures"),W416,IF(AND(LEN(V416)&gt;2,MID(V416,2,1)=" ",ISNUMBER(VALUE(LEFT(V416,1)))),V416,X415))</f>
        <v/>
      </c>
      <c r="Y416" s="36" t="n">
        <f aca="false">IF(AND(V416&lt;&gt;"",ISNUMBER(T416),LEFT(V416,9)&lt;&gt;"Total for",V416&lt;&gt;"Gross Profit",V416&lt;&gt;"Net Operating Revenue",V416&lt;&gt;"Net Other Revenue",V416&lt;&gt;"Net Revenue"),1,0)</f>
        <v>0</v>
      </c>
      <c r="Z416" s="36" t="str">
        <f aca="false">IF(Y416=1,IF(AND(LEN(V416)&gt;7,ISNUMBER(VALUE(LEFT(V416,6))),MID(V416,7,1)=" "),LEFT(V416,6),V416),"")</f>
        <v/>
      </c>
      <c r="AE416" s="36" t="str">
        <f aca="false">TRIM(AB416)</f>
        <v/>
      </c>
      <c r="AF416" s="36" t="str">
        <f aca="false">IF(AE416="Revenue","Revenue",IF(AE416="Cost of Goods Sold","COGS",IF(AE416="Expenditures","Expense",IF(AE416="Other Revenue","Other Revenue",IF(AE416="Other Expenditures","Other Expense",AF415)))))</f>
        <v/>
      </c>
      <c r="AG416" s="36" t="str">
        <f aca="false">IF(OR(AE416="Revenue",AE416="Cost of Goods Sold",AE416="Expenditures",AE416="Other Revenue",AE416="Other Expenditures"),AF416,IF(AND(LEN(AE416)&gt;2,MID(AE416,2,1)=" ",ISNUMBER(VALUE(LEFT(AE416,1)))),AE416,AG415))</f>
        <v/>
      </c>
      <c r="AH416" s="36" t="n">
        <f aca="false">IF(AND(AE416&lt;&gt;"",ISNUMBER(AC416),LEFT(AE416,9)&lt;&gt;"Total for",AE416&lt;&gt;"Gross Profit",AE416&lt;&gt;"Net Operating Revenue",AE416&lt;&gt;"Net Other Revenue",AE416&lt;&gt;"Net Revenue"),1,0)</f>
        <v>0</v>
      </c>
      <c r="AI416" s="36" t="str">
        <f aca="false">IF(AH416=1,IF(AND(LEN(AE416)&gt;7,ISNUMBER(VALUE(LEFT(AE416,6))),MID(AE416,7,1)=" "),LEFT(AE416,6),AE416),"")</f>
        <v/>
      </c>
      <c r="AN416" s="36" t="str">
        <f aca="false">TRIM(AK416)</f>
        <v/>
      </c>
      <c r="AO416" s="36" t="str">
        <f aca="false">IF(AN416="Revenue","Revenue",IF(AN416="Cost of Goods Sold","COGS",IF(AN416="Expenditures","Expense",IF(AN416="Other Revenue","Other Revenue",IF(AN416="Other Expenditures","Other Expense",AO415)))))</f>
        <v/>
      </c>
      <c r="AP416" s="36" t="str">
        <f aca="false">IF(OR(AN416="Revenue",AN416="Cost of Goods Sold",AN416="Expenditures",AN416="Other Revenue",AN416="Other Expenditures"),AO416,IF(AND(LEN(AN416)&gt;2,MID(AN416,2,1)=" ",ISNUMBER(VALUE(LEFT(AN416,1)))),AN416,AP415))</f>
        <v/>
      </c>
      <c r="AQ416" s="36" t="n">
        <f aca="false">IF(AND(AN416&lt;&gt;"",ISNUMBER(AL416),LEFT(AN416,9)&lt;&gt;"Total for",AN416&lt;&gt;"Gross Profit",AN416&lt;&gt;"Net Operating Revenue",AN416&lt;&gt;"Net Other Revenue",AN416&lt;&gt;"Net Revenue"),1,0)</f>
        <v>0</v>
      </c>
      <c r="AR416" s="36" t="str">
        <f aca="false">IF(AQ416=1,IF(AND(LEN(AN416)&gt;7,ISNUMBER(VALUE(LEFT(AN416,6))),MID(AN416,7,1)=" "),LEFT(AN416,6),AN416),"")</f>
        <v/>
      </c>
    </row>
    <row r="417" customFormat="false" ht="15" hidden="false" customHeight="false" outlineLevel="0" collapsed="false">
      <c r="D417" s="36" t="str">
        <f aca="false">TRIM(A417)</f>
        <v/>
      </c>
      <c r="E417" s="36" t="str">
        <f aca="false">IF(D417="Revenue","Revenue",IF(D417="Cost of Goods Sold","COGS",IF(D417="Expenditures","Expense",IF(D417="Other Revenue","Other Revenue",IF(D417="Other Expenditures","Other Expense",E416)))))</f>
        <v/>
      </c>
      <c r="F417" s="36" t="str">
        <f aca="false">IF(OR(D417="Revenue",D417="Cost of Goods Sold",D417="Expenditures",D417="Other Revenue",D417="Other Expenditures"),E417,IF(AND(LEN(D417)&gt;2,MID(D417,2,1)=" ",ISNUMBER(VALUE(LEFT(D417,1)))),D417,F416))</f>
        <v/>
      </c>
      <c r="G417" s="36" t="n">
        <f aca="false">IF(AND(D417&lt;&gt;"",ISNUMBER(B417),LEFT(D417,9)&lt;&gt;"Total for",D417&lt;&gt;"Gross Profit",D417&lt;&gt;"Net Operating Revenue",D417&lt;&gt;"Net Other Revenue",D417&lt;&gt;"Net Revenue"),1,0)</f>
        <v>0</v>
      </c>
      <c r="H417" s="36" t="str">
        <f aca="false">IF(G417=1,IF(AND(LEN(D417)&gt;7,ISNUMBER(VALUE(LEFT(D417,6))),MID(D417,7,1)=" "),LEFT(D417,6),D417),"")</f>
        <v/>
      </c>
      <c r="M417" s="36" t="str">
        <f aca="false">TRIM(J417)</f>
        <v/>
      </c>
      <c r="N417" s="36" t="str">
        <f aca="false">IF(M417="Revenue","Revenue",IF(M417="Cost of Goods Sold","COGS",IF(M417="Expenditures","Expense",IF(M417="Other Revenue","Other Revenue",IF(M417="Other Expenditures","Other Expense",N416)))))</f>
        <v/>
      </c>
      <c r="O417" s="36" t="str">
        <f aca="false">IF(OR(M417="Revenue",M417="Cost of Goods Sold",M417="Expenditures",M417="Other Revenue",M417="Other Expenditures"),N417,IF(AND(LEN(M417)&gt;2,MID(M417,2,1)=" ",ISNUMBER(VALUE(LEFT(M417,1)))),M417,O416))</f>
        <v/>
      </c>
      <c r="P417" s="36" t="n">
        <f aca="false">IF(AND(M417&lt;&gt;"",ISNUMBER(K417),LEFT(M417,9)&lt;&gt;"Total for",M417&lt;&gt;"Gross Profit",M417&lt;&gt;"Net Operating Revenue",M417&lt;&gt;"Net Other Revenue",M417&lt;&gt;"Net Revenue"),1,0)</f>
        <v>0</v>
      </c>
      <c r="Q417" s="36" t="str">
        <f aca="false">IF(P417=1,IF(AND(LEN(M417)&gt;7,ISNUMBER(VALUE(LEFT(M417,6))),MID(M417,7,1)=" "),LEFT(M417,6),M417),"")</f>
        <v/>
      </c>
      <c r="V417" s="36" t="str">
        <f aca="false">TRIM(S417)</f>
        <v/>
      </c>
      <c r="W417" s="36" t="str">
        <f aca="false">IF(V417="Revenue","Revenue",IF(V417="Cost of Goods Sold","COGS",IF(V417="Expenditures","Expense",IF(V417="Other Revenue","Other Revenue",IF(V417="Other Expenditures","Other Expense",W416)))))</f>
        <v/>
      </c>
      <c r="X417" s="36" t="str">
        <f aca="false">IF(OR(V417="Revenue",V417="Cost of Goods Sold",V417="Expenditures",V417="Other Revenue",V417="Other Expenditures"),W417,IF(AND(LEN(V417)&gt;2,MID(V417,2,1)=" ",ISNUMBER(VALUE(LEFT(V417,1)))),V417,X416))</f>
        <v/>
      </c>
      <c r="Y417" s="36" t="n">
        <f aca="false">IF(AND(V417&lt;&gt;"",ISNUMBER(T417),LEFT(V417,9)&lt;&gt;"Total for",V417&lt;&gt;"Gross Profit",V417&lt;&gt;"Net Operating Revenue",V417&lt;&gt;"Net Other Revenue",V417&lt;&gt;"Net Revenue"),1,0)</f>
        <v>0</v>
      </c>
      <c r="Z417" s="36" t="str">
        <f aca="false">IF(Y417=1,IF(AND(LEN(V417)&gt;7,ISNUMBER(VALUE(LEFT(V417,6))),MID(V417,7,1)=" "),LEFT(V417,6),V417),"")</f>
        <v/>
      </c>
      <c r="AE417" s="36" t="str">
        <f aca="false">TRIM(AB417)</f>
        <v/>
      </c>
      <c r="AF417" s="36" t="str">
        <f aca="false">IF(AE417="Revenue","Revenue",IF(AE417="Cost of Goods Sold","COGS",IF(AE417="Expenditures","Expense",IF(AE417="Other Revenue","Other Revenue",IF(AE417="Other Expenditures","Other Expense",AF416)))))</f>
        <v/>
      </c>
      <c r="AG417" s="36" t="str">
        <f aca="false">IF(OR(AE417="Revenue",AE417="Cost of Goods Sold",AE417="Expenditures",AE417="Other Revenue",AE417="Other Expenditures"),AF417,IF(AND(LEN(AE417)&gt;2,MID(AE417,2,1)=" ",ISNUMBER(VALUE(LEFT(AE417,1)))),AE417,AG416))</f>
        <v/>
      </c>
      <c r="AH417" s="36" t="n">
        <f aca="false">IF(AND(AE417&lt;&gt;"",ISNUMBER(AC417),LEFT(AE417,9)&lt;&gt;"Total for",AE417&lt;&gt;"Gross Profit",AE417&lt;&gt;"Net Operating Revenue",AE417&lt;&gt;"Net Other Revenue",AE417&lt;&gt;"Net Revenue"),1,0)</f>
        <v>0</v>
      </c>
      <c r="AI417" s="36" t="str">
        <f aca="false">IF(AH417=1,IF(AND(LEN(AE417)&gt;7,ISNUMBER(VALUE(LEFT(AE417,6))),MID(AE417,7,1)=" "),LEFT(AE417,6),AE417),"")</f>
        <v/>
      </c>
      <c r="AN417" s="36" t="str">
        <f aca="false">TRIM(AK417)</f>
        <v/>
      </c>
      <c r="AO417" s="36" t="str">
        <f aca="false">IF(AN417="Revenue","Revenue",IF(AN417="Cost of Goods Sold","COGS",IF(AN417="Expenditures","Expense",IF(AN417="Other Revenue","Other Revenue",IF(AN417="Other Expenditures","Other Expense",AO416)))))</f>
        <v/>
      </c>
      <c r="AP417" s="36" t="str">
        <f aca="false">IF(OR(AN417="Revenue",AN417="Cost of Goods Sold",AN417="Expenditures",AN417="Other Revenue",AN417="Other Expenditures"),AO417,IF(AND(LEN(AN417)&gt;2,MID(AN417,2,1)=" ",ISNUMBER(VALUE(LEFT(AN417,1)))),AN417,AP416))</f>
        <v/>
      </c>
      <c r="AQ417" s="36" t="n">
        <f aca="false">IF(AND(AN417&lt;&gt;"",ISNUMBER(AL417),LEFT(AN417,9)&lt;&gt;"Total for",AN417&lt;&gt;"Gross Profit",AN417&lt;&gt;"Net Operating Revenue",AN417&lt;&gt;"Net Other Revenue",AN417&lt;&gt;"Net Revenue"),1,0)</f>
        <v>0</v>
      </c>
      <c r="AR417" s="36" t="str">
        <f aca="false">IF(AQ417=1,IF(AND(LEN(AN417)&gt;7,ISNUMBER(VALUE(LEFT(AN417,6))),MID(AN417,7,1)=" "),LEFT(AN417,6),AN417),"")</f>
        <v/>
      </c>
    </row>
    <row r="418" customFormat="false" ht="15" hidden="false" customHeight="false" outlineLevel="0" collapsed="false">
      <c r="D418" s="36" t="str">
        <f aca="false">TRIM(A418)</f>
        <v/>
      </c>
      <c r="E418" s="36" t="str">
        <f aca="false">IF(D418="Revenue","Revenue",IF(D418="Cost of Goods Sold","COGS",IF(D418="Expenditures","Expense",IF(D418="Other Revenue","Other Revenue",IF(D418="Other Expenditures","Other Expense",E417)))))</f>
        <v/>
      </c>
      <c r="F418" s="36" t="str">
        <f aca="false">IF(OR(D418="Revenue",D418="Cost of Goods Sold",D418="Expenditures",D418="Other Revenue",D418="Other Expenditures"),E418,IF(AND(LEN(D418)&gt;2,MID(D418,2,1)=" ",ISNUMBER(VALUE(LEFT(D418,1)))),D418,F417))</f>
        <v/>
      </c>
      <c r="G418" s="36" t="n">
        <f aca="false">IF(AND(D418&lt;&gt;"",ISNUMBER(B418),LEFT(D418,9)&lt;&gt;"Total for",D418&lt;&gt;"Gross Profit",D418&lt;&gt;"Net Operating Revenue",D418&lt;&gt;"Net Other Revenue",D418&lt;&gt;"Net Revenue"),1,0)</f>
        <v>0</v>
      </c>
      <c r="H418" s="36" t="str">
        <f aca="false">IF(G418=1,IF(AND(LEN(D418)&gt;7,ISNUMBER(VALUE(LEFT(D418,6))),MID(D418,7,1)=" "),LEFT(D418,6),D418),"")</f>
        <v/>
      </c>
      <c r="M418" s="36" t="str">
        <f aca="false">TRIM(J418)</f>
        <v/>
      </c>
      <c r="N418" s="36" t="str">
        <f aca="false">IF(M418="Revenue","Revenue",IF(M418="Cost of Goods Sold","COGS",IF(M418="Expenditures","Expense",IF(M418="Other Revenue","Other Revenue",IF(M418="Other Expenditures","Other Expense",N417)))))</f>
        <v/>
      </c>
      <c r="O418" s="36" t="str">
        <f aca="false">IF(OR(M418="Revenue",M418="Cost of Goods Sold",M418="Expenditures",M418="Other Revenue",M418="Other Expenditures"),N418,IF(AND(LEN(M418)&gt;2,MID(M418,2,1)=" ",ISNUMBER(VALUE(LEFT(M418,1)))),M418,O417))</f>
        <v/>
      </c>
      <c r="P418" s="36" t="n">
        <f aca="false">IF(AND(M418&lt;&gt;"",ISNUMBER(K418),LEFT(M418,9)&lt;&gt;"Total for",M418&lt;&gt;"Gross Profit",M418&lt;&gt;"Net Operating Revenue",M418&lt;&gt;"Net Other Revenue",M418&lt;&gt;"Net Revenue"),1,0)</f>
        <v>0</v>
      </c>
      <c r="Q418" s="36" t="str">
        <f aca="false">IF(P418=1,IF(AND(LEN(M418)&gt;7,ISNUMBER(VALUE(LEFT(M418,6))),MID(M418,7,1)=" "),LEFT(M418,6),M418),"")</f>
        <v/>
      </c>
      <c r="V418" s="36" t="str">
        <f aca="false">TRIM(S418)</f>
        <v/>
      </c>
      <c r="W418" s="36" t="str">
        <f aca="false">IF(V418="Revenue","Revenue",IF(V418="Cost of Goods Sold","COGS",IF(V418="Expenditures","Expense",IF(V418="Other Revenue","Other Revenue",IF(V418="Other Expenditures","Other Expense",W417)))))</f>
        <v/>
      </c>
      <c r="X418" s="36" t="str">
        <f aca="false">IF(OR(V418="Revenue",V418="Cost of Goods Sold",V418="Expenditures",V418="Other Revenue",V418="Other Expenditures"),W418,IF(AND(LEN(V418)&gt;2,MID(V418,2,1)=" ",ISNUMBER(VALUE(LEFT(V418,1)))),V418,X417))</f>
        <v/>
      </c>
      <c r="Y418" s="36" t="n">
        <f aca="false">IF(AND(V418&lt;&gt;"",ISNUMBER(T418),LEFT(V418,9)&lt;&gt;"Total for",V418&lt;&gt;"Gross Profit",V418&lt;&gt;"Net Operating Revenue",V418&lt;&gt;"Net Other Revenue",V418&lt;&gt;"Net Revenue"),1,0)</f>
        <v>0</v>
      </c>
      <c r="Z418" s="36" t="str">
        <f aca="false">IF(Y418=1,IF(AND(LEN(V418)&gt;7,ISNUMBER(VALUE(LEFT(V418,6))),MID(V418,7,1)=" "),LEFT(V418,6),V418),"")</f>
        <v/>
      </c>
      <c r="AE418" s="36" t="str">
        <f aca="false">TRIM(AB418)</f>
        <v/>
      </c>
      <c r="AF418" s="36" t="str">
        <f aca="false">IF(AE418="Revenue","Revenue",IF(AE418="Cost of Goods Sold","COGS",IF(AE418="Expenditures","Expense",IF(AE418="Other Revenue","Other Revenue",IF(AE418="Other Expenditures","Other Expense",AF417)))))</f>
        <v/>
      </c>
      <c r="AG418" s="36" t="str">
        <f aca="false">IF(OR(AE418="Revenue",AE418="Cost of Goods Sold",AE418="Expenditures",AE418="Other Revenue",AE418="Other Expenditures"),AF418,IF(AND(LEN(AE418)&gt;2,MID(AE418,2,1)=" ",ISNUMBER(VALUE(LEFT(AE418,1)))),AE418,AG417))</f>
        <v/>
      </c>
      <c r="AH418" s="36" t="n">
        <f aca="false">IF(AND(AE418&lt;&gt;"",ISNUMBER(AC418),LEFT(AE418,9)&lt;&gt;"Total for",AE418&lt;&gt;"Gross Profit",AE418&lt;&gt;"Net Operating Revenue",AE418&lt;&gt;"Net Other Revenue",AE418&lt;&gt;"Net Revenue"),1,0)</f>
        <v>0</v>
      </c>
      <c r="AI418" s="36" t="str">
        <f aca="false">IF(AH418=1,IF(AND(LEN(AE418)&gt;7,ISNUMBER(VALUE(LEFT(AE418,6))),MID(AE418,7,1)=" "),LEFT(AE418,6),AE418),"")</f>
        <v/>
      </c>
      <c r="AN418" s="36" t="str">
        <f aca="false">TRIM(AK418)</f>
        <v/>
      </c>
      <c r="AO418" s="36" t="str">
        <f aca="false">IF(AN418="Revenue","Revenue",IF(AN418="Cost of Goods Sold","COGS",IF(AN418="Expenditures","Expense",IF(AN418="Other Revenue","Other Revenue",IF(AN418="Other Expenditures","Other Expense",AO417)))))</f>
        <v/>
      </c>
      <c r="AP418" s="36" t="str">
        <f aca="false">IF(OR(AN418="Revenue",AN418="Cost of Goods Sold",AN418="Expenditures",AN418="Other Revenue",AN418="Other Expenditures"),AO418,IF(AND(LEN(AN418)&gt;2,MID(AN418,2,1)=" ",ISNUMBER(VALUE(LEFT(AN418,1)))),AN418,AP417))</f>
        <v/>
      </c>
      <c r="AQ418" s="36" t="n">
        <f aca="false">IF(AND(AN418&lt;&gt;"",ISNUMBER(AL418),LEFT(AN418,9)&lt;&gt;"Total for",AN418&lt;&gt;"Gross Profit",AN418&lt;&gt;"Net Operating Revenue",AN418&lt;&gt;"Net Other Revenue",AN418&lt;&gt;"Net Revenue"),1,0)</f>
        <v>0</v>
      </c>
      <c r="AR418" s="36" t="str">
        <f aca="false">IF(AQ418=1,IF(AND(LEN(AN418)&gt;7,ISNUMBER(VALUE(LEFT(AN418,6))),MID(AN418,7,1)=" "),LEFT(AN418,6),AN418),"")</f>
        <v/>
      </c>
    </row>
    <row r="419" customFormat="false" ht="15" hidden="false" customHeight="false" outlineLevel="0" collapsed="false">
      <c r="D419" s="36" t="str">
        <f aca="false">TRIM(A419)</f>
        <v/>
      </c>
      <c r="E419" s="36" t="str">
        <f aca="false">IF(D419="Revenue","Revenue",IF(D419="Cost of Goods Sold","COGS",IF(D419="Expenditures","Expense",IF(D419="Other Revenue","Other Revenue",IF(D419="Other Expenditures","Other Expense",E418)))))</f>
        <v/>
      </c>
      <c r="F419" s="36" t="str">
        <f aca="false">IF(OR(D419="Revenue",D419="Cost of Goods Sold",D419="Expenditures",D419="Other Revenue",D419="Other Expenditures"),E419,IF(AND(LEN(D419)&gt;2,MID(D419,2,1)=" ",ISNUMBER(VALUE(LEFT(D419,1)))),D419,F418))</f>
        <v/>
      </c>
      <c r="G419" s="36" t="n">
        <f aca="false">IF(AND(D419&lt;&gt;"",ISNUMBER(B419),LEFT(D419,9)&lt;&gt;"Total for",D419&lt;&gt;"Gross Profit",D419&lt;&gt;"Net Operating Revenue",D419&lt;&gt;"Net Other Revenue",D419&lt;&gt;"Net Revenue"),1,0)</f>
        <v>0</v>
      </c>
      <c r="H419" s="36" t="str">
        <f aca="false">IF(G419=1,IF(AND(LEN(D419)&gt;7,ISNUMBER(VALUE(LEFT(D419,6))),MID(D419,7,1)=" "),LEFT(D419,6),D419),"")</f>
        <v/>
      </c>
      <c r="M419" s="36" t="str">
        <f aca="false">TRIM(J419)</f>
        <v/>
      </c>
      <c r="N419" s="36" t="str">
        <f aca="false">IF(M419="Revenue","Revenue",IF(M419="Cost of Goods Sold","COGS",IF(M419="Expenditures","Expense",IF(M419="Other Revenue","Other Revenue",IF(M419="Other Expenditures","Other Expense",N418)))))</f>
        <v/>
      </c>
      <c r="O419" s="36" t="str">
        <f aca="false">IF(OR(M419="Revenue",M419="Cost of Goods Sold",M419="Expenditures",M419="Other Revenue",M419="Other Expenditures"),N419,IF(AND(LEN(M419)&gt;2,MID(M419,2,1)=" ",ISNUMBER(VALUE(LEFT(M419,1)))),M419,O418))</f>
        <v/>
      </c>
      <c r="P419" s="36" t="n">
        <f aca="false">IF(AND(M419&lt;&gt;"",ISNUMBER(K419),LEFT(M419,9)&lt;&gt;"Total for",M419&lt;&gt;"Gross Profit",M419&lt;&gt;"Net Operating Revenue",M419&lt;&gt;"Net Other Revenue",M419&lt;&gt;"Net Revenue"),1,0)</f>
        <v>0</v>
      </c>
      <c r="Q419" s="36" t="str">
        <f aca="false">IF(P419=1,IF(AND(LEN(M419)&gt;7,ISNUMBER(VALUE(LEFT(M419,6))),MID(M419,7,1)=" "),LEFT(M419,6),M419),"")</f>
        <v/>
      </c>
      <c r="V419" s="36" t="str">
        <f aca="false">TRIM(S419)</f>
        <v/>
      </c>
      <c r="W419" s="36" t="str">
        <f aca="false">IF(V419="Revenue","Revenue",IF(V419="Cost of Goods Sold","COGS",IF(V419="Expenditures","Expense",IF(V419="Other Revenue","Other Revenue",IF(V419="Other Expenditures","Other Expense",W418)))))</f>
        <v/>
      </c>
      <c r="X419" s="36" t="str">
        <f aca="false">IF(OR(V419="Revenue",V419="Cost of Goods Sold",V419="Expenditures",V419="Other Revenue",V419="Other Expenditures"),W419,IF(AND(LEN(V419)&gt;2,MID(V419,2,1)=" ",ISNUMBER(VALUE(LEFT(V419,1)))),V419,X418))</f>
        <v/>
      </c>
      <c r="Y419" s="36" t="n">
        <f aca="false">IF(AND(V419&lt;&gt;"",ISNUMBER(T419),LEFT(V419,9)&lt;&gt;"Total for",V419&lt;&gt;"Gross Profit",V419&lt;&gt;"Net Operating Revenue",V419&lt;&gt;"Net Other Revenue",V419&lt;&gt;"Net Revenue"),1,0)</f>
        <v>0</v>
      </c>
      <c r="Z419" s="36" t="str">
        <f aca="false">IF(Y419=1,IF(AND(LEN(V419)&gt;7,ISNUMBER(VALUE(LEFT(V419,6))),MID(V419,7,1)=" "),LEFT(V419,6),V419),"")</f>
        <v/>
      </c>
      <c r="AE419" s="36" t="str">
        <f aca="false">TRIM(AB419)</f>
        <v/>
      </c>
      <c r="AF419" s="36" t="str">
        <f aca="false">IF(AE419="Revenue","Revenue",IF(AE419="Cost of Goods Sold","COGS",IF(AE419="Expenditures","Expense",IF(AE419="Other Revenue","Other Revenue",IF(AE419="Other Expenditures","Other Expense",AF418)))))</f>
        <v/>
      </c>
      <c r="AG419" s="36" t="str">
        <f aca="false">IF(OR(AE419="Revenue",AE419="Cost of Goods Sold",AE419="Expenditures",AE419="Other Revenue",AE419="Other Expenditures"),AF419,IF(AND(LEN(AE419)&gt;2,MID(AE419,2,1)=" ",ISNUMBER(VALUE(LEFT(AE419,1)))),AE419,AG418))</f>
        <v/>
      </c>
      <c r="AH419" s="36" t="n">
        <f aca="false">IF(AND(AE419&lt;&gt;"",ISNUMBER(AC419),LEFT(AE419,9)&lt;&gt;"Total for",AE419&lt;&gt;"Gross Profit",AE419&lt;&gt;"Net Operating Revenue",AE419&lt;&gt;"Net Other Revenue",AE419&lt;&gt;"Net Revenue"),1,0)</f>
        <v>0</v>
      </c>
      <c r="AI419" s="36" t="str">
        <f aca="false">IF(AH419=1,IF(AND(LEN(AE419)&gt;7,ISNUMBER(VALUE(LEFT(AE419,6))),MID(AE419,7,1)=" "),LEFT(AE419,6),AE419),"")</f>
        <v/>
      </c>
      <c r="AN419" s="36" t="str">
        <f aca="false">TRIM(AK419)</f>
        <v/>
      </c>
      <c r="AO419" s="36" t="str">
        <f aca="false">IF(AN419="Revenue","Revenue",IF(AN419="Cost of Goods Sold","COGS",IF(AN419="Expenditures","Expense",IF(AN419="Other Revenue","Other Revenue",IF(AN419="Other Expenditures","Other Expense",AO418)))))</f>
        <v/>
      </c>
      <c r="AP419" s="36" t="str">
        <f aca="false">IF(OR(AN419="Revenue",AN419="Cost of Goods Sold",AN419="Expenditures",AN419="Other Revenue",AN419="Other Expenditures"),AO419,IF(AND(LEN(AN419)&gt;2,MID(AN419,2,1)=" ",ISNUMBER(VALUE(LEFT(AN419,1)))),AN419,AP418))</f>
        <v/>
      </c>
      <c r="AQ419" s="36" t="n">
        <f aca="false">IF(AND(AN419&lt;&gt;"",ISNUMBER(AL419),LEFT(AN419,9)&lt;&gt;"Total for",AN419&lt;&gt;"Gross Profit",AN419&lt;&gt;"Net Operating Revenue",AN419&lt;&gt;"Net Other Revenue",AN419&lt;&gt;"Net Revenue"),1,0)</f>
        <v>0</v>
      </c>
      <c r="AR419" s="36" t="str">
        <f aca="false">IF(AQ419=1,IF(AND(LEN(AN419)&gt;7,ISNUMBER(VALUE(LEFT(AN419,6))),MID(AN419,7,1)=" "),LEFT(AN419,6),AN419),"")</f>
        <v/>
      </c>
    </row>
    <row r="420" customFormat="false" ht="15" hidden="false" customHeight="false" outlineLevel="0" collapsed="false">
      <c r="D420" s="36" t="str">
        <f aca="false">TRIM(A420)</f>
        <v/>
      </c>
      <c r="E420" s="36" t="str">
        <f aca="false">IF(D420="Revenue","Revenue",IF(D420="Cost of Goods Sold","COGS",IF(D420="Expenditures","Expense",IF(D420="Other Revenue","Other Revenue",IF(D420="Other Expenditures","Other Expense",E419)))))</f>
        <v/>
      </c>
      <c r="F420" s="36" t="str">
        <f aca="false">IF(OR(D420="Revenue",D420="Cost of Goods Sold",D420="Expenditures",D420="Other Revenue",D420="Other Expenditures"),E420,IF(AND(LEN(D420)&gt;2,MID(D420,2,1)=" ",ISNUMBER(VALUE(LEFT(D420,1)))),D420,F419))</f>
        <v/>
      </c>
      <c r="G420" s="36" t="n">
        <f aca="false">IF(AND(D420&lt;&gt;"",ISNUMBER(B420),LEFT(D420,9)&lt;&gt;"Total for",D420&lt;&gt;"Gross Profit",D420&lt;&gt;"Net Operating Revenue",D420&lt;&gt;"Net Other Revenue",D420&lt;&gt;"Net Revenue"),1,0)</f>
        <v>0</v>
      </c>
      <c r="H420" s="36" t="str">
        <f aca="false">IF(G420=1,IF(AND(LEN(D420)&gt;7,ISNUMBER(VALUE(LEFT(D420,6))),MID(D420,7,1)=" "),LEFT(D420,6),D420),"")</f>
        <v/>
      </c>
      <c r="M420" s="36" t="str">
        <f aca="false">TRIM(J420)</f>
        <v/>
      </c>
      <c r="N420" s="36" t="str">
        <f aca="false">IF(M420="Revenue","Revenue",IF(M420="Cost of Goods Sold","COGS",IF(M420="Expenditures","Expense",IF(M420="Other Revenue","Other Revenue",IF(M420="Other Expenditures","Other Expense",N419)))))</f>
        <v/>
      </c>
      <c r="O420" s="36" t="str">
        <f aca="false">IF(OR(M420="Revenue",M420="Cost of Goods Sold",M420="Expenditures",M420="Other Revenue",M420="Other Expenditures"),N420,IF(AND(LEN(M420)&gt;2,MID(M420,2,1)=" ",ISNUMBER(VALUE(LEFT(M420,1)))),M420,O419))</f>
        <v/>
      </c>
      <c r="P420" s="36" t="n">
        <f aca="false">IF(AND(M420&lt;&gt;"",ISNUMBER(K420),LEFT(M420,9)&lt;&gt;"Total for",M420&lt;&gt;"Gross Profit",M420&lt;&gt;"Net Operating Revenue",M420&lt;&gt;"Net Other Revenue",M420&lt;&gt;"Net Revenue"),1,0)</f>
        <v>0</v>
      </c>
      <c r="Q420" s="36" t="str">
        <f aca="false">IF(P420=1,IF(AND(LEN(M420)&gt;7,ISNUMBER(VALUE(LEFT(M420,6))),MID(M420,7,1)=" "),LEFT(M420,6),M420),"")</f>
        <v/>
      </c>
      <c r="V420" s="36" t="str">
        <f aca="false">TRIM(S420)</f>
        <v/>
      </c>
      <c r="W420" s="36" t="str">
        <f aca="false">IF(V420="Revenue","Revenue",IF(V420="Cost of Goods Sold","COGS",IF(V420="Expenditures","Expense",IF(V420="Other Revenue","Other Revenue",IF(V420="Other Expenditures","Other Expense",W419)))))</f>
        <v/>
      </c>
      <c r="X420" s="36" t="str">
        <f aca="false">IF(OR(V420="Revenue",V420="Cost of Goods Sold",V420="Expenditures",V420="Other Revenue",V420="Other Expenditures"),W420,IF(AND(LEN(V420)&gt;2,MID(V420,2,1)=" ",ISNUMBER(VALUE(LEFT(V420,1)))),V420,X419))</f>
        <v/>
      </c>
      <c r="Y420" s="36" t="n">
        <f aca="false">IF(AND(V420&lt;&gt;"",ISNUMBER(T420),LEFT(V420,9)&lt;&gt;"Total for",V420&lt;&gt;"Gross Profit",V420&lt;&gt;"Net Operating Revenue",V420&lt;&gt;"Net Other Revenue",V420&lt;&gt;"Net Revenue"),1,0)</f>
        <v>0</v>
      </c>
      <c r="Z420" s="36" t="str">
        <f aca="false">IF(Y420=1,IF(AND(LEN(V420)&gt;7,ISNUMBER(VALUE(LEFT(V420,6))),MID(V420,7,1)=" "),LEFT(V420,6),V420),"")</f>
        <v/>
      </c>
      <c r="AE420" s="36" t="str">
        <f aca="false">TRIM(AB420)</f>
        <v/>
      </c>
      <c r="AF420" s="36" t="str">
        <f aca="false">IF(AE420="Revenue","Revenue",IF(AE420="Cost of Goods Sold","COGS",IF(AE420="Expenditures","Expense",IF(AE420="Other Revenue","Other Revenue",IF(AE420="Other Expenditures","Other Expense",AF419)))))</f>
        <v/>
      </c>
      <c r="AG420" s="36" t="str">
        <f aca="false">IF(OR(AE420="Revenue",AE420="Cost of Goods Sold",AE420="Expenditures",AE420="Other Revenue",AE420="Other Expenditures"),AF420,IF(AND(LEN(AE420)&gt;2,MID(AE420,2,1)=" ",ISNUMBER(VALUE(LEFT(AE420,1)))),AE420,AG419))</f>
        <v/>
      </c>
      <c r="AH420" s="36" t="n">
        <f aca="false">IF(AND(AE420&lt;&gt;"",ISNUMBER(AC420),LEFT(AE420,9)&lt;&gt;"Total for",AE420&lt;&gt;"Gross Profit",AE420&lt;&gt;"Net Operating Revenue",AE420&lt;&gt;"Net Other Revenue",AE420&lt;&gt;"Net Revenue"),1,0)</f>
        <v>0</v>
      </c>
      <c r="AI420" s="36" t="str">
        <f aca="false">IF(AH420=1,IF(AND(LEN(AE420)&gt;7,ISNUMBER(VALUE(LEFT(AE420,6))),MID(AE420,7,1)=" "),LEFT(AE420,6),AE420),"")</f>
        <v/>
      </c>
      <c r="AN420" s="36" t="str">
        <f aca="false">TRIM(AK420)</f>
        <v/>
      </c>
      <c r="AO420" s="36" t="str">
        <f aca="false">IF(AN420="Revenue","Revenue",IF(AN420="Cost of Goods Sold","COGS",IF(AN420="Expenditures","Expense",IF(AN420="Other Revenue","Other Revenue",IF(AN420="Other Expenditures","Other Expense",AO419)))))</f>
        <v/>
      </c>
      <c r="AP420" s="36" t="str">
        <f aca="false">IF(OR(AN420="Revenue",AN420="Cost of Goods Sold",AN420="Expenditures",AN420="Other Revenue",AN420="Other Expenditures"),AO420,IF(AND(LEN(AN420)&gt;2,MID(AN420,2,1)=" ",ISNUMBER(VALUE(LEFT(AN420,1)))),AN420,AP419))</f>
        <v/>
      </c>
      <c r="AQ420" s="36" t="n">
        <f aca="false">IF(AND(AN420&lt;&gt;"",ISNUMBER(AL420),LEFT(AN420,9)&lt;&gt;"Total for",AN420&lt;&gt;"Gross Profit",AN420&lt;&gt;"Net Operating Revenue",AN420&lt;&gt;"Net Other Revenue",AN420&lt;&gt;"Net Revenue"),1,0)</f>
        <v>0</v>
      </c>
      <c r="AR420" s="36" t="str">
        <f aca="false">IF(AQ420=1,IF(AND(LEN(AN420)&gt;7,ISNUMBER(VALUE(LEFT(AN420,6))),MID(AN420,7,1)=" "),LEFT(AN420,6),AN420),"")</f>
        <v/>
      </c>
    </row>
    <row r="421" customFormat="false" ht="15" hidden="false" customHeight="false" outlineLevel="0" collapsed="false">
      <c r="D421" s="36" t="str">
        <f aca="false">TRIM(A421)</f>
        <v/>
      </c>
      <c r="E421" s="36" t="str">
        <f aca="false">IF(D421="Revenue","Revenue",IF(D421="Cost of Goods Sold","COGS",IF(D421="Expenditures","Expense",IF(D421="Other Revenue","Other Revenue",IF(D421="Other Expenditures","Other Expense",E420)))))</f>
        <v/>
      </c>
      <c r="F421" s="36" t="str">
        <f aca="false">IF(OR(D421="Revenue",D421="Cost of Goods Sold",D421="Expenditures",D421="Other Revenue",D421="Other Expenditures"),E421,IF(AND(LEN(D421)&gt;2,MID(D421,2,1)=" ",ISNUMBER(VALUE(LEFT(D421,1)))),D421,F420))</f>
        <v/>
      </c>
      <c r="G421" s="36" t="n">
        <f aca="false">IF(AND(D421&lt;&gt;"",ISNUMBER(B421),LEFT(D421,9)&lt;&gt;"Total for",D421&lt;&gt;"Gross Profit",D421&lt;&gt;"Net Operating Revenue",D421&lt;&gt;"Net Other Revenue",D421&lt;&gt;"Net Revenue"),1,0)</f>
        <v>0</v>
      </c>
      <c r="H421" s="36" t="str">
        <f aca="false">IF(G421=1,IF(AND(LEN(D421)&gt;7,ISNUMBER(VALUE(LEFT(D421,6))),MID(D421,7,1)=" "),LEFT(D421,6),D421),"")</f>
        <v/>
      </c>
      <c r="M421" s="36" t="str">
        <f aca="false">TRIM(J421)</f>
        <v/>
      </c>
      <c r="N421" s="36" t="str">
        <f aca="false">IF(M421="Revenue","Revenue",IF(M421="Cost of Goods Sold","COGS",IF(M421="Expenditures","Expense",IF(M421="Other Revenue","Other Revenue",IF(M421="Other Expenditures","Other Expense",N420)))))</f>
        <v/>
      </c>
      <c r="O421" s="36" t="str">
        <f aca="false">IF(OR(M421="Revenue",M421="Cost of Goods Sold",M421="Expenditures",M421="Other Revenue",M421="Other Expenditures"),N421,IF(AND(LEN(M421)&gt;2,MID(M421,2,1)=" ",ISNUMBER(VALUE(LEFT(M421,1)))),M421,O420))</f>
        <v/>
      </c>
      <c r="P421" s="36" t="n">
        <f aca="false">IF(AND(M421&lt;&gt;"",ISNUMBER(K421),LEFT(M421,9)&lt;&gt;"Total for",M421&lt;&gt;"Gross Profit",M421&lt;&gt;"Net Operating Revenue",M421&lt;&gt;"Net Other Revenue",M421&lt;&gt;"Net Revenue"),1,0)</f>
        <v>0</v>
      </c>
      <c r="Q421" s="36" t="str">
        <f aca="false">IF(P421=1,IF(AND(LEN(M421)&gt;7,ISNUMBER(VALUE(LEFT(M421,6))),MID(M421,7,1)=" "),LEFT(M421,6),M421),"")</f>
        <v/>
      </c>
      <c r="V421" s="36" t="str">
        <f aca="false">TRIM(S421)</f>
        <v/>
      </c>
      <c r="W421" s="36" t="str">
        <f aca="false">IF(V421="Revenue","Revenue",IF(V421="Cost of Goods Sold","COGS",IF(V421="Expenditures","Expense",IF(V421="Other Revenue","Other Revenue",IF(V421="Other Expenditures","Other Expense",W420)))))</f>
        <v/>
      </c>
      <c r="X421" s="36" t="str">
        <f aca="false">IF(OR(V421="Revenue",V421="Cost of Goods Sold",V421="Expenditures",V421="Other Revenue",V421="Other Expenditures"),W421,IF(AND(LEN(V421)&gt;2,MID(V421,2,1)=" ",ISNUMBER(VALUE(LEFT(V421,1)))),V421,X420))</f>
        <v/>
      </c>
      <c r="Y421" s="36" t="n">
        <f aca="false">IF(AND(V421&lt;&gt;"",ISNUMBER(T421),LEFT(V421,9)&lt;&gt;"Total for",V421&lt;&gt;"Gross Profit",V421&lt;&gt;"Net Operating Revenue",V421&lt;&gt;"Net Other Revenue",V421&lt;&gt;"Net Revenue"),1,0)</f>
        <v>0</v>
      </c>
      <c r="Z421" s="36" t="str">
        <f aca="false">IF(Y421=1,IF(AND(LEN(V421)&gt;7,ISNUMBER(VALUE(LEFT(V421,6))),MID(V421,7,1)=" "),LEFT(V421,6),V421),"")</f>
        <v/>
      </c>
      <c r="AE421" s="36" t="str">
        <f aca="false">TRIM(AB421)</f>
        <v/>
      </c>
      <c r="AF421" s="36" t="str">
        <f aca="false">IF(AE421="Revenue","Revenue",IF(AE421="Cost of Goods Sold","COGS",IF(AE421="Expenditures","Expense",IF(AE421="Other Revenue","Other Revenue",IF(AE421="Other Expenditures","Other Expense",AF420)))))</f>
        <v/>
      </c>
      <c r="AG421" s="36" t="str">
        <f aca="false">IF(OR(AE421="Revenue",AE421="Cost of Goods Sold",AE421="Expenditures",AE421="Other Revenue",AE421="Other Expenditures"),AF421,IF(AND(LEN(AE421)&gt;2,MID(AE421,2,1)=" ",ISNUMBER(VALUE(LEFT(AE421,1)))),AE421,AG420))</f>
        <v/>
      </c>
      <c r="AH421" s="36" t="n">
        <f aca="false">IF(AND(AE421&lt;&gt;"",ISNUMBER(AC421),LEFT(AE421,9)&lt;&gt;"Total for",AE421&lt;&gt;"Gross Profit",AE421&lt;&gt;"Net Operating Revenue",AE421&lt;&gt;"Net Other Revenue",AE421&lt;&gt;"Net Revenue"),1,0)</f>
        <v>0</v>
      </c>
      <c r="AI421" s="36" t="str">
        <f aca="false">IF(AH421=1,IF(AND(LEN(AE421)&gt;7,ISNUMBER(VALUE(LEFT(AE421,6))),MID(AE421,7,1)=" "),LEFT(AE421,6),AE421),"")</f>
        <v/>
      </c>
      <c r="AN421" s="36" t="str">
        <f aca="false">TRIM(AK421)</f>
        <v/>
      </c>
      <c r="AO421" s="36" t="str">
        <f aca="false">IF(AN421="Revenue","Revenue",IF(AN421="Cost of Goods Sold","COGS",IF(AN421="Expenditures","Expense",IF(AN421="Other Revenue","Other Revenue",IF(AN421="Other Expenditures","Other Expense",AO420)))))</f>
        <v/>
      </c>
      <c r="AP421" s="36" t="str">
        <f aca="false">IF(OR(AN421="Revenue",AN421="Cost of Goods Sold",AN421="Expenditures",AN421="Other Revenue",AN421="Other Expenditures"),AO421,IF(AND(LEN(AN421)&gt;2,MID(AN421,2,1)=" ",ISNUMBER(VALUE(LEFT(AN421,1)))),AN421,AP420))</f>
        <v/>
      </c>
      <c r="AQ421" s="36" t="n">
        <f aca="false">IF(AND(AN421&lt;&gt;"",ISNUMBER(AL421),LEFT(AN421,9)&lt;&gt;"Total for",AN421&lt;&gt;"Gross Profit",AN421&lt;&gt;"Net Operating Revenue",AN421&lt;&gt;"Net Other Revenue",AN421&lt;&gt;"Net Revenue"),1,0)</f>
        <v>0</v>
      </c>
      <c r="AR421" s="36" t="str">
        <f aca="false">IF(AQ421=1,IF(AND(LEN(AN421)&gt;7,ISNUMBER(VALUE(LEFT(AN421,6))),MID(AN421,7,1)=" "),LEFT(AN421,6),AN421),"")</f>
        <v/>
      </c>
    </row>
    <row r="422" customFormat="false" ht="15" hidden="false" customHeight="false" outlineLevel="0" collapsed="false">
      <c r="D422" s="36" t="str">
        <f aca="false">TRIM(A422)</f>
        <v/>
      </c>
      <c r="E422" s="36" t="str">
        <f aca="false">IF(D422="Revenue","Revenue",IF(D422="Cost of Goods Sold","COGS",IF(D422="Expenditures","Expense",IF(D422="Other Revenue","Other Revenue",IF(D422="Other Expenditures","Other Expense",E421)))))</f>
        <v/>
      </c>
      <c r="F422" s="36" t="str">
        <f aca="false">IF(OR(D422="Revenue",D422="Cost of Goods Sold",D422="Expenditures",D422="Other Revenue",D422="Other Expenditures"),E422,IF(AND(LEN(D422)&gt;2,MID(D422,2,1)=" ",ISNUMBER(VALUE(LEFT(D422,1)))),D422,F421))</f>
        <v/>
      </c>
      <c r="G422" s="36" t="n">
        <f aca="false">IF(AND(D422&lt;&gt;"",ISNUMBER(B422),LEFT(D422,9)&lt;&gt;"Total for",D422&lt;&gt;"Gross Profit",D422&lt;&gt;"Net Operating Revenue",D422&lt;&gt;"Net Other Revenue",D422&lt;&gt;"Net Revenue"),1,0)</f>
        <v>0</v>
      </c>
      <c r="H422" s="36" t="str">
        <f aca="false">IF(G422=1,IF(AND(LEN(D422)&gt;7,ISNUMBER(VALUE(LEFT(D422,6))),MID(D422,7,1)=" "),LEFT(D422,6),D422),"")</f>
        <v/>
      </c>
      <c r="M422" s="36" t="str">
        <f aca="false">TRIM(J422)</f>
        <v/>
      </c>
      <c r="N422" s="36" t="str">
        <f aca="false">IF(M422="Revenue","Revenue",IF(M422="Cost of Goods Sold","COGS",IF(M422="Expenditures","Expense",IF(M422="Other Revenue","Other Revenue",IF(M422="Other Expenditures","Other Expense",N421)))))</f>
        <v/>
      </c>
      <c r="O422" s="36" t="str">
        <f aca="false">IF(OR(M422="Revenue",M422="Cost of Goods Sold",M422="Expenditures",M422="Other Revenue",M422="Other Expenditures"),N422,IF(AND(LEN(M422)&gt;2,MID(M422,2,1)=" ",ISNUMBER(VALUE(LEFT(M422,1)))),M422,O421))</f>
        <v/>
      </c>
      <c r="P422" s="36" t="n">
        <f aca="false">IF(AND(M422&lt;&gt;"",ISNUMBER(K422),LEFT(M422,9)&lt;&gt;"Total for",M422&lt;&gt;"Gross Profit",M422&lt;&gt;"Net Operating Revenue",M422&lt;&gt;"Net Other Revenue",M422&lt;&gt;"Net Revenue"),1,0)</f>
        <v>0</v>
      </c>
      <c r="Q422" s="36" t="str">
        <f aca="false">IF(P422=1,IF(AND(LEN(M422)&gt;7,ISNUMBER(VALUE(LEFT(M422,6))),MID(M422,7,1)=" "),LEFT(M422,6),M422),"")</f>
        <v/>
      </c>
      <c r="V422" s="36" t="str">
        <f aca="false">TRIM(S422)</f>
        <v/>
      </c>
      <c r="W422" s="36" t="str">
        <f aca="false">IF(V422="Revenue","Revenue",IF(V422="Cost of Goods Sold","COGS",IF(V422="Expenditures","Expense",IF(V422="Other Revenue","Other Revenue",IF(V422="Other Expenditures","Other Expense",W421)))))</f>
        <v/>
      </c>
      <c r="X422" s="36" t="str">
        <f aca="false">IF(OR(V422="Revenue",V422="Cost of Goods Sold",V422="Expenditures",V422="Other Revenue",V422="Other Expenditures"),W422,IF(AND(LEN(V422)&gt;2,MID(V422,2,1)=" ",ISNUMBER(VALUE(LEFT(V422,1)))),V422,X421))</f>
        <v/>
      </c>
      <c r="Y422" s="36" t="n">
        <f aca="false">IF(AND(V422&lt;&gt;"",ISNUMBER(T422),LEFT(V422,9)&lt;&gt;"Total for",V422&lt;&gt;"Gross Profit",V422&lt;&gt;"Net Operating Revenue",V422&lt;&gt;"Net Other Revenue",V422&lt;&gt;"Net Revenue"),1,0)</f>
        <v>0</v>
      </c>
      <c r="Z422" s="36" t="str">
        <f aca="false">IF(Y422=1,IF(AND(LEN(V422)&gt;7,ISNUMBER(VALUE(LEFT(V422,6))),MID(V422,7,1)=" "),LEFT(V422,6),V422),"")</f>
        <v/>
      </c>
      <c r="AE422" s="36" t="str">
        <f aca="false">TRIM(AB422)</f>
        <v/>
      </c>
      <c r="AF422" s="36" t="str">
        <f aca="false">IF(AE422="Revenue","Revenue",IF(AE422="Cost of Goods Sold","COGS",IF(AE422="Expenditures","Expense",IF(AE422="Other Revenue","Other Revenue",IF(AE422="Other Expenditures","Other Expense",AF421)))))</f>
        <v/>
      </c>
      <c r="AG422" s="36" t="str">
        <f aca="false">IF(OR(AE422="Revenue",AE422="Cost of Goods Sold",AE422="Expenditures",AE422="Other Revenue",AE422="Other Expenditures"),AF422,IF(AND(LEN(AE422)&gt;2,MID(AE422,2,1)=" ",ISNUMBER(VALUE(LEFT(AE422,1)))),AE422,AG421))</f>
        <v/>
      </c>
      <c r="AH422" s="36" t="n">
        <f aca="false">IF(AND(AE422&lt;&gt;"",ISNUMBER(AC422),LEFT(AE422,9)&lt;&gt;"Total for",AE422&lt;&gt;"Gross Profit",AE422&lt;&gt;"Net Operating Revenue",AE422&lt;&gt;"Net Other Revenue",AE422&lt;&gt;"Net Revenue"),1,0)</f>
        <v>0</v>
      </c>
      <c r="AI422" s="36" t="str">
        <f aca="false">IF(AH422=1,IF(AND(LEN(AE422)&gt;7,ISNUMBER(VALUE(LEFT(AE422,6))),MID(AE422,7,1)=" "),LEFT(AE422,6),AE422),"")</f>
        <v/>
      </c>
      <c r="AN422" s="36" t="str">
        <f aca="false">TRIM(AK422)</f>
        <v/>
      </c>
      <c r="AO422" s="36" t="str">
        <f aca="false">IF(AN422="Revenue","Revenue",IF(AN422="Cost of Goods Sold","COGS",IF(AN422="Expenditures","Expense",IF(AN422="Other Revenue","Other Revenue",IF(AN422="Other Expenditures","Other Expense",AO421)))))</f>
        <v/>
      </c>
      <c r="AP422" s="36" t="str">
        <f aca="false">IF(OR(AN422="Revenue",AN422="Cost of Goods Sold",AN422="Expenditures",AN422="Other Revenue",AN422="Other Expenditures"),AO422,IF(AND(LEN(AN422)&gt;2,MID(AN422,2,1)=" ",ISNUMBER(VALUE(LEFT(AN422,1)))),AN422,AP421))</f>
        <v/>
      </c>
      <c r="AQ422" s="36" t="n">
        <f aca="false">IF(AND(AN422&lt;&gt;"",ISNUMBER(AL422),LEFT(AN422,9)&lt;&gt;"Total for",AN422&lt;&gt;"Gross Profit",AN422&lt;&gt;"Net Operating Revenue",AN422&lt;&gt;"Net Other Revenue",AN422&lt;&gt;"Net Revenue"),1,0)</f>
        <v>0</v>
      </c>
      <c r="AR422" s="36" t="str">
        <f aca="false">IF(AQ422=1,IF(AND(LEN(AN422)&gt;7,ISNUMBER(VALUE(LEFT(AN422,6))),MID(AN422,7,1)=" "),LEFT(AN422,6),AN422),"")</f>
        <v/>
      </c>
    </row>
    <row r="423" customFormat="false" ht="15" hidden="false" customHeight="false" outlineLevel="0" collapsed="false">
      <c r="D423" s="36" t="str">
        <f aca="false">TRIM(A423)</f>
        <v/>
      </c>
      <c r="E423" s="36" t="str">
        <f aca="false">IF(D423="Revenue","Revenue",IF(D423="Cost of Goods Sold","COGS",IF(D423="Expenditures","Expense",IF(D423="Other Revenue","Other Revenue",IF(D423="Other Expenditures","Other Expense",E422)))))</f>
        <v/>
      </c>
      <c r="F423" s="36" t="str">
        <f aca="false">IF(OR(D423="Revenue",D423="Cost of Goods Sold",D423="Expenditures",D423="Other Revenue",D423="Other Expenditures"),E423,IF(AND(LEN(D423)&gt;2,MID(D423,2,1)=" ",ISNUMBER(VALUE(LEFT(D423,1)))),D423,F422))</f>
        <v/>
      </c>
      <c r="G423" s="36" t="n">
        <f aca="false">IF(AND(D423&lt;&gt;"",ISNUMBER(B423),LEFT(D423,9)&lt;&gt;"Total for",D423&lt;&gt;"Gross Profit",D423&lt;&gt;"Net Operating Revenue",D423&lt;&gt;"Net Other Revenue",D423&lt;&gt;"Net Revenue"),1,0)</f>
        <v>0</v>
      </c>
      <c r="H423" s="36" t="str">
        <f aca="false">IF(G423=1,IF(AND(LEN(D423)&gt;7,ISNUMBER(VALUE(LEFT(D423,6))),MID(D423,7,1)=" "),LEFT(D423,6),D423),"")</f>
        <v/>
      </c>
      <c r="M423" s="36" t="str">
        <f aca="false">TRIM(J423)</f>
        <v/>
      </c>
      <c r="N423" s="36" t="str">
        <f aca="false">IF(M423="Revenue","Revenue",IF(M423="Cost of Goods Sold","COGS",IF(M423="Expenditures","Expense",IF(M423="Other Revenue","Other Revenue",IF(M423="Other Expenditures","Other Expense",N422)))))</f>
        <v/>
      </c>
      <c r="O423" s="36" t="str">
        <f aca="false">IF(OR(M423="Revenue",M423="Cost of Goods Sold",M423="Expenditures",M423="Other Revenue",M423="Other Expenditures"),N423,IF(AND(LEN(M423)&gt;2,MID(M423,2,1)=" ",ISNUMBER(VALUE(LEFT(M423,1)))),M423,O422))</f>
        <v/>
      </c>
      <c r="P423" s="36" t="n">
        <f aca="false">IF(AND(M423&lt;&gt;"",ISNUMBER(K423),LEFT(M423,9)&lt;&gt;"Total for",M423&lt;&gt;"Gross Profit",M423&lt;&gt;"Net Operating Revenue",M423&lt;&gt;"Net Other Revenue",M423&lt;&gt;"Net Revenue"),1,0)</f>
        <v>0</v>
      </c>
      <c r="Q423" s="36" t="str">
        <f aca="false">IF(P423=1,IF(AND(LEN(M423)&gt;7,ISNUMBER(VALUE(LEFT(M423,6))),MID(M423,7,1)=" "),LEFT(M423,6),M423),"")</f>
        <v/>
      </c>
      <c r="V423" s="36" t="str">
        <f aca="false">TRIM(S423)</f>
        <v/>
      </c>
      <c r="W423" s="36" t="str">
        <f aca="false">IF(V423="Revenue","Revenue",IF(V423="Cost of Goods Sold","COGS",IF(V423="Expenditures","Expense",IF(V423="Other Revenue","Other Revenue",IF(V423="Other Expenditures","Other Expense",W422)))))</f>
        <v/>
      </c>
      <c r="X423" s="36" t="str">
        <f aca="false">IF(OR(V423="Revenue",V423="Cost of Goods Sold",V423="Expenditures",V423="Other Revenue",V423="Other Expenditures"),W423,IF(AND(LEN(V423)&gt;2,MID(V423,2,1)=" ",ISNUMBER(VALUE(LEFT(V423,1)))),V423,X422))</f>
        <v/>
      </c>
      <c r="Y423" s="36" t="n">
        <f aca="false">IF(AND(V423&lt;&gt;"",ISNUMBER(T423),LEFT(V423,9)&lt;&gt;"Total for",V423&lt;&gt;"Gross Profit",V423&lt;&gt;"Net Operating Revenue",V423&lt;&gt;"Net Other Revenue",V423&lt;&gt;"Net Revenue"),1,0)</f>
        <v>0</v>
      </c>
      <c r="Z423" s="36" t="str">
        <f aca="false">IF(Y423=1,IF(AND(LEN(V423)&gt;7,ISNUMBER(VALUE(LEFT(V423,6))),MID(V423,7,1)=" "),LEFT(V423,6),V423),"")</f>
        <v/>
      </c>
      <c r="AE423" s="36" t="str">
        <f aca="false">TRIM(AB423)</f>
        <v/>
      </c>
      <c r="AF423" s="36" t="str">
        <f aca="false">IF(AE423="Revenue","Revenue",IF(AE423="Cost of Goods Sold","COGS",IF(AE423="Expenditures","Expense",IF(AE423="Other Revenue","Other Revenue",IF(AE423="Other Expenditures","Other Expense",AF422)))))</f>
        <v/>
      </c>
      <c r="AG423" s="36" t="str">
        <f aca="false">IF(OR(AE423="Revenue",AE423="Cost of Goods Sold",AE423="Expenditures",AE423="Other Revenue",AE423="Other Expenditures"),AF423,IF(AND(LEN(AE423)&gt;2,MID(AE423,2,1)=" ",ISNUMBER(VALUE(LEFT(AE423,1)))),AE423,AG422))</f>
        <v/>
      </c>
      <c r="AH423" s="36" t="n">
        <f aca="false">IF(AND(AE423&lt;&gt;"",ISNUMBER(AC423),LEFT(AE423,9)&lt;&gt;"Total for",AE423&lt;&gt;"Gross Profit",AE423&lt;&gt;"Net Operating Revenue",AE423&lt;&gt;"Net Other Revenue",AE423&lt;&gt;"Net Revenue"),1,0)</f>
        <v>0</v>
      </c>
      <c r="AI423" s="36" t="str">
        <f aca="false">IF(AH423=1,IF(AND(LEN(AE423)&gt;7,ISNUMBER(VALUE(LEFT(AE423,6))),MID(AE423,7,1)=" "),LEFT(AE423,6),AE423),"")</f>
        <v/>
      </c>
      <c r="AN423" s="36" t="str">
        <f aca="false">TRIM(AK423)</f>
        <v/>
      </c>
      <c r="AO423" s="36" t="str">
        <f aca="false">IF(AN423="Revenue","Revenue",IF(AN423="Cost of Goods Sold","COGS",IF(AN423="Expenditures","Expense",IF(AN423="Other Revenue","Other Revenue",IF(AN423="Other Expenditures","Other Expense",AO422)))))</f>
        <v/>
      </c>
      <c r="AP423" s="36" t="str">
        <f aca="false">IF(OR(AN423="Revenue",AN423="Cost of Goods Sold",AN423="Expenditures",AN423="Other Revenue",AN423="Other Expenditures"),AO423,IF(AND(LEN(AN423)&gt;2,MID(AN423,2,1)=" ",ISNUMBER(VALUE(LEFT(AN423,1)))),AN423,AP422))</f>
        <v/>
      </c>
      <c r="AQ423" s="36" t="n">
        <f aca="false">IF(AND(AN423&lt;&gt;"",ISNUMBER(AL423),LEFT(AN423,9)&lt;&gt;"Total for",AN423&lt;&gt;"Gross Profit",AN423&lt;&gt;"Net Operating Revenue",AN423&lt;&gt;"Net Other Revenue",AN423&lt;&gt;"Net Revenue"),1,0)</f>
        <v>0</v>
      </c>
      <c r="AR423" s="36" t="str">
        <f aca="false">IF(AQ423=1,IF(AND(LEN(AN423)&gt;7,ISNUMBER(VALUE(LEFT(AN423,6))),MID(AN423,7,1)=" "),LEFT(AN423,6),AN423),"")</f>
        <v/>
      </c>
    </row>
    <row r="424" customFormat="false" ht="15" hidden="false" customHeight="false" outlineLevel="0" collapsed="false">
      <c r="D424" s="36" t="str">
        <f aca="false">TRIM(A424)</f>
        <v/>
      </c>
      <c r="E424" s="36" t="str">
        <f aca="false">IF(D424="Revenue","Revenue",IF(D424="Cost of Goods Sold","COGS",IF(D424="Expenditures","Expense",IF(D424="Other Revenue","Other Revenue",IF(D424="Other Expenditures","Other Expense",E423)))))</f>
        <v/>
      </c>
      <c r="F424" s="36" t="str">
        <f aca="false">IF(OR(D424="Revenue",D424="Cost of Goods Sold",D424="Expenditures",D424="Other Revenue",D424="Other Expenditures"),E424,IF(AND(LEN(D424)&gt;2,MID(D424,2,1)=" ",ISNUMBER(VALUE(LEFT(D424,1)))),D424,F423))</f>
        <v/>
      </c>
      <c r="G424" s="36" t="n">
        <f aca="false">IF(AND(D424&lt;&gt;"",ISNUMBER(B424),LEFT(D424,9)&lt;&gt;"Total for",D424&lt;&gt;"Gross Profit",D424&lt;&gt;"Net Operating Revenue",D424&lt;&gt;"Net Other Revenue",D424&lt;&gt;"Net Revenue"),1,0)</f>
        <v>0</v>
      </c>
      <c r="H424" s="36" t="str">
        <f aca="false">IF(G424=1,IF(AND(LEN(D424)&gt;7,ISNUMBER(VALUE(LEFT(D424,6))),MID(D424,7,1)=" "),LEFT(D424,6),D424),"")</f>
        <v/>
      </c>
      <c r="M424" s="36" t="str">
        <f aca="false">TRIM(J424)</f>
        <v/>
      </c>
      <c r="N424" s="36" t="str">
        <f aca="false">IF(M424="Revenue","Revenue",IF(M424="Cost of Goods Sold","COGS",IF(M424="Expenditures","Expense",IF(M424="Other Revenue","Other Revenue",IF(M424="Other Expenditures","Other Expense",N423)))))</f>
        <v/>
      </c>
      <c r="O424" s="36" t="str">
        <f aca="false">IF(OR(M424="Revenue",M424="Cost of Goods Sold",M424="Expenditures",M424="Other Revenue",M424="Other Expenditures"),N424,IF(AND(LEN(M424)&gt;2,MID(M424,2,1)=" ",ISNUMBER(VALUE(LEFT(M424,1)))),M424,O423))</f>
        <v/>
      </c>
      <c r="P424" s="36" t="n">
        <f aca="false">IF(AND(M424&lt;&gt;"",ISNUMBER(K424),LEFT(M424,9)&lt;&gt;"Total for",M424&lt;&gt;"Gross Profit",M424&lt;&gt;"Net Operating Revenue",M424&lt;&gt;"Net Other Revenue",M424&lt;&gt;"Net Revenue"),1,0)</f>
        <v>0</v>
      </c>
      <c r="Q424" s="36" t="str">
        <f aca="false">IF(P424=1,IF(AND(LEN(M424)&gt;7,ISNUMBER(VALUE(LEFT(M424,6))),MID(M424,7,1)=" "),LEFT(M424,6),M424),"")</f>
        <v/>
      </c>
      <c r="V424" s="36" t="str">
        <f aca="false">TRIM(S424)</f>
        <v/>
      </c>
      <c r="W424" s="36" t="str">
        <f aca="false">IF(V424="Revenue","Revenue",IF(V424="Cost of Goods Sold","COGS",IF(V424="Expenditures","Expense",IF(V424="Other Revenue","Other Revenue",IF(V424="Other Expenditures","Other Expense",W423)))))</f>
        <v/>
      </c>
      <c r="X424" s="36" t="str">
        <f aca="false">IF(OR(V424="Revenue",V424="Cost of Goods Sold",V424="Expenditures",V424="Other Revenue",V424="Other Expenditures"),W424,IF(AND(LEN(V424)&gt;2,MID(V424,2,1)=" ",ISNUMBER(VALUE(LEFT(V424,1)))),V424,X423))</f>
        <v/>
      </c>
      <c r="Y424" s="36" t="n">
        <f aca="false">IF(AND(V424&lt;&gt;"",ISNUMBER(T424),LEFT(V424,9)&lt;&gt;"Total for",V424&lt;&gt;"Gross Profit",V424&lt;&gt;"Net Operating Revenue",V424&lt;&gt;"Net Other Revenue",V424&lt;&gt;"Net Revenue"),1,0)</f>
        <v>0</v>
      </c>
      <c r="Z424" s="36" t="str">
        <f aca="false">IF(Y424=1,IF(AND(LEN(V424)&gt;7,ISNUMBER(VALUE(LEFT(V424,6))),MID(V424,7,1)=" "),LEFT(V424,6),V424),"")</f>
        <v/>
      </c>
      <c r="AE424" s="36" t="str">
        <f aca="false">TRIM(AB424)</f>
        <v/>
      </c>
      <c r="AF424" s="36" t="str">
        <f aca="false">IF(AE424="Revenue","Revenue",IF(AE424="Cost of Goods Sold","COGS",IF(AE424="Expenditures","Expense",IF(AE424="Other Revenue","Other Revenue",IF(AE424="Other Expenditures","Other Expense",AF423)))))</f>
        <v/>
      </c>
      <c r="AG424" s="36" t="str">
        <f aca="false">IF(OR(AE424="Revenue",AE424="Cost of Goods Sold",AE424="Expenditures",AE424="Other Revenue",AE424="Other Expenditures"),AF424,IF(AND(LEN(AE424)&gt;2,MID(AE424,2,1)=" ",ISNUMBER(VALUE(LEFT(AE424,1)))),AE424,AG423))</f>
        <v/>
      </c>
      <c r="AH424" s="36" t="n">
        <f aca="false">IF(AND(AE424&lt;&gt;"",ISNUMBER(AC424),LEFT(AE424,9)&lt;&gt;"Total for",AE424&lt;&gt;"Gross Profit",AE424&lt;&gt;"Net Operating Revenue",AE424&lt;&gt;"Net Other Revenue",AE424&lt;&gt;"Net Revenue"),1,0)</f>
        <v>0</v>
      </c>
      <c r="AI424" s="36" t="str">
        <f aca="false">IF(AH424=1,IF(AND(LEN(AE424)&gt;7,ISNUMBER(VALUE(LEFT(AE424,6))),MID(AE424,7,1)=" "),LEFT(AE424,6),AE424),"")</f>
        <v/>
      </c>
      <c r="AN424" s="36" t="str">
        <f aca="false">TRIM(AK424)</f>
        <v/>
      </c>
      <c r="AO424" s="36" t="str">
        <f aca="false">IF(AN424="Revenue","Revenue",IF(AN424="Cost of Goods Sold","COGS",IF(AN424="Expenditures","Expense",IF(AN424="Other Revenue","Other Revenue",IF(AN424="Other Expenditures","Other Expense",AO423)))))</f>
        <v/>
      </c>
      <c r="AP424" s="36" t="str">
        <f aca="false">IF(OR(AN424="Revenue",AN424="Cost of Goods Sold",AN424="Expenditures",AN424="Other Revenue",AN424="Other Expenditures"),AO424,IF(AND(LEN(AN424)&gt;2,MID(AN424,2,1)=" ",ISNUMBER(VALUE(LEFT(AN424,1)))),AN424,AP423))</f>
        <v/>
      </c>
      <c r="AQ424" s="36" t="n">
        <f aca="false">IF(AND(AN424&lt;&gt;"",ISNUMBER(AL424),LEFT(AN424,9)&lt;&gt;"Total for",AN424&lt;&gt;"Gross Profit",AN424&lt;&gt;"Net Operating Revenue",AN424&lt;&gt;"Net Other Revenue",AN424&lt;&gt;"Net Revenue"),1,0)</f>
        <v>0</v>
      </c>
      <c r="AR424" s="36" t="str">
        <f aca="false">IF(AQ424=1,IF(AND(LEN(AN424)&gt;7,ISNUMBER(VALUE(LEFT(AN424,6))),MID(AN424,7,1)=" "),LEFT(AN424,6),AN424),"")</f>
        <v/>
      </c>
    </row>
    <row r="425" customFormat="false" ht="15" hidden="false" customHeight="false" outlineLevel="0" collapsed="false">
      <c r="D425" s="36" t="str">
        <f aca="false">TRIM(A425)</f>
        <v/>
      </c>
      <c r="E425" s="36" t="str">
        <f aca="false">IF(D425="Revenue","Revenue",IF(D425="Cost of Goods Sold","COGS",IF(D425="Expenditures","Expense",IF(D425="Other Revenue","Other Revenue",IF(D425="Other Expenditures","Other Expense",E424)))))</f>
        <v/>
      </c>
      <c r="F425" s="36" t="str">
        <f aca="false">IF(OR(D425="Revenue",D425="Cost of Goods Sold",D425="Expenditures",D425="Other Revenue",D425="Other Expenditures"),E425,IF(AND(LEN(D425)&gt;2,MID(D425,2,1)=" ",ISNUMBER(VALUE(LEFT(D425,1)))),D425,F424))</f>
        <v/>
      </c>
      <c r="G425" s="36" t="n">
        <f aca="false">IF(AND(D425&lt;&gt;"",ISNUMBER(B425),LEFT(D425,9)&lt;&gt;"Total for",D425&lt;&gt;"Gross Profit",D425&lt;&gt;"Net Operating Revenue",D425&lt;&gt;"Net Other Revenue",D425&lt;&gt;"Net Revenue"),1,0)</f>
        <v>0</v>
      </c>
      <c r="H425" s="36" t="str">
        <f aca="false">IF(G425=1,IF(AND(LEN(D425)&gt;7,ISNUMBER(VALUE(LEFT(D425,6))),MID(D425,7,1)=" "),LEFT(D425,6),D425),"")</f>
        <v/>
      </c>
      <c r="M425" s="36" t="str">
        <f aca="false">TRIM(J425)</f>
        <v/>
      </c>
      <c r="N425" s="36" t="str">
        <f aca="false">IF(M425="Revenue","Revenue",IF(M425="Cost of Goods Sold","COGS",IF(M425="Expenditures","Expense",IF(M425="Other Revenue","Other Revenue",IF(M425="Other Expenditures","Other Expense",N424)))))</f>
        <v/>
      </c>
      <c r="O425" s="36" t="str">
        <f aca="false">IF(OR(M425="Revenue",M425="Cost of Goods Sold",M425="Expenditures",M425="Other Revenue",M425="Other Expenditures"),N425,IF(AND(LEN(M425)&gt;2,MID(M425,2,1)=" ",ISNUMBER(VALUE(LEFT(M425,1)))),M425,O424))</f>
        <v/>
      </c>
      <c r="P425" s="36" t="n">
        <f aca="false">IF(AND(M425&lt;&gt;"",ISNUMBER(K425),LEFT(M425,9)&lt;&gt;"Total for",M425&lt;&gt;"Gross Profit",M425&lt;&gt;"Net Operating Revenue",M425&lt;&gt;"Net Other Revenue",M425&lt;&gt;"Net Revenue"),1,0)</f>
        <v>0</v>
      </c>
      <c r="Q425" s="36" t="str">
        <f aca="false">IF(P425=1,IF(AND(LEN(M425)&gt;7,ISNUMBER(VALUE(LEFT(M425,6))),MID(M425,7,1)=" "),LEFT(M425,6),M425),"")</f>
        <v/>
      </c>
      <c r="V425" s="36" t="str">
        <f aca="false">TRIM(S425)</f>
        <v/>
      </c>
      <c r="W425" s="36" t="str">
        <f aca="false">IF(V425="Revenue","Revenue",IF(V425="Cost of Goods Sold","COGS",IF(V425="Expenditures","Expense",IF(V425="Other Revenue","Other Revenue",IF(V425="Other Expenditures","Other Expense",W424)))))</f>
        <v/>
      </c>
      <c r="X425" s="36" t="str">
        <f aca="false">IF(OR(V425="Revenue",V425="Cost of Goods Sold",V425="Expenditures",V425="Other Revenue",V425="Other Expenditures"),W425,IF(AND(LEN(V425)&gt;2,MID(V425,2,1)=" ",ISNUMBER(VALUE(LEFT(V425,1)))),V425,X424))</f>
        <v/>
      </c>
      <c r="Y425" s="36" t="n">
        <f aca="false">IF(AND(V425&lt;&gt;"",ISNUMBER(T425),LEFT(V425,9)&lt;&gt;"Total for",V425&lt;&gt;"Gross Profit",V425&lt;&gt;"Net Operating Revenue",V425&lt;&gt;"Net Other Revenue",V425&lt;&gt;"Net Revenue"),1,0)</f>
        <v>0</v>
      </c>
      <c r="Z425" s="36" t="str">
        <f aca="false">IF(Y425=1,IF(AND(LEN(V425)&gt;7,ISNUMBER(VALUE(LEFT(V425,6))),MID(V425,7,1)=" "),LEFT(V425,6),V425),"")</f>
        <v/>
      </c>
      <c r="AE425" s="36" t="str">
        <f aca="false">TRIM(AB425)</f>
        <v/>
      </c>
      <c r="AF425" s="36" t="str">
        <f aca="false">IF(AE425="Revenue","Revenue",IF(AE425="Cost of Goods Sold","COGS",IF(AE425="Expenditures","Expense",IF(AE425="Other Revenue","Other Revenue",IF(AE425="Other Expenditures","Other Expense",AF424)))))</f>
        <v/>
      </c>
      <c r="AG425" s="36" t="str">
        <f aca="false">IF(OR(AE425="Revenue",AE425="Cost of Goods Sold",AE425="Expenditures",AE425="Other Revenue",AE425="Other Expenditures"),AF425,IF(AND(LEN(AE425)&gt;2,MID(AE425,2,1)=" ",ISNUMBER(VALUE(LEFT(AE425,1)))),AE425,AG424))</f>
        <v/>
      </c>
      <c r="AH425" s="36" t="n">
        <f aca="false">IF(AND(AE425&lt;&gt;"",ISNUMBER(AC425),LEFT(AE425,9)&lt;&gt;"Total for",AE425&lt;&gt;"Gross Profit",AE425&lt;&gt;"Net Operating Revenue",AE425&lt;&gt;"Net Other Revenue",AE425&lt;&gt;"Net Revenue"),1,0)</f>
        <v>0</v>
      </c>
      <c r="AI425" s="36" t="str">
        <f aca="false">IF(AH425=1,IF(AND(LEN(AE425)&gt;7,ISNUMBER(VALUE(LEFT(AE425,6))),MID(AE425,7,1)=" "),LEFT(AE425,6),AE425),"")</f>
        <v/>
      </c>
      <c r="AN425" s="36" t="str">
        <f aca="false">TRIM(AK425)</f>
        <v/>
      </c>
      <c r="AO425" s="36" t="str">
        <f aca="false">IF(AN425="Revenue","Revenue",IF(AN425="Cost of Goods Sold","COGS",IF(AN425="Expenditures","Expense",IF(AN425="Other Revenue","Other Revenue",IF(AN425="Other Expenditures","Other Expense",AO424)))))</f>
        <v/>
      </c>
      <c r="AP425" s="36" t="str">
        <f aca="false">IF(OR(AN425="Revenue",AN425="Cost of Goods Sold",AN425="Expenditures",AN425="Other Revenue",AN425="Other Expenditures"),AO425,IF(AND(LEN(AN425)&gt;2,MID(AN425,2,1)=" ",ISNUMBER(VALUE(LEFT(AN425,1)))),AN425,AP424))</f>
        <v/>
      </c>
      <c r="AQ425" s="36" t="n">
        <f aca="false">IF(AND(AN425&lt;&gt;"",ISNUMBER(AL425),LEFT(AN425,9)&lt;&gt;"Total for",AN425&lt;&gt;"Gross Profit",AN425&lt;&gt;"Net Operating Revenue",AN425&lt;&gt;"Net Other Revenue",AN425&lt;&gt;"Net Revenue"),1,0)</f>
        <v>0</v>
      </c>
      <c r="AR425" s="36" t="str">
        <f aca="false">IF(AQ425=1,IF(AND(LEN(AN425)&gt;7,ISNUMBER(VALUE(LEFT(AN425,6))),MID(AN425,7,1)=" "),LEFT(AN425,6),AN425),"")</f>
        <v/>
      </c>
    </row>
    <row r="426" customFormat="false" ht="15" hidden="false" customHeight="false" outlineLevel="0" collapsed="false">
      <c r="D426" s="36" t="str">
        <f aca="false">TRIM(A426)</f>
        <v/>
      </c>
      <c r="E426" s="36" t="str">
        <f aca="false">IF(D426="Revenue","Revenue",IF(D426="Cost of Goods Sold","COGS",IF(D426="Expenditures","Expense",IF(D426="Other Revenue","Other Revenue",IF(D426="Other Expenditures","Other Expense",E425)))))</f>
        <v/>
      </c>
      <c r="F426" s="36" t="str">
        <f aca="false">IF(OR(D426="Revenue",D426="Cost of Goods Sold",D426="Expenditures",D426="Other Revenue",D426="Other Expenditures"),E426,IF(AND(LEN(D426)&gt;2,MID(D426,2,1)=" ",ISNUMBER(VALUE(LEFT(D426,1)))),D426,F425))</f>
        <v/>
      </c>
      <c r="G426" s="36" t="n">
        <f aca="false">IF(AND(D426&lt;&gt;"",ISNUMBER(B426),LEFT(D426,9)&lt;&gt;"Total for",D426&lt;&gt;"Gross Profit",D426&lt;&gt;"Net Operating Revenue",D426&lt;&gt;"Net Other Revenue",D426&lt;&gt;"Net Revenue"),1,0)</f>
        <v>0</v>
      </c>
      <c r="H426" s="36" t="str">
        <f aca="false">IF(G426=1,IF(AND(LEN(D426)&gt;7,ISNUMBER(VALUE(LEFT(D426,6))),MID(D426,7,1)=" "),LEFT(D426,6),D426),"")</f>
        <v/>
      </c>
      <c r="M426" s="36" t="str">
        <f aca="false">TRIM(J426)</f>
        <v/>
      </c>
      <c r="N426" s="36" t="str">
        <f aca="false">IF(M426="Revenue","Revenue",IF(M426="Cost of Goods Sold","COGS",IF(M426="Expenditures","Expense",IF(M426="Other Revenue","Other Revenue",IF(M426="Other Expenditures","Other Expense",N425)))))</f>
        <v/>
      </c>
      <c r="O426" s="36" t="str">
        <f aca="false">IF(OR(M426="Revenue",M426="Cost of Goods Sold",M426="Expenditures",M426="Other Revenue",M426="Other Expenditures"),N426,IF(AND(LEN(M426)&gt;2,MID(M426,2,1)=" ",ISNUMBER(VALUE(LEFT(M426,1)))),M426,O425))</f>
        <v/>
      </c>
      <c r="P426" s="36" t="n">
        <f aca="false">IF(AND(M426&lt;&gt;"",ISNUMBER(K426),LEFT(M426,9)&lt;&gt;"Total for",M426&lt;&gt;"Gross Profit",M426&lt;&gt;"Net Operating Revenue",M426&lt;&gt;"Net Other Revenue",M426&lt;&gt;"Net Revenue"),1,0)</f>
        <v>0</v>
      </c>
      <c r="Q426" s="36" t="str">
        <f aca="false">IF(P426=1,IF(AND(LEN(M426)&gt;7,ISNUMBER(VALUE(LEFT(M426,6))),MID(M426,7,1)=" "),LEFT(M426,6),M426),"")</f>
        <v/>
      </c>
      <c r="V426" s="36" t="str">
        <f aca="false">TRIM(S426)</f>
        <v/>
      </c>
      <c r="W426" s="36" t="str">
        <f aca="false">IF(V426="Revenue","Revenue",IF(V426="Cost of Goods Sold","COGS",IF(V426="Expenditures","Expense",IF(V426="Other Revenue","Other Revenue",IF(V426="Other Expenditures","Other Expense",W425)))))</f>
        <v/>
      </c>
      <c r="X426" s="36" t="str">
        <f aca="false">IF(OR(V426="Revenue",V426="Cost of Goods Sold",V426="Expenditures",V426="Other Revenue",V426="Other Expenditures"),W426,IF(AND(LEN(V426)&gt;2,MID(V426,2,1)=" ",ISNUMBER(VALUE(LEFT(V426,1)))),V426,X425))</f>
        <v/>
      </c>
      <c r="Y426" s="36" t="n">
        <f aca="false">IF(AND(V426&lt;&gt;"",ISNUMBER(T426),LEFT(V426,9)&lt;&gt;"Total for",V426&lt;&gt;"Gross Profit",V426&lt;&gt;"Net Operating Revenue",V426&lt;&gt;"Net Other Revenue",V426&lt;&gt;"Net Revenue"),1,0)</f>
        <v>0</v>
      </c>
      <c r="Z426" s="36" t="str">
        <f aca="false">IF(Y426=1,IF(AND(LEN(V426)&gt;7,ISNUMBER(VALUE(LEFT(V426,6))),MID(V426,7,1)=" "),LEFT(V426,6),V426),"")</f>
        <v/>
      </c>
      <c r="AE426" s="36" t="str">
        <f aca="false">TRIM(AB426)</f>
        <v/>
      </c>
      <c r="AF426" s="36" t="str">
        <f aca="false">IF(AE426="Revenue","Revenue",IF(AE426="Cost of Goods Sold","COGS",IF(AE426="Expenditures","Expense",IF(AE426="Other Revenue","Other Revenue",IF(AE426="Other Expenditures","Other Expense",AF425)))))</f>
        <v/>
      </c>
      <c r="AG426" s="36" t="str">
        <f aca="false">IF(OR(AE426="Revenue",AE426="Cost of Goods Sold",AE426="Expenditures",AE426="Other Revenue",AE426="Other Expenditures"),AF426,IF(AND(LEN(AE426)&gt;2,MID(AE426,2,1)=" ",ISNUMBER(VALUE(LEFT(AE426,1)))),AE426,AG425))</f>
        <v/>
      </c>
      <c r="AH426" s="36" t="n">
        <f aca="false">IF(AND(AE426&lt;&gt;"",ISNUMBER(AC426),LEFT(AE426,9)&lt;&gt;"Total for",AE426&lt;&gt;"Gross Profit",AE426&lt;&gt;"Net Operating Revenue",AE426&lt;&gt;"Net Other Revenue",AE426&lt;&gt;"Net Revenue"),1,0)</f>
        <v>0</v>
      </c>
      <c r="AI426" s="36" t="str">
        <f aca="false">IF(AH426=1,IF(AND(LEN(AE426)&gt;7,ISNUMBER(VALUE(LEFT(AE426,6))),MID(AE426,7,1)=" "),LEFT(AE426,6),AE426),"")</f>
        <v/>
      </c>
      <c r="AN426" s="36" t="str">
        <f aca="false">TRIM(AK426)</f>
        <v/>
      </c>
      <c r="AO426" s="36" t="str">
        <f aca="false">IF(AN426="Revenue","Revenue",IF(AN426="Cost of Goods Sold","COGS",IF(AN426="Expenditures","Expense",IF(AN426="Other Revenue","Other Revenue",IF(AN426="Other Expenditures","Other Expense",AO425)))))</f>
        <v/>
      </c>
      <c r="AP426" s="36" t="str">
        <f aca="false">IF(OR(AN426="Revenue",AN426="Cost of Goods Sold",AN426="Expenditures",AN426="Other Revenue",AN426="Other Expenditures"),AO426,IF(AND(LEN(AN426)&gt;2,MID(AN426,2,1)=" ",ISNUMBER(VALUE(LEFT(AN426,1)))),AN426,AP425))</f>
        <v/>
      </c>
      <c r="AQ426" s="36" t="n">
        <f aca="false">IF(AND(AN426&lt;&gt;"",ISNUMBER(AL426),LEFT(AN426,9)&lt;&gt;"Total for",AN426&lt;&gt;"Gross Profit",AN426&lt;&gt;"Net Operating Revenue",AN426&lt;&gt;"Net Other Revenue",AN426&lt;&gt;"Net Revenue"),1,0)</f>
        <v>0</v>
      </c>
      <c r="AR426" s="36" t="str">
        <f aca="false">IF(AQ426=1,IF(AND(LEN(AN426)&gt;7,ISNUMBER(VALUE(LEFT(AN426,6))),MID(AN426,7,1)=" "),LEFT(AN426,6),AN426),"")</f>
        <v/>
      </c>
    </row>
    <row r="427" customFormat="false" ht="15" hidden="false" customHeight="false" outlineLevel="0" collapsed="false">
      <c r="D427" s="36" t="str">
        <f aca="false">TRIM(A427)</f>
        <v/>
      </c>
      <c r="E427" s="36" t="str">
        <f aca="false">IF(D427="Revenue","Revenue",IF(D427="Cost of Goods Sold","COGS",IF(D427="Expenditures","Expense",IF(D427="Other Revenue","Other Revenue",IF(D427="Other Expenditures","Other Expense",E426)))))</f>
        <v/>
      </c>
      <c r="F427" s="36" t="str">
        <f aca="false">IF(OR(D427="Revenue",D427="Cost of Goods Sold",D427="Expenditures",D427="Other Revenue",D427="Other Expenditures"),E427,IF(AND(LEN(D427)&gt;2,MID(D427,2,1)=" ",ISNUMBER(VALUE(LEFT(D427,1)))),D427,F426))</f>
        <v/>
      </c>
      <c r="G427" s="36" t="n">
        <f aca="false">IF(AND(D427&lt;&gt;"",ISNUMBER(B427),LEFT(D427,9)&lt;&gt;"Total for",D427&lt;&gt;"Gross Profit",D427&lt;&gt;"Net Operating Revenue",D427&lt;&gt;"Net Other Revenue",D427&lt;&gt;"Net Revenue"),1,0)</f>
        <v>0</v>
      </c>
      <c r="H427" s="36" t="str">
        <f aca="false">IF(G427=1,IF(AND(LEN(D427)&gt;7,ISNUMBER(VALUE(LEFT(D427,6))),MID(D427,7,1)=" "),LEFT(D427,6),D427),"")</f>
        <v/>
      </c>
      <c r="M427" s="36" t="str">
        <f aca="false">TRIM(J427)</f>
        <v/>
      </c>
      <c r="N427" s="36" t="str">
        <f aca="false">IF(M427="Revenue","Revenue",IF(M427="Cost of Goods Sold","COGS",IF(M427="Expenditures","Expense",IF(M427="Other Revenue","Other Revenue",IF(M427="Other Expenditures","Other Expense",N426)))))</f>
        <v/>
      </c>
      <c r="O427" s="36" t="str">
        <f aca="false">IF(OR(M427="Revenue",M427="Cost of Goods Sold",M427="Expenditures",M427="Other Revenue",M427="Other Expenditures"),N427,IF(AND(LEN(M427)&gt;2,MID(M427,2,1)=" ",ISNUMBER(VALUE(LEFT(M427,1)))),M427,O426))</f>
        <v/>
      </c>
      <c r="P427" s="36" t="n">
        <f aca="false">IF(AND(M427&lt;&gt;"",ISNUMBER(K427),LEFT(M427,9)&lt;&gt;"Total for",M427&lt;&gt;"Gross Profit",M427&lt;&gt;"Net Operating Revenue",M427&lt;&gt;"Net Other Revenue",M427&lt;&gt;"Net Revenue"),1,0)</f>
        <v>0</v>
      </c>
      <c r="Q427" s="36" t="str">
        <f aca="false">IF(P427=1,IF(AND(LEN(M427)&gt;7,ISNUMBER(VALUE(LEFT(M427,6))),MID(M427,7,1)=" "),LEFT(M427,6),M427),"")</f>
        <v/>
      </c>
      <c r="V427" s="36" t="str">
        <f aca="false">TRIM(S427)</f>
        <v/>
      </c>
      <c r="W427" s="36" t="str">
        <f aca="false">IF(V427="Revenue","Revenue",IF(V427="Cost of Goods Sold","COGS",IF(V427="Expenditures","Expense",IF(V427="Other Revenue","Other Revenue",IF(V427="Other Expenditures","Other Expense",W426)))))</f>
        <v/>
      </c>
      <c r="X427" s="36" t="str">
        <f aca="false">IF(OR(V427="Revenue",V427="Cost of Goods Sold",V427="Expenditures",V427="Other Revenue",V427="Other Expenditures"),W427,IF(AND(LEN(V427)&gt;2,MID(V427,2,1)=" ",ISNUMBER(VALUE(LEFT(V427,1)))),V427,X426))</f>
        <v/>
      </c>
      <c r="Y427" s="36" t="n">
        <f aca="false">IF(AND(V427&lt;&gt;"",ISNUMBER(T427),LEFT(V427,9)&lt;&gt;"Total for",V427&lt;&gt;"Gross Profit",V427&lt;&gt;"Net Operating Revenue",V427&lt;&gt;"Net Other Revenue",V427&lt;&gt;"Net Revenue"),1,0)</f>
        <v>0</v>
      </c>
      <c r="Z427" s="36" t="str">
        <f aca="false">IF(Y427=1,IF(AND(LEN(V427)&gt;7,ISNUMBER(VALUE(LEFT(V427,6))),MID(V427,7,1)=" "),LEFT(V427,6),V427),"")</f>
        <v/>
      </c>
      <c r="AE427" s="36" t="str">
        <f aca="false">TRIM(AB427)</f>
        <v/>
      </c>
      <c r="AF427" s="36" t="str">
        <f aca="false">IF(AE427="Revenue","Revenue",IF(AE427="Cost of Goods Sold","COGS",IF(AE427="Expenditures","Expense",IF(AE427="Other Revenue","Other Revenue",IF(AE427="Other Expenditures","Other Expense",AF426)))))</f>
        <v/>
      </c>
      <c r="AG427" s="36" t="str">
        <f aca="false">IF(OR(AE427="Revenue",AE427="Cost of Goods Sold",AE427="Expenditures",AE427="Other Revenue",AE427="Other Expenditures"),AF427,IF(AND(LEN(AE427)&gt;2,MID(AE427,2,1)=" ",ISNUMBER(VALUE(LEFT(AE427,1)))),AE427,AG426))</f>
        <v/>
      </c>
      <c r="AH427" s="36" t="n">
        <f aca="false">IF(AND(AE427&lt;&gt;"",ISNUMBER(AC427),LEFT(AE427,9)&lt;&gt;"Total for",AE427&lt;&gt;"Gross Profit",AE427&lt;&gt;"Net Operating Revenue",AE427&lt;&gt;"Net Other Revenue",AE427&lt;&gt;"Net Revenue"),1,0)</f>
        <v>0</v>
      </c>
      <c r="AI427" s="36" t="str">
        <f aca="false">IF(AH427=1,IF(AND(LEN(AE427)&gt;7,ISNUMBER(VALUE(LEFT(AE427,6))),MID(AE427,7,1)=" "),LEFT(AE427,6),AE427),"")</f>
        <v/>
      </c>
      <c r="AN427" s="36" t="str">
        <f aca="false">TRIM(AK427)</f>
        <v/>
      </c>
      <c r="AO427" s="36" t="str">
        <f aca="false">IF(AN427="Revenue","Revenue",IF(AN427="Cost of Goods Sold","COGS",IF(AN427="Expenditures","Expense",IF(AN427="Other Revenue","Other Revenue",IF(AN427="Other Expenditures","Other Expense",AO426)))))</f>
        <v/>
      </c>
      <c r="AP427" s="36" t="str">
        <f aca="false">IF(OR(AN427="Revenue",AN427="Cost of Goods Sold",AN427="Expenditures",AN427="Other Revenue",AN427="Other Expenditures"),AO427,IF(AND(LEN(AN427)&gt;2,MID(AN427,2,1)=" ",ISNUMBER(VALUE(LEFT(AN427,1)))),AN427,AP426))</f>
        <v/>
      </c>
      <c r="AQ427" s="36" t="n">
        <f aca="false">IF(AND(AN427&lt;&gt;"",ISNUMBER(AL427),LEFT(AN427,9)&lt;&gt;"Total for",AN427&lt;&gt;"Gross Profit",AN427&lt;&gt;"Net Operating Revenue",AN427&lt;&gt;"Net Other Revenue",AN427&lt;&gt;"Net Revenue"),1,0)</f>
        <v>0</v>
      </c>
      <c r="AR427" s="36" t="str">
        <f aca="false">IF(AQ427=1,IF(AND(LEN(AN427)&gt;7,ISNUMBER(VALUE(LEFT(AN427,6))),MID(AN427,7,1)=" "),LEFT(AN427,6),AN427),"")</f>
        <v/>
      </c>
    </row>
    <row r="428" customFormat="false" ht="15" hidden="false" customHeight="false" outlineLevel="0" collapsed="false">
      <c r="D428" s="36" t="str">
        <f aca="false">TRIM(A428)</f>
        <v/>
      </c>
      <c r="E428" s="36" t="str">
        <f aca="false">IF(D428="Revenue","Revenue",IF(D428="Cost of Goods Sold","COGS",IF(D428="Expenditures","Expense",IF(D428="Other Revenue","Other Revenue",IF(D428="Other Expenditures","Other Expense",E427)))))</f>
        <v/>
      </c>
      <c r="F428" s="36" t="str">
        <f aca="false">IF(OR(D428="Revenue",D428="Cost of Goods Sold",D428="Expenditures",D428="Other Revenue",D428="Other Expenditures"),E428,IF(AND(LEN(D428)&gt;2,MID(D428,2,1)=" ",ISNUMBER(VALUE(LEFT(D428,1)))),D428,F427))</f>
        <v/>
      </c>
      <c r="G428" s="36" t="n">
        <f aca="false">IF(AND(D428&lt;&gt;"",ISNUMBER(B428),LEFT(D428,9)&lt;&gt;"Total for",D428&lt;&gt;"Gross Profit",D428&lt;&gt;"Net Operating Revenue",D428&lt;&gt;"Net Other Revenue",D428&lt;&gt;"Net Revenue"),1,0)</f>
        <v>0</v>
      </c>
      <c r="H428" s="36" t="str">
        <f aca="false">IF(G428=1,IF(AND(LEN(D428)&gt;7,ISNUMBER(VALUE(LEFT(D428,6))),MID(D428,7,1)=" "),LEFT(D428,6),D428),"")</f>
        <v/>
      </c>
      <c r="M428" s="36" t="str">
        <f aca="false">TRIM(J428)</f>
        <v/>
      </c>
      <c r="N428" s="36" t="str">
        <f aca="false">IF(M428="Revenue","Revenue",IF(M428="Cost of Goods Sold","COGS",IF(M428="Expenditures","Expense",IF(M428="Other Revenue","Other Revenue",IF(M428="Other Expenditures","Other Expense",N427)))))</f>
        <v/>
      </c>
      <c r="O428" s="36" t="str">
        <f aca="false">IF(OR(M428="Revenue",M428="Cost of Goods Sold",M428="Expenditures",M428="Other Revenue",M428="Other Expenditures"),N428,IF(AND(LEN(M428)&gt;2,MID(M428,2,1)=" ",ISNUMBER(VALUE(LEFT(M428,1)))),M428,O427))</f>
        <v/>
      </c>
      <c r="P428" s="36" t="n">
        <f aca="false">IF(AND(M428&lt;&gt;"",ISNUMBER(K428),LEFT(M428,9)&lt;&gt;"Total for",M428&lt;&gt;"Gross Profit",M428&lt;&gt;"Net Operating Revenue",M428&lt;&gt;"Net Other Revenue",M428&lt;&gt;"Net Revenue"),1,0)</f>
        <v>0</v>
      </c>
      <c r="Q428" s="36" t="str">
        <f aca="false">IF(P428=1,IF(AND(LEN(M428)&gt;7,ISNUMBER(VALUE(LEFT(M428,6))),MID(M428,7,1)=" "),LEFT(M428,6),M428),"")</f>
        <v/>
      </c>
      <c r="V428" s="36" t="str">
        <f aca="false">TRIM(S428)</f>
        <v/>
      </c>
      <c r="W428" s="36" t="str">
        <f aca="false">IF(V428="Revenue","Revenue",IF(V428="Cost of Goods Sold","COGS",IF(V428="Expenditures","Expense",IF(V428="Other Revenue","Other Revenue",IF(V428="Other Expenditures","Other Expense",W427)))))</f>
        <v/>
      </c>
      <c r="X428" s="36" t="str">
        <f aca="false">IF(OR(V428="Revenue",V428="Cost of Goods Sold",V428="Expenditures",V428="Other Revenue",V428="Other Expenditures"),W428,IF(AND(LEN(V428)&gt;2,MID(V428,2,1)=" ",ISNUMBER(VALUE(LEFT(V428,1)))),V428,X427))</f>
        <v/>
      </c>
      <c r="Y428" s="36" t="n">
        <f aca="false">IF(AND(V428&lt;&gt;"",ISNUMBER(T428),LEFT(V428,9)&lt;&gt;"Total for",V428&lt;&gt;"Gross Profit",V428&lt;&gt;"Net Operating Revenue",V428&lt;&gt;"Net Other Revenue",V428&lt;&gt;"Net Revenue"),1,0)</f>
        <v>0</v>
      </c>
      <c r="Z428" s="36" t="str">
        <f aca="false">IF(Y428=1,IF(AND(LEN(V428)&gt;7,ISNUMBER(VALUE(LEFT(V428,6))),MID(V428,7,1)=" "),LEFT(V428,6),V428),"")</f>
        <v/>
      </c>
      <c r="AE428" s="36" t="str">
        <f aca="false">TRIM(AB428)</f>
        <v/>
      </c>
      <c r="AF428" s="36" t="str">
        <f aca="false">IF(AE428="Revenue","Revenue",IF(AE428="Cost of Goods Sold","COGS",IF(AE428="Expenditures","Expense",IF(AE428="Other Revenue","Other Revenue",IF(AE428="Other Expenditures","Other Expense",AF427)))))</f>
        <v/>
      </c>
      <c r="AG428" s="36" t="str">
        <f aca="false">IF(OR(AE428="Revenue",AE428="Cost of Goods Sold",AE428="Expenditures",AE428="Other Revenue",AE428="Other Expenditures"),AF428,IF(AND(LEN(AE428)&gt;2,MID(AE428,2,1)=" ",ISNUMBER(VALUE(LEFT(AE428,1)))),AE428,AG427))</f>
        <v/>
      </c>
      <c r="AH428" s="36" t="n">
        <f aca="false">IF(AND(AE428&lt;&gt;"",ISNUMBER(AC428),LEFT(AE428,9)&lt;&gt;"Total for",AE428&lt;&gt;"Gross Profit",AE428&lt;&gt;"Net Operating Revenue",AE428&lt;&gt;"Net Other Revenue",AE428&lt;&gt;"Net Revenue"),1,0)</f>
        <v>0</v>
      </c>
      <c r="AI428" s="36" t="str">
        <f aca="false">IF(AH428=1,IF(AND(LEN(AE428)&gt;7,ISNUMBER(VALUE(LEFT(AE428,6))),MID(AE428,7,1)=" "),LEFT(AE428,6),AE428),"")</f>
        <v/>
      </c>
      <c r="AN428" s="36" t="str">
        <f aca="false">TRIM(AK428)</f>
        <v/>
      </c>
      <c r="AO428" s="36" t="str">
        <f aca="false">IF(AN428="Revenue","Revenue",IF(AN428="Cost of Goods Sold","COGS",IF(AN428="Expenditures","Expense",IF(AN428="Other Revenue","Other Revenue",IF(AN428="Other Expenditures","Other Expense",AO427)))))</f>
        <v/>
      </c>
      <c r="AP428" s="36" t="str">
        <f aca="false">IF(OR(AN428="Revenue",AN428="Cost of Goods Sold",AN428="Expenditures",AN428="Other Revenue",AN428="Other Expenditures"),AO428,IF(AND(LEN(AN428)&gt;2,MID(AN428,2,1)=" ",ISNUMBER(VALUE(LEFT(AN428,1)))),AN428,AP427))</f>
        <v/>
      </c>
      <c r="AQ428" s="36" t="n">
        <f aca="false">IF(AND(AN428&lt;&gt;"",ISNUMBER(AL428),LEFT(AN428,9)&lt;&gt;"Total for",AN428&lt;&gt;"Gross Profit",AN428&lt;&gt;"Net Operating Revenue",AN428&lt;&gt;"Net Other Revenue",AN428&lt;&gt;"Net Revenue"),1,0)</f>
        <v>0</v>
      </c>
      <c r="AR428" s="36" t="str">
        <f aca="false">IF(AQ428=1,IF(AND(LEN(AN428)&gt;7,ISNUMBER(VALUE(LEFT(AN428,6))),MID(AN428,7,1)=" "),LEFT(AN428,6),AN428),"")</f>
        <v/>
      </c>
    </row>
    <row r="429" customFormat="false" ht="15" hidden="false" customHeight="false" outlineLevel="0" collapsed="false">
      <c r="D429" s="36" t="str">
        <f aca="false">TRIM(A429)</f>
        <v/>
      </c>
      <c r="E429" s="36" t="str">
        <f aca="false">IF(D429="Revenue","Revenue",IF(D429="Cost of Goods Sold","COGS",IF(D429="Expenditures","Expense",IF(D429="Other Revenue","Other Revenue",IF(D429="Other Expenditures","Other Expense",E428)))))</f>
        <v/>
      </c>
      <c r="F429" s="36" t="str">
        <f aca="false">IF(OR(D429="Revenue",D429="Cost of Goods Sold",D429="Expenditures",D429="Other Revenue",D429="Other Expenditures"),E429,IF(AND(LEN(D429)&gt;2,MID(D429,2,1)=" ",ISNUMBER(VALUE(LEFT(D429,1)))),D429,F428))</f>
        <v/>
      </c>
      <c r="G429" s="36" t="n">
        <f aca="false">IF(AND(D429&lt;&gt;"",ISNUMBER(B429),LEFT(D429,9)&lt;&gt;"Total for",D429&lt;&gt;"Gross Profit",D429&lt;&gt;"Net Operating Revenue",D429&lt;&gt;"Net Other Revenue",D429&lt;&gt;"Net Revenue"),1,0)</f>
        <v>0</v>
      </c>
      <c r="H429" s="36" t="str">
        <f aca="false">IF(G429=1,IF(AND(LEN(D429)&gt;7,ISNUMBER(VALUE(LEFT(D429,6))),MID(D429,7,1)=" "),LEFT(D429,6),D429),"")</f>
        <v/>
      </c>
      <c r="M429" s="36" t="str">
        <f aca="false">TRIM(J429)</f>
        <v/>
      </c>
      <c r="N429" s="36" t="str">
        <f aca="false">IF(M429="Revenue","Revenue",IF(M429="Cost of Goods Sold","COGS",IF(M429="Expenditures","Expense",IF(M429="Other Revenue","Other Revenue",IF(M429="Other Expenditures","Other Expense",N428)))))</f>
        <v/>
      </c>
      <c r="O429" s="36" t="str">
        <f aca="false">IF(OR(M429="Revenue",M429="Cost of Goods Sold",M429="Expenditures",M429="Other Revenue",M429="Other Expenditures"),N429,IF(AND(LEN(M429)&gt;2,MID(M429,2,1)=" ",ISNUMBER(VALUE(LEFT(M429,1)))),M429,O428))</f>
        <v/>
      </c>
      <c r="P429" s="36" t="n">
        <f aca="false">IF(AND(M429&lt;&gt;"",ISNUMBER(K429),LEFT(M429,9)&lt;&gt;"Total for",M429&lt;&gt;"Gross Profit",M429&lt;&gt;"Net Operating Revenue",M429&lt;&gt;"Net Other Revenue",M429&lt;&gt;"Net Revenue"),1,0)</f>
        <v>0</v>
      </c>
      <c r="Q429" s="36" t="str">
        <f aca="false">IF(P429=1,IF(AND(LEN(M429)&gt;7,ISNUMBER(VALUE(LEFT(M429,6))),MID(M429,7,1)=" "),LEFT(M429,6),M429),"")</f>
        <v/>
      </c>
      <c r="V429" s="36" t="str">
        <f aca="false">TRIM(S429)</f>
        <v/>
      </c>
      <c r="W429" s="36" t="str">
        <f aca="false">IF(V429="Revenue","Revenue",IF(V429="Cost of Goods Sold","COGS",IF(V429="Expenditures","Expense",IF(V429="Other Revenue","Other Revenue",IF(V429="Other Expenditures","Other Expense",W428)))))</f>
        <v/>
      </c>
      <c r="X429" s="36" t="str">
        <f aca="false">IF(OR(V429="Revenue",V429="Cost of Goods Sold",V429="Expenditures",V429="Other Revenue",V429="Other Expenditures"),W429,IF(AND(LEN(V429)&gt;2,MID(V429,2,1)=" ",ISNUMBER(VALUE(LEFT(V429,1)))),V429,X428))</f>
        <v/>
      </c>
      <c r="Y429" s="36" t="n">
        <f aca="false">IF(AND(V429&lt;&gt;"",ISNUMBER(T429),LEFT(V429,9)&lt;&gt;"Total for",V429&lt;&gt;"Gross Profit",V429&lt;&gt;"Net Operating Revenue",V429&lt;&gt;"Net Other Revenue",V429&lt;&gt;"Net Revenue"),1,0)</f>
        <v>0</v>
      </c>
      <c r="Z429" s="36" t="str">
        <f aca="false">IF(Y429=1,IF(AND(LEN(V429)&gt;7,ISNUMBER(VALUE(LEFT(V429,6))),MID(V429,7,1)=" "),LEFT(V429,6),V429),"")</f>
        <v/>
      </c>
      <c r="AE429" s="36" t="str">
        <f aca="false">TRIM(AB429)</f>
        <v/>
      </c>
      <c r="AF429" s="36" t="str">
        <f aca="false">IF(AE429="Revenue","Revenue",IF(AE429="Cost of Goods Sold","COGS",IF(AE429="Expenditures","Expense",IF(AE429="Other Revenue","Other Revenue",IF(AE429="Other Expenditures","Other Expense",AF428)))))</f>
        <v/>
      </c>
      <c r="AG429" s="36" t="str">
        <f aca="false">IF(OR(AE429="Revenue",AE429="Cost of Goods Sold",AE429="Expenditures",AE429="Other Revenue",AE429="Other Expenditures"),AF429,IF(AND(LEN(AE429)&gt;2,MID(AE429,2,1)=" ",ISNUMBER(VALUE(LEFT(AE429,1)))),AE429,AG428))</f>
        <v/>
      </c>
      <c r="AH429" s="36" t="n">
        <f aca="false">IF(AND(AE429&lt;&gt;"",ISNUMBER(AC429),LEFT(AE429,9)&lt;&gt;"Total for",AE429&lt;&gt;"Gross Profit",AE429&lt;&gt;"Net Operating Revenue",AE429&lt;&gt;"Net Other Revenue",AE429&lt;&gt;"Net Revenue"),1,0)</f>
        <v>0</v>
      </c>
      <c r="AI429" s="36" t="str">
        <f aca="false">IF(AH429=1,IF(AND(LEN(AE429)&gt;7,ISNUMBER(VALUE(LEFT(AE429,6))),MID(AE429,7,1)=" "),LEFT(AE429,6),AE429),"")</f>
        <v/>
      </c>
      <c r="AN429" s="36" t="str">
        <f aca="false">TRIM(AK429)</f>
        <v/>
      </c>
      <c r="AO429" s="36" t="str">
        <f aca="false">IF(AN429="Revenue","Revenue",IF(AN429="Cost of Goods Sold","COGS",IF(AN429="Expenditures","Expense",IF(AN429="Other Revenue","Other Revenue",IF(AN429="Other Expenditures","Other Expense",AO428)))))</f>
        <v/>
      </c>
      <c r="AP429" s="36" t="str">
        <f aca="false">IF(OR(AN429="Revenue",AN429="Cost of Goods Sold",AN429="Expenditures",AN429="Other Revenue",AN429="Other Expenditures"),AO429,IF(AND(LEN(AN429)&gt;2,MID(AN429,2,1)=" ",ISNUMBER(VALUE(LEFT(AN429,1)))),AN429,AP428))</f>
        <v/>
      </c>
      <c r="AQ429" s="36" t="n">
        <f aca="false">IF(AND(AN429&lt;&gt;"",ISNUMBER(AL429),LEFT(AN429,9)&lt;&gt;"Total for",AN429&lt;&gt;"Gross Profit",AN429&lt;&gt;"Net Operating Revenue",AN429&lt;&gt;"Net Other Revenue",AN429&lt;&gt;"Net Revenue"),1,0)</f>
        <v>0</v>
      </c>
      <c r="AR429" s="36" t="str">
        <f aca="false">IF(AQ429=1,IF(AND(LEN(AN429)&gt;7,ISNUMBER(VALUE(LEFT(AN429,6))),MID(AN429,7,1)=" "),LEFT(AN429,6),AN429),"")</f>
        <v/>
      </c>
    </row>
    <row r="430" customFormat="false" ht="15" hidden="false" customHeight="false" outlineLevel="0" collapsed="false">
      <c r="D430" s="36" t="str">
        <f aca="false">TRIM(A430)</f>
        <v/>
      </c>
      <c r="E430" s="36" t="str">
        <f aca="false">IF(D430="Revenue","Revenue",IF(D430="Cost of Goods Sold","COGS",IF(D430="Expenditures","Expense",IF(D430="Other Revenue","Other Revenue",IF(D430="Other Expenditures","Other Expense",E429)))))</f>
        <v/>
      </c>
      <c r="F430" s="36" t="str">
        <f aca="false">IF(OR(D430="Revenue",D430="Cost of Goods Sold",D430="Expenditures",D430="Other Revenue",D430="Other Expenditures"),E430,IF(AND(LEN(D430)&gt;2,MID(D430,2,1)=" ",ISNUMBER(VALUE(LEFT(D430,1)))),D430,F429))</f>
        <v/>
      </c>
      <c r="G430" s="36" t="n">
        <f aca="false">IF(AND(D430&lt;&gt;"",ISNUMBER(B430),LEFT(D430,9)&lt;&gt;"Total for",D430&lt;&gt;"Gross Profit",D430&lt;&gt;"Net Operating Revenue",D430&lt;&gt;"Net Other Revenue",D430&lt;&gt;"Net Revenue"),1,0)</f>
        <v>0</v>
      </c>
      <c r="H430" s="36" t="str">
        <f aca="false">IF(G430=1,IF(AND(LEN(D430)&gt;7,ISNUMBER(VALUE(LEFT(D430,6))),MID(D430,7,1)=" "),LEFT(D430,6),D430),"")</f>
        <v/>
      </c>
      <c r="M430" s="36" t="str">
        <f aca="false">TRIM(J430)</f>
        <v/>
      </c>
      <c r="N430" s="36" t="str">
        <f aca="false">IF(M430="Revenue","Revenue",IF(M430="Cost of Goods Sold","COGS",IF(M430="Expenditures","Expense",IF(M430="Other Revenue","Other Revenue",IF(M430="Other Expenditures","Other Expense",N429)))))</f>
        <v/>
      </c>
      <c r="O430" s="36" t="str">
        <f aca="false">IF(OR(M430="Revenue",M430="Cost of Goods Sold",M430="Expenditures",M430="Other Revenue",M430="Other Expenditures"),N430,IF(AND(LEN(M430)&gt;2,MID(M430,2,1)=" ",ISNUMBER(VALUE(LEFT(M430,1)))),M430,O429))</f>
        <v/>
      </c>
      <c r="P430" s="36" t="n">
        <f aca="false">IF(AND(M430&lt;&gt;"",ISNUMBER(K430),LEFT(M430,9)&lt;&gt;"Total for",M430&lt;&gt;"Gross Profit",M430&lt;&gt;"Net Operating Revenue",M430&lt;&gt;"Net Other Revenue",M430&lt;&gt;"Net Revenue"),1,0)</f>
        <v>0</v>
      </c>
      <c r="Q430" s="36" t="str">
        <f aca="false">IF(P430=1,IF(AND(LEN(M430)&gt;7,ISNUMBER(VALUE(LEFT(M430,6))),MID(M430,7,1)=" "),LEFT(M430,6),M430),"")</f>
        <v/>
      </c>
      <c r="V430" s="36" t="str">
        <f aca="false">TRIM(S430)</f>
        <v/>
      </c>
      <c r="W430" s="36" t="str">
        <f aca="false">IF(V430="Revenue","Revenue",IF(V430="Cost of Goods Sold","COGS",IF(V430="Expenditures","Expense",IF(V430="Other Revenue","Other Revenue",IF(V430="Other Expenditures","Other Expense",W429)))))</f>
        <v/>
      </c>
      <c r="X430" s="36" t="str">
        <f aca="false">IF(OR(V430="Revenue",V430="Cost of Goods Sold",V430="Expenditures",V430="Other Revenue",V430="Other Expenditures"),W430,IF(AND(LEN(V430)&gt;2,MID(V430,2,1)=" ",ISNUMBER(VALUE(LEFT(V430,1)))),V430,X429))</f>
        <v/>
      </c>
      <c r="Y430" s="36" t="n">
        <f aca="false">IF(AND(V430&lt;&gt;"",ISNUMBER(T430),LEFT(V430,9)&lt;&gt;"Total for",V430&lt;&gt;"Gross Profit",V430&lt;&gt;"Net Operating Revenue",V430&lt;&gt;"Net Other Revenue",V430&lt;&gt;"Net Revenue"),1,0)</f>
        <v>0</v>
      </c>
      <c r="Z430" s="36" t="str">
        <f aca="false">IF(Y430=1,IF(AND(LEN(V430)&gt;7,ISNUMBER(VALUE(LEFT(V430,6))),MID(V430,7,1)=" "),LEFT(V430,6),V430),"")</f>
        <v/>
      </c>
      <c r="AE430" s="36" t="str">
        <f aca="false">TRIM(AB430)</f>
        <v/>
      </c>
      <c r="AF430" s="36" t="str">
        <f aca="false">IF(AE430="Revenue","Revenue",IF(AE430="Cost of Goods Sold","COGS",IF(AE430="Expenditures","Expense",IF(AE430="Other Revenue","Other Revenue",IF(AE430="Other Expenditures","Other Expense",AF429)))))</f>
        <v/>
      </c>
      <c r="AG430" s="36" t="str">
        <f aca="false">IF(OR(AE430="Revenue",AE430="Cost of Goods Sold",AE430="Expenditures",AE430="Other Revenue",AE430="Other Expenditures"),AF430,IF(AND(LEN(AE430)&gt;2,MID(AE430,2,1)=" ",ISNUMBER(VALUE(LEFT(AE430,1)))),AE430,AG429))</f>
        <v/>
      </c>
      <c r="AH430" s="36" t="n">
        <f aca="false">IF(AND(AE430&lt;&gt;"",ISNUMBER(AC430),LEFT(AE430,9)&lt;&gt;"Total for",AE430&lt;&gt;"Gross Profit",AE430&lt;&gt;"Net Operating Revenue",AE430&lt;&gt;"Net Other Revenue",AE430&lt;&gt;"Net Revenue"),1,0)</f>
        <v>0</v>
      </c>
      <c r="AI430" s="36" t="str">
        <f aca="false">IF(AH430=1,IF(AND(LEN(AE430)&gt;7,ISNUMBER(VALUE(LEFT(AE430,6))),MID(AE430,7,1)=" "),LEFT(AE430,6),AE430),"")</f>
        <v/>
      </c>
      <c r="AN430" s="36" t="str">
        <f aca="false">TRIM(AK430)</f>
        <v/>
      </c>
      <c r="AO430" s="36" t="str">
        <f aca="false">IF(AN430="Revenue","Revenue",IF(AN430="Cost of Goods Sold","COGS",IF(AN430="Expenditures","Expense",IF(AN430="Other Revenue","Other Revenue",IF(AN430="Other Expenditures","Other Expense",AO429)))))</f>
        <v/>
      </c>
      <c r="AP430" s="36" t="str">
        <f aca="false">IF(OR(AN430="Revenue",AN430="Cost of Goods Sold",AN430="Expenditures",AN430="Other Revenue",AN430="Other Expenditures"),AO430,IF(AND(LEN(AN430)&gt;2,MID(AN430,2,1)=" ",ISNUMBER(VALUE(LEFT(AN430,1)))),AN430,AP429))</f>
        <v/>
      </c>
      <c r="AQ430" s="36" t="n">
        <f aca="false">IF(AND(AN430&lt;&gt;"",ISNUMBER(AL430),LEFT(AN430,9)&lt;&gt;"Total for",AN430&lt;&gt;"Gross Profit",AN430&lt;&gt;"Net Operating Revenue",AN430&lt;&gt;"Net Other Revenue",AN430&lt;&gt;"Net Revenue"),1,0)</f>
        <v>0</v>
      </c>
      <c r="AR430" s="36" t="str">
        <f aca="false">IF(AQ430=1,IF(AND(LEN(AN430)&gt;7,ISNUMBER(VALUE(LEFT(AN430,6))),MID(AN430,7,1)=" "),LEFT(AN430,6),AN430),"")</f>
        <v/>
      </c>
    </row>
    <row r="431" customFormat="false" ht="15" hidden="false" customHeight="false" outlineLevel="0" collapsed="false">
      <c r="D431" s="36" t="str">
        <f aca="false">TRIM(A431)</f>
        <v/>
      </c>
      <c r="E431" s="36" t="str">
        <f aca="false">IF(D431="Revenue","Revenue",IF(D431="Cost of Goods Sold","COGS",IF(D431="Expenditures","Expense",IF(D431="Other Revenue","Other Revenue",IF(D431="Other Expenditures","Other Expense",E430)))))</f>
        <v/>
      </c>
      <c r="F431" s="36" t="str">
        <f aca="false">IF(OR(D431="Revenue",D431="Cost of Goods Sold",D431="Expenditures",D431="Other Revenue",D431="Other Expenditures"),E431,IF(AND(LEN(D431)&gt;2,MID(D431,2,1)=" ",ISNUMBER(VALUE(LEFT(D431,1)))),D431,F430))</f>
        <v/>
      </c>
      <c r="G431" s="36" t="n">
        <f aca="false">IF(AND(D431&lt;&gt;"",ISNUMBER(B431),LEFT(D431,9)&lt;&gt;"Total for",D431&lt;&gt;"Gross Profit",D431&lt;&gt;"Net Operating Revenue",D431&lt;&gt;"Net Other Revenue",D431&lt;&gt;"Net Revenue"),1,0)</f>
        <v>0</v>
      </c>
      <c r="H431" s="36" t="str">
        <f aca="false">IF(G431=1,IF(AND(LEN(D431)&gt;7,ISNUMBER(VALUE(LEFT(D431,6))),MID(D431,7,1)=" "),LEFT(D431,6),D431),"")</f>
        <v/>
      </c>
      <c r="M431" s="36" t="str">
        <f aca="false">TRIM(J431)</f>
        <v/>
      </c>
      <c r="N431" s="36" t="str">
        <f aca="false">IF(M431="Revenue","Revenue",IF(M431="Cost of Goods Sold","COGS",IF(M431="Expenditures","Expense",IF(M431="Other Revenue","Other Revenue",IF(M431="Other Expenditures","Other Expense",N430)))))</f>
        <v/>
      </c>
      <c r="O431" s="36" t="str">
        <f aca="false">IF(OR(M431="Revenue",M431="Cost of Goods Sold",M431="Expenditures",M431="Other Revenue",M431="Other Expenditures"),N431,IF(AND(LEN(M431)&gt;2,MID(M431,2,1)=" ",ISNUMBER(VALUE(LEFT(M431,1)))),M431,O430))</f>
        <v/>
      </c>
      <c r="P431" s="36" t="n">
        <f aca="false">IF(AND(M431&lt;&gt;"",ISNUMBER(K431),LEFT(M431,9)&lt;&gt;"Total for",M431&lt;&gt;"Gross Profit",M431&lt;&gt;"Net Operating Revenue",M431&lt;&gt;"Net Other Revenue",M431&lt;&gt;"Net Revenue"),1,0)</f>
        <v>0</v>
      </c>
      <c r="Q431" s="36" t="str">
        <f aca="false">IF(P431=1,IF(AND(LEN(M431)&gt;7,ISNUMBER(VALUE(LEFT(M431,6))),MID(M431,7,1)=" "),LEFT(M431,6),M431),"")</f>
        <v/>
      </c>
      <c r="V431" s="36" t="str">
        <f aca="false">TRIM(S431)</f>
        <v/>
      </c>
      <c r="W431" s="36" t="str">
        <f aca="false">IF(V431="Revenue","Revenue",IF(V431="Cost of Goods Sold","COGS",IF(V431="Expenditures","Expense",IF(V431="Other Revenue","Other Revenue",IF(V431="Other Expenditures","Other Expense",W430)))))</f>
        <v/>
      </c>
      <c r="X431" s="36" t="str">
        <f aca="false">IF(OR(V431="Revenue",V431="Cost of Goods Sold",V431="Expenditures",V431="Other Revenue",V431="Other Expenditures"),W431,IF(AND(LEN(V431)&gt;2,MID(V431,2,1)=" ",ISNUMBER(VALUE(LEFT(V431,1)))),V431,X430))</f>
        <v/>
      </c>
      <c r="Y431" s="36" t="n">
        <f aca="false">IF(AND(V431&lt;&gt;"",ISNUMBER(T431),LEFT(V431,9)&lt;&gt;"Total for",V431&lt;&gt;"Gross Profit",V431&lt;&gt;"Net Operating Revenue",V431&lt;&gt;"Net Other Revenue",V431&lt;&gt;"Net Revenue"),1,0)</f>
        <v>0</v>
      </c>
      <c r="Z431" s="36" t="str">
        <f aca="false">IF(Y431=1,IF(AND(LEN(V431)&gt;7,ISNUMBER(VALUE(LEFT(V431,6))),MID(V431,7,1)=" "),LEFT(V431,6),V431),"")</f>
        <v/>
      </c>
      <c r="AE431" s="36" t="str">
        <f aca="false">TRIM(AB431)</f>
        <v/>
      </c>
      <c r="AF431" s="36" t="str">
        <f aca="false">IF(AE431="Revenue","Revenue",IF(AE431="Cost of Goods Sold","COGS",IF(AE431="Expenditures","Expense",IF(AE431="Other Revenue","Other Revenue",IF(AE431="Other Expenditures","Other Expense",AF430)))))</f>
        <v/>
      </c>
      <c r="AG431" s="36" t="str">
        <f aca="false">IF(OR(AE431="Revenue",AE431="Cost of Goods Sold",AE431="Expenditures",AE431="Other Revenue",AE431="Other Expenditures"),AF431,IF(AND(LEN(AE431)&gt;2,MID(AE431,2,1)=" ",ISNUMBER(VALUE(LEFT(AE431,1)))),AE431,AG430))</f>
        <v/>
      </c>
      <c r="AH431" s="36" t="n">
        <f aca="false">IF(AND(AE431&lt;&gt;"",ISNUMBER(AC431),LEFT(AE431,9)&lt;&gt;"Total for",AE431&lt;&gt;"Gross Profit",AE431&lt;&gt;"Net Operating Revenue",AE431&lt;&gt;"Net Other Revenue",AE431&lt;&gt;"Net Revenue"),1,0)</f>
        <v>0</v>
      </c>
      <c r="AI431" s="36" t="str">
        <f aca="false">IF(AH431=1,IF(AND(LEN(AE431)&gt;7,ISNUMBER(VALUE(LEFT(AE431,6))),MID(AE431,7,1)=" "),LEFT(AE431,6),AE431),"")</f>
        <v/>
      </c>
      <c r="AN431" s="36" t="str">
        <f aca="false">TRIM(AK431)</f>
        <v/>
      </c>
      <c r="AO431" s="36" t="str">
        <f aca="false">IF(AN431="Revenue","Revenue",IF(AN431="Cost of Goods Sold","COGS",IF(AN431="Expenditures","Expense",IF(AN431="Other Revenue","Other Revenue",IF(AN431="Other Expenditures","Other Expense",AO430)))))</f>
        <v/>
      </c>
      <c r="AP431" s="36" t="str">
        <f aca="false">IF(OR(AN431="Revenue",AN431="Cost of Goods Sold",AN431="Expenditures",AN431="Other Revenue",AN431="Other Expenditures"),AO431,IF(AND(LEN(AN431)&gt;2,MID(AN431,2,1)=" ",ISNUMBER(VALUE(LEFT(AN431,1)))),AN431,AP430))</f>
        <v/>
      </c>
      <c r="AQ431" s="36" t="n">
        <f aca="false">IF(AND(AN431&lt;&gt;"",ISNUMBER(AL431),LEFT(AN431,9)&lt;&gt;"Total for",AN431&lt;&gt;"Gross Profit",AN431&lt;&gt;"Net Operating Revenue",AN431&lt;&gt;"Net Other Revenue",AN431&lt;&gt;"Net Revenue"),1,0)</f>
        <v>0</v>
      </c>
      <c r="AR431" s="36" t="str">
        <f aca="false">IF(AQ431=1,IF(AND(LEN(AN431)&gt;7,ISNUMBER(VALUE(LEFT(AN431,6))),MID(AN431,7,1)=" "),LEFT(AN431,6),AN431),"")</f>
        <v/>
      </c>
    </row>
    <row r="432" customFormat="false" ht="15" hidden="false" customHeight="false" outlineLevel="0" collapsed="false">
      <c r="D432" s="36" t="str">
        <f aca="false">TRIM(A432)</f>
        <v/>
      </c>
      <c r="E432" s="36" t="str">
        <f aca="false">IF(D432="Revenue","Revenue",IF(D432="Cost of Goods Sold","COGS",IF(D432="Expenditures","Expense",IF(D432="Other Revenue","Other Revenue",IF(D432="Other Expenditures","Other Expense",E431)))))</f>
        <v/>
      </c>
      <c r="F432" s="36" t="str">
        <f aca="false">IF(OR(D432="Revenue",D432="Cost of Goods Sold",D432="Expenditures",D432="Other Revenue",D432="Other Expenditures"),E432,IF(AND(LEN(D432)&gt;2,MID(D432,2,1)=" ",ISNUMBER(VALUE(LEFT(D432,1)))),D432,F431))</f>
        <v/>
      </c>
      <c r="G432" s="36" t="n">
        <f aca="false">IF(AND(D432&lt;&gt;"",ISNUMBER(B432),LEFT(D432,9)&lt;&gt;"Total for",D432&lt;&gt;"Gross Profit",D432&lt;&gt;"Net Operating Revenue",D432&lt;&gt;"Net Other Revenue",D432&lt;&gt;"Net Revenue"),1,0)</f>
        <v>0</v>
      </c>
      <c r="H432" s="36" t="str">
        <f aca="false">IF(G432=1,IF(AND(LEN(D432)&gt;7,ISNUMBER(VALUE(LEFT(D432,6))),MID(D432,7,1)=" "),LEFT(D432,6),D432),"")</f>
        <v/>
      </c>
      <c r="M432" s="36" t="str">
        <f aca="false">TRIM(J432)</f>
        <v/>
      </c>
      <c r="N432" s="36" t="str">
        <f aca="false">IF(M432="Revenue","Revenue",IF(M432="Cost of Goods Sold","COGS",IF(M432="Expenditures","Expense",IF(M432="Other Revenue","Other Revenue",IF(M432="Other Expenditures","Other Expense",N431)))))</f>
        <v/>
      </c>
      <c r="O432" s="36" t="str">
        <f aca="false">IF(OR(M432="Revenue",M432="Cost of Goods Sold",M432="Expenditures",M432="Other Revenue",M432="Other Expenditures"),N432,IF(AND(LEN(M432)&gt;2,MID(M432,2,1)=" ",ISNUMBER(VALUE(LEFT(M432,1)))),M432,O431))</f>
        <v/>
      </c>
      <c r="P432" s="36" t="n">
        <f aca="false">IF(AND(M432&lt;&gt;"",ISNUMBER(K432),LEFT(M432,9)&lt;&gt;"Total for",M432&lt;&gt;"Gross Profit",M432&lt;&gt;"Net Operating Revenue",M432&lt;&gt;"Net Other Revenue",M432&lt;&gt;"Net Revenue"),1,0)</f>
        <v>0</v>
      </c>
      <c r="Q432" s="36" t="str">
        <f aca="false">IF(P432=1,IF(AND(LEN(M432)&gt;7,ISNUMBER(VALUE(LEFT(M432,6))),MID(M432,7,1)=" "),LEFT(M432,6),M432),"")</f>
        <v/>
      </c>
      <c r="V432" s="36" t="str">
        <f aca="false">TRIM(S432)</f>
        <v/>
      </c>
      <c r="W432" s="36" t="str">
        <f aca="false">IF(V432="Revenue","Revenue",IF(V432="Cost of Goods Sold","COGS",IF(V432="Expenditures","Expense",IF(V432="Other Revenue","Other Revenue",IF(V432="Other Expenditures","Other Expense",W431)))))</f>
        <v/>
      </c>
      <c r="X432" s="36" t="str">
        <f aca="false">IF(OR(V432="Revenue",V432="Cost of Goods Sold",V432="Expenditures",V432="Other Revenue",V432="Other Expenditures"),W432,IF(AND(LEN(V432)&gt;2,MID(V432,2,1)=" ",ISNUMBER(VALUE(LEFT(V432,1)))),V432,X431))</f>
        <v/>
      </c>
      <c r="Y432" s="36" t="n">
        <f aca="false">IF(AND(V432&lt;&gt;"",ISNUMBER(T432),LEFT(V432,9)&lt;&gt;"Total for",V432&lt;&gt;"Gross Profit",V432&lt;&gt;"Net Operating Revenue",V432&lt;&gt;"Net Other Revenue",V432&lt;&gt;"Net Revenue"),1,0)</f>
        <v>0</v>
      </c>
      <c r="Z432" s="36" t="str">
        <f aca="false">IF(Y432=1,IF(AND(LEN(V432)&gt;7,ISNUMBER(VALUE(LEFT(V432,6))),MID(V432,7,1)=" "),LEFT(V432,6),V432),"")</f>
        <v/>
      </c>
      <c r="AE432" s="36" t="str">
        <f aca="false">TRIM(AB432)</f>
        <v/>
      </c>
      <c r="AF432" s="36" t="str">
        <f aca="false">IF(AE432="Revenue","Revenue",IF(AE432="Cost of Goods Sold","COGS",IF(AE432="Expenditures","Expense",IF(AE432="Other Revenue","Other Revenue",IF(AE432="Other Expenditures","Other Expense",AF431)))))</f>
        <v/>
      </c>
      <c r="AG432" s="36" t="str">
        <f aca="false">IF(OR(AE432="Revenue",AE432="Cost of Goods Sold",AE432="Expenditures",AE432="Other Revenue",AE432="Other Expenditures"),AF432,IF(AND(LEN(AE432)&gt;2,MID(AE432,2,1)=" ",ISNUMBER(VALUE(LEFT(AE432,1)))),AE432,AG431))</f>
        <v/>
      </c>
      <c r="AH432" s="36" t="n">
        <f aca="false">IF(AND(AE432&lt;&gt;"",ISNUMBER(AC432),LEFT(AE432,9)&lt;&gt;"Total for",AE432&lt;&gt;"Gross Profit",AE432&lt;&gt;"Net Operating Revenue",AE432&lt;&gt;"Net Other Revenue",AE432&lt;&gt;"Net Revenue"),1,0)</f>
        <v>0</v>
      </c>
      <c r="AI432" s="36" t="str">
        <f aca="false">IF(AH432=1,IF(AND(LEN(AE432)&gt;7,ISNUMBER(VALUE(LEFT(AE432,6))),MID(AE432,7,1)=" "),LEFT(AE432,6),AE432),"")</f>
        <v/>
      </c>
      <c r="AN432" s="36" t="str">
        <f aca="false">TRIM(AK432)</f>
        <v/>
      </c>
      <c r="AO432" s="36" t="str">
        <f aca="false">IF(AN432="Revenue","Revenue",IF(AN432="Cost of Goods Sold","COGS",IF(AN432="Expenditures","Expense",IF(AN432="Other Revenue","Other Revenue",IF(AN432="Other Expenditures","Other Expense",AO431)))))</f>
        <v/>
      </c>
      <c r="AP432" s="36" t="str">
        <f aca="false">IF(OR(AN432="Revenue",AN432="Cost of Goods Sold",AN432="Expenditures",AN432="Other Revenue",AN432="Other Expenditures"),AO432,IF(AND(LEN(AN432)&gt;2,MID(AN432,2,1)=" ",ISNUMBER(VALUE(LEFT(AN432,1)))),AN432,AP431))</f>
        <v/>
      </c>
      <c r="AQ432" s="36" t="n">
        <f aca="false">IF(AND(AN432&lt;&gt;"",ISNUMBER(AL432),LEFT(AN432,9)&lt;&gt;"Total for",AN432&lt;&gt;"Gross Profit",AN432&lt;&gt;"Net Operating Revenue",AN432&lt;&gt;"Net Other Revenue",AN432&lt;&gt;"Net Revenue"),1,0)</f>
        <v>0</v>
      </c>
      <c r="AR432" s="36" t="str">
        <f aca="false">IF(AQ432=1,IF(AND(LEN(AN432)&gt;7,ISNUMBER(VALUE(LEFT(AN432,6))),MID(AN432,7,1)=" "),LEFT(AN432,6),AN432),"")</f>
        <v/>
      </c>
    </row>
    <row r="433" customFormat="false" ht="15" hidden="false" customHeight="false" outlineLevel="0" collapsed="false">
      <c r="D433" s="36" t="str">
        <f aca="false">TRIM(A433)</f>
        <v/>
      </c>
      <c r="E433" s="36" t="str">
        <f aca="false">IF(D433="Revenue","Revenue",IF(D433="Cost of Goods Sold","COGS",IF(D433="Expenditures","Expense",IF(D433="Other Revenue","Other Revenue",IF(D433="Other Expenditures","Other Expense",E432)))))</f>
        <v/>
      </c>
      <c r="F433" s="36" t="str">
        <f aca="false">IF(OR(D433="Revenue",D433="Cost of Goods Sold",D433="Expenditures",D433="Other Revenue",D433="Other Expenditures"),E433,IF(AND(LEN(D433)&gt;2,MID(D433,2,1)=" ",ISNUMBER(VALUE(LEFT(D433,1)))),D433,F432))</f>
        <v/>
      </c>
      <c r="G433" s="36" t="n">
        <f aca="false">IF(AND(D433&lt;&gt;"",ISNUMBER(B433),LEFT(D433,9)&lt;&gt;"Total for",D433&lt;&gt;"Gross Profit",D433&lt;&gt;"Net Operating Revenue",D433&lt;&gt;"Net Other Revenue",D433&lt;&gt;"Net Revenue"),1,0)</f>
        <v>0</v>
      </c>
      <c r="H433" s="36" t="str">
        <f aca="false">IF(G433=1,IF(AND(LEN(D433)&gt;7,ISNUMBER(VALUE(LEFT(D433,6))),MID(D433,7,1)=" "),LEFT(D433,6),D433),"")</f>
        <v/>
      </c>
      <c r="M433" s="36" t="str">
        <f aca="false">TRIM(J433)</f>
        <v/>
      </c>
      <c r="N433" s="36" t="str">
        <f aca="false">IF(M433="Revenue","Revenue",IF(M433="Cost of Goods Sold","COGS",IF(M433="Expenditures","Expense",IF(M433="Other Revenue","Other Revenue",IF(M433="Other Expenditures","Other Expense",N432)))))</f>
        <v/>
      </c>
      <c r="O433" s="36" t="str">
        <f aca="false">IF(OR(M433="Revenue",M433="Cost of Goods Sold",M433="Expenditures",M433="Other Revenue",M433="Other Expenditures"),N433,IF(AND(LEN(M433)&gt;2,MID(M433,2,1)=" ",ISNUMBER(VALUE(LEFT(M433,1)))),M433,O432))</f>
        <v/>
      </c>
      <c r="P433" s="36" t="n">
        <f aca="false">IF(AND(M433&lt;&gt;"",ISNUMBER(K433),LEFT(M433,9)&lt;&gt;"Total for",M433&lt;&gt;"Gross Profit",M433&lt;&gt;"Net Operating Revenue",M433&lt;&gt;"Net Other Revenue",M433&lt;&gt;"Net Revenue"),1,0)</f>
        <v>0</v>
      </c>
      <c r="Q433" s="36" t="str">
        <f aca="false">IF(P433=1,IF(AND(LEN(M433)&gt;7,ISNUMBER(VALUE(LEFT(M433,6))),MID(M433,7,1)=" "),LEFT(M433,6),M433),"")</f>
        <v/>
      </c>
      <c r="V433" s="36" t="str">
        <f aca="false">TRIM(S433)</f>
        <v/>
      </c>
      <c r="W433" s="36" t="str">
        <f aca="false">IF(V433="Revenue","Revenue",IF(V433="Cost of Goods Sold","COGS",IF(V433="Expenditures","Expense",IF(V433="Other Revenue","Other Revenue",IF(V433="Other Expenditures","Other Expense",W432)))))</f>
        <v/>
      </c>
      <c r="X433" s="36" t="str">
        <f aca="false">IF(OR(V433="Revenue",V433="Cost of Goods Sold",V433="Expenditures",V433="Other Revenue",V433="Other Expenditures"),W433,IF(AND(LEN(V433)&gt;2,MID(V433,2,1)=" ",ISNUMBER(VALUE(LEFT(V433,1)))),V433,X432))</f>
        <v/>
      </c>
      <c r="Y433" s="36" t="n">
        <f aca="false">IF(AND(V433&lt;&gt;"",ISNUMBER(T433),LEFT(V433,9)&lt;&gt;"Total for",V433&lt;&gt;"Gross Profit",V433&lt;&gt;"Net Operating Revenue",V433&lt;&gt;"Net Other Revenue",V433&lt;&gt;"Net Revenue"),1,0)</f>
        <v>0</v>
      </c>
      <c r="Z433" s="36" t="str">
        <f aca="false">IF(Y433=1,IF(AND(LEN(V433)&gt;7,ISNUMBER(VALUE(LEFT(V433,6))),MID(V433,7,1)=" "),LEFT(V433,6),V433),"")</f>
        <v/>
      </c>
      <c r="AE433" s="36" t="str">
        <f aca="false">TRIM(AB433)</f>
        <v/>
      </c>
      <c r="AF433" s="36" t="str">
        <f aca="false">IF(AE433="Revenue","Revenue",IF(AE433="Cost of Goods Sold","COGS",IF(AE433="Expenditures","Expense",IF(AE433="Other Revenue","Other Revenue",IF(AE433="Other Expenditures","Other Expense",AF432)))))</f>
        <v/>
      </c>
      <c r="AG433" s="36" t="str">
        <f aca="false">IF(OR(AE433="Revenue",AE433="Cost of Goods Sold",AE433="Expenditures",AE433="Other Revenue",AE433="Other Expenditures"),AF433,IF(AND(LEN(AE433)&gt;2,MID(AE433,2,1)=" ",ISNUMBER(VALUE(LEFT(AE433,1)))),AE433,AG432))</f>
        <v/>
      </c>
      <c r="AH433" s="36" t="n">
        <f aca="false">IF(AND(AE433&lt;&gt;"",ISNUMBER(AC433),LEFT(AE433,9)&lt;&gt;"Total for",AE433&lt;&gt;"Gross Profit",AE433&lt;&gt;"Net Operating Revenue",AE433&lt;&gt;"Net Other Revenue",AE433&lt;&gt;"Net Revenue"),1,0)</f>
        <v>0</v>
      </c>
      <c r="AI433" s="36" t="str">
        <f aca="false">IF(AH433=1,IF(AND(LEN(AE433)&gt;7,ISNUMBER(VALUE(LEFT(AE433,6))),MID(AE433,7,1)=" "),LEFT(AE433,6),AE433),"")</f>
        <v/>
      </c>
      <c r="AN433" s="36" t="str">
        <f aca="false">TRIM(AK433)</f>
        <v/>
      </c>
      <c r="AO433" s="36" t="str">
        <f aca="false">IF(AN433="Revenue","Revenue",IF(AN433="Cost of Goods Sold","COGS",IF(AN433="Expenditures","Expense",IF(AN433="Other Revenue","Other Revenue",IF(AN433="Other Expenditures","Other Expense",AO432)))))</f>
        <v/>
      </c>
      <c r="AP433" s="36" t="str">
        <f aca="false">IF(OR(AN433="Revenue",AN433="Cost of Goods Sold",AN433="Expenditures",AN433="Other Revenue",AN433="Other Expenditures"),AO433,IF(AND(LEN(AN433)&gt;2,MID(AN433,2,1)=" ",ISNUMBER(VALUE(LEFT(AN433,1)))),AN433,AP432))</f>
        <v/>
      </c>
      <c r="AQ433" s="36" t="n">
        <f aca="false">IF(AND(AN433&lt;&gt;"",ISNUMBER(AL433),LEFT(AN433,9)&lt;&gt;"Total for",AN433&lt;&gt;"Gross Profit",AN433&lt;&gt;"Net Operating Revenue",AN433&lt;&gt;"Net Other Revenue",AN433&lt;&gt;"Net Revenue"),1,0)</f>
        <v>0</v>
      </c>
      <c r="AR433" s="36" t="str">
        <f aca="false">IF(AQ433=1,IF(AND(LEN(AN433)&gt;7,ISNUMBER(VALUE(LEFT(AN433,6))),MID(AN433,7,1)=" "),LEFT(AN433,6),AN433),"")</f>
        <v/>
      </c>
    </row>
    <row r="434" customFormat="false" ht="15" hidden="false" customHeight="false" outlineLevel="0" collapsed="false">
      <c r="D434" s="36" t="str">
        <f aca="false">TRIM(A434)</f>
        <v/>
      </c>
      <c r="E434" s="36" t="str">
        <f aca="false">IF(D434="Revenue","Revenue",IF(D434="Cost of Goods Sold","COGS",IF(D434="Expenditures","Expense",IF(D434="Other Revenue","Other Revenue",IF(D434="Other Expenditures","Other Expense",E433)))))</f>
        <v/>
      </c>
      <c r="F434" s="36" t="str">
        <f aca="false">IF(OR(D434="Revenue",D434="Cost of Goods Sold",D434="Expenditures",D434="Other Revenue",D434="Other Expenditures"),E434,IF(AND(LEN(D434)&gt;2,MID(D434,2,1)=" ",ISNUMBER(VALUE(LEFT(D434,1)))),D434,F433))</f>
        <v/>
      </c>
      <c r="G434" s="36" t="n">
        <f aca="false">IF(AND(D434&lt;&gt;"",ISNUMBER(B434),LEFT(D434,9)&lt;&gt;"Total for",D434&lt;&gt;"Gross Profit",D434&lt;&gt;"Net Operating Revenue",D434&lt;&gt;"Net Other Revenue",D434&lt;&gt;"Net Revenue"),1,0)</f>
        <v>0</v>
      </c>
      <c r="H434" s="36" t="str">
        <f aca="false">IF(G434=1,IF(AND(LEN(D434)&gt;7,ISNUMBER(VALUE(LEFT(D434,6))),MID(D434,7,1)=" "),LEFT(D434,6),D434),"")</f>
        <v/>
      </c>
      <c r="M434" s="36" t="str">
        <f aca="false">TRIM(J434)</f>
        <v/>
      </c>
      <c r="N434" s="36" t="str">
        <f aca="false">IF(M434="Revenue","Revenue",IF(M434="Cost of Goods Sold","COGS",IF(M434="Expenditures","Expense",IF(M434="Other Revenue","Other Revenue",IF(M434="Other Expenditures","Other Expense",N433)))))</f>
        <v/>
      </c>
      <c r="O434" s="36" t="str">
        <f aca="false">IF(OR(M434="Revenue",M434="Cost of Goods Sold",M434="Expenditures",M434="Other Revenue",M434="Other Expenditures"),N434,IF(AND(LEN(M434)&gt;2,MID(M434,2,1)=" ",ISNUMBER(VALUE(LEFT(M434,1)))),M434,O433))</f>
        <v/>
      </c>
      <c r="P434" s="36" t="n">
        <f aca="false">IF(AND(M434&lt;&gt;"",ISNUMBER(K434),LEFT(M434,9)&lt;&gt;"Total for",M434&lt;&gt;"Gross Profit",M434&lt;&gt;"Net Operating Revenue",M434&lt;&gt;"Net Other Revenue",M434&lt;&gt;"Net Revenue"),1,0)</f>
        <v>0</v>
      </c>
      <c r="Q434" s="36" t="str">
        <f aca="false">IF(P434=1,IF(AND(LEN(M434)&gt;7,ISNUMBER(VALUE(LEFT(M434,6))),MID(M434,7,1)=" "),LEFT(M434,6),M434),"")</f>
        <v/>
      </c>
      <c r="V434" s="36" t="str">
        <f aca="false">TRIM(S434)</f>
        <v/>
      </c>
      <c r="W434" s="36" t="str">
        <f aca="false">IF(V434="Revenue","Revenue",IF(V434="Cost of Goods Sold","COGS",IF(V434="Expenditures","Expense",IF(V434="Other Revenue","Other Revenue",IF(V434="Other Expenditures","Other Expense",W433)))))</f>
        <v/>
      </c>
      <c r="X434" s="36" t="str">
        <f aca="false">IF(OR(V434="Revenue",V434="Cost of Goods Sold",V434="Expenditures",V434="Other Revenue",V434="Other Expenditures"),W434,IF(AND(LEN(V434)&gt;2,MID(V434,2,1)=" ",ISNUMBER(VALUE(LEFT(V434,1)))),V434,X433))</f>
        <v/>
      </c>
      <c r="Y434" s="36" t="n">
        <f aca="false">IF(AND(V434&lt;&gt;"",ISNUMBER(T434),LEFT(V434,9)&lt;&gt;"Total for",V434&lt;&gt;"Gross Profit",V434&lt;&gt;"Net Operating Revenue",V434&lt;&gt;"Net Other Revenue",V434&lt;&gt;"Net Revenue"),1,0)</f>
        <v>0</v>
      </c>
      <c r="Z434" s="36" t="str">
        <f aca="false">IF(Y434=1,IF(AND(LEN(V434)&gt;7,ISNUMBER(VALUE(LEFT(V434,6))),MID(V434,7,1)=" "),LEFT(V434,6),V434),"")</f>
        <v/>
      </c>
      <c r="AE434" s="36" t="str">
        <f aca="false">TRIM(AB434)</f>
        <v/>
      </c>
      <c r="AF434" s="36" t="str">
        <f aca="false">IF(AE434="Revenue","Revenue",IF(AE434="Cost of Goods Sold","COGS",IF(AE434="Expenditures","Expense",IF(AE434="Other Revenue","Other Revenue",IF(AE434="Other Expenditures","Other Expense",AF433)))))</f>
        <v/>
      </c>
      <c r="AG434" s="36" t="str">
        <f aca="false">IF(OR(AE434="Revenue",AE434="Cost of Goods Sold",AE434="Expenditures",AE434="Other Revenue",AE434="Other Expenditures"),AF434,IF(AND(LEN(AE434)&gt;2,MID(AE434,2,1)=" ",ISNUMBER(VALUE(LEFT(AE434,1)))),AE434,AG433))</f>
        <v/>
      </c>
      <c r="AH434" s="36" t="n">
        <f aca="false">IF(AND(AE434&lt;&gt;"",ISNUMBER(AC434),LEFT(AE434,9)&lt;&gt;"Total for",AE434&lt;&gt;"Gross Profit",AE434&lt;&gt;"Net Operating Revenue",AE434&lt;&gt;"Net Other Revenue",AE434&lt;&gt;"Net Revenue"),1,0)</f>
        <v>0</v>
      </c>
      <c r="AI434" s="36" t="str">
        <f aca="false">IF(AH434=1,IF(AND(LEN(AE434)&gt;7,ISNUMBER(VALUE(LEFT(AE434,6))),MID(AE434,7,1)=" "),LEFT(AE434,6),AE434),"")</f>
        <v/>
      </c>
      <c r="AN434" s="36" t="str">
        <f aca="false">TRIM(AK434)</f>
        <v/>
      </c>
      <c r="AO434" s="36" t="str">
        <f aca="false">IF(AN434="Revenue","Revenue",IF(AN434="Cost of Goods Sold","COGS",IF(AN434="Expenditures","Expense",IF(AN434="Other Revenue","Other Revenue",IF(AN434="Other Expenditures","Other Expense",AO433)))))</f>
        <v/>
      </c>
      <c r="AP434" s="36" t="str">
        <f aca="false">IF(OR(AN434="Revenue",AN434="Cost of Goods Sold",AN434="Expenditures",AN434="Other Revenue",AN434="Other Expenditures"),AO434,IF(AND(LEN(AN434)&gt;2,MID(AN434,2,1)=" ",ISNUMBER(VALUE(LEFT(AN434,1)))),AN434,AP433))</f>
        <v/>
      </c>
      <c r="AQ434" s="36" t="n">
        <f aca="false">IF(AND(AN434&lt;&gt;"",ISNUMBER(AL434),LEFT(AN434,9)&lt;&gt;"Total for",AN434&lt;&gt;"Gross Profit",AN434&lt;&gt;"Net Operating Revenue",AN434&lt;&gt;"Net Other Revenue",AN434&lt;&gt;"Net Revenue"),1,0)</f>
        <v>0</v>
      </c>
      <c r="AR434" s="36" t="str">
        <f aca="false">IF(AQ434=1,IF(AND(LEN(AN434)&gt;7,ISNUMBER(VALUE(LEFT(AN434,6))),MID(AN434,7,1)=" "),LEFT(AN434,6),AN434),"")</f>
        <v/>
      </c>
    </row>
    <row r="435" customFormat="false" ht="15" hidden="false" customHeight="false" outlineLevel="0" collapsed="false">
      <c r="D435" s="36" t="str">
        <f aca="false">TRIM(A435)</f>
        <v/>
      </c>
      <c r="E435" s="36" t="str">
        <f aca="false">IF(D435="Revenue","Revenue",IF(D435="Cost of Goods Sold","COGS",IF(D435="Expenditures","Expense",IF(D435="Other Revenue","Other Revenue",IF(D435="Other Expenditures","Other Expense",E434)))))</f>
        <v/>
      </c>
      <c r="F435" s="36" t="str">
        <f aca="false">IF(OR(D435="Revenue",D435="Cost of Goods Sold",D435="Expenditures",D435="Other Revenue",D435="Other Expenditures"),E435,IF(AND(LEN(D435)&gt;2,MID(D435,2,1)=" ",ISNUMBER(VALUE(LEFT(D435,1)))),D435,F434))</f>
        <v/>
      </c>
      <c r="G435" s="36" t="n">
        <f aca="false">IF(AND(D435&lt;&gt;"",ISNUMBER(B435),LEFT(D435,9)&lt;&gt;"Total for",D435&lt;&gt;"Gross Profit",D435&lt;&gt;"Net Operating Revenue",D435&lt;&gt;"Net Other Revenue",D435&lt;&gt;"Net Revenue"),1,0)</f>
        <v>0</v>
      </c>
      <c r="H435" s="36" t="str">
        <f aca="false">IF(G435=1,IF(AND(LEN(D435)&gt;7,ISNUMBER(VALUE(LEFT(D435,6))),MID(D435,7,1)=" "),LEFT(D435,6),D435),"")</f>
        <v/>
      </c>
      <c r="M435" s="36" t="str">
        <f aca="false">TRIM(J435)</f>
        <v/>
      </c>
      <c r="N435" s="36" t="str">
        <f aca="false">IF(M435="Revenue","Revenue",IF(M435="Cost of Goods Sold","COGS",IF(M435="Expenditures","Expense",IF(M435="Other Revenue","Other Revenue",IF(M435="Other Expenditures","Other Expense",N434)))))</f>
        <v/>
      </c>
      <c r="O435" s="36" t="str">
        <f aca="false">IF(OR(M435="Revenue",M435="Cost of Goods Sold",M435="Expenditures",M435="Other Revenue",M435="Other Expenditures"),N435,IF(AND(LEN(M435)&gt;2,MID(M435,2,1)=" ",ISNUMBER(VALUE(LEFT(M435,1)))),M435,O434))</f>
        <v/>
      </c>
      <c r="P435" s="36" t="n">
        <f aca="false">IF(AND(M435&lt;&gt;"",ISNUMBER(K435),LEFT(M435,9)&lt;&gt;"Total for",M435&lt;&gt;"Gross Profit",M435&lt;&gt;"Net Operating Revenue",M435&lt;&gt;"Net Other Revenue",M435&lt;&gt;"Net Revenue"),1,0)</f>
        <v>0</v>
      </c>
      <c r="Q435" s="36" t="str">
        <f aca="false">IF(P435=1,IF(AND(LEN(M435)&gt;7,ISNUMBER(VALUE(LEFT(M435,6))),MID(M435,7,1)=" "),LEFT(M435,6),M435),"")</f>
        <v/>
      </c>
      <c r="V435" s="36" t="str">
        <f aca="false">TRIM(S435)</f>
        <v/>
      </c>
      <c r="W435" s="36" t="str">
        <f aca="false">IF(V435="Revenue","Revenue",IF(V435="Cost of Goods Sold","COGS",IF(V435="Expenditures","Expense",IF(V435="Other Revenue","Other Revenue",IF(V435="Other Expenditures","Other Expense",W434)))))</f>
        <v/>
      </c>
      <c r="X435" s="36" t="str">
        <f aca="false">IF(OR(V435="Revenue",V435="Cost of Goods Sold",V435="Expenditures",V435="Other Revenue",V435="Other Expenditures"),W435,IF(AND(LEN(V435)&gt;2,MID(V435,2,1)=" ",ISNUMBER(VALUE(LEFT(V435,1)))),V435,X434))</f>
        <v/>
      </c>
      <c r="Y435" s="36" t="n">
        <f aca="false">IF(AND(V435&lt;&gt;"",ISNUMBER(T435),LEFT(V435,9)&lt;&gt;"Total for",V435&lt;&gt;"Gross Profit",V435&lt;&gt;"Net Operating Revenue",V435&lt;&gt;"Net Other Revenue",V435&lt;&gt;"Net Revenue"),1,0)</f>
        <v>0</v>
      </c>
      <c r="Z435" s="36" t="str">
        <f aca="false">IF(Y435=1,IF(AND(LEN(V435)&gt;7,ISNUMBER(VALUE(LEFT(V435,6))),MID(V435,7,1)=" "),LEFT(V435,6),V435),"")</f>
        <v/>
      </c>
      <c r="AE435" s="36" t="str">
        <f aca="false">TRIM(AB435)</f>
        <v/>
      </c>
      <c r="AF435" s="36" t="str">
        <f aca="false">IF(AE435="Revenue","Revenue",IF(AE435="Cost of Goods Sold","COGS",IF(AE435="Expenditures","Expense",IF(AE435="Other Revenue","Other Revenue",IF(AE435="Other Expenditures","Other Expense",AF434)))))</f>
        <v/>
      </c>
      <c r="AG435" s="36" t="str">
        <f aca="false">IF(OR(AE435="Revenue",AE435="Cost of Goods Sold",AE435="Expenditures",AE435="Other Revenue",AE435="Other Expenditures"),AF435,IF(AND(LEN(AE435)&gt;2,MID(AE435,2,1)=" ",ISNUMBER(VALUE(LEFT(AE435,1)))),AE435,AG434))</f>
        <v/>
      </c>
      <c r="AH435" s="36" t="n">
        <f aca="false">IF(AND(AE435&lt;&gt;"",ISNUMBER(AC435),LEFT(AE435,9)&lt;&gt;"Total for",AE435&lt;&gt;"Gross Profit",AE435&lt;&gt;"Net Operating Revenue",AE435&lt;&gt;"Net Other Revenue",AE435&lt;&gt;"Net Revenue"),1,0)</f>
        <v>0</v>
      </c>
      <c r="AI435" s="36" t="str">
        <f aca="false">IF(AH435=1,IF(AND(LEN(AE435)&gt;7,ISNUMBER(VALUE(LEFT(AE435,6))),MID(AE435,7,1)=" "),LEFT(AE435,6),AE435),"")</f>
        <v/>
      </c>
      <c r="AN435" s="36" t="str">
        <f aca="false">TRIM(AK435)</f>
        <v/>
      </c>
      <c r="AO435" s="36" t="str">
        <f aca="false">IF(AN435="Revenue","Revenue",IF(AN435="Cost of Goods Sold","COGS",IF(AN435="Expenditures","Expense",IF(AN435="Other Revenue","Other Revenue",IF(AN435="Other Expenditures","Other Expense",AO434)))))</f>
        <v/>
      </c>
      <c r="AP435" s="36" t="str">
        <f aca="false">IF(OR(AN435="Revenue",AN435="Cost of Goods Sold",AN435="Expenditures",AN435="Other Revenue",AN435="Other Expenditures"),AO435,IF(AND(LEN(AN435)&gt;2,MID(AN435,2,1)=" ",ISNUMBER(VALUE(LEFT(AN435,1)))),AN435,AP434))</f>
        <v/>
      </c>
      <c r="AQ435" s="36" t="n">
        <f aca="false">IF(AND(AN435&lt;&gt;"",ISNUMBER(AL435),LEFT(AN435,9)&lt;&gt;"Total for",AN435&lt;&gt;"Gross Profit",AN435&lt;&gt;"Net Operating Revenue",AN435&lt;&gt;"Net Other Revenue",AN435&lt;&gt;"Net Revenue"),1,0)</f>
        <v>0</v>
      </c>
      <c r="AR435" s="36" t="str">
        <f aca="false">IF(AQ435=1,IF(AND(LEN(AN435)&gt;7,ISNUMBER(VALUE(LEFT(AN435,6))),MID(AN435,7,1)=" "),LEFT(AN435,6),AN435),"")</f>
        <v/>
      </c>
    </row>
    <row r="436" customFormat="false" ht="15" hidden="false" customHeight="false" outlineLevel="0" collapsed="false">
      <c r="D436" s="36" t="str">
        <f aca="false">TRIM(A436)</f>
        <v/>
      </c>
      <c r="E436" s="36" t="str">
        <f aca="false">IF(D436="Revenue","Revenue",IF(D436="Cost of Goods Sold","COGS",IF(D436="Expenditures","Expense",IF(D436="Other Revenue","Other Revenue",IF(D436="Other Expenditures","Other Expense",E435)))))</f>
        <v/>
      </c>
      <c r="F436" s="36" t="str">
        <f aca="false">IF(OR(D436="Revenue",D436="Cost of Goods Sold",D436="Expenditures",D436="Other Revenue",D436="Other Expenditures"),E436,IF(AND(LEN(D436)&gt;2,MID(D436,2,1)=" ",ISNUMBER(VALUE(LEFT(D436,1)))),D436,F435))</f>
        <v/>
      </c>
      <c r="G436" s="36" t="n">
        <f aca="false">IF(AND(D436&lt;&gt;"",ISNUMBER(B436),LEFT(D436,9)&lt;&gt;"Total for",D436&lt;&gt;"Gross Profit",D436&lt;&gt;"Net Operating Revenue",D436&lt;&gt;"Net Other Revenue",D436&lt;&gt;"Net Revenue"),1,0)</f>
        <v>0</v>
      </c>
      <c r="H436" s="36" t="str">
        <f aca="false">IF(G436=1,IF(AND(LEN(D436)&gt;7,ISNUMBER(VALUE(LEFT(D436,6))),MID(D436,7,1)=" "),LEFT(D436,6),D436),"")</f>
        <v/>
      </c>
      <c r="M436" s="36" t="str">
        <f aca="false">TRIM(J436)</f>
        <v/>
      </c>
      <c r="N436" s="36" t="str">
        <f aca="false">IF(M436="Revenue","Revenue",IF(M436="Cost of Goods Sold","COGS",IF(M436="Expenditures","Expense",IF(M436="Other Revenue","Other Revenue",IF(M436="Other Expenditures","Other Expense",N435)))))</f>
        <v/>
      </c>
      <c r="O436" s="36" t="str">
        <f aca="false">IF(OR(M436="Revenue",M436="Cost of Goods Sold",M436="Expenditures",M436="Other Revenue",M436="Other Expenditures"),N436,IF(AND(LEN(M436)&gt;2,MID(M436,2,1)=" ",ISNUMBER(VALUE(LEFT(M436,1)))),M436,O435))</f>
        <v/>
      </c>
      <c r="P436" s="36" t="n">
        <f aca="false">IF(AND(M436&lt;&gt;"",ISNUMBER(K436),LEFT(M436,9)&lt;&gt;"Total for",M436&lt;&gt;"Gross Profit",M436&lt;&gt;"Net Operating Revenue",M436&lt;&gt;"Net Other Revenue",M436&lt;&gt;"Net Revenue"),1,0)</f>
        <v>0</v>
      </c>
      <c r="Q436" s="36" t="str">
        <f aca="false">IF(P436=1,IF(AND(LEN(M436)&gt;7,ISNUMBER(VALUE(LEFT(M436,6))),MID(M436,7,1)=" "),LEFT(M436,6),M436),"")</f>
        <v/>
      </c>
      <c r="V436" s="36" t="str">
        <f aca="false">TRIM(S436)</f>
        <v/>
      </c>
      <c r="W436" s="36" t="str">
        <f aca="false">IF(V436="Revenue","Revenue",IF(V436="Cost of Goods Sold","COGS",IF(V436="Expenditures","Expense",IF(V436="Other Revenue","Other Revenue",IF(V436="Other Expenditures","Other Expense",W435)))))</f>
        <v/>
      </c>
      <c r="X436" s="36" t="str">
        <f aca="false">IF(OR(V436="Revenue",V436="Cost of Goods Sold",V436="Expenditures",V436="Other Revenue",V436="Other Expenditures"),W436,IF(AND(LEN(V436)&gt;2,MID(V436,2,1)=" ",ISNUMBER(VALUE(LEFT(V436,1)))),V436,X435))</f>
        <v/>
      </c>
      <c r="Y436" s="36" t="n">
        <f aca="false">IF(AND(V436&lt;&gt;"",ISNUMBER(T436),LEFT(V436,9)&lt;&gt;"Total for",V436&lt;&gt;"Gross Profit",V436&lt;&gt;"Net Operating Revenue",V436&lt;&gt;"Net Other Revenue",V436&lt;&gt;"Net Revenue"),1,0)</f>
        <v>0</v>
      </c>
      <c r="Z436" s="36" t="str">
        <f aca="false">IF(Y436=1,IF(AND(LEN(V436)&gt;7,ISNUMBER(VALUE(LEFT(V436,6))),MID(V436,7,1)=" "),LEFT(V436,6),V436),"")</f>
        <v/>
      </c>
      <c r="AE436" s="36" t="str">
        <f aca="false">TRIM(AB436)</f>
        <v/>
      </c>
      <c r="AF436" s="36" t="str">
        <f aca="false">IF(AE436="Revenue","Revenue",IF(AE436="Cost of Goods Sold","COGS",IF(AE436="Expenditures","Expense",IF(AE436="Other Revenue","Other Revenue",IF(AE436="Other Expenditures","Other Expense",AF435)))))</f>
        <v/>
      </c>
      <c r="AG436" s="36" t="str">
        <f aca="false">IF(OR(AE436="Revenue",AE436="Cost of Goods Sold",AE436="Expenditures",AE436="Other Revenue",AE436="Other Expenditures"),AF436,IF(AND(LEN(AE436)&gt;2,MID(AE436,2,1)=" ",ISNUMBER(VALUE(LEFT(AE436,1)))),AE436,AG435))</f>
        <v/>
      </c>
      <c r="AH436" s="36" t="n">
        <f aca="false">IF(AND(AE436&lt;&gt;"",ISNUMBER(AC436),LEFT(AE436,9)&lt;&gt;"Total for",AE436&lt;&gt;"Gross Profit",AE436&lt;&gt;"Net Operating Revenue",AE436&lt;&gt;"Net Other Revenue",AE436&lt;&gt;"Net Revenue"),1,0)</f>
        <v>0</v>
      </c>
      <c r="AI436" s="36" t="str">
        <f aca="false">IF(AH436=1,IF(AND(LEN(AE436)&gt;7,ISNUMBER(VALUE(LEFT(AE436,6))),MID(AE436,7,1)=" "),LEFT(AE436,6),AE436),"")</f>
        <v/>
      </c>
      <c r="AN436" s="36" t="str">
        <f aca="false">TRIM(AK436)</f>
        <v/>
      </c>
      <c r="AO436" s="36" t="str">
        <f aca="false">IF(AN436="Revenue","Revenue",IF(AN436="Cost of Goods Sold","COGS",IF(AN436="Expenditures","Expense",IF(AN436="Other Revenue","Other Revenue",IF(AN436="Other Expenditures","Other Expense",AO435)))))</f>
        <v/>
      </c>
      <c r="AP436" s="36" t="str">
        <f aca="false">IF(OR(AN436="Revenue",AN436="Cost of Goods Sold",AN436="Expenditures",AN436="Other Revenue",AN436="Other Expenditures"),AO436,IF(AND(LEN(AN436)&gt;2,MID(AN436,2,1)=" ",ISNUMBER(VALUE(LEFT(AN436,1)))),AN436,AP435))</f>
        <v/>
      </c>
      <c r="AQ436" s="36" t="n">
        <f aca="false">IF(AND(AN436&lt;&gt;"",ISNUMBER(AL436),LEFT(AN436,9)&lt;&gt;"Total for",AN436&lt;&gt;"Gross Profit",AN436&lt;&gt;"Net Operating Revenue",AN436&lt;&gt;"Net Other Revenue",AN436&lt;&gt;"Net Revenue"),1,0)</f>
        <v>0</v>
      </c>
      <c r="AR436" s="36" t="str">
        <f aca="false">IF(AQ436=1,IF(AND(LEN(AN436)&gt;7,ISNUMBER(VALUE(LEFT(AN436,6))),MID(AN436,7,1)=" "),LEFT(AN436,6),AN436),"")</f>
        <v/>
      </c>
    </row>
    <row r="437" customFormat="false" ht="15" hidden="false" customHeight="false" outlineLevel="0" collapsed="false">
      <c r="D437" s="36" t="str">
        <f aca="false">TRIM(A437)</f>
        <v/>
      </c>
      <c r="E437" s="36" t="str">
        <f aca="false">IF(D437="Revenue","Revenue",IF(D437="Cost of Goods Sold","COGS",IF(D437="Expenditures","Expense",IF(D437="Other Revenue","Other Revenue",IF(D437="Other Expenditures","Other Expense",E436)))))</f>
        <v/>
      </c>
      <c r="F437" s="36" t="str">
        <f aca="false">IF(OR(D437="Revenue",D437="Cost of Goods Sold",D437="Expenditures",D437="Other Revenue",D437="Other Expenditures"),E437,IF(AND(LEN(D437)&gt;2,MID(D437,2,1)=" ",ISNUMBER(VALUE(LEFT(D437,1)))),D437,F436))</f>
        <v/>
      </c>
      <c r="G437" s="36" t="n">
        <f aca="false">IF(AND(D437&lt;&gt;"",ISNUMBER(B437),LEFT(D437,9)&lt;&gt;"Total for",D437&lt;&gt;"Gross Profit",D437&lt;&gt;"Net Operating Revenue",D437&lt;&gt;"Net Other Revenue",D437&lt;&gt;"Net Revenue"),1,0)</f>
        <v>0</v>
      </c>
      <c r="H437" s="36" t="str">
        <f aca="false">IF(G437=1,IF(AND(LEN(D437)&gt;7,ISNUMBER(VALUE(LEFT(D437,6))),MID(D437,7,1)=" "),LEFT(D437,6),D437),"")</f>
        <v/>
      </c>
      <c r="M437" s="36" t="str">
        <f aca="false">TRIM(J437)</f>
        <v/>
      </c>
      <c r="N437" s="36" t="str">
        <f aca="false">IF(M437="Revenue","Revenue",IF(M437="Cost of Goods Sold","COGS",IF(M437="Expenditures","Expense",IF(M437="Other Revenue","Other Revenue",IF(M437="Other Expenditures","Other Expense",N436)))))</f>
        <v/>
      </c>
      <c r="O437" s="36" t="str">
        <f aca="false">IF(OR(M437="Revenue",M437="Cost of Goods Sold",M437="Expenditures",M437="Other Revenue",M437="Other Expenditures"),N437,IF(AND(LEN(M437)&gt;2,MID(M437,2,1)=" ",ISNUMBER(VALUE(LEFT(M437,1)))),M437,O436))</f>
        <v/>
      </c>
      <c r="P437" s="36" t="n">
        <f aca="false">IF(AND(M437&lt;&gt;"",ISNUMBER(K437),LEFT(M437,9)&lt;&gt;"Total for",M437&lt;&gt;"Gross Profit",M437&lt;&gt;"Net Operating Revenue",M437&lt;&gt;"Net Other Revenue",M437&lt;&gt;"Net Revenue"),1,0)</f>
        <v>0</v>
      </c>
      <c r="Q437" s="36" t="str">
        <f aca="false">IF(P437=1,IF(AND(LEN(M437)&gt;7,ISNUMBER(VALUE(LEFT(M437,6))),MID(M437,7,1)=" "),LEFT(M437,6),M437),"")</f>
        <v/>
      </c>
      <c r="V437" s="36" t="str">
        <f aca="false">TRIM(S437)</f>
        <v/>
      </c>
      <c r="W437" s="36" t="str">
        <f aca="false">IF(V437="Revenue","Revenue",IF(V437="Cost of Goods Sold","COGS",IF(V437="Expenditures","Expense",IF(V437="Other Revenue","Other Revenue",IF(V437="Other Expenditures","Other Expense",W436)))))</f>
        <v/>
      </c>
      <c r="X437" s="36" t="str">
        <f aca="false">IF(OR(V437="Revenue",V437="Cost of Goods Sold",V437="Expenditures",V437="Other Revenue",V437="Other Expenditures"),W437,IF(AND(LEN(V437)&gt;2,MID(V437,2,1)=" ",ISNUMBER(VALUE(LEFT(V437,1)))),V437,X436))</f>
        <v/>
      </c>
      <c r="Y437" s="36" t="n">
        <f aca="false">IF(AND(V437&lt;&gt;"",ISNUMBER(T437),LEFT(V437,9)&lt;&gt;"Total for",V437&lt;&gt;"Gross Profit",V437&lt;&gt;"Net Operating Revenue",V437&lt;&gt;"Net Other Revenue",V437&lt;&gt;"Net Revenue"),1,0)</f>
        <v>0</v>
      </c>
      <c r="Z437" s="36" t="str">
        <f aca="false">IF(Y437=1,IF(AND(LEN(V437)&gt;7,ISNUMBER(VALUE(LEFT(V437,6))),MID(V437,7,1)=" "),LEFT(V437,6),V437),"")</f>
        <v/>
      </c>
      <c r="AE437" s="36" t="str">
        <f aca="false">TRIM(AB437)</f>
        <v/>
      </c>
      <c r="AF437" s="36" t="str">
        <f aca="false">IF(AE437="Revenue","Revenue",IF(AE437="Cost of Goods Sold","COGS",IF(AE437="Expenditures","Expense",IF(AE437="Other Revenue","Other Revenue",IF(AE437="Other Expenditures","Other Expense",AF436)))))</f>
        <v/>
      </c>
      <c r="AG437" s="36" t="str">
        <f aca="false">IF(OR(AE437="Revenue",AE437="Cost of Goods Sold",AE437="Expenditures",AE437="Other Revenue",AE437="Other Expenditures"),AF437,IF(AND(LEN(AE437)&gt;2,MID(AE437,2,1)=" ",ISNUMBER(VALUE(LEFT(AE437,1)))),AE437,AG436))</f>
        <v/>
      </c>
      <c r="AH437" s="36" t="n">
        <f aca="false">IF(AND(AE437&lt;&gt;"",ISNUMBER(AC437),LEFT(AE437,9)&lt;&gt;"Total for",AE437&lt;&gt;"Gross Profit",AE437&lt;&gt;"Net Operating Revenue",AE437&lt;&gt;"Net Other Revenue",AE437&lt;&gt;"Net Revenue"),1,0)</f>
        <v>0</v>
      </c>
      <c r="AI437" s="36" t="str">
        <f aca="false">IF(AH437=1,IF(AND(LEN(AE437)&gt;7,ISNUMBER(VALUE(LEFT(AE437,6))),MID(AE437,7,1)=" "),LEFT(AE437,6),AE437),"")</f>
        <v/>
      </c>
      <c r="AN437" s="36" t="str">
        <f aca="false">TRIM(AK437)</f>
        <v/>
      </c>
      <c r="AO437" s="36" t="str">
        <f aca="false">IF(AN437="Revenue","Revenue",IF(AN437="Cost of Goods Sold","COGS",IF(AN437="Expenditures","Expense",IF(AN437="Other Revenue","Other Revenue",IF(AN437="Other Expenditures","Other Expense",AO436)))))</f>
        <v/>
      </c>
      <c r="AP437" s="36" t="str">
        <f aca="false">IF(OR(AN437="Revenue",AN437="Cost of Goods Sold",AN437="Expenditures",AN437="Other Revenue",AN437="Other Expenditures"),AO437,IF(AND(LEN(AN437)&gt;2,MID(AN437,2,1)=" ",ISNUMBER(VALUE(LEFT(AN437,1)))),AN437,AP436))</f>
        <v/>
      </c>
      <c r="AQ437" s="36" t="n">
        <f aca="false">IF(AND(AN437&lt;&gt;"",ISNUMBER(AL437),LEFT(AN437,9)&lt;&gt;"Total for",AN437&lt;&gt;"Gross Profit",AN437&lt;&gt;"Net Operating Revenue",AN437&lt;&gt;"Net Other Revenue",AN437&lt;&gt;"Net Revenue"),1,0)</f>
        <v>0</v>
      </c>
      <c r="AR437" s="36" t="str">
        <f aca="false">IF(AQ437=1,IF(AND(LEN(AN437)&gt;7,ISNUMBER(VALUE(LEFT(AN437,6))),MID(AN437,7,1)=" "),LEFT(AN437,6),AN437),"")</f>
        <v/>
      </c>
    </row>
    <row r="438" customFormat="false" ht="15" hidden="false" customHeight="false" outlineLevel="0" collapsed="false">
      <c r="D438" s="36" t="str">
        <f aca="false">TRIM(A438)</f>
        <v/>
      </c>
      <c r="E438" s="36" t="str">
        <f aca="false">IF(D438="Revenue","Revenue",IF(D438="Cost of Goods Sold","COGS",IF(D438="Expenditures","Expense",IF(D438="Other Revenue","Other Revenue",IF(D438="Other Expenditures","Other Expense",E437)))))</f>
        <v/>
      </c>
      <c r="F438" s="36" t="str">
        <f aca="false">IF(OR(D438="Revenue",D438="Cost of Goods Sold",D438="Expenditures",D438="Other Revenue",D438="Other Expenditures"),E438,IF(AND(LEN(D438)&gt;2,MID(D438,2,1)=" ",ISNUMBER(VALUE(LEFT(D438,1)))),D438,F437))</f>
        <v/>
      </c>
      <c r="G438" s="36" t="n">
        <f aca="false">IF(AND(D438&lt;&gt;"",ISNUMBER(B438),LEFT(D438,9)&lt;&gt;"Total for",D438&lt;&gt;"Gross Profit",D438&lt;&gt;"Net Operating Revenue",D438&lt;&gt;"Net Other Revenue",D438&lt;&gt;"Net Revenue"),1,0)</f>
        <v>0</v>
      </c>
      <c r="H438" s="36" t="str">
        <f aca="false">IF(G438=1,IF(AND(LEN(D438)&gt;7,ISNUMBER(VALUE(LEFT(D438,6))),MID(D438,7,1)=" "),LEFT(D438,6),D438),"")</f>
        <v/>
      </c>
      <c r="M438" s="36" t="str">
        <f aca="false">TRIM(J438)</f>
        <v/>
      </c>
      <c r="N438" s="36" t="str">
        <f aca="false">IF(M438="Revenue","Revenue",IF(M438="Cost of Goods Sold","COGS",IF(M438="Expenditures","Expense",IF(M438="Other Revenue","Other Revenue",IF(M438="Other Expenditures","Other Expense",N437)))))</f>
        <v/>
      </c>
      <c r="O438" s="36" t="str">
        <f aca="false">IF(OR(M438="Revenue",M438="Cost of Goods Sold",M438="Expenditures",M438="Other Revenue",M438="Other Expenditures"),N438,IF(AND(LEN(M438)&gt;2,MID(M438,2,1)=" ",ISNUMBER(VALUE(LEFT(M438,1)))),M438,O437))</f>
        <v/>
      </c>
      <c r="P438" s="36" t="n">
        <f aca="false">IF(AND(M438&lt;&gt;"",ISNUMBER(K438),LEFT(M438,9)&lt;&gt;"Total for",M438&lt;&gt;"Gross Profit",M438&lt;&gt;"Net Operating Revenue",M438&lt;&gt;"Net Other Revenue",M438&lt;&gt;"Net Revenue"),1,0)</f>
        <v>0</v>
      </c>
      <c r="Q438" s="36" t="str">
        <f aca="false">IF(P438=1,IF(AND(LEN(M438)&gt;7,ISNUMBER(VALUE(LEFT(M438,6))),MID(M438,7,1)=" "),LEFT(M438,6),M438),"")</f>
        <v/>
      </c>
      <c r="V438" s="36" t="str">
        <f aca="false">TRIM(S438)</f>
        <v/>
      </c>
      <c r="W438" s="36" t="str">
        <f aca="false">IF(V438="Revenue","Revenue",IF(V438="Cost of Goods Sold","COGS",IF(V438="Expenditures","Expense",IF(V438="Other Revenue","Other Revenue",IF(V438="Other Expenditures","Other Expense",W437)))))</f>
        <v/>
      </c>
      <c r="X438" s="36" t="str">
        <f aca="false">IF(OR(V438="Revenue",V438="Cost of Goods Sold",V438="Expenditures",V438="Other Revenue",V438="Other Expenditures"),W438,IF(AND(LEN(V438)&gt;2,MID(V438,2,1)=" ",ISNUMBER(VALUE(LEFT(V438,1)))),V438,X437))</f>
        <v/>
      </c>
      <c r="Y438" s="36" t="n">
        <f aca="false">IF(AND(V438&lt;&gt;"",ISNUMBER(T438),LEFT(V438,9)&lt;&gt;"Total for",V438&lt;&gt;"Gross Profit",V438&lt;&gt;"Net Operating Revenue",V438&lt;&gt;"Net Other Revenue",V438&lt;&gt;"Net Revenue"),1,0)</f>
        <v>0</v>
      </c>
      <c r="Z438" s="36" t="str">
        <f aca="false">IF(Y438=1,IF(AND(LEN(V438)&gt;7,ISNUMBER(VALUE(LEFT(V438,6))),MID(V438,7,1)=" "),LEFT(V438,6),V438),"")</f>
        <v/>
      </c>
      <c r="AE438" s="36" t="str">
        <f aca="false">TRIM(AB438)</f>
        <v/>
      </c>
      <c r="AF438" s="36" t="str">
        <f aca="false">IF(AE438="Revenue","Revenue",IF(AE438="Cost of Goods Sold","COGS",IF(AE438="Expenditures","Expense",IF(AE438="Other Revenue","Other Revenue",IF(AE438="Other Expenditures","Other Expense",AF437)))))</f>
        <v/>
      </c>
      <c r="AG438" s="36" t="str">
        <f aca="false">IF(OR(AE438="Revenue",AE438="Cost of Goods Sold",AE438="Expenditures",AE438="Other Revenue",AE438="Other Expenditures"),AF438,IF(AND(LEN(AE438)&gt;2,MID(AE438,2,1)=" ",ISNUMBER(VALUE(LEFT(AE438,1)))),AE438,AG437))</f>
        <v/>
      </c>
      <c r="AH438" s="36" t="n">
        <f aca="false">IF(AND(AE438&lt;&gt;"",ISNUMBER(AC438),LEFT(AE438,9)&lt;&gt;"Total for",AE438&lt;&gt;"Gross Profit",AE438&lt;&gt;"Net Operating Revenue",AE438&lt;&gt;"Net Other Revenue",AE438&lt;&gt;"Net Revenue"),1,0)</f>
        <v>0</v>
      </c>
      <c r="AI438" s="36" t="str">
        <f aca="false">IF(AH438=1,IF(AND(LEN(AE438)&gt;7,ISNUMBER(VALUE(LEFT(AE438,6))),MID(AE438,7,1)=" "),LEFT(AE438,6),AE438),"")</f>
        <v/>
      </c>
      <c r="AN438" s="36" t="str">
        <f aca="false">TRIM(AK438)</f>
        <v/>
      </c>
      <c r="AO438" s="36" t="str">
        <f aca="false">IF(AN438="Revenue","Revenue",IF(AN438="Cost of Goods Sold","COGS",IF(AN438="Expenditures","Expense",IF(AN438="Other Revenue","Other Revenue",IF(AN438="Other Expenditures","Other Expense",AO437)))))</f>
        <v/>
      </c>
      <c r="AP438" s="36" t="str">
        <f aca="false">IF(OR(AN438="Revenue",AN438="Cost of Goods Sold",AN438="Expenditures",AN438="Other Revenue",AN438="Other Expenditures"),AO438,IF(AND(LEN(AN438)&gt;2,MID(AN438,2,1)=" ",ISNUMBER(VALUE(LEFT(AN438,1)))),AN438,AP437))</f>
        <v/>
      </c>
      <c r="AQ438" s="36" t="n">
        <f aca="false">IF(AND(AN438&lt;&gt;"",ISNUMBER(AL438),LEFT(AN438,9)&lt;&gt;"Total for",AN438&lt;&gt;"Gross Profit",AN438&lt;&gt;"Net Operating Revenue",AN438&lt;&gt;"Net Other Revenue",AN438&lt;&gt;"Net Revenue"),1,0)</f>
        <v>0</v>
      </c>
      <c r="AR438" s="36" t="str">
        <f aca="false">IF(AQ438=1,IF(AND(LEN(AN438)&gt;7,ISNUMBER(VALUE(LEFT(AN438,6))),MID(AN438,7,1)=" "),LEFT(AN438,6),AN438),"")</f>
        <v/>
      </c>
    </row>
    <row r="439" customFormat="false" ht="15" hidden="false" customHeight="false" outlineLevel="0" collapsed="false">
      <c r="D439" s="36" t="str">
        <f aca="false">TRIM(A439)</f>
        <v/>
      </c>
      <c r="E439" s="36" t="str">
        <f aca="false">IF(D439="Revenue","Revenue",IF(D439="Cost of Goods Sold","COGS",IF(D439="Expenditures","Expense",IF(D439="Other Revenue","Other Revenue",IF(D439="Other Expenditures","Other Expense",E438)))))</f>
        <v/>
      </c>
      <c r="F439" s="36" t="str">
        <f aca="false">IF(OR(D439="Revenue",D439="Cost of Goods Sold",D439="Expenditures",D439="Other Revenue",D439="Other Expenditures"),E439,IF(AND(LEN(D439)&gt;2,MID(D439,2,1)=" ",ISNUMBER(VALUE(LEFT(D439,1)))),D439,F438))</f>
        <v/>
      </c>
      <c r="G439" s="36" t="n">
        <f aca="false">IF(AND(D439&lt;&gt;"",ISNUMBER(B439),LEFT(D439,9)&lt;&gt;"Total for",D439&lt;&gt;"Gross Profit",D439&lt;&gt;"Net Operating Revenue",D439&lt;&gt;"Net Other Revenue",D439&lt;&gt;"Net Revenue"),1,0)</f>
        <v>0</v>
      </c>
      <c r="H439" s="36" t="str">
        <f aca="false">IF(G439=1,IF(AND(LEN(D439)&gt;7,ISNUMBER(VALUE(LEFT(D439,6))),MID(D439,7,1)=" "),LEFT(D439,6),D439),"")</f>
        <v/>
      </c>
      <c r="M439" s="36" t="str">
        <f aca="false">TRIM(J439)</f>
        <v/>
      </c>
      <c r="N439" s="36" t="str">
        <f aca="false">IF(M439="Revenue","Revenue",IF(M439="Cost of Goods Sold","COGS",IF(M439="Expenditures","Expense",IF(M439="Other Revenue","Other Revenue",IF(M439="Other Expenditures","Other Expense",N438)))))</f>
        <v/>
      </c>
      <c r="O439" s="36" t="str">
        <f aca="false">IF(OR(M439="Revenue",M439="Cost of Goods Sold",M439="Expenditures",M439="Other Revenue",M439="Other Expenditures"),N439,IF(AND(LEN(M439)&gt;2,MID(M439,2,1)=" ",ISNUMBER(VALUE(LEFT(M439,1)))),M439,O438))</f>
        <v/>
      </c>
      <c r="P439" s="36" t="n">
        <f aca="false">IF(AND(M439&lt;&gt;"",ISNUMBER(K439),LEFT(M439,9)&lt;&gt;"Total for",M439&lt;&gt;"Gross Profit",M439&lt;&gt;"Net Operating Revenue",M439&lt;&gt;"Net Other Revenue",M439&lt;&gt;"Net Revenue"),1,0)</f>
        <v>0</v>
      </c>
      <c r="Q439" s="36" t="str">
        <f aca="false">IF(P439=1,IF(AND(LEN(M439)&gt;7,ISNUMBER(VALUE(LEFT(M439,6))),MID(M439,7,1)=" "),LEFT(M439,6),M439),"")</f>
        <v/>
      </c>
      <c r="V439" s="36" t="str">
        <f aca="false">TRIM(S439)</f>
        <v/>
      </c>
      <c r="W439" s="36" t="str">
        <f aca="false">IF(V439="Revenue","Revenue",IF(V439="Cost of Goods Sold","COGS",IF(V439="Expenditures","Expense",IF(V439="Other Revenue","Other Revenue",IF(V439="Other Expenditures","Other Expense",W438)))))</f>
        <v/>
      </c>
      <c r="X439" s="36" t="str">
        <f aca="false">IF(OR(V439="Revenue",V439="Cost of Goods Sold",V439="Expenditures",V439="Other Revenue",V439="Other Expenditures"),W439,IF(AND(LEN(V439)&gt;2,MID(V439,2,1)=" ",ISNUMBER(VALUE(LEFT(V439,1)))),V439,X438))</f>
        <v/>
      </c>
      <c r="Y439" s="36" t="n">
        <f aca="false">IF(AND(V439&lt;&gt;"",ISNUMBER(T439),LEFT(V439,9)&lt;&gt;"Total for",V439&lt;&gt;"Gross Profit",V439&lt;&gt;"Net Operating Revenue",V439&lt;&gt;"Net Other Revenue",V439&lt;&gt;"Net Revenue"),1,0)</f>
        <v>0</v>
      </c>
      <c r="Z439" s="36" t="str">
        <f aca="false">IF(Y439=1,IF(AND(LEN(V439)&gt;7,ISNUMBER(VALUE(LEFT(V439,6))),MID(V439,7,1)=" "),LEFT(V439,6),V439),"")</f>
        <v/>
      </c>
      <c r="AE439" s="36" t="str">
        <f aca="false">TRIM(AB439)</f>
        <v/>
      </c>
      <c r="AF439" s="36" t="str">
        <f aca="false">IF(AE439="Revenue","Revenue",IF(AE439="Cost of Goods Sold","COGS",IF(AE439="Expenditures","Expense",IF(AE439="Other Revenue","Other Revenue",IF(AE439="Other Expenditures","Other Expense",AF438)))))</f>
        <v/>
      </c>
      <c r="AG439" s="36" t="str">
        <f aca="false">IF(OR(AE439="Revenue",AE439="Cost of Goods Sold",AE439="Expenditures",AE439="Other Revenue",AE439="Other Expenditures"),AF439,IF(AND(LEN(AE439)&gt;2,MID(AE439,2,1)=" ",ISNUMBER(VALUE(LEFT(AE439,1)))),AE439,AG438))</f>
        <v/>
      </c>
      <c r="AH439" s="36" t="n">
        <f aca="false">IF(AND(AE439&lt;&gt;"",ISNUMBER(AC439),LEFT(AE439,9)&lt;&gt;"Total for",AE439&lt;&gt;"Gross Profit",AE439&lt;&gt;"Net Operating Revenue",AE439&lt;&gt;"Net Other Revenue",AE439&lt;&gt;"Net Revenue"),1,0)</f>
        <v>0</v>
      </c>
      <c r="AI439" s="36" t="str">
        <f aca="false">IF(AH439=1,IF(AND(LEN(AE439)&gt;7,ISNUMBER(VALUE(LEFT(AE439,6))),MID(AE439,7,1)=" "),LEFT(AE439,6),AE439),"")</f>
        <v/>
      </c>
      <c r="AN439" s="36" t="str">
        <f aca="false">TRIM(AK439)</f>
        <v/>
      </c>
      <c r="AO439" s="36" t="str">
        <f aca="false">IF(AN439="Revenue","Revenue",IF(AN439="Cost of Goods Sold","COGS",IF(AN439="Expenditures","Expense",IF(AN439="Other Revenue","Other Revenue",IF(AN439="Other Expenditures","Other Expense",AO438)))))</f>
        <v/>
      </c>
      <c r="AP439" s="36" t="str">
        <f aca="false">IF(OR(AN439="Revenue",AN439="Cost of Goods Sold",AN439="Expenditures",AN439="Other Revenue",AN439="Other Expenditures"),AO439,IF(AND(LEN(AN439)&gt;2,MID(AN439,2,1)=" ",ISNUMBER(VALUE(LEFT(AN439,1)))),AN439,AP438))</f>
        <v/>
      </c>
      <c r="AQ439" s="36" t="n">
        <f aca="false">IF(AND(AN439&lt;&gt;"",ISNUMBER(AL439),LEFT(AN439,9)&lt;&gt;"Total for",AN439&lt;&gt;"Gross Profit",AN439&lt;&gt;"Net Operating Revenue",AN439&lt;&gt;"Net Other Revenue",AN439&lt;&gt;"Net Revenue"),1,0)</f>
        <v>0</v>
      </c>
      <c r="AR439" s="36" t="str">
        <f aca="false">IF(AQ439=1,IF(AND(LEN(AN439)&gt;7,ISNUMBER(VALUE(LEFT(AN439,6))),MID(AN439,7,1)=" "),LEFT(AN439,6),AN439),"")</f>
        <v/>
      </c>
    </row>
    <row r="440" customFormat="false" ht="15" hidden="false" customHeight="false" outlineLevel="0" collapsed="false">
      <c r="D440" s="36" t="str">
        <f aca="false">TRIM(A440)</f>
        <v/>
      </c>
      <c r="E440" s="36" t="str">
        <f aca="false">IF(D440="Revenue","Revenue",IF(D440="Cost of Goods Sold","COGS",IF(D440="Expenditures","Expense",IF(D440="Other Revenue","Other Revenue",IF(D440="Other Expenditures","Other Expense",E439)))))</f>
        <v/>
      </c>
      <c r="F440" s="36" t="str">
        <f aca="false">IF(OR(D440="Revenue",D440="Cost of Goods Sold",D440="Expenditures",D440="Other Revenue",D440="Other Expenditures"),E440,IF(AND(LEN(D440)&gt;2,MID(D440,2,1)=" ",ISNUMBER(VALUE(LEFT(D440,1)))),D440,F439))</f>
        <v/>
      </c>
      <c r="G440" s="36" t="n">
        <f aca="false">IF(AND(D440&lt;&gt;"",ISNUMBER(B440),LEFT(D440,9)&lt;&gt;"Total for",D440&lt;&gt;"Gross Profit",D440&lt;&gt;"Net Operating Revenue",D440&lt;&gt;"Net Other Revenue",D440&lt;&gt;"Net Revenue"),1,0)</f>
        <v>0</v>
      </c>
      <c r="H440" s="36" t="str">
        <f aca="false">IF(G440=1,IF(AND(LEN(D440)&gt;7,ISNUMBER(VALUE(LEFT(D440,6))),MID(D440,7,1)=" "),LEFT(D440,6),D440),"")</f>
        <v/>
      </c>
      <c r="M440" s="36" t="str">
        <f aca="false">TRIM(J440)</f>
        <v/>
      </c>
      <c r="N440" s="36" t="str">
        <f aca="false">IF(M440="Revenue","Revenue",IF(M440="Cost of Goods Sold","COGS",IF(M440="Expenditures","Expense",IF(M440="Other Revenue","Other Revenue",IF(M440="Other Expenditures","Other Expense",N439)))))</f>
        <v/>
      </c>
      <c r="O440" s="36" t="str">
        <f aca="false">IF(OR(M440="Revenue",M440="Cost of Goods Sold",M440="Expenditures",M440="Other Revenue",M440="Other Expenditures"),N440,IF(AND(LEN(M440)&gt;2,MID(M440,2,1)=" ",ISNUMBER(VALUE(LEFT(M440,1)))),M440,O439))</f>
        <v/>
      </c>
      <c r="P440" s="36" t="n">
        <f aca="false">IF(AND(M440&lt;&gt;"",ISNUMBER(K440),LEFT(M440,9)&lt;&gt;"Total for",M440&lt;&gt;"Gross Profit",M440&lt;&gt;"Net Operating Revenue",M440&lt;&gt;"Net Other Revenue",M440&lt;&gt;"Net Revenue"),1,0)</f>
        <v>0</v>
      </c>
      <c r="Q440" s="36" t="str">
        <f aca="false">IF(P440=1,IF(AND(LEN(M440)&gt;7,ISNUMBER(VALUE(LEFT(M440,6))),MID(M440,7,1)=" "),LEFT(M440,6),M440),"")</f>
        <v/>
      </c>
      <c r="V440" s="36" t="str">
        <f aca="false">TRIM(S440)</f>
        <v/>
      </c>
      <c r="W440" s="36" t="str">
        <f aca="false">IF(V440="Revenue","Revenue",IF(V440="Cost of Goods Sold","COGS",IF(V440="Expenditures","Expense",IF(V440="Other Revenue","Other Revenue",IF(V440="Other Expenditures","Other Expense",W439)))))</f>
        <v/>
      </c>
      <c r="X440" s="36" t="str">
        <f aca="false">IF(OR(V440="Revenue",V440="Cost of Goods Sold",V440="Expenditures",V440="Other Revenue",V440="Other Expenditures"),W440,IF(AND(LEN(V440)&gt;2,MID(V440,2,1)=" ",ISNUMBER(VALUE(LEFT(V440,1)))),V440,X439))</f>
        <v/>
      </c>
      <c r="Y440" s="36" t="n">
        <f aca="false">IF(AND(V440&lt;&gt;"",ISNUMBER(T440),LEFT(V440,9)&lt;&gt;"Total for",V440&lt;&gt;"Gross Profit",V440&lt;&gt;"Net Operating Revenue",V440&lt;&gt;"Net Other Revenue",V440&lt;&gt;"Net Revenue"),1,0)</f>
        <v>0</v>
      </c>
      <c r="Z440" s="36" t="str">
        <f aca="false">IF(Y440=1,IF(AND(LEN(V440)&gt;7,ISNUMBER(VALUE(LEFT(V440,6))),MID(V440,7,1)=" "),LEFT(V440,6),V440),"")</f>
        <v/>
      </c>
      <c r="AE440" s="36" t="str">
        <f aca="false">TRIM(AB440)</f>
        <v/>
      </c>
      <c r="AF440" s="36" t="str">
        <f aca="false">IF(AE440="Revenue","Revenue",IF(AE440="Cost of Goods Sold","COGS",IF(AE440="Expenditures","Expense",IF(AE440="Other Revenue","Other Revenue",IF(AE440="Other Expenditures","Other Expense",AF439)))))</f>
        <v/>
      </c>
      <c r="AG440" s="36" t="str">
        <f aca="false">IF(OR(AE440="Revenue",AE440="Cost of Goods Sold",AE440="Expenditures",AE440="Other Revenue",AE440="Other Expenditures"),AF440,IF(AND(LEN(AE440)&gt;2,MID(AE440,2,1)=" ",ISNUMBER(VALUE(LEFT(AE440,1)))),AE440,AG439))</f>
        <v/>
      </c>
      <c r="AH440" s="36" t="n">
        <f aca="false">IF(AND(AE440&lt;&gt;"",ISNUMBER(AC440),LEFT(AE440,9)&lt;&gt;"Total for",AE440&lt;&gt;"Gross Profit",AE440&lt;&gt;"Net Operating Revenue",AE440&lt;&gt;"Net Other Revenue",AE440&lt;&gt;"Net Revenue"),1,0)</f>
        <v>0</v>
      </c>
      <c r="AI440" s="36" t="str">
        <f aca="false">IF(AH440=1,IF(AND(LEN(AE440)&gt;7,ISNUMBER(VALUE(LEFT(AE440,6))),MID(AE440,7,1)=" "),LEFT(AE440,6),AE440),"")</f>
        <v/>
      </c>
      <c r="AN440" s="36" t="str">
        <f aca="false">TRIM(AK440)</f>
        <v/>
      </c>
      <c r="AO440" s="36" t="str">
        <f aca="false">IF(AN440="Revenue","Revenue",IF(AN440="Cost of Goods Sold","COGS",IF(AN440="Expenditures","Expense",IF(AN440="Other Revenue","Other Revenue",IF(AN440="Other Expenditures","Other Expense",AO439)))))</f>
        <v/>
      </c>
      <c r="AP440" s="36" t="str">
        <f aca="false">IF(OR(AN440="Revenue",AN440="Cost of Goods Sold",AN440="Expenditures",AN440="Other Revenue",AN440="Other Expenditures"),AO440,IF(AND(LEN(AN440)&gt;2,MID(AN440,2,1)=" ",ISNUMBER(VALUE(LEFT(AN440,1)))),AN440,AP439))</f>
        <v/>
      </c>
      <c r="AQ440" s="36" t="n">
        <f aca="false">IF(AND(AN440&lt;&gt;"",ISNUMBER(AL440),LEFT(AN440,9)&lt;&gt;"Total for",AN440&lt;&gt;"Gross Profit",AN440&lt;&gt;"Net Operating Revenue",AN440&lt;&gt;"Net Other Revenue",AN440&lt;&gt;"Net Revenue"),1,0)</f>
        <v>0</v>
      </c>
      <c r="AR440" s="36" t="str">
        <f aca="false">IF(AQ440=1,IF(AND(LEN(AN440)&gt;7,ISNUMBER(VALUE(LEFT(AN440,6))),MID(AN440,7,1)=" "),LEFT(AN440,6),AN440),"")</f>
        <v/>
      </c>
    </row>
    <row r="441" customFormat="false" ht="15" hidden="false" customHeight="false" outlineLevel="0" collapsed="false">
      <c r="D441" s="36" t="str">
        <f aca="false">TRIM(A441)</f>
        <v/>
      </c>
      <c r="E441" s="36" t="str">
        <f aca="false">IF(D441="Revenue","Revenue",IF(D441="Cost of Goods Sold","COGS",IF(D441="Expenditures","Expense",IF(D441="Other Revenue","Other Revenue",IF(D441="Other Expenditures","Other Expense",E440)))))</f>
        <v/>
      </c>
      <c r="F441" s="36" t="str">
        <f aca="false">IF(OR(D441="Revenue",D441="Cost of Goods Sold",D441="Expenditures",D441="Other Revenue",D441="Other Expenditures"),E441,IF(AND(LEN(D441)&gt;2,MID(D441,2,1)=" ",ISNUMBER(VALUE(LEFT(D441,1)))),D441,F440))</f>
        <v/>
      </c>
      <c r="G441" s="36" t="n">
        <f aca="false">IF(AND(D441&lt;&gt;"",ISNUMBER(B441),LEFT(D441,9)&lt;&gt;"Total for",D441&lt;&gt;"Gross Profit",D441&lt;&gt;"Net Operating Revenue",D441&lt;&gt;"Net Other Revenue",D441&lt;&gt;"Net Revenue"),1,0)</f>
        <v>0</v>
      </c>
      <c r="H441" s="36" t="str">
        <f aca="false">IF(G441=1,IF(AND(LEN(D441)&gt;7,ISNUMBER(VALUE(LEFT(D441,6))),MID(D441,7,1)=" "),LEFT(D441,6),D441),"")</f>
        <v/>
      </c>
      <c r="M441" s="36" t="str">
        <f aca="false">TRIM(J441)</f>
        <v/>
      </c>
      <c r="N441" s="36" t="str">
        <f aca="false">IF(M441="Revenue","Revenue",IF(M441="Cost of Goods Sold","COGS",IF(M441="Expenditures","Expense",IF(M441="Other Revenue","Other Revenue",IF(M441="Other Expenditures","Other Expense",N440)))))</f>
        <v/>
      </c>
      <c r="O441" s="36" t="str">
        <f aca="false">IF(OR(M441="Revenue",M441="Cost of Goods Sold",M441="Expenditures",M441="Other Revenue",M441="Other Expenditures"),N441,IF(AND(LEN(M441)&gt;2,MID(M441,2,1)=" ",ISNUMBER(VALUE(LEFT(M441,1)))),M441,O440))</f>
        <v/>
      </c>
      <c r="P441" s="36" t="n">
        <f aca="false">IF(AND(M441&lt;&gt;"",ISNUMBER(K441),LEFT(M441,9)&lt;&gt;"Total for",M441&lt;&gt;"Gross Profit",M441&lt;&gt;"Net Operating Revenue",M441&lt;&gt;"Net Other Revenue",M441&lt;&gt;"Net Revenue"),1,0)</f>
        <v>0</v>
      </c>
      <c r="Q441" s="36" t="str">
        <f aca="false">IF(P441=1,IF(AND(LEN(M441)&gt;7,ISNUMBER(VALUE(LEFT(M441,6))),MID(M441,7,1)=" "),LEFT(M441,6),M441),"")</f>
        <v/>
      </c>
      <c r="V441" s="36" t="str">
        <f aca="false">TRIM(S441)</f>
        <v/>
      </c>
      <c r="W441" s="36" t="str">
        <f aca="false">IF(V441="Revenue","Revenue",IF(V441="Cost of Goods Sold","COGS",IF(V441="Expenditures","Expense",IF(V441="Other Revenue","Other Revenue",IF(V441="Other Expenditures","Other Expense",W440)))))</f>
        <v/>
      </c>
      <c r="X441" s="36" t="str">
        <f aca="false">IF(OR(V441="Revenue",V441="Cost of Goods Sold",V441="Expenditures",V441="Other Revenue",V441="Other Expenditures"),W441,IF(AND(LEN(V441)&gt;2,MID(V441,2,1)=" ",ISNUMBER(VALUE(LEFT(V441,1)))),V441,X440))</f>
        <v/>
      </c>
      <c r="Y441" s="36" t="n">
        <f aca="false">IF(AND(V441&lt;&gt;"",ISNUMBER(T441),LEFT(V441,9)&lt;&gt;"Total for",V441&lt;&gt;"Gross Profit",V441&lt;&gt;"Net Operating Revenue",V441&lt;&gt;"Net Other Revenue",V441&lt;&gt;"Net Revenue"),1,0)</f>
        <v>0</v>
      </c>
      <c r="Z441" s="36" t="str">
        <f aca="false">IF(Y441=1,IF(AND(LEN(V441)&gt;7,ISNUMBER(VALUE(LEFT(V441,6))),MID(V441,7,1)=" "),LEFT(V441,6),V441),"")</f>
        <v/>
      </c>
      <c r="AE441" s="36" t="str">
        <f aca="false">TRIM(AB441)</f>
        <v/>
      </c>
      <c r="AF441" s="36" t="str">
        <f aca="false">IF(AE441="Revenue","Revenue",IF(AE441="Cost of Goods Sold","COGS",IF(AE441="Expenditures","Expense",IF(AE441="Other Revenue","Other Revenue",IF(AE441="Other Expenditures","Other Expense",AF440)))))</f>
        <v/>
      </c>
      <c r="AG441" s="36" t="str">
        <f aca="false">IF(OR(AE441="Revenue",AE441="Cost of Goods Sold",AE441="Expenditures",AE441="Other Revenue",AE441="Other Expenditures"),AF441,IF(AND(LEN(AE441)&gt;2,MID(AE441,2,1)=" ",ISNUMBER(VALUE(LEFT(AE441,1)))),AE441,AG440))</f>
        <v/>
      </c>
      <c r="AH441" s="36" t="n">
        <f aca="false">IF(AND(AE441&lt;&gt;"",ISNUMBER(AC441),LEFT(AE441,9)&lt;&gt;"Total for",AE441&lt;&gt;"Gross Profit",AE441&lt;&gt;"Net Operating Revenue",AE441&lt;&gt;"Net Other Revenue",AE441&lt;&gt;"Net Revenue"),1,0)</f>
        <v>0</v>
      </c>
      <c r="AI441" s="36" t="str">
        <f aca="false">IF(AH441=1,IF(AND(LEN(AE441)&gt;7,ISNUMBER(VALUE(LEFT(AE441,6))),MID(AE441,7,1)=" "),LEFT(AE441,6),AE441),"")</f>
        <v/>
      </c>
      <c r="AN441" s="36" t="str">
        <f aca="false">TRIM(AK441)</f>
        <v/>
      </c>
      <c r="AO441" s="36" t="str">
        <f aca="false">IF(AN441="Revenue","Revenue",IF(AN441="Cost of Goods Sold","COGS",IF(AN441="Expenditures","Expense",IF(AN441="Other Revenue","Other Revenue",IF(AN441="Other Expenditures","Other Expense",AO440)))))</f>
        <v/>
      </c>
      <c r="AP441" s="36" t="str">
        <f aca="false">IF(OR(AN441="Revenue",AN441="Cost of Goods Sold",AN441="Expenditures",AN441="Other Revenue",AN441="Other Expenditures"),AO441,IF(AND(LEN(AN441)&gt;2,MID(AN441,2,1)=" ",ISNUMBER(VALUE(LEFT(AN441,1)))),AN441,AP440))</f>
        <v/>
      </c>
      <c r="AQ441" s="36" t="n">
        <f aca="false">IF(AND(AN441&lt;&gt;"",ISNUMBER(AL441),LEFT(AN441,9)&lt;&gt;"Total for",AN441&lt;&gt;"Gross Profit",AN441&lt;&gt;"Net Operating Revenue",AN441&lt;&gt;"Net Other Revenue",AN441&lt;&gt;"Net Revenue"),1,0)</f>
        <v>0</v>
      </c>
      <c r="AR441" s="36" t="str">
        <f aca="false">IF(AQ441=1,IF(AND(LEN(AN441)&gt;7,ISNUMBER(VALUE(LEFT(AN441,6))),MID(AN441,7,1)=" "),LEFT(AN441,6),AN441),"")</f>
        <v/>
      </c>
    </row>
    <row r="442" customFormat="false" ht="15" hidden="false" customHeight="false" outlineLevel="0" collapsed="false">
      <c r="D442" s="36" t="str">
        <f aca="false">TRIM(A442)</f>
        <v/>
      </c>
      <c r="E442" s="36" t="str">
        <f aca="false">IF(D442="Revenue","Revenue",IF(D442="Cost of Goods Sold","COGS",IF(D442="Expenditures","Expense",IF(D442="Other Revenue","Other Revenue",IF(D442="Other Expenditures","Other Expense",E441)))))</f>
        <v/>
      </c>
      <c r="F442" s="36" t="str">
        <f aca="false">IF(OR(D442="Revenue",D442="Cost of Goods Sold",D442="Expenditures",D442="Other Revenue",D442="Other Expenditures"),E442,IF(AND(LEN(D442)&gt;2,MID(D442,2,1)=" ",ISNUMBER(VALUE(LEFT(D442,1)))),D442,F441))</f>
        <v/>
      </c>
      <c r="G442" s="36" t="n">
        <f aca="false">IF(AND(D442&lt;&gt;"",ISNUMBER(B442),LEFT(D442,9)&lt;&gt;"Total for",D442&lt;&gt;"Gross Profit",D442&lt;&gt;"Net Operating Revenue",D442&lt;&gt;"Net Other Revenue",D442&lt;&gt;"Net Revenue"),1,0)</f>
        <v>0</v>
      </c>
      <c r="H442" s="36" t="str">
        <f aca="false">IF(G442=1,IF(AND(LEN(D442)&gt;7,ISNUMBER(VALUE(LEFT(D442,6))),MID(D442,7,1)=" "),LEFT(D442,6),D442),"")</f>
        <v/>
      </c>
      <c r="M442" s="36" t="str">
        <f aca="false">TRIM(J442)</f>
        <v/>
      </c>
      <c r="N442" s="36" t="str">
        <f aca="false">IF(M442="Revenue","Revenue",IF(M442="Cost of Goods Sold","COGS",IF(M442="Expenditures","Expense",IF(M442="Other Revenue","Other Revenue",IF(M442="Other Expenditures","Other Expense",N441)))))</f>
        <v/>
      </c>
      <c r="O442" s="36" t="str">
        <f aca="false">IF(OR(M442="Revenue",M442="Cost of Goods Sold",M442="Expenditures",M442="Other Revenue",M442="Other Expenditures"),N442,IF(AND(LEN(M442)&gt;2,MID(M442,2,1)=" ",ISNUMBER(VALUE(LEFT(M442,1)))),M442,O441))</f>
        <v/>
      </c>
      <c r="P442" s="36" t="n">
        <f aca="false">IF(AND(M442&lt;&gt;"",ISNUMBER(K442),LEFT(M442,9)&lt;&gt;"Total for",M442&lt;&gt;"Gross Profit",M442&lt;&gt;"Net Operating Revenue",M442&lt;&gt;"Net Other Revenue",M442&lt;&gt;"Net Revenue"),1,0)</f>
        <v>0</v>
      </c>
      <c r="Q442" s="36" t="str">
        <f aca="false">IF(P442=1,IF(AND(LEN(M442)&gt;7,ISNUMBER(VALUE(LEFT(M442,6))),MID(M442,7,1)=" "),LEFT(M442,6),M442),"")</f>
        <v/>
      </c>
      <c r="V442" s="36" t="str">
        <f aca="false">TRIM(S442)</f>
        <v/>
      </c>
      <c r="W442" s="36" t="str">
        <f aca="false">IF(V442="Revenue","Revenue",IF(V442="Cost of Goods Sold","COGS",IF(V442="Expenditures","Expense",IF(V442="Other Revenue","Other Revenue",IF(V442="Other Expenditures","Other Expense",W441)))))</f>
        <v/>
      </c>
      <c r="X442" s="36" t="str">
        <f aca="false">IF(OR(V442="Revenue",V442="Cost of Goods Sold",V442="Expenditures",V442="Other Revenue",V442="Other Expenditures"),W442,IF(AND(LEN(V442)&gt;2,MID(V442,2,1)=" ",ISNUMBER(VALUE(LEFT(V442,1)))),V442,X441))</f>
        <v/>
      </c>
      <c r="Y442" s="36" t="n">
        <f aca="false">IF(AND(V442&lt;&gt;"",ISNUMBER(T442),LEFT(V442,9)&lt;&gt;"Total for",V442&lt;&gt;"Gross Profit",V442&lt;&gt;"Net Operating Revenue",V442&lt;&gt;"Net Other Revenue",V442&lt;&gt;"Net Revenue"),1,0)</f>
        <v>0</v>
      </c>
      <c r="Z442" s="36" t="str">
        <f aca="false">IF(Y442=1,IF(AND(LEN(V442)&gt;7,ISNUMBER(VALUE(LEFT(V442,6))),MID(V442,7,1)=" "),LEFT(V442,6),V442),"")</f>
        <v/>
      </c>
      <c r="AE442" s="36" t="str">
        <f aca="false">TRIM(AB442)</f>
        <v/>
      </c>
      <c r="AF442" s="36" t="str">
        <f aca="false">IF(AE442="Revenue","Revenue",IF(AE442="Cost of Goods Sold","COGS",IF(AE442="Expenditures","Expense",IF(AE442="Other Revenue","Other Revenue",IF(AE442="Other Expenditures","Other Expense",AF441)))))</f>
        <v/>
      </c>
      <c r="AG442" s="36" t="str">
        <f aca="false">IF(OR(AE442="Revenue",AE442="Cost of Goods Sold",AE442="Expenditures",AE442="Other Revenue",AE442="Other Expenditures"),AF442,IF(AND(LEN(AE442)&gt;2,MID(AE442,2,1)=" ",ISNUMBER(VALUE(LEFT(AE442,1)))),AE442,AG441))</f>
        <v/>
      </c>
      <c r="AH442" s="36" t="n">
        <f aca="false">IF(AND(AE442&lt;&gt;"",ISNUMBER(AC442),LEFT(AE442,9)&lt;&gt;"Total for",AE442&lt;&gt;"Gross Profit",AE442&lt;&gt;"Net Operating Revenue",AE442&lt;&gt;"Net Other Revenue",AE442&lt;&gt;"Net Revenue"),1,0)</f>
        <v>0</v>
      </c>
      <c r="AI442" s="36" t="str">
        <f aca="false">IF(AH442=1,IF(AND(LEN(AE442)&gt;7,ISNUMBER(VALUE(LEFT(AE442,6))),MID(AE442,7,1)=" "),LEFT(AE442,6),AE442),"")</f>
        <v/>
      </c>
      <c r="AN442" s="36" t="str">
        <f aca="false">TRIM(AK442)</f>
        <v/>
      </c>
      <c r="AO442" s="36" t="str">
        <f aca="false">IF(AN442="Revenue","Revenue",IF(AN442="Cost of Goods Sold","COGS",IF(AN442="Expenditures","Expense",IF(AN442="Other Revenue","Other Revenue",IF(AN442="Other Expenditures","Other Expense",AO441)))))</f>
        <v/>
      </c>
      <c r="AP442" s="36" t="str">
        <f aca="false">IF(OR(AN442="Revenue",AN442="Cost of Goods Sold",AN442="Expenditures",AN442="Other Revenue",AN442="Other Expenditures"),AO442,IF(AND(LEN(AN442)&gt;2,MID(AN442,2,1)=" ",ISNUMBER(VALUE(LEFT(AN442,1)))),AN442,AP441))</f>
        <v/>
      </c>
      <c r="AQ442" s="36" t="n">
        <f aca="false">IF(AND(AN442&lt;&gt;"",ISNUMBER(AL442),LEFT(AN442,9)&lt;&gt;"Total for",AN442&lt;&gt;"Gross Profit",AN442&lt;&gt;"Net Operating Revenue",AN442&lt;&gt;"Net Other Revenue",AN442&lt;&gt;"Net Revenue"),1,0)</f>
        <v>0</v>
      </c>
      <c r="AR442" s="36" t="str">
        <f aca="false">IF(AQ442=1,IF(AND(LEN(AN442)&gt;7,ISNUMBER(VALUE(LEFT(AN442,6))),MID(AN442,7,1)=" "),LEFT(AN442,6),AN442),"")</f>
        <v/>
      </c>
    </row>
    <row r="443" customFormat="false" ht="15" hidden="false" customHeight="false" outlineLevel="0" collapsed="false">
      <c r="D443" s="36" t="str">
        <f aca="false">TRIM(A443)</f>
        <v/>
      </c>
      <c r="E443" s="36" t="str">
        <f aca="false">IF(D443="Revenue","Revenue",IF(D443="Cost of Goods Sold","COGS",IF(D443="Expenditures","Expense",IF(D443="Other Revenue","Other Revenue",IF(D443="Other Expenditures","Other Expense",E442)))))</f>
        <v/>
      </c>
      <c r="F443" s="36" t="str">
        <f aca="false">IF(OR(D443="Revenue",D443="Cost of Goods Sold",D443="Expenditures",D443="Other Revenue",D443="Other Expenditures"),E443,IF(AND(LEN(D443)&gt;2,MID(D443,2,1)=" ",ISNUMBER(VALUE(LEFT(D443,1)))),D443,F442))</f>
        <v/>
      </c>
      <c r="G443" s="36" t="n">
        <f aca="false">IF(AND(D443&lt;&gt;"",ISNUMBER(B443),LEFT(D443,9)&lt;&gt;"Total for",D443&lt;&gt;"Gross Profit",D443&lt;&gt;"Net Operating Revenue",D443&lt;&gt;"Net Other Revenue",D443&lt;&gt;"Net Revenue"),1,0)</f>
        <v>0</v>
      </c>
      <c r="H443" s="36" t="str">
        <f aca="false">IF(G443=1,IF(AND(LEN(D443)&gt;7,ISNUMBER(VALUE(LEFT(D443,6))),MID(D443,7,1)=" "),LEFT(D443,6),D443),"")</f>
        <v/>
      </c>
      <c r="M443" s="36" t="str">
        <f aca="false">TRIM(J443)</f>
        <v/>
      </c>
      <c r="N443" s="36" t="str">
        <f aca="false">IF(M443="Revenue","Revenue",IF(M443="Cost of Goods Sold","COGS",IF(M443="Expenditures","Expense",IF(M443="Other Revenue","Other Revenue",IF(M443="Other Expenditures","Other Expense",N442)))))</f>
        <v/>
      </c>
      <c r="O443" s="36" t="str">
        <f aca="false">IF(OR(M443="Revenue",M443="Cost of Goods Sold",M443="Expenditures",M443="Other Revenue",M443="Other Expenditures"),N443,IF(AND(LEN(M443)&gt;2,MID(M443,2,1)=" ",ISNUMBER(VALUE(LEFT(M443,1)))),M443,O442))</f>
        <v/>
      </c>
      <c r="P443" s="36" t="n">
        <f aca="false">IF(AND(M443&lt;&gt;"",ISNUMBER(K443),LEFT(M443,9)&lt;&gt;"Total for",M443&lt;&gt;"Gross Profit",M443&lt;&gt;"Net Operating Revenue",M443&lt;&gt;"Net Other Revenue",M443&lt;&gt;"Net Revenue"),1,0)</f>
        <v>0</v>
      </c>
      <c r="Q443" s="36" t="str">
        <f aca="false">IF(P443=1,IF(AND(LEN(M443)&gt;7,ISNUMBER(VALUE(LEFT(M443,6))),MID(M443,7,1)=" "),LEFT(M443,6),M443),"")</f>
        <v/>
      </c>
      <c r="V443" s="36" t="str">
        <f aca="false">TRIM(S443)</f>
        <v/>
      </c>
      <c r="W443" s="36" t="str">
        <f aca="false">IF(V443="Revenue","Revenue",IF(V443="Cost of Goods Sold","COGS",IF(V443="Expenditures","Expense",IF(V443="Other Revenue","Other Revenue",IF(V443="Other Expenditures","Other Expense",W442)))))</f>
        <v/>
      </c>
      <c r="X443" s="36" t="str">
        <f aca="false">IF(OR(V443="Revenue",V443="Cost of Goods Sold",V443="Expenditures",V443="Other Revenue",V443="Other Expenditures"),W443,IF(AND(LEN(V443)&gt;2,MID(V443,2,1)=" ",ISNUMBER(VALUE(LEFT(V443,1)))),V443,X442))</f>
        <v/>
      </c>
      <c r="Y443" s="36" t="n">
        <f aca="false">IF(AND(V443&lt;&gt;"",ISNUMBER(T443),LEFT(V443,9)&lt;&gt;"Total for",V443&lt;&gt;"Gross Profit",V443&lt;&gt;"Net Operating Revenue",V443&lt;&gt;"Net Other Revenue",V443&lt;&gt;"Net Revenue"),1,0)</f>
        <v>0</v>
      </c>
      <c r="Z443" s="36" t="str">
        <f aca="false">IF(Y443=1,IF(AND(LEN(V443)&gt;7,ISNUMBER(VALUE(LEFT(V443,6))),MID(V443,7,1)=" "),LEFT(V443,6),V443),"")</f>
        <v/>
      </c>
      <c r="AE443" s="36" t="str">
        <f aca="false">TRIM(AB443)</f>
        <v/>
      </c>
      <c r="AF443" s="36" t="str">
        <f aca="false">IF(AE443="Revenue","Revenue",IF(AE443="Cost of Goods Sold","COGS",IF(AE443="Expenditures","Expense",IF(AE443="Other Revenue","Other Revenue",IF(AE443="Other Expenditures","Other Expense",AF442)))))</f>
        <v/>
      </c>
      <c r="AG443" s="36" t="str">
        <f aca="false">IF(OR(AE443="Revenue",AE443="Cost of Goods Sold",AE443="Expenditures",AE443="Other Revenue",AE443="Other Expenditures"),AF443,IF(AND(LEN(AE443)&gt;2,MID(AE443,2,1)=" ",ISNUMBER(VALUE(LEFT(AE443,1)))),AE443,AG442))</f>
        <v/>
      </c>
      <c r="AH443" s="36" t="n">
        <f aca="false">IF(AND(AE443&lt;&gt;"",ISNUMBER(AC443),LEFT(AE443,9)&lt;&gt;"Total for",AE443&lt;&gt;"Gross Profit",AE443&lt;&gt;"Net Operating Revenue",AE443&lt;&gt;"Net Other Revenue",AE443&lt;&gt;"Net Revenue"),1,0)</f>
        <v>0</v>
      </c>
      <c r="AI443" s="36" t="str">
        <f aca="false">IF(AH443=1,IF(AND(LEN(AE443)&gt;7,ISNUMBER(VALUE(LEFT(AE443,6))),MID(AE443,7,1)=" "),LEFT(AE443,6),AE443),"")</f>
        <v/>
      </c>
      <c r="AN443" s="36" t="str">
        <f aca="false">TRIM(AK443)</f>
        <v/>
      </c>
      <c r="AO443" s="36" t="str">
        <f aca="false">IF(AN443="Revenue","Revenue",IF(AN443="Cost of Goods Sold","COGS",IF(AN443="Expenditures","Expense",IF(AN443="Other Revenue","Other Revenue",IF(AN443="Other Expenditures","Other Expense",AO442)))))</f>
        <v/>
      </c>
      <c r="AP443" s="36" t="str">
        <f aca="false">IF(OR(AN443="Revenue",AN443="Cost of Goods Sold",AN443="Expenditures",AN443="Other Revenue",AN443="Other Expenditures"),AO443,IF(AND(LEN(AN443)&gt;2,MID(AN443,2,1)=" ",ISNUMBER(VALUE(LEFT(AN443,1)))),AN443,AP442))</f>
        <v/>
      </c>
      <c r="AQ443" s="36" t="n">
        <f aca="false">IF(AND(AN443&lt;&gt;"",ISNUMBER(AL443),LEFT(AN443,9)&lt;&gt;"Total for",AN443&lt;&gt;"Gross Profit",AN443&lt;&gt;"Net Operating Revenue",AN443&lt;&gt;"Net Other Revenue",AN443&lt;&gt;"Net Revenue"),1,0)</f>
        <v>0</v>
      </c>
      <c r="AR443" s="36" t="str">
        <f aca="false">IF(AQ443=1,IF(AND(LEN(AN443)&gt;7,ISNUMBER(VALUE(LEFT(AN443,6))),MID(AN443,7,1)=" "),LEFT(AN443,6),AN443),"")</f>
        <v/>
      </c>
    </row>
    <row r="444" customFormat="false" ht="15" hidden="false" customHeight="false" outlineLevel="0" collapsed="false">
      <c r="D444" s="36" t="str">
        <f aca="false">TRIM(A444)</f>
        <v/>
      </c>
      <c r="E444" s="36" t="str">
        <f aca="false">IF(D444="Revenue","Revenue",IF(D444="Cost of Goods Sold","COGS",IF(D444="Expenditures","Expense",IF(D444="Other Revenue","Other Revenue",IF(D444="Other Expenditures","Other Expense",E443)))))</f>
        <v/>
      </c>
      <c r="F444" s="36" t="str">
        <f aca="false">IF(OR(D444="Revenue",D444="Cost of Goods Sold",D444="Expenditures",D444="Other Revenue",D444="Other Expenditures"),E444,IF(AND(LEN(D444)&gt;2,MID(D444,2,1)=" ",ISNUMBER(VALUE(LEFT(D444,1)))),D444,F443))</f>
        <v/>
      </c>
      <c r="G444" s="36" t="n">
        <f aca="false">IF(AND(D444&lt;&gt;"",ISNUMBER(B444),LEFT(D444,9)&lt;&gt;"Total for",D444&lt;&gt;"Gross Profit",D444&lt;&gt;"Net Operating Revenue",D444&lt;&gt;"Net Other Revenue",D444&lt;&gt;"Net Revenue"),1,0)</f>
        <v>0</v>
      </c>
      <c r="H444" s="36" t="str">
        <f aca="false">IF(G444=1,IF(AND(LEN(D444)&gt;7,ISNUMBER(VALUE(LEFT(D444,6))),MID(D444,7,1)=" "),LEFT(D444,6),D444),"")</f>
        <v/>
      </c>
      <c r="M444" s="36" t="str">
        <f aca="false">TRIM(J444)</f>
        <v/>
      </c>
      <c r="N444" s="36" t="str">
        <f aca="false">IF(M444="Revenue","Revenue",IF(M444="Cost of Goods Sold","COGS",IF(M444="Expenditures","Expense",IF(M444="Other Revenue","Other Revenue",IF(M444="Other Expenditures","Other Expense",N443)))))</f>
        <v/>
      </c>
      <c r="O444" s="36" t="str">
        <f aca="false">IF(OR(M444="Revenue",M444="Cost of Goods Sold",M444="Expenditures",M444="Other Revenue",M444="Other Expenditures"),N444,IF(AND(LEN(M444)&gt;2,MID(M444,2,1)=" ",ISNUMBER(VALUE(LEFT(M444,1)))),M444,O443))</f>
        <v/>
      </c>
      <c r="P444" s="36" t="n">
        <f aca="false">IF(AND(M444&lt;&gt;"",ISNUMBER(K444),LEFT(M444,9)&lt;&gt;"Total for",M444&lt;&gt;"Gross Profit",M444&lt;&gt;"Net Operating Revenue",M444&lt;&gt;"Net Other Revenue",M444&lt;&gt;"Net Revenue"),1,0)</f>
        <v>0</v>
      </c>
      <c r="Q444" s="36" t="str">
        <f aca="false">IF(P444=1,IF(AND(LEN(M444)&gt;7,ISNUMBER(VALUE(LEFT(M444,6))),MID(M444,7,1)=" "),LEFT(M444,6),M444),"")</f>
        <v/>
      </c>
      <c r="V444" s="36" t="str">
        <f aca="false">TRIM(S444)</f>
        <v/>
      </c>
      <c r="W444" s="36" t="str">
        <f aca="false">IF(V444="Revenue","Revenue",IF(V444="Cost of Goods Sold","COGS",IF(V444="Expenditures","Expense",IF(V444="Other Revenue","Other Revenue",IF(V444="Other Expenditures","Other Expense",W443)))))</f>
        <v/>
      </c>
      <c r="X444" s="36" t="str">
        <f aca="false">IF(OR(V444="Revenue",V444="Cost of Goods Sold",V444="Expenditures",V444="Other Revenue",V444="Other Expenditures"),W444,IF(AND(LEN(V444)&gt;2,MID(V444,2,1)=" ",ISNUMBER(VALUE(LEFT(V444,1)))),V444,X443))</f>
        <v/>
      </c>
      <c r="Y444" s="36" t="n">
        <f aca="false">IF(AND(V444&lt;&gt;"",ISNUMBER(T444),LEFT(V444,9)&lt;&gt;"Total for",V444&lt;&gt;"Gross Profit",V444&lt;&gt;"Net Operating Revenue",V444&lt;&gt;"Net Other Revenue",V444&lt;&gt;"Net Revenue"),1,0)</f>
        <v>0</v>
      </c>
      <c r="Z444" s="36" t="str">
        <f aca="false">IF(Y444=1,IF(AND(LEN(V444)&gt;7,ISNUMBER(VALUE(LEFT(V444,6))),MID(V444,7,1)=" "),LEFT(V444,6),V444),"")</f>
        <v/>
      </c>
      <c r="AE444" s="36" t="str">
        <f aca="false">TRIM(AB444)</f>
        <v/>
      </c>
      <c r="AF444" s="36" t="str">
        <f aca="false">IF(AE444="Revenue","Revenue",IF(AE444="Cost of Goods Sold","COGS",IF(AE444="Expenditures","Expense",IF(AE444="Other Revenue","Other Revenue",IF(AE444="Other Expenditures","Other Expense",AF443)))))</f>
        <v/>
      </c>
      <c r="AG444" s="36" t="str">
        <f aca="false">IF(OR(AE444="Revenue",AE444="Cost of Goods Sold",AE444="Expenditures",AE444="Other Revenue",AE444="Other Expenditures"),AF444,IF(AND(LEN(AE444)&gt;2,MID(AE444,2,1)=" ",ISNUMBER(VALUE(LEFT(AE444,1)))),AE444,AG443))</f>
        <v/>
      </c>
      <c r="AH444" s="36" t="n">
        <f aca="false">IF(AND(AE444&lt;&gt;"",ISNUMBER(AC444),LEFT(AE444,9)&lt;&gt;"Total for",AE444&lt;&gt;"Gross Profit",AE444&lt;&gt;"Net Operating Revenue",AE444&lt;&gt;"Net Other Revenue",AE444&lt;&gt;"Net Revenue"),1,0)</f>
        <v>0</v>
      </c>
      <c r="AI444" s="36" t="str">
        <f aca="false">IF(AH444=1,IF(AND(LEN(AE444)&gt;7,ISNUMBER(VALUE(LEFT(AE444,6))),MID(AE444,7,1)=" "),LEFT(AE444,6),AE444),"")</f>
        <v/>
      </c>
      <c r="AN444" s="36" t="str">
        <f aca="false">TRIM(AK444)</f>
        <v/>
      </c>
      <c r="AO444" s="36" t="str">
        <f aca="false">IF(AN444="Revenue","Revenue",IF(AN444="Cost of Goods Sold","COGS",IF(AN444="Expenditures","Expense",IF(AN444="Other Revenue","Other Revenue",IF(AN444="Other Expenditures","Other Expense",AO443)))))</f>
        <v/>
      </c>
      <c r="AP444" s="36" t="str">
        <f aca="false">IF(OR(AN444="Revenue",AN444="Cost of Goods Sold",AN444="Expenditures",AN444="Other Revenue",AN444="Other Expenditures"),AO444,IF(AND(LEN(AN444)&gt;2,MID(AN444,2,1)=" ",ISNUMBER(VALUE(LEFT(AN444,1)))),AN444,AP443))</f>
        <v/>
      </c>
      <c r="AQ444" s="36" t="n">
        <f aca="false">IF(AND(AN444&lt;&gt;"",ISNUMBER(AL444),LEFT(AN444,9)&lt;&gt;"Total for",AN444&lt;&gt;"Gross Profit",AN444&lt;&gt;"Net Operating Revenue",AN444&lt;&gt;"Net Other Revenue",AN444&lt;&gt;"Net Revenue"),1,0)</f>
        <v>0</v>
      </c>
      <c r="AR444" s="36" t="str">
        <f aca="false">IF(AQ444=1,IF(AND(LEN(AN444)&gt;7,ISNUMBER(VALUE(LEFT(AN444,6))),MID(AN444,7,1)=" "),LEFT(AN444,6),AN444),"")</f>
        <v/>
      </c>
    </row>
    <row r="445" customFormat="false" ht="15" hidden="false" customHeight="false" outlineLevel="0" collapsed="false">
      <c r="D445" s="36" t="str">
        <f aca="false">TRIM(A445)</f>
        <v/>
      </c>
      <c r="E445" s="36" t="str">
        <f aca="false">IF(D445="Revenue","Revenue",IF(D445="Cost of Goods Sold","COGS",IF(D445="Expenditures","Expense",IF(D445="Other Revenue","Other Revenue",IF(D445="Other Expenditures","Other Expense",E444)))))</f>
        <v/>
      </c>
      <c r="F445" s="36" t="str">
        <f aca="false">IF(OR(D445="Revenue",D445="Cost of Goods Sold",D445="Expenditures",D445="Other Revenue",D445="Other Expenditures"),E445,IF(AND(LEN(D445)&gt;2,MID(D445,2,1)=" ",ISNUMBER(VALUE(LEFT(D445,1)))),D445,F444))</f>
        <v/>
      </c>
      <c r="G445" s="36" t="n">
        <f aca="false">IF(AND(D445&lt;&gt;"",ISNUMBER(B445),LEFT(D445,9)&lt;&gt;"Total for",D445&lt;&gt;"Gross Profit",D445&lt;&gt;"Net Operating Revenue",D445&lt;&gt;"Net Other Revenue",D445&lt;&gt;"Net Revenue"),1,0)</f>
        <v>0</v>
      </c>
      <c r="H445" s="36" t="str">
        <f aca="false">IF(G445=1,IF(AND(LEN(D445)&gt;7,ISNUMBER(VALUE(LEFT(D445,6))),MID(D445,7,1)=" "),LEFT(D445,6),D445),"")</f>
        <v/>
      </c>
      <c r="M445" s="36" t="str">
        <f aca="false">TRIM(J445)</f>
        <v/>
      </c>
      <c r="N445" s="36" t="str">
        <f aca="false">IF(M445="Revenue","Revenue",IF(M445="Cost of Goods Sold","COGS",IF(M445="Expenditures","Expense",IF(M445="Other Revenue","Other Revenue",IF(M445="Other Expenditures","Other Expense",N444)))))</f>
        <v/>
      </c>
      <c r="O445" s="36" t="str">
        <f aca="false">IF(OR(M445="Revenue",M445="Cost of Goods Sold",M445="Expenditures",M445="Other Revenue",M445="Other Expenditures"),N445,IF(AND(LEN(M445)&gt;2,MID(M445,2,1)=" ",ISNUMBER(VALUE(LEFT(M445,1)))),M445,O444))</f>
        <v/>
      </c>
      <c r="P445" s="36" t="n">
        <f aca="false">IF(AND(M445&lt;&gt;"",ISNUMBER(K445),LEFT(M445,9)&lt;&gt;"Total for",M445&lt;&gt;"Gross Profit",M445&lt;&gt;"Net Operating Revenue",M445&lt;&gt;"Net Other Revenue",M445&lt;&gt;"Net Revenue"),1,0)</f>
        <v>0</v>
      </c>
      <c r="Q445" s="36" t="str">
        <f aca="false">IF(P445=1,IF(AND(LEN(M445)&gt;7,ISNUMBER(VALUE(LEFT(M445,6))),MID(M445,7,1)=" "),LEFT(M445,6),M445),"")</f>
        <v/>
      </c>
      <c r="V445" s="36" t="str">
        <f aca="false">TRIM(S445)</f>
        <v/>
      </c>
      <c r="W445" s="36" t="str">
        <f aca="false">IF(V445="Revenue","Revenue",IF(V445="Cost of Goods Sold","COGS",IF(V445="Expenditures","Expense",IF(V445="Other Revenue","Other Revenue",IF(V445="Other Expenditures","Other Expense",W444)))))</f>
        <v/>
      </c>
      <c r="X445" s="36" t="str">
        <f aca="false">IF(OR(V445="Revenue",V445="Cost of Goods Sold",V445="Expenditures",V445="Other Revenue",V445="Other Expenditures"),W445,IF(AND(LEN(V445)&gt;2,MID(V445,2,1)=" ",ISNUMBER(VALUE(LEFT(V445,1)))),V445,X444))</f>
        <v/>
      </c>
      <c r="Y445" s="36" t="n">
        <f aca="false">IF(AND(V445&lt;&gt;"",ISNUMBER(T445),LEFT(V445,9)&lt;&gt;"Total for",V445&lt;&gt;"Gross Profit",V445&lt;&gt;"Net Operating Revenue",V445&lt;&gt;"Net Other Revenue",V445&lt;&gt;"Net Revenue"),1,0)</f>
        <v>0</v>
      </c>
      <c r="Z445" s="36" t="str">
        <f aca="false">IF(Y445=1,IF(AND(LEN(V445)&gt;7,ISNUMBER(VALUE(LEFT(V445,6))),MID(V445,7,1)=" "),LEFT(V445,6),V445),"")</f>
        <v/>
      </c>
      <c r="AE445" s="36" t="str">
        <f aca="false">TRIM(AB445)</f>
        <v/>
      </c>
      <c r="AF445" s="36" t="str">
        <f aca="false">IF(AE445="Revenue","Revenue",IF(AE445="Cost of Goods Sold","COGS",IF(AE445="Expenditures","Expense",IF(AE445="Other Revenue","Other Revenue",IF(AE445="Other Expenditures","Other Expense",AF444)))))</f>
        <v/>
      </c>
      <c r="AG445" s="36" t="str">
        <f aca="false">IF(OR(AE445="Revenue",AE445="Cost of Goods Sold",AE445="Expenditures",AE445="Other Revenue",AE445="Other Expenditures"),AF445,IF(AND(LEN(AE445)&gt;2,MID(AE445,2,1)=" ",ISNUMBER(VALUE(LEFT(AE445,1)))),AE445,AG444))</f>
        <v/>
      </c>
      <c r="AH445" s="36" t="n">
        <f aca="false">IF(AND(AE445&lt;&gt;"",ISNUMBER(AC445),LEFT(AE445,9)&lt;&gt;"Total for",AE445&lt;&gt;"Gross Profit",AE445&lt;&gt;"Net Operating Revenue",AE445&lt;&gt;"Net Other Revenue",AE445&lt;&gt;"Net Revenue"),1,0)</f>
        <v>0</v>
      </c>
      <c r="AI445" s="36" t="str">
        <f aca="false">IF(AH445=1,IF(AND(LEN(AE445)&gt;7,ISNUMBER(VALUE(LEFT(AE445,6))),MID(AE445,7,1)=" "),LEFT(AE445,6),AE445),"")</f>
        <v/>
      </c>
      <c r="AN445" s="36" t="str">
        <f aca="false">TRIM(AK445)</f>
        <v/>
      </c>
      <c r="AO445" s="36" t="str">
        <f aca="false">IF(AN445="Revenue","Revenue",IF(AN445="Cost of Goods Sold","COGS",IF(AN445="Expenditures","Expense",IF(AN445="Other Revenue","Other Revenue",IF(AN445="Other Expenditures","Other Expense",AO444)))))</f>
        <v/>
      </c>
      <c r="AP445" s="36" t="str">
        <f aca="false">IF(OR(AN445="Revenue",AN445="Cost of Goods Sold",AN445="Expenditures",AN445="Other Revenue",AN445="Other Expenditures"),AO445,IF(AND(LEN(AN445)&gt;2,MID(AN445,2,1)=" ",ISNUMBER(VALUE(LEFT(AN445,1)))),AN445,AP444))</f>
        <v/>
      </c>
      <c r="AQ445" s="36" t="n">
        <f aca="false">IF(AND(AN445&lt;&gt;"",ISNUMBER(AL445),LEFT(AN445,9)&lt;&gt;"Total for",AN445&lt;&gt;"Gross Profit",AN445&lt;&gt;"Net Operating Revenue",AN445&lt;&gt;"Net Other Revenue",AN445&lt;&gt;"Net Revenue"),1,0)</f>
        <v>0</v>
      </c>
      <c r="AR445" s="36" t="str">
        <f aca="false">IF(AQ445=1,IF(AND(LEN(AN445)&gt;7,ISNUMBER(VALUE(LEFT(AN445,6))),MID(AN445,7,1)=" "),LEFT(AN445,6),AN445),"")</f>
        <v/>
      </c>
    </row>
    <row r="446" customFormat="false" ht="15" hidden="false" customHeight="false" outlineLevel="0" collapsed="false">
      <c r="D446" s="36" t="str">
        <f aca="false">TRIM(A446)</f>
        <v/>
      </c>
      <c r="E446" s="36" t="str">
        <f aca="false">IF(D446="Revenue","Revenue",IF(D446="Cost of Goods Sold","COGS",IF(D446="Expenditures","Expense",IF(D446="Other Revenue","Other Revenue",IF(D446="Other Expenditures","Other Expense",E445)))))</f>
        <v/>
      </c>
      <c r="F446" s="36" t="str">
        <f aca="false">IF(OR(D446="Revenue",D446="Cost of Goods Sold",D446="Expenditures",D446="Other Revenue",D446="Other Expenditures"),E446,IF(AND(LEN(D446)&gt;2,MID(D446,2,1)=" ",ISNUMBER(VALUE(LEFT(D446,1)))),D446,F445))</f>
        <v/>
      </c>
      <c r="G446" s="36" t="n">
        <f aca="false">IF(AND(D446&lt;&gt;"",ISNUMBER(B446),LEFT(D446,9)&lt;&gt;"Total for",D446&lt;&gt;"Gross Profit",D446&lt;&gt;"Net Operating Revenue",D446&lt;&gt;"Net Other Revenue",D446&lt;&gt;"Net Revenue"),1,0)</f>
        <v>0</v>
      </c>
      <c r="H446" s="36" t="str">
        <f aca="false">IF(G446=1,IF(AND(LEN(D446)&gt;7,ISNUMBER(VALUE(LEFT(D446,6))),MID(D446,7,1)=" "),LEFT(D446,6),D446),"")</f>
        <v/>
      </c>
      <c r="M446" s="36" t="str">
        <f aca="false">TRIM(J446)</f>
        <v/>
      </c>
      <c r="N446" s="36" t="str">
        <f aca="false">IF(M446="Revenue","Revenue",IF(M446="Cost of Goods Sold","COGS",IF(M446="Expenditures","Expense",IF(M446="Other Revenue","Other Revenue",IF(M446="Other Expenditures","Other Expense",N445)))))</f>
        <v/>
      </c>
      <c r="O446" s="36" t="str">
        <f aca="false">IF(OR(M446="Revenue",M446="Cost of Goods Sold",M446="Expenditures",M446="Other Revenue",M446="Other Expenditures"),N446,IF(AND(LEN(M446)&gt;2,MID(M446,2,1)=" ",ISNUMBER(VALUE(LEFT(M446,1)))),M446,O445))</f>
        <v/>
      </c>
      <c r="P446" s="36" t="n">
        <f aca="false">IF(AND(M446&lt;&gt;"",ISNUMBER(K446),LEFT(M446,9)&lt;&gt;"Total for",M446&lt;&gt;"Gross Profit",M446&lt;&gt;"Net Operating Revenue",M446&lt;&gt;"Net Other Revenue",M446&lt;&gt;"Net Revenue"),1,0)</f>
        <v>0</v>
      </c>
      <c r="Q446" s="36" t="str">
        <f aca="false">IF(P446=1,IF(AND(LEN(M446)&gt;7,ISNUMBER(VALUE(LEFT(M446,6))),MID(M446,7,1)=" "),LEFT(M446,6),M446),"")</f>
        <v/>
      </c>
      <c r="V446" s="36" t="str">
        <f aca="false">TRIM(S446)</f>
        <v/>
      </c>
      <c r="W446" s="36" t="str">
        <f aca="false">IF(V446="Revenue","Revenue",IF(V446="Cost of Goods Sold","COGS",IF(V446="Expenditures","Expense",IF(V446="Other Revenue","Other Revenue",IF(V446="Other Expenditures","Other Expense",W445)))))</f>
        <v/>
      </c>
      <c r="X446" s="36" t="str">
        <f aca="false">IF(OR(V446="Revenue",V446="Cost of Goods Sold",V446="Expenditures",V446="Other Revenue",V446="Other Expenditures"),W446,IF(AND(LEN(V446)&gt;2,MID(V446,2,1)=" ",ISNUMBER(VALUE(LEFT(V446,1)))),V446,X445))</f>
        <v/>
      </c>
      <c r="Y446" s="36" t="n">
        <f aca="false">IF(AND(V446&lt;&gt;"",ISNUMBER(T446),LEFT(V446,9)&lt;&gt;"Total for",V446&lt;&gt;"Gross Profit",V446&lt;&gt;"Net Operating Revenue",V446&lt;&gt;"Net Other Revenue",V446&lt;&gt;"Net Revenue"),1,0)</f>
        <v>0</v>
      </c>
      <c r="Z446" s="36" t="str">
        <f aca="false">IF(Y446=1,IF(AND(LEN(V446)&gt;7,ISNUMBER(VALUE(LEFT(V446,6))),MID(V446,7,1)=" "),LEFT(V446,6),V446),"")</f>
        <v/>
      </c>
      <c r="AE446" s="36" t="str">
        <f aca="false">TRIM(AB446)</f>
        <v/>
      </c>
      <c r="AF446" s="36" t="str">
        <f aca="false">IF(AE446="Revenue","Revenue",IF(AE446="Cost of Goods Sold","COGS",IF(AE446="Expenditures","Expense",IF(AE446="Other Revenue","Other Revenue",IF(AE446="Other Expenditures","Other Expense",AF445)))))</f>
        <v/>
      </c>
      <c r="AG446" s="36" t="str">
        <f aca="false">IF(OR(AE446="Revenue",AE446="Cost of Goods Sold",AE446="Expenditures",AE446="Other Revenue",AE446="Other Expenditures"),AF446,IF(AND(LEN(AE446)&gt;2,MID(AE446,2,1)=" ",ISNUMBER(VALUE(LEFT(AE446,1)))),AE446,AG445))</f>
        <v/>
      </c>
      <c r="AH446" s="36" t="n">
        <f aca="false">IF(AND(AE446&lt;&gt;"",ISNUMBER(AC446),LEFT(AE446,9)&lt;&gt;"Total for",AE446&lt;&gt;"Gross Profit",AE446&lt;&gt;"Net Operating Revenue",AE446&lt;&gt;"Net Other Revenue",AE446&lt;&gt;"Net Revenue"),1,0)</f>
        <v>0</v>
      </c>
      <c r="AI446" s="36" t="str">
        <f aca="false">IF(AH446=1,IF(AND(LEN(AE446)&gt;7,ISNUMBER(VALUE(LEFT(AE446,6))),MID(AE446,7,1)=" "),LEFT(AE446,6),AE446),"")</f>
        <v/>
      </c>
      <c r="AN446" s="36" t="str">
        <f aca="false">TRIM(AK446)</f>
        <v/>
      </c>
      <c r="AO446" s="36" t="str">
        <f aca="false">IF(AN446="Revenue","Revenue",IF(AN446="Cost of Goods Sold","COGS",IF(AN446="Expenditures","Expense",IF(AN446="Other Revenue","Other Revenue",IF(AN446="Other Expenditures","Other Expense",AO445)))))</f>
        <v/>
      </c>
      <c r="AP446" s="36" t="str">
        <f aca="false">IF(OR(AN446="Revenue",AN446="Cost of Goods Sold",AN446="Expenditures",AN446="Other Revenue",AN446="Other Expenditures"),AO446,IF(AND(LEN(AN446)&gt;2,MID(AN446,2,1)=" ",ISNUMBER(VALUE(LEFT(AN446,1)))),AN446,AP445))</f>
        <v/>
      </c>
      <c r="AQ446" s="36" t="n">
        <f aca="false">IF(AND(AN446&lt;&gt;"",ISNUMBER(AL446),LEFT(AN446,9)&lt;&gt;"Total for",AN446&lt;&gt;"Gross Profit",AN446&lt;&gt;"Net Operating Revenue",AN446&lt;&gt;"Net Other Revenue",AN446&lt;&gt;"Net Revenue"),1,0)</f>
        <v>0</v>
      </c>
      <c r="AR446" s="36" t="str">
        <f aca="false">IF(AQ446=1,IF(AND(LEN(AN446)&gt;7,ISNUMBER(VALUE(LEFT(AN446,6))),MID(AN446,7,1)=" "),LEFT(AN446,6),AN446),"")</f>
        <v/>
      </c>
    </row>
    <row r="447" customFormat="false" ht="15" hidden="false" customHeight="false" outlineLevel="0" collapsed="false">
      <c r="D447" s="36" t="str">
        <f aca="false">TRIM(A447)</f>
        <v/>
      </c>
      <c r="E447" s="36" t="str">
        <f aca="false">IF(D447="Revenue","Revenue",IF(D447="Cost of Goods Sold","COGS",IF(D447="Expenditures","Expense",IF(D447="Other Revenue","Other Revenue",IF(D447="Other Expenditures","Other Expense",E446)))))</f>
        <v/>
      </c>
      <c r="F447" s="36" t="str">
        <f aca="false">IF(OR(D447="Revenue",D447="Cost of Goods Sold",D447="Expenditures",D447="Other Revenue",D447="Other Expenditures"),E447,IF(AND(LEN(D447)&gt;2,MID(D447,2,1)=" ",ISNUMBER(VALUE(LEFT(D447,1)))),D447,F446))</f>
        <v/>
      </c>
      <c r="G447" s="36" t="n">
        <f aca="false">IF(AND(D447&lt;&gt;"",ISNUMBER(B447),LEFT(D447,9)&lt;&gt;"Total for",D447&lt;&gt;"Gross Profit",D447&lt;&gt;"Net Operating Revenue",D447&lt;&gt;"Net Other Revenue",D447&lt;&gt;"Net Revenue"),1,0)</f>
        <v>0</v>
      </c>
      <c r="H447" s="36" t="str">
        <f aca="false">IF(G447=1,IF(AND(LEN(D447)&gt;7,ISNUMBER(VALUE(LEFT(D447,6))),MID(D447,7,1)=" "),LEFT(D447,6),D447),"")</f>
        <v/>
      </c>
      <c r="M447" s="36" t="str">
        <f aca="false">TRIM(J447)</f>
        <v/>
      </c>
      <c r="N447" s="36" t="str">
        <f aca="false">IF(M447="Revenue","Revenue",IF(M447="Cost of Goods Sold","COGS",IF(M447="Expenditures","Expense",IF(M447="Other Revenue","Other Revenue",IF(M447="Other Expenditures","Other Expense",N446)))))</f>
        <v/>
      </c>
      <c r="O447" s="36" t="str">
        <f aca="false">IF(OR(M447="Revenue",M447="Cost of Goods Sold",M447="Expenditures",M447="Other Revenue",M447="Other Expenditures"),N447,IF(AND(LEN(M447)&gt;2,MID(M447,2,1)=" ",ISNUMBER(VALUE(LEFT(M447,1)))),M447,O446))</f>
        <v/>
      </c>
      <c r="P447" s="36" t="n">
        <f aca="false">IF(AND(M447&lt;&gt;"",ISNUMBER(K447),LEFT(M447,9)&lt;&gt;"Total for",M447&lt;&gt;"Gross Profit",M447&lt;&gt;"Net Operating Revenue",M447&lt;&gt;"Net Other Revenue",M447&lt;&gt;"Net Revenue"),1,0)</f>
        <v>0</v>
      </c>
      <c r="Q447" s="36" t="str">
        <f aca="false">IF(P447=1,IF(AND(LEN(M447)&gt;7,ISNUMBER(VALUE(LEFT(M447,6))),MID(M447,7,1)=" "),LEFT(M447,6),M447),"")</f>
        <v/>
      </c>
      <c r="V447" s="36" t="str">
        <f aca="false">TRIM(S447)</f>
        <v/>
      </c>
      <c r="W447" s="36" t="str">
        <f aca="false">IF(V447="Revenue","Revenue",IF(V447="Cost of Goods Sold","COGS",IF(V447="Expenditures","Expense",IF(V447="Other Revenue","Other Revenue",IF(V447="Other Expenditures","Other Expense",W446)))))</f>
        <v/>
      </c>
      <c r="X447" s="36" t="str">
        <f aca="false">IF(OR(V447="Revenue",V447="Cost of Goods Sold",V447="Expenditures",V447="Other Revenue",V447="Other Expenditures"),W447,IF(AND(LEN(V447)&gt;2,MID(V447,2,1)=" ",ISNUMBER(VALUE(LEFT(V447,1)))),V447,X446))</f>
        <v/>
      </c>
      <c r="Y447" s="36" t="n">
        <f aca="false">IF(AND(V447&lt;&gt;"",ISNUMBER(T447),LEFT(V447,9)&lt;&gt;"Total for",V447&lt;&gt;"Gross Profit",V447&lt;&gt;"Net Operating Revenue",V447&lt;&gt;"Net Other Revenue",V447&lt;&gt;"Net Revenue"),1,0)</f>
        <v>0</v>
      </c>
      <c r="Z447" s="36" t="str">
        <f aca="false">IF(Y447=1,IF(AND(LEN(V447)&gt;7,ISNUMBER(VALUE(LEFT(V447,6))),MID(V447,7,1)=" "),LEFT(V447,6),V447),"")</f>
        <v/>
      </c>
      <c r="AE447" s="36" t="str">
        <f aca="false">TRIM(AB447)</f>
        <v/>
      </c>
      <c r="AF447" s="36" t="str">
        <f aca="false">IF(AE447="Revenue","Revenue",IF(AE447="Cost of Goods Sold","COGS",IF(AE447="Expenditures","Expense",IF(AE447="Other Revenue","Other Revenue",IF(AE447="Other Expenditures","Other Expense",AF446)))))</f>
        <v/>
      </c>
      <c r="AG447" s="36" t="str">
        <f aca="false">IF(OR(AE447="Revenue",AE447="Cost of Goods Sold",AE447="Expenditures",AE447="Other Revenue",AE447="Other Expenditures"),AF447,IF(AND(LEN(AE447)&gt;2,MID(AE447,2,1)=" ",ISNUMBER(VALUE(LEFT(AE447,1)))),AE447,AG446))</f>
        <v/>
      </c>
      <c r="AH447" s="36" t="n">
        <f aca="false">IF(AND(AE447&lt;&gt;"",ISNUMBER(AC447),LEFT(AE447,9)&lt;&gt;"Total for",AE447&lt;&gt;"Gross Profit",AE447&lt;&gt;"Net Operating Revenue",AE447&lt;&gt;"Net Other Revenue",AE447&lt;&gt;"Net Revenue"),1,0)</f>
        <v>0</v>
      </c>
      <c r="AI447" s="36" t="str">
        <f aca="false">IF(AH447=1,IF(AND(LEN(AE447)&gt;7,ISNUMBER(VALUE(LEFT(AE447,6))),MID(AE447,7,1)=" "),LEFT(AE447,6),AE447),"")</f>
        <v/>
      </c>
      <c r="AN447" s="36" t="str">
        <f aca="false">TRIM(AK447)</f>
        <v/>
      </c>
      <c r="AO447" s="36" t="str">
        <f aca="false">IF(AN447="Revenue","Revenue",IF(AN447="Cost of Goods Sold","COGS",IF(AN447="Expenditures","Expense",IF(AN447="Other Revenue","Other Revenue",IF(AN447="Other Expenditures","Other Expense",AO446)))))</f>
        <v/>
      </c>
      <c r="AP447" s="36" t="str">
        <f aca="false">IF(OR(AN447="Revenue",AN447="Cost of Goods Sold",AN447="Expenditures",AN447="Other Revenue",AN447="Other Expenditures"),AO447,IF(AND(LEN(AN447)&gt;2,MID(AN447,2,1)=" ",ISNUMBER(VALUE(LEFT(AN447,1)))),AN447,AP446))</f>
        <v/>
      </c>
      <c r="AQ447" s="36" t="n">
        <f aca="false">IF(AND(AN447&lt;&gt;"",ISNUMBER(AL447),LEFT(AN447,9)&lt;&gt;"Total for",AN447&lt;&gt;"Gross Profit",AN447&lt;&gt;"Net Operating Revenue",AN447&lt;&gt;"Net Other Revenue",AN447&lt;&gt;"Net Revenue"),1,0)</f>
        <v>0</v>
      </c>
      <c r="AR447" s="36" t="str">
        <f aca="false">IF(AQ447=1,IF(AND(LEN(AN447)&gt;7,ISNUMBER(VALUE(LEFT(AN447,6))),MID(AN447,7,1)=" "),LEFT(AN447,6),AN447),"")</f>
        <v/>
      </c>
    </row>
    <row r="448" customFormat="false" ht="15" hidden="false" customHeight="false" outlineLevel="0" collapsed="false">
      <c r="D448" s="36" t="str">
        <f aca="false">TRIM(A448)</f>
        <v/>
      </c>
      <c r="E448" s="36" t="str">
        <f aca="false">IF(D448="Revenue","Revenue",IF(D448="Cost of Goods Sold","COGS",IF(D448="Expenditures","Expense",IF(D448="Other Revenue","Other Revenue",IF(D448="Other Expenditures","Other Expense",E447)))))</f>
        <v/>
      </c>
      <c r="F448" s="36" t="str">
        <f aca="false">IF(OR(D448="Revenue",D448="Cost of Goods Sold",D448="Expenditures",D448="Other Revenue",D448="Other Expenditures"),E448,IF(AND(LEN(D448)&gt;2,MID(D448,2,1)=" ",ISNUMBER(VALUE(LEFT(D448,1)))),D448,F447))</f>
        <v/>
      </c>
      <c r="G448" s="36" t="n">
        <f aca="false">IF(AND(D448&lt;&gt;"",ISNUMBER(B448),LEFT(D448,9)&lt;&gt;"Total for",D448&lt;&gt;"Gross Profit",D448&lt;&gt;"Net Operating Revenue",D448&lt;&gt;"Net Other Revenue",D448&lt;&gt;"Net Revenue"),1,0)</f>
        <v>0</v>
      </c>
      <c r="H448" s="36" t="str">
        <f aca="false">IF(G448=1,IF(AND(LEN(D448)&gt;7,ISNUMBER(VALUE(LEFT(D448,6))),MID(D448,7,1)=" "),LEFT(D448,6),D448),"")</f>
        <v/>
      </c>
      <c r="M448" s="36" t="str">
        <f aca="false">TRIM(J448)</f>
        <v/>
      </c>
      <c r="N448" s="36" t="str">
        <f aca="false">IF(M448="Revenue","Revenue",IF(M448="Cost of Goods Sold","COGS",IF(M448="Expenditures","Expense",IF(M448="Other Revenue","Other Revenue",IF(M448="Other Expenditures","Other Expense",N447)))))</f>
        <v/>
      </c>
      <c r="O448" s="36" t="str">
        <f aca="false">IF(OR(M448="Revenue",M448="Cost of Goods Sold",M448="Expenditures",M448="Other Revenue",M448="Other Expenditures"),N448,IF(AND(LEN(M448)&gt;2,MID(M448,2,1)=" ",ISNUMBER(VALUE(LEFT(M448,1)))),M448,O447))</f>
        <v/>
      </c>
      <c r="P448" s="36" t="n">
        <f aca="false">IF(AND(M448&lt;&gt;"",ISNUMBER(K448),LEFT(M448,9)&lt;&gt;"Total for",M448&lt;&gt;"Gross Profit",M448&lt;&gt;"Net Operating Revenue",M448&lt;&gt;"Net Other Revenue",M448&lt;&gt;"Net Revenue"),1,0)</f>
        <v>0</v>
      </c>
      <c r="Q448" s="36" t="str">
        <f aca="false">IF(P448=1,IF(AND(LEN(M448)&gt;7,ISNUMBER(VALUE(LEFT(M448,6))),MID(M448,7,1)=" "),LEFT(M448,6),M448),"")</f>
        <v/>
      </c>
      <c r="V448" s="36" t="str">
        <f aca="false">TRIM(S448)</f>
        <v/>
      </c>
      <c r="W448" s="36" t="str">
        <f aca="false">IF(V448="Revenue","Revenue",IF(V448="Cost of Goods Sold","COGS",IF(V448="Expenditures","Expense",IF(V448="Other Revenue","Other Revenue",IF(V448="Other Expenditures","Other Expense",W447)))))</f>
        <v/>
      </c>
      <c r="X448" s="36" t="str">
        <f aca="false">IF(OR(V448="Revenue",V448="Cost of Goods Sold",V448="Expenditures",V448="Other Revenue",V448="Other Expenditures"),W448,IF(AND(LEN(V448)&gt;2,MID(V448,2,1)=" ",ISNUMBER(VALUE(LEFT(V448,1)))),V448,X447))</f>
        <v/>
      </c>
      <c r="Y448" s="36" t="n">
        <f aca="false">IF(AND(V448&lt;&gt;"",ISNUMBER(T448),LEFT(V448,9)&lt;&gt;"Total for",V448&lt;&gt;"Gross Profit",V448&lt;&gt;"Net Operating Revenue",V448&lt;&gt;"Net Other Revenue",V448&lt;&gt;"Net Revenue"),1,0)</f>
        <v>0</v>
      </c>
      <c r="Z448" s="36" t="str">
        <f aca="false">IF(Y448=1,IF(AND(LEN(V448)&gt;7,ISNUMBER(VALUE(LEFT(V448,6))),MID(V448,7,1)=" "),LEFT(V448,6),V448),"")</f>
        <v/>
      </c>
      <c r="AE448" s="36" t="str">
        <f aca="false">TRIM(AB448)</f>
        <v/>
      </c>
      <c r="AF448" s="36" t="str">
        <f aca="false">IF(AE448="Revenue","Revenue",IF(AE448="Cost of Goods Sold","COGS",IF(AE448="Expenditures","Expense",IF(AE448="Other Revenue","Other Revenue",IF(AE448="Other Expenditures","Other Expense",AF447)))))</f>
        <v/>
      </c>
      <c r="AG448" s="36" t="str">
        <f aca="false">IF(OR(AE448="Revenue",AE448="Cost of Goods Sold",AE448="Expenditures",AE448="Other Revenue",AE448="Other Expenditures"),AF448,IF(AND(LEN(AE448)&gt;2,MID(AE448,2,1)=" ",ISNUMBER(VALUE(LEFT(AE448,1)))),AE448,AG447))</f>
        <v/>
      </c>
      <c r="AH448" s="36" t="n">
        <f aca="false">IF(AND(AE448&lt;&gt;"",ISNUMBER(AC448),LEFT(AE448,9)&lt;&gt;"Total for",AE448&lt;&gt;"Gross Profit",AE448&lt;&gt;"Net Operating Revenue",AE448&lt;&gt;"Net Other Revenue",AE448&lt;&gt;"Net Revenue"),1,0)</f>
        <v>0</v>
      </c>
      <c r="AI448" s="36" t="str">
        <f aca="false">IF(AH448=1,IF(AND(LEN(AE448)&gt;7,ISNUMBER(VALUE(LEFT(AE448,6))),MID(AE448,7,1)=" "),LEFT(AE448,6),AE448),"")</f>
        <v/>
      </c>
      <c r="AN448" s="36" t="str">
        <f aca="false">TRIM(AK448)</f>
        <v/>
      </c>
      <c r="AO448" s="36" t="str">
        <f aca="false">IF(AN448="Revenue","Revenue",IF(AN448="Cost of Goods Sold","COGS",IF(AN448="Expenditures","Expense",IF(AN448="Other Revenue","Other Revenue",IF(AN448="Other Expenditures","Other Expense",AO447)))))</f>
        <v/>
      </c>
      <c r="AP448" s="36" t="str">
        <f aca="false">IF(OR(AN448="Revenue",AN448="Cost of Goods Sold",AN448="Expenditures",AN448="Other Revenue",AN448="Other Expenditures"),AO448,IF(AND(LEN(AN448)&gt;2,MID(AN448,2,1)=" ",ISNUMBER(VALUE(LEFT(AN448,1)))),AN448,AP447))</f>
        <v/>
      </c>
      <c r="AQ448" s="36" t="n">
        <f aca="false">IF(AND(AN448&lt;&gt;"",ISNUMBER(AL448),LEFT(AN448,9)&lt;&gt;"Total for",AN448&lt;&gt;"Gross Profit",AN448&lt;&gt;"Net Operating Revenue",AN448&lt;&gt;"Net Other Revenue",AN448&lt;&gt;"Net Revenue"),1,0)</f>
        <v>0</v>
      </c>
      <c r="AR448" s="36" t="str">
        <f aca="false">IF(AQ448=1,IF(AND(LEN(AN448)&gt;7,ISNUMBER(VALUE(LEFT(AN448,6))),MID(AN448,7,1)=" "),LEFT(AN448,6),AN448),"")</f>
        <v/>
      </c>
    </row>
    <row r="449" customFormat="false" ht="15" hidden="false" customHeight="false" outlineLevel="0" collapsed="false">
      <c r="D449" s="36" t="str">
        <f aca="false">TRIM(A449)</f>
        <v/>
      </c>
      <c r="E449" s="36" t="str">
        <f aca="false">IF(D449="Revenue","Revenue",IF(D449="Cost of Goods Sold","COGS",IF(D449="Expenditures","Expense",IF(D449="Other Revenue","Other Revenue",IF(D449="Other Expenditures","Other Expense",E448)))))</f>
        <v/>
      </c>
      <c r="F449" s="36" t="str">
        <f aca="false">IF(OR(D449="Revenue",D449="Cost of Goods Sold",D449="Expenditures",D449="Other Revenue",D449="Other Expenditures"),E449,IF(AND(LEN(D449)&gt;2,MID(D449,2,1)=" ",ISNUMBER(VALUE(LEFT(D449,1)))),D449,F448))</f>
        <v/>
      </c>
      <c r="G449" s="36" t="n">
        <f aca="false">IF(AND(D449&lt;&gt;"",ISNUMBER(B449),LEFT(D449,9)&lt;&gt;"Total for",D449&lt;&gt;"Gross Profit",D449&lt;&gt;"Net Operating Revenue",D449&lt;&gt;"Net Other Revenue",D449&lt;&gt;"Net Revenue"),1,0)</f>
        <v>0</v>
      </c>
      <c r="H449" s="36" t="str">
        <f aca="false">IF(G449=1,IF(AND(LEN(D449)&gt;7,ISNUMBER(VALUE(LEFT(D449,6))),MID(D449,7,1)=" "),LEFT(D449,6),D449),"")</f>
        <v/>
      </c>
      <c r="M449" s="36" t="str">
        <f aca="false">TRIM(J449)</f>
        <v/>
      </c>
      <c r="N449" s="36" t="str">
        <f aca="false">IF(M449="Revenue","Revenue",IF(M449="Cost of Goods Sold","COGS",IF(M449="Expenditures","Expense",IF(M449="Other Revenue","Other Revenue",IF(M449="Other Expenditures","Other Expense",N448)))))</f>
        <v/>
      </c>
      <c r="O449" s="36" t="str">
        <f aca="false">IF(OR(M449="Revenue",M449="Cost of Goods Sold",M449="Expenditures",M449="Other Revenue",M449="Other Expenditures"),N449,IF(AND(LEN(M449)&gt;2,MID(M449,2,1)=" ",ISNUMBER(VALUE(LEFT(M449,1)))),M449,O448))</f>
        <v/>
      </c>
      <c r="P449" s="36" t="n">
        <f aca="false">IF(AND(M449&lt;&gt;"",ISNUMBER(K449),LEFT(M449,9)&lt;&gt;"Total for",M449&lt;&gt;"Gross Profit",M449&lt;&gt;"Net Operating Revenue",M449&lt;&gt;"Net Other Revenue",M449&lt;&gt;"Net Revenue"),1,0)</f>
        <v>0</v>
      </c>
      <c r="Q449" s="36" t="str">
        <f aca="false">IF(P449=1,IF(AND(LEN(M449)&gt;7,ISNUMBER(VALUE(LEFT(M449,6))),MID(M449,7,1)=" "),LEFT(M449,6),M449),"")</f>
        <v/>
      </c>
      <c r="V449" s="36" t="str">
        <f aca="false">TRIM(S449)</f>
        <v/>
      </c>
      <c r="W449" s="36" t="str">
        <f aca="false">IF(V449="Revenue","Revenue",IF(V449="Cost of Goods Sold","COGS",IF(V449="Expenditures","Expense",IF(V449="Other Revenue","Other Revenue",IF(V449="Other Expenditures","Other Expense",W448)))))</f>
        <v/>
      </c>
      <c r="X449" s="36" t="str">
        <f aca="false">IF(OR(V449="Revenue",V449="Cost of Goods Sold",V449="Expenditures",V449="Other Revenue",V449="Other Expenditures"),W449,IF(AND(LEN(V449)&gt;2,MID(V449,2,1)=" ",ISNUMBER(VALUE(LEFT(V449,1)))),V449,X448))</f>
        <v/>
      </c>
      <c r="Y449" s="36" t="n">
        <f aca="false">IF(AND(V449&lt;&gt;"",ISNUMBER(T449),LEFT(V449,9)&lt;&gt;"Total for",V449&lt;&gt;"Gross Profit",V449&lt;&gt;"Net Operating Revenue",V449&lt;&gt;"Net Other Revenue",V449&lt;&gt;"Net Revenue"),1,0)</f>
        <v>0</v>
      </c>
      <c r="Z449" s="36" t="str">
        <f aca="false">IF(Y449=1,IF(AND(LEN(V449)&gt;7,ISNUMBER(VALUE(LEFT(V449,6))),MID(V449,7,1)=" "),LEFT(V449,6),V449),"")</f>
        <v/>
      </c>
      <c r="AE449" s="36" t="str">
        <f aca="false">TRIM(AB449)</f>
        <v/>
      </c>
      <c r="AF449" s="36" t="str">
        <f aca="false">IF(AE449="Revenue","Revenue",IF(AE449="Cost of Goods Sold","COGS",IF(AE449="Expenditures","Expense",IF(AE449="Other Revenue","Other Revenue",IF(AE449="Other Expenditures","Other Expense",AF448)))))</f>
        <v/>
      </c>
      <c r="AG449" s="36" t="str">
        <f aca="false">IF(OR(AE449="Revenue",AE449="Cost of Goods Sold",AE449="Expenditures",AE449="Other Revenue",AE449="Other Expenditures"),AF449,IF(AND(LEN(AE449)&gt;2,MID(AE449,2,1)=" ",ISNUMBER(VALUE(LEFT(AE449,1)))),AE449,AG448))</f>
        <v/>
      </c>
      <c r="AH449" s="36" t="n">
        <f aca="false">IF(AND(AE449&lt;&gt;"",ISNUMBER(AC449),LEFT(AE449,9)&lt;&gt;"Total for",AE449&lt;&gt;"Gross Profit",AE449&lt;&gt;"Net Operating Revenue",AE449&lt;&gt;"Net Other Revenue",AE449&lt;&gt;"Net Revenue"),1,0)</f>
        <v>0</v>
      </c>
      <c r="AI449" s="36" t="str">
        <f aca="false">IF(AH449=1,IF(AND(LEN(AE449)&gt;7,ISNUMBER(VALUE(LEFT(AE449,6))),MID(AE449,7,1)=" "),LEFT(AE449,6),AE449),"")</f>
        <v/>
      </c>
      <c r="AN449" s="36" t="str">
        <f aca="false">TRIM(AK449)</f>
        <v/>
      </c>
      <c r="AO449" s="36" t="str">
        <f aca="false">IF(AN449="Revenue","Revenue",IF(AN449="Cost of Goods Sold","COGS",IF(AN449="Expenditures","Expense",IF(AN449="Other Revenue","Other Revenue",IF(AN449="Other Expenditures","Other Expense",AO448)))))</f>
        <v/>
      </c>
      <c r="AP449" s="36" t="str">
        <f aca="false">IF(OR(AN449="Revenue",AN449="Cost of Goods Sold",AN449="Expenditures",AN449="Other Revenue",AN449="Other Expenditures"),AO449,IF(AND(LEN(AN449)&gt;2,MID(AN449,2,1)=" ",ISNUMBER(VALUE(LEFT(AN449,1)))),AN449,AP448))</f>
        <v/>
      </c>
      <c r="AQ449" s="36" t="n">
        <f aca="false">IF(AND(AN449&lt;&gt;"",ISNUMBER(AL449),LEFT(AN449,9)&lt;&gt;"Total for",AN449&lt;&gt;"Gross Profit",AN449&lt;&gt;"Net Operating Revenue",AN449&lt;&gt;"Net Other Revenue",AN449&lt;&gt;"Net Revenue"),1,0)</f>
        <v>0</v>
      </c>
      <c r="AR449" s="36" t="str">
        <f aca="false">IF(AQ449=1,IF(AND(LEN(AN449)&gt;7,ISNUMBER(VALUE(LEFT(AN449,6))),MID(AN449,7,1)=" "),LEFT(AN449,6),AN449),"")</f>
        <v/>
      </c>
    </row>
    <row r="450" customFormat="false" ht="15" hidden="false" customHeight="false" outlineLevel="0" collapsed="false">
      <c r="D450" s="36" t="str">
        <f aca="false">TRIM(A450)</f>
        <v/>
      </c>
      <c r="E450" s="36" t="str">
        <f aca="false">IF(D450="Revenue","Revenue",IF(D450="Cost of Goods Sold","COGS",IF(D450="Expenditures","Expense",IF(D450="Other Revenue","Other Revenue",IF(D450="Other Expenditures","Other Expense",E449)))))</f>
        <v/>
      </c>
      <c r="F450" s="36" t="str">
        <f aca="false">IF(OR(D450="Revenue",D450="Cost of Goods Sold",D450="Expenditures",D450="Other Revenue",D450="Other Expenditures"),E450,IF(AND(LEN(D450)&gt;2,MID(D450,2,1)=" ",ISNUMBER(VALUE(LEFT(D450,1)))),D450,F449))</f>
        <v/>
      </c>
      <c r="G450" s="36" t="n">
        <f aca="false">IF(AND(D450&lt;&gt;"",ISNUMBER(B450),LEFT(D450,9)&lt;&gt;"Total for",D450&lt;&gt;"Gross Profit",D450&lt;&gt;"Net Operating Revenue",D450&lt;&gt;"Net Other Revenue",D450&lt;&gt;"Net Revenue"),1,0)</f>
        <v>0</v>
      </c>
      <c r="H450" s="36" t="str">
        <f aca="false">IF(G450=1,IF(AND(LEN(D450)&gt;7,ISNUMBER(VALUE(LEFT(D450,6))),MID(D450,7,1)=" "),LEFT(D450,6),D450),"")</f>
        <v/>
      </c>
      <c r="M450" s="36" t="str">
        <f aca="false">TRIM(J450)</f>
        <v/>
      </c>
      <c r="N450" s="36" t="str">
        <f aca="false">IF(M450="Revenue","Revenue",IF(M450="Cost of Goods Sold","COGS",IF(M450="Expenditures","Expense",IF(M450="Other Revenue","Other Revenue",IF(M450="Other Expenditures","Other Expense",N449)))))</f>
        <v/>
      </c>
      <c r="O450" s="36" t="str">
        <f aca="false">IF(OR(M450="Revenue",M450="Cost of Goods Sold",M450="Expenditures",M450="Other Revenue",M450="Other Expenditures"),N450,IF(AND(LEN(M450)&gt;2,MID(M450,2,1)=" ",ISNUMBER(VALUE(LEFT(M450,1)))),M450,O449))</f>
        <v/>
      </c>
      <c r="P450" s="36" t="n">
        <f aca="false">IF(AND(M450&lt;&gt;"",ISNUMBER(K450),LEFT(M450,9)&lt;&gt;"Total for",M450&lt;&gt;"Gross Profit",M450&lt;&gt;"Net Operating Revenue",M450&lt;&gt;"Net Other Revenue",M450&lt;&gt;"Net Revenue"),1,0)</f>
        <v>0</v>
      </c>
      <c r="Q450" s="36" t="str">
        <f aca="false">IF(P450=1,IF(AND(LEN(M450)&gt;7,ISNUMBER(VALUE(LEFT(M450,6))),MID(M450,7,1)=" "),LEFT(M450,6),M450),"")</f>
        <v/>
      </c>
      <c r="V450" s="36" t="str">
        <f aca="false">TRIM(S450)</f>
        <v/>
      </c>
      <c r="W450" s="36" t="str">
        <f aca="false">IF(V450="Revenue","Revenue",IF(V450="Cost of Goods Sold","COGS",IF(V450="Expenditures","Expense",IF(V450="Other Revenue","Other Revenue",IF(V450="Other Expenditures","Other Expense",W449)))))</f>
        <v/>
      </c>
      <c r="X450" s="36" t="str">
        <f aca="false">IF(OR(V450="Revenue",V450="Cost of Goods Sold",V450="Expenditures",V450="Other Revenue",V450="Other Expenditures"),W450,IF(AND(LEN(V450)&gt;2,MID(V450,2,1)=" ",ISNUMBER(VALUE(LEFT(V450,1)))),V450,X449))</f>
        <v/>
      </c>
      <c r="Y450" s="36" t="n">
        <f aca="false">IF(AND(V450&lt;&gt;"",ISNUMBER(T450),LEFT(V450,9)&lt;&gt;"Total for",V450&lt;&gt;"Gross Profit",V450&lt;&gt;"Net Operating Revenue",V450&lt;&gt;"Net Other Revenue",V450&lt;&gt;"Net Revenue"),1,0)</f>
        <v>0</v>
      </c>
      <c r="Z450" s="36" t="str">
        <f aca="false">IF(Y450=1,IF(AND(LEN(V450)&gt;7,ISNUMBER(VALUE(LEFT(V450,6))),MID(V450,7,1)=" "),LEFT(V450,6),V450),"")</f>
        <v/>
      </c>
      <c r="AE450" s="36" t="str">
        <f aca="false">TRIM(AB450)</f>
        <v/>
      </c>
      <c r="AF450" s="36" t="str">
        <f aca="false">IF(AE450="Revenue","Revenue",IF(AE450="Cost of Goods Sold","COGS",IF(AE450="Expenditures","Expense",IF(AE450="Other Revenue","Other Revenue",IF(AE450="Other Expenditures","Other Expense",AF449)))))</f>
        <v/>
      </c>
      <c r="AG450" s="36" t="str">
        <f aca="false">IF(OR(AE450="Revenue",AE450="Cost of Goods Sold",AE450="Expenditures",AE450="Other Revenue",AE450="Other Expenditures"),AF450,IF(AND(LEN(AE450)&gt;2,MID(AE450,2,1)=" ",ISNUMBER(VALUE(LEFT(AE450,1)))),AE450,AG449))</f>
        <v/>
      </c>
      <c r="AH450" s="36" t="n">
        <f aca="false">IF(AND(AE450&lt;&gt;"",ISNUMBER(AC450),LEFT(AE450,9)&lt;&gt;"Total for",AE450&lt;&gt;"Gross Profit",AE450&lt;&gt;"Net Operating Revenue",AE450&lt;&gt;"Net Other Revenue",AE450&lt;&gt;"Net Revenue"),1,0)</f>
        <v>0</v>
      </c>
      <c r="AI450" s="36" t="str">
        <f aca="false">IF(AH450=1,IF(AND(LEN(AE450)&gt;7,ISNUMBER(VALUE(LEFT(AE450,6))),MID(AE450,7,1)=" "),LEFT(AE450,6),AE450),"")</f>
        <v/>
      </c>
      <c r="AN450" s="36" t="str">
        <f aca="false">TRIM(AK450)</f>
        <v/>
      </c>
      <c r="AO450" s="36" t="str">
        <f aca="false">IF(AN450="Revenue","Revenue",IF(AN450="Cost of Goods Sold","COGS",IF(AN450="Expenditures","Expense",IF(AN450="Other Revenue","Other Revenue",IF(AN450="Other Expenditures","Other Expense",AO449)))))</f>
        <v/>
      </c>
      <c r="AP450" s="36" t="str">
        <f aca="false">IF(OR(AN450="Revenue",AN450="Cost of Goods Sold",AN450="Expenditures",AN450="Other Revenue",AN450="Other Expenditures"),AO450,IF(AND(LEN(AN450)&gt;2,MID(AN450,2,1)=" ",ISNUMBER(VALUE(LEFT(AN450,1)))),AN450,AP449))</f>
        <v/>
      </c>
      <c r="AQ450" s="36" t="n">
        <f aca="false">IF(AND(AN450&lt;&gt;"",ISNUMBER(AL450),LEFT(AN450,9)&lt;&gt;"Total for",AN450&lt;&gt;"Gross Profit",AN450&lt;&gt;"Net Operating Revenue",AN450&lt;&gt;"Net Other Revenue",AN450&lt;&gt;"Net Revenue"),1,0)</f>
        <v>0</v>
      </c>
      <c r="AR450" s="36" t="str">
        <f aca="false">IF(AQ450=1,IF(AND(LEN(AN450)&gt;7,ISNUMBER(VALUE(LEFT(AN450,6))),MID(AN450,7,1)=" "),LEFT(AN450,6),AN450),"")</f>
        <v/>
      </c>
    </row>
    <row r="451" customFormat="false" ht="15" hidden="false" customHeight="false" outlineLevel="0" collapsed="false">
      <c r="D451" s="36" t="str">
        <f aca="false">TRIM(A451)</f>
        <v/>
      </c>
      <c r="E451" s="36" t="str">
        <f aca="false">IF(D451="Revenue","Revenue",IF(D451="Cost of Goods Sold","COGS",IF(D451="Expenditures","Expense",IF(D451="Other Revenue","Other Revenue",IF(D451="Other Expenditures","Other Expense",E450)))))</f>
        <v/>
      </c>
      <c r="F451" s="36" t="str">
        <f aca="false">IF(OR(D451="Revenue",D451="Cost of Goods Sold",D451="Expenditures",D451="Other Revenue",D451="Other Expenditures"),E451,IF(AND(LEN(D451)&gt;2,MID(D451,2,1)=" ",ISNUMBER(VALUE(LEFT(D451,1)))),D451,F450))</f>
        <v/>
      </c>
      <c r="G451" s="36" t="n">
        <f aca="false">IF(AND(D451&lt;&gt;"",ISNUMBER(B451),LEFT(D451,9)&lt;&gt;"Total for",D451&lt;&gt;"Gross Profit",D451&lt;&gt;"Net Operating Revenue",D451&lt;&gt;"Net Other Revenue",D451&lt;&gt;"Net Revenue"),1,0)</f>
        <v>0</v>
      </c>
      <c r="H451" s="36" t="str">
        <f aca="false">IF(G451=1,IF(AND(LEN(D451)&gt;7,ISNUMBER(VALUE(LEFT(D451,6))),MID(D451,7,1)=" "),LEFT(D451,6),D451),"")</f>
        <v/>
      </c>
      <c r="M451" s="36" t="str">
        <f aca="false">TRIM(J451)</f>
        <v/>
      </c>
      <c r="N451" s="36" t="str">
        <f aca="false">IF(M451="Revenue","Revenue",IF(M451="Cost of Goods Sold","COGS",IF(M451="Expenditures","Expense",IF(M451="Other Revenue","Other Revenue",IF(M451="Other Expenditures","Other Expense",N450)))))</f>
        <v/>
      </c>
      <c r="O451" s="36" t="str">
        <f aca="false">IF(OR(M451="Revenue",M451="Cost of Goods Sold",M451="Expenditures",M451="Other Revenue",M451="Other Expenditures"),N451,IF(AND(LEN(M451)&gt;2,MID(M451,2,1)=" ",ISNUMBER(VALUE(LEFT(M451,1)))),M451,O450))</f>
        <v/>
      </c>
      <c r="P451" s="36" t="n">
        <f aca="false">IF(AND(M451&lt;&gt;"",ISNUMBER(K451),LEFT(M451,9)&lt;&gt;"Total for",M451&lt;&gt;"Gross Profit",M451&lt;&gt;"Net Operating Revenue",M451&lt;&gt;"Net Other Revenue",M451&lt;&gt;"Net Revenue"),1,0)</f>
        <v>0</v>
      </c>
      <c r="Q451" s="36" t="str">
        <f aca="false">IF(P451=1,IF(AND(LEN(M451)&gt;7,ISNUMBER(VALUE(LEFT(M451,6))),MID(M451,7,1)=" "),LEFT(M451,6),M451),"")</f>
        <v/>
      </c>
      <c r="V451" s="36" t="str">
        <f aca="false">TRIM(S451)</f>
        <v/>
      </c>
      <c r="W451" s="36" t="str">
        <f aca="false">IF(V451="Revenue","Revenue",IF(V451="Cost of Goods Sold","COGS",IF(V451="Expenditures","Expense",IF(V451="Other Revenue","Other Revenue",IF(V451="Other Expenditures","Other Expense",W450)))))</f>
        <v/>
      </c>
      <c r="X451" s="36" t="str">
        <f aca="false">IF(OR(V451="Revenue",V451="Cost of Goods Sold",V451="Expenditures",V451="Other Revenue",V451="Other Expenditures"),W451,IF(AND(LEN(V451)&gt;2,MID(V451,2,1)=" ",ISNUMBER(VALUE(LEFT(V451,1)))),V451,X450))</f>
        <v/>
      </c>
      <c r="Y451" s="36" t="n">
        <f aca="false">IF(AND(V451&lt;&gt;"",ISNUMBER(T451),LEFT(V451,9)&lt;&gt;"Total for",V451&lt;&gt;"Gross Profit",V451&lt;&gt;"Net Operating Revenue",V451&lt;&gt;"Net Other Revenue",V451&lt;&gt;"Net Revenue"),1,0)</f>
        <v>0</v>
      </c>
      <c r="Z451" s="36" t="str">
        <f aca="false">IF(Y451=1,IF(AND(LEN(V451)&gt;7,ISNUMBER(VALUE(LEFT(V451,6))),MID(V451,7,1)=" "),LEFT(V451,6),V451),"")</f>
        <v/>
      </c>
      <c r="AE451" s="36" t="str">
        <f aca="false">TRIM(AB451)</f>
        <v/>
      </c>
      <c r="AF451" s="36" t="str">
        <f aca="false">IF(AE451="Revenue","Revenue",IF(AE451="Cost of Goods Sold","COGS",IF(AE451="Expenditures","Expense",IF(AE451="Other Revenue","Other Revenue",IF(AE451="Other Expenditures","Other Expense",AF450)))))</f>
        <v/>
      </c>
      <c r="AG451" s="36" t="str">
        <f aca="false">IF(OR(AE451="Revenue",AE451="Cost of Goods Sold",AE451="Expenditures",AE451="Other Revenue",AE451="Other Expenditures"),AF451,IF(AND(LEN(AE451)&gt;2,MID(AE451,2,1)=" ",ISNUMBER(VALUE(LEFT(AE451,1)))),AE451,AG450))</f>
        <v/>
      </c>
      <c r="AH451" s="36" t="n">
        <f aca="false">IF(AND(AE451&lt;&gt;"",ISNUMBER(AC451),LEFT(AE451,9)&lt;&gt;"Total for",AE451&lt;&gt;"Gross Profit",AE451&lt;&gt;"Net Operating Revenue",AE451&lt;&gt;"Net Other Revenue",AE451&lt;&gt;"Net Revenue"),1,0)</f>
        <v>0</v>
      </c>
      <c r="AI451" s="36" t="str">
        <f aca="false">IF(AH451=1,IF(AND(LEN(AE451)&gt;7,ISNUMBER(VALUE(LEFT(AE451,6))),MID(AE451,7,1)=" "),LEFT(AE451,6),AE451),"")</f>
        <v/>
      </c>
      <c r="AN451" s="36" t="str">
        <f aca="false">TRIM(AK451)</f>
        <v/>
      </c>
      <c r="AO451" s="36" t="str">
        <f aca="false">IF(AN451="Revenue","Revenue",IF(AN451="Cost of Goods Sold","COGS",IF(AN451="Expenditures","Expense",IF(AN451="Other Revenue","Other Revenue",IF(AN451="Other Expenditures","Other Expense",AO450)))))</f>
        <v/>
      </c>
      <c r="AP451" s="36" t="str">
        <f aca="false">IF(OR(AN451="Revenue",AN451="Cost of Goods Sold",AN451="Expenditures",AN451="Other Revenue",AN451="Other Expenditures"),AO451,IF(AND(LEN(AN451)&gt;2,MID(AN451,2,1)=" ",ISNUMBER(VALUE(LEFT(AN451,1)))),AN451,AP450))</f>
        <v/>
      </c>
      <c r="AQ451" s="36" t="n">
        <f aca="false">IF(AND(AN451&lt;&gt;"",ISNUMBER(AL451),LEFT(AN451,9)&lt;&gt;"Total for",AN451&lt;&gt;"Gross Profit",AN451&lt;&gt;"Net Operating Revenue",AN451&lt;&gt;"Net Other Revenue",AN451&lt;&gt;"Net Revenue"),1,0)</f>
        <v>0</v>
      </c>
      <c r="AR451" s="36" t="str">
        <f aca="false">IF(AQ451=1,IF(AND(LEN(AN451)&gt;7,ISNUMBER(VALUE(LEFT(AN451,6))),MID(AN451,7,1)=" "),LEFT(AN451,6),AN451),"")</f>
        <v/>
      </c>
    </row>
    <row r="452" customFormat="false" ht="15" hidden="false" customHeight="false" outlineLevel="0" collapsed="false">
      <c r="D452" s="36" t="str">
        <f aca="false">TRIM(A452)</f>
        <v/>
      </c>
      <c r="E452" s="36" t="str">
        <f aca="false">IF(D452="Revenue","Revenue",IF(D452="Cost of Goods Sold","COGS",IF(D452="Expenditures","Expense",IF(D452="Other Revenue","Other Revenue",IF(D452="Other Expenditures","Other Expense",E451)))))</f>
        <v/>
      </c>
      <c r="F452" s="36" t="str">
        <f aca="false">IF(OR(D452="Revenue",D452="Cost of Goods Sold",D452="Expenditures",D452="Other Revenue",D452="Other Expenditures"),E452,IF(AND(LEN(D452)&gt;2,MID(D452,2,1)=" ",ISNUMBER(VALUE(LEFT(D452,1)))),D452,F451))</f>
        <v/>
      </c>
      <c r="G452" s="36" t="n">
        <f aca="false">IF(AND(D452&lt;&gt;"",ISNUMBER(B452),LEFT(D452,9)&lt;&gt;"Total for",D452&lt;&gt;"Gross Profit",D452&lt;&gt;"Net Operating Revenue",D452&lt;&gt;"Net Other Revenue",D452&lt;&gt;"Net Revenue"),1,0)</f>
        <v>0</v>
      </c>
      <c r="H452" s="36" t="str">
        <f aca="false">IF(G452=1,IF(AND(LEN(D452)&gt;7,ISNUMBER(VALUE(LEFT(D452,6))),MID(D452,7,1)=" "),LEFT(D452,6),D452),"")</f>
        <v/>
      </c>
      <c r="M452" s="36" t="str">
        <f aca="false">TRIM(J452)</f>
        <v/>
      </c>
      <c r="N452" s="36" t="str">
        <f aca="false">IF(M452="Revenue","Revenue",IF(M452="Cost of Goods Sold","COGS",IF(M452="Expenditures","Expense",IF(M452="Other Revenue","Other Revenue",IF(M452="Other Expenditures","Other Expense",N451)))))</f>
        <v/>
      </c>
      <c r="O452" s="36" t="str">
        <f aca="false">IF(OR(M452="Revenue",M452="Cost of Goods Sold",M452="Expenditures",M452="Other Revenue",M452="Other Expenditures"),N452,IF(AND(LEN(M452)&gt;2,MID(M452,2,1)=" ",ISNUMBER(VALUE(LEFT(M452,1)))),M452,O451))</f>
        <v/>
      </c>
      <c r="P452" s="36" t="n">
        <f aca="false">IF(AND(M452&lt;&gt;"",ISNUMBER(K452),LEFT(M452,9)&lt;&gt;"Total for",M452&lt;&gt;"Gross Profit",M452&lt;&gt;"Net Operating Revenue",M452&lt;&gt;"Net Other Revenue",M452&lt;&gt;"Net Revenue"),1,0)</f>
        <v>0</v>
      </c>
      <c r="Q452" s="36" t="str">
        <f aca="false">IF(P452=1,IF(AND(LEN(M452)&gt;7,ISNUMBER(VALUE(LEFT(M452,6))),MID(M452,7,1)=" "),LEFT(M452,6),M452),"")</f>
        <v/>
      </c>
      <c r="V452" s="36" t="str">
        <f aca="false">TRIM(S452)</f>
        <v/>
      </c>
      <c r="W452" s="36" t="str">
        <f aca="false">IF(V452="Revenue","Revenue",IF(V452="Cost of Goods Sold","COGS",IF(V452="Expenditures","Expense",IF(V452="Other Revenue","Other Revenue",IF(V452="Other Expenditures","Other Expense",W451)))))</f>
        <v/>
      </c>
      <c r="X452" s="36" t="str">
        <f aca="false">IF(OR(V452="Revenue",V452="Cost of Goods Sold",V452="Expenditures",V452="Other Revenue",V452="Other Expenditures"),W452,IF(AND(LEN(V452)&gt;2,MID(V452,2,1)=" ",ISNUMBER(VALUE(LEFT(V452,1)))),V452,X451))</f>
        <v/>
      </c>
      <c r="Y452" s="36" t="n">
        <f aca="false">IF(AND(V452&lt;&gt;"",ISNUMBER(T452),LEFT(V452,9)&lt;&gt;"Total for",V452&lt;&gt;"Gross Profit",V452&lt;&gt;"Net Operating Revenue",V452&lt;&gt;"Net Other Revenue",V452&lt;&gt;"Net Revenue"),1,0)</f>
        <v>0</v>
      </c>
      <c r="Z452" s="36" t="str">
        <f aca="false">IF(Y452=1,IF(AND(LEN(V452)&gt;7,ISNUMBER(VALUE(LEFT(V452,6))),MID(V452,7,1)=" "),LEFT(V452,6),V452),"")</f>
        <v/>
      </c>
      <c r="AE452" s="36" t="str">
        <f aca="false">TRIM(AB452)</f>
        <v/>
      </c>
      <c r="AF452" s="36" t="str">
        <f aca="false">IF(AE452="Revenue","Revenue",IF(AE452="Cost of Goods Sold","COGS",IF(AE452="Expenditures","Expense",IF(AE452="Other Revenue","Other Revenue",IF(AE452="Other Expenditures","Other Expense",AF451)))))</f>
        <v/>
      </c>
      <c r="AG452" s="36" t="str">
        <f aca="false">IF(OR(AE452="Revenue",AE452="Cost of Goods Sold",AE452="Expenditures",AE452="Other Revenue",AE452="Other Expenditures"),AF452,IF(AND(LEN(AE452)&gt;2,MID(AE452,2,1)=" ",ISNUMBER(VALUE(LEFT(AE452,1)))),AE452,AG451))</f>
        <v/>
      </c>
      <c r="AH452" s="36" t="n">
        <f aca="false">IF(AND(AE452&lt;&gt;"",ISNUMBER(AC452),LEFT(AE452,9)&lt;&gt;"Total for",AE452&lt;&gt;"Gross Profit",AE452&lt;&gt;"Net Operating Revenue",AE452&lt;&gt;"Net Other Revenue",AE452&lt;&gt;"Net Revenue"),1,0)</f>
        <v>0</v>
      </c>
      <c r="AI452" s="36" t="str">
        <f aca="false">IF(AH452=1,IF(AND(LEN(AE452)&gt;7,ISNUMBER(VALUE(LEFT(AE452,6))),MID(AE452,7,1)=" "),LEFT(AE452,6),AE452),"")</f>
        <v/>
      </c>
      <c r="AN452" s="36" t="str">
        <f aca="false">TRIM(AK452)</f>
        <v/>
      </c>
      <c r="AO452" s="36" t="str">
        <f aca="false">IF(AN452="Revenue","Revenue",IF(AN452="Cost of Goods Sold","COGS",IF(AN452="Expenditures","Expense",IF(AN452="Other Revenue","Other Revenue",IF(AN452="Other Expenditures","Other Expense",AO451)))))</f>
        <v/>
      </c>
      <c r="AP452" s="36" t="str">
        <f aca="false">IF(OR(AN452="Revenue",AN452="Cost of Goods Sold",AN452="Expenditures",AN452="Other Revenue",AN452="Other Expenditures"),AO452,IF(AND(LEN(AN452)&gt;2,MID(AN452,2,1)=" ",ISNUMBER(VALUE(LEFT(AN452,1)))),AN452,AP451))</f>
        <v/>
      </c>
      <c r="AQ452" s="36" t="n">
        <f aca="false">IF(AND(AN452&lt;&gt;"",ISNUMBER(AL452),LEFT(AN452,9)&lt;&gt;"Total for",AN452&lt;&gt;"Gross Profit",AN452&lt;&gt;"Net Operating Revenue",AN452&lt;&gt;"Net Other Revenue",AN452&lt;&gt;"Net Revenue"),1,0)</f>
        <v>0</v>
      </c>
      <c r="AR452" s="36" t="str">
        <f aca="false">IF(AQ452=1,IF(AND(LEN(AN452)&gt;7,ISNUMBER(VALUE(LEFT(AN452,6))),MID(AN452,7,1)=" "),LEFT(AN452,6),AN452),"")</f>
        <v/>
      </c>
    </row>
    <row r="453" customFormat="false" ht="15" hidden="false" customHeight="false" outlineLevel="0" collapsed="false">
      <c r="D453" s="36" t="str">
        <f aca="false">TRIM(A453)</f>
        <v/>
      </c>
      <c r="E453" s="36" t="str">
        <f aca="false">IF(D453="Revenue","Revenue",IF(D453="Cost of Goods Sold","COGS",IF(D453="Expenditures","Expense",IF(D453="Other Revenue","Other Revenue",IF(D453="Other Expenditures","Other Expense",E452)))))</f>
        <v/>
      </c>
      <c r="F453" s="36" t="str">
        <f aca="false">IF(OR(D453="Revenue",D453="Cost of Goods Sold",D453="Expenditures",D453="Other Revenue",D453="Other Expenditures"),E453,IF(AND(LEN(D453)&gt;2,MID(D453,2,1)=" ",ISNUMBER(VALUE(LEFT(D453,1)))),D453,F452))</f>
        <v/>
      </c>
      <c r="G453" s="36" t="n">
        <f aca="false">IF(AND(D453&lt;&gt;"",ISNUMBER(B453),LEFT(D453,9)&lt;&gt;"Total for",D453&lt;&gt;"Gross Profit",D453&lt;&gt;"Net Operating Revenue",D453&lt;&gt;"Net Other Revenue",D453&lt;&gt;"Net Revenue"),1,0)</f>
        <v>0</v>
      </c>
      <c r="H453" s="36" t="str">
        <f aca="false">IF(G453=1,IF(AND(LEN(D453)&gt;7,ISNUMBER(VALUE(LEFT(D453,6))),MID(D453,7,1)=" "),LEFT(D453,6),D453),"")</f>
        <v/>
      </c>
      <c r="M453" s="36" t="str">
        <f aca="false">TRIM(J453)</f>
        <v/>
      </c>
      <c r="N453" s="36" t="str">
        <f aca="false">IF(M453="Revenue","Revenue",IF(M453="Cost of Goods Sold","COGS",IF(M453="Expenditures","Expense",IF(M453="Other Revenue","Other Revenue",IF(M453="Other Expenditures","Other Expense",N452)))))</f>
        <v/>
      </c>
      <c r="O453" s="36" t="str">
        <f aca="false">IF(OR(M453="Revenue",M453="Cost of Goods Sold",M453="Expenditures",M453="Other Revenue",M453="Other Expenditures"),N453,IF(AND(LEN(M453)&gt;2,MID(M453,2,1)=" ",ISNUMBER(VALUE(LEFT(M453,1)))),M453,O452))</f>
        <v/>
      </c>
      <c r="P453" s="36" t="n">
        <f aca="false">IF(AND(M453&lt;&gt;"",ISNUMBER(K453),LEFT(M453,9)&lt;&gt;"Total for",M453&lt;&gt;"Gross Profit",M453&lt;&gt;"Net Operating Revenue",M453&lt;&gt;"Net Other Revenue",M453&lt;&gt;"Net Revenue"),1,0)</f>
        <v>0</v>
      </c>
      <c r="Q453" s="36" t="str">
        <f aca="false">IF(P453=1,IF(AND(LEN(M453)&gt;7,ISNUMBER(VALUE(LEFT(M453,6))),MID(M453,7,1)=" "),LEFT(M453,6),M453),"")</f>
        <v/>
      </c>
      <c r="V453" s="36" t="str">
        <f aca="false">TRIM(S453)</f>
        <v/>
      </c>
      <c r="W453" s="36" t="str">
        <f aca="false">IF(V453="Revenue","Revenue",IF(V453="Cost of Goods Sold","COGS",IF(V453="Expenditures","Expense",IF(V453="Other Revenue","Other Revenue",IF(V453="Other Expenditures","Other Expense",W452)))))</f>
        <v/>
      </c>
      <c r="X453" s="36" t="str">
        <f aca="false">IF(OR(V453="Revenue",V453="Cost of Goods Sold",V453="Expenditures",V453="Other Revenue",V453="Other Expenditures"),W453,IF(AND(LEN(V453)&gt;2,MID(V453,2,1)=" ",ISNUMBER(VALUE(LEFT(V453,1)))),V453,X452))</f>
        <v/>
      </c>
      <c r="Y453" s="36" t="n">
        <f aca="false">IF(AND(V453&lt;&gt;"",ISNUMBER(T453),LEFT(V453,9)&lt;&gt;"Total for",V453&lt;&gt;"Gross Profit",V453&lt;&gt;"Net Operating Revenue",V453&lt;&gt;"Net Other Revenue",V453&lt;&gt;"Net Revenue"),1,0)</f>
        <v>0</v>
      </c>
      <c r="Z453" s="36" t="str">
        <f aca="false">IF(Y453=1,IF(AND(LEN(V453)&gt;7,ISNUMBER(VALUE(LEFT(V453,6))),MID(V453,7,1)=" "),LEFT(V453,6),V453),"")</f>
        <v/>
      </c>
      <c r="AE453" s="36" t="str">
        <f aca="false">TRIM(AB453)</f>
        <v/>
      </c>
      <c r="AF453" s="36" t="str">
        <f aca="false">IF(AE453="Revenue","Revenue",IF(AE453="Cost of Goods Sold","COGS",IF(AE453="Expenditures","Expense",IF(AE453="Other Revenue","Other Revenue",IF(AE453="Other Expenditures","Other Expense",AF452)))))</f>
        <v/>
      </c>
      <c r="AG453" s="36" t="str">
        <f aca="false">IF(OR(AE453="Revenue",AE453="Cost of Goods Sold",AE453="Expenditures",AE453="Other Revenue",AE453="Other Expenditures"),AF453,IF(AND(LEN(AE453)&gt;2,MID(AE453,2,1)=" ",ISNUMBER(VALUE(LEFT(AE453,1)))),AE453,AG452))</f>
        <v/>
      </c>
      <c r="AH453" s="36" t="n">
        <f aca="false">IF(AND(AE453&lt;&gt;"",ISNUMBER(AC453),LEFT(AE453,9)&lt;&gt;"Total for",AE453&lt;&gt;"Gross Profit",AE453&lt;&gt;"Net Operating Revenue",AE453&lt;&gt;"Net Other Revenue",AE453&lt;&gt;"Net Revenue"),1,0)</f>
        <v>0</v>
      </c>
      <c r="AI453" s="36" t="str">
        <f aca="false">IF(AH453=1,IF(AND(LEN(AE453)&gt;7,ISNUMBER(VALUE(LEFT(AE453,6))),MID(AE453,7,1)=" "),LEFT(AE453,6),AE453),"")</f>
        <v/>
      </c>
      <c r="AN453" s="36" t="str">
        <f aca="false">TRIM(AK453)</f>
        <v/>
      </c>
      <c r="AO453" s="36" t="str">
        <f aca="false">IF(AN453="Revenue","Revenue",IF(AN453="Cost of Goods Sold","COGS",IF(AN453="Expenditures","Expense",IF(AN453="Other Revenue","Other Revenue",IF(AN453="Other Expenditures","Other Expense",AO452)))))</f>
        <v/>
      </c>
      <c r="AP453" s="36" t="str">
        <f aca="false">IF(OR(AN453="Revenue",AN453="Cost of Goods Sold",AN453="Expenditures",AN453="Other Revenue",AN453="Other Expenditures"),AO453,IF(AND(LEN(AN453)&gt;2,MID(AN453,2,1)=" ",ISNUMBER(VALUE(LEFT(AN453,1)))),AN453,AP452))</f>
        <v/>
      </c>
      <c r="AQ453" s="36" t="n">
        <f aca="false">IF(AND(AN453&lt;&gt;"",ISNUMBER(AL453),LEFT(AN453,9)&lt;&gt;"Total for",AN453&lt;&gt;"Gross Profit",AN453&lt;&gt;"Net Operating Revenue",AN453&lt;&gt;"Net Other Revenue",AN453&lt;&gt;"Net Revenue"),1,0)</f>
        <v>0</v>
      </c>
      <c r="AR453" s="36" t="str">
        <f aca="false">IF(AQ453=1,IF(AND(LEN(AN453)&gt;7,ISNUMBER(VALUE(LEFT(AN453,6))),MID(AN453,7,1)=" "),LEFT(AN453,6),AN453),"")</f>
        <v/>
      </c>
    </row>
    <row r="454" customFormat="false" ht="15" hidden="false" customHeight="false" outlineLevel="0" collapsed="false">
      <c r="D454" s="36" t="str">
        <f aca="false">TRIM(A454)</f>
        <v/>
      </c>
      <c r="E454" s="36" t="str">
        <f aca="false">IF(D454="Revenue","Revenue",IF(D454="Cost of Goods Sold","COGS",IF(D454="Expenditures","Expense",IF(D454="Other Revenue","Other Revenue",IF(D454="Other Expenditures","Other Expense",E453)))))</f>
        <v/>
      </c>
      <c r="F454" s="36" t="str">
        <f aca="false">IF(OR(D454="Revenue",D454="Cost of Goods Sold",D454="Expenditures",D454="Other Revenue",D454="Other Expenditures"),E454,IF(AND(LEN(D454)&gt;2,MID(D454,2,1)=" ",ISNUMBER(VALUE(LEFT(D454,1)))),D454,F453))</f>
        <v/>
      </c>
      <c r="G454" s="36" t="n">
        <f aca="false">IF(AND(D454&lt;&gt;"",ISNUMBER(B454),LEFT(D454,9)&lt;&gt;"Total for",D454&lt;&gt;"Gross Profit",D454&lt;&gt;"Net Operating Revenue",D454&lt;&gt;"Net Other Revenue",D454&lt;&gt;"Net Revenue"),1,0)</f>
        <v>0</v>
      </c>
      <c r="H454" s="36" t="str">
        <f aca="false">IF(G454=1,IF(AND(LEN(D454)&gt;7,ISNUMBER(VALUE(LEFT(D454,6))),MID(D454,7,1)=" "),LEFT(D454,6),D454),"")</f>
        <v/>
      </c>
      <c r="M454" s="36" t="str">
        <f aca="false">TRIM(J454)</f>
        <v/>
      </c>
      <c r="N454" s="36" t="str">
        <f aca="false">IF(M454="Revenue","Revenue",IF(M454="Cost of Goods Sold","COGS",IF(M454="Expenditures","Expense",IF(M454="Other Revenue","Other Revenue",IF(M454="Other Expenditures","Other Expense",N453)))))</f>
        <v/>
      </c>
      <c r="O454" s="36" t="str">
        <f aca="false">IF(OR(M454="Revenue",M454="Cost of Goods Sold",M454="Expenditures",M454="Other Revenue",M454="Other Expenditures"),N454,IF(AND(LEN(M454)&gt;2,MID(M454,2,1)=" ",ISNUMBER(VALUE(LEFT(M454,1)))),M454,O453))</f>
        <v/>
      </c>
      <c r="P454" s="36" t="n">
        <f aca="false">IF(AND(M454&lt;&gt;"",ISNUMBER(K454),LEFT(M454,9)&lt;&gt;"Total for",M454&lt;&gt;"Gross Profit",M454&lt;&gt;"Net Operating Revenue",M454&lt;&gt;"Net Other Revenue",M454&lt;&gt;"Net Revenue"),1,0)</f>
        <v>0</v>
      </c>
      <c r="Q454" s="36" t="str">
        <f aca="false">IF(P454=1,IF(AND(LEN(M454)&gt;7,ISNUMBER(VALUE(LEFT(M454,6))),MID(M454,7,1)=" "),LEFT(M454,6),M454),"")</f>
        <v/>
      </c>
      <c r="V454" s="36" t="str">
        <f aca="false">TRIM(S454)</f>
        <v/>
      </c>
      <c r="W454" s="36" t="str">
        <f aca="false">IF(V454="Revenue","Revenue",IF(V454="Cost of Goods Sold","COGS",IF(V454="Expenditures","Expense",IF(V454="Other Revenue","Other Revenue",IF(V454="Other Expenditures","Other Expense",W453)))))</f>
        <v/>
      </c>
      <c r="X454" s="36" t="str">
        <f aca="false">IF(OR(V454="Revenue",V454="Cost of Goods Sold",V454="Expenditures",V454="Other Revenue",V454="Other Expenditures"),W454,IF(AND(LEN(V454)&gt;2,MID(V454,2,1)=" ",ISNUMBER(VALUE(LEFT(V454,1)))),V454,X453))</f>
        <v/>
      </c>
      <c r="Y454" s="36" t="n">
        <f aca="false">IF(AND(V454&lt;&gt;"",ISNUMBER(T454),LEFT(V454,9)&lt;&gt;"Total for",V454&lt;&gt;"Gross Profit",V454&lt;&gt;"Net Operating Revenue",V454&lt;&gt;"Net Other Revenue",V454&lt;&gt;"Net Revenue"),1,0)</f>
        <v>0</v>
      </c>
      <c r="Z454" s="36" t="str">
        <f aca="false">IF(Y454=1,IF(AND(LEN(V454)&gt;7,ISNUMBER(VALUE(LEFT(V454,6))),MID(V454,7,1)=" "),LEFT(V454,6),V454),"")</f>
        <v/>
      </c>
      <c r="AE454" s="36" t="str">
        <f aca="false">TRIM(AB454)</f>
        <v/>
      </c>
      <c r="AF454" s="36" t="str">
        <f aca="false">IF(AE454="Revenue","Revenue",IF(AE454="Cost of Goods Sold","COGS",IF(AE454="Expenditures","Expense",IF(AE454="Other Revenue","Other Revenue",IF(AE454="Other Expenditures","Other Expense",AF453)))))</f>
        <v/>
      </c>
      <c r="AG454" s="36" t="str">
        <f aca="false">IF(OR(AE454="Revenue",AE454="Cost of Goods Sold",AE454="Expenditures",AE454="Other Revenue",AE454="Other Expenditures"),AF454,IF(AND(LEN(AE454)&gt;2,MID(AE454,2,1)=" ",ISNUMBER(VALUE(LEFT(AE454,1)))),AE454,AG453))</f>
        <v/>
      </c>
      <c r="AH454" s="36" t="n">
        <f aca="false">IF(AND(AE454&lt;&gt;"",ISNUMBER(AC454),LEFT(AE454,9)&lt;&gt;"Total for",AE454&lt;&gt;"Gross Profit",AE454&lt;&gt;"Net Operating Revenue",AE454&lt;&gt;"Net Other Revenue",AE454&lt;&gt;"Net Revenue"),1,0)</f>
        <v>0</v>
      </c>
      <c r="AI454" s="36" t="str">
        <f aca="false">IF(AH454=1,IF(AND(LEN(AE454)&gt;7,ISNUMBER(VALUE(LEFT(AE454,6))),MID(AE454,7,1)=" "),LEFT(AE454,6),AE454),"")</f>
        <v/>
      </c>
      <c r="AN454" s="36" t="str">
        <f aca="false">TRIM(AK454)</f>
        <v/>
      </c>
      <c r="AO454" s="36" t="str">
        <f aca="false">IF(AN454="Revenue","Revenue",IF(AN454="Cost of Goods Sold","COGS",IF(AN454="Expenditures","Expense",IF(AN454="Other Revenue","Other Revenue",IF(AN454="Other Expenditures","Other Expense",AO453)))))</f>
        <v/>
      </c>
      <c r="AP454" s="36" t="str">
        <f aca="false">IF(OR(AN454="Revenue",AN454="Cost of Goods Sold",AN454="Expenditures",AN454="Other Revenue",AN454="Other Expenditures"),AO454,IF(AND(LEN(AN454)&gt;2,MID(AN454,2,1)=" ",ISNUMBER(VALUE(LEFT(AN454,1)))),AN454,AP453))</f>
        <v/>
      </c>
      <c r="AQ454" s="36" t="n">
        <f aca="false">IF(AND(AN454&lt;&gt;"",ISNUMBER(AL454),LEFT(AN454,9)&lt;&gt;"Total for",AN454&lt;&gt;"Gross Profit",AN454&lt;&gt;"Net Operating Revenue",AN454&lt;&gt;"Net Other Revenue",AN454&lt;&gt;"Net Revenue"),1,0)</f>
        <v>0</v>
      </c>
      <c r="AR454" s="36" t="str">
        <f aca="false">IF(AQ454=1,IF(AND(LEN(AN454)&gt;7,ISNUMBER(VALUE(LEFT(AN454,6))),MID(AN454,7,1)=" "),LEFT(AN454,6),AN454),"")</f>
        <v/>
      </c>
    </row>
    <row r="455" customFormat="false" ht="15" hidden="false" customHeight="false" outlineLevel="0" collapsed="false">
      <c r="D455" s="36" t="str">
        <f aca="false">TRIM(A455)</f>
        <v/>
      </c>
      <c r="E455" s="36" t="str">
        <f aca="false">IF(D455="Revenue","Revenue",IF(D455="Cost of Goods Sold","COGS",IF(D455="Expenditures","Expense",IF(D455="Other Revenue","Other Revenue",IF(D455="Other Expenditures","Other Expense",E454)))))</f>
        <v/>
      </c>
      <c r="F455" s="36" t="str">
        <f aca="false">IF(OR(D455="Revenue",D455="Cost of Goods Sold",D455="Expenditures",D455="Other Revenue",D455="Other Expenditures"),E455,IF(AND(LEN(D455)&gt;2,MID(D455,2,1)=" ",ISNUMBER(VALUE(LEFT(D455,1)))),D455,F454))</f>
        <v/>
      </c>
      <c r="G455" s="36" t="n">
        <f aca="false">IF(AND(D455&lt;&gt;"",ISNUMBER(B455),LEFT(D455,9)&lt;&gt;"Total for",D455&lt;&gt;"Gross Profit",D455&lt;&gt;"Net Operating Revenue",D455&lt;&gt;"Net Other Revenue",D455&lt;&gt;"Net Revenue"),1,0)</f>
        <v>0</v>
      </c>
      <c r="H455" s="36" t="str">
        <f aca="false">IF(G455=1,IF(AND(LEN(D455)&gt;7,ISNUMBER(VALUE(LEFT(D455,6))),MID(D455,7,1)=" "),LEFT(D455,6),D455),"")</f>
        <v/>
      </c>
      <c r="M455" s="36" t="str">
        <f aca="false">TRIM(J455)</f>
        <v/>
      </c>
      <c r="N455" s="36" t="str">
        <f aca="false">IF(M455="Revenue","Revenue",IF(M455="Cost of Goods Sold","COGS",IF(M455="Expenditures","Expense",IF(M455="Other Revenue","Other Revenue",IF(M455="Other Expenditures","Other Expense",N454)))))</f>
        <v/>
      </c>
      <c r="O455" s="36" t="str">
        <f aca="false">IF(OR(M455="Revenue",M455="Cost of Goods Sold",M455="Expenditures",M455="Other Revenue",M455="Other Expenditures"),N455,IF(AND(LEN(M455)&gt;2,MID(M455,2,1)=" ",ISNUMBER(VALUE(LEFT(M455,1)))),M455,O454))</f>
        <v/>
      </c>
      <c r="P455" s="36" t="n">
        <f aca="false">IF(AND(M455&lt;&gt;"",ISNUMBER(K455),LEFT(M455,9)&lt;&gt;"Total for",M455&lt;&gt;"Gross Profit",M455&lt;&gt;"Net Operating Revenue",M455&lt;&gt;"Net Other Revenue",M455&lt;&gt;"Net Revenue"),1,0)</f>
        <v>0</v>
      </c>
      <c r="Q455" s="36" t="str">
        <f aca="false">IF(P455=1,IF(AND(LEN(M455)&gt;7,ISNUMBER(VALUE(LEFT(M455,6))),MID(M455,7,1)=" "),LEFT(M455,6),M455),"")</f>
        <v/>
      </c>
      <c r="V455" s="36" t="str">
        <f aca="false">TRIM(S455)</f>
        <v/>
      </c>
      <c r="W455" s="36" t="str">
        <f aca="false">IF(V455="Revenue","Revenue",IF(V455="Cost of Goods Sold","COGS",IF(V455="Expenditures","Expense",IF(V455="Other Revenue","Other Revenue",IF(V455="Other Expenditures","Other Expense",W454)))))</f>
        <v/>
      </c>
      <c r="X455" s="36" t="str">
        <f aca="false">IF(OR(V455="Revenue",V455="Cost of Goods Sold",V455="Expenditures",V455="Other Revenue",V455="Other Expenditures"),W455,IF(AND(LEN(V455)&gt;2,MID(V455,2,1)=" ",ISNUMBER(VALUE(LEFT(V455,1)))),V455,X454))</f>
        <v/>
      </c>
      <c r="Y455" s="36" t="n">
        <f aca="false">IF(AND(V455&lt;&gt;"",ISNUMBER(T455),LEFT(V455,9)&lt;&gt;"Total for",V455&lt;&gt;"Gross Profit",V455&lt;&gt;"Net Operating Revenue",V455&lt;&gt;"Net Other Revenue",V455&lt;&gt;"Net Revenue"),1,0)</f>
        <v>0</v>
      </c>
      <c r="Z455" s="36" t="str">
        <f aca="false">IF(Y455=1,IF(AND(LEN(V455)&gt;7,ISNUMBER(VALUE(LEFT(V455,6))),MID(V455,7,1)=" "),LEFT(V455,6),V455),"")</f>
        <v/>
      </c>
      <c r="AE455" s="36" t="str">
        <f aca="false">TRIM(AB455)</f>
        <v/>
      </c>
      <c r="AF455" s="36" t="str">
        <f aca="false">IF(AE455="Revenue","Revenue",IF(AE455="Cost of Goods Sold","COGS",IF(AE455="Expenditures","Expense",IF(AE455="Other Revenue","Other Revenue",IF(AE455="Other Expenditures","Other Expense",AF454)))))</f>
        <v/>
      </c>
      <c r="AG455" s="36" t="str">
        <f aca="false">IF(OR(AE455="Revenue",AE455="Cost of Goods Sold",AE455="Expenditures",AE455="Other Revenue",AE455="Other Expenditures"),AF455,IF(AND(LEN(AE455)&gt;2,MID(AE455,2,1)=" ",ISNUMBER(VALUE(LEFT(AE455,1)))),AE455,AG454))</f>
        <v/>
      </c>
      <c r="AH455" s="36" t="n">
        <f aca="false">IF(AND(AE455&lt;&gt;"",ISNUMBER(AC455),LEFT(AE455,9)&lt;&gt;"Total for",AE455&lt;&gt;"Gross Profit",AE455&lt;&gt;"Net Operating Revenue",AE455&lt;&gt;"Net Other Revenue",AE455&lt;&gt;"Net Revenue"),1,0)</f>
        <v>0</v>
      </c>
      <c r="AI455" s="36" t="str">
        <f aca="false">IF(AH455=1,IF(AND(LEN(AE455)&gt;7,ISNUMBER(VALUE(LEFT(AE455,6))),MID(AE455,7,1)=" "),LEFT(AE455,6),AE455),"")</f>
        <v/>
      </c>
      <c r="AN455" s="36" t="str">
        <f aca="false">TRIM(AK455)</f>
        <v/>
      </c>
      <c r="AO455" s="36" t="str">
        <f aca="false">IF(AN455="Revenue","Revenue",IF(AN455="Cost of Goods Sold","COGS",IF(AN455="Expenditures","Expense",IF(AN455="Other Revenue","Other Revenue",IF(AN455="Other Expenditures","Other Expense",AO454)))))</f>
        <v/>
      </c>
      <c r="AP455" s="36" t="str">
        <f aca="false">IF(OR(AN455="Revenue",AN455="Cost of Goods Sold",AN455="Expenditures",AN455="Other Revenue",AN455="Other Expenditures"),AO455,IF(AND(LEN(AN455)&gt;2,MID(AN455,2,1)=" ",ISNUMBER(VALUE(LEFT(AN455,1)))),AN455,AP454))</f>
        <v/>
      </c>
      <c r="AQ455" s="36" t="n">
        <f aca="false">IF(AND(AN455&lt;&gt;"",ISNUMBER(AL455),LEFT(AN455,9)&lt;&gt;"Total for",AN455&lt;&gt;"Gross Profit",AN455&lt;&gt;"Net Operating Revenue",AN455&lt;&gt;"Net Other Revenue",AN455&lt;&gt;"Net Revenue"),1,0)</f>
        <v>0</v>
      </c>
      <c r="AR455" s="36" t="str">
        <f aca="false">IF(AQ455=1,IF(AND(LEN(AN455)&gt;7,ISNUMBER(VALUE(LEFT(AN455,6))),MID(AN455,7,1)=" "),LEFT(AN455,6),AN455),"")</f>
        <v/>
      </c>
    </row>
    <row r="456" customFormat="false" ht="15" hidden="false" customHeight="false" outlineLevel="0" collapsed="false">
      <c r="D456" s="36" t="str">
        <f aca="false">TRIM(A456)</f>
        <v/>
      </c>
      <c r="E456" s="36" t="str">
        <f aca="false">IF(D456="Revenue","Revenue",IF(D456="Cost of Goods Sold","COGS",IF(D456="Expenditures","Expense",IF(D456="Other Revenue","Other Revenue",IF(D456="Other Expenditures","Other Expense",E455)))))</f>
        <v/>
      </c>
      <c r="F456" s="36" t="str">
        <f aca="false">IF(OR(D456="Revenue",D456="Cost of Goods Sold",D456="Expenditures",D456="Other Revenue",D456="Other Expenditures"),E456,IF(AND(LEN(D456)&gt;2,MID(D456,2,1)=" ",ISNUMBER(VALUE(LEFT(D456,1)))),D456,F455))</f>
        <v/>
      </c>
      <c r="G456" s="36" t="n">
        <f aca="false">IF(AND(D456&lt;&gt;"",ISNUMBER(B456),LEFT(D456,9)&lt;&gt;"Total for",D456&lt;&gt;"Gross Profit",D456&lt;&gt;"Net Operating Revenue",D456&lt;&gt;"Net Other Revenue",D456&lt;&gt;"Net Revenue"),1,0)</f>
        <v>0</v>
      </c>
      <c r="H456" s="36" t="str">
        <f aca="false">IF(G456=1,IF(AND(LEN(D456)&gt;7,ISNUMBER(VALUE(LEFT(D456,6))),MID(D456,7,1)=" "),LEFT(D456,6),D456),"")</f>
        <v/>
      </c>
      <c r="M456" s="36" t="str">
        <f aca="false">TRIM(J456)</f>
        <v/>
      </c>
      <c r="N456" s="36" t="str">
        <f aca="false">IF(M456="Revenue","Revenue",IF(M456="Cost of Goods Sold","COGS",IF(M456="Expenditures","Expense",IF(M456="Other Revenue","Other Revenue",IF(M456="Other Expenditures","Other Expense",N455)))))</f>
        <v/>
      </c>
      <c r="O456" s="36" t="str">
        <f aca="false">IF(OR(M456="Revenue",M456="Cost of Goods Sold",M456="Expenditures",M456="Other Revenue",M456="Other Expenditures"),N456,IF(AND(LEN(M456)&gt;2,MID(M456,2,1)=" ",ISNUMBER(VALUE(LEFT(M456,1)))),M456,O455))</f>
        <v/>
      </c>
      <c r="P456" s="36" t="n">
        <f aca="false">IF(AND(M456&lt;&gt;"",ISNUMBER(K456),LEFT(M456,9)&lt;&gt;"Total for",M456&lt;&gt;"Gross Profit",M456&lt;&gt;"Net Operating Revenue",M456&lt;&gt;"Net Other Revenue",M456&lt;&gt;"Net Revenue"),1,0)</f>
        <v>0</v>
      </c>
      <c r="Q456" s="36" t="str">
        <f aca="false">IF(P456=1,IF(AND(LEN(M456)&gt;7,ISNUMBER(VALUE(LEFT(M456,6))),MID(M456,7,1)=" "),LEFT(M456,6),M456),"")</f>
        <v/>
      </c>
      <c r="V456" s="36" t="str">
        <f aca="false">TRIM(S456)</f>
        <v/>
      </c>
      <c r="W456" s="36" t="str">
        <f aca="false">IF(V456="Revenue","Revenue",IF(V456="Cost of Goods Sold","COGS",IF(V456="Expenditures","Expense",IF(V456="Other Revenue","Other Revenue",IF(V456="Other Expenditures","Other Expense",W455)))))</f>
        <v/>
      </c>
      <c r="X456" s="36" t="str">
        <f aca="false">IF(OR(V456="Revenue",V456="Cost of Goods Sold",V456="Expenditures",V456="Other Revenue",V456="Other Expenditures"),W456,IF(AND(LEN(V456)&gt;2,MID(V456,2,1)=" ",ISNUMBER(VALUE(LEFT(V456,1)))),V456,X455))</f>
        <v/>
      </c>
      <c r="Y456" s="36" t="n">
        <f aca="false">IF(AND(V456&lt;&gt;"",ISNUMBER(T456),LEFT(V456,9)&lt;&gt;"Total for",V456&lt;&gt;"Gross Profit",V456&lt;&gt;"Net Operating Revenue",V456&lt;&gt;"Net Other Revenue",V456&lt;&gt;"Net Revenue"),1,0)</f>
        <v>0</v>
      </c>
      <c r="Z456" s="36" t="str">
        <f aca="false">IF(Y456=1,IF(AND(LEN(V456)&gt;7,ISNUMBER(VALUE(LEFT(V456,6))),MID(V456,7,1)=" "),LEFT(V456,6),V456),"")</f>
        <v/>
      </c>
      <c r="AE456" s="36" t="str">
        <f aca="false">TRIM(AB456)</f>
        <v/>
      </c>
      <c r="AF456" s="36" t="str">
        <f aca="false">IF(AE456="Revenue","Revenue",IF(AE456="Cost of Goods Sold","COGS",IF(AE456="Expenditures","Expense",IF(AE456="Other Revenue","Other Revenue",IF(AE456="Other Expenditures","Other Expense",AF455)))))</f>
        <v/>
      </c>
      <c r="AG456" s="36" t="str">
        <f aca="false">IF(OR(AE456="Revenue",AE456="Cost of Goods Sold",AE456="Expenditures",AE456="Other Revenue",AE456="Other Expenditures"),AF456,IF(AND(LEN(AE456)&gt;2,MID(AE456,2,1)=" ",ISNUMBER(VALUE(LEFT(AE456,1)))),AE456,AG455))</f>
        <v/>
      </c>
      <c r="AH456" s="36" t="n">
        <f aca="false">IF(AND(AE456&lt;&gt;"",ISNUMBER(AC456),LEFT(AE456,9)&lt;&gt;"Total for",AE456&lt;&gt;"Gross Profit",AE456&lt;&gt;"Net Operating Revenue",AE456&lt;&gt;"Net Other Revenue",AE456&lt;&gt;"Net Revenue"),1,0)</f>
        <v>0</v>
      </c>
      <c r="AI456" s="36" t="str">
        <f aca="false">IF(AH456=1,IF(AND(LEN(AE456)&gt;7,ISNUMBER(VALUE(LEFT(AE456,6))),MID(AE456,7,1)=" "),LEFT(AE456,6),AE456),"")</f>
        <v/>
      </c>
      <c r="AN456" s="36" t="str">
        <f aca="false">TRIM(AK456)</f>
        <v/>
      </c>
      <c r="AO456" s="36" t="str">
        <f aca="false">IF(AN456="Revenue","Revenue",IF(AN456="Cost of Goods Sold","COGS",IF(AN456="Expenditures","Expense",IF(AN456="Other Revenue","Other Revenue",IF(AN456="Other Expenditures","Other Expense",AO455)))))</f>
        <v/>
      </c>
      <c r="AP456" s="36" t="str">
        <f aca="false">IF(OR(AN456="Revenue",AN456="Cost of Goods Sold",AN456="Expenditures",AN456="Other Revenue",AN456="Other Expenditures"),AO456,IF(AND(LEN(AN456)&gt;2,MID(AN456,2,1)=" ",ISNUMBER(VALUE(LEFT(AN456,1)))),AN456,AP455))</f>
        <v/>
      </c>
      <c r="AQ456" s="36" t="n">
        <f aca="false">IF(AND(AN456&lt;&gt;"",ISNUMBER(AL456),LEFT(AN456,9)&lt;&gt;"Total for",AN456&lt;&gt;"Gross Profit",AN456&lt;&gt;"Net Operating Revenue",AN456&lt;&gt;"Net Other Revenue",AN456&lt;&gt;"Net Revenue"),1,0)</f>
        <v>0</v>
      </c>
      <c r="AR456" s="36" t="str">
        <f aca="false">IF(AQ456=1,IF(AND(LEN(AN456)&gt;7,ISNUMBER(VALUE(LEFT(AN456,6))),MID(AN456,7,1)=" "),LEFT(AN456,6),AN456),"")</f>
        <v/>
      </c>
    </row>
    <row r="457" customFormat="false" ht="15" hidden="false" customHeight="false" outlineLevel="0" collapsed="false">
      <c r="D457" s="36" t="str">
        <f aca="false">TRIM(A457)</f>
        <v/>
      </c>
      <c r="E457" s="36" t="str">
        <f aca="false">IF(D457="Revenue","Revenue",IF(D457="Cost of Goods Sold","COGS",IF(D457="Expenditures","Expense",IF(D457="Other Revenue","Other Revenue",IF(D457="Other Expenditures","Other Expense",E456)))))</f>
        <v/>
      </c>
      <c r="F457" s="36" t="str">
        <f aca="false">IF(OR(D457="Revenue",D457="Cost of Goods Sold",D457="Expenditures",D457="Other Revenue",D457="Other Expenditures"),E457,IF(AND(LEN(D457)&gt;2,MID(D457,2,1)=" ",ISNUMBER(VALUE(LEFT(D457,1)))),D457,F456))</f>
        <v/>
      </c>
      <c r="G457" s="36" t="n">
        <f aca="false">IF(AND(D457&lt;&gt;"",ISNUMBER(B457),LEFT(D457,9)&lt;&gt;"Total for",D457&lt;&gt;"Gross Profit",D457&lt;&gt;"Net Operating Revenue",D457&lt;&gt;"Net Other Revenue",D457&lt;&gt;"Net Revenue"),1,0)</f>
        <v>0</v>
      </c>
      <c r="H457" s="36" t="str">
        <f aca="false">IF(G457=1,IF(AND(LEN(D457)&gt;7,ISNUMBER(VALUE(LEFT(D457,6))),MID(D457,7,1)=" "),LEFT(D457,6),D457),"")</f>
        <v/>
      </c>
      <c r="M457" s="36" t="str">
        <f aca="false">TRIM(J457)</f>
        <v/>
      </c>
      <c r="N457" s="36" t="str">
        <f aca="false">IF(M457="Revenue","Revenue",IF(M457="Cost of Goods Sold","COGS",IF(M457="Expenditures","Expense",IF(M457="Other Revenue","Other Revenue",IF(M457="Other Expenditures","Other Expense",N456)))))</f>
        <v/>
      </c>
      <c r="O457" s="36" t="str">
        <f aca="false">IF(OR(M457="Revenue",M457="Cost of Goods Sold",M457="Expenditures",M457="Other Revenue",M457="Other Expenditures"),N457,IF(AND(LEN(M457)&gt;2,MID(M457,2,1)=" ",ISNUMBER(VALUE(LEFT(M457,1)))),M457,O456))</f>
        <v/>
      </c>
      <c r="P457" s="36" t="n">
        <f aca="false">IF(AND(M457&lt;&gt;"",ISNUMBER(K457),LEFT(M457,9)&lt;&gt;"Total for",M457&lt;&gt;"Gross Profit",M457&lt;&gt;"Net Operating Revenue",M457&lt;&gt;"Net Other Revenue",M457&lt;&gt;"Net Revenue"),1,0)</f>
        <v>0</v>
      </c>
      <c r="Q457" s="36" t="str">
        <f aca="false">IF(P457=1,IF(AND(LEN(M457)&gt;7,ISNUMBER(VALUE(LEFT(M457,6))),MID(M457,7,1)=" "),LEFT(M457,6),M457),"")</f>
        <v/>
      </c>
      <c r="V457" s="36" t="str">
        <f aca="false">TRIM(S457)</f>
        <v/>
      </c>
      <c r="W457" s="36" t="str">
        <f aca="false">IF(V457="Revenue","Revenue",IF(V457="Cost of Goods Sold","COGS",IF(V457="Expenditures","Expense",IF(V457="Other Revenue","Other Revenue",IF(V457="Other Expenditures","Other Expense",W456)))))</f>
        <v/>
      </c>
      <c r="X457" s="36" t="str">
        <f aca="false">IF(OR(V457="Revenue",V457="Cost of Goods Sold",V457="Expenditures",V457="Other Revenue",V457="Other Expenditures"),W457,IF(AND(LEN(V457)&gt;2,MID(V457,2,1)=" ",ISNUMBER(VALUE(LEFT(V457,1)))),V457,X456))</f>
        <v/>
      </c>
      <c r="Y457" s="36" t="n">
        <f aca="false">IF(AND(V457&lt;&gt;"",ISNUMBER(T457),LEFT(V457,9)&lt;&gt;"Total for",V457&lt;&gt;"Gross Profit",V457&lt;&gt;"Net Operating Revenue",V457&lt;&gt;"Net Other Revenue",V457&lt;&gt;"Net Revenue"),1,0)</f>
        <v>0</v>
      </c>
      <c r="Z457" s="36" t="str">
        <f aca="false">IF(Y457=1,IF(AND(LEN(V457)&gt;7,ISNUMBER(VALUE(LEFT(V457,6))),MID(V457,7,1)=" "),LEFT(V457,6),V457),"")</f>
        <v/>
      </c>
      <c r="AE457" s="36" t="str">
        <f aca="false">TRIM(AB457)</f>
        <v/>
      </c>
      <c r="AF457" s="36" t="str">
        <f aca="false">IF(AE457="Revenue","Revenue",IF(AE457="Cost of Goods Sold","COGS",IF(AE457="Expenditures","Expense",IF(AE457="Other Revenue","Other Revenue",IF(AE457="Other Expenditures","Other Expense",AF456)))))</f>
        <v/>
      </c>
      <c r="AG457" s="36" t="str">
        <f aca="false">IF(OR(AE457="Revenue",AE457="Cost of Goods Sold",AE457="Expenditures",AE457="Other Revenue",AE457="Other Expenditures"),AF457,IF(AND(LEN(AE457)&gt;2,MID(AE457,2,1)=" ",ISNUMBER(VALUE(LEFT(AE457,1)))),AE457,AG456))</f>
        <v/>
      </c>
      <c r="AH457" s="36" t="n">
        <f aca="false">IF(AND(AE457&lt;&gt;"",ISNUMBER(AC457),LEFT(AE457,9)&lt;&gt;"Total for",AE457&lt;&gt;"Gross Profit",AE457&lt;&gt;"Net Operating Revenue",AE457&lt;&gt;"Net Other Revenue",AE457&lt;&gt;"Net Revenue"),1,0)</f>
        <v>0</v>
      </c>
      <c r="AI457" s="36" t="str">
        <f aca="false">IF(AH457=1,IF(AND(LEN(AE457)&gt;7,ISNUMBER(VALUE(LEFT(AE457,6))),MID(AE457,7,1)=" "),LEFT(AE457,6),AE457),"")</f>
        <v/>
      </c>
      <c r="AN457" s="36" t="str">
        <f aca="false">TRIM(AK457)</f>
        <v/>
      </c>
      <c r="AO457" s="36" t="str">
        <f aca="false">IF(AN457="Revenue","Revenue",IF(AN457="Cost of Goods Sold","COGS",IF(AN457="Expenditures","Expense",IF(AN457="Other Revenue","Other Revenue",IF(AN457="Other Expenditures","Other Expense",AO456)))))</f>
        <v/>
      </c>
      <c r="AP457" s="36" t="str">
        <f aca="false">IF(OR(AN457="Revenue",AN457="Cost of Goods Sold",AN457="Expenditures",AN457="Other Revenue",AN457="Other Expenditures"),AO457,IF(AND(LEN(AN457)&gt;2,MID(AN457,2,1)=" ",ISNUMBER(VALUE(LEFT(AN457,1)))),AN457,AP456))</f>
        <v/>
      </c>
      <c r="AQ457" s="36" t="n">
        <f aca="false">IF(AND(AN457&lt;&gt;"",ISNUMBER(AL457),LEFT(AN457,9)&lt;&gt;"Total for",AN457&lt;&gt;"Gross Profit",AN457&lt;&gt;"Net Operating Revenue",AN457&lt;&gt;"Net Other Revenue",AN457&lt;&gt;"Net Revenue"),1,0)</f>
        <v>0</v>
      </c>
      <c r="AR457" s="36" t="str">
        <f aca="false">IF(AQ457=1,IF(AND(LEN(AN457)&gt;7,ISNUMBER(VALUE(LEFT(AN457,6))),MID(AN457,7,1)=" "),LEFT(AN457,6),AN457),"")</f>
        <v/>
      </c>
    </row>
    <row r="458" customFormat="false" ht="15" hidden="false" customHeight="false" outlineLevel="0" collapsed="false">
      <c r="D458" s="36" t="str">
        <f aca="false">TRIM(A458)</f>
        <v/>
      </c>
      <c r="E458" s="36" t="str">
        <f aca="false">IF(D458="Revenue","Revenue",IF(D458="Cost of Goods Sold","COGS",IF(D458="Expenditures","Expense",IF(D458="Other Revenue","Other Revenue",IF(D458="Other Expenditures","Other Expense",E457)))))</f>
        <v/>
      </c>
      <c r="F458" s="36" t="str">
        <f aca="false">IF(OR(D458="Revenue",D458="Cost of Goods Sold",D458="Expenditures",D458="Other Revenue",D458="Other Expenditures"),E458,IF(AND(LEN(D458)&gt;2,MID(D458,2,1)=" ",ISNUMBER(VALUE(LEFT(D458,1)))),D458,F457))</f>
        <v/>
      </c>
      <c r="G458" s="36" t="n">
        <f aca="false">IF(AND(D458&lt;&gt;"",ISNUMBER(B458),LEFT(D458,9)&lt;&gt;"Total for",D458&lt;&gt;"Gross Profit",D458&lt;&gt;"Net Operating Revenue",D458&lt;&gt;"Net Other Revenue",D458&lt;&gt;"Net Revenue"),1,0)</f>
        <v>0</v>
      </c>
      <c r="H458" s="36" t="str">
        <f aca="false">IF(G458=1,IF(AND(LEN(D458)&gt;7,ISNUMBER(VALUE(LEFT(D458,6))),MID(D458,7,1)=" "),LEFT(D458,6),D458),"")</f>
        <v/>
      </c>
      <c r="M458" s="36" t="str">
        <f aca="false">TRIM(J458)</f>
        <v/>
      </c>
      <c r="N458" s="36" t="str">
        <f aca="false">IF(M458="Revenue","Revenue",IF(M458="Cost of Goods Sold","COGS",IF(M458="Expenditures","Expense",IF(M458="Other Revenue","Other Revenue",IF(M458="Other Expenditures","Other Expense",N457)))))</f>
        <v/>
      </c>
      <c r="O458" s="36" t="str">
        <f aca="false">IF(OR(M458="Revenue",M458="Cost of Goods Sold",M458="Expenditures",M458="Other Revenue",M458="Other Expenditures"),N458,IF(AND(LEN(M458)&gt;2,MID(M458,2,1)=" ",ISNUMBER(VALUE(LEFT(M458,1)))),M458,O457))</f>
        <v/>
      </c>
      <c r="P458" s="36" t="n">
        <f aca="false">IF(AND(M458&lt;&gt;"",ISNUMBER(K458),LEFT(M458,9)&lt;&gt;"Total for",M458&lt;&gt;"Gross Profit",M458&lt;&gt;"Net Operating Revenue",M458&lt;&gt;"Net Other Revenue",M458&lt;&gt;"Net Revenue"),1,0)</f>
        <v>0</v>
      </c>
      <c r="Q458" s="36" t="str">
        <f aca="false">IF(P458=1,IF(AND(LEN(M458)&gt;7,ISNUMBER(VALUE(LEFT(M458,6))),MID(M458,7,1)=" "),LEFT(M458,6),M458),"")</f>
        <v/>
      </c>
      <c r="V458" s="36" t="str">
        <f aca="false">TRIM(S458)</f>
        <v/>
      </c>
      <c r="W458" s="36" t="str">
        <f aca="false">IF(V458="Revenue","Revenue",IF(V458="Cost of Goods Sold","COGS",IF(V458="Expenditures","Expense",IF(V458="Other Revenue","Other Revenue",IF(V458="Other Expenditures","Other Expense",W457)))))</f>
        <v/>
      </c>
      <c r="X458" s="36" t="str">
        <f aca="false">IF(OR(V458="Revenue",V458="Cost of Goods Sold",V458="Expenditures",V458="Other Revenue",V458="Other Expenditures"),W458,IF(AND(LEN(V458)&gt;2,MID(V458,2,1)=" ",ISNUMBER(VALUE(LEFT(V458,1)))),V458,X457))</f>
        <v/>
      </c>
      <c r="Y458" s="36" t="n">
        <f aca="false">IF(AND(V458&lt;&gt;"",ISNUMBER(T458),LEFT(V458,9)&lt;&gt;"Total for",V458&lt;&gt;"Gross Profit",V458&lt;&gt;"Net Operating Revenue",V458&lt;&gt;"Net Other Revenue",V458&lt;&gt;"Net Revenue"),1,0)</f>
        <v>0</v>
      </c>
      <c r="Z458" s="36" t="str">
        <f aca="false">IF(Y458=1,IF(AND(LEN(V458)&gt;7,ISNUMBER(VALUE(LEFT(V458,6))),MID(V458,7,1)=" "),LEFT(V458,6),V458),"")</f>
        <v/>
      </c>
      <c r="AE458" s="36" t="str">
        <f aca="false">TRIM(AB458)</f>
        <v/>
      </c>
      <c r="AF458" s="36" t="str">
        <f aca="false">IF(AE458="Revenue","Revenue",IF(AE458="Cost of Goods Sold","COGS",IF(AE458="Expenditures","Expense",IF(AE458="Other Revenue","Other Revenue",IF(AE458="Other Expenditures","Other Expense",AF457)))))</f>
        <v/>
      </c>
      <c r="AG458" s="36" t="str">
        <f aca="false">IF(OR(AE458="Revenue",AE458="Cost of Goods Sold",AE458="Expenditures",AE458="Other Revenue",AE458="Other Expenditures"),AF458,IF(AND(LEN(AE458)&gt;2,MID(AE458,2,1)=" ",ISNUMBER(VALUE(LEFT(AE458,1)))),AE458,AG457))</f>
        <v/>
      </c>
      <c r="AH458" s="36" t="n">
        <f aca="false">IF(AND(AE458&lt;&gt;"",ISNUMBER(AC458),LEFT(AE458,9)&lt;&gt;"Total for",AE458&lt;&gt;"Gross Profit",AE458&lt;&gt;"Net Operating Revenue",AE458&lt;&gt;"Net Other Revenue",AE458&lt;&gt;"Net Revenue"),1,0)</f>
        <v>0</v>
      </c>
      <c r="AI458" s="36" t="str">
        <f aca="false">IF(AH458=1,IF(AND(LEN(AE458)&gt;7,ISNUMBER(VALUE(LEFT(AE458,6))),MID(AE458,7,1)=" "),LEFT(AE458,6),AE458),"")</f>
        <v/>
      </c>
      <c r="AN458" s="36" t="str">
        <f aca="false">TRIM(AK458)</f>
        <v/>
      </c>
      <c r="AO458" s="36" t="str">
        <f aca="false">IF(AN458="Revenue","Revenue",IF(AN458="Cost of Goods Sold","COGS",IF(AN458="Expenditures","Expense",IF(AN458="Other Revenue","Other Revenue",IF(AN458="Other Expenditures","Other Expense",AO457)))))</f>
        <v/>
      </c>
      <c r="AP458" s="36" t="str">
        <f aca="false">IF(OR(AN458="Revenue",AN458="Cost of Goods Sold",AN458="Expenditures",AN458="Other Revenue",AN458="Other Expenditures"),AO458,IF(AND(LEN(AN458)&gt;2,MID(AN458,2,1)=" ",ISNUMBER(VALUE(LEFT(AN458,1)))),AN458,AP457))</f>
        <v/>
      </c>
      <c r="AQ458" s="36" t="n">
        <f aca="false">IF(AND(AN458&lt;&gt;"",ISNUMBER(AL458),LEFT(AN458,9)&lt;&gt;"Total for",AN458&lt;&gt;"Gross Profit",AN458&lt;&gt;"Net Operating Revenue",AN458&lt;&gt;"Net Other Revenue",AN458&lt;&gt;"Net Revenue"),1,0)</f>
        <v>0</v>
      </c>
      <c r="AR458" s="36" t="str">
        <f aca="false">IF(AQ458=1,IF(AND(LEN(AN458)&gt;7,ISNUMBER(VALUE(LEFT(AN458,6))),MID(AN458,7,1)=" "),LEFT(AN458,6),AN458),"")</f>
        <v/>
      </c>
    </row>
    <row r="459" customFormat="false" ht="15" hidden="false" customHeight="false" outlineLevel="0" collapsed="false">
      <c r="D459" s="36" t="str">
        <f aca="false">TRIM(A459)</f>
        <v/>
      </c>
      <c r="E459" s="36" t="str">
        <f aca="false">IF(D459="Revenue","Revenue",IF(D459="Cost of Goods Sold","COGS",IF(D459="Expenditures","Expense",IF(D459="Other Revenue","Other Revenue",IF(D459="Other Expenditures","Other Expense",E458)))))</f>
        <v/>
      </c>
      <c r="F459" s="36" t="str">
        <f aca="false">IF(OR(D459="Revenue",D459="Cost of Goods Sold",D459="Expenditures",D459="Other Revenue",D459="Other Expenditures"),E459,IF(AND(LEN(D459)&gt;2,MID(D459,2,1)=" ",ISNUMBER(VALUE(LEFT(D459,1)))),D459,F458))</f>
        <v/>
      </c>
      <c r="G459" s="36" t="n">
        <f aca="false">IF(AND(D459&lt;&gt;"",ISNUMBER(B459),LEFT(D459,9)&lt;&gt;"Total for",D459&lt;&gt;"Gross Profit",D459&lt;&gt;"Net Operating Revenue",D459&lt;&gt;"Net Other Revenue",D459&lt;&gt;"Net Revenue"),1,0)</f>
        <v>0</v>
      </c>
      <c r="H459" s="36" t="str">
        <f aca="false">IF(G459=1,IF(AND(LEN(D459)&gt;7,ISNUMBER(VALUE(LEFT(D459,6))),MID(D459,7,1)=" "),LEFT(D459,6),D459),"")</f>
        <v/>
      </c>
      <c r="M459" s="36" t="str">
        <f aca="false">TRIM(J459)</f>
        <v/>
      </c>
      <c r="N459" s="36" t="str">
        <f aca="false">IF(M459="Revenue","Revenue",IF(M459="Cost of Goods Sold","COGS",IF(M459="Expenditures","Expense",IF(M459="Other Revenue","Other Revenue",IF(M459="Other Expenditures","Other Expense",N458)))))</f>
        <v/>
      </c>
      <c r="O459" s="36" t="str">
        <f aca="false">IF(OR(M459="Revenue",M459="Cost of Goods Sold",M459="Expenditures",M459="Other Revenue",M459="Other Expenditures"),N459,IF(AND(LEN(M459)&gt;2,MID(M459,2,1)=" ",ISNUMBER(VALUE(LEFT(M459,1)))),M459,O458))</f>
        <v/>
      </c>
      <c r="P459" s="36" t="n">
        <f aca="false">IF(AND(M459&lt;&gt;"",ISNUMBER(K459),LEFT(M459,9)&lt;&gt;"Total for",M459&lt;&gt;"Gross Profit",M459&lt;&gt;"Net Operating Revenue",M459&lt;&gt;"Net Other Revenue",M459&lt;&gt;"Net Revenue"),1,0)</f>
        <v>0</v>
      </c>
      <c r="Q459" s="36" t="str">
        <f aca="false">IF(P459=1,IF(AND(LEN(M459)&gt;7,ISNUMBER(VALUE(LEFT(M459,6))),MID(M459,7,1)=" "),LEFT(M459,6),M459),"")</f>
        <v/>
      </c>
      <c r="V459" s="36" t="str">
        <f aca="false">TRIM(S459)</f>
        <v/>
      </c>
      <c r="W459" s="36" t="str">
        <f aca="false">IF(V459="Revenue","Revenue",IF(V459="Cost of Goods Sold","COGS",IF(V459="Expenditures","Expense",IF(V459="Other Revenue","Other Revenue",IF(V459="Other Expenditures","Other Expense",W458)))))</f>
        <v/>
      </c>
      <c r="X459" s="36" t="str">
        <f aca="false">IF(OR(V459="Revenue",V459="Cost of Goods Sold",V459="Expenditures",V459="Other Revenue",V459="Other Expenditures"),W459,IF(AND(LEN(V459)&gt;2,MID(V459,2,1)=" ",ISNUMBER(VALUE(LEFT(V459,1)))),V459,X458))</f>
        <v/>
      </c>
      <c r="Y459" s="36" t="n">
        <f aca="false">IF(AND(V459&lt;&gt;"",ISNUMBER(T459),LEFT(V459,9)&lt;&gt;"Total for",V459&lt;&gt;"Gross Profit",V459&lt;&gt;"Net Operating Revenue",V459&lt;&gt;"Net Other Revenue",V459&lt;&gt;"Net Revenue"),1,0)</f>
        <v>0</v>
      </c>
      <c r="Z459" s="36" t="str">
        <f aca="false">IF(Y459=1,IF(AND(LEN(V459)&gt;7,ISNUMBER(VALUE(LEFT(V459,6))),MID(V459,7,1)=" "),LEFT(V459,6),V459),"")</f>
        <v/>
      </c>
      <c r="AE459" s="36" t="str">
        <f aca="false">TRIM(AB459)</f>
        <v/>
      </c>
      <c r="AF459" s="36" t="str">
        <f aca="false">IF(AE459="Revenue","Revenue",IF(AE459="Cost of Goods Sold","COGS",IF(AE459="Expenditures","Expense",IF(AE459="Other Revenue","Other Revenue",IF(AE459="Other Expenditures","Other Expense",AF458)))))</f>
        <v/>
      </c>
      <c r="AG459" s="36" t="str">
        <f aca="false">IF(OR(AE459="Revenue",AE459="Cost of Goods Sold",AE459="Expenditures",AE459="Other Revenue",AE459="Other Expenditures"),AF459,IF(AND(LEN(AE459)&gt;2,MID(AE459,2,1)=" ",ISNUMBER(VALUE(LEFT(AE459,1)))),AE459,AG458))</f>
        <v/>
      </c>
      <c r="AH459" s="36" t="n">
        <f aca="false">IF(AND(AE459&lt;&gt;"",ISNUMBER(AC459),LEFT(AE459,9)&lt;&gt;"Total for",AE459&lt;&gt;"Gross Profit",AE459&lt;&gt;"Net Operating Revenue",AE459&lt;&gt;"Net Other Revenue",AE459&lt;&gt;"Net Revenue"),1,0)</f>
        <v>0</v>
      </c>
      <c r="AI459" s="36" t="str">
        <f aca="false">IF(AH459=1,IF(AND(LEN(AE459)&gt;7,ISNUMBER(VALUE(LEFT(AE459,6))),MID(AE459,7,1)=" "),LEFT(AE459,6),AE459),"")</f>
        <v/>
      </c>
      <c r="AN459" s="36" t="str">
        <f aca="false">TRIM(AK459)</f>
        <v/>
      </c>
      <c r="AO459" s="36" t="str">
        <f aca="false">IF(AN459="Revenue","Revenue",IF(AN459="Cost of Goods Sold","COGS",IF(AN459="Expenditures","Expense",IF(AN459="Other Revenue","Other Revenue",IF(AN459="Other Expenditures","Other Expense",AO458)))))</f>
        <v/>
      </c>
      <c r="AP459" s="36" t="str">
        <f aca="false">IF(OR(AN459="Revenue",AN459="Cost of Goods Sold",AN459="Expenditures",AN459="Other Revenue",AN459="Other Expenditures"),AO459,IF(AND(LEN(AN459)&gt;2,MID(AN459,2,1)=" ",ISNUMBER(VALUE(LEFT(AN459,1)))),AN459,AP458))</f>
        <v/>
      </c>
      <c r="AQ459" s="36" t="n">
        <f aca="false">IF(AND(AN459&lt;&gt;"",ISNUMBER(AL459),LEFT(AN459,9)&lt;&gt;"Total for",AN459&lt;&gt;"Gross Profit",AN459&lt;&gt;"Net Operating Revenue",AN459&lt;&gt;"Net Other Revenue",AN459&lt;&gt;"Net Revenue"),1,0)</f>
        <v>0</v>
      </c>
      <c r="AR459" s="36" t="str">
        <f aca="false">IF(AQ459=1,IF(AND(LEN(AN459)&gt;7,ISNUMBER(VALUE(LEFT(AN459,6))),MID(AN459,7,1)=" "),LEFT(AN459,6),AN459),"")</f>
        <v/>
      </c>
    </row>
    <row r="460" customFormat="false" ht="15" hidden="false" customHeight="false" outlineLevel="0" collapsed="false">
      <c r="D460" s="36" t="str">
        <f aca="false">TRIM(A460)</f>
        <v/>
      </c>
      <c r="E460" s="36" t="str">
        <f aca="false">IF(D460="Revenue","Revenue",IF(D460="Cost of Goods Sold","COGS",IF(D460="Expenditures","Expense",IF(D460="Other Revenue","Other Revenue",IF(D460="Other Expenditures","Other Expense",E459)))))</f>
        <v/>
      </c>
      <c r="F460" s="36" t="str">
        <f aca="false">IF(OR(D460="Revenue",D460="Cost of Goods Sold",D460="Expenditures",D460="Other Revenue",D460="Other Expenditures"),E460,IF(AND(LEN(D460)&gt;2,MID(D460,2,1)=" ",ISNUMBER(VALUE(LEFT(D460,1)))),D460,F459))</f>
        <v/>
      </c>
      <c r="G460" s="36" t="n">
        <f aca="false">IF(AND(D460&lt;&gt;"",ISNUMBER(B460),LEFT(D460,9)&lt;&gt;"Total for",D460&lt;&gt;"Gross Profit",D460&lt;&gt;"Net Operating Revenue",D460&lt;&gt;"Net Other Revenue",D460&lt;&gt;"Net Revenue"),1,0)</f>
        <v>0</v>
      </c>
      <c r="H460" s="36" t="str">
        <f aca="false">IF(G460=1,IF(AND(LEN(D460)&gt;7,ISNUMBER(VALUE(LEFT(D460,6))),MID(D460,7,1)=" "),LEFT(D460,6),D460),"")</f>
        <v/>
      </c>
      <c r="M460" s="36" t="str">
        <f aca="false">TRIM(J460)</f>
        <v/>
      </c>
      <c r="N460" s="36" t="str">
        <f aca="false">IF(M460="Revenue","Revenue",IF(M460="Cost of Goods Sold","COGS",IF(M460="Expenditures","Expense",IF(M460="Other Revenue","Other Revenue",IF(M460="Other Expenditures","Other Expense",N459)))))</f>
        <v/>
      </c>
      <c r="O460" s="36" t="str">
        <f aca="false">IF(OR(M460="Revenue",M460="Cost of Goods Sold",M460="Expenditures",M460="Other Revenue",M460="Other Expenditures"),N460,IF(AND(LEN(M460)&gt;2,MID(M460,2,1)=" ",ISNUMBER(VALUE(LEFT(M460,1)))),M460,O459))</f>
        <v/>
      </c>
      <c r="P460" s="36" t="n">
        <f aca="false">IF(AND(M460&lt;&gt;"",ISNUMBER(K460),LEFT(M460,9)&lt;&gt;"Total for",M460&lt;&gt;"Gross Profit",M460&lt;&gt;"Net Operating Revenue",M460&lt;&gt;"Net Other Revenue",M460&lt;&gt;"Net Revenue"),1,0)</f>
        <v>0</v>
      </c>
      <c r="Q460" s="36" t="str">
        <f aca="false">IF(P460=1,IF(AND(LEN(M460)&gt;7,ISNUMBER(VALUE(LEFT(M460,6))),MID(M460,7,1)=" "),LEFT(M460,6),M460),"")</f>
        <v/>
      </c>
      <c r="V460" s="36" t="str">
        <f aca="false">TRIM(S460)</f>
        <v/>
      </c>
      <c r="W460" s="36" t="str">
        <f aca="false">IF(V460="Revenue","Revenue",IF(V460="Cost of Goods Sold","COGS",IF(V460="Expenditures","Expense",IF(V460="Other Revenue","Other Revenue",IF(V460="Other Expenditures","Other Expense",W459)))))</f>
        <v/>
      </c>
      <c r="X460" s="36" t="str">
        <f aca="false">IF(OR(V460="Revenue",V460="Cost of Goods Sold",V460="Expenditures",V460="Other Revenue",V460="Other Expenditures"),W460,IF(AND(LEN(V460)&gt;2,MID(V460,2,1)=" ",ISNUMBER(VALUE(LEFT(V460,1)))),V460,X459))</f>
        <v/>
      </c>
      <c r="Y460" s="36" t="n">
        <f aca="false">IF(AND(V460&lt;&gt;"",ISNUMBER(T460),LEFT(V460,9)&lt;&gt;"Total for",V460&lt;&gt;"Gross Profit",V460&lt;&gt;"Net Operating Revenue",V460&lt;&gt;"Net Other Revenue",V460&lt;&gt;"Net Revenue"),1,0)</f>
        <v>0</v>
      </c>
      <c r="Z460" s="36" t="str">
        <f aca="false">IF(Y460=1,IF(AND(LEN(V460)&gt;7,ISNUMBER(VALUE(LEFT(V460,6))),MID(V460,7,1)=" "),LEFT(V460,6),V460),"")</f>
        <v/>
      </c>
      <c r="AE460" s="36" t="str">
        <f aca="false">TRIM(AB460)</f>
        <v/>
      </c>
      <c r="AF460" s="36" t="str">
        <f aca="false">IF(AE460="Revenue","Revenue",IF(AE460="Cost of Goods Sold","COGS",IF(AE460="Expenditures","Expense",IF(AE460="Other Revenue","Other Revenue",IF(AE460="Other Expenditures","Other Expense",AF459)))))</f>
        <v/>
      </c>
      <c r="AG460" s="36" t="str">
        <f aca="false">IF(OR(AE460="Revenue",AE460="Cost of Goods Sold",AE460="Expenditures",AE460="Other Revenue",AE460="Other Expenditures"),AF460,IF(AND(LEN(AE460)&gt;2,MID(AE460,2,1)=" ",ISNUMBER(VALUE(LEFT(AE460,1)))),AE460,AG459))</f>
        <v/>
      </c>
      <c r="AH460" s="36" t="n">
        <f aca="false">IF(AND(AE460&lt;&gt;"",ISNUMBER(AC460),LEFT(AE460,9)&lt;&gt;"Total for",AE460&lt;&gt;"Gross Profit",AE460&lt;&gt;"Net Operating Revenue",AE460&lt;&gt;"Net Other Revenue",AE460&lt;&gt;"Net Revenue"),1,0)</f>
        <v>0</v>
      </c>
      <c r="AI460" s="36" t="str">
        <f aca="false">IF(AH460=1,IF(AND(LEN(AE460)&gt;7,ISNUMBER(VALUE(LEFT(AE460,6))),MID(AE460,7,1)=" "),LEFT(AE460,6),AE460),"")</f>
        <v/>
      </c>
      <c r="AN460" s="36" t="str">
        <f aca="false">TRIM(AK460)</f>
        <v/>
      </c>
      <c r="AO460" s="36" t="str">
        <f aca="false">IF(AN460="Revenue","Revenue",IF(AN460="Cost of Goods Sold","COGS",IF(AN460="Expenditures","Expense",IF(AN460="Other Revenue","Other Revenue",IF(AN460="Other Expenditures","Other Expense",AO459)))))</f>
        <v/>
      </c>
      <c r="AP460" s="36" t="str">
        <f aca="false">IF(OR(AN460="Revenue",AN460="Cost of Goods Sold",AN460="Expenditures",AN460="Other Revenue",AN460="Other Expenditures"),AO460,IF(AND(LEN(AN460)&gt;2,MID(AN460,2,1)=" ",ISNUMBER(VALUE(LEFT(AN460,1)))),AN460,AP459))</f>
        <v/>
      </c>
      <c r="AQ460" s="36" t="n">
        <f aca="false">IF(AND(AN460&lt;&gt;"",ISNUMBER(AL460),LEFT(AN460,9)&lt;&gt;"Total for",AN460&lt;&gt;"Gross Profit",AN460&lt;&gt;"Net Operating Revenue",AN460&lt;&gt;"Net Other Revenue",AN460&lt;&gt;"Net Revenue"),1,0)</f>
        <v>0</v>
      </c>
      <c r="AR460" s="36" t="str">
        <f aca="false">IF(AQ460=1,IF(AND(LEN(AN460)&gt;7,ISNUMBER(VALUE(LEFT(AN460,6))),MID(AN460,7,1)=" "),LEFT(AN460,6),AN460),"")</f>
        <v/>
      </c>
    </row>
    <row r="461" customFormat="false" ht="15" hidden="false" customHeight="false" outlineLevel="0" collapsed="false">
      <c r="D461" s="36" t="str">
        <f aca="false">TRIM(A461)</f>
        <v/>
      </c>
      <c r="E461" s="36" t="str">
        <f aca="false">IF(D461="Revenue","Revenue",IF(D461="Cost of Goods Sold","COGS",IF(D461="Expenditures","Expense",IF(D461="Other Revenue","Other Revenue",IF(D461="Other Expenditures","Other Expense",E460)))))</f>
        <v/>
      </c>
      <c r="F461" s="36" t="str">
        <f aca="false">IF(OR(D461="Revenue",D461="Cost of Goods Sold",D461="Expenditures",D461="Other Revenue",D461="Other Expenditures"),E461,IF(AND(LEN(D461)&gt;2,MID(D461,2,1)=" ",ISNUMBER(VALUE(LEFT(D461,1)))),D461,F460))</f>
        <v/>
      </c>
      <c r="G461" s="36" t="n">
        <f aca="false">IF(AND(D461&lt;&gt;"",ISNUMBER(B461),LEFT(D461,9)&lt;&gt;"Total for",D461&lt;&gt;"Gross Profit",D461&lt;&gt;"Net Operating Revenue",D461&lt;&gt;"Net Other Revenue",D461&lt;&gt;"Net Revenue"),1,0)</f>
        <v>0</v>
      </c>
      <c r="H461" s="36" t="str">
        <f aca="false">IF(G461=1,IF(AND(LEN(D461)&gt;7,ISNUMBER(VALUE(LEFT(D461,6))),MID(D461,7,1)=" "),LEFT(D461,6),D461),"")</f>
        <v/>
      </c>
      <c r="M461" s="36" t="str">
        <f aca="false">TRIM(J461)</f>
        <v/>
      </c>
      <c r="N461" s="36" t="str">
        <f aca="false">IF(M461="Revenue","Revenue",IF(M461="Cost of Goods Sold","COGS",IF(M461="Expenditures","Expense",IF(M461="Other Revenue","Other Revenue",IF(M461="Other Expenditures","Other Expense",N460)))))</f>
        <v/>
      </c>
      <c r="O461" s="36" t="str">
        <f aca="false">IF(OR(M461="Revenue",M461="Cost of Goods Sold",M461="Expenditures",M461="Other Revenue",M461="Other Expenditures"),N461,IF(AND(LEN(M461)&gt;2,MID(M461,2,1)=" ",ISNUMBER(VALUE(LEFT(M461,1)))),M461,O460))</f>
        <v/>
      </c>
      <c r="P461" s="36" t="n">
        <f aca="false">IF(AND(M461&lt;&gt;"",ISNUMBER(K461),LEFT(M461,9)&lt;&gt;"Total for",M461&lt;&gt;"Gross Profit",M461&lt;&gt;"Net Operating Revenue",M461&lt;&gt;"Net Other Revenue",M461&lt;&gt;"Net Revenue"),1,0)</f>
        <v>0</v>
      </c>
      <c r="Q461" s="36" t="str">
        <f aca="false">IF(P461=1,IF(AND(LEN(M461)&gt;7,ISNUMBER(VALUE(LEFT(M461,6))),MID(M461,7,1)=" "),LEFT(M461,6),M461),"")</f>
        <v/>
      </c>
      <c r="V461" s="36" t="str">
        <f aca="false">TRIM(S461)</f>
        <v/>
      </c>
      <c r="W461" s="36" t="str">
        <f aca="false">IF(V461="Revenue","Revenue",IF(V461="Cost of Goods Sold","COGS",IF(V461="Expenditures","Expense",IF(V461="Other Revenue","Other Revenue",IF(V461="Other Expenditures","Other Expense",W460)))))</f>
        <v/>
      </c>
      <c r="X461" s="36" t="str">
        <f aca="false">IF(OR(V461="Revenue",V461="Cost of Goods Sold",V461="Expenditures",V461="Other Revenue",V461="Other Expenditures"),W461,IF(AND(LEN(V461)&gt;2,MID(V461,2,1)=" ",ISNUMBER(VALUE(LEFT(V461,1)))),V461,X460))</f>
        <v/>
      </c>
      <c r="Y461" s="36" t="n">
        <f aca="false">IF(AND(V461&lt;&gt;"",ISNUMBER(T461),LEFT(V461,9)&lt;&gt;"Total for",V461&lt;&gt;"Gross Profit",V461&lt;&gt;"Net Operating Revenue",V461&lt;&gt;"Net Other Revenue",V461&lt;&gt;"Net Revenue"),1,0)</f>
        <v>0</v>
      </c>
      <c r="Z461" s="36" t="str">
        <f aca="false">IF(Y461=1,IF(AND(LEN(V461)&gt;7,ISNUMBER(VALUE(LEFT(V461,6))),MID(V461,7,1)=" "),LEFT(V461,6),V461),"")</f>
        <v/>
      </c>
      <c r="AE461" s="36" t="str">
        <f aca="false">TRIM(AB461)</f>
        <v/>
      </c>
      <c r="AF461" s="36" t="str">
        <f aca="false">IF(AE461="Revenue","Revenue",IF(AE461="Cost of Goods Sold","COGS",IF(AE461="Expenditures","Expense",IF(AE461="Other Revenue","Other Revenue",IF(AE461="Other Expenditures","Other Expense",AF460)))))</f>
        <v/>
      </c>
      <c r="AG461" s="36" t="str">
        <f aca="false">IF(OR(AE461="Revenue",AE461="Cost of Goods Sold",AE461="Expenditures",AE461="Other Revenue",AE461="Other Expenditures"),AF461,IF(AND(LEN(AE461)&gt;2,MID(AE461,2,1)=" ",ISNUMBER(VALUE(LEFT(AE461,1)))),AE461,AG460))</f>
        <v/>
      </c>
      <c r="AH461" s="36" t="n">
        <f aca="false">IF(AND(AE461&lt;&gt;"",ISNUMBER(AC461),LEFT(AE461,9)&lt;&gt;"Total for",AE461&lt;&gt;"Gross Profit",AE461&lt;&gt;"Net Operating Revenue",AE461&lt;&gt;"Net Other Revenue",AE461&lt;&gt;"Net Revenue"),1,0)</f>
        <v>0</v>
      </c>
      <c r="AI461" s="36" t="str">
        <f aca="false">IF(AH461=1,IF(AND(LEN(AE461)&gt;7,ISNUMBER(VALUE(LEFT(AE461,6))),MID(AE461,7,1)=" "),LEFT(AE461,6),AE461),"")</f>
        <v/>
      </c>
      <c r="AN461" s="36" t="str">
        <f aca="false">TRIM(AK461)</f>
        <v/>
      </c>
      <c r="AO461" s="36" t="str">
        <f aca="false">IF(AN461="Revenue","Revenue",IF(AN461="Cost of Goods Sold","COGS",IF(AN461="Expenditures","Expense",IF(AN461="Other Revenue","Other Revenue",IF(AN461="Other Expenditures","Other Expense",AO460)))))</f>
        <v/>
      </c>
      <c r="AP461" s="36" t="str">
        <f aca="false">IF(OR(AN461="Revenue",AN461="Cost of Goods Sold",AN461="Expenditures",AN461="Other Revenue",AN461="Other Expenditures"),AO461,IF(AND(LEN(AN461)&gt;2,MID(AN461,2,1)=" ",ISNUMBER(VALUE(LEFT(AN461,1)))),AN461,AP460))</f>
        <v/>
      </c>
      <c r="AQ461" s="36" t="n">
        <f aca="false">IF(AND(AN461&lt;&gt;"",ISNUMBER(AL461),LEFT(AN461,9)&lt;&gt;"Total for",AN461&lt;&gt;"Gross Profit",AN461&lt;&gt;"Net Operating Revenue",AN461&lt;&gt;"Net Other Revenue",AN461&lt;&gt;"Net Revenue"),1,0)</f>
        <v>0</v>
      </c>
      <c r="AR461" s="36" t="str">
        <f aca="false">IF(AQ461=1,IF(AND(LEN(AN461)&gt;7,ISNUMBER(VALUE(LEFT(AN461,6))),MID(AN461,7,1)=" "),LEFT(AN461,6),AN461),"")</f>
        <v/>
      </c>
    </row>
    <row r="462" customFormat="false" ht="15" hidden="false" customHeight="false" outlineLevel="0" collapsed="false">
      <c r="D462" s="36" t="str">
        <f aca="false">TRIM(A462)</f>
        <v/>
      </c>
      <c r="E462" s="36" t="str">
        <f aca="false">IF(D462="Revenue","Revenue",IF(D462="Cost of Goods Sold","COGS",IF(D462="Expenditures","Expense",IF(D462="Other Revenue","Other Revenue",IF(D462="Other Expenditures","Other Expense",E461)))))</f>
        <v/>
      </c>
      <c r="F462" s="36" t="str">
        <f aca="false">IF(OR(D462="Revenue",D462="Cost of Goods Sold",D462="Expenditures",D462="Other Revenue",D462="Other Expenditures"),E462,IF(AND(LEN(D462)&gt;2,MID(D462,2,1)=" ",ISNUMBER(VALUE(LEFT(D462,1)))),D462,F461))</f>
        <v/>
      </c>
      <c r="G462" s="36" t="n">
        <f aca="false">IF(AND(D462&lt;&gt;"",ISNUMBER(B462),LEFT(D462,9)&lt;&gt;"Total for",D462&lt;&gt;"Gross Profit",D462&lt;&gt;"Net Operating Revenue",D462&lt;&gt;"Net Other Revenue",D462&lt;&gt;"Net Revenue"),1,0)</f>
        <v>0</v>
      </c>
      <c r="H462" s="36" t="str">
        <f aca="false">IF(G462=1,IF(AND(LEN(D462)&gt;7,ISNUMBER(VALUE(LEFT(D462,6))),MID(D462,7,1)=" "),LEFT(D462,6),D462),"")</f>
        <v/>
      </c>
      <c r="M462" s="36" t="str">
        <f aca="false">TRIM(J462)</f>
        <v/>
      </c>
      <c r="N462" s="36" t="str">
        <f aca="false">IF(M462="Revenue","Revenue",IF(M462="Cost of Goods Sold","COGS",IF(M462="Expenditures","Expense",IF(M462="Other Revenue","Other Revenue",IF(M462="Other Expenditures","Other Expense",N461)))))</f>
        <v/>
      </c>
      <c r="O462" s="36" t="str">
        <f aca="false">IF(OR(M462="Revenue",M462="Cost of Goods Sold",M462="Expenditures",M462="Other Revenue",M462="Other Expenditures"),N462,IF(AND(LEN(M462)&gt;2,MID(M462,2,1)=" ",ISNUMBER(VALUE(LEFT(M462,1)))),M462,O461))</f>
        <v/>
      </c>
      <c r="P462" s="36" t="n">
        <f aca="false">IF(AND(M462&lt;&gt;"",ISNUMBER(K462),LEFT(M462,9)&lt;&gt;"Total for",M462&lt;&gt;"Gross Profit",M462&lt;&gt;"Net Operating Revenue",M462&lt;&gt;"Net Other Revenue",M462&lt;&gt;"Net Revenue"),1,0)</f>
        <v>0</v>
      </c>
      <c r="Q462" s="36" t="str">
        <f aca="false">IF(P462=1,IF(AND(LEN(M462)&gt;7,ISNUMBER(VALUE(LEFT(M462,6))),MID(M462,7,1)=" "),LEFT(M462,6),M462),"")</f>
        <v/>
      </c>
      <c r="V462" s="36" t="str">
        <f aca="false">TRIM(S462)</f>
        <v/>
      </c>
      <c r="W462" s="36" t="str">
        <f aca="false">IF(V462="Revenue","Revenue",IF(V462="Cost of Goods Sold","COGS",IF(V462="Expenditures","Expense",IF(V462="Other Revenue","Other Revenue",IF(V462="Other Expenditures","Other Expense",W461)))))</f>
        <v/>
      </c>
      <c r="X462" s="36" t="str">
        <f aca="false">IF(OR(V462="Revenue",V462="Cost of Goods Sold",V462="Expenditures",V462="Other Revenue",V462="Other Expenditures"),W462,IF(AND(LEN(V462)&gt;2,MID(V462,2,1)=" ",ISNUMBER(VALUE(LEFT(V462,1)))),V462,X461))</f>
        <v/>
      </c>
      <c r="Y462" s="36" t="n">
        <f aca="false">IF(AND(V462&lt;&gt;"",ISNUMBER(T462),LEFT(V462,9)&lt;&gt;"Total for",V462&lt;&gt;"Gross Profit",V462&lt;&gt;"Net Operating Revenue",V462&lt;&gt;"Net Other Revenue",V462&lt;&gt;"Net Revenue"),1,0)</f>
        <v>0</v>
      </c>
      <c r="Z462" s="36" t="str">
        <f aca="false">IF(Y462=1,IF(AND(LEN(V462)&gt;7,ISNUMBER(VALUE(LEFT(V462,6))),MID(V462,7,1)=" "),LEFT(V462,6),V462),"")</f>
        <v/>
      </c>
      <c r="AE462" s="36" t="str">
        <f aca="false">TRIM(AB462)</f>
        <v/>
      </c>
      <c r="AF462" s="36" t="str">
        <f aca="false">IF(AE462="Revenue","Revenue",IF(AE462="Cost of Goods Sold","COGS",IF(AE462="Expenditures","Expense",IF(AE462="Other Revenue","Other Revenue",IF(AE462="Other Expenditures","Other Expense",AF461)))))</f>
        <v/>
      </c>
      <c r="AG462" s="36" t="str">
        <f aca="false">IF(OR(AE462="Revenue",AE462="Cost of Goods Sold",AE462="Expenditures",AE462="Other Revenue",AE462="Other Expenditures"),AF462,IF(AND(LEN(AE462)&gt;2,MID(AE462,2,1)=" ",ISNUMBER(VALUE(LEFT(AE462,1)))),AE462,AG461))</f>
        <v/>
      </c>
      <c r="AH462" s="36" t="n">
        <f aca="false">IF(AND(AE462&lt;&gt;"",ISNUMBER(AC462),LEFT(AE462,9)&lt;&gt;"Total for",AE462&lt;&gt;"Gross Profit",AE462&lt;&gt;"Net Operating Revenue",AE462&lt;&gt;"Net Other Revenue",AE462&lt;&gt;"Net Revenue"),1,0)</f>
        <v>0</v>
      </c>
      <c r="AI462" s="36" t="str">
        <f aca="false">IF(AH462=1,IF(AND(LEN(AE462)&gt;7,ISNUMBER(VALUE(LEFT(AE462,6))),MID(AE462,7,1)=" "),LEFT(AE462,6),AE462),"")</f>
        <v/>
      </c>
      <c r="AN462" s="36" t="str">
        <f aca="false">TRIM(AK462)</f>
        <v/>
      </c>
      <c r="AO462" s="36" t="str">
        <f aca="false">IF(AN462="Revenue","Revenue",IF(AN462="Cost of Goods Sold","COGS",IF(AN462="Expenditures","Expense",IF(AN462="Other Revenue","Other Revenue",IF(AN462="Other Expenditures","Other Expense",AO461)))))</f>
        <v/>
      </c>
      <c r="AP462" s="36" t="str">
        <f aca="false">IF(OR(AN462="Revenue",AN462="Cost of Goods Sold",AN462="Expenditures",AN462="Other Revenue",AN462="Other Expenditures"),AO462,IF(AND(LEN(AN462)&gt;2,MID(AN462,2,1)=" ",ISNUMBER(VALUE(LEFT(AN462,1)))),AN462,AP461))</f>
        <v/>
      </c>
      <c r="AQ462" s="36" t="n">
        <f aca="false">IF(AND(AN462&lt;&gt;"",ISNUMBER(AL462),LEFT(AN462,9)&lt;&gt;"Total for",AN462&lt;&gt;"Gross Profit",AN462&lt;&gt;"Net Operating Revenue",AN462&lt;&gt;"Net Other Revenue",AN462&lt;&gt;"Net Revenue"),1,0)</f>
        <v>0</v>
      </c>
      <c r="AR462" s="36" t="str">
        <f aca="false">IF(AQ462=1,IF(AND(LEN(AN462)&gt;7,ISNUMBER(VALUE(LEFT(AN462,6))),MID(AN462,7,1)=" "),LEFT(AN462,6),AN462),"")</f>
        <v/>
      </c>
    </row>
    <row r="463" customFormat="false" ht="15" hidden="false" customHeight="false" outlineLevel="0" collapsed="false">
      <c r="D463" s="36" t="str">
        <f aca="false">TRIM(A463)</f>
        <v/>
      </c>
      <c r="E463" s="36" t="str">
        <f aca="false">IF(D463="Revenue","Revenue",IF(D463="Cost of Goods Sold","COGS",IF(D463="Expenditures","Expense",IF(D463="Other Revenue","Other Revenue",IF(D463="Other Expenditures","Other Expense",E462)))))</f>
        <v/>
      </c>
      <c r="F463" s="36" t="str">
        <f aca="false">IF(OR(D463="Revenue",D463="Cost of Goods Sold",D463="Expenditures",D463="Other Revenue",D463="Other Expenditures"),E463,IF(AND(LEN(D463)&gt;2,MID(D463,2,1)=" ",ISNUMBER(VALUE(LEFT(D463,1)))),D463,F462))</f>
        <v/>
      </c>
      <c r="G463" s="36" t="n">
        <f aca="false">IF(AND(D463&lt;&gt;"",ISNUMBER(B463),LEFT(D463,9)&lt;&gt;"Total for",D463&lt;&gt;"Gross Profit",D463&lt;&gt;"Net Operating Revenue",D463&lt;&gt;"Net Other Revenue",D463&lt;&gt;"Net Revenue"),1,0)</f>
        <v>0</v>
      </c>
      <c r="H463" s="36" t="str">
        <f aca="false">IF(G463=1,IF(AND(LEN(D463)&gt;7,ISNUMBER(VALUE(LEFT(D463,6))),MID(D463,7,1)=" "),LEFT(D463,6),D463),"")</f>
        <v/>
      </c>
      <c r="M463" s="36" t="str">
        <f aca="false">TRIM(J463)</f>
        <v/>
      </c>
      <c r="N463" s="36" t="str">
        <f aca="false">IF(M463="Revenue","Revenue",IF(M463="Cost of Goods Sold","COGS",IF(M463="Expenditures","Expense",IF(M463="Other Revenue","Other Revenue",IF(M463="Other Expenditures","Other Expense",N462)))))</f>
        <v/>
      </c>
      <c r="O463" s="36" t="str">
        <f aca="false">IF(OR(M463="Revenue",M463="Cost of Goods Sold",M463="Expenditures",M463="Other Revenue",M463="Other Expenditures"),N463,IF(AND(LEN(M463)&gt;2,MID(M463,2,1)=" ",ISNUMBER(VALUE(LEFT(M463,1)))),M463,O462))</f>
        <v/>
      </c>
      <c r="P463" s="36" t="n">
        <f aca="false">IF(AND(M463&lt;&gt;"",ISNUMBER(K463),LEFT(M463,9)&lt;&gt;"Total for",M463&lt;&gt;"Gross Profit",M463&lt;&gt;"Net Operating Revenue",M463&lt;&gt;"Net Other Revenue",M463&lt;&gt;"Net Revenue"),1,0)</f>
        <v>0</v>
      </c>
      <c r="Q463" s="36" t="str">
        <f aca="false">IF(P463=1,IF(AND(LEN(M463)&gt;7,ISNUMBER(VALUE(LEFT(M463,6))),MID(M463,7,1)=" "),LEFT(M463,6),M463),"")</f>
        <v/>
      </c>
      <c r="V463" s="36" t="str">
        <f aca="false">TRIM(S463)</f>
        <v/>
      </c>
      <c r="W463" s="36" t="str">
        <f aca="false">IF(V463="Revenue","Revenue",IF(V463="Cost of Goods Sold","COGS",IF(V463="Expenditures","Expense",IF(V463="Other Revenue","Other Revenue",IF(V463="Other Expenditures","Other Expense",W462)))))</f>
        <v/>
      </c>
      <c r="X463" s="36" t="str">
        <f aca="false">IF(OR(V463="Revenue",V463="Cost of Goods Sold",V463="Expenditures",V463="Other Revenue",V463="Other Expenditures"),W463,IF(AND(LEN(V463)&gt;2,MID(V463,2,1)=" ",ISNUMBER(VALUE(LEFT(V463,1)))),V463,X462))</f>
        <v/>
      </c>
      <c r="Y463" s="36" t="n">
        <f aca="false">IF(AND(V463&lt;&gt;"",ISNUMBER(T463),LEFT(V463,9)&lt;&gt;"Total for",V463&lt;&gt;"Gross Profit",V463&lt;&gt;"Net Operating Revenue",V463&lt;&gt;"Net Other Revenue",V463&lt;&gt;"Net Revenue"),1,0)</f>
        <v>0</v>
      </c>
      <c r="Z463" s="36" t="str">
        <f aca="false">IF(Y463=1,IF(AND(LEN(V463)&gt;7,ISNUMBER(VALUE(LEFT(V463,6))),MID(V463,7,1)=" "),LEFT(V463,6),V463),"")</f>
        <v/>
      </c>
      <c r="AE463" s="36" t="str">
        <f aca="false">TRIM(AB463)</f>
        <v/>
      </c>
      <c r="AF463" s="36" t="str">
        <f aca="false">IF(AE463="Revenue","Revenue",IF(AE463="Cost of Goods Sold","COGS",IF(AE463="Expenditures","Expense",IF(AE463="Other Revenue","Other Revenue",IF(AE463="Other Expenditures","Other Expense",AF462)))))</f>
        <v/>
      </c>
      <c r="AG463" s="36" t="str">
        <f aca="false">IF(OR(AE463="Revenue",AE463="Cost of Goods Sold",AE463="Expenditures",AE463="Other Revenue",AE463="Other Expenditures"),AF463,IF(AND(LEN(AE463)&gt;2,MID(AE463,2,1)=" ",ISNUMBER(VALUE(LEFT(AE463,1)))),AE463,AG462))</f>
        <v/>
      </c>
      <c r="AH463" s="36" t="n">
        <f aca="false">IF(AND(AE463&lt;&gt;"",ISNUMBER(AC463),LEFT(AE463,9)&lt;&gt;"Total for",AE463&lt;&gt;"Gross Profit",AE463&lt;&gt;"Net Operating Revenue",AE463&lt;&gt;"Net Other Revenue",AE463&lt;&gt;"Net Revenue"),1,0)</f>
        <v>0</v>
      </c>
      <c r="AI463" s="36" t="str">
        <f aca="false">IF(AH463=1,IF(AND(LEN(AE463)&gt;7,ISNUMBER(VALUE(LEFT(AE463,6))),MID(AE463,7,1)=" "),LEFT(AE463,6),AE463),"")</f>
        <v/>
      </c>
      <c r="AN463" s="36" t="str">
        <f aca="false">TRIM(AK463)</f>
        <v/>
      </c>
      <c r="AO463" s="36" t="str">
        <f aca="false">IF(AN463="Revenue","Revenue",IF(AN463="Cost of Goods Sold","COGS",IF(AN463="Expenditures","Expense",IF(AN463="Other Revenue","Other Revenue",IF(AN463="Other Expenditures","Other Expense",AO462)))))</f>
        <v/>
      </c>
      <c r="AP463" s="36" t="str">
        <f aca="false">IF(OR(AN463="Revenue",AN463="Cost of Goods Sold",AN463="Expenditures",AN463="Other Revenue",AN463="Other Expenditures"),AO463,IF(AND(LEN(AN463)&gt;2,MID(AN463,2,1)=" ",ISNUMBER(VALUE(LEFT(AN463,1)))),AN463,AP462))</f>
        <v/>
      </c>
      <c r="AQ463" s="36" t="n">
        <f aca="false">IF(AND(AN463&lt;&gt;"",ISNUMBER(AL463),LEFT(AN463,9)&lt;&gt;"Total for",AN463&lt;&gt;"Gross Profit",AN463&lt;&gt;"Net Operating Revenue",AN463&lt;&gt;"Net Other Revenue",AN463&lt;&gt;"Net Revenue"),1,0)</f>
        <v>0</v>
      </c>
      <c r="AR463" s="36" t="str">
        <f aca="false">IF(AQ463=1,IF(AND(LEN(AN463)&gt;7,ISNUMBER(VALUE(LEFT(AN463,6))),MID(AN463,7,1)=" "),LEFT(AN463,6),AN463),"")</f>
        <v/>
      </c>
    </row>
    <row r="464" customFormat="false" ht="15" hidden="false" customHeight="false" outlineLevel="0" collapsed="false">
      <c r="D464" s="36" t="str">
        <f aca="false">TRIM(A464)</f>
        <v/>
      </c>
      <c r="E464" s="36" t="str">
        <f aca="false">IF(D464="Revenue","Revenue",IF(D464="Cost of Goods Sold","COGS",IF(D464="Expenditures","Expense",IF(D464="Other Revenue","Other Revenue",IF(D464="Other Expenditures","Other Expense",E463)))))</f>
        <v/>
      </c>
      <c r="F464" s="36" t="str">
        <f aca="false">IF(OR(D464="Revenue",D464="Cost of Goods Sold",D464="Expenditures",D464="Other Revenue",D464="Other Expenditures"),E464,IF(AND(LEN(D464)&gt;2,MID(D464,2,1)=" ",ISNUMBER(VALUE(LEFT(D464,1)))),D464,F463))</f>
        <v/>
      </c>
      <c r="G464" s="36" t="n">
        <f aca="false">IF(AND(D464&lt;&gt;"",ISNUMBER(B464),LEFT(D464,9)&lt;&gt;"Total for",D464&lt;&gt;"Gross Profit",D464&lt;&gt;"Net Operating Revenue",D464&lt;&gt;"Net Other Revenue",D464&lt;&gt;"Net Revenue"),1,0)</f>
        <v>0</v>
      </c>
      <c r="H464" s="36" t="str">
        <f aca="false">IF(G464=1,IF(AND(LEN(D464)&gt;7,ISNUMBER(VALUE(LEFT(D464,6))),MID(D464,7,1)=" "),LEFT(D464,6),D464),"")</f>
        <v/>
      </c>
      <c r="M464" s="36" t="str">
        <f aca="false">TRIM(J464)</f>
        <v/>
      </c>
      <c r="N464" s="36" t="str">
        <f aca="false">IF(M464="Revenue","Revenue",IF(M464="Cost of Goods Sold","COGS",IF(M464="Expenditures","Expense",IF(M464="Other Revenue","Other Revenue",IF(M464="Other Expenditures","Other Expense",N463)))))</f>
        <v/>
      </c>
      <c r="O464" s="36" t="str">
        <f aca="false">IF(OR(M464="Revenue",M464="Cost of Goods Sold",M464="Expenditures",M464="Other Revenue",M464="Other Expenditures"),N464,IF(AND(LEN(M464)&gt;2,MID(M464,2,1)=" ",ISNUMBER(VALUE(LEFT(M464,1)))),M464,O463))</f>
        <v/>
      </c>
      <c r="P464" s="36" t="n">
        <f aca="false">IF(AND(M464&lt;&gt;"",ISNUMBER(K464),LEFT(M464,9)&lt;&gt;"Total for",M464&lt;&gt;"Gross Profit",M464&lt;&gt;"Net Operating Revenue",M464&lt;&gt;"Net Other Revenue",M464&lt;&gt;"Net Revenue"),1,0)</f>
        <v>0</v>
      </c>
      <c r="Q464" s="36" t="str">
        <f aca="false">IF(P464=1,IF(AND(LEN(M464)&gt;7,ISNUMBER(VALUE(LEFT(M464,6))),MID(M464,7,1)=" "),LEFT(M464,6),M464),"")</f>
        <v/>
      </c>
      <c r="V464" s="36" t="str">
        <f aca="false">TRIM(S464)</f>
        <v/>
      </c>
      <c r="W464" s="36" t="str">
        <f aca="false">IF(V464="Revenue","Revenue",IF(V464="Cost of Goods Sold","COGS",IF(V464="Expenditures","Expense",IF(V464="Other Revenue","Other Revenue",IF(V464="Other Expenditures","Other Expense",W463)))))</f>
        <v/>
      </c>
      <c r="X464" s="36" t="str">
        <f aca="false">IF(OR(V464="Revenue",V464="Cost of Goods Sold",V464="Expenditures",V464="Other Revenue",V464="Other Expenditures"),W464,IF(AND(LEN(V464)&gt;2,MID(V464,2,1)=" ",ISNUMBER(VALUE(LEFT(V464,1)))),V464,X463))</f>
        <v/>
      </c>
      <c r="Y464" s="36" t="n">
        <f aca="false">IF(AND(V464&lt;&gt;"",ISNUMBER(T464),LEFT(V464,9)&lt;&gt;"Total for",V464&lt;&gt;"Gross Profit",V464&lt;&gt;"Net Operating Revenue",V464&lt;&gt;"Net Other Revenue",V464&lt;&gt;"Net Revenue"),1,0)</f>
        <v>0</v>
      </c>
      <c r="Z464" s="36" t="str">
        <f aca="false">IF(Y464=1,IF(AND(LEN(V464)&gt;7,ISNUMBER(VALUE(LEFT(V464,6))),MID(V464,7,1)=" "),LEFT(V464,6),V464),"")</f>
        <v/>
      </c>
      <c r="AE464" s="36" t="str">
        <f aca="false">TRIM(AB464)</f>
        <v/>
      </c>
      <c r="AF464" s="36" t="str">
        <f aca="false">IF(AE464="Revenue","Revenue",IF(AE464="Cost of Goods Sold","COGS",IF(AE464="Expenditures","Expense",IF(AE464="Other Revenue","Other Revenue",IF(AE464="Other Expenditures","Other Expense",AF463)))))</f>
        <v/>
      </c>
      <c r="AG464" s="36" t="str">
        <f aca="false">IF(OR(AE464="Revenue",AE464="Cost of Goods Sold",AE464="Expenditures",AE464="Other Revenue",AE464="Other Expenditures"),AF464,IF(AND(LEN(AE464)&gt;2,MID(AE464,2,1)=" ",ISNUMBER(VALUE(LEFT(AE464,1)))),AE464,AG463))</f>
        <v/>
      </c>
      <c r="AH464" s="36" t="n">
        <f aca="false">IF(AND(AE464&lt;&gt;"",ISNUMBER(AC464),LEFT(AE464,9)&lt;&gt;"Total for",AE464&lt;&gt;"Gross Profit",AE464&lt;&gt;"Net Operating Revenue",AE464&lt;&gt;"Net Other Revenue",AE464&lt;&gt;"Net Revenue"),1,0)</f>
        <v>0</v>
      </c>
      <c r="AI464" s="36" t="str">
        <f aca="false">IF(AH464=1,IF(AND(LEN(AE464)&gt;7,ISNUMBER(VALUE(LEFT(AE464,6))),MID(AE464,7,1)=" "),LEFT(AE464,6),AE464),"")</f>
        <v/>
      </c>
      <c r="AN464" s="36" t="str">
        <f aca="false">TRIM(AK464)</f>
        <v/>
      </c>
      <c r="AO464" s="36" t="str">
        <f aca="false">IF(AN464="Revenue","Revenue",IF(AN464="Cost of Goods Sold","COGS",IF(AN464="Expenditures","Expense",IF(AN464="Other Revenue","Other Revenue",IF(AN464="Other Expenditures","Other Expense",AO463)))))</f>
        <v/>
      </c>
      <c r="AP464" s="36" t="str">
        <f aca="false">IF(OR(AN464="Revenue",AN464="Cost of Goods Sold",AN464="Expenditures",AN464="Other Revenue",AN464="Other Expenditures"),AO464,IF(AND(LEN(AN464)&gt;2,MID(AN464,2,1)=" ",ISNUMBER(VALUE(LEFT(AN464,1)))),AN464,AP463))</f>
        <v/>
      </c>
      <c r="AQ464" s="36" t="n">
        <f aca="false">IF(AND(AN464&lt;&gt;"",ISNUMBER(AL464),LEFT(AN464,9)&lt;&gt;"Total for",AN464&lt;&gt;"Gross Profit",AN464&lt;&gt;"Net Operating Revenue",AN464&lt;&gt;"Net Other Revenue",AN464&lt;&gt;"Net Revenue"),1,0)</f>
        <v>0</v>
      </c>
      <c r="AR464" s="36" t="str">
        <f aca="false">IF(AQ464=1,IF(AND(LEN(AN464)&gt;7,ISNUMBER(VALUE(LEFT(AN464,6))),MID(AN464,7,1)=" "),LEFT(AN464,6),AN464),"")</f>
        <v/>
      </c>
    </row>
    <row r="465" customFormat="false" ht="15" hidden="false" customHeight="false" outlineLevel="0" collapsed="false">
      <c r="D465" s="36" t="str">
        <f aca="false">TRIM(A465)</f>
        <v/>
      </c>
      <c r="E465" s="36" t="str">
        <f aca="false">IF(D465="Revenue","Revenue",IF(D465="Cost of Goods Sold","COGS",IF(D465="Expenditures","Expense",IF(D465="Other Revenue","Other Revenue",IF(D465="Other Expenditures","Other Expense",E464)))))</f>
        <v/>
      </c>
      <c r="F465" s="36" t="str">
        <f aca="false">IF(OR(D465="Revenue",D465="Cost of Goods Sold",D465="Expenditures",D465="Other Revenue",D465="Other Expenditures"),E465,IF(AND(LEN(D465)&gt;2,MID(D465,2,1)=" ",ISNUMBER(VALUE(LEFT(D465,1)))),D465,F464))</f>
        <v/>
      </c>
      <c r="G465" s="36" t="n">
        <f aca="false">IF(AND(D465&lt;&gt;"",ISNUMBER(B465),LEFT(D465,9)&lt;&gt;"Total for",D465&lt;&gt;"Gross Profit",D465&lt;&gt;"Net Operating Revenue",D465&lt;&gt;"Net Other Revenue",D465&lt;&gt;"Net Revenue"),1,0)</f>
        <v>0</v>
      </c>
      <c r="H465" s="36" t="str">
        <f aca="false">IF(G465=1,IF(AND(LEN(D465)&gt;7,ISNUMBER(VALUE(LEFT(D465,6))),MID(D465,7,1)=" "),LEFT(D465,6),D465),"")</f>
        <v/>
      </c>
      <c r="M465" s="36" t="str">
        <f aca="false">TRIM(J465)</f>
        <v/>
      </c>
      <c r="N465" s="36" t="str">
        <f aca="false">IF(M465="Revenue","Revenue",IF(M465="Cost of Goods Sold","COGS",IF(M465="Expenditures","Expense",IF(M465="Other Revenue","Other Revenue",IF(M465="Other Expenditures","Other Expense",N464)))))</f>
        <v/>
      </c>
      <c r="O465" s="36" t="str">
        <f aca="false">IF(OR(M465="Revenue",M465="Cost of Goods Sold",M465="Expenditures",M465="Other Revenue",M465="Other Expenditures"),N465,IF(AND(LEN(M465)&gt;2,MID(M465,2,1)=" ",ISNUMBER(VALUE(LEFT(M465,1)))),M465,O464))</f>
        <v/>
      </c>
      <c r="P465" s="36" t="n">
        <f aca="false">IF(AND(M465&lt;&gt;"",ISNUMBER(K465),LEFT(M465,9)&lt;&gt;"Total for",M465&lt;&gt;"Gross Profit",M465&lt;&gt;"Net Operating Revenue",M465&lt;&gt;"Net Other Revenue",M465&lt;&gt;"Net Revenue"),1,0)</f>
        <v>0</v>
      </c>
      <c r="Q465" s="36" t="str">
        <f aca="false">IF(P465=1,IF(AND(LEN(M465)&gt;7,ISNUMBER(VALUE(LEFT(M465,6))),MID(M465,7,1)=" "),LEFT(M465,6),M465),"")</f>
        <v/>
      </c>
      <c r="V465" s="36" t="str">
        <f aca="false">TRIM(S465)</f>
        <v/>
      </c>
      <c r="W465" s="36" t="str">
        <f aca="false">IF(V465="Revenue","Revenue",IF(V465="Cost of Goods Sold","COGS",IF(V465="Expenditures","Expense",IF(V465="Other Revenue","Other Revenue",IF(V465="Other Expenditures","Other Expense",W464)))))</f>
        <v/>
      </c>
      <c r="X465" s="36" t="str">
        <f aca="false">IF(OR(V465="Revenue",V465="Cost of Goods Sold",V465="Expenditures",V465="Other Revenue",V465="Other Expenditures"),W465,IF(AND(LEN(V465)&gt;2,MID(V465,2,1)=" ",ISNUMBER(VALUE(LEFT(V465,1)))),V465,X464))</f>
        <v/>
      </c>
      <c r="Y465" s="36" t="n">
        <f aca="false">IF(AND(V465&lt;&gt;"",ISNUMBER(T465),LEFT(V465,9)&lt;&gt;"Total for",V465&lt;&gt;"Gross Profit",V465&lt;&gt;"Net Operating Revenue",V465&lt;&gt;"Net Other Revenue",V465&lt;&gt;"Net Revenue"),1,0)</f>
        <v>0</v>
      </c>
      <c r="Z465" s="36" t="str">
        <f aca="false">IF(Y465=1,IF(AND(LEN(V465)&gt;7,ISNUMBER(VALUE(LEFT(V465,6))),MID(V465,7,1)=" "),LEFT(V465,6),V465),"")</f>
        <v/>
      </c>
      <c r="AE465" s="36" t="str">
        <f aca="false">TRIM(AB465)</f>
        <v/>
      </c>
      <c r="AF465" s="36" t="str">
        <f aca="false">IF(AE465="Revenue","Revenue",IF(AE465="Cost of Goods Sold","COGS",IF(AE465="Expenditures","Expense",IF(AE465="Other Revenue","Other Revenue",IF(AE465="Other Expenditures","Other Expense",AF464)))))</f>
        <v/>
      </c>
      <c r="AG465" s="36" t="str">
        <f aca="false">IF(OR(AE465="Revenue",AE465="Cost of Goods Sold",AE465="Expenditures",AE465="Other Revenue",AE465="Other Expenditures"),AF465,IF(AND(LEN(AE465)&gt;2,MID(AE465,2,1)=" ",ISNUMBER(VALUE(LEFT(AE465,1)))),AE465,AG464))</f>
        <v/>
      </c>
      <c r="AH465" s="36" t="n">
        <f aca="false">IF(AND(AE465&lt;&gt;"",ISNUMBER(AC465),LEFT(AE465,9)&lt;&gt;"Total for",AE465&lt;&gt;"Gross Profit",AE465&lt;&gt;"Net Operating Revenue",AE465&lt;&gt;"Net Other Revenue",AE465&lt;&gt;"Net Revenue"),1,0)</f>
        <v>0</v>
      </c>
      <c r="AI465" s="36" t="str">
        <f aca="false">IF(AH465=1,IF(AND(LEN(AE465)&gt;7,ISNUMBER(VALUE(LEFT(AE465,6))),MID(AE465,7,1)=" "),LEFT(AE465,6),AE465),"")</f>
        <v/>
      </c>
      <c r="AN465" s="36" t="str">
        <f aca="false">TRIM(AK465)</f>
        <v/>
      </c>
      <c r="AO465" s="36" t="str">
        <f aca="false">IF(AN465="Revenue","Revenue",IF(AN465="Cost of Goods Sold","COGS",IF(AN465="Expenditures","Expense",IF(AN465="Other Revenue","Other Revenue",IF(AN465="Other Expenditures","Other Expense",AO464)))))</f>
        <v/>
      </c>
      <c r="AP465" s="36" t="str">
        <f aca="false">IF(OR(AN465="Revenue",AN465="Cost of Goods Sold",AN465="Expenditures",AN465="Other Revenue",AN465="Other Expenditures"),AO465,IF(AND(LEN(AN465)&gt;2,MID(AN465,2,1)=" ",ISNUMBER(VALUE(LEFT(AN465,1)))),AN465,AP464))</f>
        <v/>
      </c>
      <c r="AQ465" s="36" t="n">
        <f aca="false">IF(AND(AN465&lt;&gt;"",ISNUMBER(AL465),LEFT(AN465,9)&lt;&gt;"Total for",AN465&lt;&gt;"Gross Profit",AN465&lt;&gt;"Net Operating Revenue",AN465&lt;&gt;"Net Other Revenue",AN465&lt;&gt;"Net Revenue"),1,0)</f>
        <v>0</v>
      </c>
      <c r="AR465" s="36" t="str">
        <f aca="false">IF(AQ465=1,IF(AND(LEN(AN465)&gt;7,ISNUMBER(VALUE(LEFT(AN465,6))),MID(AN465,7,1)=" "),LEFT(AN465,6),AN465),"")</f>
        <v/>
      </c>
    </row>
    <row r="466" customFormat="false" ht="15" hidden="false" customHeight="false" outlineLevel="0" collapsed="false">
      <c r="D466" s="36" t="str">
        <f aca="false">TRIM(A466)</f>
        <v/>
      </c>
      <c r="E466" s="36" t="str">
        <f aca="false">IF(D466="Revenue","Revenue",IF(D466="Cost of Goods Sold","COGS",IF(D466="Expenditures","Expense",IF(D466="Other Revenue","Other Revenue",IF(D466="Other Expenditures","Other Expense",E465)))))</f>
        <v/>
      </c>
      <c r="F466" s="36" t="str">
        <f aca="false">IF(OR(D466="Revenue",D466="Cost of Goods Sold",D466="Expenditures",D466="Other Revenue",D466="Other Expenditures"),E466,IF(AND(LEN(D466)&gt;2,MID(D466,2,1)=" ",ISNUMBER(VALUE(LEFT(D466,1)))),D466,F465))</f>
        <v/>
      </c>
      <c r="G466" s="36" t="n">
        <f aca="false">IF(AND(D466&lt;&gt;"",ISNUMBER(B466),LEFT(D466,9)&lt;&gt;"Total for",D466&lt;&gt;"Gross Profit",D466&lt;&gt;"Net Operating Revenue",D466&lt;&gt;"Net Other Revenue",D466&lt;&gt;"Net Revenue"),1,0)</f>
        <v>0</v>
      </c>
      <c r="H466" s="36" t="str">
        <f aca="false">IF(G466=1,IF(AND(LEN(D466)&gt;7,ISNUMBER(VALUE(LEFT(D466,6))),MID(D466,7,1)=" "),LEFT(D466,6),D466),"")</f>
        <v/>
      </c>
      <c r="M466" s="36" t="str">
        <f aca="false">TRIM(J466)</f>
        <v/>
      </c>
      <c r="N466" s="36" t="str">
        <f aca="false">IF(M466="Revenue","Revenue",IF(M466="Cost of Goods Sold","COGS",IF(M466="Expenditures","Expense",IF(M466="Other Revenue","Other Revenue",IF(M466="Other Expenditures","Other Expense",N465)))))</f>
        <v/>
      </c>
      <c r="O466" s="36" t="str">
        <f aca="false">IF(OR(M466="Revenue",M466="Cost of Goods Sold",M466="Expenditures",M466="Other Revenue",M466="Other Expenditures"),N466,IF(AND(LEN(M466)&gt;2,MID(M466,2,1)=" ",ISNUMBER(VALUE(LEFT(M466,1)))),M466,O465))</f>
        <v/>
      </c>
      <c r="P466" s="36" t="n">
        <f aca="false">IF(AND(M466&lt;&gt;"",ISNUMBER(K466),LEFT(M466,9)&lt;&gt;"Total for",M466&lt;&gt;"Gross Profit",M466&lt;&gt;"Net Operating Revenue",M466&lt;&gt;"Net Other Revenue",M466&lt;&gt;"Net Revenue"),1,0)</f>
        <v>0</v>
      </c>
      <c r="Q466" s="36" t="str">
        <f aca="false">IF(P466=1,IF(AND(LEN(M466)&gt;7,ISNUMBER(VALUE(LEFT(M466,6))),MID(M466,7,1)=" "),LEFT(M466,6),M466),"")</f>
        <v/>
      </c>
      <c r="V466" s="36" t="str">
        <f aca="false">TRIM(S466)</f>
        <v/>
      </c>
      <c r="W466" s="36" t="str">
        <f aca="false">IF(V466="Revenue","Revenue",IF(V466="Cost of Goods Sold","COGS",IF(V466="Expenditures","Expense",IF(V466="Other Revenue","Other Revenue",IF(V466="Other Expenditures","Other Expense",W465)))))</f>
        <v/>
      </c>
      <c r="X466" s="36" t="str">
        <f aca="false">IF(OR(V466="Revenue",V466="Cost of Goods Sold",V466="Expenditures",V466="Other Revenue",V466="Other Expenditures"),W466,IF(AND(LEN(V466)&gt;2,MID(V466,2,1)=" ",ISNUMBER(VALUE(LEFT(V466,1)))),V466,X465))</f>
        <v/>
      </c>
      <c r="Y466" s="36" t="n">
        <f aca="false">IF(AND(V466&lt;&gt;"",ISNUMBER(T466),LEFT(V466,9)&lt;&gt;"Total for",V466&lt;&gt;"Gross Profit",V466&lt;&gt;"Net Operating Revenue",V466&lt;&gt;"Net Other Revenue",V466&lt;&gt;"Net Revenue"),1,0)</f>
        <v>0</v>
      </c>
      <c r="Z466" s="36" t="str">
        <f aca="false">IF(Y466=1,IF(AND(LEN(V466)&gt;7,ISNUMBER(VALUE(LEFT(V466,6))),MID(V466,7,1)=" "),LEFT(V466,6),V466),"")</f>
        <v/>
      </c>
      <c r="AE466" s="36" t="str">
        <f aca="false">TRIM(AB466)</f>
        <v/>
      </c>
      <c r="AF466" s="36" t="str">
        <f aca="false">IF(AE466="Revenue","Revenue",IF(AE466="Cost of Goods Sold","COGS",IF(AE466="Expenditures","Expense",IF(AE466="Other Revenue","Other Revenue",IF(AE466="Other Expenditures","Other Expense",AF465)))))</f>
        <v/>
      </c>
      <c r="AG466" s="36" t="str">
        <f aca="false">IF(OR(AE466="Revenue",AE466="Cost of Goods Sold",AE466="Expenditures",AE466="Other Revenue",AE466="Other Expenditures"),AF466,IF(AND(LEN(AE466)&gt;2,MID(AE466,2,1)=" ",ISNUMBER(VALUE(LEFT(AE466,1)))),AE466,AG465))</f>
        <v/>
      </c>
      <c r="AH466" s="36" t="n">
        <f aca="false">IF(AND(AE466&lt;&gt;"",ISNUMBER(AC466),LEFT(AE466,9)&lt;&gt;"Total for",AE466&lt;&gt;"Gross Profit",AE466&lt;&gt;"Net Operating Revenue",AE466&lt;&gt;"Net Other Revenue",AE466&lt;&gt;"Net Revenue"),1,0)</f>
        <v>0</v>
      </c>
      <c r="AI466" s="36" t="str">
        <f aca="false">IF(AH466=1,IF(AND(LEN(AE466)&gt;7,ISNUMBER(VALUE(LEFT(AE466,6))),MID(AE466,7,1)=" "),LEFT(AE466,6),AE466),"")</f>
        <v/>
      </c>
      <c r="AN466" s="36" t="str">
        <f aca="false">TRIM(AK466)</f>
        <v/>
      </c>
      <c r="AO466" s="36" t="str">
        <f aca="false">IF(AN466="Revenue","Revenue",IF(AN466="Cost of Goods Sold","COGS",IF(AN466="Expenditures","Expense",IF(AN466="Other Revenue","Other Revenue",IF(AN466="Other Expenditures","Other Expense",AO465)))))</f>
        <v/>
      </c>
      <c r="AP466" s="36" t="str">
        <f aca="false">IF(OR(AN466="Revenue",AN466="Cost of Goods Sold",AN466="Expenditures",AN466="Other Revenue",AN466="Other Expenditures"),AO466,IF(AND(LEN(AN466)&gt;2,MID(AN466,2,1)=" ",ISNUMBER(VALUE(LEFT(AN466,1)))),AN466,AP465))</f>
        <v/>
      </c>
      <c r="AQ466" s="36" t="n">
        <f aca="false">IF(AND(AN466&lt;&gt;"",ISNUMBER(AL466),LEFT(AN466,9)&lt;&gt;"Total for",AN466&lt;&gt;"Gross Profit",AN466&lt;&gt;"Net Operating Revenue",AN466&lt;&gt;"Net Other Revenue",AN466&lt;&gt;"Net Revenue"),1,0)</f>
        <v>0</v>
      </c>
      <c r="AR466" s="36" t="str">
        <f aca="false">IF(AQ466=1,IF(AND(LEN(AN466)&gt;7,ISNUMBER(VALUE(LEFT(AN466,6))),MID(AN466,7,1)=" "),LEFT(AN466,6),AN466),"")</f>
        <v/>
      </c>
    </row>
    <row r="467" customFormat="false" ht="15" hidden="false" customHeight="false" outlineLevel="0" collapsed="false">
      <c r="D467" s="36" t="str">
        <f aca="false">TRIM(A467)</f>
        <v/>
      </c>
      <c r="E467" s="36" t="str">
        <f aca="false">IF(D467="Revenue","Revenue",IF(D467="Cost of Goods Sold","COGS",IF(D467="Expenditures","Expense",IF(D467="Other Revenue","Other Revenue",IF(D467="Other Expenditures","Other Expense",E466)))))</f>
        <v/>
      </c>
      <c r="F467" s="36" t="str">
        <f aca="false">IF(OR(D467="Revenue",D467="Cost of Goods Sold",D467="Expenditures",D467="Other Revenue",D467="Other Expenditures"),E467,IF(AND(LEN(D467)&gt;2,MID(D467,2,1)=" ",ISNUMBER(VALUE(LEFT(D467,1)))),D467,F466))</f>
        <v/>
      </c>
      <c r="G467" s="36" t="n">
        <f aca="false">IF(AND(D467&lt;&gt;"",ISNUMBER(B467),LEFT(D467,9)&lt;&gt;"Total for",D467&lt;&gt;"Gross Profit",D467&lt;&gt;"Net Operating Revenue",D467&lt;&gt;"Net Other Revenue",D467&lt;&gt;"Net Revenue"),1,0)</f>
        <v>0</v>
      </c>
      <c r="H467" s="36" t="str">
        <f aca="false">IF(G467=1,IF(AND(LEN(D467)&gt;7,ISNUMBER(VALUE(LEFT(D467,6))),MID(D467,7,1)=" "),LEFT(D467,6),D467),"")</f>
        <v/>
      </c>
      <c r="M467" s="36" t="str">
        <f aca="false">TRIM(J467)</f>
        <v/>
      </c>
      <c r="N467" s="36" t="str">
        <f aca="false">IF(M467="Revenue","Revenue",IF(M467="Cost of Goods Sold","COGS",IF(M467="Expenditures","Expense",IF(M467="Other Revenue","Other Revenue",IF(M467="Other Expenditures","Other Expense",N466)))))</f>
        <v/>
      </c>
      <c r="O467" s="36" t="str">
        <f aca="false">IF(OR(M467="Revenue",M467="Cost of Goods Sold",M467="Expenditures",M467="Other Revenue",M467="Other Expenditures"),N467,IF(AND(LEN(M467)&gt;2,MID(M467,2,1)=" ",ISNUMBER(VALUE(LEFT(M467,1)))),M467,O466))</f>
        <v/>
      </c>
      <c r="P467" s="36" t="n">
        <f aca="false">IF(AND(M467&lt;&gt;"",ISNUMBER(K467),LEFT(M467,9)&lt;&gt;"Total for",M467&lt;&gt;"Gross Profit",M467&lt;&gt;"Net Operating Revenue",M467&lt;&gt;"Net Other Revenue",M467&lt;&gt;"Net Revenue"),1,0)</f>
        <v>0</v>
      </c>
      <c r="Q467" s="36" t="str">
        <f aca="false">IF(P467=1,IF(AND(LEN(M467)&gt;7,ISNUMBER(VALUE(LEFT(M467,6))),MID(M467,7,1)=" "),LEFT(M467,6),M467),"")</f>
        <v/>
      </c>
      <c r="V467" s="36" t="str">
        <f aca="false">TRIM(S467)</f>
        <v/>
      </c>
      <c r="W467" s="36" t="str">
        <f aca="false">IF(V467="Revenue","Revenue",IF(V467="Cost of Goods Sold","COGS",IF(V467="Expenditures","Expense",IF(V467="Other Revenue","Other Revenue",IF(V467="Other Expenditures","Other Expense",W466)))))</f>
        <v/>
      </c>
      <c r="X467" s="36" t="str">
        <f aca="false">IF(OR(V467="Revenue",V467="Cost of Goods Sold",V467="Expenditures",V467="Other Revenue",V467="Other Expenditures"),W467,IF(AND(LEN(V467)&gt;2,MID(V467,2,1)=" ",ISNUMBER(VALUE(LEFT(V467,1)))),V467,X466))</f>
        <v/>
      </c>
      <c r="Y467" s="36" t="n">
        <f aca="false">IF(AND(V467&lt;&gt;"",ISNUMBER(T467),LEFT(V467,9)&lt;&gt;"Total for",V467&lt;&gt;"Gross Profit",V467&lt;&gt;"Net Operating Revenue",V467&lt;&gt;"Net Other Revenue",V467&lt;&gt;"Net Revenue"),1,0)</f>
        <v>0</v>
      </c>
      <c r="Z467" s="36" t="str">
        <f aca="false">IF(Y467=1,IF(AND(LEN(V467)&gt;7,ISNUMBER(VALUE(LEFT(V467,6))),MID(V467,7,1)=" "),LEFT(V467,6),V467),"")</f>
        <v/>
      </c>
      <c r="AE467" s="36" t="str">
        <f aca="false">TRIM(AB467)</f>
        <v/>
      </c>
      <c r="AF467" s="36" t="str">
        <f aca="false">IF(AE467="Revenue","Revenue",IF(AE467="Cost of Goods Sold","COGS",IF(AE467="Expenditures","Expense",IF(AE467="Other Revenue","Other Revenue",IF(AE467="Other Expenditures","Other Expense",AF466)))))</f>
        <v/>
      </c>
      <c r="AG467" s="36" t="str">
        <f aca="false">IF(OR(AE467="Revenue",AE467="Cost of Goods Sold",AE467="Expenditures",AE467="Other Revenue",AE467="Other Expenditures"),AF467,IF(AND(LEN(AE467)&gt;2,MID(AE467,2,1)=" ",ISNUMBER(VALUE(LEFT(AE467,1)))),AE467,AG466))</f>
        <v/>
      </c>
      <c r="AH467" s="36" t="n">
        <f aca="false">IF(AND(AE467&lt;&gt;"",ISNUMBER(AC467),LEFT(AE467,9)&lt;&gt;"Total for",AE467&lt;&gt;"Gross Profit",AE467&lt;&gt;"Net Operating Revenue",AE467&lt;&gt;"Net Other Revenue",AE467&lt;&gt;"Net Revenue"),1,0)</f>
        <v>0</v>
      </c>
      <c r="AI467" s="36" t="str">
        <f aca="false">IF(AH467=1,IF(AND(LEN(AE467)&gt;7,ISNUMBER(VALUE(LEFT(AE467,6))),MID(AE467,7,1)=" "),LEFT(AE467,6),AE467),"")</f>
        <v/>
      </c>
      <c r="AN467" s="36" t="str">
        <f aca="false">TRIM(AK467)</f>
        <v/>
      </c>
      <c r="AO467" s="36" t="str">
        <f aca="false">IF(AN467="Revenue","Revenue",IF(AN467="Cost of Goods Sold","COGS",IF(AN467="Expenditures","Expense",IF(AN467="Other Revenue","Other Revenue",IF(AN467="Other Expenditures","Other Expense",AO466)))))</f>
        <v/>
      </c>
      <c r="AP467" s="36" t="str">
        <f aca="false">IF(OR(AN467="Revenue",AN467="Cost of Goods Sold",AN467="Expenditures",AN467="Other Revenue",AN467="Other Expenditures"),AO467,IF(AND(LEN(AN467)&gt;2,MID(AN467,2,1)=" ",ISNUMBER(VALUE(LEFT(AN467,1)))),AN467,AP466))</f>
        <v/>
      </c>
      <c r="AQ467" s="36" t="n">
        <f aca="false">IF(AND(AN467&lt;&gt;"",ISNUMBER(AL467),LEFT(AN467,9)&lt;&gt;"Total for",AN467&lt;&gt;"Gross Profit",AN467&lt;&gt;"Net Operating Revenue",AN467&lt;&gt;"Net Other Revenue",AN467&lt;&gt;"Net Revenue"),1,0)</f>
        <v>0</v>
      </c>
      <c r="AR467" s="36" t="str">
        <f aca="false">IF(AQ467=1,IF(AND(LEN(AN467)&gt;7,ISNUMBER(VALUE(LEFT(AN467,6))),MID(AN467,7,1)=" "),LEFT(AN467,6),AN467),"")</f>
        <v/>
      </c>
    </row>
    <row r="468" customFormat="false" ht="15" hidden="false" customHeight="false" outlineLevel="0" collapsed="false">
      <c r="D468" s="36" t="str">
        <f aca="false">TRIM(A468)</f>
        <v/>
      </c>
      <c r="E468" s="36" t="str">
        <f aca="false">IF(D468="Revenue","Revenue",IF(D468="Cost of Goods Sold","COGS",IF(D468="Expenditures","Expense",IF(D468="Other Revenue","Other Revenue",IF(D468="Other Expenditures","Other Expense",E467)))))</f>
        <v/>
      </c>
      <c r="F468" s="36" t="str">
        <f aca="false">IF(OR(D468="Revenue",D468="Cost of Goods Sold",D468="Expenditures",D468="Other Revenue",D468="Other Expenditures"),E468,IF(AND(LEN(D468)&gt;2,MID(D468,2,1)=" ",ISNUMBER(VALUE(LEFT(D468,1)))),D468,F467))</f>
        <v/>
      </c>
      <c r="G468" s="36" t="n">
        <f aca="false">IF(AND(D468&lt;&gt;"",ISNUMBER(B468),LEFT(D468,9)&lt;&gt;"Total for",D468&lt;&gt;"Gross Profit",D468&lt;&gt;"Net Operating Revenue",D468&lt;&gt;"Net Other Revenue",D468&lt;&gt;"Net Revenue"),1,0)</f>
        <v>0</v>
      </c>
      <c r="H468" s="36" t="str">
        <f aca="false">IF(G468=1,IF(AND(LEN(D468)&gt;7,ISNUMBER(VALUE(LEFT(D468,6))),MID(D468,7,1)=" "),LEFT(D468,6),D468),"")</f>
        <v/>
      </c>
      <c r="M468" s="36" t="str">
        <f aca="false">TRIM(J468)</f>
        <v/>
      </c>
      <c r="N468" s="36" t="str">
        <f aca="false">IF(M468="Revenue","Revenue",IF(M468="Cost of Goods Sold","COGS",IF(M468="Expenditures","Expense",IF(M468="Other Revenue","Other Revenue",IF(M468="Other Expenditures","Other Expense",N467)))))</f>
        <v/>
      </c>
      <c r="O468" s="36" t="str">
        <f aca="false">IF(OR(M468="Revenue",M468="Cost of Goods Sold",M468="Expenditures",M468="Other Revenue",M468="Other Expenditures"),N468,IF(AND(LEN(M468)&gt;2,MID(M468,2,1)=" ",ISNUMBER(VALUE(LEFT(M468,1)))),M468,O467))</f>
        <v/>
      </c>
      <c r="P468" s="36" t="n">
        <f aca="false">IF(AND(M468&lt;&gt;"",ISNUMBER(K468),LEFT(M468,9)&lt;&gt;"Total for",M468&lt;&gt;"Gross Profit",M468&lt;&gt;"Net Operating Revenue",M468&lt;&gt;"Net Other Revenue",M468&lt;&gt;"Net Revenue"),1,0)</f>
        <v>0</v>
      </c>
      <c r="Q468" s="36" t="str">
        <f aca="false">IF(P468=1,IF(AND(LEN(M468)&gt;7,ISNUMBER(VALUE(LEFT(M468,6))),MID(M468,7,1)=" "),LEFT(M468,6),M468),"")</f>
        <v/>
      </c>
      <c r="V468" s="36" t="str">
        <f aca="false">TRIM(S468)</f>
        <v/>
      </c>
      <c r="W468" s="36" t="str">
        <f aca="false">IF(V468="Revenue","Revenue",IF(V468="Cost of Goods Sold","COGS",IF(V468="Expenditures","Expense",IF(V468="Other Revenue","Other Revenue",IF(V468="Other Expenditures","Other Expense",W467)))))</f>
        <v/>
      </c>
      <c r="X468" s="36" t="str">
        <f aca="false">IF(OR(V468="Revenue",V468="Cost of Goods Sold",V468="Expenditures",V468="Other Revenue",V468="Other Expenditures"),W468,IF(AND(LEN(V468)&gt;2,MID(V468,2,1)=" ",ISNUMBER(VALUE(LEFT(V468,1)))),V468,X467))</f>
        <v/>
      </c>
      <c r="Y468" s="36" t="n">
        <f aca="false">IF(AND(V468&lt;&gt;"",ISNUMBER(T468),LEFT(V468,9)&lt;&gt;"Total for",V468&lt;&gt;"Gross Profit",V468&lt;&gt;"Net Operating Revenue",V468&lt;&gt;"Net Other Revenue",V468&lt;&gt;"Net Revenue"),1,0)</f>
        <v>0</v>
      </c>
      <c r="Z468" s="36" t="str">
        <f aca="false">IF(Y468=1,IF(AND(LEN(V468)&gt;7,ISNUMBER(VALUE(LEFT(V468,6))),MID(V468,7,1)=" "),LEFT(V468,6),V468),"")</f>
        <v/>
      </c>
      <c r="AE468" s="36" t="str">
        <f aca="false">TRIM(AB468)</f>
        <v/>
      </c>
      <c r="AF468" s="36" t="str">
        <f aca="false">IF(AE468="Revenue","Revenue",IF(AE468="Cost of Goods Sold","COGS",IF(AE468="Expenditures","Expense",IF(AE468="Other Revenue","Other Revenue",IF(AE468="Other Expenditures","Other Expense",AF467)))))</f>
        <v/>
      </c>
      <c r="AG468" s="36" t="str">
        <f aca="false">IF(OR(AE468="Revenue",AE468="Cost of Goods Sold",AE468="Expenditures",AE468="Other Revenue",AE468="Other Expenditures"),AF468,IF(AND(LEN(AE468)&gt;2,MID(AE468,2,1)=" ",ISNUMBER(VALUE(LEFT(AE468,1)))),AE468,AG467))</f>
        <v/>
      </c>
      <c r="AH468" s="36" t="n">
        <f aca="false">IF(AND(AE468&lt;&gt;"",ISNUMBER(AC468),LEFT(AE468,9)&lt;&gt;"Total for",AE468&lt;&gt;"Gross Profit",AE468&lt;&gt;"Net Operating Revenue",AE468&lt;&gt;"Net Other Revenue",AE468&lt;&gt;"Net Revenue"),1,0)</f>
        <v>0</v>
      </c>
      <c r="AI468" s="36" t="str">
        <f aca="false">IF(AH468=1,IF(AND(LEN(AE468)&gt;7,ISNUMBER(VALUE(LEFT(AE468,6))),MID(AE468,7,1)=" "),LEFT(AE468,6),AE468),"")</f>
        <v/>
      </c>
      <c r="AN468" s="36" t="str">
        <f aca="false">TRIM(AK468)</f>
        <v/>
      </c>
      <c r="AO468" s="36" t="str">
        <f aca="false">IF(AN468="Revenue","Revenue",IF(AN468="Cost of Goods Sold","COGS",IF(AN468="Expenditures","Expense",IF(AN468="Other Revenue","Other Revenue",IF(AN468="Other Expenditures","Other Expense",AO467)))))</f>
        <v/>
      </c>
      <c r="AP468" s="36" t="str">
        <f aca="false">IF(OR(AN468="Revenue",AN468="Cost of Goods Sold",AN468="Expenditures",AN468="Other Revenue",AN468="Other Expenditures"),AO468,IF(AND(LEN(AN468)&gt;2,MID(AN468,2,1)=" ",ISNUMBER(VALUE(LEFT(AN468,1)))),AN468,AP467))</f>
        <v/>
      </c>
      <c r="AQ468" s="36" t="n">
        <f aca="false">IF(AND(AN468&lt;&gt;"",ISNUMBER(AL468),LEFT(AN468,9)&lt;&gt;"Total for",AN468&lt;&gt;"Gross Profit",AN468&lt;&gt;"Net Operating Revenue",AN468&lt;&gt;"Net Other Revenue",AN468&lt;&gt;"Net Revenue"),1,0)</f>
        <v>0</v>
      </c>
      <c r="AR468" s="36" t="str">
        <f aca="false">IF(AQ468=1,IF(AND(LEN(AN468)&gt;7,ISNUMBER(VALUE(LEFT(AN468,6))),MID(AN468,7,1)=" "),LEFT(AN468,6),AN468),"")</f>
        <v/>
      </c>
    </row>
    <row r="469" customFormat="false" ht="15" hidden="false" customHeight="false" outlineLevel="0" collapsed="false">
      <c r="D469" s="36" t="str">
        <f aca="false">TRIM(A469)</f>
        <v/>
      </c>
      <c r="E469" s="36" t="str">
        <f aca="false">IF(D469="Revenue","Revenue",IF(D469="Cost of Goods Sold","COGS",IF(D469="Expenditures","Expense",IF(D469="Other Revenue","Other Revenue",IF(D469="Other Expenditures","Other Expense",E468)))))</f>
        <v/>
      </c>
      <c r="F469" s="36" t="str">
        <f aca="false">IF(OR(D469="Revenue",D469="Cost of Goods Sold",D469="Expenditures",D469="Other Revenue",D469="Other Expenditures"),E469,IF(AND(LEN(D469)&gt;2,MID(D469,2,1)=" ",ISNUMBER(VALUE(LEFT(D469,1)))),D469,F468))</f>
        <v/>
      </c>
      <c r="G469" s="36" t="n">
        <f aca="false">IF(AND(D469&lt;&gt;"",ISNUMBER(B469),LEFT(D469,9)&lt;&gt;"Total for",D469&lt;&gt;"Gross Profit",D469&lt;&gt;"Net Operating Revenue",D469&lt;&gt;"Net Other Revenue",D469&lt;&gt;"Net Revenue"),1,0)</f>
        <v>0</v>
      </c>
      <c r="H469" s="36" t="str">
        <f aca="false">IF(G469=1,IF(AND(LEN(D469)&gt;7,ISNUMBER(VALUE(LEFT(D469,6))),MID(D469,7,1)=" "),LEFT(D469,6),D469),"")</f>
        <v/>
      </c>
      <c r="M469" s="36" t="str">
        <f aca="false">TRIM(J469)</f>
        <v/>
      </c>
      <c r="N469" s="36" t="str">
        <f aca="false">IF(M469="Revenue","Revenue",IF(M469="Cost of Goods Sold","COGS",IF(M469="Expenditures","Expense",IF(M469="Other Revenue","Other Revenue",IF(M469="Other Expenditures","Other Expense",N468)))))</f>
        <v/>
      </c>
      <c r="O469" s="36" t="str">
        <f aca="false">IF(OR(M469="Revenue",M469="Cost of Goods Sold",M469="Expenditures",M469="Other Revenue",M469="Other Expenditures"),N469,IF(AND(LEN(M469)&gt;2,MID(M469,2,1)=" ",ISNUMBER(VALUE(LEFT(M469,1)))),M469,O468))</f>
        <v/>
      </c>
      <c r="P469" s="36" t="n">
        <f aca="false">IF(AND(M469&lt;&gt;"",ISNUMBER(K469),LEFT(M469,9)&lt;&gt;"Total for",M469&lt;&gt;"Gross Profit",M469&lt;&gt;"Net Operating Revenue",M469&lt;&gt;"Net Other Revenue",M469&lt;&gt;"Net Revenue"),1,0)</f>
        <v>0</v>
      </c>
      <c r="Q469" s="36" t="str">
        <f aca="false">IF(P469=1,IF(AND(LEN(M469)&gt;7,ISNUMBER(VALUE(LEFT(M469,6))),MID(M469,7,1)=" "),LEFT(M469,6),M469),"")</f>
        <v/>
      </c>
      <c r="V469" s="36" t="str">
        <f aca="false">TRIM(S469)</f>
        <v/>
      </c>
      <c r="W469" s="36" t="str">
        <f aca="false">IF(V469="Revenue","Revenue",IF(V469="Cost of Goods Sold","COGS",IF(V469="Expenditures","Expense",IF(V469="Other Revenue","Other Revenue",IF(V469="Other Expenditures","Other Expense",W468)))))</f>
        <v/>
      </c>
      <c r="X469" s="36" t="str">
        <f aca="false">IF(OR(V469="Revenue",V469="Cost of Goods Sold",V469="Expenditures",V469="Other Revenue",V469="Other Expenditures"),W469,IF(AND(LEN(V469)&gt;2,MID(V469,2,1)=" ",ISNUMBER(VALUE(LEFT(V469,1)))),V469,X468))</f>
        <v/>
      </c>
      <c r="Y469" s="36" t="n">
        <f aca="false">IF(AND(V469&lt;&gt;"",ISNUMBER(T469),LEFT(V469,9)&lt;&gt;"Total for",V469&lt;&gt;"Gross Profit",V469&lt;&gt;"Net Operating Revenue",V469&lt;&gt;"Net Other Revenue",V469&lt;&gt;"Net Revenue"),1,0)</f>
        <v>0</v>
      </c>
      <c r="Z469" s="36" t="str">
        <f aca="false">IF(Y469=1,IF(AND(LEN(V469)&gt;7,ISNUMBER(VALUE(LEFT(V469,6))),MID(V469,7,1)=" "),LEFT(V469,6),V469),"")</f>
        <v/>
      </c>
      <c r="AE469" s="36" t="str">
        <f aca="false">TRIM(AB469)</f>
        <v/>
      </c>
      <c r="AF469" s="36" t="str">
        <f aca="false">IF(AE469="Revenue","Revenue",IF(AE469="Cost of Goods Sold","COGS",IF(AE469="Expenditures","Expense",IF(AE469="Other Revenue","Other Revenue",IF(AE469="Other Expenditures","Other Expense",AF468)))))</f>
        <v/>
      </c>
      <c r="AG469" s="36" t="str">
        <f aca="false">IF(OR(AE469="Revenue",AE469="Cost of Goods Sold",AE469="Expenditures",AE469="Other Revenue",AE469="Other Expenditures"),AF469,IF(AND(LEN(AE469)&gt;2,MID(AE469,2,1)=" ",ISNUMBER(VALUE(LEFT(AE469,1)))),AE469,AG468))</f>
        <v/>
      </c>
      <c r="AH469" s="36" t="n">
        <f aca="false">IF(AND(AE469&lt;&gt;"",ISNUMBER(AC469),LEFT(AE469,9)&lt;&gt;"Total for",AE469&lt;&gt;"Gross Profit",AE469&lt;&gt;"Net Operating Revenue",AE469&lt;&gt;"Net Other Revenue",AE469&lt;&gt;"Net Revenue"),1,0)</f>
        <v>0</v>
      </c>
      <c r="AI469" s="36" t="str">
        <f aca="false">IF(AH469=1,IF(AND(LEN(AE469)&gt;7,ISNUMBER(VALUE(LEFT(AE469,6))),MID(AE469,7,1)=" "),LEFT(AE469,6),AE469),"")</f>
        <v/>
      </c>
      <c r="AN469" s="36" t="str">
        <f aca="false">TRIM(AK469)</f>
        <v/>
      </c>
      <c r="AO469" s="36" t="str">
        <f aca="false">IF(AN469="Revenue","Revenue",IF(AN469="Cost of Goods Sold","COGS",IF(AN469="Expenditures","Expense",IF(AN469="Other Revenue","Other Revenue",IF(AN469="Other Expenditures","Other Expense",AO468)))))</f>
        <v/>
      </c>
      <c r="AP469" s="36" t="str">
        <f aca="false">IF(OR(AN469="Revenue",AN469="Cost of Goods Sold",AN469="Expenditures",AN469="Other Revenue",AN469="Other Expenditures"),AO469,IF(AND(LEN(AN469)&gt;2,MID(AN469,2,1)=" ",ISNUMBER(VALUE(LEFT(AN469,1)))),AN469,AP468))</f>
        <v/>
      </c>
      <c r="AQ469" s="36" t="n">
        <f aca="false">IF(AND(AN469&lt;&gt;"",ISNUMBER(AL469),LEFT(AN469,9)&lt;&gt;"Total for",AN469&lt;&gt;"Gross Profit",AN469&lt;&gt;"Net Operating Revenue",AN469&lt;&gt;"Net Other Revenue",AN469&lt;&gt;"Net Revenue"),1,0)</f>
        <v>0</v>
      </c>
      <c r="AR469" s="36" t="str">
        <f aca="false">IF(AQ469=1,IF(AND(LEN(AN469)&gt;7,ISNUMBER(VALUE(LEFT(AN469,6))),MID(AN469,7,1)=" "),LEFT(AN469,6),AN469),"")</f>
        <v/>
      </c>
    </row>
    <row r="470" customFormat="false" ht="15" hidden="false" customHeight="false" outlineLevel="0" collapsed="false">
      <c r="D470" s="36" t="str">
        <f aca="false">TRIM(A470)</f>
        <v/>
      </c>
      <c r="E470" s="36" t="str">
        <f aca="false">IF(D470="Revenue","Revenue",IF(D470="Cost of Goods Sold","COGS",IF(D470="Expenditures","Expense",IF(D470="Other Revenue","Other Revenue",IF(D470="Other Expenditures","Other Expense",E469)))))</f>
        <v/>
      </c>
      <c r="F470" s="36" t="str">
        <f aca="false">IF(OR(D470="Revenue",D470="Cost of Goods Sold",D470="Expenditures",D470="Other Revenue",D470="Other Expenditures"),E470,IF(AND(LEN(D470)&gt;2,MID(D470,2,1)=" ",ISNUMBER(VALUE(LEFT(D470,1)))),D470,F469))</f>
        <v/>
      </c>
      <c r="G470" s="36" t="n">
        <f aca="false">IF(AND(D470&lt;&gt;"",ISNUMBER(B470),LEFT(D470,9)&lt;&gt;"Total for",D470&lt;&gt;"Gross Profit",D470&lt;&gt;"Net Operating Revenue",D470&lt;&gt;"Net Other Revenue",D470&lt;&gt;"Net Revenue"),1,0)</f>
        <v>0</v>
      </c>
      <c r="H470" s="36" t="str">
        <f aca="false">IF(G470=1,IF(AND(LEN(D470)&gt;7,ISNUMBER(VALUE(LEFT(D470,6))),MID(D470,7,1)=" "),LEFT(D470,6),D470),"")</f>
        <v/>
      </c>
      <c r="M470" s="36" t="str">
        <f aca="false">TRIM(J470)</f>
        <v/>
      </c>
      <c r="N470" s="36" t="str">
        <f aca="false">IF(M470="Revenue","Revenue",IF(M470="Cost of Goods Sold","COGS",IF(M470="Expenditures","Expense",IF(M470="Other Revenue","Other Revenue",IF(M470="Other Expenditures","Other Expense",N469)))))</f>
        <v/>
      </c>
      <c r="O470" s="36" t="str">
        <f aca="false">IF(OR(M470="Revenue",M470="Cost of Goods Sold",M470="Expenditures",M470="Other Revenue",M470="Other Expenditures"),N470,IF(AND(LEN(M470)&gt;2,MID(M470,2,1)=" ",ISNUMBER(VALUE(LEFT(M470,1)))),M470,O469))</f>
        <v/>
      </c>
      <c r="P470" s="36" t="n">
        <f aca="false">IF(AND(M470&lt;&gt;"",ISNUMBER(K470),LEFT(M470,9)&lt;&gt;"Total for",M470&lt;&gt;"Gross Profit",M470&lt;&gt;"Net Operating Revenue",M470&lt;&gt;"Net Other Revenue",M470&lt;&gt;"Net Revenue"),1,0)</f>
        <v>0</v>
      </c>
      <c r="Q470" s="36" t="str">
        <f aca="false">IF(P470=1,IF(AND(LEN(M470)&gt;7,ISNUMBER(VALUE(LEFT(M470,6))),MID(M470,7,1)=" "),LEFT(M470,6),M470),"")</f>
        <v/>
      </c>
      <c r="V470" s="36" t="str">
        <f aca="false">TRIM(S470)</f>
        <v/>
      </c>
      <c r="W470" s="36" t="str">
        <f aca="false">IF(V470="Revenue","Revenue",IF(V470="Cost of Goods Sold","COGS",IF(V470="Expenditures","Expense",IF(V470="Other Revenue","Other Revenue",IF(V470="Other Expenditures","Other Expense",W469)))))</f>
        <v/>
      </c>
      <c r="X470" s="36" t="str">
        <f aca="false">IF(OR(V470="Revenue",V470="Cost of Goods Sold",V470="Expenditures",V470="Other Revenue",V470="Other Expenditures"),W470,IF(AND(LEN(V470)&gt;2,MID(V470,2,1)=" ",ISNUMBER(VALUE(LEFT(V470,1)))),V470,X469))</f>
        <v/>
      </c>
      <c r="Y470" s="36" t="n">
        <f aca="false">IF(AND(V470&lt;&gt;"",ISNUMBER(T470),LEFT(V470,9)&lt;&gt;"Total for",V470&lt;&gt;"Gross Profit",V470&lt;&gt;"Net Operating Revenue",V470&lt;&gt;"Net Other Revenue",V470&lt;&gt;"Net Revenue"),1,0)</f>
        <v>0</v>
      </c>
      <c r="Z470" s="36" t="str">
        <f aca="false">IF(Y470=1,IF(AND(LEN(V470)&gt;7,ISNUMBER(VALUE(LEFT(V470,6))),MID(V470,7,1)=" "),LEFT(V470,6),V470),"")</f>
        <v/>
      </c>
      <c r="AE470" s="36" t="str">
        <f aca="false">TRIM(AB470)</f>
        <v/>
      </c>
      <c r="AF470" s="36" t="str">
        <f aca="false">IF(AE470="Revenue","Revenue",IF(AE470="Cost of Goods Sold","COGS",IF(AE470="Expenditures","Expense",IF(AE470="Other Revenue","Other Revenue",IF(AE470="Other Expenditures","Other Expense",AF469)))))</f>
        <v/>
      </c>
      <c r="AG470" s="36" t="str">
        <f aca="false">IF(OR(AE470="Revenue",AE470="Cost of Goods Sold",AE470="Expenditures",AE470="Other Revenue",AE470="Other Expenditures"),AF470,IF(AND(LEN(AE470)&gt;2,MID(AE470,2,1)=" ",ISNUMBER(VALUE(LEFT(AE470,1)))),AE470,AG469))</f>
        <v/>
      </c>
      <c r="AH470" s="36" t="n">
        <f aca="false">IF(AND(AE470&lt;&gt;"",ISNUMBER(AC470),LEFT(AE470,9)&lt;&gt;"Total for",AE470&lt;&gt;"Gross Profit",AE470&lt;&gt;"Net Operating Revenue",AE470&lt;&gt;"Net Other Revenue",AE470&lt;&gt;"Net Revenue"),1,0)</f>
        <v>0</v>
      </c>
      <c r="AI470" s="36" t="str">
        <f aca="false">IF(AH470=1,IF(AND(LEN(AE470)&gt;7,ISNUMBER(VALUE(LEFT(AE470,6))),MID(AE470,7,1)=" "),LEFT(AE470,6),AE470),"")</f>
        <v/>
      </c>
      <c r="AN470" s="36" t="str">
        <f aca="false">TRIM(AK470)</f>
        <v/>
      </c>
      <c r="AO470" s="36" t="str">
        <f aca="false">IF(AN470="Revenue","Revenue",IF(AN470="Cost of Goods Sold","COGS",IF(AN470="Expenditures","Expense",IF(AN470="Other Revenue","Other Revenue",IF(AN470="Other Expenditures","Other Expense",AO469)))))</f>
        <v/>
      </c>
      <c r="AP470" s="36" t="str">
        <f aca="false">IF(OR(AN470="Revenue",AN470="Cost of Goods Sold",AN470="Expenditures",AN470="Other Revenue",AN470="Other Expenditures"),AO470,IF(AND(LEN(AN470)&gt;2,MID(AN470,2,1)=" ",ISNUMBER(VALUE(LEFT(AN470,1)))),AN470,AP469))</f>
        <v/>
      </c>
      <c r="AQ470" s="36" t="n">
        <f aca="false">IF(AND(AN470&lt;&gt;"",ISNUMBER(AL470),LEFT(AN470,9)&lt;&gt;"Total for",AN470&lt;&gt;"Gross Profit",AN470&lt;&gt;"Net Operating Revenue",AN470&lt;&gt;"Net Other Revenue",AN470&lt;&gt;"Net Revenue"),1,0)</f>
        <v>0</v>
      </c>
      <c r="AR470" s="36" t="str">
        <f aca="false">IF(AQ470=1,IF(AND(LEN(AN470)&gt;7,ISNUMBER(VALUE(LEFT(AN470,6))),MID(AN470,7,1)=" "),LEFT(AN470,6),AN470),"")</f>
        <v/>
      </c>
    </row>
    <row r="471" customFormat="false" ht="15" hidden="false" customHeight="false" outlineLevel="0" collapsed="false">
      <c r="D471" s="36" t="str">
        <f aca="false">TRIM(A471)</f>
        <v/>
      </c>
      <c r="E471" s="36" t="str">
        <f aca="false">IF(D471="Revenue","Revenue",IF(D471="Cost of Goods Sold","COGS",IF(D471="Expenditures","Expense",IF(D471="Other Revenue","Other Revenue",IF(D471="Other Expenditures","Other Expense",E470)))))</f>
        <v/>
      </c>
      <c r="F471" s="36" t="str">
        <f aca="false">IF(OR(D471="Revenue",D471="Cost of Goods Sold",D471="Expenditures",D471="Other Revenue",D471="Other Expenditures"),E471,IF(AND(LEN(D471)&gt;2,MID(D471,2,1)=" ",ISNUMBER(VALUE(LEFT(D471,1)))),D471,F470))</f>
        <v/>
      </c>
      <c r="G471" s="36" t="n">
        <f aca="false">IF(AND(D471&lt;&gt;"",ISNUMBER(B471),LEFT(D471,9)&lt;&gt;"Total for",D471&lt;&gt;"Gross Profit",D471&lt;&gt;"Net Operating Revenue",D471&lt;&gt;"Net Other Revenue",D471&lt;&gt;"Net Revenue"),1,0)</f>
        <v>0</v>
      </c>
      <c r="H471" s="36" t="str">
        <f aca="false">IF(G471=1,IF(AND(LEN(D471)&gt;7,ISNUMBER(VALUE(LEFT(D471,6))),MID(D471,7,1)=" "),LEFT(D471,6),D471),"")</f>
        <v/>
      </c>
      <c r="M471" s="36" t="str">
        <f aca="false">TRIM(J471)</f>
        <v/>
      </c>
      <c r="N471" s="36" t="str">
        <f aca="false">IF(M471="Revenue","Revenue",IF(M471="Cost of Goods Sold","COGS",IF(M471="Expenditures","Expense",IF(M471="Other Revenue","Other Revenue",IF(M471="Other Expenditures","Other Expense",N470)))))</f>
        <v/>
      </c>
      <c r="O471" s="36" t="str">
        <f aca="false">IF(OR(M471="Revenue",M471="Cost of Goods Sold",M471="Expenditures",M471="Other Revenue",M471="Other Expenditures"),N471,IF(AND(LEN(M471)&gt;2,MID(M471,2,1)=" ",ISNUMBER(VALUE(LEFT(M471,1)))),M471,O470))</f>
        <v/>
      </c>
      <c r="P471" s="36" t="n">
        <f aca="false">IF(AND(M471&lt;&gt;"",ISNUMBER(K471),LEFT(M471,9)&lt;&gt;"Total for",M471&lt;&gt;"Gross Profit",M471&lt;&gt;"Net Operating Revenue",M471&lt;&gt;"Net Other Revenue",M471&lt;&gt;"Net Revenue"),1,0)</f>
        <v>0</v>
      </c>
      <c r="Q471" s="36" t="str">
        <f aca="false">IF(P471=1,IF(AND(LEN(M471)&gt;7,ISNUMBER(VALUE(LEFT(M471,6))),MID(M471,7,1)=" "),LEFT(M471,6),M471),"")</f>
        <v/>
      </c>
      <c r="V471" s="36" t="str">
        <f aca="false">TRIM(S471)</f>
        <v/>
      </c>
      <c r="W471" s="36" t="str">
        <f aca="false">IF(V471="Revenue","Revenue",IF(V471="Cost of Goods Sold","COGS",IF(V471="Expenditures","Expense",IF(V471="Other Revenue","Other Revenue",IF(V471="Other Expenditures","Other Expense",W470)))))</f>
        <v/>
      </c>
      <c r="X471" s="36" t="str">
        <f aca="false">IF(OR(V471="Revenue",V471="Cost of Goods Sold",V471="Expenditures",V471="Other Revenue",V471="Other Expenditures"),W471,IF(AND(LEN(V471)&gt;2,MID(V471,2,1)=" ",ISNUMBER(VALUE(LEFT(V471,1)))),V471,X470))</f>
        <v/>
      </c>
      <c r="Y471" s="36" t="n">
        <f aca="false">IF(AND(V471&lt;&gt;"",ISNUMBER(T471),LEFT(V471,9)&lt;&gt;"Total for",V471&lt;&gt;"Gross Profit",V471&lt;&gt;"Net Operating Revenue",V471&lt;&gt;"Net Other Revenue",V471&lt;&gt;"Net Revenue"),1,0)</f>
        <v>0</v>
      </c>
      <c r="Z471" s="36" t="str">
        <f aca="false">IF(Y471=1,IF(AND(LEN(V471)&gt;7,ISNUMBER(VALUE(LEFT(V471,6))),MID(V471,7,1)=" "),LEFT(V471,6),V471),"")</f>
        <v/>
      </c>
      <c r="AE471" s="36" t="str">
        <f aca="false">TRIM(AB471)</f>
        <v/>
      </c>
      <c r="AF471" s="36" t="str">
        <f aca="false">IF(AE471="Revenue","Revenue",IF(AE471="Cost of Goods Sold","COGS",IF(AE471="Expenditures","Expense",IF(AE471="Other Revenue","Other Revenue",IF(AE471="Other Expenditures","Other Expense",AF470)))))</f>
        <v/>
      </c>
      <c r="AG471" s="36" t="str">
        <f aca="false">IF(OR(AE471="Revenue",AE471="Cost of Goods Sold",AE471="Expenditures",AE471="Other Revenue",AE471="Other Expenditures"),AF471,IF(AND(LEN(AE471)&gt;2,MID(AE471,2,1)=" ",ISNUMBER(VALUE(LEFT(AE471,1)))),AE471,AG470))</f>
        <v/>
      </c>
      <c r="AH471" s="36" t="n">
        <f aca="false">IF(AND(AE471&lt;&gt;"",ISNUMBER(AC471),LEFT(AE471,9)&lt;&gt;"Total for",AE471&lt;&gt;"Gross Profit",AE471&lt;&gt;"Net Operating Revenue",AE471&lt;&gt;"Net Other Revenue",AE471&lt;&gt;"Net Revenue"),1,0)</f>
        <v>0</v>
      </c>
      <c r="AI471" s="36" t="str">
        <f aca="false">IF(AH471=1,IF(AND(LEN(AE471)&gt;7,ISNUMBER(VALUE(LEFT(AE471,6))),MID(AE471,7,1)=" "),LEFT(AE471,6),AE471),"")</f>
        <v/>
      </c>
      <c r="AN471" s="36" t="str">
        <f aca="false">TRIM(AK471)</f>
        <v/>
      </c>
      <c r="AO471" s="36" t="str">
        <f aca="false">IF(AN471="Revenue","Revenue",IF(AN471="Cost of Goods Sold","COGS",IF(AN471="Expenditures","Expense",IF(AN471="Other Revenue","Other Revenue",IF(AN471="Other Expenditures","Other Expense",AO470)))))</f>
        <v/>
      </c>
      <c r="AP471" s="36" t="str">
        <f aca="false">IF(OR(AN471="Revenue",AN471="Cost of Goods Sold",AN471="Expenditures",AN471="Other Revenue",AN471="Other Expenditures"),AO471,IF(AND(LEN(AN471)&gt;2,MID(AN471,2,1)=" ",ISNUMBER(VALUE(LEFT(AN471,1)))),AN471,AP470))</f>
        <v/>
      </c>
      <c r="AQ471" s="36" t="n">
        <f aca="false">IF(AND(AN471&lt;&gt;"",ISNUMBER(AL471),LEFT(AN471,9)&lt;&gt;"Total for",AN471&lt;&gt;"Gross Profit",AN471&lt;&gt;"Net Operating Revenue",AN471&lt;&gt;"Net Other Revenue",AN471&lt;&gt;"Net Revenue"),1,0)</f>
        <v>0</v>
      </c>
      <c r="AR471" s="36" t="str">
        <f aca="false">IF(AQ471=1,IF(AND(LEN(AN471)&gt;7,ISNUMBER(VALUE(LEFT(AN471,6))),MID(AN471,7,1)=" "),LEFT(AN471,6),AN471),"")</f>
        <v/>
      </c>
    </row>
    <row r="472" customFormat="false" ht="15" hidden="false" customHeight="false" outlineLevel="0" collapsed="false">
      <c r="D472" s="36" t="str">
        <f aca="false">TRIM(A472)</f>
        <v/>
      </c>
      <c r="E472" s="36" t="str">
        <f aca="false">IF(D472="Revenue","Revenue",IF(D472="Cost of Goods Sold","COGS",IF(D472="Expenditures","Expense",IF(D472="Other Revenue","Other Revenue",IF(D472="Other Expenditures","Other Expense",E471)))))</f>
        <v/>
      </c>
      <c r="F472" s="36" t="str">
        <f aca="false">IF(OR(D472="Revenue",D472="Cost of Goods Sold",D472="Expenditures",D472="Other Revenue",D472="Other Expenditures"),E472,IF(AND(LEN(D472)&gt;2,MID(D472,2,1)=" ",ISNUMBER(VALUE(LEFT(D472,1)))),D472,F471))</f>
        <v/>
      </c>
      <c r="G472" s="36" t="n">
        <f aca="false">IF(AND(D472&lt;&gt;"",ISNUMBER(B472),LEFT(D472,9)&lt;&gt;"Total for",D472&lt;&gt;"Gross Profit",D472&lt;&gt;"Net Operating Revenue",D472&lt;&gt;"Net Other Revenue",D472&lt;&gt;"Net Revenue"),1,0)</f>
        <v>0</v>
      </c>
      <c r="H472" s="36" t="str">
        <f aca="false">IF(G472=1,IF(AND(LEN(D472)&gt;7,ISNUMBER(VALUE(LEFT(D472,6))),MID(D472,7,1)=" "),LEFT(D472,6),D472),"")</f>
        <v/>
      </c>
      <c r="M472" s="36" t="str">
        <f aca="false">TRIM(J472)</f>
        <v/>
      </c>
      <c r="N472" s="36" t="str">
        <f aca="false">IF(M472="Revenue","Revenue",IF(M472="Cost of Goods Sold","COGS",IF(M472="Expenditures","Expense",IF(M472="Other Revenue","Other Revenue",IF(M472="Other Expenditures","Other Expense",N471)))))</f>
        <v/>
      </c>
      <c r="O472" s="36" t="str">
        <f aca="false">IF(OR(M472="Revenue",M472="Cost of Goods Sold",M472="Expenditures",M472="Other Revenue",M472="Other Expenditures"),N472,IF(AND(LEN(M472)&gt;2,MID(M472,2,1)=" ",ISNUMBER(VALUE(LEFT(M472,1)))),M472,O471))</f>
        <v/>
      </c>
      <c r="P472" s="36" t="n">
        <f aca="false">IF(AND(M472&lt;&gt;"",ISNUMBER(K472),LEFT(M472,9)&lt;&gt;"Total for",M472&lt;&gt;"Gross Profit",M472&lt;&gt;"Net Operating Revenue",M472&lt;&gt;"Net Other Revenue",M472&lt;&gt;"Net Revenue"),1,0)</f>
        <v>0</v>
      </c>
      <c r="Q472" s="36" t="str">
        <f aca="false">IF(P472=1,IF(AND(LEN(M472)&gt;7,ISNUMBER(VALUE(LEFT(M472,6))),MID(M472,7,1)=" "),LEFT(M472,6),M472),"")</f>
        <v/>
      </c>
      <c r="V472" s="36" t="str">
        <f aca="false">TRIM(S472)</f>
        <v/>
      </c>
      <c r="W472" s="36" t="str">
        <f aca="false">IF(V472="Revenue","Revenue",IF(V472="Cost of Goods Sold","COGS",IF(V472="Expenditures","Expense",IF(V472="Other Revenue","Other Revenue",IF(V472="Other Expenditures","Other Expense",W471)))))</f>
        <v/>
      </c>
      <c r="X472" s="36" t="str">
        <f aca="false">IF(OR(V472="Revenue",V472="Cost of Goods Sold",V472="Expenditures",V472="Other Revenue",V472="Other Expenditures"),W472,IF(AND(LEN(V472)&gt;2,MID(V472,2,1)=" ",ISNUMBER(VALUE(LEFT(V472,1)))),V472,X471))</f>
        <v/>
      </c>
      <c r="Y472" s="36" t="n">
        <f aca="false">IF(AND(V472&lt;&gt;"",ISNUMBER(T472),LEFT(V472,9)&lt;&gt;"Total for",V472&lt;&gt;"Gross Profit",V472&lt;&gt;"Net Operating Revenue",V472&lt;&gt;"Net Other Revenue",V472&lt;&gt;"Net Revenue"),1,0)</f>
        <v>0</v>
      </c>
      <c r="Z472" s="36" t="str">
        <f aca="false">IF(Y472=1,IF(AND(LEN(V472)&gt;7,ISNUMBER(VALUE(LEFT(V472,6))),MID(V472,7,1)=" "),LEFT(V472,6),V472),"")</f>
        <v/>
      </c>
      <c r="AE472" s="36" t="str">
        <f aca="false">TRIM(AB472)</f>
        <v/>
      </c>
      <c r="AF472" s="36" t="str">
        <f aca="false">IF(AE472="Revenue","Revenue",IF(AE472="Cost of Goods Sold","COGS",IF(AE472="Expenditures","Expense",IF(AE472="Other Revenue","Other Revenue",IF(AE472="Other Expenditures","Other Expense",AF471)))))</f>
        <v/>
      </c>
      <c r="AG472" s="36" t="str">
        <f aca="false">IF(OR(AE472="Revenue",AE472="Cost of Goods Sold",AE472="Expenditures",AE472="Other Revenue",AE472="Other Expenditures"),AF472,IF(AND(LEN(AE472)&gt;2,MID(AE472,2,1)=" ",ISNUMBER(VALUE(LEFT(AE472,1)))),AE472,AG471))</f>
        <v/>
      </c>
      <c r="AH472" s="36" t="n">
        <f aca="false">IF(AND(AE472&lt;&gt;"",ISNUMBER(AC472),LEFT(AE472,9)&lt;&gt;"Total for",AE472&lt;&gt;"Gross Profit",AE472&lt;&gt;"Net Operating Revenue",AE472&lt;&gt;"Net Other Revenue",AE472&lt;&gt;"Net Revenue"),1,0)</f>
        <v>0</v>
      </c>
      <c r="AI472" s="36" t="str">
        <f aca="false">IF(AH472=1,IF(AND(LEN(AE472)&gt;7,ISNUMBER(VALUE(LEFT(AE472,6))),MID(AE472,7,1)=" "),LEFT(AE472,6),AE472),"")</f>
        <v/>
      </c>
      <c r="AN472" s="36" t="str">
        <f aca="false">TRIM(AK472)</f>
        <v/>
      </c>
      <c r="AO472" s="36" t="str">
        <f aca="false">IF(AN472="Revenue","Revenue",IF(AN472="Cost of Goods Sold","COGS",IF(AN472="Expenditures","Expense",IF(AN472="Other Revenue","Other Revenue",IF(AN472="Other Expenditures","Other Expense",AO471)))))</f>
        <v/>
      </c>
      <c r="AP472" s="36" t="str">
        <f aca="false">IF(OR(AN472="Revenue",AN472="Cost of Goods Sold",AN472="Expenditures",AN472="Other Revenue",AN472="Other Expenditures"),AO472,IF(AND(LEN(AN472)&gt;2,MID(AN472,2,1)=" ",ISNUMBER(VALUE(LEFT(AN472,1)))),AN472,AP471))</f>
        <v/>
      </c>
      <c r="AQ472" s="36" t="n">
        <f aca="false">IF(AND(AN472&lt;&gt;"",ISNUMBER(AL472),LEFT(AN472,9)&lt;&gt;"Total for",AN472&lt;&gt;"Gross Profit",AN472&lt;&gt;"Net Operating Revenue",AN472&lt;&gt;"Net Other Revenue",AN472&lt;&gt;"Net Revenue"),1,0)</f>
        <v>0</v>
      </c>
      <c r="AR472" s="36" t="str">
        <f aca="false">IF(AQ472=1,IF(AND(LEN(AN472)&gt;7,ISNUMBER(VALUE(LEFT(AN472,6))),MID(AN472,7,1)=" "),LEFT(AN472,6),AN472),"")</f>
        <v/>
      </c>
    </row>
    <row r="473" customFormat="false" ht="15" hidden="false" customHeight="false" outlineLevel="0" collapsed="false">
      <c r="D473" s="36" t="str">
        <f aca="false">TRIM(A473)</f>
        <v/>
      </c>
      <c r="E473" s="36" t="str">
        <f aca="false">IF(D473="Revenue","Revenue",IF(D473="Cost of Goods Sold","COGS",IF(D473="Expenditures","Expense",IF(D473="Other Revenue","Other Revenue",IF(D473="Other Expenditures","Other Expense",E472)))))</f>
        <v/>
      </c>
      <c r="F473" s="36" t="str">
        <f aca="false">IF(OR(D473="Revenue",D473="Cost of Goods Sold",D473="Expenditures",D473="Other Revenue",D473="Other Expenditures"),E473,IF(AND(LEN(D473)&gt;2,MID(D473,2,1)=" ",ISNUMBER(VALUE(LEFT(D473,1)))),D473,F472))</f>
        <v/>
      </c>
      <c r="G473" s="36" t="n">
        <f aca="false">IF(AND(D473&lt;&gt;"",ISNUMBER(B473),LEFT(D473,9)&lt;&gt;"Total for",D473&lt;&gt;"Gross Profit",D473&lt;&gt;"Net Operating Revenue",D473&lt;&gt;"Net Other Revenue",D473&lt;&gt;"Net Revenue"),1,0)</f>
        <v>0</v>
      </c>
      <c r="H473" s="36" t="str">
        <f aca="false">IF(G473=1,IF(AND(LEN(D473)&gt;7,ISNUMBER(VALUE(LEFT(D473,6))),MID(D473,7,1)=" "),LEFT(D473,6),D473),"")</f>
        <v/>
      </c>
      <c r="M473" s="36" t="str">
        <f aca="false">TRIM(J473)</f>
        <v/>
      </c>
      <c r="N473" s="36" t="str">
        <f aca="false">IF(M473="Revenue","Revenue",IF(M473="Cost of Goods Sold","COGS",IF(M473="Expenditures","Expense",IF(M473="Other Revenue","Other Revenue",IF(M473="Other Expenditures","Other Expense",N472)))))</f>
        <v/>
      </c>
      <c r="O473" s="36" t="str">
        <f aca="false">IF(OR(M473="Revenue",M473="Cost of Goods Sold",M473="Expenditures",M473="Other Revenue",M473="Other Expenditures"),N473,IF(AND(LEN(M473)&gt;2,MID(M473,2,1)=" ",ISNUMBER(VALUE(LEFT(M473,1)))),M473,O472))</f>
        <v/>
      </c>
      <c r="P473" s="36" t="n">
        <f aca="false">IF(AND(M473&lt;&gt;"",ISNUMBER(K473),LEFT(M473,9)&lt;&gt;"Total for",M473&lt;&gt;"Gross Profit",M473&lt;&gt;"Net Operating Revenue",M473&lt;&gt;"Net Other Revenue",M473&lt;&gt;"Net Revenue"),1,0)</f>
        <v>0</v>
      </c>
      <c r="Q473" s="36" t="str">
        <f aca="false">IF(P473=1,IF(AND(LEN(M473)&gt;7,ISNUMBER(VALUE(LEFT(M473,6))),MID(M473,7,1)=" "),LEFT(M473,6),M473),"")</f>
        <v/>
      </c>
      <c r="V473" s="36" t="str">
        <f aca="false">TRIM(S473)</f>
        <v/>
      </c>
      <c r="W473" s="36" t="str">
        <f aca="false">IF(V473="Revenue","Revenue",IF(V473="Cost of Goods Sold","COGS",IF(V473="Expenditures","Expense",IF(V473="Other Revenue","Other Revenue",IF(V473="Other Expenditures","Other Expense",W472)))))</f>
        <v/>
      </c>
      <c r="X473" s="36" t="str">
        <f aca="false">IF(OR(V473="Revenue",V473="Cost of Goods Sold",V473="Expenditures",V473="Other Revenue",V473="Other Expenditures"),W473,IF(AND(LEN(V473)&gt;2,MID(V473,2,1)=" ",ISNUMBER(VALUE(LEFT(V473,1)))),V473,X472))</f>
        <v/>
      </c>
      <c r="Y473" s="36" t="n">
        <f aca="false">IF(AND(V473&lt;&gt;"",ISNUMBER(T473),LEFT(V473,9)&lt;&gt;"Total for",V473&lt;&gt;"Gross Profit",V473&lt;&gt;"Net Operating Revenue",V473&lt;&gt;"Net Other Revenue",V473&lt;&gt;"Net Revenue"),1,0)</f>
        <v>0</v>
      </c>
      <c r="Z473" s="36" t="str">
        <f aca="false">IF(Y473=1,IF(AND(LEN(V473)&gt;7,ISNUMBER(VALUE(LEFT(V473,6))),MID(V473,7,1)=" "),LEFT(V473,6),V473),"")</f>
        <v/>
      </c>
      <c r="AE473" s="36" t="str">
        <f aca="false">TRIM(AB473)</f>
        <v/>
      </c>
      <c r="AF473" s="36" t="str">
        <f aca="false">IF(AE473="Revenue","Revenue",IF(AE473="Cost of Goods Sold","COGS",IF(AE473="Expenditures","Expense",IF(AE473="Other Revenue","Other Revenue",IF(AE473="Other Expenditures","Other Expense",AF472)))))</f>
        <v/>
      </c>
      <c r="AG473" s="36" t="str">
        <f aca="false">IF(OR(AE473="Revenue",AE473="Cost of Goods Sold",AE473="Expenditures",AE473="Other Revenue",AE473="Other Expenditures"),AF473,IF(AND(LEN(AE473)&gt;2,MID(AE473,2,1)=" ",ISNUMBER(VALUE(LEFT(AE473,1)))),AE473,AG472))</f>
        <v/>
      </c>
      <c r="AH473" s="36" t="n">
        <f aca="false">IF(AND(AE473&lt;&gt;"",ISNUMBER(AC473),LEFT(AE473,9)&lt;&gt;"Total for",AE473&lt;&gt;"Gross Profit",AE473&lt;&gt;"Net Operating Revenue",AE473&lt;&gt;"Net Other Revenue",AE473&lt;&gt;"Net Revenue"),1,0)</f>
        <v>0</v>
      </c>
      <c r="AI473" s="36" t="str">
        <f aca="false">IF(AH473=1,IF(AND(LEN(AE473)&gt;7,ISNUMBER(VALUE(LEFT(AE473,6))),MID(AE473,7,1)=" "),LEFT(AE473,6),AE473),"")</f>
        <v/>
      </c>
      <c r="AN473" s="36" t="str">
        <f aca="false">TRIM(AK473)</f>
        <v/>
      </c>
      <c r="AO473" s="36" t="str">
        <f aca="false">IF(AN473="Revenue","Revenue",IF(AN473="Cost of Goods Sold","COGS",IF(AN473="Expenditures","Expense",IF(AN473="Other Revenue","Other Revenue",IF(AN473="Other Expenditures","Other Expense",AO472)))))</f>
        <v/>
      </c>
      <c r="AP473" s="36" t="str">
        <f aca="false">IF(OR(AN473="Revenue",AN473="Cost of Goods Sold",AN473="Expenditures",AN473="Other Revenue",AN473="Other Expenditures"),AO473,IF(AND(LEN(AN473)&gt;2,MID(AN473,2,1)=" ",ISNUMBER(VALUE(LEFT(AN473,1)))),AN473,AP472))</f>
        <v/>
      </c>
      <c r="AQ473" s="36" t="n">
        <f aca="false">IF(AND(AN473&lt;&gt;"",ISNUMBER(AL473),LEFT(AN473,9)&lt;&gt;"Total for",AN473&lt;&gt;"Gross Profit",AN473&lt;&gt;"Net Operating Revenue",AN473&lt;&gt;"Net Other Revenue",AN473&lt;&gt;"Net Revenue"),1,0)</f>
        <v>0</v>
      </c>
      <c r="AR473" s="36" t="str">
        <f aca="false">IF(AQ473=1,IF(AND(LEN(AN473)&gt;7,ISNUMBER(VALUE(LEFT(AN473,6))),MID(AN473,7,1)=" "),LEFT(AN473,6),AN473),"")</f>
        <v/>
      </c>
    </row>
    <row r="474" customFormat="false" ht="15" hidden="false" customHeight="false" outlineLevel="0" collapsed="false">
      <c r="D474" s="36" t="str">
        <f aca="false">TRIM(A474)</f>
        <v/>
      </c>
      <c r="E474" s="36" t="str">
        <f aca="false">IF(D474="Revenue","Revenue",IF(D474="Cost of Goods Sold","COGS",IF(D474="Expenditures","Expense",IF(D474="Other Revenue","Other Revenue",IF(D474="Other Expenditures","Other Expense",E473)))))</f>
        <v/>
      </c>
      <c r="F474" s="36" t="str">
        <f aca="false">IF(OR(D474="Revenue",D474="Cost of Goods Sold",D474="Expenditures",D474="Other Revenue",D474="Other Expenditures"),E474,IF(AND(LEN(D474)&gt;2,MID(D474,2,1)=" ",ISNUMBER(VALUE(LEFT(D474,1)))),D474,F473))</f>
        <v/>
      </c>
      <c r="G474" s="36" t="n">
        <f aca="false">IF(AND(D474&lt;&gt;"",ISNUMBER(B474),LEFT(D474,9)&lt;&gt;"Total for",D474&lt;&gt;"Gross Profit",D474&lt;&gt;"Net Operating Revenue",D474&lt;&gt;"Net Other Revenue",D474&lt;&gt;"Net Revenue"),1,0)</f>
        <v>0</v>
      </c>
      <c r="H474" s="36" t="str">
        <f aca="false">IF(G474=1,IF(AND(LEN(D474)&gt;7,ISNUMBER(VALUE(LEFT(D474,6))),MID(D474,7,1)=" "),LEFT(D474,6),D474),"")</f>
        <v/>
      </c>
      <c r="M474" s="36" t="str">
        <f aca="false">TRIM(J474)</f>
        <v/>
      </c>
      <c r="N474" s="36" t="str">
        <f aca="false">IF(M474="Revenue","Revenue",IF(M474="Cost of Goods Sold","COGS",IF(M474="Expenditures","Expense",IF(M474="Other Revenue","Other Revenue",IF(M474="Other Expenditures","Other Expense",N473)))))</f>
        <v/>
      </c>
      <c r="O474" s="36" t="str">
        <f aca="false">IF(OR(M474="Revenue",M474="Cost of Goods Sold",M474="Expenditures",M474="Other Revenue",M474="Other Expenditures"),N474,IF(AND(LEN(M474)&gt;2,MID(M474,2,1)=" ",ISNUMBER(VALUE(LEFT(M474,1)))),M474,O473))</f>
        <v/>
      </c>
      <c r="P474" s="36" t="n">
        <f aca="false">IF(AND(M474&lt;&gt;"",ISNUMBER(K474),LEFT(M474,9)&lt;&gt;"Total for",M474&lt;&gt;"Gross Profit",M474&lt;&gt;"Net Operating Revenue",M474&lt;&gt;"Net Other Revenue",M474&lt;&gt;"Net Revenue"),1,0)</f>
        <v>0</v>
      </c>
      <c r="Q474" s="36" t="str">
        <f aca="false">IF(P474=1,IF(AND(LEN(M474)&gt;7,ISNUMBER(VALUE(LEFT(M474,6))),MID(M474,7,1)=" "),LEFT(M474,6),M474),"")</f>
        <v/>
      </c>
      <c r="V474" s="36" t="str">
        <f aca="false">TRIM(S474)</f>
        <v/>
      </c>
      <c r="W474" s="36" t="str">
        <f aca="false">IF(V474="Revenue","Revenue",IF(V474="Cost of Goods Sold","COGS",IF(V474="Expenditures","Expense",IF(V474="Other Revenue","Other Revenue",IF(V474="Other Expenditures","Other Expense",W473)))))</f>
        <v/>
      </c>
      <c r="X474" s="36" t="str">
        <f aca="false">IF(OR(V474="Revenue",V474="Cost of Goods Sold",V474="Expenditures",V474="Other Revenue",V474="Other Expenditures"),W474,IF(AND(LEN(V474)&gt;2,MID(V474,2,1)=" ",ISNUMBER(VALUE(LEFT(V474,1)))),V474,X473))</f>
        <v/>
      </c>
      <c r="Y474" s="36" t="n">
        <f aca="false">IF(AND(V474&lt;&gt;"",ISNUMBER(T474),LEFT(V474,9)&lt;&gt;"Total for",V474&lt;&gt;"Gross Profit",V474&lt;&gt;"Net Operating Revenue",V474&lt;&gt;"Net Other Revenue",V474&lt;&gt;"Net Revenue"),1,0)</f>
        <v>0</v>
      </c>
      <c r="Z474" s="36" t="str">
        <f aca="false">IF(Y474=1,IF(AND(LEN(V474)&gt;7,ISNUMBER(VALUE(LEFT(V474,6))),MID(V474,7,1)=" "),LEFT(V474,6),V474),"")</f>
        <v/>
      </c>
      <c r="AE474" s="36" t="str">
        <f aca="false">TRIM(AB474)</f>
        <v/>
      </c>
      <c r="AF474" s="36" t="str">
        <f aca="false">IF(AE474="Revenue","Revenue",IF(AE474="Cost of Goods Sold","COGS",IF(AE474="Expenditures","Expense",IF(AE474="Other Revenue","Other Revenue",IF(AE474="Other Expenditures","Other Expense",AF473)))))</f>
        <v/>
      </c>
      <c r="AG474" s="36" t="str">
        <f aca="false">IF(OR(AE474="Revenue",AE474="Cost of Goods Sold",AE474="Expenditures",AE474="Other Revenue",AE474="Other Expenditures"),AF474,IF(AND(LEN(AE474)&gt;2,MID(AE474,2,1)=" ",ISNUMBER(VALUE(LEFT(AE474,1)))),AE474,AG473))</f>
        <v/>
      </c>
      <c r="AH474" s="36" t="n">
        <f aca="false">IF(AND(AE474&lt;&gt;"",ISNUMBER(AC474),LEFT(AE474,9)&lt;&gt;"Total for",AE474&lt;&gt;"Gross Profit",AE474&lt;&gt;"Net Operating Revenue",AE474&lt;&gt;"Net Other Revenue",AE474&lt;&gt;"Net Revenue"),1,0)</f>
        <v>0</v>
      </c>
      <c r="AI474" s="36" t="str">
        <f aca="false">IF(AH474=1,IF(AND(LEN(AE474)&gt;7,ISNUMBER(VALUE(LEFT(AE474,6))),MID(AE474,7,1)=" "),LEFT(AE474,6),AE474),"")</f>
        <v/>
      </c>
      <c r="AN474" s="36" t="str">
        <f aca="false">TRIM(AK474)</f>
        <v/>
      </c>
      <c r="AO474" s="36" t="str">
        <f aca="false">IF(AN474="Revenue","Revenue",IF(AN474="Cost of Goods Sold","COGS",IF(AN474="Expenditures","Expense",IF(AN474="Other Revenue","Other Revenue",IF(AN474="Other Expenditures","Other Expense",AO473)))))</f>
        <v/>
      </c>
      <c r="AP474" s="36" t="str">
        <f aca="false">IF(OR(AN474="Revenue",AN474="Cost of Goods Sold",AN474="Expenditures",AN474="Other Revenue",AN474="Other Expenditures"),AO474,IF(AND(LEN(AN474)&gt;2,MID(AN474,2,1)=" ",ISNUMBER(VALUE(LEFT(AN474,1)))),AN474,AP473))</f>
        <v/>
      </c>
      <c r="AQ474" s="36" t="n">
        <f aca="false">IF(AND(AN474&lt;&gt;"",ISNUMBER(AL474),LEFT(AN474,9)&lt;&gt;"Total for",AN474&lt;&gt;"Gross Profit",AN474&lt;&gt;"Net Operating Revenue",AN474&lt;&gt;"Net Other Revenue",AN474&lt;&gt;"Net Revenue"),1,0)</f>
        <v>0</v>
      </c>
      <c r="AR474" s="36" t="str">
        <f aca="false">IF(AQ474=1,IF(AND(LEN(AN474)&gt;7,ISNUMBER(VALUE(LEFT(AN474,6))),MID(AN474,7,1)=" "),LEFT(AN474,6),AN474),"")</f>
        <v/>
      </c>
    </row>
    <row r="475" customFormat="false" ht="15" hidden="false" customHeight="false" outlineLevel="0" collapsed="false">
      <c r="D475" s="36" t="str">
        <f aca="false">TRIM(A475)</f>
        <v/>
      </c>
      <c r="E475" s="36" t="str">
        <f aca="false">IF(D475="Revenue","Revenue",IF(D475="Cost of Goods Sold","COGS",IF(D475="Expenditures","Expense",IF(D475="Other Revenue","Other Revenue",IF(D475="Other Expenditures","Other Expense",E474)))))</f>
        <v/>
      </c>
      <c r="F475" s="36" t="str">
        <f aca="false">IF(OR(D475="Revenue",D475="Cost of Goods Sold",D475="Expenditures",D475="Other Revenue",D475="Other Expenditures"),E475,IF(AND(LEN(D475)&gt;2,MID(D475,2,1)=" ",ISNUMBER(VALUE(LEFT(D475,1)))),D475,F474))</f>
        <v/>
      </c>
      <c r="G475" s="36" t="n">
        <f aca="false">IF(AND(D475&lt;&gt;"",ISNUMBER(B475),LEFT(D475,9)&lt;&gt;"Total for",D475&lt;&gt;"Gross Profit",D475&lt;&gt;"Net Operating Revenue",D475&lt;&gt;"Net Other Revenue",D475&lt;&gt;"Net Revenue"),1,0)</f>
        <v>0</v>
      </c>
      <c r="H475" s="36" t="str">
        <f aca="false">IF(G475=1,IF(AND(LEN(D475)&gt;7,ISNUMBER(VALUE(LEFT(D475,6))),MID(D475,7,1)=" "),LEFT(D475,6),D475),"")</f>
        <v/>
      </c>
      <c r="M475" s="36" t="str">
        <f aca="false">TRIM(J475)</f>
        <v/>
      </c>
      <c r="N475" s="36" t="str">
        <f aca="false">IF(M475="Revenue","Revenue",IF(M475="Cost of Goods Sold","COGS",IF(M475="Expenditures","Expense",IF(M475="Other Revenue","Other Revenue",IF(M475="Other Expenditures","Other Expense",N474)))))</f>
        <v/>
      </c>
      <c r="O475" s="36" t="str">
        <f aca="false">IF(OR(M475="Revenue",M475="Cost of Goods Sold",M475="Expenditures",M475="Other Revenue",M475="Other Expenditures"),N475,IF(AND(LEN(M475)&gt;2,MID(M475,2,1)=" ",ISNUMBER(VALUE(LEFT(M475,1)))),M475,O474))</f>
        <v/>
      </c>
      <c r="P475" s="36" t="n">
        <f aca="false">IF(AND(M475&lt;&gt;"",ISNUMBER(K475),LEFT(M475,9)&lt;&gt;"Total for",M475&lt;&gt;"Gross Profit",M475&lt;&gt;"Net Operating Revenue",M475&lt;&gt;"Net Other Revenue",M475&lt;&gt;"Net Revenue"),1,0)</f>
        <v>0</v>
      </c>
      <c r="Q475" s="36" t="str">
        <f aca="false">IF(P475=1,IF(AND(LEN(M475)&gt;7,ISNUMBER(VALUE(LEFT(M475,6))),MID(M475,7,1)=" "),LEFT(M475,6),M475),"")</f>
        <v/>
      </c>
      <c r="V475" s="36" t="str">
        <f aca="false">TRIM(S475)</f>
        <v/>
      </c>
      <c r="W475" s="36" t="str">
        <f aca="false">IF(V475="Revenue","Revenue",IF(V475="Cost of Goods Sold","COGS",IF(V475="Expenditures","Expense",IF(V475="Other Revenue","Other Revenue",IF(V475="Other Expenditures","Other Expense",W474)))))</f>
        <v/>
      </c>
      <c r="X475" s="36" t="str">
        <f aca="false">IF(OR(V475="Revenue",V475="Cost of Goods Sold",V475="Expenditures",V475="Other Revenue",V475="Other Expenditures"),W475,IF(AND(LEN(V475)&gt;2,MID(V475,2,1)=" ",ISNUMBER(VALUE(LEFT(V475,1)))),V475,X474))</f>
        <v/>
      </c>
      <c r="Y475" s="36" t="n">
        <f aca="false">IF(AND(V475&lt;&gt;"",ISNUMBER(T475),LEFT(V475,9)&lt;&gt;"Total for",V475&lt;&gt;"Gross Profit",V475&lt;&gt;"Net Operating Revenue",V475&lt;&gt;"Net Other Revenue",V475&lt;&gt;"Net Revenue"),1,0)</f>
        <v>0</v>
      </c>
      <c r="Z475" s="36" t="str">
        <f aca="false">IF(Y475=1,IF(AND(LEN(V475)&gt;7,ISNUMBER(VALUE(LEFT(V475,6))),MID(V475,7,1)=" "),LEFT(V475,6),V475),"")</f>
        <v/>
      </c>
      <c r="AE475" s="36" t="str">
        <f aca="false">TRIM(AB475)</f>
        <v/>
      </c>
      <c r="AF475" s="36" t="str">
        <f aca="false">IF(AE475="Revenue","Revenue",IF(AE475="Cost of Goods Sold","COGS",IF(AE475="Expenditures","Expense",IF(AE475="Other Revenue","Other Revenue",IF(AE475="Other Expenditures","Other Expense",AF474)))))</f>
        <v/>
      </c>
      <c r="AG475" s="36" t="str">
        <f aca="false">IF(OR(AE475="Revenue",AE475="Cost of Goods Sold",AE475="Expenditures",AE475="Other Revenue",AE475="Other Expenditures"),AF475,IF(AND(LEN(AE475)&gt;2,MID(AE475,2,1)=" ",ISNUMBER(VALUE(LEFT(AE475,1)))),AE475,AG474))</f>
        <v/>
      </c>
      <c r="AH475" s="36" t="n">
        <f aca="false">IF(AND(AE475&lt;&gt;"",ISNUMBER(AC475),LEFT(AE475,9)&lt;&gt;"Total for",AE475&lt;&gt;"Gross Profit",AE475&lt;&gt;"Net Operating Revenue",AE475&lt;&gt;"Net Other Revenue",AE475&lt;&gt;"Net Revenue"),1,0)</f>
        <v>0</v>
      </c>
      <c r="AI475" s="36" t="str">
        <f aca="false">IF(AH475=1,IF(AND(LEN(AE475)&gt;7,ISNUMBER(VALUE(LEFT(AE475,6))),MID(AE475,7,1)=" "),LEFT(AE475,6),AE475),"")</f>
        <v/>
      </c>
      <c r="AN475" s="36" t="str">
        <f aca="false">TRIM(AK475)</f>
        <v/>
      </c>
      <c r="AO475" s="36" t="str">
        <f aca="false">IF(AN475="Revenue","Revenue",IF(AN475="Cost of Goods Sold","COGS",IF(AN475="Expenditures","Expense",IF(AN475="Other Revenue","Other Revenue",IF(AN475="Other Expenditures","Other Expense",AO474)))))</f>
        <v/>
      </c>
      <c r="AP475" s="36" t="str">
        <f aca="false">IF(OR(AN475="Revenue",AN475="Cost of Goods Sold",AN475="Expenditures",AN475="Other Revenue",AN475="Other Expenditures"),AO475,IF(AND(LEN(AN475)&gt;2,MID(AN475,2,1)=" ",ISNUMBER(VALUE(LEFT(AN475,1)))),AN475,AP474))</f>
        <v/>
      </c>
      <c r="AQ475" s="36" t="n">
        <f aca="false">IF(AND(AN475&lt;&gt;"",ISNUMBER(AL475),LEFT(AN475,9)&lt;&gt;"Total for",AN475&lt;&gt;"Gross Profit",AN475&lt;&gt;"Net Operating Revenue",AN475&lt;&gt;"Net Other Revenue",AN475&lt;&gt;"Net Revenue"),1,0)</f>
        <v>0</v>
      </c>
      <c r="AR475" s="36" t="str">
        <f aca="false">IF(AQ475=1,IF(AND(LEN(AN475)&gt;7,ISNUMBER(VALUE(LEFT(AN475,6))),MID(AN475,7,1)=" "),LEFT(AN475,6),AN475),"")</f>
        <v/>
      </c>
    </row>
    <row r="476" customFormat="false" ht="15" hidden="false" customHeight="false" outlineLevel="0" collapsed="false">
      <c r="D476" s="36" t="str">
        <f aca="false">TRIM(A476)</f>
        <v/>
      </c>
      <c r="E476" s="36" t="str">
        <f aca="false">IF(D476="Revenue","Revenue",IF(D476="Cost of Goods Sold","COGS",IF(D476="Expenditures","Expense",IF(D476="Other Revenue","Other Revenue",IF(D476="Other Expenditures","Other Expense",E475)))))</f>
        <v/>
      </c>
      <c r="F476" s="36" t="str">
        <f aca="false">IF(OR(D476="Revenue",D476="Cost of Goods Sold",D476="Expenditures",D476="Other Revenue",D476="Other Expenditures"),E476,IF(AND(LEN(D476)&gt;2,MID(D476,2,1)=" ",ISNUMBER(VALUE(LEFT(D476,1)))),D476,F475))</f>
        <v/>
      </c>
      <c r="G476" s="36" t="n">
        <f aca="false">IF(AND(D476&lt;&gt;"",ISNUMBER(B476),LEFT(D476,9)&lt;&gt;"Total for",D476&lt;&gt;"Gross Profit",D476&lt;&gt;"Net Operating Revenue",D476&lt;&gt;"Net Other Revenue",D476&lt;&gt;"Net Revenue"),1,0)</f>
        <v>0</v>
      </c>
      <c r="H476" s="36" t="str">
        <f aca="false">IF(G476=1,IF(AND(LEN(D476)&gt;7,ISNUMBER(VALUE(LEFT(D476,6))),MID(D476,7,1)=" "),LEFT(D476,6),D476),"")</f>
        <v/>
      </c>
      <c r="M476" s="36" t="str">
        <f aca="false">TRIM(J476)</f>
        <v/>
      </c>
      <c r="N476" s="36" t="str">
        <f aca="false">IF(M476="Revenue","Revenue",IF(M476="Cost of Goods Sold","COGS",IF(M476="Expenditures","Expense",IF(M476="Other Revenue","Other Revenue",IF(M476="Other Expenditures","Other Expense",N475)))))</f>
        <v/>
      </c>
      <c r="O476" s="36" t="str">
        <f aca="false">IF(OR(M476="Revenue",M476="Cost of Goods Sold",M476="Expenditures",M476="Other Revenue",M476="Other Expenditures"),N476,IF(AND(LEN(M476)&gt;2,MID(M476,2,1)=" ",ISNUMBER(VALUE(LEFT(M476,1)))),M476,O475))</f>
        <v/>
      </c>
      <c r="P476" s="36" t="n">
        <f aca="false">IF(AND(M476&lt;&gt;"",ISNUMBER(K476),LEFT(M476,9)&lt;&gt;"Total for",M476&lt;&gt;"Gross Profit",M476&lt;&gt;"Net Operating Revenue",M476&lt;&gt;"Net Other Revenue",M476&lt;&gt;"Net Revenue"),1,0)</f>
        <v>0</v>
      </c>
      <c r="Q476" s="36" t="str">
        <f aca="false">IF(P476=1,IF(AND(LEN(M476)&gt;7,ISNUMBER(VALUE(LEFT(M476,6))),MID(M476,7,1)=" "),LEFT(M476,6),M476),"")</f>
        <v/>
      </c>
      <c r="V476" s="36" t="str">
        <f aca="false">TRIM(S476)</f>
        <v/>
      </c>
      <c r="W476" s="36" t="str">
        <f aca="false">IF(V476="Revenue","Revenue",IF(V476="Cost of Goods Sold","COGS",IF(V476="Expenditures","Expense",IF(V476="Other Revenue","Other Revenue",IF(V476="Other Expenditures","Other Expense",W475)))))</f>
        <v/>
      </c>
      <c r="X476" s="36" t="str">
        <f aca="false">IF(OR(V476="Revenue",V476="Cost of Goods Sold",V476="Expenditures",V476="Other Revenue",V476="Other Expenditures"),W476,IF(AND(LEN(V476)&gt;2,MID(V476,2,1)=" ",ISNUMBER(VALUE(LEFT(V476,1)))),V476,X475))</f>
        <v/>
      </c>
      <c r="Y476" s="36" t="n">
        <f aca="false">IF(AND(V476&lt;&gt;"",ISNUMBER(T476),LEFT(V476,9)&lt;&gt;"Total for",V476&lt;&gt;"Gross Profit",V476&lt;&gt;"Net Operating Revenue",V476&lt;&gt;"Net Other Revenue",V476&lt;&gt;"Net Revenue"),1,0)</f>
        <v>0</v>
      </c>
      <c r="Z476" s="36" t="str">
        <f aca="false">IF(Y476=1,IF(AND(LEN(V476)&gt;7,ISNUMBER(VALUE(LEFT(V476,6))),MID(V476,7,1)=" "),LEFT(V476,6),V476),"")</f>
        <v/>
      </c>
      <c r="AE476" s="36" t="str">
        <f aca="false">TRIM(AB476)</f>
        <v/>
      </c>
      <c r="AF476" s="36" t="str">
        <f aca="false">IF(AE476="Revenue","Revenue",IF(AE476="Cost of Goods Sold","COGS",IF(AE476="Expenditures","Expense",IF(AE476="Other Revenue","Other Revenue",IF(AE476="Other Expenditures","Other Expense",AF475)))))</f>
        <v/>
      </c>
      <c r="AG476" s="36" t="str">
        <f aca="false">IF(OR(AE476="Revenue",AE476="Cost of Goods Sold",AE476="Expenditures",AE476="Other Revenue",AE476="Other Expenditures"),AF476,IF(AND(LEN(AE476)&gt;2,MID(AE476,2,1)=" ",ISNUMBER(VALUE(LEFT(AE476,1)))),AE476,AG475))</f>
        <v/>
      </c>
      <c r="AH476" s="36" t="n">
        <f aca="false">IF(AND(AE476&lt;&gt;"",ISNUMBER(AC476),LEFT(AE476,9)&lt;&gt;"Total for",AE476&lt;&gt;"Gross Profit",AE476&lt;&gt;"Net Operating Revenue",AE476&lt;&gt;"Net Other Revenue",AE476&lt;&gt;"Net Revenue"),1,0)</f>
        <v>0</v>
      </c>
      <c r="AI476" s="36" t="str">
        <f aca="false">IF(AH476=1,IF(AND(LEN(AE476)&gt;7,ISNUMBER(VALUE(LEFT(AE476,6))),MID(AE476,7,1)=" "),LEFT(AE476,6),AE476),"")</f>
        <v/>
      </c>
      <c r="AN476" s="36" t="str">
        <f aca="false">TRIM(AK476)</f>
        <v/>
      </c>
      <c r="AO476" s="36" t="str">
        <f aca="false">IF(AN476="Revenue","Revenue",IF(AN476="Cost of Goods Sold","COGS",IF(AN476="Expenditures","Expense",IF(AN476="Other Revenue","Other Revenue",IF(AN476="Other Expenditures","Other Expense",AO475)))))</f>
        <v/>
      </c>
      <c r="AP476" s="36" t="str">
        <f aca="false">IF(OR(AN476="Revenue",AN476="Cost of Goods Sold",AN476="Expenditures",AN476="Other Revenue",AN476="Other Expenditures"),AO476,IF(AND(LEN(AN476)&gt;2,MID(AN476,2,1)=" ",ISNUMBER(VALUE(LEFT(AN476,1)))),AN476,AP475))</f>
        <v/>
      </c>
      <c r="AQ476" s="36" t="n">
        <f aca="false">IF(AND(AN476&lt;&gt;"",ISNUMBER(AL476),LEFT(AN476,9)&lt;&gt;"Total for",AN476&lt;&gt;"Gross Profit",AN476&lt;&gt;"Net Operating Revenue",AN476&lt;&gt;"Net Other Revenue",AN476&lt;&gt;"Net Revenue"),1,0)</f>
        <v>0</v>
      </c>
      <c r="AR476" s="36" t="str">
        <f aca="false">IF(AQ476=1,IF(AND(LEN(AN476)&gt;7,ISNUMBER(VALUE(LEFT(AN476,6))),MID(AN476,7,1)=" "),LEFT(AN476,6),AN476),"")</f>
        <v/>
      </c>
    </row>
    <row r="477" customFormat="false" ht="15" hidden="false" customHeight="false" outlineLevel="0" collapsed="false">
      <c r="D477" s="36" t="str">
        <f aca="false">TRIM(A477)</f>
        <v/>
      </c>
      <c r="E477" s="36" t="str">
        <f aca="false">IF(D477="Revenue","Revenue",IF(D477="Cost of Goods Sold","COGS",IF(D477="Expenditures","Expense",IF(D477="Other Revenue","Other Revenue",IF(D477="Other Expenditures","Other Expense",E476)))))</f>
        <v/>
      </c>
      <c r="F477" s="36" t="str">
        <f aca="false">IF(OR(D477="Revenue",D477="Cost of Goods Sold",D477="Expenditures",D477="Other Revenue",D477="Other Expenditures"),E477,IF(AND(LEN(D477)&gt;2,MID(D477,2,1)=" ",ISNUMBER(VALUE(LEFT(D477,1)))),D477,F476))</f>
        <v/>
      </c>
      <c r="G477" s="36" t="n">
        <f aca="false">IF(AND(D477&lt;&gt;"",ISNUMBER(B477),LEFT(D477,9)&lt;&gt;"Total for",D477&lt;&gt;"Gross Profit",D477&lt;&gt;"Net Operating Revenue",D477&lt;&gt;"Net Other Revenue",D477&lt;&gt;"Net Revenue"),1,0)</f>
        <v>0</v>
      </c>
      <c r="H477" s="36" t="str">
        <f aca="false">IF(G477=1,IF(AND(LEN(D477)&gt;7,ISNUMBER(VALUE(LEFT(D477,6))),MID(D477,7,1)=" "),LEFT(D477,6),D477),"")</f>
        <v/>
      </c>
      <c r="M477" s="36" t="str">
        <f aca="false">TRIM(J477)</f>
        <v/>
      </c>
      <c r="N477" s="36" t="str">
        <f aca="false">IF(M477="Revenue","Revenue",IF(M477="Cost of Goods Sold","COGS",IF(M477="Expenditures","Expense",IF(M477="Other Revenue","Other Revenue",IF(M477="Other Expenditures","Other Expense",N476)))))</f>
        <v/>
      </c>
      <c r="O477" s="36" t="str">
        <f aca="false">IF(OR(M477="Revenue",M477="Cost of Goods Sold",M477="Expenditures",M477="Other Revenue",M477="Other Expenditures"),N477,IF(AND(LEN(M477)&gt;2,MID(M477,2,1)=" ",ISNUMBER(VALUE(LEFT(M477,1)))),M477,O476))</f>
        <v/>
      </c>
      <c r="P477" s="36" t="n">
        <f aca="false">IF(AND(M477&lt;&gt;"",ISNUMBER(K477),LEFT(M477,9)&lt;&gt;"Total for",M477&lt;&gt;"Gross Profit",M477&lt;&gt;"Net Operating Revenue",M477&lt;&gt;"Net Other Revenue",M477&lt;&gt;"Net Revenue"),1,0)</f>
        <v>0</v>
      </c>
      <c r="Q477" s="36" t="str">
        <f aca="false">IF(P477=1,IF(AND(LEN(M477)&gt;7,ISNUMBER(VALUE(LEFT(M477,6))),MID(M477,7,1)=" "),LEFT(M477,6),M477),"")</f>
        <v/>
      </c>
      <c r="V477" s="36" t="str">
        <f aca="false">TRIM(S477)</f>
        <v/>
      </c>
      <c r="W477" s="36" t="str">
        <f aca="false">IF(V477="Revenue","Revenue",IF(V477="Cost of Goods Sold","COGS",IF(V477="Expenditures","Expense",IF(V477="Other Revenue","Other Revenue",IF(V477="Other Expenditures","Other Expense",W476)))))</f>
        <v/>
      </c>
      <c r="X477" s="36" t="str">
        <f aca="false">IF(OR(V477="Revenue",V477="Cost of Goods Sold",V477="Expenditures",V477="Other Revenue",V477="Other Expenditures"),W477,IF(AND(LEN(V477)&gt;2,MID(V477,2,1)=" ",ISNUMBER(VALUE(LEFT(V477,1)))),V477,X476))</f>
        <v/>
      </c>
      <c r="Y477" s="36" t="n">
        <f aca="false">IF(AND(V477&lt;&gt;"",ISNUMBER(T477),LEFT(V477,9)&lt;&gt;"Total for",V477&lt;&gt;"Gross Profit",V477&lt;&gt;"Net Operating Revenue",V477&lt;&gt;"Net Other Revenue",V477&lt;&gt;"Net Revenue"),1,0)</f>
        <v>0</v>
      </c>
      <c r="Z477" s="36" t="str">
        <f aca="false">IF(Y477=1,IF(AND(LEN(V477)&gt;7,ISNUMBER(VALUE(LEFT(V477,6))),MID(V477,7,1)=" "),LEFT(V477,6),V477),"")</f>
        <v/>
      </c>
      <c r="AE477" s="36" t="str">
        <f aca="false">TRIM(AB477)</f>
        <v/>
      </c>
      <c r="AF477" s="36" t="str">
        <f aca="false">IF(AE477="Revenue","Revenue",IF(AE477="Cost of Goods Sold","COGS",IF(AE477="Expenditures","Expense",IF(AE477="Other Revenue","Other Revenue",IF(AE477="Other Expenditures","Other Expense",AF476)))))</f>
        <v/>
      </c>
      <c r="AG477" s="36" t="str">
        <f aca="false">IF(OR(AE477="Revenue",AE477="Cost of Goods Sold",AE477="Expenditures",AE477="Other Revenue",AE477="Other Expenditures"),AF477,IF(AND(LEN(AE477)&gt;2,MID(AE477,2,1)=" ",ISNUMBER(VALUE(LEFT(AE477,1)))),AE477,AG476))</f>
        <v/>
      </c>
      <c r="AH477" s="36" t="n">
        <f aca="false">IF(AND(AE477&lt;&gt;"",ISNUMBER(AC477),LEFT(AE477,9)&lt;&gt;"Total for",AE477&lt;&gt;"Gross Profit",AE477&lt;&gt;"Net Operating Revenue",AE477&lt;&gt;"Net Other Revenue",AE477&lt;&gt;"Net Revenue"),1,0)</f>
        <v>0</v>
      </c>
      <c r="AI477" s="36" t="str">
        <f aca="false">IF(AH477=1,IF(AND(LEN(AE477)&gt;7,ISNUMBER(VALUE(LEFT(AE477,6))),MID(AE477,7,1)=" "),LEFT(AE477,6),AE477),"")</f>
        <v/>
      </c>
      <c r="AN477" s="36" t="str">
        <f aca="false">TRIM(AK477)</f>
        <v/>
      </c>
      <c r="AO477" s="36" t="str">
        <f aca="false">IF(AN477="Revenue","Revenue",IF(AN477="Cost of Goods Sold","COGS",IF(AN477="Expenditures","Expense",IF(AN477="Other Revenue","Other Revenue",IF(AN477="Other Expenditures","Other Expense",AO476)))))</f>
        <v/>
      </c>
      <c r="AP477" s="36" t="str">
        <f aca="false">IF(OR(AN477="Revenue",AN477="Cost of Goods Sold",AN477="Expenditures",AN477="Other Revenue",AN477="Other Expenditures"),AO477,IF(AND(LEN(AN477)&gt;2,MID(AN477,2,1)=" ",ISNUMBER(VALUE(LEFT(AN477,1)))),AN477,AP476))</f>
        <v/>
      </c>
      <c r="AQ477" s="36" t="n">
        <f aca="false">IF(AND(AN477&lt;&gt;"",ISNUMBER(AL477),LEFT(AN477,9)&lt;&gt;"Total for",AN477&lt;&gt;"Gross Profit",AN477&lt;&gt;"Net Operating Revenue",AN477&lt;&gt;"Net Other Revenue",AN477&lt;&gt;"Net Revenue"),1,0)</f>
        <v>0</v>
      </c>
      <c r="AR477" s="36" t="str">
        <f aca="false">IF(AQ477=1,IF(AND(LEN(AN477)&gt;7,ISNUMBER(VALUE(LEFT(AN477,6))),MID(AN477,7,1)=" "),LEFT(AN477,6),AN477),"")</f>
        <v/>
      </c>
    </row>
    <row r="478" customFormat="false" ht="15" hidden="false" customHeight="false" outlineLevel="0" collapsed="false">
      <c r="D478" s="36" t="str">
        <f aca="false">TRIM(A478)</f>
        <v/>
      </c>
      <c r="E478" s="36" t="str">
        <f aca="false">IF(D478="Revenue","Revenue",IF(D478="Cost of Goods Sold","COGS",IF(D478="Expenditures","Expense",IF(D478="Other Revenue","Other Revenue",IF(D478="Other Expenditures","Other Expense",E477)))))</f>
        <v/>
      </c>
      <c r="F478" s="36" t="str">
        <f aca="false">IF(OR(D478="Revenue",D478="Cost of Goods Sold",D478="Expenditures",D478="Other Revenue",D478="Other Expenditures"),E478,IF(AND(LEN(D478)&gt;2,MID(D478,2,1)=" ",ISNUMBER(VALUE(LEFT(D478,1)))),D478,F477))</f>
        <v/>
      </c>
      <c r="G478" s="36" t="n">
        <f aca="false">IF(AND(D478&lt;&gt;"",ISNUMBER(B478),LEFT(D478,9)&lt;&gt;"Total for",D478&lt;&gt;"Gross Profit",D478&lt;&gt;"Net Operating Revenue",D478&lt;&gt;"Net Other Revenue",D478&lt;&gt;"Net Revenue"),1,0)</f>
        <v>0</v>
      </c>
      <c r="H478" s="36" t="str">
        <f aca="false">IF(G478=1,IF(AND(LEN(D478)&gt;7,ISNUMBER(VALUE(LEFT(D478,6))),MID(D478,7,1)=" "),LEFT(D478,6),D478),"")</f>
        <v/>
      </c>
      <c r="M478" s="36" t="str">
        <f aca="false">TRIM(J478)</f>
        <v/>
      </c>
      <c r="N478" s="36" t="str">
        <f aca="false">IF(M478="Revenue","Revenue",IF(M478="Cost of Goods Sold","COGS",IF(M478="Expenditures","Expense",IF(M478="Other Revenue","Other Revenue",IF(M478="Other Expenditures","Other Expense",N477)))))</f>
        <v/>
      </c>
      <c r="O478" s="36" t="str">
        <f aca="false">IF(OR(M478="Revenue",M478="Cost of Goods Sold",M478="Expenditures",M478="Other Revenue",M478="Other Expenditures"),N478,IF(AND(LEN(M478)&gt;2,MID(M478,2,1)=" ",ISNUMBER(VALUE(LEFT(M478,1)))),M478,O477))</f>
        <v/>
      </c>
      <c r="P478" s="36" t="n">
        <f aca="false">IF(AND(M478&lt;&gt;"",ISNUMBER(K478),LEFT(M478,9)&lt;&gt;"Total for",M478&lt;&gt;"Gross Profit",M478&lt;&gt;"Net Operating Revenue",M478&lt;&gt;"Net Other Revenue",M478&lt;&gt;"Net Revenue"),1,0)</f>
        <v>0</v>
      </c>
      <c r="Q478" s="36" t="str">
        <f aca="false">IF(P478=1,IF(AND(LEN(M478)&gt;7,ISNUMBER(VALUE(LEFT(M478,6))),MID(M478,7,1)=" "),LEFT(M478,6),M478),"")</f>
        <v/>
      </c>
      <c r="V478" s="36" t="str">
        <f aca="false">TRIM(S478)</f>
        <v/>
      </c>
      <c r="W478" s="36" t="str">
        <f aca="false">IF(V478="Revenue","Revenue",IF(V478="Cost of Goods Sold","COGS",IF(V478="Expenditures","Expense",IF(V478="Other Revenue","Other Revenue",IF(V478="Other Expenditures","Other Expense",W477)))))</f>
        <v/>
      </c>
      <c r="X478" s="36" t="str">
        <f aca="false">IF(OR(V478="Revenue",V478="Cost of Goods Sold",V478="Expenditures",V478="Other Revenue",V478="Other Expenditures"),W478,IF(AND(LEN(V478)&gt;2,MID(V478,2,1)=" ",ISNUMBER(VALUE(LEFT(V478,1)))),V478,X477))</f>
        <v/>
      </c>
      <c r="Y478" s="36" t="n">
        <f aca="false">IF(AND(V478&lt;&gt;"",ISNUMBER(T478),LEFT(V478,9)&lt;&gt;"Total for",V478&lt;&gt;"Gross Profit",V478&lt;&gt;"Net Operating Revenue",V478&lt;&gt;"Net Other Revenue",V478&lt;&gt;"Net Revenue"),1,0)</f>
        <v>0</v>
      </c>
      <c r="Z478" s="36" t="str">
        <f aca="false">IF(Y478=1,IF(AND(LEN(V478)&gt;7,ISNUMBER(VALUE(LEFT(V478,6))),MID(V478,7,1)=" "),LEFT(V478,6),V478),"")</f>
        <v/>
      </c>
      <c r="AE478" s="36" t="str">
        <f aca="false">TRIM(AB478)</f>
        <v/>
      </c>
      <c r="AF478" s="36" t="str">
        <f aca="false">IF(AE478="Revenue","Revenue",IF(AE478="Cost of Goods Sold","COGS",IF(AE478="Expenditures","Expense",IF(AE478="Other Revenue","Other Revenue",IF(AE478="Other Expenditures","Other Expense",AF477)))))</f>
        <v/>
      </c>
      <c r="AG478" s="36" t="str">
        <f aca="false">IF(OR(AE478="Revenue",AE478="Cost of Goods Sold",AE478="Expenditures",AE478="Other Revenue",AE478="Other Expenditures"),AF478,IF(AND(LEN(AE478)&gt;2,MID(AE478,2,1)=" ",ISNUMBER(VALUE(LEFT(AE478,1)))),AE478,AG477))</f>
        <v/>
      </c>
      <c r="AH478" s="36" t="n">
        <f aca="false">IF(AND(AE478&lt;&gt;"",ISNUMBER(AC478),LEFT(AE478,9)&lt;&gt;"Total for",AE478&lt;&gt;"Gross Profit",AE478&lt;&gt;"Net Operating Revenue",AE478&lt;&gt;"Net Other Revenue",AE478&lt;&gt;"Net Revenue"),1,0)</f>
        <v>0</v>
      </c>
      <c r="AI478" s="36" t="str">
        <f aca="false">IF(AH478=1,IF(AND(LEN(AE478)&gt;7,ISNUMBER(VALUE(LEFT(AE478,6))),MID(AE478,7,1)=" "),LEFT(AE478,6),AE478),"")</f>
        <v/>
      </c>
      <c r="AN478" s="36" t="str">
        <f aca="false">TRIM(AK478)</f>
        <v/>
      </c>
      <c r="AO478" s="36" t="str">
        <f aca="false">IF(AN478="Revenue","Revenue",IF(AN478="Cost of Goods Sold","COGS",IF(AN478="Expenditures","Expense",IF(AN478="Other Revenue","Other Revenue",IF(AN478="Other Expenditures","Other Expense",AO477)))))</f>
        <v/>
      </c>
      <c r="AP478" s="36" t="str">
        <f aca="false">IF(OR(AN478="Revenue",AN478="Cost of Goods Sold",AN478="Expenditures",AN478="Other Revenue",AN478="Other Expenditures"),AO478,IF(AND(LEN(AN478)&gt;2,MID(AN478,2,1)=" ",ISNUMBER(VALUE(LEFT(AN478,1)))),AN478,AP477))</f>
        <v/>
      </c>
      <c r="AQ478" s="36" t="n">
        <f aca="false">IF(AND(AN478&lt;&gt;"",ISNUMBER(AL478),LEFT(AN478,9)&lt;&gt;"Total for",AN478&lt;&gt;"Gross Profit",AN478&lt;&gt;"Net Operating Revenue",AN478&lt;&gt;"Net Other Revenue",AN478&lt;&gt;"Net Revenue"),1,0)</f>
        <v>0</v>
      </c>
      <c r="AR478" s="36" t="str">
        <f aca="false">IF(AQ478=1,IF(AND(LEN(AN478)&gt;7,ISNUMBER(VALUE(LEFT(AN478,6))),MID(AN478,7,1)=" "),LEFT(AN478,6),AN478),"")</f>
        <v/>
      </c>
    </row>
    <row r="479" customFormat="false" ht="15" hidden="false" customHeight="false" outlineLevel="0" collapsed="false">
      <c r="D479" s="36" t="str">
        <f aca="false">TRIM(A479)</f>
        <v/>
      </c>
      <c r="E479" s="36" t="str">
        <f aca="false">IF(D479="Revenue","Revenue",IF(D479="Cost of Goods Sold","COGS",IF(D479="Expenditures","Expense",IF(D479="Other Revenue","Other Revenue",IF(D479="Other Expenditures","Other Expense",E478)))))</f>
        <v/>
      </c>
      <c r="F479" s="36" t="str">
        <f aca="false">IF(OR(D479="Revenue",D479="Cost of Goods Sold",D479="Expenditures",D479="Other Revenue",D479="Other Expenditures"),E479,IF(AND(LEN(D479)&gt;2,MID(D479,2,1)=" ",ISNUMBER(VALUE(LEFT(D479,1)))),D479,F478))</f>
        <v/>
      </c>
      <c r="G479" s="36" t="n">
        <f aca="false">IF(AND(D479&lt;&gt;"",ISNUMBER(B479),LEFT(D479,9)&lt;&gt;"Total for",D479&lt;&gt;"Gross Profit",D479&lt;&gt;"Net Operating Revenue",D479&lt;&gt;"Net Other Revenue",D479&lt;&gt;"Net Revenue"),1,0)</f>
        <v>0</v>
      </c>
      <c r="H479" s="36" t="str">
        <f aca="false">IF(G479=1,IF(AND(LEN(D479)&gt;7,ISNUMBER(VALUE(LEFT(D479,6))),MID(D479,7,1)=" "),LEFT(D479,6),D479),"")</f>
        <v/>
      </c>
      <c r="M479" s="36" t="str">
        <f aca="false">TRIM(J479)</f>
        <v/>
      </c>
      <c r="N479" s="36" t="str">
        <f aca="false">IF(M479="Revenue","Revenue",IF(M479="Cost of Goods Sold","COGS",IF(M479="Expenditures","Expense",IF(M479="Other Revenue","Other Revenue",IF(M479="Other Expenditures","Other Expense",N478)))))</f>
        <v/>
      </c>
      <c r="O479" s="36" t="str">
        <f aca="false">IF(OR(M479="Revenue",M479="Cost of Goods Sold",M479="Expenditures",M479="Other Revenue",M479="Other Expenditures"),N479,IF(AND(LEN(M479)&gt;2,MID(M479,2,1)=" ",ISNUMBER(VALUE(LEFT(M479,1)))),M479,O478))</f>
        <v/>
      </c>
      <c r="P479" s="36" t="n">
        <f aca="false">IF(AND(M479&lt;&gt;"",ISNUMBER(K479),LEFT(M479,9)&lt;&gt;"Total for",M479&lt;&gt;"Gross Profit",M479&lt;&gt;"Net Operating Revenue",M479&lt;&gt;"Net Other Revenue",M479&lt;&gt;"Net Revenue"),1,0)</f>
        <v>0</v>
      </c>
      <c r="Q479" s="36" t="str">
        <f aca="false">IF(P479=1,IF(AND(LEN(M479)&gt;7,ISNUMBER(VALUE(LEFT(M479,6))),MID(M479,7,1)=" "),LEFT(M479,6),M479),"")</f>
        <v/>
      </c>
      <c r="V479" s="36" t="str">
        <f aca="false">TRIM(S479)</f>
        <v/>
      </c>
      <c r="W479" s="36" t="str">
        <f aca="false">IF(V479="Revenue","Revenue",IF(V479="Cost of Goods Sold","COGS",IF(V479="Expenditures","Expense",IF(V479="Other Revenue","Other Revenue",IF(V479="Other Expenditures","Other Expense",W478)))))</f>
        <v/>
      </c>
      <c r="X479" s="36" t="str">
        <f aca="false">IF(OR(V479="Revenue",V479="Cost of Goods Sold",V479="Expenditures",V479="Other Revenue",V479="Other Expenditures"),W479,IF(AND(LEN(V479)&gt;2,MID(V479,2,1)=" ",ISNUMBER(VALUE(LEFT(V479,1)))),V479,X478))</f>
        <v/>
      </c>
      <c r="Y479" s="36" t="n">
        <f aca="false">IF(AND(V479&lt;&gt;"",ISNUMBER(T479),LEFT(V479,9)&lt;&gt;"Total for",V479&lt;&gt;"Gross Profit",V479&lt;&gt;"Net Operating Revenue",V479&lt;&gt;"Net Other Revenue",V479&lt;&gt;"Net Revenue"),1,0)</f>
        <v>0</v>
      </c>
      <c r="Z479" s="36" t="str">
        <f aca="false">IF(Y479=1,IF(AND(LEN(V479)&gt;7,ISNUMBER(VALUE(LEFT(V479,6))),MID(V479,7,1)=" "),LEFT(V479,6),V479),"")</f>
        <v/>
      </c>
      <c r="AE479" s="36" t="str">
        <f aca="false">TRIM(AB479)</f>
        <v/>
      </c>
      <c r="AF479" s="36" t="str">
        <f aca="false">IF(AE479="Revenue","Revenue",IF(AE479="Cost of Goods Sold","COGS",IF(AE479="Expenditures","Expense",IF(AE479="Other Revenue","Other Revenue",IF(AE479="Other Expenditures","Other Expense",AF478)))))</f>
        <v/>
      </c>
      <c r="AG479" s="36" t="str">
        <f aca="false">IF(OR(AE479="Revenue",AE479="Cost of Goods Sold",AE479="Expenditures",AE479="Other Revenue",AE479="Other Expenditures"),AF479,IF(AND(LEN(AE479)&gt;2,MID(AE479,2,1)=" ",ISNUMBER(VALUE(LEFT(AE479,1)))),AE479,AG478))</f>
        <v/>
      </c>
      <c r="AH479" s="36" t="n">
        <f aca="false">IF(AND(AE479&lt;&gt;"",ISNUMBER(AC479),LEFT(AE479,9)&lt;&gt;"Total for",AE479&lt;&gt;"Gross Profit",AE479&lt;&gt;"Net Operating Revenue",AE479&lt;&gt;"Net Other Revenue",AE479&lt;&gt;"Net Revenue"),1,0)</f>
        <v>0</v>
      </c>
      <c r="AI479" s="36" t="str">
        <f aca="false">IF(AH479=1,IF(AND(LEN(AE479)&gt;7,ISNUMBER(VALUE(LEFT(AE479,6))),MID(AE479,7,1)=" "),LEFT(AE479,6),AE479),"")</f>
        <v/>
      </c>
      <c r="AN479" s="36" t="str">
        <f aca="false">TRIM(AK479)</f>
        <v/>
      </c>
      <c r="AO479" s="36" t="str">
        <f aca="false">IF(AN479="Revenue","Revenue",IF(AN479="Cost of Goods Sold","COGS",IF(AN479="Expenditures","Expense",IF(AN479="Other Revenue","Other Revenue",IF(AN479="Other Expenditures","Other Expense",AO478)))))</f>
        <v/>
      </c>
      <c r="AP479" s="36" t="str">
        <f aca="false">IF(OR(AN479="Revenue",AN479="Cost of Goods Sold",AN479="Expenditures",AN479="Other Revenue",AN479="Other Expenditures"),AO479,IF(AND(LEN(AN479)&gt;2,MID(AN479,2,1)=" ",ISNUMBER(VALUE(LEFT(AN479,1)))),AN479,AP478))</f>
        <v/>
      </c>
      <c r="AQ479" s="36" t="n">
        <f aca="false">IF(AND(AN479&lt;&gt;"",ISNUMBER(AL479),LEFT(AN479,9)&lt;&gt;"Total for",AN479&lt;&gt;"Gross Profit",AN479&lt;&gt;"Net Operating Revenue",AN479&lt;&gt;"Net Other Revenue",AN479&lt;&gt;"Net Revenue"),1,0)</f>
        <v>0</v>
      </c>
      <c r="AR479" s="36" t="str">
        <f aca="false">IF(AQ479=1,IF(AND(LEN(AN479)&gt;7,ISNUMBER(VALUE(LEFT(AN479,6))),MID(AN479,7,1)=" "),LEFT(AN479,6),AN479),"")</f>
        <v/>
      </c>
    </row>
    <row r="480" customFormat="false" ht="15" hidden="false" customHeight="false" outlineLevel="0" collapsed="false">
      <c r="D480" s="36" t="str">
        <f aca="false">TRIM(A480)</f>
        <v/>
      </c>
      <c r="E480" s="36" t="str">
        <f aca="false">IF(D480="Revenue","Revenue",IF(D480="Cost of Goods Sold","COGS",IF(D480="Expenditures","Expense",IF(D480="Other Revenue","Other Revenue",IF(D480="Other Expenditures","Other Expense",E479)))))</f>
        <v/>
      </c>
      <c r="F480" s="36" t="str">
        <f aca="false">IF(OR(D480="Revenue",D480="Cost of Goods Sold",D480="Expenditures",D480="Other Revenue",D480="Other Expenditures"),E480,IF(AND(LEN(D480)&gt;2,MID(D480,2,1)=" ",ISNUMBER(VALUE(LEFT(D480,1)))),D480,F479))</f>
        <v/>
      </c>
      <c r="G480" s="36" t="n">
        <f aca="false">IF(AND(D480&lt;&gt;"",ISNUMBER(B480),LEFT(D480,9)&lt;&gt;"Total for",D480&lt;&gt;"Gross Profit",D480&lt;&gt;"Net Operating Revenue",D480&lt;&gt;"Net Other Revenue",D480&lt;&gt;"Net Revenue"),1,0)</f>
        <v>0</v>
      </c>
      <c r="H480" s="36" t="str">
        <f aca="false">IF(G480=1,IF(AND(LEN(D480)&gt;7,ISNUMBER(VALUE(LEFT(D480,6))),MID(D480,7,1)=" "),LEFT(D480,6),D480),"")</f>
        <v/>
      </c>
      <c r="M480" s="36" t="str">
        <f aca="false">TRIM(J480)</f>
        <v/>
      </c>
      <c r="N480" s="36" t="str">
        <f aca="false">IF(M480="Revenue","Revenue",IF(M480="Cost of Goods Sold","COGS",IF(M480="Expenditures","Expense",IF(M480="Other Revenue","Other Revenue",IF(M480="Other Expenditures","Other Expense",N479)))))</f>
        <v/>
      </c>
      <c r="O480" s="36" t="str">
        <f aca="false">IF(OR(M480="Revenue",M480="Cost of Goods Sold",M480="Expenditures",M480="Other Revenue",M480="Other Expenditures"),N480,IF(AND(LEN(M480)&gt;2,MID(M480,2,1)=" ",ISNUMBER(VALUE(LEFT(M480,1)))),M480,O479))</f>
        <v/>
      </c>
      <c r="P480" s="36" t="n">
        <f aca="false">IF(AND(M480&lt;&gt;"",ISNUMBER(K480),LEFT(M480,9)&lt;&gt;"Total for",M480&lt;&gt;"Gross Profit",M480&lt;&gt;"Net Operating Revenue",M480&lt;&gt;"Net Other Revenue",M480&lt;&gt;"Net Revenue"),1,0)</f>
        <v>0</v>
      </c>
      <c r="Q480" s="36" t="str">
        <f aca="false">IF(P480=1,IF(AND(LEN(M480)&gt;7,ISNUMBER(VALUE(LEFT(M480,6))),MID(M480,7,1)=" "),LEFT(M480,6),M480),"")</f>
        <v/>
      </c>
      <c r="V480" s="36" t="str">
        <f aca="false">TRIM(S480)</f>
        <v/>
      </c>
      <c r="W480" s="36" t="str">
        <f aca="false">IF(V480="Revenue","Revenue",IF(V480="Cost of Goods Sold","COGS",IF(V480="Expenditures","Expense",IF(V480="Other Revenue","Other Revenue",IF(V480="Other Expenditures","Other Expense",W479)))))</f>
        <v/>
      </c>
      <c r="X480" s="36" t="str">
        <f aca="false">IF(OR(V480="Revenue",V480="Cost of Goods Sold",V480="Expenditures",V480="Other Revenue",V480="Other Expenditures"),W480,IF(AND(LEN(V480)&gt;2,MID(V480,2,1)=" ",ISNUMBER(VALUE(LEFT(V480,1)))),V480,X479))</f>
        <v/>
      </c>
      <c r="Y480" s="36" t="n">
        <f aca="false">IF(AND(V480&lt;&gt;"",ISNUMBER(T480),LEFT(V480,9)&lt;&gt;"Total for",V480&lt;&gt;"Gross Profit",V480&lt;&gt;"Net Operating Revenue",V480&lt;&gt;"Net Other Revenue",V480&lt;&gt;"Net Revenue"),1,0)</f>
        <v>0</v>
      </c>
      <c r="Z480" s="36" t="str">
        <f aca="false">IF(Y480=1,IF(AND(LEN(V480)&gt;7,ISNUMBER(VALUE(LEFT(V480,6))),MID(V480,7,1)=" "),LEFT(V480,6),V480),"")</f>
        <v/>
      </c>
      <c r="AE480" s="36" t="str">
        <f aca="false">TRIM(AB480)</f>
        <v/>
      </c>
      <c r="AF480" s="36" t="str">
        <f aca="false">IF(AE480="Revenue","Revenue",IF(AE480="Cost of Goods Sold","COGS",IF(AE480="Expenditures","Expense",IF(AE480="Other Revenue","Other Revenue",IF(AE480="Other Expenditures","Other Expense",AF479)))))</f>
        <v/>
      </c>
      <c r="AG480" s="36" t="str">
        <f aca="false">IF(OR(AE480="Revenue",AE480="Cost of Goods Sold",AE480="Expenditures",AE480="Other Revenue",AE480="Other Expenditures"),AF480,IF(AND(LEN(AE480)&gt;2,MID(AE480,2,1)=" ",ISNUMBER(VALUE(LEFT(AE480,1)))),AE480,AG479))</f>
        <v/>
      </c>
      <c r="AH480" s="36" t="n">
        <f aca="false">IF(AND(AE480&lt;&gt;"",ISNUMBER(AC480),LEFT(AE480,9)&lt;&gt;"Total for",AE480&lt;&gt;"Gross Profit",AE480&lt;&gt;"Net Operating Revenue",AE480&lt;&gt;"Net Other Revenue",AE480&lt;&gt;"Net Revenue"),1,0)</f>
        <v>0</v>
      </c>
      <c r="AI480" s="36" t="str">
        <f aca="false">IF(AH480=1,IF(AND(LEN(AE480)&gt;7,ISNUMBER(VALUE(LEFT(AE480,6))),MID(AE480,7,1)=" "),LEFT(AE480,6),AE480),"")</f>
        <v/>
      </c>
      <c r="AN480" s="36" t="str">
        <f aca="false">TRIM(AK480)</f>
        <v/>
      </c>
      <c r="AO480" s="36" t="str">
        <f aca="false">IF(AN480="Revenue","Revenue",IF(AN480="Cost of Goods Sold","COGS",IF(AN480="Expenditures","Expense",IF(AN480="Other Revenue","Other Revenue",IF(AN480="Other Expenditures","Other Expense",AO479)))))</f>
        <v/>
      </c>
      <c r="AP480" s="36" t="str">
        <f aca="false">IF(OR(AN480="Revenue",AN480="Cost of Goods Sold",AN480="Expenditures",AN480="Other Revenue",AN480="Other Expenditures"),AO480,IF(AND(LEN(AN480)&gt;2,MID(AN480,2,1)=" ",ISNUMBER(VALUE(LEFT(AN480,1)))),AN480,AP479))</f>
        <v/>
      </c>
      <c r="AQ480" s="36" t="n">
        <f aca="false">IF(AND(AN480&lt;&gt;"",ISNUMBER(AL480),LEFT(AN480,9)&lt;&gt;"Total for",AN480&lt;&gt;"Gross Profit",AN480&lt;&gt;"Net Operating Revenue",AN480&lt;&gt;"Net Other Revenue",AN480&lt;&gt;"Net Revenue"),1,0)</f>
        <v>0</v>
      </c>
      <c r="AR480" s="36" t="str">
        <f aca="false">IF(AQ480=1,IF(AND(LEN(AN480)&gt;7,ISNUMBER(VALUE(LEFT(AN480,6))),MID(AN480,7,1)=" "),LEFT(AN480,6),AN480),"")</f>
        <v/>
      </c>
    </row>
    <row r="481" customFormat="false" ht="15" hidden="false" customHeight="false" outlineLevel="0" collapsed="false">
      <c r="D481" s="36" t="str">
        <f aca="false">TRIM(A481)</f>
        <v/>
      </c>
      <c r="E481" s="36" t="str">
        <f aca="false">IF(D481="Revenue","Revenue",IF(D481="Cost of Goods Sold","COGS",IF(D481="Expenditures","Expense",IF(D481="Other Revenue","Other Revenue",IF(D481="Other Expenditures","Other Expense",E480)))))</f>
        <v/>
      </c>
      <c r="F481" s="36" t="str">
        <f aca="false">IF(OR(D481="Revenue",D481="Cost of Goods Sold",D481="Expenditures",D481="Other Revenue",D481="Other Expenditures"),E481,IF(AND(LEN(D481)&gt;2,MID(D481,2,1)=" ",ISNUMBER(VALUE(LEFT(D481,1)))),D481,F480))</f>
        <v/>
      </c>
      <c r="G481" s="36" t="n">
        <f aca="false">IF(AND(D481&lt;&gt;"",ISNUMBER(B481),LEFT(D481,9)&lt;&gt;"Total for",D481&lt;&gt;"Gross Profit",D481&lt;&gt;"Net Operating Revenue",D481&lt;&gt;"Net Other Revenue",D481&lt;&gt;"Net Revenue"),1,0)</f>
        <v>0</v>
      </c>
      <c r="H481" s="36" t="str">
        <f aca="false">IF(G481=1,IF(AND(LEN(D481)&gt;7,ISNUMBER(VALUE(LEFT(D481,6))),MID(D481,7,1)=" "),LEFT(D481,6),D481),"")</f>
        <v/>
      </c>
      <c r="M481" s="36" t="str">
        <f aca="false">TRIM(J481)</f>
        <v/>
      </c>
      <c r="N481" s="36" t="str">
        <f aca="false">IF(M481="Revenue","Revenue",IF(M481="Cost of Goods Sold","COGS",IF(M481="Expenditures","Expense",IF(M481="Other Revenue","Other Revenue",IF(M481="Other Expenditures","Other Expense",N480)))))</f>
        <v/>
      </c>
      <c r="O481" s="36" t="str">
        <f aca="false">IF(OR(M481="Revenue",M481="Cost of Goods Sold",M481="Expenditures",M481="Other Revenue",M481="Other Expenditures"),N481,IF(AND(LEN(M481)&gt;2,MID(M481,2,1)=" ",ISNUMBER(VALUE(LEFT(M481,1)))),M481,O480))</f>
        <v/>
      </c>
      <c r="P481" s="36" t="n">
        <f aca="false">IF(AND(M481&lt;&gt;"",ISNUMBER(K481),LEFT(M481,9)&lt;&gt;"Total for",M481&lt;&gt;"Gross Profit",M481&lt;&gt;"Net Operating Revenue",M481&lt;&gt;"Net Other Revenue",M481&lt;&gt;"Net Revenue"),1,0)</f>
        <v>0</v>
      </c>
      <c r="Q481" s="36" t="str">
        <f aca="false">IF(P481=1,IF(AND(LEN(M481)&gt;7,ISNUMBER(VALUE(LEFT(M481,6))),MID(M481,7,1)=" "),LEFT(M481,6),M481),"")</f>
        <v/>
      </c>
      <c r="V481" s="36" t="str">
        <f aca="false">TRIM(S481)</f>
        <v/>
      </c>
      <c r="W481" s="36" t="str">
        <f aca="false">IF(V481="Revenue","Revenue",IF(V481="Cost of Goods Sold","COGS",IF(V481="Expenditures","Expense",IF(V481="Other Revenue","Other Revenue",IF(V481="Other Expenditures","Other Expense",W480)))))</f>
        <v/>
      </c>
      <c r="X481" s="36" t="str">
        <f aca="false">IF(OR(V481="Revenue",V481="Cost of Goods Sold",V481="Expenditures",V481="Other Revenue",V481="Other Expenditures"),W481,IF(AND(LEN(V481)&gt;2,MID(V481,2,1)=" ",ISNUMBER(VALUE(LEFT(V481,1)))),V481,X480))</f>
        <v/>
      </c>
      <c r="Y481" s="36" t="n">
        <f aca="false">IF(AND(V481&lt;&gt;"",ISNUMBER(T481),LEFT(V481,9)&lt;&gt;"Total for",V481&lt;&gt;"Gross Profit",V481&lt;&gt;"Net Operating Revenue",V481&lt;&gt;"Net Other Revenue",V481&lt;&gt;"Net Revenue"),1,0)</f>
        <v>0</v>
      </c>
      <c r="Z481" s="36" t="str">
        <f aca="false">IF(Y481=1,IF(AND(LEN(V481)&gt;7,ISNUMBER(VALUE(LEFT(V481,6))),MID(V481,7,1)=" "),LEFT(V481,6),V481),"")</f>
        <v/>
      </c>
      <c r="AE481" s="36" t="str">
        <f aca="false">TRIM(AB481)</f>
        <v/>
      </c>
      <c r="AF481" s="36" t="str">
        <f aca="false">IF(AE481="Revenue","Revenue",IF(AE481="Cost of Goods Sold","COGS",IF(AE481="Expenditures","Expense",IF(AE481="Other Revenue","Other Revenue",IF(AE481="Other Expenditures","Other Expense",AF480)))))</f>
        <v/>
      </c>
      <c r="AG481" s="36" t="str">
        <f aca="false">IF(OR(AE481="Revenue",AE481="Cost of Goods Sold",AE481="Expenditures",AE481="Other Revenue",AE481="Other Expenditures"),AF481,IF(AND(LEN(AE481)&gt;2,MID(AE481,2,1)=" ",ISNUMBER(VALUE(LEFT(AE481,1)))),AE481,AG480))</f>
        <v/>
      </c>
      <c r="AH481" s="36" t="n">
        <f aca="false">IF(AND(AE481&lt;&gt;"",ISNUMBER(AC481),LEFT(AE481,9)&lt;&gt;"Total for",AE481&lt;&gt;"Gross Profit",AE481&lt;&gt;"Net Operating Revenue",AE481&lt;&gt;"Net Other Revenue",AE481&lt;&gt;"Net Revenue"),1,0)</f>
        <v>0</v>
      </c>
      <c r="AI481" s="36" t="str">
        <f aca="false">IF(AH481=1,IF(AND(LEN(AE481)&gt;7,ISNUMBER(VALUE(LEFT(AE481,6))),MID(AE481,7,1)=" "),LEFT(AE481,6),AE481),"")</f>
        <v/>
      </c>
      <c r="AN481" s="36" t="str">
        <f aca="false">TRIM(AK481)</f>
        <v/>
      </c>
      <c r="AO481" s="36" t="str">
        <f aca="false">IF(AN481="Revenue","Revenue",IF(AN481="Cost of Goods Sold","COGS",IF(AN481="Expenditures","Expense",IF(AN481="Other Revenue","Other Revenue",IF(AN481="Other Expenditures","Other Expense",AO480)))))</f>
        <v/>
      </c>
      <c r="AP481" s="36" t="str">
        <f aca="false">IF(OR(AN481="Revenue",AN481="Cost of Goods Sold",AN481="Expenditures",AN481="Other Revenue",AN481="Other Expenditures"),AO481,IF(AND(LEN(AN481)&gt;2,MID(AN481,2,1)=" ",ISNUMBER(VALUE(LEFT(AN481,1)))),AN481,AP480))</f>
        <v/>
      </c>
      <c r="AQ481" s="36" t="n">
        <f aca="false">IF(AND(AN481&lt;&gt;"",ISNUMBER(AL481),LEFT(AN481,9)&lt;&gt;"Total for",AN481&lt;&gt;"Gross Profit",AN481&lt;&gt;"Net Operating Revenue",AN481&lt;&gt;"Net Other Revenue",AN481&lt;&gt;"Net Revenue"),1,0)</f>
        <v>0</v>
      </c>
      <c r="AR481" s="36" t="str">
        <f aca="false">IF(AQ481=1,IF(AND(LEN(AN481)&gt;7,ISNUMBER(VALUE(LEFT(AN481,6))),MID(AN481,7,1)=" "),LEFT(AN481,6),AN481),"")</f>
        <v/>
      </c>
    </row>
    <row r="482" customFormat="false" ht="15" hidden="false" customHeight="false" outlineLevel="0" collapsed="false">
      <c r="D482" s="36" t="str">
        <f aca="false">TRIM(A482)</f>
        <v/>
      </c>
      <c r="E482" s="36" t="str">
        <f aca="false">IF(D482="Revenue","Revenue",IF(D482="Cost of Goods Sold","COGS",IF(D482="Expenditures","Expense",IF(D482="Other Revenue","Other Revenue",IF(D482="Other Expenditures","Other Expense",E481)))))</f>
        <v/>
      </c>
      <c r="F482" s="36" t="str">
        <f aca="false">IF(OR(D482="Revenue",D482="Cost of Goods Sold",D482="Expenditures",D482="Other Revenue",D482="Other Expenditures"),E482,IF(AND(LEN(D482)&gt;2,MID(D482,2,1)=" ",ISNUMBER(VALUE(LEFT(D482,1)))),D482,F481))</f>
        <v/>
      </c>
      <c r="G482" s="36" t="n">
        <f aca="false">IF(AND(D482&lt;&gt;"",ISNUMBER(B482),LEFT(D482,9)&lt;&gt;"Total for",D482&lt;&gt;"Gross Profit",D482&lt;&gt;"Net Operating Revenue",D482&lt;&gt;"Net Other Revenue",D482&lt;&gt;"Net Revenue"),1,0)</f>
        <v>0</v>
      </c>
      <c r="H482" s="36" t="str">
        <f aca="false">IF(G482=1,IF(AND(LEN(D482)&gt;7,ISNUMBER(VALUE(LEFT(D482,6))),MID(D482,7,1)=" "),LEFT(D482,6),D482),"")</f>
        <v/>
      </c>
      <c r="M482" s="36" t="str">
        <f aca="false">TRIM(J482)</f>
        <v/>
      </c>
      <c r="N482" s="36" t="str">
        <f aca="false">IF(M482="Revenue","Revenue",IF(M482="Cost of Goods Sold","COGS",IF(M482="Expenditures","Expense",IF(M482="Other Revenue","Other Revenue",IF(M482="Other Expenditures","Other Expense",N481)))))</f>
        <v/>
      </c>
      <c r="O482" s="36" t="str">
        <f aca="false">IF(OR(M482="Revenue",M482="Cost of Goods Sold",M482="Expenditures",M482="Other Revenue",M482="Other Expenditures"),N482,IF(AND(LEN(M482)&gt;2,MID(M482,2,1)=" ",ISNUMBER(VALUE(LEFT(M482,1)))),M482,O481))</f>
        <v/>
      </c>
      <c r="P482" s="36" t="n">
        <f aca="false">IF(AND(M482&lt;&gt;"",ISNUMBER(K482),LEFT(M482,9)&lt;&gt;"Total for",M482&lt;&gt;"Gross Profit",M482&lt;&gt;"Net Operating Revenue",M482&lt;&gt;"Net Other Revenue",M482&lt;&gt;"Net Revenue"),1,0)</f>
        <v>0</v>
      </c>
      <c r="Q482" s="36" t="str">
        <f aca="false">IF(P482=1,IF(AND(LEN(M482)&gt;7,ISNUMBER(VALUE(LEFT(M482,6))),MID(M482,7,1)=" "),LEFT(M482,6),M482),"")</f>
        <v/>
      </c>
      <c r="V482" s="36" t="str">
        <f aca="false">TRIM(S482)</f>
        <v/>
      </c>
      <c r="W482" s="36" t="str">
        <f aca="false">IF(V482="Revenue","Revenue",IF(V482="Cost of Goods Sold","COGS",IF(V482="Expenditures","Expense",IF(V482="Other Revenue","Other Revenue",IF(V482="Other Expenditures","Other Expense",W481)))))</f>
        <v/>
      </c>
      <c r="X482" s="36" t="str">
        <f aca="false">IF(OR(V482="Revenue",V482="Cost of Goods Sold",V482="Expenditures",V482="Other Revenue",V482="Other Expenditures"),W482,IF(AND(LEN(V482)&gt;2,MID(V482,2,1)=" ",ISNUMBER(VALUE(LEFT(V482,1)))),V482,X481))</f>
        <v/>
      </c>
      <c r="Y482" s="36" t="n">
        <f aca="false">IF(AND(V482&lt;&gt;"",ISNUMBER(T482),LEFT(V482,9)&lt;&gt;"Total for",V482&lt;&gt;"Gross Profit",V482&lt;&gt;"Net Operating Revenue",V482&lt;&gt;"Net Other Revenue",V482&lt;&gt;"Net Revenue"),1,0)</f>
        <v>0</v>
      </c>
      <c r="Z482" s="36" t="str">
        <f aca="false">IF(Y482=1,IF(AND(LEN(V482)&gt;7,ISNUMBER(VALUE(LEFT(V482,6))),MID(V482,7,1)=" "),LEFT(V482,6),V482),"")</f>
        <v/>
      </c>
      <c r="AE482" s="36" t="str">
        <f aca="false">TRIM(AB482)</f>
        <v/>
      </c>
      <c r="AF482" s="36" t="str">
        <f aca="false">IF(AE482="Revenue","Revenue",IF(AE482="Cost of Goods Sold","COGS",IF(AE482="Expenditures","Expense",IF(AE482="Other Revenue","Other Revenue",IF(AE482="Other Expenditures","Other Expense",AF481)))))</f>
        <v/>
      </c>
      <c r="AG482" s="36" t="str">
        <f aca="false">IF(OR(AE482="Revenue",AE482="Cost of Goods Sold",AE482="Expenditures",AE482="Other Revenue",AE482="Other Expenditures"),AF482,IF(AND(LEN(AE482)&gt;2,MID(AE482,2,1)=" ",ISNUMBER(VALUE(LEFT(AE482,1)))),AE482,AG481))</f>
        <v/>
      </c>
      <c r="AH482" s="36" t="n">
        <f aca="false">IF(AND(AE482&lt;&gt;"",ISNUMBER(AC482),LEFT(AE482,9)&lt;&gt;"Total for",AE482&lt;&gt;"Gross Profit",AE482&lt;&gt;"Net Operating Revenue",AE482&lt;&gt;"Net Other Revenue",AE482&lt;&gt;"Net Revenue"),1,0)</f>
        <v>0</v>
      </c>
      <c r="AI482" s="36" t="str">
        <f aca="false">IF(AH482=1,IF(AND(LEN(AE482)&gt;7,ISNUMBER(VALUE(LEFT(AE482,6))),MID(AE482,7,1)=" "),LEFT(AE482,6),AE482),"")</f>
        <v/>
      </c>
      <c r="AN482" s="36" t="str">
        <f aca="false">TRIM(AK482)</f>
        <v/>
      </c>
      <c r="AO482" s="36" t="str">
        <f aca="false">IF(AN482="Revenue","Revenue",IF(AN482="Cost of Goods Sold","COGS",IF(AN482="Expenditures","Expense",IF(AN482="Other Revenue","Other Revenue",IF(AN482="Other Expenditures","Other Expense",AO481)))))</f>
        <v/>
      </c>
      <c r="AP482" s="36" t="str">
        <f aca="false">IF(OR(AN482="Revenue",AN482="Cost of Goods Sold",AN482="Expenditures",AN482="Other Revenue",AN482="Other Expenditures"),AO482,IF(AND(LEN(AN482)&gt;2,MID(AN482,2,1)=" ",ISNUMBER(VALUE(LEFT(AN482,1)))),AN482,AP481))</f>
        <v/>
      </c>
      <c r="AQ482" s="36" t="n">
        <f aca="false">IF(AND(AN482&lt;&gt;"",ISNUMBER(AL482),LEFT(AN482,9)&lt;&gt;"Total for",AN482&lt;&gt;"Gross Profit",AN482&lt;&gt;"Net Operating Revenue",AN482&lt;&gt;"Net Other Revenue",AN482&lt;&gt;"Net Revenue"),1,0)</f>
        <v>0</v>
      </c>
      <c r="AR482" s="36" t="str">
        <f aca="false">IF(AQ482=1,IF(AND(LEN(AN482)&gt;7,ISNUMBER(VALUE(LEFT(AN482,6))),MID(AN482,7,1)=" "),LEFT(AN482,6),AN482),"")</f>
        <v/>
      </c>
    </row>
    <row r="483" customFormat="false" ht="15" hidden="false" customHeight="false" outlineLevel="0" collapsed="false">
      <c r="D483" s="36" t="str">
        <f aca="false">TRIM(A483)</f>
        <v/>
      </c>
      <c r="E483" s="36" t="str">
        <f aca="false">IF(D483="Revenue","Revenue",IF(D483="Cost of Goods Sold","COGS",IF(D483="Expenditures","Expense",IF(D483="Other Revenue","Other Revenue",IF(D483="Other Expenditures","Other Expense",E482)))))</f>
        <v/>
      </c>
      <c r="F483" s="36" t="str">
        <f aca="false">IF(OR(D483="Revenue",D483="Cost of Goods Sold",D483="Expenditures",D483="Other Revenue",D483="Other Expenditures"),E483,IF(AND(LEN(D483)&gt;2,MID(D483,2,1)=" ",ISNUMBER(VALUE(LEFT(D483,1)))),D483,F482))</f>
        <v/>
      </c>
      <c r="G483" s="36" t="n">
        <f aca="false">IF(AND(D483&lt;&gt;"",ISNUMBER(B483),LEFT(D483,9)&lt;&gt;"Total for",D483&lt;&gt;"Gross Profit",D483&lt;&gt;"Net Operating Revenue",D483&lt;&gt;"Net Other Revenue",D483&lt;&gt;"Net Revenue"),1,0)</f>
        <v>0</v>
      </c>
      <c r="H483" s="36" t="str">
        <f aca="false">IF(G483=1,IF(AND(LEN(D483)&gt;7,ISNUMBER(VALUE(LEFT(D483,6))),MID(D483,7,1)=" "),LEFT(D483,6),D483),"")</f>
        <v/>
      </c>
      <c r="M483" s="36" t="str">
        <f aca="false">TRIM(J483)</f>
        <v/>
      </c>
      <c r="N483" s="36" t="str">
        <f aca="false">IF(M483="Revenue","Revenue",IF(M483="Cost of Goods Sold","COGS",IF(M483="Expenditures","Expense",IF(M483="Other Revenue","Other Revenue",IF(M483="Other Expenditures","Other Expense",N482)))))</f>
        <v/>
      </c>
      <c r="O483" s="36" t="str">
        <f aca="false">IF(OR(M483="Revenue",M483="Cost of Goods Sold",M483="Expenditures",M483="Other Revenue",M483="Other Expenditures"),N483,IF(AND(LEN(M483)&gt;2,MID(M483,2,1)=" ",ISNUMBER(VALUE(LEFT(M483,1)))),M483,O482))</f>
        <v/>
      </c>
      <c r="P483" s="36" t="n">
        <f aca="false">IF(AND(M483&lt;&gt;"",ISNUMBER(K483),LEFT(M483,9)&lt;&gt;"Total for",M483&lt;&gt;"Gross Profit",M483&lt;&gt;"Net Operating Revenue",M483&lt;&gt;"Net Other Revenue",M483&lt;&gt;"Net Revenue"),1,0)</f>
        <v>0</v>
      </c>
      <c r="Q483" s="36" t="str">
        <f aca="false">IF(P483=1,IF(AND(LEN(M483)&gt;7,ISNUMBER(VALUE(LEFT(M483,6))),MID(M483,7,1)=" "),LEFT(M483,6),M483),"")</f>
        <v/>
      </c>
      <c r="V483" s="36" t="str">
        <f aca="false">TRIM(S483)</f>
        <v/>
      </c>
      <c r="W483" s="36" t="str">
        <f aca="false">IF(V483="Revenue","Revenue",IF(V483="Cost of Goods Sold","COGS",IF(V483="Expenditures","Expense",IF(V483="Other Revenue","Other Revenue",IF(V483="Other Expenditures","Other Expense",W482)))))</f>
        <v/>
      </c>
      <c r="X483" s="36" t="str">
        <f aca="false">IF(OR(V483="Revenue",V483="Cost of Goods Sold",V483="Expenditures",V483="Other Revenue",V483="Other Expenditures"),W483,IF(AND(LEN(V483)&gt;2,MID(V483,2,1)=" ",ISNUMBER(VALUE(LEFT(V483,1)))),V483,X482))</f>
        <v/>
      </c>
      <c r="Y483" s="36" t="n">
        <f aca="false">IF(AND(V483&lt;&gt;"",ISNUMBER(T483),LEFT(V483,9)&lt;&gt;"Total for",V483&lt;&gt;"Gross Profit",V483&lt;&gt;"Net Operating Revenue",V483&lt;&gt;"Net Other Revenue",V483&lt;&gt;"Net Revenue"),1,0)</f>
        <v>0</v>
      </c>
      <c r="Z483" s="36" t="str">
        <f aca="false">IF(Y483=1,IF(AND(LEN(V483)&gt;7,ISNUMBER(VALUE(LEFT(V483,6))),MID(V483,7,1)=" "),LEFT(V483,6),V483),"")</f>
        <v/>
      </c>
      <c r="AE483" s="36" t="str">
        <f aca="false">TRIM(AB483)</f>
        <v/>
      </c>
      <c r="AF483" s="36" t="str">
        <f aca="false">IF(AE483="Revenue","Revenue",IF(AE483="Cost of Goods Sold","COGS",IF(AE483="Expenditures","Expense",IF(AE483="Other Revenue","Other Revenue",IF(AE483="Other Expenditures","Other Expense",AF482)))))</f>
        <v/>
      </c>
      <c r="AG483" s="36" t="str">
        <f aca="false">IF(OR(AE483="Revenue",AE483="Cost of Goods Sold",AE483="Expenditures",AE483="Other Revenue",AE483="Other Expenditures"),AF483,IF(AND(LEN(AE483)&gt;2,MID(AE483,2,1)=" ",ISNUMBER(VALUE(LEFT(AE483,1)))),AE483,AG482))</f>
        <v/>
      </c>
      <c r="AH483" s="36" t="n">
        <f aca="false">IF(AND(AE483&lt;&gt;"",ISNUMBER(AC483),LEFT(AE483,9)&lt;&gt;"Total for",AE483&lt;&gt;"Gross Profit",AE483&lt;&gt;"Net Operating Revenue",AE483&lt;&gt;"Net Other Revenue",AE483&lt;&gt;"Net Revenue"),1,0)</f>
        <v>0</v>
      </c>
      <c r="AI483" s="36" t="str">
        <f aca="false">IF(AH483=1,IF(AND(LEN(AE483)&gt;7,ISNUMBER(VALUE(LEFT(AE483,6))),MID(AE483,7,1)=" "),LEFT(AE483,6),AE483),"")</f>
        <v/>
      </c>
      <c r="AN483" s="36" t="str">
        <f aca="false">TRIM(AK483)</f>
        <v/>
      </c>
      <c r="AO483" s="36" t="str">
        <f aca="false">IF(AN483="Revenue","Revenue",IF(AN483="Cost of Goods Sold","COGS",IF(AN483="Expenditures","Expense",IF(AN483="Other Revenue","Other Revenue",IF(AN483="Other Expenditures","Other Expense",AO482)))))</f>
        <v/>
      </c>
      <c r="AP483" s="36" t="str">
        <f aca="false">IF(OR(AN483="Revenue",AN483="Cost of Goods Sold",AN483="Expenditures",AN483="Other Revenue",AN483="Other Expenditures"),AO483,IF(AND(LEN(AN483)&gt;2,MID(AN483,2,1)=" ",ISNUMBER(VALUE(LEFT(AN483,1)))),AN483,AP482))</f>
        <v/>
      </c>
      <c r="AQ483" s="36" t="n">
        <f aca="false">IF(AND(AN483&lt;&gt;"",ISNUMBER(AL483),LEFT(AN483,9)&lt;&gt;"Total for",AN483&lt;&gt;"Gross Profit",AN483&lt;&gt;"Net Operating Revenue",AN483&lt;&gt;"Net Other Revenue",AN483&lt;&gt;"Net Revenue"),1,0)</f>
        <v>0</v>
      </c>
      <c r="AR483" s="36" t="str">
        <f aca="false">IF(AQ483=1,IF(AND(LEN(AN483)&gt;7,ISNUMBER(VALUE(LEFT(AN483,6))),MID(AN483,7,1)=" "),LEFT(AN483,6),AN483),"")</f>
        <v/>
      </c>
    </row>
    <row r="484" customFormat="false" ht="15" hidden="false" customHeight="false" outlineLevel="0" collapsed="false">
      <c r="D484" s="36" t="str">
        <f aca="false">TRIM(A484)</f>
        <v/>
      </c>
      <c r="E484" s="36" t="str">
        <f aca="false">IF(D484="Revenue","Revenue",IF(D484="Cost of Goods Sold","COGS",IF(D484="Expenditures","Expense",IF(D484="Other Revenue","Other Revenue",IF(D484="Other Expenditures","Other Expense",E483)))))</f>
        <v/>
      </c>
      <c r="F484" s="36" t="str">
        <f aca="false">IF(OR(D484="Revenue",D484="Cost of Goods Sold",D484="Expenditures",D484="Other Revenue",D484="Other Expenditures"),E484,IF(AND(LEN(D484)&gt;2,MID(D484,2,1)=" ",ISNUMBER(VALUE(LEFT(D484,1)))),D484,F483))</f>
        <v/>
      </c>
      <c r="G484" s="36" t="n">
        <f aca="false">IF(AND(D484&lt;&gt;"",ISNUMBER(B484),LEFT(D484,9)&lt;&gt;"Total for",D484&lt;&gt;"Gross Profit",D484&lt;&gt;"Net Operating Revenue",D484&lt;&gt;"Net Other Revenue",D484&lt;&gt;"Net Revenue"),1,0)</f>
        <v>0</v>
      </c>
      <c r="H484" s="36" t="str">
        <f aca="false">IF(G484=1,IF(AND(LEN(D484)&gt;7,ISNUMBER(VALUE(LEFT(D484,6))),MID(D484,7,1)=" "),LEFT(D484,6),D484),"")</f>
        <v/>
      </c>
      <c r="M484" s="36" t="str">
        <f aca="false">TRIM(J484)</f>
        <v/>
      </c>
      <c r="N484" s="36" t="str">
        <f aca="false">IF(M484="Revenue","Revenue",IF(M484="Cost of Goods Sold","COGS",IF(M484="Expenditures","Expense",IF(M484="Other Revenue","Other Revenue",IF(M484="Other Expenditures","Other Expense",N483)))))</f>
        <v/>
      </c>
      <c r="O484" s="36" t="str">
        <f aca="false">IF(OR(M484="Revenue",M484="Cost of Goods Sold",M484="Expenditures",M484="Other Revenue",M484="Other Expenditures"),N484,IF(AND(LEN(M484)&gt;2,MID(M484,2,1)=" ",ISNUMBER(VALUE(LEFT(M484,1)))),M484,O483))</f>
        <v/>
      </c>
      <c r="P484" s="36" t="n">
        <f aca="false">IF(AND(M484&lt;&gt;"",ISNUMBER(K484),LEFT(M484,9)&lt;&gt;"Total for",M484&lt;&gt;"Gross Profit",M484&lt;&gt;"Net Operating Revenue",M484&lt;&gt;"Net Other Revenue",M484&lt;&gt;"Net Revenue"),1,0)</f>
        <v>0</v>
      </c>
      <c r="Q484" s="36" t="str">
        <f aca="false">IF(P484=1,IF(AND(LEN(M484)&gt;7,ISNUMBER(VALUE(LEFT(M484,6))),MID(M484,7,1)=" "),LEFT(M484,6),M484),"")</f>
        <v/>
      </c>
      <c r="V484" s="36" t="str">
        <f aca="false">TRIM(S484)</f>
        <v/>
      </c>
      <c r="W484" s="36" t="str">
        <f aca="false">IF(V484="Revenue","Revenue",IF(V484="Cost of Goods Sold","COGS",IF(V484="Expenditures","Expense",IF(V484="Other Revenue","Other Revenue",IF(V484="Other Expenditures","Other Expense",W483)))))</f>
        <v/>
      </c>
      <c r="X484" s="36" t="str">
        <f aca="false">IF(OR(V484="Revenue",V484="Cost of Goods Sold",V484="Expenditures",V484="Other Revenue",V484="Other Expenditures"),W484,IF(AND(LEN(V484)&gt;2,MID(V484,2,1)=" ",ISNUMBER(VALUE(LEFT(V484,1)))),V484,X483))</f>
        <v/>
      </c>
      <c r="Y484" s="36" t="n">
        <f aca="false">IF(AND(V484&lt;&gt;"",ISNUMBER(T484),LEFT(V484,9)&lt;&gt;"Total for",V484&lt;&gt;"Gross Profit",V484&lt;&gt;"Net Operating Revenue",V484&lt;&gt;"Net Other Revenue",V484&lt;&gt;"Net Revenue"),1,0)</f>
        <v>0</v>
      </c>
      <c r="Z484" s="36" t="str">
        <f aca="false">IF(Y484=1,IF(AND(LEN(V484)&gt;7,ISNUMBER(VALUE(LEFT(V484,6))),MID(V484,7,1)=" "),LEFT(V484,6),V484),"")</f>
        <v/>
      </c>
      <c r="AE484" s="36" t="str">
        <f aca="false">TRIM(AB484)</f>
        <v/>
      </c>
      <c r="AF484" s="36" t="str">
        <f aca="false">IF(AE484="Revenue","Revenue",IF(AE484="Cost of Goods Sold","COGS",IF(AE484="Expenditures","Expense",IF(AE484="Other Revenue","Other Revenue",IF(AE484="Other Expenditures","Other Expense",AF483)))))</f>
        <v/>
      </c>
      <c r="AG484" s="36" t="str">
        <f aca="false">IF(OR(AE484="Revenue",AE484="Cost of Goods Sold",AE484="Expenditures",AE484="Other Revenue",AE484="Other Expenditures"),AF484,IF(AND(LEN(AE484)&gt;2,MID(AE484,2,1)=" ",ISNUMBER(VALUE(LEFT(AE484,1)))),AE484,AG483))</f>
        <v/>
      </c>
      <c r="AH484" s="36" t="n">
        <f aca="false">IF(AND(AE484&lt;&gt;"",ISNUMBER(AC484),LEFT(AE484,9)&lt;&gt;"Total for",AE484&lt;&gt;"Gross Profit",AE484&lt;&gt;"Net Operating Revenue",AE484&lt;&gt;"Net Other Revenue",AE484&lt;&gt;"Net Revenue"),1,0)</f>
        <v>0</v>
      </c>
      <c r="AI484" s="36" t="str">
        <f aca="false">IF(AH484=1,IF(AND(LEN(AE484)&gt;7,ISNUMBER(VALUE(LEFT(AE484,6))),MID(AE484,7,1)=" "),LEFT(AE484,6),AE484),"")</f>
        <v/>
      </c>
      <c r="AN484" s="36" t="str">
        <f aca="false">TRIM(AK484)</f>
        <v/>
      </c>
      <c r="AO484" s="36" t="str">
        <f aca="false">IF(AN484="Revenue","Revenue",IF(AN484="Cost of Goods Sold","COGS",IF(AN484="Expenditures","Expense",IF(AN484="Other Revenue","Other Revenue",IF(AN484="Other Expenditures","Other Expense",AO483)))))</f>
        <v/>
      </c>
      <c r="AP484" s="36" t="str">
        <f aca="false">IF(OR(AN484="Revenue",AN484="Cost of Goods Sold",AN484="Expenditures",AN484="Other Revenue",AN484="Other Expenditures"),AO484,IF(AND(LEN(AN484)&gt;2,MID(AN484,2,1)=" ",ISNUMBER(VALUE(LEFT(AN484,1)))),AN484,AP483))</f>
        <v/>
      </c>
      <c r="AQ484" s="36" t="n">
        <f aca="false">IF(AND(AN484&lt;&gt;"",ISNUMBER(AL484),LEFT(AN484,9)&lt;&gt;"Total for",AN484&lt;&gt;"Gross Profit",AN484&lt;&gt;"Net Operating Revenue",AN484&lt;&gt;"Net Other Revenue",AN484&lt;&gt;"Net Revenue"),1,0)</f>
        <v>0</v>
      </c>
      <c r="AR484" s="36" t="str">
        <f aca="false">IF(AQ484=1,IF(AND(LEN(AN484)&gt;7,ISNUMBER(VALUE(LEFT(AN484,6))),MID(AN484,7,1)=" "),LEFT(AN484,6),AN484),"")</f>
        <v/>
      </c>
    </row>
    <row r="485" customFormat="false" ht="15" hidden="false" customHeight="false" outlineLevel="0" collapsed="false">
      <c r="D485" s="36" t="str">
        <f aca="false">TRIM(A485)</f>
        <v/>
      </c>
      <c r="E485" s="36" t="str">
        <f aca="false">IF(D485="Revenue","Revenue",IF(D485="Cost of Goods Sold","COGS",IF(D485="Expenditures","Expense",IF(D485="Other Revenue","Other Revenue",IF(D485="Other Expenditures","Other Expense",E484)))))</f>
        <v/>
      </c>
      <c r="F485" s="36" t="str">
        <f aca="false">IF(OR(D485="Revenue",D485="Cost of Goods Sold",D485="Expenditures",D485="Other Revenue",D485="Other Expenditures"),E485,IF(AND(LEN(D485)&gt;2,MID(D485,2,1)=" ",ISNUMBER(VALUE(LEFT(D485,1)))),D485,F484))</f>
        <v/>
      </c>
      <c r="G485" s="36" t="n">
        <f aca="false">IF(AND(D485&lt;&gt;"",ISNUMBER(B485),LEFT(D485,9)&lt;&gt;"Total for",D485&lt;&gt;"Gross Profit",D485&lt;&gt;"Net Operating Revenue",D485&lt;&gt;"Net Other Revenue",D485&lt;&gt;"Net Revenue"),1,0)</f>
        <v>0</v>
      </c>
      <c r="H485" s="36" t="str">
        <f aca="false">IF(G485=1,IF(AND(LEN(D485)&gt;7,ISNUMBER(VALUE(LEFT(D485,6))),MID(D485,7,1)=" "),LEFT(D485,6),D485),"")</f>
        <v/>
      </c>
      <c r="M485" s="36" t="str">
        <f aca="false">TRIM(J485)</f>
        <v/>
      </c>
      <c r="N485" s="36" t="str">
        <f aca="false">IF(M485="Revenue","Revenue",IF(M485="Cost of Goods Sold","COGS",IF(M485="Expenditures","Expense",IF(M485="Other Revenue","Other Revenue",IF(M485="Other Expenditures","Other Expense",N484)))))</f>
        <v/>
      </c>
      <c r="O485" s="36" t="str">
        <f aca="false">IF(OR(M485="Revenue",M485="Cost of Goods Sold",M485="Expenditures",M485="Other Revenue",M485="Other Expenditures"),N485,IF(AND(LEN(M485)&gt;2,MID(M485,2,1)=" ",ISNUMBER(VALUE(LEFT(M485,1)))),M485,O484))</f>
        <v/>
      </c>
      <c r="P485" s="36" t="n">
        <f aca="false">IF(AND(M485&lt;&gt;"",ISNUMBER(K485),LEFT(M485,9)&lt;&gt;"Total for",M485&lt;&gt;"Gross Profit",M485&lt;&gt;"Net Operating Revenue",M485&lt;&gt;"Net Other Revenue",M485&lt;&gt;"Net Revenue"),1,0)</f>
        <v>0</v>
      </c>
      <c r="Q485" s="36" t="str">
        <f aca="false">IF(P485=1,IF(AND(LEN(M485)&gt;7,ISNUMBER(VALUE(LEFT(M485,6))),MID(M485,7,1)=" "),LEFT(M485,6),M485),"")</f>
        <v/>
      </c>
      <c r="V485" s="36" t="str">
        <f aca="false">TRIM(S485)</f>
        <v/>
      </c>
      <c r="W485" s="36" t="str">
        <f aca="false">IF(V485="Revenue","Revenue",IF(V485="Cost of Goods Sold","COGS",IF(V485="Expenditures","Expense",IF(V485="Other Revenue","Other Revenue",IF(V485="Other Expenditures","Other Expense",W484)))))</f>
        <v/>
      </c>
      <c r="X485" s="36" t="str">
        <f aca="false">IF(OR(V485="Revenue",V485="Cost of Goods Sold",V485="Expenditures",V485="Other Revenue",V485="Other Expenditures"),W485,IF(AND(LEN(V485)&gt;2,MID(V485,2,1)=" ",ISNUMBER(VALUE(LEFT(V485,1)))),V485,X484))</f>
        <v/>
      </c>
      <c r="Y485" s="36" t="n">
        <f aca="false">IF(AND(V485&lt;&gt;"",ISNUMBER(T485),LEFT(V485,9)&lt;&gt;"Total for",V485&lt;&gt;"Gross Profit",V485&lt;&gt;"Net Operating Revenue",V485&lt;&gt;"Net Other Revenue",V485&lt;&gt;"Net Revenue"),1,0)</f>
        <v>0</v>
      </c>
      <c r="Z485" s="36" t="str">
        <f aca="false">IF(Y485=1,IF(AND(LEN(V485)&gt;7,ISNUMBER(VALUE(LEFT(V485,6))),MID(V485,7,1)=" "),LEFT(V485,6),V485),"")</f>
        <v/>
      </c>
      <c r="AE485" s="36" t="str">
        <f aca="false">TRIM(AB485)</f>
        <v/>
      </c>
      <c r="AF485" s="36" t="str">
        <f aca="false">IF(AE485="Revenue","Revenue",IF(AE485="Cost of Goods Sold","COGS",IF(AE485="Expenditures","Expense",IF(AE485="Other Revenue","Other Revenue",IF(AE485="Other Expenditures","Other Expense",AF484)))))</f>
        <v/>
      </c>
      <c r="AG485" s="36" t="str">
        <f aca="false">IF(OR(AE485="Revenue",AE485="Cost of Goods Sold",AE485="Expenditures",AE485="Other Revenue",AE485="Other Expenditures"),AF485,IF(AND(LEN(AE485)&gt;2,MID(AE485,2,1)=" ",ISNUMBER(VALUE(LEFT(AE485,1)))),AE485,AG484))</f>
        <v/>
      </c>
      <c r="AH485" s="36" t="n">
        <f aca="false">IF(AND(AE485&lt;&gt;"",ISNUMBER(AC485),LEFT(AE485,9)&lt;&gt;"Total for",AE485&lt;&gt;"Gross Profit",AE485&lt;&gt;"Net Operating Revenue",AE485&lt;&gt;"Net Other Revenue",AE485&lt;&gt;"Net Revenue"),1,0)</f>
        <v>0</v>
      </c>
      <c r="AI485" s="36" t="str">
        <f aca="false">IF(AH485=1,IF(AND(LEN(AE485)&gt;7,ISNUMBER(VALUE(LEFT(AE485,6))),MID(AE485,7,1)=" "),LEFT(AE485,6),AE485),"")</f>
        <v/>
      </c>
      <c r="AN485" s="36" t="str">
        <f aca="false">TRIM(AK485)</f>
        <v/>
      </c>
      <c r="AO485" s="36" t="str">
        <f aca="false">IF(AN485="Revenue","Revenue",IF(AN485="Cost of Goods Sold","COGS",IF(AN485="Expenditures","Expense",IF(AN485="Other Revenue","Other Revenue",IF(AN485="Other Expenditures","Other Expense",AO484)))))</f>
        <v/>
      </c>
      <c r="AP485" s="36" t="str">
        <f aca="false">IF(OR(AN485="Revenue",AN485="Cost of Goods Sold",AN485="Expenditures",AN485="Other Revenue",AN485="Other Expenditures"),AO485,IF(AND(LEN(AN485)&gt;2,MID(AN485,2,1)=" ",ISNUMBER(VALUE(LEFT(AN485,1)))),AN485,AP484))</f>
        <v/>
      </c>
      <c r="AQ485" s="36" t="n">
        <f aca="false">IF(AND(AN485&lt;&gt;"",ISNUMBER(AL485),LEFT(AN485,9)&lt;&gt;"Total for",AN485&lt;&gt;"Gross Profit",AN485&lt;&gt;"Net Operating Revenue",AN485&lt;&gt;"Net Other Revenue",AN485&lt;&gt;"Net Revenue"),1,0)</f>
        <v>0</v>
      </c>
      <c r="AR485" s="36" t="str">
        <f aca="false">IF(AQ485=1,IF(AND(LEN(AN485)&gt;7,ISNUMBER(VALUE(LEFT(AN485,6))),MID(AN485,7,1)=" "),LEFT(AN485,6),AN485),"")</f>
        <v/>
      </c>
    </row>
    <row r="486" customFormat="false" ht="15" hidden="false" customHeight="false" outlineLevel="0" collapsed="false">
      <c r="D486" s="36" t="str">
        <f aca="false">TRIM(A486)</f>
        <v/>
      </c>
      <c r="E486" s="36" t="str">
        <f aca="false">IF(D486="Revenue","Revenue",IF(D486="Cost of Goods Sold","COGS",IF(D486="Expenditures","Expense",IF(D486="Other Revenue","Other Revenue",IF(D486="Other Expenditures","Other Expense",E485)))))</f>
        <v/>
      </c>
      <c r="F486" s="36" t="str">
        <f aca="false">IF(OR(D486="Revenue",D486="Cost of Goods Sold",D486="Expenditures",D486="Other Revenue",D486="Other Expenditures"),E486,IF(AND(LEN(D486)&gt;2,MID(D486,2,1)=" ",ISNUMBER(VALUE(LEFT(D486,1)))),D486,F485))</f>
        <v/>
      </c>
      <c r="G486" s="36" t="n">
        <f aca="false">IF(AND(D486&lt;&gt;"",ISNUMBER(B486),LEFT(D486,9)&lt;&gt;"Total for",D486&lt;&gt;"Gross Profit",D486&lt;&gt;"Net Operating Revenue",D486&lt;&gt;"Net Other Revenue",D486&lt;&gt;"Net Revenue"),1,0)</f>
        <v>0</v>
      </c>
      <c r="H486" s="36" t="str">
        <f aca="false">IF(G486=1,IF(AND(LEN(D486)&gt;7,ISNUMBER(VALUE(LEFT(D486,6))),MID(D486,7,1)=" "),LEFT(D486,6),D486),"")</f>
        <v/>
      </c>
      <c r="M486" s="36" t="str">
        <f aca="false">TRIM(J486)</f>
        <v/>
      </c>
      <c r="N486" s="36" t="str">
        <f aca="false">IF(M486="Revenue","Revenue",IF(M486="Cost of Goods Sold","COGS",IF(M486="Expenditures","Expense",IF(M486="Other Revenue","Other Revenue",IF(M486="Other Expenditures","Other Expense",N485)))))</f>
        <v/>
      </c>
      <c r="O486" s="36" t="str">
        <f aca="false">IF(OR(M486="Revenue",M486="Cost of Goods Sold",M486="Expenditures",M486="Other Revenue",M486="Other Expenditures"),N486,IF(AND(LEN(M486)&gt;2,MID(M486,2,1)=" ",ISNUMBER(VALUE(LEFT(M486,1)))),M486,O485))</f>
        <v/>
      </c>
      <c r="P486" s="36" t="n">
        <f aca="false">IF(AND(M486&lt;&gt;"",ISNUMBER(K486),LEFT(M486,9)&lt;&gt;"Total for",M486&lt;&gt;"Gross Profit",M486&lt;&gt;"Net Operating Revenue",M486&lt;&gt;"Net Other Revenue",M486&lt;&gt;"Net Revenue"),1,0)</f>
        <v>0</v>
      </c>
      <c r="Q486" s="36" t="str">
        <f aca="false">IF(P486=1,IF(AND(LEN(M486)&gt;7,ISNUMBER(VALUE(LEFT(M486,6))),MID(M486,7,1)=" "),LEFT(M486,6),M486),"")</f>
        <v/>
      </c>
      <c r="V486" s="36" t="str">
        <f aca="false">TRIM(S486)</f>
        <v/>
      </c>
      <c r="W486" s="36" t="str">
        <f aca="false">IF(V486="Revenue","Revenue",IF(V486="Cost of Goods Sold","COGS",IF(V486="Expenditures","Expense",IF(V486="Other Revenue","Other Revenue",IF(V486="Other Expenditures","Other Expense",W485)))))</f>
        <v/>
      </c>
      <c r="X486" s="36" t="str">
        <f aca="false">IF(OR(V486="Revenue",V486="Cost of Goods Sold",V486="Expenditures",V486="Other Revenue",V486="Other Expenditures"),W486,IF(AND(LEN(V486)&gt;2,MID(V486,2,1)=" ",ISNUMBER(VALUE(LEFT(V486,1)))),V486,X485))</f>
        <v/>
      </c>
      <c r="Y486" s="36" t="n">
        <f aca="false">IF(AND(V486&lt;&gt;"",ISNUMBER(T486),LEFT(V486,9)&lt;&gt;"Total for",V486&lt;&gt;"Gross Profit",V486&lt;&gt;"Net Operating Revenue",V486&lt;&gt;"Net Other Revenue",V486&lt;&gt;"Net Revenue"),1,0)</f>
        <v>0</v>
      </c>
      <c r="Z486" s="36" t="str">
        <f aca="false">IF(Y486=1,IF(AND(LEN(V486)&gt;7,ISNUMBER(VALUE(LEFT(V486,6))),MID(V486,7,1)=" "),LEFT(V486,6),V486),"")</f>
        <v/>
      </c>
      <c r="AE486" s="36" t="str">
        <f aca="false">TRIM(AB486)</f>
        <v/>
      </c>
      <c r="AF486" s="36" t="str">
        <f aca="false">IF(AE486="Revenue","Revenue",IF(AE486="Cost of Goods Sold","COGS",IF(AE486="Expenditures","Expense",IF(AE486="Other Revenue","Other Revenue",IF(AE486="Other Expenditures","Other Expense",AF485)))))</f>
        <v/>
      </c>
      <c r="AG486" s="36" t="str">
        <f aca="false">IF(OR(AE486="Revenue",AE486="Cost of Goods Sold",AE486="Expenditures",AE486="Other Revenue",AE486="Other Expenditures"),AF486,IF(AND(LEN(AE486)&gt;2,MID(AE486,2,1)=" ",ISNUMBER(VALUE(LEFT(AE486,1)))),AE486,AG485))</f>
        <v/>
      </c>
      <c r="AH486" s="36" t="n">
        <f aca="false">IF(AND(AE486&lt;&gt;"",ISNUMBER(AC486),LEFT(AE486,9)&lt;&gt;"Total for",AE486&lt;&gt;"Gross Profit",AE486&lt;&gt;"Net Operating Revenue",AE486&lt;&gt;"Net Other Revenue",AE486&lt;&gt;"Net Revenue"),1,0)</f>
        <v>0</v>
      </c>
      <c r="AI486" s="36" t="str">
        <f aca="false">IF(AH486=1,IF(AND(LEN(AE486)&gt;7,ISNUMBER(VALUE(LEFT(AE486,6))),MID(AE486,7,1)=" "),LEFT(AE486,6),AE486),"")</f>
        <v/>
      </c>
      <c r="AN486" s="36" t="str">
        <f aca="false">TRIM(AK486)</f>
        <v/>
      </c>
      <c r="AO486" s="36" t="str">
        <f aca="false">IF(AN486="Revenue","Revenue",IF(AN486="Cost of Goods Sold","COGS",IF(AN486="Expenditures","Expense",IF(AN486="Other Revenue","Other Revenue",IF(AN486="Other Expenditures","Other Expense",AO485)))))</f>
        <v/>
      </c>
      <c r="AP486" s="36" t="str">
        <f aca="false">IF(OR(AN486="Revenue",AN486="Cost of Goods Sold",AN486="Expenditures",AN486="Other Revenue",AN486="Other Expenditures"),AO486,IF(AND(LEN(AN486)&gt;2,MID(AN486,2,1)=" ",ISNUMBER(VALUE(LEFT(AN486,1)))),AN486,AP485))</f>
        <v/>
      </c>
      <c r="AQ486" s="36" t="n">
        <f aca="false">IF(AND(AN486&lt;&gt;"",ISNUMBER(AL486),LEFT(AN486,9)&lt;&gt;"Total for",AN486&lt;&gt;"Gross Profit",AN486&lt;&gt;"Net Operating Revenue",AN486&lt;&gt;"Net Other Revenue",AN486&lt;&gt;"Net Revenue"),1,0)</f>
        <v>0</v>
      </c>
      <c r="AR486" s="36" t="str">
        <f aca="false">IF(AQ486=1,IF(AND(LEN(AN486)&gt;7,ISNUMBER(VALUE(LEFT(AN486,6))),MID(AN486,7,1)=" "),LEFT(AN486,6),AN486),"")</f>
        <v/>
      </c>
    </row>
    <row r="487" customFormat="false" ht="15" hidden="false" customHeight="false" outlineLevel="0" collapsed="false">
      <c r="D487" s="36" t="str">
        <f aca="false">TRIM(A487)</f>
        <v/>
      </c>
      <c r="E487" s="36" t="str">
        <f aca="false">IF(D487="Revenue","Revenue",IF(D487="Cost of Goods Sold","COGS",IF(D487="Expenditures","Expense",IF(D487="Other Revenue","Other Revenue",IF(D487="Other Expenditures","Other Expense",E486)))))</f>
        <v/>
      </c>
      <c r="F487" s="36" t="str">
        <f aca="false">IF(OR(D487="Revenue",D487="Cost of Goods Sold",D487="Expenditures",D487="Other Revenue",D487="Other Expenditures"),E487,IF(AND(LEN(D487)&gt;2,MID(D487,2,1)=" ",ISNUMBER(VALUE(LEFT(D487,1)))),D487,F486))</f>
        <v/>
      </c>
      <c r="G487" s="36" t="n">
        <f aca="false">IF(AND(D487&lt;&gt;"",ISNUMBER(B487),LEFT(D487,9)&lt;&gt;"Total for",D487&lt;&gt;"Gross Profit",D487&lt;&gt;"Net Operating Revenue",D487&lt;&gt;"Net Other Revenue",D487&lt;&gt;"Net Revenue"),1,0)</f>
        <v>0</v>
      </c>
      <c r="H487" s="36" t="str">
        <f aca="false">IF(G487=1,IF(AND(LEN(D487)&gt;7,ISNUMBER(VALUE(LEFT(D487,6))),MID(D487,7,1)=" "),LEFT(D487,6),D487),"")</f>
        <v/>
      </c>
      <c r="M487" s="36" t="str">
        <f aca="false">TRIM(J487)</f>
        <v/>
      </c>
      <c r="N487" s="36" t="str">
        <f aca="false">IF(M487="Revenue","Revenue",IF(M487="Cost of Goods Sold","COGS",IF(M487="Expenditures","Expense",IF(M487="Other Revenue","Other Revenue",IF(M487="Other Expenditures","Other Expense",N486)))))</f>
        <v/>
      </c>
      <c r="O487" s="36" t="str">
        <f aca="false">IF(OR(M487="Revenue",M487="Cost of Goods Sold",M487="Expenditures",M487="Other Revenue",M487="Other Expenditures"),N487,IF(AND(LEN(M487)&gt;2,MID(M487,2,1)=" ",ISNUMBER(VALUE(LEFT(M487,1)))),M487,O486))</f>
        <v/>
      </c>
      <c r="P487" s="36" t="n">
        <f aca="false">IF(AND(M487&lt;&gt;"",ISNUMBER(K487),LEFT(M487,9)&lt;&gt;"Total for",M487&lt;&gt;"Gross Profit",M487&lt;&gt;"Net Operating Revenue",M487&lt;&gt;"Net Other Revenue",M487&lt;&gt;"Net Revenue"),1,0)</f>
        <v>0</v>
      </c>
      <c r="Q487" s="36" t="str">
        <f aca="false">IF(P487=1,IF(AND(LEN(M487)&gt;7,ISNUMBER(VALUE(LEFT(M487,6))),MID(M487,7,1)=" "),LEFT(M487,6),M487),"")</f>
        <v/>
      </c>
      <c r="V487" s="36" t="str">
        <f aca="false">TRIM(S487)</f>
        <v/>
      </c>
      <c r="W487" s="36" t="str">
        <f aca="false">IF(V487="Revenue","Revenue",IF(V487="Cost of Goods Sold","COGS",IF(V487="Expenditures","Expense",IF(V487="Other Revenue","Other Revenue",IF(V487="Other Expenditures","Other Expense",W486)))))</f>
        <v/>
      </c>
      <c r="X487" s="36" t="str">
        <f aca="false">IF(OR(V487="Revenue",V487="Cost of Goods Sold",V487="Expenditures",V487="Other Revenue",V487="Other Expenditures"),W487,IF(AND(LEN(V487)&gt;2,MID(V487,2,1)=" ",ISNUMBER(VALUE(LEFT(V487,1)))),V487,X486))</f>
        <v/>
      </c>
      <c r="Y487" s="36" t="n">
        <f aca="false">IF(AND(V487&lt;&gt;"",ISNUMBER(T487),LEFT(V487,9)&lt;&gt;"Total for",V487&lt;&gt;"Gross Profit",V487&lt;&gt;"Net Operating Revenue",V487&lt;&gt;"Net Other Revenue",V487&lt;&gt;"Net Revenue"),1,0)</f>
        <v>0</v>
      </c>
      <c r="Z487" s="36" t="str">
        <f aca="false">IF(Y487=1,IF(AND(LEN(V487)&gt;7,ISNUMBER(VALUE(LEFT(V487,6))),MID(V487,7,1)=" "),LEFT(V487,6),V487),"")</f>
        <v/>
      </c>
      <c r="AE487" s="36" t="str">
        <f aca="false">TRIM(AB487)</f>
        <v/>
      </c>
      <c r="AF487" s="36" t="str">
        <f aca="false">IF(AE487="Revenue","Revenue",IF(AE487="Cost of Goods Sold","COGS",IF(AE487="Expenditures","Expense",IF(AE487="Other Revenue","Other Revenue",IF(AE487="Other Expenditures","Other Expense",AF486)))))</f>
        <v/>
      </c>
      <c r="AG487" s="36" t="str">
        <f aca="false">IF(OR(AE487="Revenue",AE487="Cost of Goods Sold",AE487="Expenditures",AE487="Other Revenue",AE487="Other Expenditures"),AF487,IF(AND(LEN(AE487)&gt;2,MID(AE487,2,1)=" ",ISNUMBER(VALUE(LEFT(AE487,1)))),AE487,AG486))</f>
        <v/>
      </c>
      <c r="AH487" s="36" t="n">
        <f aca="false">IF(AND(AE487&lt;&gt;"",ISNUMBER(AC487),LEFT(AE487,9)&lt;&gt;"Total for",AE487&lt;&gt;"Gross Profit",AE487&lt;&gt;"Net Operating Revenue",AE487&lt;&gt;"Net Other Revenue",AE487&lt;&gt;"Net Revenue"),1,0)</f>
        <v>0</v>
      </c>
      <c r="AI487" s="36" t="str">
        <f aca="false">IF(AH487=1,IF(AND(LEN(AE487)&gt;7,ISNUMBER(VALUE(LEFT(AE487,6))),MID(AE487,7,1)=" "),LEFT(AE487,6),AE487),"")</f>
        <v/>
      </c>
      <c r="AN487" s="36" t="str">
        <f aca="false">TRIM(AK487)</f>
        <v/>
      </c>
      <c r="AO487" s="36" t="str">
        <f aca="false">IF(AN487="Revenue","Revenue",IF(AN487="Cost of Goods Sold","COGS",IF(AN487="Expenditures","Expense",IF(AN487="Other Revenue","Other Revenue",IF(AN487="Other Expenditures","Other Expense",AO486)))))</f>
        <v/>
      </c>
      <c r="AP487" s="36" t="str">
        <f aca="false">IF(OR(AN487="Revenue",AN487="Cost of Goods Sold",AN487="Expenditures",AN487="Other Revenue",AN487="Other Expenditures"),AO487,IF(AND(LEN(AN487)&gt;2,MID(AN487,2,1)=" ",ISNUMBER(VALUE(LEFT(AN487,1)))),AN487,AP486))</f>
        <v/>
      </c>
      <c r="AQ487" s="36" t="n">
        <f aca="false">IF(AND(AN487&lt;&gt;"",ISNUMBER(AL487),LEFT(AN487,9)&lt;&gt;"Total for",AN487&lt;&gt;"Gross Profit",AN487&lt;&gt;"Net Operating Revenue",AN487&lt;&gt;"Net Other Revenue",AN487&lt;&gt;"Net Revenue"),1,0)</f>
        <v>0</v>
      </c>
      <c r="AR487" s="36" t="str">
        <f aca="false">IF(AQ487=1,IF(AND(LEN(AN487)&gt;7,ISNUMBER(VALUE(LEFT(AN487,6))),MID(AN487,7,1)=" "),LEFT(AN487,6),AN487),"")</f>
        <v/>
      </c>
    </row>
    <row r="488" customFormat="false" ht="15" hidden="false" customHeight="false" outlineLevel="0" collapsed="false">
      <c r="D488" s="36" t="str">
        <f aca="false">TRIM(A488)</f>
        <v/>
      </c>
      <c r="E488" s="36" t="str">
        <f aca="false">IF(D488="Revenue","Revenue",IF(D488="Cost of Goods Sold","COGS",IF(D488="Expenditures","Expense",IF(D488="Other Revenue","Other Revenue",IF(D488="Other Expenditures","Other Expense",E487)))))</f>
        <v/>
      </c>
      <c r="F488" s="36" t="str">
        <f aca="false">IF(OR(D488="Revenue",D488="Cost of Goods Sold",D488="Expenditures",D488="Other Revenue",D488="Other Expenditures"),E488,IF(AND(LEN(D488)&gt;2,MID(D488,2,1)=" ",ISNUMBER(VALUE(LEFT(D488,1)))),D488,F487))</f>
        <v/>
      </c>
      <c r="G488" s="36" t="n">
        <f aca="false">IF(AND(D488&lt;&gt;"",ISNUMBER(B488),LEFT(D488,9)&lt;&gt;"Total for",D488&lt;&gt;"Gross Profit",D488&lt;&gt;"Net Operating Revenue",D488&lt;&gt;"Net Other Revenue",D488&lt;&gt;"Net Revenue"),1,0)</f>
        <v>0</v>
      </c>
      <c r="H488" s="36" t="str">
        <f aca="false">IF(G488=1,IF(AND(LEN(D488)&gt;7,ISNUMBER(VALUE(LEFT(D488,6))),MID(D488,7,1)=" "),LEFT(D488,6),D488),"")</f>
        <v/>
      </c>
      <c r="M488" s="36" t="str">
        <f aca="false">TRIM(J488)</f>
        <v/>
      </c>
      <c r="N488" s="36" t="str">
        <f aca="false">IF(M488="Revenue","Revenue",IF(M488="Cost of Goods Sold","COGS",IF(M488="Expenditures","Expense",IF(M488="Other Revenue","Other Revenue",IF(M488="Other Expenditures","Other Expense",N487)))))</f>
        <v/>
      </c>
      <c r="O488" s="36" t="str">
        <f aca="false">IF(OR(M488="Revenue",M488="Cost of Goods Sold",M488="Expenditures",M488="Other Revenue",M488="Other Expenditures"),N488,IF(AND(LEN(M488)&gt;2,MID(M488,2,1)=" ",ISNUMBER(VALUE(LEFT(M488,1)))),M488,O487))</f>
        <v/>
      </c>
      <c r="P488" s="36" t="n">
        <f aca="false">IF(AND(M488&lt;&gt;"",ISNUMBER(K488),LEFT(M488,9)&lt;&gt;"Total for",M488&lt;&gt;"Gross Profit",M488&lt;&gt;"Net Operating Revenue",M488&lt;&gt;"Net Other Revenue",M488&lt;&gt;"Net Revenue"),1,0)</f>
        <v>0</v>
      </c>
      <c r="Q488" s="36" t="str">
        <f aca="false">IF(P488=1,IF(AND(LEN(M488)&gt;7,ISNUMBER(VALUE(LEFT(M488,6))),MID(M488,7,1)=" "),LEFT(M488,6),M488),"")</f>
        <v/>
      </c>
      <c r="V488" s="36" t="str">
        <f aca="false">TRIM(S488)</f>
        <v/>
      </c>
      <c r="W488" s="36" t="str">
        <f aca="false">IF(V488="Revenue","Revenue",IF(V488="Cost of Goods Sold","COGS",IF(V488="Expenditures","Expense",IF(V488="Other Revenue","Other Revenue",IF(V488="Other Expenditures","Other Expense",W487)))))</f>
        <v/>
      </c>
      <c r="X488" s="36" t="str">
        <f aca="false">IF(OR(V488="Revenue",V488="Cost of Goods Sold",V488="Expenditures",V488="Other Revenue",V488="Other Expenditures"),W488,IF(AND(LEN(V488)&gt;2,MID(V488,2,1)=" ",ISNUMBER(VALUE(LEFT(V488,1)))),V488,X487))</f>
        <v/>
      </c>
      <c r="Y488" s="36" t="n">
        <f aca="false">IF(AND(V488&lt;&gt;"",ISNUMBER(T488),LEFT(V488,9)&lt;&gt;"Total for",V488&lt;&gt;"Gross Profit",V488&lt;&gt;"Net Operating Revenue",V488&lt;&gt;"Net Other Revenue",V488&lt;&gt;"Net Revenue"),1,0)</f>
        <v>0</v>
      </c>
      <c r="Z488" s="36" t="str">
        <f aca="false">IF(Y488=1,IF(AND(LEN(V488)&gt;7,ISNUMBER(VALUE(LEFT(V488,6))),MID(V488,7,1)=" "),LEFT(V488,6),V488),"")</f>
        <v/>
      </c>
      <c r="AE488" s="36" t="str">
        <f aca="false">TRIM(AB488)</f>
        <v/>
      </c>
      <c r="AF488" s="36" t="str">
        <f aca="false">IF(AE488="Revenue","Revenue",IF(AE488="Cost of Goods Sold","COGS",IF(AE488="Expenditures","Expense",IF(AE488="Other Revenue","Other Revenue",IF(AE488="Other Expenditures","Other Expense",AF487)))))</f>
        <v/>
      </c>
      <c r="AG488" s="36" t="str">
        <f aca="false">IF(OR(AE488="Revenue",AE488="Cost of Goods Sold",AE488="Expenditures",AE488="Other Revenue",AE488="Other Expenditures"),AF488,IF(AND(LEN(AE488)&gt;2,MID(AE488,2,1)=" ",ISNUMBER(VALUE(LEFT(AE488,1)))),AE488,AG487))</f>
        <v/>
      </c>
      <c r="AH488" s="36" t="n">
        <f aca="false">IF(AND(AE488&lt;&gt;"",ISNUMBER(AC488),LEFT(AE488,9)&lt;&gt;"Total for",AE488&lt;&gt;"Gross Profit",AE488&lt;&gt;"Net Operating Revenue",AE488&lt;&gt;"Net Other Revenue",AE488&lt;&gt;"Net Revenue"),1,0)</f>
        <v>0</v>
      </c>
      <c r="AI488" s="36" t="str">
        <f aca="false">IF(AH488=1,IF(AND(LEN(AE488)&gt;7,ISNUMBER(VALUE(LEFT(AE488,6))),MID(AE488,7,1)=" "),LEFT(AE488,6),AE488),"")</f>
        <v/>
      </c>
      <c r="AN488" s="36" t="str">
        <f aca="false">TRIM(AK488)</f>
        <v/>
      </c>
      <c r="AO488" s="36" t="str">
        <f aca="false">IF(AN488="Revenue","Revenue",IF(AN488="Cost of Goods Sold","COGS",IF(AN488="Expenditures","Expense",IF(AN488="Other Revenue","Other Revenue",IF(AN488="Other Expenditures","Other Expense",AO487)))))</f>
        <v/>
      </c>
      <c r="AP488" s="36" t="str">
        <f aca="false">IF(OR(AN488="Revenue",AN488="Cost of Goods Sold",AN488="Expenditures",AN488="Other Revenue",AN488="Other Expenditures"),AO488,IF(AND(LEN(AN488)&gt;2,MID(AN488,2,1)=" ",ISNUMBER(VALUE(LEFT(AN488,1)))),AN488,AP487))</f>
        <v/>
      </c>
      <c r="AQ488" s="36" t="n">
        <f aca="false">IF(AND(AN488&lt;&gt;"",ISNUMBER(AL488),LEFT(AN488,9)&lt;&gt;"Total for",AN488&lt;&gt;"Gross Profit",AN488&lt;&gt;"Net Operating Revenue",AN488&lt;&gt;"Net Other Revenue",AN488&lt;&gt;"Net Revenue"),1,0)</f>
        <v>0</v>
      </c>
      <c r="AR488" s="36" t="str">
        <f aca="false">IF(AQ488=1,IF(AND(LEN(AN488)&gt;7,ISNUMBER(VALUE(LEFT(AN488,6))),MID(AN488,7,1)=" "),LEFT(AN488,6),AN488),"")</f>
        <v/>
      </c>
    </row>
    <row r="489" customFormat="false" ht="15" hidden="false" customHeight="false" outlineLevel="0" collapsed="false">
      <c r="D489" s="36" t="str">
        <f aca="false">TRIM(A489)</f>
        <v/>
      </c>
      <c r="E489" s="36" t="str">
        <f aca="false">IF(D489="Revenue","Revenue",IF(D489="Cost of Goods Sold","COGS",IF(D489="Expenditures","Expense",IF(D489="Other Revenue","Other Revenue",IF(D489="Other Expenditures","Other Expense",E488)))))</f>
        <v/>
      </c>
      <c r="F489" s="36" t="str">
        <f aca="false">IF(OR(D489="Revenue",D489="Cost of Goods Sold",D489="Expenditures",D489="Other Revenue",D489="Other Expenditures"),E489,IF(AND(LEN(D489)&gt;2,MID(D489,2,1)=" ",ISNUMBER(VALUE(LEFT(D489,1)))),D489,F488))</f>
        <v/>
      </c>
      <c r="G489" s="36" t="n">
        <f aca="false">IF(AND(D489&lt;&gt;"",ISNUMBER(B489),LEFT(D489,9)&lt;&gt;"Total for",D489&lt;&gt;"Gross Profit",D489&lt;&gt;"Net Operating Revenue",D489&lt;&gt;"Net Other Revenue",D489&lt;&gt;"Net Revenue"),1,0)</f>
        <v>0</v>
      </c>
      <c r="H489" s="36" t="str">
        <f aca="false">IF(G489=1,IF(AND(LEN(D489)&gt;7,ISNUMBER(VALUE(LEFT(D489,6))),MID(D489,7,1)=" "),LEFT(D489,6),D489),"")</f>
        <v/>
      </c>
      <c r="M489" s="36" t="str">
        <f aca="false">TRIM(J489)</f>
        <v/>
      </c>
      <c r="N489" s="36" t="str">
        <f aca="false">IF(M489="Revenue","Revenue",IF(M489="Cost of Goods Sold","COGS",IF(M489="Expenditures","Expense",IF(M489="Other Revenue","Other Revenue",IF(M489="Other Expenditures","Other Expense",N488)))))</f>
        <v/>
      </c>
      <c r="O489" s="36" t="str">
        <f aca="false">IF(OR(M489="Revenue",M489="Cost of Goods Sold",M489="Expenditures",M489="Other Revenue",M489="Other Expenditures"),N489,IF(AND(LEN(M489)&gt;2,MID(M489,2,1)=" ",ISNUMBER(VALUE(LEFT(M489,1)))),M489,O488))</f>
        <v/>
      </c>
      <c r="P489" s="36" t="n">
        <f aca="false">IF(AND(M489&lt;&gt;"",ISNUMBER(K489),LEFT(M489,9)&lt;&gt;"Total for",M489&lt;&gt;"Gross Profit",M489&lt;&gt;"Net Operating Revenue",M489&lt;&gt;"Net Other Revenue",M489&lt;&gt;"Net Revenue"),1,0)</f>
        <v>0</v>
      </c>
      <c r="Q489" s="36" t="str">
        <f aca="false">IF(P489=1,IF(AND(LEN(M489)&gt;7,ISNUMBER(VALUE(LEFT(M489,6))),MID(M489,7,1)=" "),LEFT(M489,6),M489),"")</f>
        <v/>
      </c>
      <c r="V489" s="36" t="str">
        <f aca="false">TRIM(S489)</f>
        <v/>
      </c>
      <c r="W489" s="36" t="str">
        <f aca="false">IF(V489="Revenue","Revenue",IF(V489="Cost of Goods Sold","COGS",IF(V489="Expenditures","Expense",IF(V489="Other Revenue","Other Revenue",IF(V489="Other Expenditures","Other Expense",W488)))))</f>
        <v/>
      </c>
      <c r="X489" s="36" t="str">
        <f aca="false">IF(OR(V489="Revenue",V489="Cost of Goods Sold",V489="Expenditures",V489="Other Revenue",V489="Other Expenditures"),W489,IF(AND(LEN(V489)&gt;2,MID(V489,2,1)=" ",ISNUMBER(VALUE(LEFT(V489,1)))),V489,X488))</f>
        <v/>
      </c>
      <c r="Y489" s="36" t="n">
        <f aca="false">IF(AND(V489&lt;&gt;"",ISNUMBER(T489),LEFT(V489,9)&lt;&gt;"Total for",V489&lt;&gt;"Gross Profit",V489&lt;&gt;"Net Operating Revenue",V489&lt;&gt;"Net Other Revenue",V489&lt;&gt;"Net Revenue"),1,0)</f>
        <v>0</v>
      </c>
      <c r="Z489" s="36" t="str">
        <f aca="false">IF(Y489=1,IF(AND(LEN(V489)&gt;7,ISNUMBER(VALUE(LEFT(V489,6))),MID(V489,7,1)=" "),LEFT(V489,6),V489),"")</f>
        <v/>
      </c>
      <c r="AE489" s="36" t="str">
        <f aca="false">TRIM(AB489)</f>
        <v/>
      </c>
      <c r="AF489" s="36" t="str">
        <f aca="false">IF(AE489="Revenue","Revenue",IF(AE489="Cost of Goods Sold","COGS",IF(AE489="Expenditures","Expense",IF(AE489="Other Revenue","Other Revenue",IF(AE489="Other Expenditures","Other Expense",AF488)))))</f>
        <v/>
      </c>
      <c r="AG489" s="36" t="str">
        <f aca="false">IF(OR(AE489="Revenue",AE489="Cost of Goods Sold",AE489="Expenditures",AE489="Other Revenue",AE489="Other Expenditures"),AF489,IF(AND(LEN(AE489)&gt;2,MID(AE489,2,1)=" ",ISNUMBER(VALUE(LEFT(AE489,1)))),AE489,AG488))</f>
        <v/>
      </c>
      <c r="AH489" s="36" t="n">
        <f aca="false">IF(AND(AE489&lt;&gt;"",ISNUMBER(AC489),LEFT(AE489,9)&lt;&gt;"Total for",AE489&lt;&gt;"Gross Profit",AE489&lt;&gt;"Net Operating Revenue",AE489&lt;&gt;"Net Other Revenue",AE489&lt;&gt;"Net Revenue"),1,0)</f>
        <v>0</v>
      </c>
      <c r="AI489" s="36" t="str">
        <f aca="false">IF(AH489=1,IF(AND(LEN(AE489)&gt;7,ISNUMBER(VALUE(LEFT(AE489,6))),MID(AE489,7,1)=" "),LEFT(AE489,6),AE489),"")</f>
        <v/>
      </c>
      <c r="AN489" s="36" t="str">
        <f aca="false">TRIM(AK489)</f>
        <v/>
      </c>
      <c r="AO489" s="36" t="str">
        <f aca="false">IF(AN489="Revenue","Revenue",IF(AN489="Cost of Goods Sold","COGS",IF(AN489="Expenditures","Expense",IF(AN489="Other Revenue","Other Revenue",IF(AN489="Other Expenditures","Other Expense",AO488)))))</f>
        <v/>
      </c>
      <c r="AP489" s="36" t="str">
        <f aca="false">IF(OR(AN489="Revenue",AN489="Cost of Goods Sold",AN489="Expenditures",AN489="Other Revenue",AN489="Other Expenditures"),AO489,IF(AND(LEN(AN489)&gt;2,MID(AN489,2,1)=" ",ISNUMBER(VALUE(LEFT(AN489,1)))),AN489,AP488))</f>
        <v/>
      </c>
      <c r="AQ489" s="36" t="n">
        <f aca="false">IF(AND(AN489&lt;&gt;"",ISNUMBER(AL489),LEFT(AN489,9)&lt;&gt;"Total for",AN489&lt;&gt;"Gross Profit",AN489&lt;&gt;"Net Operating Revenue",AN489&lt;&gt;"Net Other Revenue",AN489&lt;&gt;"Net Revenue"),1,0)</f>
        <v>0</v>
      </c>
      <c r="AR489" s="36" t="str">
        <f aca="false">IF(AQ489=1,IF(AND(LEN(AN489)&gt;7,ISNUMBER(VALUE(LEFT(AN489,6))),MID(AN489,7,1)=" "),LEFT(AN489,6),AN489),"")</f>
        <v/>
      </c>
    </row>
    <row r="490" customFormat="false" ht="15" hidden="false" customHeight="false" outlineLevel="0" collapsed="false">
      <c r="D490" s="36" t="str">
        <f aca="false">TRIM(A490)</f>
        <v/>
      </c>
      <c r="E490" s="36" t="str">
        <f aca="false">IF(D490="Revenue","Revenue",IF(D490="Cost of Goods Sold","COGS",IF(D490="Expenditures","Expense",IF(D490="Other Revenue","Other Revenue",IF(D490="Other Expenditures","Other Expense",E489)))))</f>
        <v/>
      </c>
      <c r="F490" s="36" t="str">
        <f aca="false">IF(OR(D490="Revenue",D490="Cost of Goods Sold",D490="Expenditures",D490="Other Revenue",D490="Other Expenditures"),E490,IF(AND(LEN(D490)&gt;2,MID(D490,2,1)=" ",ISNUMBER(VALUE(LEFT(D490,1)))),D490,F489))</f>
        <v/>
      </c>
      <c r="G490" s="36" t="n">
        <f aca="false">IF(AND(D490&lt;&gt;"",ISNUMBER(B490),LEFT(D490,9)&lt;&gt;"Total for",D490&lt;&gt;"Gross Profit",D490&lt;&gt;"Net Operating Revenue",D490&lt;&gt;"Net Other Revenue",D490&lt;&gt;"Net Revenue"),1,0)</f>
        <v>0</v>
      </c>
      <c r="H490" s="36" t="str">
        <f aca="false">IF(G490=1,IF(AND(LEN(D490)&gt;7,ISNUMBER(VALUE(LEFT(D490,6))),MID(D490,7,1)=" "),LEFT(D490,6),D490),"")</f>
        <v/>
      </c>
      <c r="M490" s="36" t="str">
        <f aca="false">TRIM(J490)</f>
        <v/>
      </c>
      <c r="N490" s="36" t="str">
        <f aca="false">IF(M490="Revenue","Revenue",IF(M490="Cost of Goods Sold","COGS",IF(M490="Expenditures","Expense",IF(M490="Other Revenue","Other Revenue",IF(M490="Other Expenditures","Other Expense",N489)))))</f>
        <v/>
      </c>
      <c r="O490" s="36" t="str">
        <f aca="false">IF(OR(M490="Revenue",M490="Cost of Goods Sold",M490="Expenditures",M490="Other Revenue",M490="Other Expenditures"),N490,IF(AND(LEN(M490)&gt;2,MID(M490,2,1)=" ",ISNUMBER(VALUE(LEFT(M490,1)))),M490,O489))</f>
        <v/>
      </c>
      <c r="P490" s="36" t="n">
        <f aca="false">IF(AND(M490&lt;&gt;"",ISNUMBER(K490),LEFT(M490,9)&lt;&gt;"Total for",M490&lt;&gt;"Gross Profit",M490&lt;&gt;"Net Operating Revenue",M490&lt;&gt;"Net Other Revenue",M490&lt;&gt;"Net Revenue"),1,0)</f>
        <v>0</v>
      </c>
      <c r="Q490" s="36" t="str">
        <f aca="false">IF(P490=1,IF(AND(LEN(M490)&gt;7,ISNUMBER(VALUE(LEFT(M490,6))),MID(M490,7,1)=" "),LEFT(M490,6),M490),"")</f>
        <v/>
      </c>
      <c r="V490" s="36" t="str">
        <f aca="false">TRIM(S490)</f>
        <v/>
      </c>
      <c r="W490" s="36" t="str">
        <f aca="false">IF(V490="Revenue","Revenue",IF(V490="Cost of Goods Sold","COGS",IF(V490="Expenditures","Expense",IF(V490="Other Revenue","Other Revenue",IF(V490="Other Expenditures","Other Expense",W489)))))</f>
        <v/>
      </c>
      <c r="X490" s="36" t="str">
        <f aca="false">IF(OR(V490="Revenue",V490="Cost of Goods Sold",V490="Expenditures",V490="Other Revenue",V490="Other Expenditures"),W490,IF(AND(LEN(V490)&gt;2,MID(V490,2,1)=" ",ISNUMBER(VALUE(LEFT(V490,1)))),V490,X489))</f>
        <v/>
      </c>
      <c r="Y490" s="36" t="n">
        <f aca="false">IF(AND(V490&lt;&gt;"",ISNUMBER(T490),LEFT(V490,9)&lt;&gt;"Total for",V490&lt;&gt;"Gross Profit",V490&lt;&gt;"Net Operating Revenue",V490&lt;&gt;"Net Other Revenue",V490&lt;&gt;"Net Revenue"),1,0)</f>
        <v>0</v>
      </c>
      <c r="Z490" s="36" t="str">
        <f aca="false">IF(Y490=1,IF(AND(LEN(V490)&gt;7,ISNUMBER(VALUE(LEFT(V490,6))),MID(V490,7,1)=" "),LEFT(V490,6),V490),"")</f>
        <v/>
      </c>
      <c r="AE490" s="36" t="str">
        <f aca="false">TRIM(AB490)</f>
        <v/>
      </c>
      <c r="AF490" s="36" t="str">
        <f aca="false">IF(AE490="Revenue","Revenue",IF(AE490="Cost of Goods Sold","COGS",IF(AE490="Expenditures","Expense",IF(AE490="Other Revenue","Other Revenue",IF(AE490="Other Expenditures","Other Expense",AF489)))))</f>
        <v/>
      </c>
      <c r="AG490" s="36" t="str">
        <f aca="false">IF(OR(AE490="Revenue",AE490="Cost of Goods Sold",AE490="Expenditures",AE490="Other Revenue",AE490="Other Expenditures"),AF490,IF(AND(LEN(AE490)&gt;2,MID(AE490,2,1)=" ",ISNUMBER(VALUE(LEFT(AE490,1)))),AE490,AG489))</f>
        <v/>
      </c>
      <c r="AH490" s="36" t="n">
        <f aca="false">IF(AND(AE490&lt;&gt;"",ISNUMBER(AC490),LEFT(AE490,9)&lt;&gt;"Total for",AE490&lt;&gt;"Gross Profit",AE490&lt;&gt;"Net Operating Revenue",AE490&lt;&gt;"Net Other Revenue",AE490&lt;&gt;"Net Revenue"),1,0)</f>
        <v>0</v>
      </c>
      <c r="AI490" s="36" t="str">
        <f aca="false">IF(AH490=1,IF(AND(LEN(AE490)&gt;7,ISNUMBER(VALUE(LEFT(AE490,6))),MID(AE490,7,1)=" "),LEFT(AE490,6),AE490),"")</f>
        <v/>
      </c>
      <c r="AN490" s="36" t="str">
        <f aca="false">TRIM(AK490)</f>
        <v/>
      </c>
      <c r="AO490" s="36" t="str">
        <f aca="false">IF(AN490="Revenue","Revenue",IF(AN490="Cost of Goods Sold","COGS",IF(AN490="Expenditures","Expense",IF(AN490="Other Revenue","Other Revenue",IF(AN490="Other Expenditures","Other Expense",AO489)))))</f>
        <v/>
      </c>
      <c r="AP490" s="36" t="str">
        <f aca="false">IF(OR(AN490="Revenue",AN490="Cost of Goods Sold",AN490="Expenditures",AN490="Other Revenue",AN490="Other Expenditures"),AO490,IF(AND(LEN(AN490)&gt;2,MID(AN490,2,1)=" ",ISNUMBER(VALUE(LEFT(AN490,1)))),AN490,AP489))</f>
        <v/>
      </c>
      <c r="AQ490" s="36" t="n">
        <f aca="false">IF(AND(AN490&lt;&gt;"",ISNUMBER(AL490),LEFT(AN490,9)&lt;&gt;"Total for",AN490&lt;&gt;"Gross Profit",AN490&lt;&gt;"Net Operating Revenue",AN490&lt;&gt;"Net Other Revenue",AN490&lt;&gt;"Net Revenue"),1,0)</f>
        <v>0</v>
      </c>
      <c r="AR490" s="36" t="str">
        <f aca="false">IF(AQ490=1,IF(AND(LEN(AN490)&gt;7,ISNUMBER(VALUE(LEFT(AN490,6))),MID(AN490,7,1)=" "),LEFT(AN490,6),AN490),"")</f>
        <v/>
      </c>
    </row>
    <row r="491" customFormat="false" ht="15" hidden="false" customHeight="false" outlineLevel="0" collapsed="false">
      <c r="D491" s="36" t="str">
        <f aca="false">TRIM(A491)</f>
        <v/>
      </c>
      <c r="E491" s="36" t="str">
        <f aca="false">IF(D491="Revenue","Revenue",IF(D491="Cost of Goods Sold","COGS",IF(D491="Expenditures","Expense",IF(D491="Other Revenue","Other Revenue",IF(D491="Other Expenditures","Other Expense",E490)))))</f>
        <v/>
      </c>
      <c r="F491" s="36" t="str">
        <f aca="false">IF(OR(D491="Revenue",D491="Cost of Goods Sold",D491="Expenditures",D491="Other Revenue",D491="Other Expenditures"),E491,IF(AND(LEN(D491)&gt;2,MID(D491,2,1)=" ",ISNUMBER(VALUE(LEFT(D491,1)))),D491,F490))</f>
        <v/>
      </c>
      <c r="G491" s="36" t="n">
        <f aca="false">IF(AND(D491&lt;&gt;"",ISNUMBER(B491),LEFT(D491,9)&lt;&gt;"Total for",D491&lt;&gt;"Gross Profit",D491&lt;&gt;"Net Operating Revenue",D491&lt;&gt;"Net Other Revenue",D491&lt;&gt;"Net Revenue"),1,0)</f>
        <v>0</v>
      </c>
      <c r="H491" s="36" t="str">
        <f aca="false">IF(G491=1,IF(AND(LEN(D491)&gt;7,ISNUMBER(VALUE(LEFT(D491,6))),MID(D491,7,1)=" "),LEFT(D491,6),D491),"")</f>
        <v/>
      </c>
      <c r="M491" s="36" t="str">
        <f aca="false">TRIM(J491)</f>
        <v/>
      </c>
      <c r="N491" s="36" t="str">
        <f aca="false">IF(M491="Revenue","Revenue",IF(M491="Cost of Goods Sold","COGS",IF(M491="Expenditures","Expense",IF(M491="Other Revenue","Other Revenue",IF(M491="Other Expenditures","Other Expense",N490)))))</f>
        <v/>
      </c>
      <c r="O491" s="36" t="str">
        <f aca="false">IF(OR(M491="Revenue",M491="Cost of Goods Sold",M491="Expenditures",M491="Other Revenue",M491="Other Expenditures"),N491,IF(AND(LEN(M491)&gt;2,MID(M491,2,1)=" ",ISNUMBER(VALUE(LEFT(M491,1)))),M491,O490))</f>
        <v/>
      </c>
      <c r="P491" s="36" t="n">
        <f aca="false">IF(AND(M491&lt;&gt;"",ISNUMBER(K491),LEFT(M491,9)&lt;&gt;"Total for",M491&lt;&gt;"Gross Profit",M491&lt;&gt;"Net Operating Revenue",M491&lt;&gt;"Net Other Revenue",M491&lt;&gt;"Net Revenue"),1,0)</f>
        <v>0</v>
      </c>
      <c r="Q491" s="36" t="str">
        <f aca="false">IF(P491=1,IF(AND(LEN(M491)&gt;7,ISNUMBER(VALUE(LEFT(M491,6))),MID(M491,7,1)=" "),LEFT(M491,6),M491),"")</f>
        <v/>
      </c>
      <c r="V491" s="36" t="str">
        <f aca="false">TRIM(S491)</f>
        <v/>
      </c>
      <c r="W491" s="36" t="str">
        <f aca="false">IF(V491="Revenue","Revenue",IF(V491="Cost of Goods Sold","COGS",IF(V491="Expenditures","Expense",IF(V491="Other Revenue","Other Revenue",IF(V491="Other Expenditures","Other Expense",W490)))))</f>
        <v/>
      </c>
      <c r="X491" s="36" t="str">
        <f aca="false">IF(OR(V491="Revenue",V491="Cost of Goods Sold",V491="Expenditures",V491="Other Revenue",V491="Other Expenditures"),W491,IF(AND(LEN(V491)&gt;2,MID(V491,2,1)=" ",ISNUMBER(VALUE(LEFT(V491,1)))),V491,X490))</f>
        <v/>
      </c>
      <c r="Y491" s="36" t="n">
        <f aca="false">IF(AND(V491&lt;&gt;"",ISNUMBER(T491),LEFT(V491,9)&lt;&gt;"Total for",V491&lt;&gt;"Gross Profit",V491&lt;&gt;"Net Operating Revenue",V491&lt;&gt;"Net Other Revenue",V491&lt;&gt;"Net Revenue"),1,0)</f>
        <v>0</v>
      </c>
      <c r="Z491" s="36" t="str">
        <f aca="false">IF(Y491=1,IF(AND(LEN(V491)&gt;7,ISNUMBER(VALUE(LEFT(V491,6))),MID(V491,7,1)=" "),LEFT(V491,6),V491),"")</f>
        <v/>
      </c>
      <c r="AE491" s="36" t="str">
        <f aca="false">TRIM(AB491)</f>
        <v/>
      </c>
      <c r="AF491" s="36" t="str">
        <f aca="false">IF(AE491="Revenue","Revenue",IF(AE491="Cost of Goods Sold","COGS",IF(AE491="Expenditures","Expense",IF(AE491="Other Revenue","Other Revenue",IF(AE491="Other Expenditures","Other Expense",AF490)))))</f>
        <v/>
      </c>
      <c r="AG491" s="36" t="str">
        <f aca="false">IF(OR(AE491="Revenue",AE491="Cost of Goods Sold",AE491="Expenditures",AE491="Other Revenue",AE491="Other Expenditures"),AF491,IF(AND(LEN(AE491)&gt;2,MID(AE491,2,1)=" ",ISNUMBER(VALUE(LEFT(AE491,1)))),AE491,AG490))</f>
        <v/>
      </c>
      <c r="AH491" s="36" t="n">
        <f aca="false">IF(AND(AE491&lt;&gt;"",ISNUMBER(AC491),LEFT(AE491,9)&lt;&gt;"Total for",AE491&lt;&gt;"Gross Profit",AE491&lt;&gt;"Net Operating Revenue",AE491&lt;&gt;"Net Other Revenue",AE491&lt;&gt;"Net Revenue"),1,0)</f>
        <v>0</v>
      </c>
      <c r="AI491" s="36" t="str">
        <f aca="false">IF(AH491=1,IF(AND(LEN(AE491)&gt;7,ISNUMBER(VALUE(LEFT(AE491,6))),MID(AE491,7,1)=" "),LEFT(AE491,6),AE491),"")</f>
        <v/>
      </c>
      <c r="AN491" s="36" t="str">
        <f aca="false">TRIM(AK491)</f>
        <v/>
      </c>
      <c r="AO491" s="36" t="str">
        <f aca="false">IF(AN491="Revenue","Revenue",IF(AN491="Cost of Goods Sold","COGS",IF(AN491="Expenditures","Expense",IF(AN491="Other Revenue","Other Revenue",IF(AN491="Other Expenditures","Other Expense",AO490)))))</f>
        <v/>
      </c>
      <c r="AP491" s="36" t="str">
        <f aca="false">IF(OR(AN491="Revenue",AN491="Cost of Goods Sold",AN491="Expenditures",AN491="Other Revenue",AN491="Other Expenditures"),AO491,IF(AND(LEN(AN491)&gt;2,MID(AN491,2,1)=" ",ISNUMBER(VALUE(LEFT(AN491,1)))),AN491,AP490))</f>
        <v/>
      </c>
      <c r="AQ491" s="36" t="n">
        <f aca="false">IF(AND(AN491&lt;&gt;"",ISNUMBER(AL491),LEFT(AN491,9)&lt;&gt;"Total for",AN491&lt;&gt;"Gross Profit",AN491&lt;&gt;"Net Operating Revenue",AN491&lt;&gt;"Net Other Revenue",AN491&lt;&gt;"Net Revenue"),1,0)</f>
        <v>0</v>
      </c>
      <c r="AR491" s="36" t="str">
        <f aca="false">IF(AQ491=1,IF(AND(LEN(AN491)&gt;7,ISNUMBER(VALUE(LEFT(AN491,6))),MID(AN491,7,1)=" "),LEFT(AN491,6),AN491),"")</f>
        <v/>
      </c>
    </row>
    <row r="492" customFormat="false" ht="15" hidden="false" customHeight="false" outlineLevel="0" collapsed="false">
      <c r="D492" s="36" t="str">
        <f aca="false">TRIM(A492)</f>
        <v/>
      </c>
      <c r="E492" s="36" t="str">
        <f aca="false">IF(D492="Revenue","Revenue",IF(D492="Cost of Goods Sold","COGS",IF(D492="Expenditures","Expense",IF(D492="Other Revenue","Other Revenue",IF(D492="Other Expenditures","Other Expense",E491)))))</f>
        <v/>
      </c>
      <c r="F492" s="36" t="str">
        <f aca="false">IF(OR(D492="Revenue",D492="Cost of Goods Sold",D492="Expenditures",D492="Other Revenue",D492="Other Expenditures"),E492,IF(AND(LEN(D492)&gt;2,MID(D492,2,1)=" ",ISNUMBER(VALUE(LEFT(D492,1)))),D492,F491))</f>
        <v/>
      </c>
      <c r="G492" s="36" t="n">
        <f aca="false">IF(AND(D492&lt;&gt;"",ISNUMBER(B492),LEFT(D492,9)&lt;&gt;"Total for",D492&lt;&gt;"Gross Profit",D492&lt;&gt;"Net Operating Revenue",D492&lt;&gt;"Net Other Revenue",D492&lt;&gt;"Net Revenue"),1,0)</f>
        <v>0</v>
      </c>
      <c r="H492" s="36" t="str">
        <f aca="false">IF(G492=1,IF(AND(LEN(D492)&gt;7,ISNUMBER(VALUE(LEFT(D492,6))),MID(D492,7,1)=" "),LEFT(D492,6),D492),"")</f>
        <v/>
      </c>
      <c r="M492" s="36" t="str">
        <f aca="false">TRIM(J492)</f>
        <v/>
      </c>
      <c r="N492" s="36" t="str">
        <f aca="false">IF(M492="Revenue","Revenue",IF(M492="Cost of Goods Sold","COGS",IF(M492="Expenditures","Expense",IF(M492="Other Revenue","Other Revenue",IF(M492="Other Expenditures","Other Expense",N491)))))</f>
        <v/>
      </c>
      <c r="O492" s="36" t="str">
        <f aca="false">IF(OR(M492="Revenue",M492="Cost of Goods Sold",M492="Expenditures",M492="Other Revenue",M492="Other Expenditures"),N492,IF(AND(LEN(M492)&gt;2,MID(M492,2,1)=" ",ISNUMBER(VALUE(LEFT(M492,1)))),M492,O491))</f>
        <v/>
      </c>
      <c r="P492" s="36" t="n">
        <f aca="false">IF(AND(M492&lt;&gt;"",ISNUMBER(K492),LEFT(M492,9)&lt;&gt;"Total for",M492&lt;&gt;"Gross Profit",M492&lt;&gt;"Net Operating Revenue",M492&lt;&gt;"Net Other Revenue",M492&lt;&gt;"Net Revenue"),1,0)</f>
        <v>0</v>
      </c>
      <c r="Q492" s="36" t="str">
        <f aca="false">IF(P492=1,IF(AND(LEN(M492)&gt;7,ISNUMBER(VALUE(LEFT(M492,6))),MID(M492,7,1)=" "),LEFT(M492,6),M492),"")</f>
        <v/>
      </c>
      <c r="V492" s="36" t="str">
        <f aca="false">TRIM(S492)</f>
        <v/>
      </c>
      <c r="W492" s="36" t="str">
        <f aca="false">IF(V492="Revenue","Revenue",IF(V492="Cost of Goods Sold","COGS",IF(V492="Expenditures","Expense",IF(V492="Other Revenue","Other Revenue",IF(V492="Other Expenditures","Other Expense",W491)))))</f>
        <v/>
      </c>
      <c r="X492" s="36" t="str">
        <f aca="false">IF(OR(V492="Revenue",V492="Cost of Goods Sold",V492="Expenditures",V492="Other Revenue",V492="Other Expenditures"),W492,IF(AND(LEN(V492)&gt;2,MID(V492,2,1)=" ",ISNUMBER(VALUE(LEFT(V492,1)))),V492,X491))</f>
        <v/>
      </c>
      <c r="Y492" s="36" t="n">
        <f aca="false">IF(AND(V492&lt;&gt;"",ISNUMBER(T492),LEFT(V492,9)&lt;&gt;"Total for",V492&lt;&gt;"Gross Profit",V492&lt;&gt;"Net Operating Revenue",V492&lt;&gt;"Net Other Revenue",V492&lt;&gt;"Net Revenue"),1,0)</f>
        <v>0</v>
      </c>
      <c r="Z492" s="36" t="str">
        <f aca="false">IF(Y492=1,IF(AND(LEN(V492)&gt;7,ISNUMBER(VALUE(LEFT(V492,6))),MID(V492,7,1)=" "),LEFT(V492,6),V492),"")</f>
        <v/>
      </c>
      <c r="AE492" s="36" t="str">
        <f aca="false">TRIM(AB492)</f>
        <v/>
      </c>
      <c r="AF492" s="36" t="str">
        <f aca="false">IF(AE492="Revenue","Revenue",IF(AE492="Cost of Goods Sold","COGS",IF(AE492="Expenditures","Expense",IF(AE492="Other Revenue","Other Revenue",IF(AE492="Other Expenditures","Other Expense",AF491)))))</f>
        <v/>
      </c>
      <c r="AG492" s="36" t="str">
        <f aca="false">IF(OR(AE492="Revenue",AE492="Cost of Goods Sold",AE492="Expenditures",AE492="Other Revenue",AE492="Other Expenditures"),AF492,IF(AND(LEN(AE492)&gt;2,MID(AE492,2,1)=" ",ISNUMBER(VALUE(LEFT(AE492,1)))),AE492,AG491))</f>
        <v/>
      </c>
      <c r="AH492" s="36" t="n">
        <f aca="false">IF(AND(AE492&lt;&gt;"",ISNUMBER(AC492),LEFT(AE492,9)&lt;&gt;"Total for",AE492&lt;&gt;"Gross Profit",AE492&lt;&gt;"Net Operating Revenue",AE492&lt;&gt;"Net Other Revenue",AE492&lt;&gt;"Net Revenue"),1,0)</f>
        <v>0</v>
      </c>
      <c r="AI492" s="36" t="str">
        <f aca="false">IF(AH492=1,IF(AND(LEN(AE492)&gt;7,ISNUMBER(VALUE(LEFT(AE492,6))),MID(AE492,7,1)=" "),LEFT(AE492,6),AE492),"")</f>
        <v/>
      </c>
      <c r="AN492" s="36" t="str">
        <f aca="false">TRIM(AK492)</f>
        <v/>
      </c>
      <c r="AO492" s="36" t="str">
        <f aca="false">IF(AN492="Revenue","Revenue",IF(AN492="Cost of Goods Sold","COGS",IF(AN492="Expenditures","Expense",IF(AN492="Other Revenue","Other Revenue",IF(AN492="Other Expenditures","Other Expense",AO491)))))</f>
        <v/>
      </c>
      <c r="AP492" s="36" t="str">
        <f aca="false">IF(OR(AN492="Revenue",AN492="Cost of Goods Sold",AN492="Expenditures",AN492="Other Revenue",AN492="Other Expenditures"),AO492,IF(AND(LEN(AN492)&gt;2,MID(AN492,2,1)=" ",ISNUMBER(VALUE(LEFT(AN492,1)))),AN492,AP491))</f>
        <v/>
      </c>
      <c r="AQ492" s="36" t="n">
        <f aca="false">IF(AND(AN492&lt;&gt;"",ISNUMBER(AL492),LEFT(AN492,9)&lt;&gt;"Total for",AN492&lt;&gt;"Gross Profit",AN492&lt;&gt;"Net Operating Revenue",AN492&lt;&gt;"Net Other Revenue",AN492&lt;&gt;"Net Revenue"),1,0)</f>
        <v>0</v>
      </c>
      <c r="AR492" s="36" t="str">
        <f aca="false">IF(AQ492=1,IF(AND(LEN(AN492)&gt;7,ISNUMBER(VALUE(LEFT(AN492,6))),MID(AN492,7,1)=" "),LEFT(AN492,6),AN492),"")</f>
        <v/>
      </c>
    </row>
    <row r="493" customFormat="false" ht="15" hidden="false" customHeight="false" outlineLevel="0" collapsed="false">
      <c r="D493" s="36" t="str">
        <f aca="false">TRIM(A493)</f>
        <v/>
      </c>
      <c r="E493" s="36" t="str">
        <f aca="false">IF(D493="Revenue","Revenue",IF(D493="Cost of Goods Sold","COGS",IF(D493="Expenditures","Expense",IF(D493="Other Revenue","Other Revenue",IF(D493="Other Expenditures","Other Expense",E492)))))</f>
        <v/>
      </c>
      <c r="F493" s="36" t="str">
        <f aca="false">IF(OR(D493="Revenue",D493="Cost of Goods Sold",D493="Expenditures",D493="Other Revenue",D493="Other Expenditures"),E493,IF(AND(LEN(D493)&gt;2,MID(D493,2,1)=" ",ISNUMBER(VALUE(LEFT(D493,1)))),D493,F492))</f>
        <v/>
      </c>
      <c r="G493" s="36" t="n">
        <f aca="false">IF(AND(D493&lt;&gt;"",ISNUMBER(B493),LEFT(D493,9)&lt;&gt;"Total for",D493&lt;&gt;"Gross Profit",D493&lt;&gt;"Net Operating Revenue",D493&lt;&gt;"Net Other Revenue",D493&lt;&gt;"Net Revenue"),1,0)</f>
        <v>0</v>
      </c>
      <c r="H493" s="36" t="str">
        <f aca="false">IF(G493=1,IF(AND(LEN(D493)&gt;7,ISNUMBER(VALUE(LEFT(D493,6))),MID(D493,7,1)=" "),LEFT(D493,6),D493),"")</f>
        <v/>
      </c>
      <c r="M493" s="36" t="str">
        <f aca="false">TRIM(J493)</f>
        <v/>
      </c>
      <c r="N493" s="36" t="str">
        <f aca="false">IF(M493="Revenue","Revenue",IF(M493="Cost of Goods Sold","COGS",IF(M493="Expenditures","Expense",IF(M493="Other Revenue","Other Revenue",IF(M493="Other Expenditures","Other Expense",N492)))))</f>
        <v/>
      </c>
      <c r="O493" s="36" t="str">
        <f aca="false">IF(OR(M493="Revenue",M493="Cost of Goods Sold",M493="Expenditures",M493="Other Revenue",M493="Other Expenditures"),N493,IF(AND(LEN(M493)&gt;2,MID(M493,2,1)=" ",ISNUMBER(VALUE(LEFT(M493,1)))),M493,O492))</f>
        <v/>
      </c>
      <c r="P493" s="36" t="n">
        <f aca="false">IF(AND(M493&lt;&gt;"",ISNUMBER(K493),LEFT(M493,9)&lt;&gt;"Total for",M493&lt;&gt;"Gross Profit",M493&lt;&gt;"Net Operating Revenue",M493&lt;&gt;"Net Other Revenue",M493&lt;&gt;"Net Revenue"),1,0)</f>
        <v>0</v>
      </c>
      <c r="Q493" s="36" t="str">
        <f aca="false">IF(P493=1,IF(AND(LEN(M493)&gt;7,ISNUMBER(VALUE(LEFT(M493,6))),MID(M493,7,1)=" "),LEFT(M493,6),M493),"")</f>
        <v/>
      </c>
      <c r="V493" s="36" t="str">
        <f aca="false">TRIM(S493)</f>
        <v/>
      </c>
      <c r="W493" s="36" t="str">
        <f aca="false">IF(V493="Revenue","Revenue",IF(V493="Cost of Goods Sold","COGS",IF(V493="Expenditures","Expense",IF(V493="Other Revenue","Other Revenue",IF(V493="Other Expenditures","Other Expense",W492)))))</f>
        <v/>
      </c>
      <c r="X493" s="36" t="str">
        <f aca="false">IF(OR(V493="Revenue",V493="Cost of Goods Sold",V493="Expenditures",V493="Other Revenue",V493="Other Expenditures"),W493,IF(AND(LEN(V493)&gt;2,MID(V493,2,1)=" ",ISNUMBER(VALUE(LEFT(V493,1)))),V493,X492))</f>
        <v/>
      </c>
      <c r="Y493" s="36" t="n">
        <f aca="false">IF(AND(V493&lt;&gt;"",ISNUMBER(T493),LEFT(V493,9)&lt;&gt;"Total for",V493&lt;&gt;"Gross Profit",V493&lt;&gt;"Net Operating Revenue",V493&lt;&gt;"Net Other Revenue",V493&lt;&gt;"Net Revenue"),1,0)</f>
        <v>0</v>
      </c>
      <c r="Z493" s="36" t="str">
        <f aca="false">IF(Y493=1,IF(AND(LEN(V493)&gt;7,ISNUMBER(VALUE(LEFT(V493,6))),MID(V493,7,1)=" "),LEFT(V493,6),V493),"")</f>
        <v/>
      </c>
      <c r="AE493" s="36" t="str">
        <f aca="false">TRIM(AB493)</f>
        <v/>
      </c>
      <c r="AF493" s="36" t="str">
        <f aca="false">IF(AE493="Revenue","Revenue",IF(AE493="Cost of Goods Sold","COGS",IF(AE493="Expenditures","Expense",IF(AE493="Other Revenue","Other Revenue",IF(AE493="Other Expenditures","Other Expense",AF492)))))</f>
        <v/>
      </c>
      <c r="AG493" s="36" t="str">
        <f aca="false">IF(OR(AE493="Revenue",AE493="Cost of Goods Sold",AE493="Expenditures",AE493="Other Revenue",AE493="Other Expenditures"),AF493,IF(AND(LEN(AE493)&gt;2,MID(AE493,2,1)=" ",ISNUMBER(VALUE(LEFT(AE493,1)))),AE493,AG492))</f>
        <v/>
      </c>
      <c r="AH493" s="36" t="n">
        <f aca="false">IF(AND(AE493&lt;&gt;"",ISNUMBER(AC493),LEFT(AE493,9)&lt;&gt;"Total for",AE493&lt;&gt;"Gross Profit",AE493&lt;&gt;"Net Operating Revenue",AE493&lt;&gt;"Net Other Revenue",AE493&lt;&gt;"Net Revenue"),1,0)</f>
        <v>0</v>
      </c>
      <c r="AI493" s="36" t="str">
        <f aca="false">IF(AH493=1,IF(AND(LEN(AE493)&gt;7,ISNUMBER(VALUE(LEFT(AE493,6))),MID(AE493,7,1)=" "),LEFT(AE493,6),AE493),"")</f>
        <v/>
      </c>
      <c r="AN493" s="36" t="str">
        <f aca="false">TRIM(AK493)</f>
        <v/>
      </c>
      <c r="AO493" s="36" t="str">
        <f aca="false">IF(AN493="Revenue","Revenue",IF(AN493="Cost of Goods Sold","COGS",IF(AN493="Expenditures","Expense",IF(AN493="Other Revenue","Other Revenue",IF(AN493="Other Expenditures","Other Expense",AO492)))))</f>
        <v/>
      </c>
      <c r="AP493" s="36" t="str">
        <f aca="false">IF(OR(AN493="Revenue",AN493="Cost of Goods Sold",AN493="Expenditures",AN493="Other Revenue",AN493="Other Expenditures"),AO493,IF(AND(LEN(AN493)&gt;2,MID(AN493,2,1)=" ",ISNUMBER(VALUE(LEFT(AN493,1)))),AN493,AP492))</f>
        <v/>
      </c>
      <c r="AQ493" s="36" t="n">
        <f aca="false">IF(AND(AN493&lt;&gt;"",ISNUMBER(AL493),LEFT(AN493,9)&lt;&gt;"Total for",AN493&lt;&gt;"Gross Profit",AN493&lt;&gt;"Net Operating Revenue",AN493&lt;&gt;"Net Other Revenue",AN493&lt;&gt;"Net Revenue"),1,0)</f>
        <v>0</v>
      </c>
      <c r="AR493" s="36" t="str">
        <f aca="false">IF(AQ493=1,IF(AND(LEN(AN493)&gt;7,ISNUMBER(VALUE(LEFT(AN493,6))),MID(AN493,7,1)=" "),LEFT(AN493,6),AN493),"")</f>
        <v/>
      </c>
    </row>
    <row r="494" customFormat="false" ht="15" hidden="false" customHeight="false" outlineLevel="0" collapsed="false">
      <c r="D494" s="36" t="str">
        <f aca="false">TRIM(A494)</f>
        <v/>
      </c>
      <c r="E494" s="36" t="str">
        <f aca="false">IF(D494="Revenue","Revenue",IF(D494="Cost of Goods Sold","COGS",IF(D494="Expenditures","Expense",IF(D494="Other Revenue","Other Revenue",IF(D494="Other Expenditures","Other Expense",E493)))))</f>
        <v/>
      </c>
      <c r="F494" s="36" t="str">
        <f aca="false">IF(OR(D494="Revenue",D494="Cost of Goods Sold",D494="Expenditures",D494="Other Revenue",D494="Other Expenditures"),E494,IF(AND(LEN(D494)&gt;2,MID(D494,2,1)=" ",ISNUMBER(VALUE(LEFT(D494,1)))),D494,F493))</f>
        <v/>
      </c>
      <c r="G494" s="36" t="n">
        <f aca="false">IF(AND(D494&lt;&gt;"",ISNUMBER(B494),LEFT(D494,9)&lt;&gt;"Total for",D494&lt;&gt;"Gross Profit",D494&lt;&gt;"Net Operating Revenue",D494&lt;&gt;"Net Other Revenue",D494&lt;&gt;"Net Revenue"),1,0)</f>
        <v>0</v>
      </c>
      <c r="H494" s="36" t="str">
        <f aca="false">IF(G494=1,IF(AND(LEN(D494)&gt;7,ISNUMBER(VALUE(LEFT(D494,6))),MID(D494,7,1)=" "),LEFT(D494,6),D494),"")</f>
        <v/>
      </c>
      <c r="M494" s="36" t="str">
        <f aca="false">TRIM(J494)</f>
        <v/>
      </c>
      <c r="N494" s="36" t="str">
        <f aca="false">IF(M494="Revenue","Revenue",IF(M494="Cost of Goods Sold","COGS",IF(M494="Expenditures","Expense",IF(M494="Other Revenue","Other Revenue",IF(M494="Other Expenditures","Other Expense",N493)))))</f>
        <v/>
      </c>
      <c r="O494" s="36" t="str">
        <f aca="false">IF(OR(M494="Revenue",M494="Cost of Goods Sold",M494="Expenditures",M494="Other Revenue",M494="Other Expenditures"),N494,IF(AND(LEN(M494)&gt;2,MID(M494,2,1)=" ",ISNUMBER(VALUE(LEFT(M494,1)))),M494,O493))</f>
        <v/>
      </c>
      <c r="P494" s="36" t="n">
        <f aca="false">IF(AND(M494&lt;&gt;"",ISNUMBER(K494),LEFT(M494,9)&lt;&gt;"Total for",M494&lt;&gt;"Gross Profit",M494&lt;&gt;"Net Operating Revenue",M494&lt;&gt;"Net Other Revenue",M494&lt;&gt;"Net Revenue"),1,0)</f>
        <v>0</v>
      </c>
      <c r="Q494" s="36" t="str">
        <f aca="false">IF(P494=1,IF(AND(LEN(M494)&gt;7,ISNUMBER(VALUE(LEFT(M494,6))),MID(M494,7,1)=" "),LEFT(M494,6),M494),"")</f>
        <v/>
      </c>
      <c r="V494" s="36" t="str">
        <f aca="false">TRIM(S494)</f>
        <v/>
      </c>
      <c r="W494" s="36" t="str">
        <f aca="false">IF(V494="Revenue","Revenue",IF(V494="Cost of Goods Sold","COGS",IF(V494="Expenditures","Expense",IF(V494="Other Revenue","Other Revenue",IF(V494="Other Expenditures","Other Expense",W493)))))</f>
        <v/>
      </c>
      <c r="X494" s="36" t="str">
        <f aca="false">IF(OR(V494="Revenue",V494="Cost of Goods Sold",V494="Expenditures",V494="Other Revenue",V494="Other Expenditures"),W494,IF(AND(LEN(V494)&gt;2,MID(V494,2,1)=" ",ISNUMBER(VALUE(LEFT(V494,1)))),V494,X493))</f>
        <v/>
      </c>
      <c r="Y494" s="36" t="n">
        <f aca="false">IF(AND(V494&lt;&gt;"",ISNUMBER(T494),LEFT(V494,9)&lt;&gt;"Total for",V494&lt;&gt;"Gross Profit",V494&lt;&gt;"Net Operating Revenue",V494&lt;&gt;"Net Other Revenue",V494&lt;&gt;"Net Revenue"),1,0)</f>
        <v>0</v>
      </c>
      <c r="Z494" s="36" t="str">
        <f aca="false">IF(Y494=1,IF(AND(LEN(V494)&gt;7,ISNUMBER(VALUE(LEFT(V494,6))),MID(V494,7,1)=" "),LEFT(V494,6),V494),"")</f>
        <v/>
      </c>
      <c r="AE494" s="36" t="str">
        <f aca="false">TRIM(AB494)</f>
        <v/>
      </c>
      <c r="AF494" s="36" t="str">
        <f aca="false">IF(AE494="Revenue","Revenue",IF(AE494="Cost of Goods Sold","COGS",IF(AE494="Expenditures","Expense",IF(AE494="Other Revenue","Other Revenue",IF(AE494="Other Expenditures","Other Expense",AF493)))))</f>
        <v/>
      </c>
      <c r="AG494" s="36" t="str">
        <f aca="false">IF(OR(AE494="Revenue",AE494="Cost of Goods Sold",AE494="Expenditures",AE494="Other Revenue",AE494="Other Expenditures"),AF494,IF(AND(LEN(AE494)&gt;2,MID(AE494,2,1)=" ",ISNUMBER(VALUE(LEFT(AE494,1)))),AE494,AG493))</f>
        <v/>
      </c>
      <c r="AH494" s="36" t="n">
        <f aca="false">IF(AND(AE494&lt;&gt;"",ISNUMBER(AC494),LEFT(AE494,9)&lt;&gt;"Total for",AE494&lt;&gt;"Gross Profit",AE494&lt;&gt;"Net Operating Revenue",AE494&lt;&gt;"Net Other Revenue",AE494&lt;&gt;"Net Revenue"),1,0)</f>
        <v>0</v>
      </c>
      <c r="AI494" s="36" t="str">
        <f aca="false">IF(AH494=1,IF(AND(LEN(AE494)&gt;7,ISNUMBER(VALUE(LEFT(AE494,6))),MID(AE494,7,1)=" "),LEFT(AE494,6),AE494),"")</f>
        <v/>
      </c>
      <c r="AN494" s="36" t="str">
        <f aca="false">TRIM(AK494)</f>
        <v/>
      </c>
      <c r="AO494" s="36" t="str">
        <f aca="false">IF(AN494="Revenue","Revenue",IF(AN494="Cost of Goods Sold","COGS",IF(AN494="Expenditures","Expense",IF(AN494="Other Revenue","Other Revenue",IF(AN494="Other Expenditures","Other Expense",AO493)))))</f>
        <v/>
      </c>
      <c r="AP494" s="36" t="str">
        <f aca="false">IF(OR(AN494="Revenue",AN494="Cost of Goods Sold",AN494="Expenditures",AN494="Other Revenue",AN494="Other Expenditures"),AO494,IF(AND(LEN(AN494)&gt;2,MID(AN494,2,1)=" ",ISNUMBER(VALUE(LEFT(AN494,1)))),AN494,AP493))</f>
        <v/>
      </c>
      <c r="AQ494" s="36" t="n">
        <f aca="false">IF(AND(AN494&lt;&gt;"",ISNUMBER(AL494),LEFT(AN494,9)&lt;&gt;"Total for",AN494&lt;&gt;"Gross Profit",AN494&lt;&gt;"Net Operating Revenue",AN494&lt;&gt;"Net Other Revenue",AN494&lt;&gt;"Net Revenue"),1,0)</f>
        <v>0</v>
      </c>
      <c r="AR494" s="36" t="str">
        <f aca="false">IF(AQ494=1,IF(AND(LEN(AN494)&gt;7,ISNUMBER(VALUE(LEFT(AN494,6))),MID(AN494,7,1)=" "),LEFT(AN494,6),AN494),"")</f>
        <v/>
      </c>
    </row>
    <row r="495" customFormat="false" ht="15" hidden="false" customHeight="false" outlineLevel="0" collapsed="false">
      <c r="D495" s="36" t="str">
        <f aca="false">TRIM(A495)</f>
        <v/>
      </c>
      <c r="E495" s="36" t="str">
        <f aca="false">IF(D495="Revenue","Revenue",IF(D495="Cost of Goods Sold","COGS",IF(D495="Expenditures","Expense",IF(D495="Other Revenue","Other Revenue",IF(D495="Other Expenditures","Other Expense",E494)))))</f>
        <v/>
      </c>
      <c r="F495" s="36" t="str">
        <f aca="false">IF(OR(D495="Revenue",D495="Cost of Goods Sold",D495="Expenditures",D495="Other Revenue",D495="Other Expenditures"),E495,IF(AND(LEN(D495)&gt;2,MID(D495,2,1)=" ",ISNUMBER(VALUE(LEFT(D495,1)))),D495,F494))</f>
        <v/>
      </c>
      <c r="G495" s="36" t="n">
        <f aca="false">IF(AND(D495&lt;&gt;"",ISNUMBER(B495),LEFT(D495,9)&lt;&gt;"Total for",D495&lt;&gt;"Gross Profit",D495&lt;&gt;"Net Operating Revenue",D495&lt;&gt;"Net Other Revenue",D495&lt;&gt;"Net Revenue"),1,0)</f>
        <v>0</v>
      </c>
      <c r="H495" s="36" t="str">
        <f aca="false">IF(G495=1,IF(AND(LEN(D495)&gt;7,ISNUMBER(VALUE(LEFT(D495,6))),MID(D495,7,1)=" "),LEFT(D495,6),D495),"")</f>
        <v/>
      </c>
      <c r="M495" s="36" t="str">
        <f aca="false">TRIM(J495)</f>
        <v/>
      </c>
      <c r="N495" s="36" t="str">
        <f aca="false">IF(M495="Revenue","Revenue",IF(M495="Cost of Goods Sold","COGS",IF(M495="Expenditures","Expense",IF(M495="Other Revenue","Other Revenue",IF(M495="Other Expenditures","Other Expense",N494)))))</f>
        <v/>
      </c>
      <c r="O495" s="36" t="str">
        <f aca="false">IF(OR(M495="Revenue",M495="Cost of Goods Sold",M495="Expenditures",M495="Other Revenue",M495="Other Expenditures"),N495,IF(AND(LEN(M495)&gt;2,MID(M495,2,1)=" ",ISNUMBER(VALUE(LEFT(M495,1)))),M495,O494))</f>
        <v/>
      </c>
      <c r="P495" s="36" t="n">
        <f aca="false">IF(AND(M495&lt;&gt;"",ISNUMBER(K495),LEFT(M495,9)&lt;&gt;"Total for",M495&lt;&gt;"Gross Profit",M495&lt;&gt;"Net Operating Revenue",M495&lt;&gt;"Net Other Revenue",M495&lt;&gt;"Net Revenue"),1,0)</f>
        <v>0</v>
      </c>
      <c r="Q495" s="36" t="str">
        <f aca="false">IF(P495=1,IF(AND(LEN(M495)&gt;7,ISNUMBER(VALUE(LEFT(M495,6))),MID(M495,7,1)=" "),LEFT(M495,6),M495),"")</f>
        <v/>
      </c>
      <c r="V495" s="36" t="str">
        <f aca="false">TRIM(S495)</f>
        <v/>
      </c>
      <c r="W495" s="36" t="str">
        <f aca="false">IF(V495="Revenue","Revenue",IF(V495="Cost of Goods Sold","COGS",IF(V495="Expenditures","Expense",IF(V495="Other Revenue","Other Revenue",IF(V495="Other Expenditures","Other Expense",W494)))))</f>
        <v/>
      </c>
      <c r="X495" s="36" t="str">
        <f aca="false">IF(OR(V495="Revenue",V495="Cost of Goods Sold",V495="Expenditures",V495="Other Revenue",V495="Other Expenditures"),W495,IF(AND(LEN(V495)&gt;2,MID(V495,2,1)=" ",ISNUMBER(VALUE(LEFT(V495,1)))),V495,X494))</f>
        <v/>
      </c>
      <c r="Y495" s="36" t="n">
        <f aca="false">IF(AND(V495&lt;&gt;"",ISNUMBER(T495),LEFT(V495,9)&lt;&gt;"Total for",V495&lt;&gt;"Gross Profit",V495&lt;&gt;"Net Operating Revenue",V495&lt;&gt;"Net Other Revenue",V495&lt;&gt;"Net Revenue"),1,0)</f>
        <v>0</v>
      </c>
      <c r="Z495" s="36" t="str">
        <f aca="false">IF(Y495=1,IF(AND(LEN(V495)&gt;7,ISNUMBER(VALUE(LEFT(V495,6))),MID(V495,7,1)=" "),LEFT(V495,6),V495),"")</f>
        <v/>
      </c>
      <c r="AE495" s="36" t="str">
        <f aca="false">TRIM(AB495)</f>
        <v/>
      </c>
      <c r="AF495" s="36" t="str">
        <f aca="false">IF(AE495="Revenue","Revenue",IF(AE495="Cost of Goods Sold","COGS",IF(AE495="Expenditures","Expense",IF(AE495="Other Revenue","Other Revenue",IF(AE495="Other Expenditures","Other Expense",AF494)))))</f>
        <v/>
      </c>
      <c r="AG495" s="36" t="str">
        <f aca="false">IF(OR(AE495="Revenue",AE495="Cost of Goods Sold",AE495="Expenditures",AE495="Other Revenue",AE495="Other Expenditures"),AF495,IF(AND(LEN(AE495)&gt;2,MID(AE495,2,1)=" ",ISNUMBER(VALUE(LEFT(AE495,1)))),AE495,AG494))</f>
        <v/>
      </c>
      <c r="AH495" s="36" t="n">
        <f aca="false">IF(AND(AE495&lt;&gt;"",ISNUMBER(AC495),LEFT(AE495,9)&lt;&gt;"Total for",AE495&lt;&gt;"Gross Profit",AE495&lt;&gt;"Net Operating Revenue",AE495&lt;&gt;"Net Other Revenue",AE495&lt;&gt;"Net Revenue"),1,0)</f>
        <v>0</v>
      </c>
      <c r="AI495" s="36" t="str">
        <f aca="false">IF(AH495=1,IF(AND(LEN(AE495)&gt;7,ISNUMBER(VALUE(LEFT(AE495,6))),MID(AE495,7,1)=" "),LEFT(AE495,6),AE495),"")</f>
        <v/>
      </c>
      <c r="AN495" s="36" t="str">
        <f aca="false">TRIM(AK495)</f>
        <v/>
      </c>
      <c r="AO495" s="36" t="str">
        <f aca="false">IF(AN495="Revenue","Revenue",IF(AN495="Cost of Goods Sold","COGS",IF(AN495="Expenditures","Expense",IF(AN495="Other Revenue","Other Revenue",IF(AN495="Other Expenditures","Other Expense",AO494)))))</f>
        <v/>
      </c>
      <c r="AP495" s="36" t="str">
        <f aca="false">IF(OR(AN495="Revenue",AN495="Cost of Goods Sold",AN495="Expenditures",AN495="Other Revenue",AN495="Other Expenditures"),AO495,IF(AND(LEN(AN495)&gt;2,MID(AN495,2,1)=" ",ISNUMBER(VALUE(LEFT(AN495,1)))),AN495,AP494))</f>
        <v/>
      </c>
      <c r="AQ495" s="36" t="n">
        <f aca="false">IF(AND(AN495&lt;&gt;"",ISNUMBER(AL495),LEFT(AN495,9)&lt;&gt;"Total for",AN495&lt;&gt;"Gross Profit",AN495&lt;&gt;"Net Operating Revenue",AN495&lt;&gt;"Net Other Revenue",AN495&lt;&gt;"Net Revenue"),1,0)</f>
        <v>0</v>
      </c>
      <c r="AR495" s="36" t="str">
        <f aca="false">IF(AQ495=1,IF(AND(LEN(AN495)&gt;7,ISNUMBER(VALUE(LEFT(AN495,6))),MID(AN495,7,1)=" "),LEFT(AN495,6),AN495),"")</f>
        <v/>
      </c>
    </row>
    <row r="496" customFormat="false" ht="15" hidden="false" customHeight="false" outlineLevel="0" collapsed="false">
      <c r="D496" s="36" t="str">
        <f aca="false">TRIM(A496)</f>
        <v/>
      </c>
      <c r="E496" s="36" t="str">
        <f aca="false">IF(D496="Revenue","Revenue",IF(D496="Cost of Goods Sold","COGS",IF(D496="Expenditures","Expense",IF(D496="Other Revenue","Other Revenue",IF(D496="Other Expenditures","Other Expense",E495)))))</f>
        <v/>
      </c>
      <c r="F496" s="36" t="str">
        <f aca="false">IF(OR(D496="Revenue",D496="Cost of Goods Sold",D496="Expenditures",D496="Other Revenue",D496="Other Expenditures"),E496,IF(AND(LEN(D496)&gt;2,MID(D496,2,1)=" ",ISNUMBER(VALUE(LEFT(D496,1)))),D496,F495))</f>
        <v/>
      </c>
      <c r="G496" s="36" t="n">
        <f aca="false">IF(AND(D496&lt;&gt;"",ISNUMBER(B496),LEFT(D496,9)&lt;&gt;"Total for",D496&lt;&gt;"Gross Profit",D496&lt;&gt;"Net Operating Revenue",D496&lt;&gt;"Net Other Revenue",D496&lt;&gt;"Net Revenue"),1,0)</f>
        <v>0</v>
      </c>
      <c r="H496" s="36" t="str">
        <f aca="false">IF(G496=1,IF(AND(LEN(D496)&gt;7,ISNUMBER(VALUE(LEFT(D496,6))),MID(D496,7,1)=" "),LEFT(D496,6),D496),"")</f>
        <v/>
      </c>
      <c r="M496" s="36" t="str">
        <f aca="false">TRIM(J496)</f>
        <v/>
      </c>
      <c r="N496" s="36" t="str">
        <f aca="false">IF(M496="Revenue","Revenue",IF(M496="Cost of Goods Sold","COGS",IF(M496="Expenditures","Expense",IF(M496="Other Revenue","Other Revenue",IF(M496="Other Expenditures","Other Expense",N495)))))</f>
        <v/>
      </c>
      <c r="O496" s="36" t="str">
        <f aca="false">IF(OR(M496="Revenue",M496="Cost of Goods Sold",M496="Expenditures",M496="Other Revenue",M496="Other Expenditures"),N496,IF(AND(LEN(M496)&gt;2,MID(M496,2,1)=" ",ISNUMBER(VALUE(LEFT(M496,1)))),M496,O495))</f>
        <v/>
      </c>
      <c r="P496" s="36" t="n">
        <f aca="false">IF(AND(M496&lt;&gt;"",ISNUMBER(K496),LEFT(M496,9)&lt;&gt;"Total for",M496&lt;&gt;"Gross Profit",M496&lt;&gt;"Net Operating Revenue",M496&lt;&gt;"Net Other Revenue",M496&lt;&gt;"Net Revenue"),1,0)</f>
        <v>0</v>
      </c>
      <c r="Q496" s="36" t="str">
        <f aca="false">IF(P496=1,IF(AND(LEN(M496)&gt;7,ISNUMBER(VALUE(LEFT(M496,6))),MID(M496,7,1)=" "),LEFT(M496,6),M496),"")</f>
        <v/>
      </c>
      <c r="V496" s="36" t="str">
        <f aca="false">TRIM(S496)</f>
        <v/>
      </c>
      <c r="W496" s="36" t="str">
        <f aca="false">IF(V496="Revenue","Revenue",IF(V496="Cost of Goods Sold","COGS",IF(V496="Expenditures","Expense",IF(V496="Other Revenue","Other Revenue",IF(V496="Other Expenditures","Other Expense",W495)))))</f>
        <v/>
      </c>
      <c r="X496" s="36" t="str">
        <f aca="false">IF(OR(V496="Revenue",V496="Cost of Goods Sold",V496="Expenditures",V496="Other Revenue",V496="Other Expenditures"),W496,IF(AND(LEN(V496)&gt;2,MID(V496,2,1)=" ",ISNUMBER(VALUE(LEFT(V496,1)))),V496,X495))</f>
        <v/>
      </c>
      <c r="Y496" s="36" t="n">
        <f aca="false">IF(AND(V496&lt;&gt;"",ISNUMBER(T496),LEFT(V496,9)&lt;&gt;"Total for",V496&lt;&gt;"Gross Profit",V496&lt;&gt;"Net Operating Revenue",V496&lt;&gt;"Net Other Revenue",V496&lt;&gt;"Net Revenue"),1,0)</f>
        <v>0</v>
      </c>
      <c r="Z496" s="36" t="str">
        <f aca="false">IF(Y496=1,IF(AND(LEN(V496)&gt;7,ISNUMBER(VALUE(LEFT(V496,6))),MID(V496,7,1)=" "),LEFT(V496,6),V496),"")</f>
        <v/>
      </c>
      <c r="AE496" s="36" t="str">
        <f aca="false">TRIM(AB496)</f>
        <v/>
      </c>
      <c r="AF496" s="36" t="str">
        <f aca="false">IF(AE496="Revenue","Revenue",IF(AE496="Cost of Goods Sold","COGS",IF(AE496="Expenditures","Expense",IF(AE496="Other Revenue","Other Revenue",IF(AE496="Other Expenditures","Other Expense",AF495)))))</f>
        <v/>
      </c>
      <c r="AG496" s="36" t="str">
        <f aca="false">IF(OR(AE496="Revenue",AE496="Cost of Goods Sold",AE496="Expenditures",AE496="Other Revenue",AE496="Other Expenditures"),AF496,IF(AND(LEN(AE496)&gt;2,MID(AE496,2,1)=" ",ISNUMBER(VALUE(LEFT(AE496,1)))),AE496,AG495))</f>
        <v/>
      </c>
      <c r="AH496" s="36" t="n">
        <f aca="false">IF(AND(AE496&lt;&gt;"",ISNUMBER(AC496),LEFT(AE496,9)&lt;&gt;"Total for",AE496&lt;&gt;"Gross Profit",AE496&lt;&gt;"Net Operating Revenue",AE496&lt;&gt;"Net Other Revenue",AE496&lt;&gt;"Net Revenue"),1,0)</f>
        <v>0</v>
      </c>
      <c r="AI496" s="36" t="str">
        <f aca="false">IF(AH496=1,IF(AND(LEN(AE496)&gt;7,ISNUMBER(VALUE(LEFT(AE496,6))),MID(AE496,7,1)=" "),LEFT(AE496,6),AE496),"")</f>
        <v/>
      </c>
      <c r="AN496" s="36" t="str">
        <f aca="false">TRIM(AK496)</f>
        <v/>
      </c>
      <c r="AO496" s="36" t="str">
        <f aca="false">IF(AN496="Revenue","Revenue",IF(AN496="Cost of Goods Sold","COGS",IF(AN496="Expenditures","Expense",IF(AN496="Other Revenue","Other Revenue",IF(AN496="Other Expenditures","Other Expense",AO495)))))</f>
        <v/>
      </c>
      <c r="AP496" s="36" t="str">
        <f aca="false">IF(OR(AN496="Revenue",AN496="Cost of Goods Sold",AN496="Expenditures",AN496="Other Revenue",AN496="Other Expenditures"),AO496,IF(AND(LEN(AN496)&gt;2,MID(AN496,2,1)=" ",ISNUMBER(VALUE(LEFT(AN496,1)))),AN496,AP495))</f>
        <v/>
      </c>
      <c r="AQ496" s="36" t="n">
        <f aca="false">IF(AND(AN496&lt;&gt;"",ISNUMBER(AL496),LEFT(AN496,9)&lt;&gt;"Total for",AN496&lt;&gt;"Gross Profit",AN496&lt;&gt;"Net Operating Revenue",AN496&lt;&gt;"Net Other Revenue",AN496&lt;&gt;"Net Revenue"),1,0)</f>
        <v>0</v>
      </c>
      <c r="AR496" s="36" t="str">
        <f aca="false">IF(AQ496=1,IF(AND(LEN(AN496)&gt;7,ISNUMBER(VALUE(LEFT(AN496,6))),MID(AN496,7,1)=" "),LEFT(AN496,6),AN496),"")</f>
        <v/>
      </c>
    </row>
    <row r="497" customFormat="false" ht="15" hidden="false" customHeight="false" outlineLevel="0" collapsed="false">
      <c r="D497" s="36" t="str">
        <f aca="false">TRIM(A497)</f>
        <v/>
      </c>
      <c r="E497" s="36" t="str">
        <f aca="false">IF(D497="Revenue","Revenue",IF(D497="Cost of Goods Sold","COGS",IF(D497="Expenditures","Expense",IF(D497="Other Revenue","Other Revenue",IF(D497="Other Expenditures","Other Expense",E496)))))</f>
        <v/>
      </c>
      <c r="F497" s="36" t="str">
        <f aca="false">IF(OR(D497="Revenue",D497="Cost of Goods Sold",D497="Expenditures",D497="Other Revenue",D497="Other Expenditures"),E497,IF(AND(LEN(D497)&gt;2,MID(D497,2,1)=" ",ISNUMBER(VALUE(LEFT(D497,1)))),D497,F496))</f>
        <v/>
      </c>
      <c r="G497" s="36" t="n">
        <f aca="false">IF(AND(D497&lt;&gt;"",ISNUMBER(B497),LEFT(D497,9)&lt;&gt;"Total for",D497&lt;&gt;"Gross Profit",D497&lt;&gt;"Net Operating Revenue",D497&lt;&gt;"Net Other Revenue",D497&lt;&gt;"Net Revenue"),1,0)</f>
        <v>0</v>
      </c>
      <c r="H497" s="36" t="str">
        <f aca="false">IF(G497=1,IF(AND(LEN(D497)&gt;7,ISNUMBER(VALUE(LEFT(D497,6))),MID(D497,7,1)=" "),LEFT(D497,6),D497),"")</f>
        <v/>
      </c>
      <c r="M497" s="36" t="str">
        <f aca="false">TRIM(J497)</f>
        <v/>
      </c>
      <c r="N497" s="36" t="str">
        <f aca="false">IF(M497="Revenue","Revenue",IF(M497="Cost of Goods Sold","COGS",IF(M497="Expenditures","Expense",IF(M497="Other Revenue","Other Revenue",IF(M497="Other Expenditures","Other Expense",N496)))))</f>
        <v/>
      </c>
      <c r="O497" s="36" t="str">
        <f aca="false">IF(OR(M497="Revenue",M497="Cost of Goods Sold",M497="Expenditures",M497="Other Revenue",M497="Other Expenditures"),N497,IF(AND(LEN(M497)&gt;2,MID(M497,2,1)=" ",ISNUMBER(VALUE(LEFT(M497,1)))),M497,O496))</f>
        <v/>
      </c>
      <c r="P497" s="36" t="n">
        <f aca="false">IF(AND(M497&lt;&gt;"",ISNUMBER(K497),LEFT(M497,9)&lt;&gt;"Total for",M497&lt;&gt;"Gross Profit",M497&lt;&gt;"Net Operating Revenue",M497&lt;&gt;"Net Other Revenue",M497&lt;&gt;"Net Revenue"),1,0)</f>
        <v>0</v>
      </c>
      <c r="Q497" s="36" t="str">
        <f aca="false">IF(P497=1,IF(AND(LEN(M497)&gt;7,ISNUMBER(VALUE(LEFT(M497,6))),MID(M497,7,1)=" "),LEFT(M497,6),M497),"")</f>
        <v/>
      </c>
      <c r="V497" s="36" t="str">
        <f aca="false">TRIM(S497)</f>
        <v/>
      </c>
      <c r="W497" s="36" t="str">
        <f aca="false">IF(V497="Revenue","Revenue",IF(V497="Cost of Goods Sold","COGS",IF(V497="Expenditures","Expense",IF(V497="Other Revenue","Other Revenue",IF(V497="Other Expenditures","Other Expense",W496)))))</f>
        <v/>
      </c>
      <c r="X497" s="36" t="str">
        <f aca="false">IF(OR(V497="Revenue",V497="Cost of Goods Sold",V497="Expenditures",V497="Other Revenue",V497="Other Expenditures"),W497,IF(AND(LEN(V497)&gt;2,MID(V497,2,1)=" ",ISNUMBER(VALUE(LEFT(V497,1)))),V497,X496))</f>
        <v/>
      </c>
      <c r="Y497" s="36" t="n">
        <f aca="false">IF(AND(V497&lt;&gt;"",ISNUMBER(T497),LEFT(V497,9)&lt;&gt;"Total for",V497&lt;&gt;"Gross Profit",V497&lt;&gt;"Net Operating Revenue",V497&lt;&gt;"Net Other Revenue",V497&lt;&gt;"Net Revenue"),1,0)</f>
        <v>0</v>
      </c>
      <c r="Z497" s="36" t="str">
        <f aca="false">IF(Y497=1,IF(AND(LEN(V497)&gt;7,ISNUMBER(VALUE(LEFT(V497,6))),MID(V497,7,1)=" "),LEFT(V497,6),V497),"")</f>
        <v/>
      </c>
      <c r="AE497" s="36" t="str">
        <f aca="false">TRIM(AB497)</f>
        <v/>
      </c>
      <c r="AF497" s="36" t="str">
        <f aca="false">IF(AE497="Revenue","Revenue",IF(AE497="Cost of Goods Sold","COGS",IF(AE497="Expenditures","Expense",IF(AE497="Other Revenue","Other Revenue",IF(AE497="Other Expenditures","Other Expense",AF496)))))</f>
        <v/>
      </c>
      <c r="AG497" s="36" t="str">
        <f aca="false">IF(OR(AE497="Revenue",AE497="Cost of Goods Sold",AE497="Expenditures",AE497="Other Revenue",AE497="Other Expenditures"),AF497,IF(AND(LEN(AE497)&gt;2,MID(AE497,2,1)=" ",ISNUMBER(VALUE(LEFT(AE497,1)))),AE497,AG496))</f>
        <v/>
      </c>
      <c r="AH497" s="36" t="n">
        <f aca="false">IF(AND(AE497&lt;&gt;"",ISNUMBER(AC497),LEFT(AE497,9)&lt;&gt;"Total for",AE497&lt;&gt;"Gross Profit",AE497&lt;&gt;"Net Operating Revenue",AE497&lt;&gt;"Net Other Revenue",AE497&lt;&gt;"Net Revenue"),1,0)</f>
        <v>0</v>
      </c>
      <c r="AI497" s="36" t="str">
        <f aca="false">IF(AH497=1,IF(AND(LEN(AE497)&gt;7,ISNUMBER(VALUE(LEFT(AE497,6))),MID(AE497,7,1)=" "),LEFT(AE497,6),AE497),"")</f>
        <v/>
      </c>
      <c r="AN497" s="36" t="str">
        <f aca="false">TRIM(AK497)</f>
        <v/>
      </c>
      <c r="AO497" s="36" t="str">
        <f aca="false">IF(AN497="Revenue","Revenue",IF(AN497="Cost of Goods Sold","COGS",IF(AN497="Expenditures","Expense",IF(AN497="Other Revenue","Other Revenue",IF(AN497="Other Expenditures","Other Expense",AO496)))))</f>
        <v/>
      </c>
      <c r="AP497" s="36" t="str">
        <f aca="false">IF(OR(AN497="Revenue",AN497="Cost of Goods Sold",AN497="Expenditures",AN497="Other Revenue",AN497="Other Expenditures"),AO497,IF(AND(LEN(AN497)&gt;2,MID(AN497,2,1)=" ",ISNUMBER(VALUE(LEFT(AN497,1)))),AN497,AP496))</f>
        <v/>
      </c>
      <c r="AQ497" s="36" t="n">
        <f aca="false">IF(AND(AN497&lt;&gt;"",ISNUMBER(AL497),LEFT(AN497,9)&lt;&gt;"Total for",AN497&lt;&gt;"Gross Profit",AN497&lt;&gt;"Net Operating Revenue",AN497&lt;&gt;"Net Other Revenue",AN497&lt;&gt;"Net Revenue"),1,0)</f>
        <v>0</v>
      </c>
      <c r="AR497" s="36" t="str">
        <f aca="false">IF(AQ497=1,IF(AND(LEN(AN497)&gt;7,ISNUMBER(VALUE(LEFT(AN497,6))),MID(AN497,7,1)=" "),LEFT(AN497,6),AN497),"")</f>
        <v/>
      </c>
    </row>
    <row r="498" customFormat="false" ht="15" hidden="false" customHeight="false" outlineLevel="0" collapsed="false">
      <c r="D498" s="36" t="str">
        <f aca="false">TRIM(A498)</f>
        <v/>
      </c>
      <c r="E498" s="36" t="str">
        <f aca="false">IF(D498="Revenue","Revenue",IF(D498="Cost of Goods Sold","COGS",IF(D498="Expenditures","Expense",IF(D498="Other Revenue","Other Revenue",IF(D498="Other Expenditures","Other Expense",E497)))))</f>
        <v/>
      </c>
      <c r="F498" s="36" t="str">
        <f aca="false">IF(OR(D498="Revenue",D498="Cost of Goods Sold",D498="Expenditures",D498="Other Revenue",D498="Other Expenditures"),E498,IF(AND(LEN(D498)&gt;2,MID(D498,2,1)=" ",ISNUMBER(VALUE(LEFT(D498,1)))),D498,F497))</f>
        <v/>
      </c>
      <c r="G498" s="36" t="n">
        <f aca="false">IF(AND(D498&lt;&gt;"",ISNUMBER(B498),LEFT(D498,9)&lt;&gt;"Total for",D498&lt;&gt;"Gross Profit",D498&lt;&gt;"Net Operating Revenue",D498&lt;&gt;"Net Other Revenue",D498&lt;&gt;"Net Revenue"),1,0)</f>
        <v>0</v>
      </c>
      <c r="H498" s="36" t="str">
        <f aca="false">IF(G498=1,IF(AND(LEN(D498)&gt;7,ISNUMBER(VALUE(LEFT(D498,6))),MID(D498,7,1)=" "),LEFT(D498,6),D498),"")</f>
        <v/>
      </c>
      <c r="M498" s="36" t="str">
        <f aca="false">TRIM(J498)</f>
        <v/>
      </c>
      <c r="N498" s="36" t="str">
        <f aca="false">IF(M498="Revenue","Revenue",IF(M498="Cost of Goods Sold","COGS",IF(M498="Expenditures","Expense",IF(M498="Other Revenue","Other Revenue",IF(M498="Other Expenditures","Other Expense",N497)))))</f>
        <v/>
      </c>
      <c r="O498" s="36" t="str">
        <f aca="false">IF(OR(M498="Revenue",M498="Cost of Goods Sold",M498="Expenditures",M498="Other Revenue",M498="Other Expenditures"),N498,IF(AND(LEN(M498)&gt;2,MID(M498,2,1)=" ",ISNUMBER(VALUE(LEFT(M498,1)))),M498,O497))</f>
        <v/>
      </c>
      <c r="P498" s="36" t="n">
        <f aca="false">IF(AND(M498&lt;&gt;"",ISNUMBER(K498),LEFT(M498,9)&lt;&gt;"Total for",M498&lt;&gt;"Gross Profit",M498&lt;&gt;"Net Operating Revenue",M498&lt;&gt;"Net Other Revenue",M498&lt;&gt;"Net Revenue"),1,0)</f>
        <v>0</v>
      </c>
      <c r="Q498" s="36" t="str">
        <f aca="false">IF(P498=1,IF(AND(LEN(M498)&gt;7,ISNUMBER(VALUE(LEFT(M498,6))),MID(M498,7,1)=" "),LEFT(M498,6),M498),"")</f>
        <v/>
      </c>
      <c r="V498" s="36" t="str">
        <f aca="false">TRIM(S498)</f>
        <v/>
      </c>
      <c r="W498" s="36" t="str">
        <f aca="false">IF(V498="Revenue","Revenue",IF(V498="Cost of Goods Sold","COGS",IF(V498="Expenditures","Expense",IF(V498="Other Revenue","Other Revenue",IF(V498="Other Expenditures","Other Expense",W497)))))</f>
        <v/>
      </c>
      <c r="X498" s="36" t="str">
        <f aca="false">IF(OR(V498="Revenue",V498="Cost of Goods Sold",V498="Expenditures",V498="Other Revenue",V498="Other Expenditures"),W498,IF(AND(LEN(V498)&gt;2,MID(V498,2,1)=" ",ISNUMBER(VALUE(LEFT(V498,1)))),V498,X497))</f>
        <v/>
      </c>
      <c r="Y498" s="36" t="n">
        <f aca="false">IF(AND(V498&lt;&gt;"",ISNUMBER(T498),LEFT(V498,9)&lt;&gt;"Total for",V498&lt;&gt;"Gross Profit",V498&lt;&gt;"Net Operating Revenue",V498&lt;&gt;"Net Other Revenue",V498&lt;&gt;"Net Revenue"),1,0)</f>
        <v>0</v>
      </c>
      <c r="Z498" s="36" t="str">
        <f aca="false">IF(Y498=1,IF(AND(LEN(V498)&gt;7,ISNUMBER(VALUE(LEFT(V498,6))),MID(V498,7,1)=" "),LEFT(V498,6),V498),"")</f>
        <v/>
      </c>
      <c r="AE498" s="36" t="str">
        <f aca="false">TRIM(AB498)</f>
        <v/>
      </c>
      <c r="AF498" s="36" t="str">
        <f aca="false">IF(AE498="Revenue","Revenue",IF(AE498="Cost of Goods Sold","COGS",IF(AE498="Expenditures","Expense",IF(AE498="Other Revenue","Other Revenue",IF(AE498="Other Expenditures","Other Expense",AF497)))))</f>
        <v/>
      </c>
      <c r="AG498" s="36" t="str">
        <f aca="false">IF(OR(AE498="Revenue",AE498="Cost of Goods Sold",AE498="Expenditures",AE498="Other Revenue",AE498="Other Expenditures"),AF498,IF(AND(LEN(AE498)&gt;2,MID(AE498,2,1)=" ",ISNUMBER(VALUE(LEFT(AE498,1)))),AE498,AG497))</f>
        <v/>
      </c>
      <c r="AH498" s="36" t="n">
        <f aca="false">IF(AND(AE498&lt;&gt;"",ISNUMBER(AC498),LEFT(AE498,9)&lt;&gt;"Total for",AE498&lt;&gt;"Gross Profit",AE498&lt;&gt;"Net Operating Revenue",AE498&lt;&gt;"Net Other Revenue",AE498&lt;&gt;"Net Revenue"),1,0)</f>
        <v>0</v>
      </c>
      <c r="AI498" s="36" t="str">
        <f aca="false">IF(AH498=1,IF(AND(LEN(AE498)&gt;7,ISNUMBER(VALUE(LEFT(AE498,6))),MID(AE498,7,1)=" "),LEFT(AE498,6),AE498),"")</f>
        <v/>
      </c>
      <c r="AN498" s="36" t="str">
        <f aca="false">TRIM(AK498)</f>
        <v/>
      </c>
      <c r="AO498" s="36" t="str">
        <f aca="false">IF(AN498="Revenue","Revenue",IF(AN498="Cost of Goods Sold","COGS",IF(AN498="Expenditures","Expense",IF(AN498="Other Revenue","Other Revenue",IF(AN498="Other Expenditures","Other Expense",AO497)))))</f>
        <v/>
      </c>
      <c r="AP498" s="36" t="str">
        <f aca="false">IF(OR(AN498="Revenue",AN498="Cost of Goods Sold",AN498="Expenditures",AN498="Other Revenue",AN498="Other Expenditures"),AO498,IF(AND(LEN(AN498)&gt;2,MID(AN498,2,1)=" ",ISNUMBER(VALUE(LEFT(AN498,1)))),AN498,AP497))</f>
        <v/>
      </c>
      <c r="AQ498" s="36" t="n">
        <f aca="false">IF(AND(AN498&lt;&gt;"",ISNUMBER(AL498),LEFT(AN498,9)&lt;&gt;"Total for",AN498&lt;&gt;"Gross Profit",AN498&lt;&gt;"Net Operating Revenue",AN498&lt;&gt;"Net Other Revenue",AN498&lt;&gt;"Net Revenue"),1,0)</f>
        <v>0</v>
      </c>
      <c r="AR498" s="36" t="str">
        <f aca="false">IF(AQ498=1,IF(AND(LEN(AN498)&gt;7,ISNUMBER(VALUE(LEFT(AN498,6))),MID(AN498,7,1)=" "),LEFT(AN498,6),AN498),"")</f>
        <v/>
      </c>
    </row>
    <row r="499" customFormat="false" ht="15" hidden="false" customHeight="false" outlineLevel="0" collapsed="false">
      <c r="D499" s="36" t="str">
        <f aca="false">TRIM(A499)</f>
        <v/>
      </c>
      <c r="E499" s="36" t="str">
        <f aca="false">IF(D499="Revenue","Revenue",IF(D499="Cost of Goods Sold","COGS",IF(D499="Expenditures","Expense",IF(D499="Other Revenue","Other Revenue",IF(D499="Other Expenditures","Other Expense",E498)))))</f>
        <v/>
      </c>
      <c r="F499" s="36" t="str">
        <f aca="false">IF(OR(D499="Revenue",D499="Cost of Goods Sold",D499="Expenditures",D499="Other Revenue",D499="Other Expenditures"),E499,IF(AND(LEN(D499)&gt;2,MID(D499,2,1)=" ",ISNUMBER(VALUE(LEFT(D499,1)))),D499,F498))</f>
        <v/>
      </c>
      <c r="G499" s="36" t="n">
        <f aca="false">IF(AND(D499&lt;&gt;"",ISNUMBER(B499),LEFT(D499,9)&lt;&gt;"Total for",D499&lt;&gt;"Gross Profit",D499&lt;&gt;"Net Operating Revenue",D499&lt;&gt;"Net Other Revenue",D499&lt;&gt;"Net Revenue"),1,0)</f>
        <v>0</v>
      </c>
      <c r="H499" s="36" t="str">
        <f aca="false">IF(G499=1,IF(AND(LEN(D499)&gt;7,ISNUMBER(VALUE(LEFT(D499,6))),MID(D499,7,1)=" "),LEFT(D499,6),D499),"")</f>
        <v/>
      </c>
      <c r="M499" s="36" t="str">
        <f aca="false">TRIM(J499)</f>
        <v/>
      </c>
      <c r="N499" s="36" t="str">
        <f aca="false">IF(M499="Revenue","Revenue",IF(M499="Cost of Goods Sold","COGS",IF(M499="Expenditures","Expense",IF(M499="Other Revenue","Other Revenue",IF(M499="Other Expenditures","Other Expense",N498)))))</f>
        <v/>
      </c>
      <c r="O499" s="36" t="str">
        <f aca="false">IF(OR(M499="Revenue",M499="Cost of Goods Sold",M499="Expenditures",M499="Other Revenue",M499="Other Expenditures"),N499,IF(AND(LEN(M499)&gt;2,MID(M499,2,1)=" ",ISNUMBER(VALUE(LEFT(M499,1)))),M499,O498))</f>
        <v/>
      </c>
      <c r="P499" s="36" t="n">
        <f aca="false">IF(AND(M499&lt;&gt;"",ISNUMBER(K499),LEFT(M499,9)&lt;&gt;"Total for",M499&lt;&gt;"Gross Profit",M499&lt;&gt;"Net Operating Revenue",M499&lt;&gt;"Net Other Revenue",M499&lt;&gt;"Net Revenue"),1,0)</f>
        <v>0</v>
      </c>
      <c r="Q499" s="36" t="str">
        <f aca="false">IF(P499=1,IF(AND(LEN(M499)&gt;7,ISNUMBER(VALUE(LEFT(M499,6))),MID(M499,7,1)=" "),LEFT(M499,6),M499),"")</f>
        <v/>
      </c>
      <c r="V499" s="36" t="str">
        <f aca="false">TRIM(S499)</f>
        <v/>
      </c>
      <c r="W499" s="36" t="str">
        <f aca="false">IF(V499="Revenue","Revenue",IF(V499="Cost of Goods Sold","COGS",IF(V499="Expenditures","Expense",IF(V499="Other Revenue","Other Revenue",IF(V499="Other Expenditures","Other Expense",W498)))))</f>
        <v/>
      </c>
      <c r="X499" s="36" t="str">
        <f aca="false">IF(OR(V499="Revenue",V499="Cost of Goods Sold",V499="Expenditures",V499="Other Revenue",V499="Other Expenditures"),W499,IF(AND(LEN(V499)&gt;2,MID(V499,2,1)=" ",ISNUMBER(VALUE(LEFT(V499,1)))),V499,X498))</f>
        <v/>
      </c>
      <c r="Y499" s="36" t="n">
        <f aca="false">IF(AND(V499&lt;&gt;"",ISNUMBER(T499),LEFT(V499,9)&lt;&gt;"Total for",V499&lt;&gt;"Gross Profit",V499&lt;&gt;"Net Operating Revenue",V499&lt;&gt;"Net Other Revenue",V499&lt;&gt;"Net Revenue"),1,0)</f>
        <v>0</v>
      </c>
      <c r="Z499" s="36" t="str">
        <f aca="false">IF(Y499=1,IF(AND(LEN(V499)&gt;7,ISNUMBER(VALUE(LEFT(V499,6))),MID(V499,7,1)=" "),LEFT(V499,6),V499),"")</f>
        <v/>
      </c>
      <c r="AE499" s="36" t="str">
        <f aca="false">TRIM(AB499)</f>
        <v/>
      </c>
      <c r="AF499" s="36" t="str">
        <f aca="false">IF(AE499="Revenue","Revenue",IF(AE499="Cost of Goods Sold","COGS",IF(AE499="Expenditures","Expense",IF(AE499="Other Revenue","Other Revenue",IF(AE499="Other Expenditures","Other Expense",AF498)))))</f>
        <v/>
      </c>
      <c r="AG499" s="36" t="str">
        <f aca="false">IF(OR(AE499="Revenue",AE499="Cost of Goods Sold",AE499="Expenditures",AE499="Other Revenue",AE499="Other Expenditures"),AF499,IF(AND(LEN(AE499)&gt;2,MID(AE499,2,1)=" ",ISNUMBER(VALUE(LEFT(AE499,1)))),AE499,AG498))</f>
        <v/>
      </c>
      <c r="AH499" s="36" t="n">
        <f aca="false">IF(AND(AE499&lt;&gt;"",ISNUMBER(AC499),LEFT(AE499,9)&lt;&gt;"Total for",AE499&lt;&gt;"Gross Profit",AE499&lt;&gt;"Net Operating Revenue",AE499&lt;&gt;"Net Other Revenue",AE499&lt;&gt;"Net Revenue"),1,0)</f>
        <v>0</v>
      </c>
      <c r="AI499" s="36" t="str">
        <f aca="false">IF(AH499=1,IF(AND(LEN(AE499)&gt;7,ISNUMBER(VALUE(LEFT(AE499,6))),MID(AE499,7,1)=" "),LEFT(AE499,6),AE499),"")</f>
        <v/>
      </c>
      <c r="AN499" s="36" t="str">
        <f aca="false">TRIM(AK499)</f>
        <v/>
      </c>
      <c r="AO499" s="36" t="str">
        <f aca="false">IF(AN499="Revenue","Revenue",IF(AN499="Cost of Goods Sold","COGS",IF(AN499="Expenditures","Expense",IF(AN499="Other Revenue","Other Revenue",IF(AN499="Other Expenditures","Other Expense",AO498)))))</f>
        <v/>
      </c>
      <c r="AP499" s="36" t="str">
        <f aca="false">IF(OR(AN499="Revenue",AN499="Cost of Goods Sold",AN499="Expenditures",AN499="Other Revenue",AN499="Other Expenditures"),AO499,IF(AND(LEN(AN499)&gt;2,MID(AN499,2,1)=" ",ISNUMBER(VALUE(LEFT(AN499,1)))),AN499,AP498))</f>
        <v/>
      </c>
      <c r="AQ499" s="36" t="n">
        <f aca="false">IF(AND(AN499&lt;&gt;"",ISNUMBER(AL499),LEFT(AN499,9)&lt;&gt;"Total for",AN499&lt;&gt;"Gross Profit",AN499&lt;&gt;"Net Operating Revenue",AN499&lt;&gt;"Net Other Revenue",AN499&lt;&gt;"Net Revenue"),1,0)</f>
        <v>0</v>
      </c>
      <c r="AR499" s="36" t="str">
        <f aca="false">IF(AQ499=1,IF(AND(LEN(AN499)&gt;7,ISNUMBER(VALUE(LEFT(AN499,6))),MID(AN499,7,1)=" "),LEFT(AN499,6),AN499),"")</f>
        <v/>
      </c>
    </row>
    <row r="500" customFormat="false" ht="15" hidden="false" customHeight="false" outlineLevel="0" collapsed="false">
      <c r="D500" s="36" t="str">
        <f aca="false">TRIM(A500)</f>
        <v/>
      </c>
      <c r="E500" s="36" t="str">
        <f aca="false">IF(D500="Revenue","Revenue",IF(D500="Cost of Goods Sold","COGS",IF(D500="Expenditures","Expense",IF(D500="Other Revenue","Other Revenue",IF(D500="Other Expenditures","Other Expense",E499)))))</f>
        <v/>
      </c>
      <c r="F500" s="36" t="str">
        <f aca="false">IF(OR(D500="Revenue",D500="Cost of Goods Sold",D500="Expenditures",D500="Other Revenue",D500="Other Expenditures"),E500,IF(AND(LEN(D500)&gt;2,MID(D500,2,1)=" ",ISNUMBER(VALUE(LEFT(D500,1)))),D500,F499))</f>
        <v/>
      </c>
      <c r="G500" s="36" t="n">
        <f aca="false">IF(AND(D500&lt;&gt;"",ISNUMBER(B500),LEFT(D500,9)&lt;&gt;"Total for",D500&lt;&gt;"Gross Profit",D500&lt;&gt;"Net Operating Revenue",D500&lt;&gt;"Net Other Revenue",D500&lt;&gt;"Net Revenue"),1,0)</f>
        <v>0</v>
      </c>
      <c r="H500" s="36" t="str">
        <f aca="false">IF(G500=1,IF(AND(LEN(D500)&gt;7,ISNUMBER(VALUE(LEFT(D500,6))),MID(D500,7,1)=" "),LEFT(D500,6),D500),"")</f>
        <v/>
      </c>
      <c r="M500" s="36" t="str">
        <f aca="false">TRIM(J500)</f>
        <v/>
      </c>
      <c r="N500" s="36" t="str">
        <f aca="false">IF(M500="Revenue","Revenue",IF(M500="Cost of Goods Sold","COGS",IF(M500="Expenditures","Expense",IF(M500="Other Revenue","Other Revenue",IF(M500="Other Expenditures","Other Expense",N499)))))</f>
        <v/>
      </c>
      <c r="O500" s="36" t="str">
        <f aca="false">IF(OR(M500="Revenue",M500="Cost of Goods Sold",M500="Expenditures",M500="Other Revenue",M500="Other Expenditures"),N500,IF(AND(LEN(M500)&gt;2,MID(M500,2,1)=" ",ISNUMBER(VALUE(LEFT(M500,1)))),M500,O499))</f>
        <v/>
      </c>
      <c r="P500" s="36" t="n">
        <f aca="false">IF(AND(M500&lt;&gt;"",ISNUMBER(K500),LEFT(M500,9)&lt;&gt;"Total for",M500&lt;&gt;"Gross Profit",M500&lt;&gt;"Net Operating Revenue",M500&lt;&gt;"Net Other Revenue",M500&lt;&gt;"Net Revenue"),1,0)</f>
        <v>0</v>
      </c>
      <c r="Q500" s="36" t="str">
        <f aca="false">IF(P500=1,IF(AND(LEN(M500)&gt;7,ISNUMBER(VALUE(LEFT(M500,6))),MID(M500,7,1)=" "),LEFT(M500,6),M500),"")</f>
        <v/>
      </c>
      <c r="V500" s="36" t="str">
        <f aca="false">TRIM(S500)</f>
        <v/>
      </c>
      <c r="W500" s="36" t="str">
        <f aca="false">IF(V500="Revenue","Revenue",IF(V500="Cost of Goods Sold","COGS",IF(V500="Expenditures","Expense",IF(V500="Other Revenue","Other Revenue",IF(V500="Other Expenditures","Other Expense",W499)))))</f>
        <v/>
      </c>
      <c r="X500" s="36" t="str">
        <f aca="false">IF(OR(V500="Revenue",V500="Cost of Goods Sold",V500="Expenditures",V500="Other Revenue",V500="Other Expenditures"),W500,IF(AND(LEN(V500)&gt;2,MID(V500,2,1)=" ",ISNUMBER(VALUE(LEFT(V500,1)))),V500,X499))</f>
        <v/>
      </c>
      <c r="Y500" s="36" t="n">
        <f aca="false">IF(AND(V500&lt;&gt;"",ISNUMBER(T500),LEFT(V500,9)&lt;&gt;"Total for",V500&lt;&gt;"Gross Profit",V500&lt;&gt;"Net Operating Revenue",V500&lt;&gt;"Net Other Revenue",V500&lt;&gt;"Net Revenue"),1,0)</f>
        <v>0</v>
      </c>
      <c r="Z500" s="36" t="str">
        <f aca="false">IF(Y500=1,IF(AND(LEN(V500)&gt;7,ISNUMBER(VALUE(LEFT(V500,6))),MID(V500,7,1)=" "),LEFT(V500,6),V500),"")</f>
        <v/>
      </c>
      <c r="AE500" s="36" t="str">
        <f aca="false">TRIM(AB500)</f>
        <v/>
      </c>
      <c r="AF500" s="36" t="str">
        <f aca="false">IF(AE500="Revenue","Revenue",IF(AE500="Cost of Goods Sold","COGS",IF(AE500="Expenditures","Expense",IF(AE500="Other Revenue","Other Revenue",IF(AE500="Other Expenditures","Other Expense",AF499)))))</f>
        <v/>
      </c>
      <c r="AG500" s="36" t="str">
        <f aca="false">IF(OR(AE500="Revenue",AE500="Cost of Goods Sold",AE500="Expenditures",AE500="Other Revenue",AE500="Other Expenditures"),AF500,IF(AND(LEN(AE500)&gt;2,MID(AE500,2,1)=" ",ISNUMBER(VALUE(LEFT(AE500,1)))),AE500,AG499))</f>
        <v/>
      </c>
      <c r="AH500" s="36" t="n">
        <f aca="false">IF(AND(AE500&lt;&gt;"",ISNUMBER(AC500),LEFT(AE500,9)&lt;&gt;"Total for",AE500&lt;&gt;"Gross Profit",AE500&lt;&gt;"Net Operating Revenue",AE500&lt;&gt;"Net Other Revenue",AE500&lt;&gt;"Net Revenue"),1,0)</f>
        <v>0</v>
      </c>
      <c r="AI500" s="36" t="str">
        <f aca="false">IF(AH500=1,IF(AND(LEN(AE500)&gt;7,ISNUMBER(VALUE(LEFT(AE500,6))),MID(AE500,7,1)=" "),LEFT(AE500,6),AE500),"")</f>
        <v/>
      </c>
      <c r="AN500" s="36" t="str">
        <f aca="false">TRIM(AK500)</f>
        <v/>
      </c>
      <c r="AO500" s="36" t="str">
        <f aca="false">IF(AN500="Revenue","Revenue",IF(AN500="Cost of Goods Sold","COGS",IF(AN500="Expenditures","Expense",IF(AN500="Other Revenue","Other Revenue",IF(AN500="Other Expenditures","Other Expense",AO499)))))</f>
        <v/>
      </c>
      <c r="AP500" s="36" t="str">
        <f aca="false">IF(OR(AN500="Revenue",AN500="Cost of Goods Sold",AN500="Expenditures",AN500="Other Revenue",AN500="Other Expenditures"),AO500,IF(AND(LEN(AN500)&gt;2,MID(AN500,2,1)=" ",ISNUMBER(VALUE(LEFT(AN500,1)))),AN500,AP499))</f>
        <v/>
      </c>
      <c r="AQ500" s="36" t="n">
        <f aca="false">IF(AND(AN500&lt;&gt;"",ISNUMBER(AL500),LEFT(AN500,9)&lt;&gt;"Total for",AN500&lt;&gt;"Gross Profit",AN500&lt;&gt;"Net Operating Revenue",AN500&lt;&gt;"Net Other Revenue",AN500&lt;&gt;"Net Revenue"),1,0)</f>
        <v>0</v>
      </c>
      <c r="AR500" s="36" t="str">
        <f aca="false">IF(AQ500=1,IF(AND(LEN(AN500)&gt;7,ISNUMBER(VALUE(LEFT(AN500,6))),MID(AN500,7,1)=" "),LEFT(AN500,6),AN500),"")</f>
        <v/>
      </c>
    </row>
    <row r="501" customFormat="false" ht="15" hidden="false" customHeight="false" outlineLevel="0" collapsed="false">
      <c r="D501" s="36" t="str">
        <f aca="false">TRIM(A501)</f>
        <v/>
      </c>
      <c r="E501" s="36" t="str">
        <f aca="false">IF(D501="Revenue","Revenue",IF(D501="Cost of Goods Sold","COGS",IF(D501="Expenditures","Expense",IF(D501="Other Revenue","Other Revenue",IF(D501="Other Expenditures","Other Expense",E500)))))</f>
        <v/>
      </c>
      <c r="F501" s="36" t="str">
        <f aca="false">IF(OR(D501="Revenue",D501="Cost of Goods Sold",D501="Expenditures",D501="Other Revenue",D501="Other Expenditures"),E501,IF(AND(LEN(D501)&gt;2,MID(D501,2,1)=" ",ISNUMBER(VALUE(LEFT(D501,1)))),D501,F500))</f>
        <v/>
      </c>
      <c r="G501" s="36" t="n">
        <f aca="false">IF(AND(D501&lt;&gt;"",ISNUMBER(B501),LEFT(D501,9)&lt;&gt;"Total for",D501&lt;&gt;"Gross Profit",D501&lt;&gt;"Net Operating Revenue",D501&lt;&gt;"Net Other Revenue",D501&lt;&gt;"Net Revenue"),1,0)</f>
        <v>0</v>
      </c>
      <c r="H501" s="36" t="str">
        <f aca="false">IF(G501=1,IF(AND(LEN(D501)&gt;7,ISNUMBER(VALUE(LEFT(D501,6))),MID(D501,7,1)=" "),LEFT(D501,6),D501),"")</f>
        <v/>
      </c>
      <c r="M501" s="36" t="str">
        <f aca="false">TRIM(J501)</f>
        <v/>
      </c>
      <c r="N501" s="36" t="str">
        <f aca="false">IF(M501="Revenue","Revenue",IF(M501="Cost of Goods Sold","COGS",IF(M501="Expenditures","Expense",IF(M501="Other Revenue","Other Revenue",IF(M501="Other Expenditures","Other Expense",N500)))))</f>
        <v/>
      </c>
      <c r="O501" s="36" t="str">
        <f aca="false">IF(OR(M501="Revenue",M501="Cost of Goods Sold",M501="Expenditures",M501="Other Revenue",M501="Other Expenditures"),N501,IF(AND(LEN(M501)&gt;2,MID(M501,2,1)=" ",ISNUMBER(VALUE(LEFT(M501,1)))),M501,O500))</f>
        <v/>
      </c>
      <c r="P501" s="36" t="n">
        <f aca="false">IF(AND(M501&lt;&gt;"",ISNUMBER(K501),LEFT(M501,9)&lt;&gt;"Total for",M501&lt;&gt;"Gross Profit",M501&lt;&gt;"Net Operating Revenue",M501&lt;&gt;"Net Other Revenue",M501&lt;&gt;"Net Revenue"),1,0)</f>
        <v>0</v>
      </c>
      <c r="Q501" s="36" t="str">
        <f aca="false">IF(P501=1,IF(AND(LEN(M501)&gt;7,ISNUMBER(VALUE(LEFT(M501,6))),MID(M501,7,1)=" "),LEFT(M501,6),M501),"")</f>
        <v/>
      </c>
      <c r="V501" s="36" t="str">
        <f aca="false">TRIM(S501)</f>
        <v/>
      </c>
      <c r="W501" s="36" t="str">
        <f aca="false">IF(V501="Revenue","Revenue",IF(V501="Cost of Goods Sold","COGS",IF(V501="Expenditures","Expense",IF(V501="Other Revenue","Other Revenue",IF(V501="Other Expenditures","Other Expense",W500)))))</f>
        <v/>
      </c>
      <c r="X501" s="36" t="str">
        <f aca="false">IF(OR(V501="Revenue",V501="Cost of Goods Sold",V501="Expenditures",V501="Other Revenue",V501="Other Expenditures"),W501,IF(AND(LEN(V501)&gt;2,MID(V501,2,1)=" ",ISNUMBER(VALUE(LEFT(V501,1)))),V501,X500))</f>
        <v/>
      </c>
      <c r="Y501" s="36" t="n">
        <f aca="false">IF(AND(V501&lt;&gt;"",ISNUMBER(T501),LEFT(V501,9)&lt;&gt;"Total for",V501&lt;&gt;"Gross Profit",V501&lt;&gt;"Net Operating Revenue",V501&lt;&gt;"Net Other Revenue",V501&lt;&gt;"Net Revenue"),1,0)</f>
        <v>0</v>
      </c>
      <c r="Z501" s="36" t="str">
        <f aca="false">IF(Y501=1,IF(AND(LEN(V501)&gt;7,ISNUMBER(VALUE(LEFT(V501,6))),MID(V501,7,1)=" "),LEFT(V501,6),V501),"")</f>
        <v/>
      </c>
      <c r="AE501" s="36" t="str">
        <f aca="false">TRIM(AB501)</f>
        <v/>
      </c>
      <c r="AF501" s="36" t="str">
        <f aca="false">IF(AE501="Revenue","Revenue",IF(AE501="Cost of Goods Sold","COGS",IF(AE501="Expenditures","Expense",IF(AE501="Other Revenue","Other Revenue",IF(AE501="Other Expenditures","Other Expense",AF500)))))</f>
        <v/>
      </c>
      <c r="AG501" s="36" t="str">
        <f aca="false">IF(OR(AE501="Revenue",AE501="Cost of Goods Sold",AE501="Expenditures",AE501="Other Revenue",AE501="Other Expenditures"),AF501,IF(AND(LEN(AE501)&gt;2,MID(AE501,2,1)=" ",ISNUMBER(VALUE(LEFT(AE501,1)))),AE501,AG500))</f>
        <v/>
      </c>
      <c r="AH501" s="36" t="n">
        <f aca="false">IF(AND(AE501&lt;&gt;"",ISNUMBER(AC501),LEFT(AE501,9)&lt;&gt;"Total for",AE501&lt;&gt;"Gross Profit",AE501&lt;&gt;"Net Operating Revenue",AE501&lt;&gt;"Net Other Revenue",AE501&lt;&gt;"Net Revenue"),1,0)</f>
        <v>0</v>
      </c>
      <c r="AI501" s="36" t="str">
        <f aca="false">IF(AH501=1,IF(AND(LEN(AE501)&gt;7,ISNUMBER(VALUE(LEFT(AE501,6))),MID(AE501,7,1)=" "),LEFT(AE501,6),AE501),"")</f>
        <v/>
      </c>
      <c r="AN501" s="36" t="str">
        <f aca="false">TRIM(AK501)</f>
        <v/>
      </c>
      <c r="AO501" s="36" t="str">
        <f aca="false">IF(AN501="Revenue","Revenue",IF(AN501="Cost of Goods Sold","COGS",IF(AN501="Expenditures","Expense",IF(AN501="Other Revenue","Other Revenue",IF(AN501="Other Expenditures","Other Expense",AO500)))))</f>
        <v/>
      </c>
      <c r="AP501" s="36" t="str">
        <f aca="false">IF(OR(AN501="Revenue",AN501="Cost of Goods Sold",AN501="Expenditures",AN501="Other Revenue",AN501="Other Expenditures"),AO501,IF(AND(LEN(AN501)&gt;2,MID(AN501,2,1)=" ",ISNUMBER(VALUE(LEFT(AN501,1)))),AN501,AP500))</f>
        <v/>
      </c>
      <c r="AQ501" s="36" t="n">
        <f aca="false">IF(AND(AN501&lt;&gt;"",ISNUMBER(AL501),LEFT(AN501,9)&lt;&gt;"Total for",AN501&lt;&gt;"Gross Profit",AN501&lt;&gt;"Net Operating Revenue",AN501&lt;&gt;"Net Other Revenue",AN501&lt;&gt;"Net Revenue"),1,0)</f>
        <v>0</v>
      </c>
      <c r="AR501" s="36" t="str">
        <f aca="false">IF(AQ501=1,IF(AND(LEN(AN501)&gt;7,ISNUMBER(VALUE(LEFT(AN501,6))),MID(AN501,7,1)=" "),LEFT(AN501,6),AN501),"")</f>
        <v/>
      </c>
    </row>
    <row r="502" customFormat="false" ht="15" hidden="false" customHeight="false" outlineLevel="0" collapsed="false">
      <c r="D502" s="36" t="str">
        <f aca="false">TRIM(A502)</f>
        <v/>
      </c>
      <c r="E502" s="36" t="str">
        <f aca="false">IF(D502="Revenue","Revenue",IF(D502="Cost of Goods Sold","COGS",IF(D502="Expenditures","Expense",IF(D502="Other Revenue","Other Revenue",IF(D502="Other Expenditures","Other Expense",E501)))))</f>
        <v/>
      </c>
      <c r="F502" s="36" t="str">
        <f aca="false">IF(OR(D502="Revenue",D502="Cost of Goods Sold",D502="Expenditures",D502="Other Revenue",D502="Other Expenditures"),E502,IF(AND(LEN(D502)&gt;2,MID(D502,2,1)=" ",ISNUMBER(VALUE(LEFT(D502,1)))),D502,F501))</f>
        <v/>
      </c>
      <c r="G502" s="36" t="n">
        <f aca="false">IF(AND(D502&lt;&gt;"",ISNUMBER(B502),LEFT(D502,9)&lt;&gt;"Total for",D502&lt;&gt;"Gross Profit",D502&lt;&gt;"Net Operating Revenue",D502&lt;&gt;"Net Other Revenue",D502&lt;&gt;"Net Revenue"),1,0)</f>
        <v>0</v>
      </c>
      <c r="H502" s="36" t="str">
        <f aca="false">IF(G502=1,IF(AND(LEN(D502)&gt;7,ISNUMBER(VALUE(LEFT(D502,6))),MID(D502,7,1)=" "),LEFT(D502,6),D502),"")</f>
        <v/>
      </c>
      <c r="M502" s="36" t="str">
        <f aca="false">TRIM(J502)</f>
        <v/>
      </c>
      <c r="N502" s="36" t="str">
        <f aca="false">IF(M502="Revenue","Revenue",IF(M502="Cost of Goods Sold","COGS",IF(M502="Expenditures","Expense",IF(M502="Other Revenue","Other Revenue",IF(M502="Other Expenditures","Other Expense",N501)))))</f>
        <v/>
      </c>
      <c r="O502" s="36" t="str">
        <f aca="false">IF(OR(M502="Revenue",M502="Cost of Goods Sold",M502="Expenditures",M502="Other Revenue",M502="Other Expenditures"),N502,IF(AND(LEN(M502)&gt;2,MID(M502,2,1)=" ",ISNUMBER(VALUE(LEFT(M502,1)))),M502,O501))</f>
        <v/>
      </c>
      <c r="P502" s="36" t="n">
        <f aca="false">IF(AND(M502&lt;&gt;"",ISNUMBER(K502),LEFT(M502,9)&lt;&gt;"Total for",M502&lt;&gt;"Gross Profit",M502&lt;&gt;"Net Operating Revenue",M502&lt;&gt;"Net Other Revenue",M502&lt;&gt;"Net Revenue"),1,0)</f>
        <v>0</v>
      </c>
      <c r="Q502" s="36" t="str">
        <f aca="false">IF(P502=1,IF(AND(LEN(M502)&gt;7,ISNUMBER(VALUE(LEFT(M502,6))),MID(M502,7,1)=" "),LEFT(M502,6),M502),"")</f>
        <v/>
      </c>
      <c r="V502" s="36" t="str">
        <f aca="false">TRIM(S502)</f>
        <v/>
      </c>
      <c r="W502" s="36" t="str">
        <f aca="false">IF(V502="Revenue","Revenue",IF(V502="Cost of Goods Sold","COGS",IF(V502="Expenditures","Expense",IF(V502="Other Revenue","Other Revenue",IF(V502="Other Expenditures","Other Expense",W501)))))</f>
        <v/>
      </c>
      <c r="X502" s="36" t="str">
        <f aca="false">IF(OR(V502="Revenue",V502="Cost of Goods Sold",V502="Expenditures",V502="Other Revenue",V502="Other Expenditures"),W502,IF(AND(LEN(V502)&gt;2,MID(V502,2,1)=" ",ISNUMBER(VALUE(LEFT(V502,1)))),V502,X501))</f>
        <v/>
      </c>
      <c r="Y502" s="36" t="n">
        <f aca="false">IF(AND(V502&lt;&gt;"",ISNUMBER(T502),LEFT(V502,9)&lt;&gt;"Total for",V502&lt;&gt;"Gross Profit",V502&lt;&gt;"Net Operating Revenue",V502&lt;&gt;"Net Other Revenue",V502&lt;&gt;"Net Revenue"),1,0)</f>
        <v>0</v>
      </c>
      <c r="Z502" s="36" t="str">
        <f aca="false">IF(Y502=1,IF(AND(LEN(V502)&gt;7,ISNUMBER(VALUE(LEFT(V502,6))),MID(V502,7,1)=" "),LEFT(V502,6),V502),"")</f>
        <v/>
      </c>
      <c r="AE502" s="36" t="str">
        <f aca="false">TRIM(AB502)</f>
        <v/>
      </c>
      <c r="AF502" s="36" t="str">
        <f aca="false">IF(AE502="Revenue","Revenue",IF(AE502="Cost of Goods Sold","COGS",IF(AE502="Expenditures","Expense",IF(AE502="Other Revenue","Other Revenue",IF(AE502="Other Expenditures","Other Expense",AF501)))))</f>
        <v/>
      </c>
      <c r="AG502" s="36" t="str">
        <f aca="false">IF(OR(AE502="Revenue",AE502="Cost of Goods Sold",AE502="Expenditures",AE502="Other Revenue",AE502="Other Expenditures"),AF502,IF(AND(LEN(AE502)&gt;2,MID(AE502,2,1)=" ",ISNUMBER(VALUE(LEFT(AE502,1)))),AE502,AG501))</f>
        <v/>
      </c>
      <c r="AH502" s="36" t="n">
        <f aca="false">IF(AND(AE502&lt;&gt;"",ISNUMBER(AC502),LEFT(AE502,9)&lt;&gt;"Total for",AE502&lt;&gt;"Gross Profit",AE502&lt;&gt;"Net Operating Revenue",AE502&lt;&gt;"Net Other Revenue",AE502&lt;&gt;"Net Revenue"),1,0)</f>
        <v>0</v>
      </c>
      <c r="AI502" s="36" t="str">
        <f aca="false">IF(AH502=1,IF(AND(LEN(AE502)&gt;7,ISNUMBER(VALUE(LEFT(AE502,6))),MID(AE502,7,1)=" "),LEFT(AE502,6),AE502),"")</f>
        <v/>
      </c>
      <c r="AN502" s="36" t="str">
        <f aca="false">TRIM(AK502)</f>
        <v/>
      </c>
      <c r="AO502" s="36" t="str">
        <f aca="false">IF(AN502="Revenue","Revenue",IF(AN502="Cost of Goods Sold","COGS",IF(AN502="Expenditures","Expense",IF(AN502="Other Revenue","Other Revenue",IF(AN502="Other Expenditures","Other Expense",AO501)))))</f>
        <v/>
      </c>
      <c r="AP502" s="36" t="str">
        <f aca="false">IF(OR(AN502="Revenue",AN502="Cost of Goods Sold",AN502="Expenditures",AN502="Other Revenue",AN502="Other Expenditures"),AO502,IF(AND(LEN(AN502)&gt;2,MID(AN502,2,1)=" ",ISNUMBER(VALUE(LEFT(AN502,1)))),AN502,AP501))</f>
        <v/>
      </c>
      <c r="AQ502" s="36" t="n">
        <f aca="false">IF(AND(AN502&lt;&gt;"",ISNUMBER(AL502),LEFT(AN502,9)&lt;&gt;"Total for",AN502&lt;&gt;"Gross Profit",AN502&lt;&gt;"Net Operating Revenue",AN502&lt;&gt;"Net Other Revenue",AN502&lt;&gt;"Net Revenue"),1,0)</f>
        <v>0</v>
      </c>
      <c r="AR502" s="36" t="str">
        <f aca="false">IF(AQ502=1,IF(AND(LEN(AN502)&gt;7,ISNUMBER(VALUE(LEFT(AN502,6))),MID(AN502,7,1)=" "),LEFT(AN502,6),AN502),"")</f>
        <v/>
      </c>
    </row>
    <row r="503" customFormat="false" ht="15" hidden="false" customHeight="false" outlineLevel="0" collapsed="false">
      <c r="D503" s="36" t="str">
        <f aca="false">TRIM(A503)</f>
        <v/>
      </c>
      <c r="E503" s="36" t="str">
        <f aca="false">IF(D503="Revenue","Revenue",IF(D503="Cost of Goods Sold","COGS",IF(D503="Expenditures","Expense",IF(D503="Other Revenue","Other Revenue",IF(D503="Other Expenditures","Other Expense",E502)))))</f>
        <v/>
      </c>
      <c r="F503" s="36" t="str">
        <f aca="false">IF(OR(D503="Revenue",D503="Cost of Goods Sold",D503="Expenditures",D503="Other Revenue",D503="Other Expenditures"),E503,IF(AND(LEN(D503)&gt;2,MID(D503,2,1)=" ",ISNUMBER(VALUE(LEFT(D503,1)))),D503,F502))</f>
        <v/>
      </c>
      <c r="G503" s="36" t="n">
        <f aca="false">IF(AND(D503&lt;&gt;"",ISNUMBER(B503),LEFT(D503,9)&lt;&gt;"Total for",D503&lt;&gt;"Gross Profit",D503&lt;&gt;"Net Operating Revenue",D503&lt;&gt;"Net Other Revenue",D503&lt;&gt;"Net Revenue"),1,0)</f>
        <v>0</v>
      </c>
      <c r="H503" s="36" t="str">
        <f aca="false">IF(G503=1,IF(AND(LEN(D503)&gt;7,ISNUMBER(VALUE(LEFT(D503,6))),MID(D503,7,1)=" "),LEFT(D503,6),D503),"")</f>
        <v/>
      </c>
      <c r="M503" s="36" t="str">
        <f aca="false">TRIM(J503)</f>
        <v/>
      </c>
      <c r="N503" s="36" t="str">
        <f aca="false">IF(M503="Revenue","Revenue",IF(M503="Cost of Goods Sold","COGS",IF(M503="Expenditures","Expense",IF(M503="Other Revenue","Other Revenue",IF(M503="Other Expenditures","Other Expense",N502)))))</f>
        <v/>
      </c>
      <c r="O503" s="36" t="str">
        <f aca="false">IF(OR(M503="Revenue",M503="Cost of Goods Sold",M503="Expenditures",M503="Other Revenue",M503="Other Expenditures"),N503,IF(AND(LEN(M503)&gt;2,MID(M503,2,1)=" ",ISNUMBER(VALUE(LEFT(M503,1)))),M503,O502))</f>
        <v/>
      </c>
      <c r="P503" s="36" t="n">
        <f aca="false">IF(AND(M503&lt;&gt;"",ISNUMBER(K503),LEFT(M503,9)&lt;&gt;"Total for",M503&lt;&gt;"Gross Profit",M503&lt;&gt;"Net Operating Revenue",M503&lt;&gt;"Net Other Revenue",M503&lt;&gt;"Net Revenue"),1,0)</f>
        <v>0</v>
      </c>
      <c r="Q503" s="36" t="str">
        <f aca="false">IF(P503=1,IF(AND(LEN(M503)&gt;7,ISNUMBER(VALUE(LEFT(M503,6))),MID(M503,7,1)=" "),LEFT(M503,6),M503),"")</f>
        <v/>
      </c>
      <c r="V503" s="36" t="str">
        <f aca="false">TRIM(S503)</f>
        <v/>
      </c>
      <c r="W503" s="36" t="str">
        <f aca="false">IF(V503="Revenue","Revenue",IF(V503="Cost of Goods Sold","COGS",IF(V503="Expenditures","Expense",IF(V503="Other Revenue","Other Revenue",IF(V503="Other Expenditures","Other Expense",W502)))))</f>
        <v/>
      </c>
      <c r="X503" s="36" t="str">
        <f aca="false">IF(OR(V503="Revenue",V503="Cost of Goods Sold",V503="Expenditures",V503="Other Revenue",V503="Other Expenditures"),W503,IF(AND(LEN(V503)&gt;2,MID(V503,2,1)=" ",ISNUMBER(VALUE(LEFT(V503,1)))),V503,X502))</f>
        <v/>
      </c>
      <c r="Y503" s="36" t="n">
        <f aca="false">IF(AND(V503&lt;&gt;"",ISNUMBER(T503),LEFT(V503,9)&lt;&gt;"Total for",V503&lt;&gt;"Gross Profit",V503&lt;&gt;"Net Operating Revenue",V503&lt;&gt;"Net Other Revenue",V503&lt;&gt;"Net Revenue"),1,0)</f>
        <v>0</v>
      </c>
      <c r="Z503" s="36" t="str">
        <f aca="false">IF(Y503=1,IF(AND(LEN(V503)&gt;7,ISNUMBER(VALUE(LEFT(V503,6))),MID(V503,7,1)=" "),LEFT(V503,6),V503),"")</f>
        <v/>
      </c>
      <c r="AE503" s="36" t="str">
        <f aca="false">TRIM(AB503)</f>
        <v/>
      </c>
      <c r="AF503" s="36" t="str">
        <f aca="false">IF(AE503="Revenue","Revenue",IF(AE503="Cost of Goods Sold","COGS",IF(AE503="Expenditures","Expense",IF(AE503="Other Revenue","Other Revenue",IF(AE503="Other Expenditures","Other Expense",AF502)))))</f>
        <v/>
      </c>
      <c r="AG503" s="36" t="str">
        <f aca="false">IF(OR(AE503="Revenue",AE503="Cost of Goods Sold",AE503="Expenditures",AE503="Other Revenue",AE503="Other Expenditures"),AF503,IF(AND(LEN(AE503)&gt;2,MID(AE503,2,1)=" ",ISNUMBER(VALUE(LEFT(AE503,1)))),AE503,AG502))</f>
        <v/>
      </c>
      <c r="AH503" s="36" t="n">
        <f aca="false">IF(AND(AE503&lt;&gt;"",ISNUMBER(AC503),LEFT(AE503,9)&lt;&gt;"Total for",AE503&lt;&gt;"Gross Profit",AE503&lt;&gt;"Net Operating Revenue",AE503&lt;&gt;"Net Other Revenue",AE503&lt;&gt;"Net Revenue"),1,0)</f>
        <v>0</v>
      </c>
      <c r="AI503" s="36" t="str">
        <f aca="false">IF(AH503=1,IF(AND(LEN(AE503)&gt;7,ISNUMBER(VALUE(LEFT(AE503,6))),MID(AE503,7,1)=" "),LEFT(AE503,6),AE503),"")</f>
        <v/>
      </c>
      <c r="AN503" s="36" t="str">
        <f aca="false">TRIM(AK503)</f>
        <v/>
      </c>
      <c r="AO503" s="36" t="str">
        <f aca="false">IF(AN503="Revenue","Revenue",IF(AN503="Cost of Goods Sold","COGS",IF(AN503="Expenditures","Expense",IF(AN503="Other Revenue","Other Revenue",IF(AN503="Other Expenditures","Other Expense",AO502)))))</f>
        <v/>
      </c>
      <c r="AP503" s="36" t="str">
        <f aca="false">IF(OR(AN503="Revenue",AN503="Cost of Goods Sold",AN503="Expenditures",AN503="Other Revenue",AN503="Other Expenditures"),AO503,IF(AND(LEN(AN503)&gt;2,MID(AN503,2,1)=" ",ISNUMBER(VALUE(LEFT(AN503,1)))),AN503,AP502))</f>
        <v/>
      </c>
      <c r="AQ503" s="36" t="n">
        <f aca="false">IF(AND(AN503&lt;&gt;"",ISNUMBER(AL503),LEFT(AN503,9)&lt;&gt;"Total for",AN503&lt;&gt;"Gross Profit",AN503&lt;&gt;"Net Operating Revenue",AN503&lt;&gt;"Net Other Revenue",AN503&lt;&gt;"Net Revenue"),1,0)</f>
        <v>0</v>
      </c>
      <c r="AR503" s="36" t="str">
        <f aca="false">IF(AQ503=1,IF(AND(LEN(AN503)&gt;7,ISNUMBER(VALUE(LEFT(AN503,6))),MID(AN503,7,1)=" "),LEFT(AN503,6),AN503),"")</f>
        <v/>
      </c>
    </row>
    <row r="504" customFormat="false" ht="15" hidden="false" customHeight="false" outlineLevel="0" collapsed="false">
      <c r="D504" s="36" t="str">
        <f aca="false">TRIM(A504)</f>
        <v/>
      </c>
      <c r="E504" s="36" t="str">
        <f aca="false">IF(D504="Revenue","Revenue",IF(D504="Cost of Goods Sold","COGS",IF(D504="Expenditures","Expense",IF(D504="Other Revenue","Other Revenue",IF(D504="Other Expenditures","Other Expense",E503)))))</f>
        <v/>
      </c>
      <c r="F504" s="36" t="str">
        <f aca="false">IF(OR(D504="Revenue",D504="Cost of Goods Sold",D504="Expenditures",D504="Other Revenue",D504="Other Expenditures"),E504,IF(AND(LEN(D504)&gt;2,MID(D504,2,1)=" ",ISNUMBER(VALUE(LEFT(D504,1)))),D504,F503))</f>
        <v/>
      </c>
      <c r="G504" s="36" t="n">
        <f aca="false">IF(AND(D504&lt;&gt;"",ISNUMBER(B504),LEFT(D504,9)&lt;&gt;"Total for",D504&lt;&gt;"Gross Profit",D504&lt;&gt;"Net Operating Revenue",D504&lt;&gt;"Net Other Revenue",D504&lt;&gt;"Net Revenue"),1,0)</f>
        <v>0</v>
      </c>
      <c r="H504" s="36" t="str">
        <f aca="false">IF(G504=1,IF(AND(LEN(D504)&gt;7,ISNUMBER(VALUE(LEFT(D504,6))),MID(D504,7,1)=" "),LEFT(D504,6),D504),"")</f>
        <v/>
      </c>
      <c r="M504" s="36" t="str">
        <f aca="false">TRIM(J504)</f>
        <v/>
      </c>
      <c r="N504" s="36" t="str">
        <f aca="false">IF(M504="Revenue","Revenue",IF(M504="Cost of Goods Sold","COGS",IF(M504="Expenditures","Expense",IF(M504="Other Revenue","Other Revenue",IF(M504="Other Expenditures","Other Expense",N503)))))</f>
        <v/>
      </c>
      <c r="O504" s="36" t="str">
        <f aca="false">IF(OR(M504="Revenue",M504="Cost of Goods Sold",M504="Expenditures",M504="Other Revenue",M504="Other Expenditures"),N504,IF(AND(LEN(M504)&gt;2,MID(M504,2,1)=" ",ISNUMBER(VALUE(LEFT(M504,1)))),M504,O503))</f>
        <v/>
      </c>
      <c r="P504" s="36" t="n">
        <f aca="false">IF(AND(M504&lt;&gt;"",ISNUMBER(K504),LEFT(M504,9)&lt;&gt;"Total for",M504&lt;&gt;"Gross Profit",M504&lt;&gt;"Net Operating Revenue",M504&lt;&gt;"Net Other Revenue",M504&lt;&gt;"Net Revenue"),1,0)</f>
        <v>0</v>
      </c>
      <c r="Q504" s="36" t="str">
        <f aca="false">IF(P504=1,IF(AND(LEN(M504)&gt;7,ISNUMBER(VALUE(LEFT(M504,6))),MID(M504,7,1)=" "),LEFT(M504,6),M504),"")</f>
        <v/>
      </c>
      <c r="V504" s="36" t="str">
        <f aca="false">TRIM(S504)</f>
        <v/>
      </c>
      <c r="W504" s="36" t="str">
        <f aca="false">IF(V504="Revenue","Revenue",IF(V504="Cost of Goods Sold","COGS",IF(V504="Expenditures","Expense",IF(V504="Other Revenue","Other Revenue",IF(V504="Other Expenditures","Other Expense",W503)))))</f>
        <v/>
      </c>
      <c r="X504" s="36" t="str">
        <f aca="false">IF(OR(V504="Revenue",V504="Cost of Goods Sold",V504="Expenditures",V504="Other Revenue",V504="Other Expenditures"),W504,IF(AND(LEN(V504)&gt;2,MID(V504,2,1)=" ",ISNUMBER(VALUE(LEFT(V504,1)))),V504,X503))</f>
        <v/>
      </c>
      <c r="Y504" s="36" t="n">
        <f aca="false">IF(AND(V504&lt;&gt;"",ISNUMBER(T504),LEFT(V504,9)&lt;&gt;"Total for",V504&lt;&gt;"Gross Profit",V504&lt;&gt;"Net Operating Revenue",V504&lt;&gt;"Net Other Revenue",V504&lt;&gt;"Net Revenue"),1,0)</f>
        <v>0</v>
      </c>
      <c r="Z504" s="36" t="str">
        <f aca="false">IF(Y504=1,IF(AND(LEN(V504)&gt;7,ISNUMBER(VALUE(LEFT(V504,6))),MID(V504,7,1)=" "),LEFT(V504,6),V504),"")</f>
        <v/>
      </c>
      <c r="AE504" s="36" t="str">
        <f aca="false">TRIM(AB504)</f>
        <v/>
      </c>
      <c r="AF504" s="36" t="str">
        <f aca="false">IF(AE504="Revenue","Revenue",IF(AE504="Cost of Goods Sold","COGS",IF(AE504="Expenditures","Expense",IF(AE504="Other Revenue","Other Revenue",IF(AE504="Other Expenditures","Other Expense",AF503)))))</f>
        <v/>
      </c>
      <c r="AG504" s="36" t="str">
        <f aca="false">IF(OR(AE504="Revenue",AE504="Cost of Goods Sold",AE504="Expenditures",AE504="Other Revenue",AE504="Other Expenditures"),AF504,IF(AND(LEN(AE504)&gt;2,MID(AE504,2,1)=" ",ISNUMBER(VALUE(LEFT(AE504,1)))),AE504,AG503))</f>
        <v/>
      </c>
      <c r="AH504" s="36" t="n">
        <f aca="false">IF(AND(AE504&lt;&gt;"",ISNUMBER(AC504),LEFT(AE504,9)&lt;&gt;"Total for",AE504&lt;&gt;"Gross Profit",AE504&lt;&gt;"Net Operating Revenue",AE504&lt;&gt;"Net Other Revenue",AE504&lt;&gt;"Net Revenue"),1,0)</f>
        <v>0</v>
      </c>
      <c r="AI504" s="36" t="str">
        <f aca="false">IF(AH504=1,IF(AND(LEN(AE504)&gt;7,ISNUMBER(VALUE(LEFT(AE504,6))),MID(AE504,7,1)=" "),LEFT(AE504,6),AE504),"")</f>
        <v/>
      </c>
      <c r="AN504" s="36" t="str">
        <f aca="false">TRIM(AK504)</f>
        <v/>
      </c>
      <c r="AO504" s="36" t="str">
        <f aca="false">IF(AN504="Revenue","Revenue",IF(AN504="Cost of Goods Sold","COGS",IF(AN504="Expenditures","Expense",IF(AN504="Other Revenue","Other Revenue",IF(AN504="Other Expenditures","Other Expense",AO503)))))</f>
        <v/>
      </c>
      <c r="AP504" s="36" t="str">
        <f aca="false">IF(OR(AN504="Revenue",AN504="Cost of Goods Sold",AN504="Expenditures",AN504="Other Revenue",AN504="Other Expenditures"),AO504,IF(AND(LEN(AN504)&gt;2,MID(AN504,2,1)=" ",ISNUMBER(VALUE(LEFT(AN504,1)))),AN504,AP503))</f>
        <v/>
      </c>
      <c r="AQ504" s="36" t="n">
        <f aca="false">IF(AND(AN504&lt;&gt;"",ISNUMBER(AL504),LEFT(AN504,9)&lt;&gt;"Total for",AN504&lt;&gt;"Gross Profit",AN504&lt;&gt;"Net Operating Revenue",AN504&lt;&gt;"Net Other Revenue",AN504&lt;&gt;"Net Revenue"),1,0)</f>
        <v>0</v>
      </c>
      <c r="AR504" s="36" t="str">
        <f aca="false">IF(AQ504=1,IF(AND(LEN(AN504)&gt;7,ISNUMBER(VALUE(LEFT(AN504,6))),MID(AN504,7,1)=" "),LEFT(AN504,6),AN504),"")</f>
        <v/>
      </c>
    </row>
    <row r="505" customFormat="false" ht="15" hidden="false" customHeight="false" outlineLevel="0" collapsed="false">
      <c r="D505" s="36" t="str">
        <f aca="false">TRIM(A505)</f>
        <v/>
      </c>
      <c r="E505" s="36" t="str">
        <f aca="false">IF(D505="Revenue","Revenue",IF(D505="Cost of Goods Sold","COGS",IF(D505="Expenditures","Expense",IF(D505="Other Revenue","Other Revenue",IF(D505="Other Expenditures","Other Expense",E504)))))</f>
        <v/>
      </c>
      <c r="F505" s="36" t="str">
        <f aca="false">IF(OR(D505="Revenue",D505="Cost of Goods Sold",D505="Expenditures",D505="Other Revenue",D505="Other Expenditures"),E505,IF(AND(LEN(D505)&gt;2,MID(D505,2,1)=" ",ISNUMBER(VALUE(LEFT(D505,1)))),D505,F504))</f>
        <v/>
      </c>
      <c r="G505" s="36" t="n">
        <f aca="false">IF(AND(D505&lt;&gt;"",ISNUMBER(B505),LEFT(D505,9)&lt;&gt;"Total for",D505&lt;&gt;"Gross Profit",D505&lt;&gt;"Net Operating Revenue",D505&lt;&gt;"Net Other Revenue",D505&lt;&gt;"Net Revenue"),1,0)</f>
        <v>0</v>
      </c>
      <c r="H505" s="36" t="str">
        <f aca="false">IF(G505=1,IF(AND(LEN(D505)&gt;7,ISNUMBER(VALUE(LEFT(D505,6))),MID(D505,7,1)=" "),LEFT(D505,6),D505),"")</f>
        <v/>
      </c>
      <c r="M505" s="36" t="str">
        <f aca="false">TRIM(J505)</f>
        <v/>
      </c>
      <c r="N505" s="36" t="str">
        <f aca="false">IF(M505="Revenue","Revenue",IF(M505="Cost of Goods Sold","COGS",IF(M505="Expenditures","Expense",IF(M505="Other Revenue","Other Revenue",IF(M505="Other Expenditures","Other Expense",N504)))))</f>
        <v/>
      </c>
      <c r="O505" s="36" t="str">
        <f aca="false">IF(OR(M505="Revenue",M505="Cost of Goods Sold",M505="Expenditures",M505="Other Revenue",M505="Other Expenditures"),N505,IF(AND(LEN(M505)&gt;2,MID(M505,2,1)=" ",ISNUMBER(VALUE(LEFT(M505,1)))),M505,O504))</f>
        <v/>
      </c>
      <c r="P505" s="36" t="n">
        <f aca="false">IF(AND(M505&lt;&gt;"",ISNUMBER(K505),LEFT(M505,9)&lt;&gt;"Total for",M505&lt;&gt;"Gross Profit",M505&lt;&gt;"Net Operating Revenue",M505&lt;&gt;"Net Other Revenue",M505&lt;&gt;"Net Revenue"),1,0)</f>
        <v>0</v>
      </c>
      <c r="Q505" s="36" t="str">
        <f aca="false">IF(P505=1,IF(AND(LEN(M505)&gt;7,ISNUMBER(VALUE(LEFT(M505,6))),MID(M505,7,1)=" "),LEFT(M505,6),M505),"")</f>
        <v/>
      </c>
      <c r="V505" s="36" t="str">
        <f aca="false">TRIM(S505)</f>
        <v/>
      </c>
      <c r="W505" s="36" t="str">
        <f aca="false">IF(V505="Revenue","Revenue",IF(V505="Cost of Goods Sold","COGS",IF(V505="Expenditures","Expense",IF(V505="Other Revenue","Other Revenue",IF(V505="Other Expenditures","Other Expense",W504)))))</f>
        <v/>
      </c>
      <c r="X505" s="36" t="str">
        <f aca="false">IF(OR(V505="Revenue",V505="Cost of Goods Sold",V505="Expenditures",V505="Other Revenue",V505="Other Expenditures"),W505,IF(AND(LEN(V505)&gt;2,MID(V505,2,1)=" ",ISNUMBER(VALUE(LEFT(V505,1)))),V505,X504))</f>
        <v/>
      </c>
      <c r="Y505" s="36" t="n">
        <f aca="false">IF(AND(V505&lt;&gt;"",ISNUMBER(T505),LEFT(V505,9)&lt;&gt;"Total for",V505&lt;&gt;"Gross Profit",V505&lt;&gt;"Net Operating Revenue",V505&lt;&gt;"Net Other Revenue",V505&lt;&gt;"Net Revenue"),1,0)</f>
        <v>0</v>
      </c>
      <c r="Z505" s="36" t="str">
        <f aca="false">IF(Y505=1,IF(AND(LEN(V505)&gt;7,ISNUMBER(VALUE(LEFT(V505,6))),MID(V505,7,1)=" "),LEFT(V505,6),V505),"")</f>
        <v/>
      </c>
      <c r="AE505" s="36" t="str">
        <f aca="false">TRIM(AB505)</f>
        <v/>
      </c>
      <c r="AF505" s="36" t="str">
        <f aca="false">IF(AE505="Revenue","Revenue",IF(AE505="Cost of Goods Sold","COGS",IF(AE505="Expenditures","Expense",IF(AE505="Other Revenue","Other Revenue",IF(AE505="Other Expenditures","Other Expense",AF504)))))</f>
        <v/>
      </c>
      <c r="AG505" s="36" t="str">
        <f aca="false">IF(OR(AE505="Revenue",AE505="Cost of Goods Sold",AE505="Expenditures",AE505="Other Revenue",AE505="Other Expenditures"),AF505,IF(AND(LEN(AE505)&gt;2,MID(AE505,2,1)=" ",ISNUMBER(VALUE(LEFT(AE505,1)))),AE505,AG504))</f>
        <v/>
      </c>
      <c r="AH505" s="36" t="n">
        <f aca="false">IF(AND(AE505&lt;&gt;"",ISNUMBER(AC505),LEFT(AE505,9)&lt;&gt;"Total for",AE505&lt;&gt;"Gross Profit",AE505&lt;&gt;"Net Operating Revenue",AE505&lt;&gt;"Net Other Revenue",AE505&lt;&gt;"Net Revenue"),1,0)</f>
        <v>0</v>
      </c>
      <c r="AI505" s="36" t="str">
        <f aca="false">IF(AH505=1,IF(AND(LEN(AE505)&gt;7,ISNUMBER(VALUE(LEFT(AE505,6))),MID(AE505,7,1)=" "),LEFT(AE505,6),AE505),"")</f>
        <v/>
      </c>
      <c r="AN505" s="36" t="str">
        <f aca="false">TRIM(AK505)</f>
        <v/>
      </c>
      <c r="AO505" s="36" t="str">
        <f aca="false">IF(AN505="Revenue","Revenue",IF(AN505="Cost of Goods Sold","COGS",IF(AN505="Expenditures","Expense",IF(AN505="Other Revenue","Other Revenue",IF(AN505="Other Expenditures","Other Expense",AO504)))))</f>
        <v/>
      </c>
      <c r="AP505" s="36" t="str">
        <f aca="false">IF(OR(AN505="Revenue",AN505="Cost of Goods Sold",AN505="Expenditures",AN505="Other Revenue",AN505="Other Expenditures"),AO505,IF(AND(LEN(AN505)&gt;2,MID(AN505,2,1)=" ",ISNUMBER(VALUE(LEFT(AN505,1)))),AN505,AP504))</f>
        <v/>
      </c>
      <c r="AQ505" s="36" t="n">
        <f aca="false">IF(AND(AN505&lt;&gt;"",ISNUMBER(AL505),LEFT(AN505,9)&lt;&gt;"Total for",AN505&lt;&gt;"Gross Profit",AN505&lt;&gt;"Net Operating Revenue",AN505&lt;&gt;"Net Other Revenue",AN505&lt;&gt;"Net Revenue"),1,0)</f>
        <v>0</v>
      </c>
      <c r="AR505" s="36" t="str">
        <f aca="false">IF(AQ505=1,IF(AND(LEN(AN505)&gt;7,ISNUMBER(VALUE(LEFT(AN505,6))),MID(AN505,7,1)=" "),LEFT(AN505,6),AN505),"")</f>
        <v/>
      </c>
    </row>
    <row r="506" customFormat="false" ht="15" hidden="false" customHeight="false" outlineLevel="0" collapsed="false">
      <c r="D506" s="36" t="str">
        <f aca="false">TRIM(A506)</f>
        <v/>
      </c>
      <c r="E506" s="36" t="str">
        <f aca="false">IF(D506="Revenue","Revenue",IF(D506="Cost of Goods Sold","COGS",IF(D506="Expenditures","Expense",IF(D506="Other Revenue","Other Revenue",IF(D506="Other Expenditures","Other Expense",E505)))))</f>
        <v/>
      </c>
      <c r="F506" s="36" t="str">
        <f aca="false">IF(OR(D506="Revenue",D506="Cost of Goods Sold",D506="Expenditures",D506="Other Revenue",D506="Other Expenditures"),E506,IF(AND(LEN(D506)&gt;2,MID(D506,2,1)=" ",ISNUMBER(VALUE(LEFT(D506,1)))),D506,F505))</f>
        <v/>
      </c>
      <c r="G506" s="36" t="n">
        <f aca="false">IF(AND(D506&lt;&gt;"",ISNUMBER(B506),LEFT(D506,9)&lt;&gt;"Total for",D506&lt;&gt;"Gross Profit",D506&lt;&gt;"Net Operating Revenue",D506&lt;&gt;"Net Other Revenue",D506&lt;&gt;"Net Revenue"),1,0)</f>
        <v>0</v>
      </c>
      <c r="H506" s="36" t="str">
        <f aca="false">IF(G506=1,IF(AND(LEN(D506)&gt;7,ISNUMBER(VALUE(LEFT(D506,6))),MID(D506,7,1)=" "),LEFT(D506,6),D506),"")</f>
        <v/>
      </c>
      <c r="M506" s="36" t="str">
        <f aca="false">TRIM(J506)</f>
        <v/>
      </c>
      <c r="N506" s="36" t="str">
        <f aca="false">IF(M506="Revenue","Revenue",IF(M506="Cost of Goods Sold","COGS",IF(M506="Expenditures","Expense",IF(M506="Other Revenue","Other Revenue",IF(M506="Other Expenditures","Other Expense",N505)))))</f>
        <v/>
      </c>
      <c r="O506" s="36" t="str">
        <f aca="false">IF(OR(M506="Revenue",M506="Cost of Goods Sold",M506="Expenditures",M506="Other Revenue",M506="Other Expenditures"),N506,IF(AND(LEN(M506)&gt;2,MID(M506,2,1)=" ",ISNUMBER(VALUE(LEFT(M506,1)))),M506,O505))</f>
        <v/>
      </c>
      <c r="P506" s="36" t="n">
        <f aca="false">IF(AND(M506&lt;&gt;"",ISNUMBER(K506),LEFT(M506,9)&lt;&gt;"Total for",M506&lt;&gt;"Gross Profit",M506&lt;&gt;"Net Operating Revenue",M506&lt;&gt;"Net Other Revenue",M506&lt;&gt;"Net Revenue"),1,0)</f>
        <v>0</v>
      </c>
      <c r="Q506" s="36" t="str">
        <f aca="false">IF(P506=1,IF(AND(LEN(M506)&gt;7,ISNUMBER(VALUE(LEFT(M506,6))),MID(M506,7,1)=" "),LEFT(M506,6),M506),"")</f>
        <v/>
      </c>
      <c r="V506" s="36" t="str">
        <f aca="false">TRIM(S506)</f>
        <v/>
      </c>
      <c r="W506" s="36" t="str">
        <f aca="false">IF(V506="Revenue","Revenue",IF(V506="Cost of Goods Sold","COGS",IF(V506="Expenditures","Expense",IF(V506="Other Revenue","Other Revenue",IF(V506="Other Expenditures","Other Expense",W505)))))</f>
        <v/>
      </c>
      <c r="X506" s="36" t="str">
        <f aca="false">IF(OR(V506="Revenue",V506="Cost of Goods Sold",V506="Expenditures",V506="Other Revenue",V506="Other Expenditures"),W506,IF(AND(LEN(V506)&gt;2,MID(V506,2,1)=" ",ISNUMBER(VALUE(LEFT(V506,1)))),V506,X505))</f>
        <v/>
      </c>
      <c r="Y506" s="36" t="n">
        <f aca="false">IF(AND(V506&lt;&gt;"",ISNUMBER(T506),LEFT(V506,9)&lt;&gt;"Total for",V506&lt;&gt;"Gross Profit",V506&lt;&gt;"Net Operating Revenue",V506&lt;&gt;"Net Other Revenue",V506&lt;&gt;"Net Revenue"),1,0)</f>
        <v>0</v>
      </c>
      <c r="Z506" s="36" t="str">
        <f aca="false">IF(Y506=1,IF(AND(LEN(V506)&gt;7,ISNUMBER(VALUE(LEFT(V506,6))),MID(V506,7,1)=" "),LEFT(V506,6),V506),"")</f>
        <v/>
      </c>
      <c r="AE506" s="36" t="str">
        <f aca="false">TRIM(AB506)</f>
        <v/>
      </c>
      <c r="AF506" s="36" t="str">
        <f aca="false">IF(AE506="Revenue","Revenue",IF(AE506="Cost of Goods Sold","COGS",IF(AE506="Expenditures","Expense",IF(AE506="Other Revenue","Other Revenue",IF(AE506="Other Expenditures","Other Expense",AF505)))))</f>
        <v/>
      </c>
      <c r="AG506" s="36" t="str">
        <f aca="false">IF(OR(AE506="Revenue",AE506="Cost of Goods Sold",AE506="Expenditures",AE506="Other Revenue",AE506="Other Expenditures"),AF506,IF(AND(LEN(AE506)&gt;2,MID(AE506,2,1)=" ",ISNUMBER(VALUE(LEFT(AE506,1)))),AE506,AG505))</f>
        <v/>
      </c>
      <c r="AH506" s="36" t="n">
        <f aca="false">IF(AND(AE506&lt;&gt;"",ISNUMBER(AC506),LEFT(AE506,9)&lt;&gt;"Total for",AE506&lt;&gt;"Gross Profit",AE506&lt;&gt;"Net Operating Revenue",AE506&lt;&gt;"Net Other Revenue",AE506&lt;&gt;"Net Revenue"),1,0)</f>
        <v>0</v>
      </c>
      <c r="AI506" s="36" t="str">
        <f aca="false">IF(AH506=1,IF(AND(LEN(AE506)&gt;7,ISNUMBER(VALUE(LEFT(AE506,6))),MID(AE506,7,1)=" "),LEFT(AE506,6),AE506),"")</f>
        <v/>
      </c>
      <c r="AN506" s="36" t="str">
        <f aca="false">TRIM(AK506)</f>
        <v/>
      </c>
      <c r="AO506" s="36" t="str">
        <f aca="false">IF(AN506="Revenue","Revenue",IF(AN506="Cost of Goods Sold","COGS",IF(AN506="Expenditures","Expense",IF(AN506="Other Revenue","Other Revenue",IF(AN506="Other Expenditures","Other Expense",AO505)))))</f>
        <v/>
      </c>
      <c r="AP506" s="36" t="str">
        <f aca="false">IF(OR(AN506="Revenue",AN506="Cost of Goods Sold",AN506="Expenditures",AN506="Other Revenue",AN506="Other Expenditures"),AO506,IF(AND(LEN(AN506)&gt;2,MID(AN506,2,1)=" ",ISNUMBER(VALUE(LEFT(AN506,1)))),AN506,AP505))</f>
        <v/>
      </c>
      <c r="AQ506" s="36" t="n">
        <f aca="false">IF(AND(AN506&lt;&gt;"",ISNUMBER(AL506),LEFT(AN506,9)&lt;&gt;"Total for",AN506&lt;&gt;"Gross Profit",AN506&lt;&gt;"Net Operating Revenue",AN506&lt;&gt;"Net Other Revenue",AN506&lt;&gt;"Net Revenue"),1,0)</f>
        <v>0</v>
      </c>
      <c r="AR506" s="36" t="str">
        <f aca="false">IF(AQ506=1,IF(AND(LEN(AN506)&gt;7,ISNUMBER(VALUE(LEFT(AN506,6))),MID(AN506,7,1)=" "),LEFT(AN506,6),AN506),"")</f>
        <v/>
      </c>
    </row>
    <row r="507" customFormat="false" ht="15" hidden="false" customHeight="false" outlineLevel="0" collapsed="false">
      <c r="D507" s="36" t="str">
        <f aca="false">TRIM(A507)</f>
        <v/>
      </c>
      <c r="E507" s="36" t="str">
        <f aca="false">IF(D507="Revenue","Revenue",IF(D507="Cost of Goods Sold","COGS",IF(D507="Expenditures","Expense",IF(D507="Other Revenue","Other Revenue",IF(D507="Other Expenditures","Other Expense",E506)))))</f>
        <v/>
      </c>
      <c r="F507" s="36" t="str">
        <f aca="false">IF(OR(D507="Revenue",D507="Cost of Goods Sold",D507="Expenditures",D507="Other Revenue",D507="Other Expenditures"),E507,IF(AND(LEN(D507)&gt;2,MID(D507,2,1)=" ",ISNUMBER(VALUE(LEFT(D507,1)))),D507,F506))</f>
        <v/>
      </c>
      <c r="G507" s="36" t="n">
        <f aca="false">IF(AND(D507&lt;&gt;"",ISNUMBER(B507),LEFT(D507,9)&lt;&gt;"Total for",D507&lt;&gt;"Gross Profit",D507&lt;&gt;"Net Operating Revenue",D507&lt;&gt;"Net Other Revenue",D507&lt;&gt;"Net Revenue"),1,0)</f>
        <v>0</v>
      </c>
      <c r="H507" s="36" t="str">
        <f aca="false">IF(G507=1,IF(AND(LEN(D507)&gt;7,ISNUMBER(VALUE(LEFT(D507,6))),MID(D507,7,1)=" "),LEFT(D507,6),D507),"")</f>
        <v/>
      </c>
      <c r="M507" s="36" t="str">
        <f aca="false">TRIM(J507)</f>
        <v/>
      </c>
      <c r="N507" s="36" t="str">
        <f aca="false">IF(M507="Revenue","Revenue",IF(M507="Cost of Goods Sold","COGS",IF(M507="Expenditures","Expense",IF(M507="Other Revenue","Other Revenue",IF(M507="Other Expenditures","Other Expense",N506)))))</f>
        <v/>
      </c>
      <c r="O507" s="36" t="str">
        <f aca="false">IF(OR(M507="Revenue",M507="Cost of Goods Sold",M507="Expenditures",M507="Other Revenue",M507="Other Expenditures"),N507,IF(AND(LEN(M507)&gt;2,MID(M507,2,1)=" ",ISNUMBER(VALUE(LEFT(M507,1)))),M507,O506))</f>
        <v/>
      </c>
      <c r="P507" s="36" t="n">
        <f aca="false">IF(AND(M507&lt;&gt;"",ISNUMBER(K507),LEFT(M507,9)&lt;&gt;"Total for",M507&lt;&gt;"Gross Profit",M507&lt;&gt;"Net Operating Revenue",M507&lt;&gt;"Net Other Revenue",M507&lt;&gt;"Net Revenue"),1,0)</f>
        <v>0</v>
      </c>
      <c r="Q507" s="36" t="str">
        <f aca="false">IF(P507=1,IF(AND(LEN(M507)&gt;7,ISNUMBER(VALUE(LEFT(M507,6))),MID(M507,7,1)=" "),LEFT(M507,6),M507),"")</f>
        <v/>
      </c>
      <c r="V507" s="36" t="str">
        <f aca="false">TRIM(S507)</f>
        <v/>
      </c>
      <c r="W507" s="36" t="str">
        <f aca="false">IF(V507="Revenue","Revenue",IF(V507="Cost of Goods Sold","COGS",IF(V507="Expenditures","Expense",IF(V507="Other Revenue","Other Revenue",IF(V507="Other Expenditures","Other Expense",W506)))))</f>
        <v/>
      </c>
      <c r="X507" s="36" t="str">
        <f aca="false">IF(OR(V507="Revenue",V507="Cost of Goods Sold",V507="Expenditures",V507="Other Revenue",V507="Other Expenditures"),W507,IF(AND(LEN(V507)&gt;2,MID(V507,2,1)=" ",ISNUMBER(VALUE(LEFT(V507,1)))),V507,X506))</f>
        <v/>
      </c>
      <c r="Y507" s="36" t="n">
        <f aca="false">IF(AND(V507&lt;&gt;"",ISNUMBER(T507),LEFT(V507,9)&lt;&gt;"Total for",V507&lt;&gt;"Gross Profit",V507&lt;&gt;"Net Operating Revenue",V507&lt;&gt;"Net Other Revenue",V507&lt;&gt;"Net Revenue"),1,0)</f>
        <v>0</v>
      </c>
      <c r="Z507" s="36" t="str">
        <f aca="false">IF(Y507=1,IF(AND(LEN(V507)&gt;7,ISNUMBER(VALUE(LEFT(V507,6))),MID(V507,7,1)=" "),LEFT(V507,6),V507),"")</f>
        <v/>
      </c>
      <c r="AE507" s="36" t="str">
        <f aca="false">TRIM(AB507)</f>
        <v/>
      </c>
      <c r="AF507" s="36" t="str">
        <f aca="false">IF(AE507="Revenue","Revenue",IF(AE507="Cost of Goods Sold","COGS",IF(AE507="Expenditures","Expense",IF(AE507="Other Revenue","Other Revenue",IF(AE507="Other Expenditures","Other Expense",AF506)))))</f>
        <v/>
      </c>
      <c r="AG507" s="36" t="str">
        <f aca="false">IF(OR(AE507="Revenue",AE507="Cost of Goods Sold",AE507="Expenditures",AE507="Other Revenue",AE507="Other Expenditures"),AF507,IF(AND(LEN(AE507)&gt;2,MID(AE507,2,1)=" ",ISNUMBER(VALUE(LEFT(AE507,1)))),AE507,AG506))</f>
        <v/>
      </c>
      <c r="AH507" s="36" t="n">
        <f aca="false">IF(AND(AE507&lt;&gt;"",ISNUMBER(AC507),LEFT(AE507,9)&lt;&gt;"Total for",AE507&lt;&gt;"Gross Profit",AE507&lt;&gt;"Net Operating Revenue",AE507&lt;&gt;"Net Other Revenue",AE507&lt;&gt;"Net Revenue"),1,0)</f>
        <v>0</v>
      </c>
      <c r="AI507" s="36" t="str">
        <f aca="false">IF(AH507=1,IF(AND(LEN(AE507)&gt;7,ISNUMBER(VALUE(LEFT(AE507,6))),MID(AE507,7,1)=" "),LEFT(AE507,6),AE507),"")</f>
        <v/>
      </c>
      <c r="AN507" s="36" t="str">
        <f aca="false">TRIM(AK507)</f>
        <v/>
      </c>
      <c r="AO507" s="36" t="str">
        <f aca="false">IF(AN507="Revenue","Revenue",IF(AN507="Cost of Goods Sold","COGS",IF(AN507="Expenditures","Expense",IF(AN507="Other Revenue","Other Revenue",IF(AN507="Other Expenditures","Other Expense",AO506)))))</f>
        <v/>
      </c>
      <c r="AP507" s="36" t="str">
        <f aca="false">IF(OR(AN507="Revenue",AN507="Cost of Goods Sold",AN507="Expenditures",AN507="Other Revenue",AN507="Other Expenditures"),AO507,IF(AND(LEN(AN507)&gt;2,MID(AN507,2,1)=" ",ISNUMBER(VALUE(LEFT(AN507,1)))),AN507,AP506))</f>
        <v/>
      </c>
      <c r="AQ507" s="36" t="n">
        <f aca="false">IF(AND(AN507&lt;&gt;"",ISNUMBER(AL507),LEFT(AN507,9)&lt;&gt;"Total for",AN507&lt;&gt;"Gross Profit",AN507&lt;&gt;"Net Operating Revenue",AN507&lt;&gt;"Net Other Revenue",AN507&lt;&gt;"Net Revenue"),1,0)</f>
        <v>0</v>
      </c>
      <c r="AR507" s="36" t="str">
        <f aca="false">IF(AQ507=1,IF(AND(LEN(AN507)&gt;7,ISNUMBER(VALUE(LEFT(AN507,6))),MID(AN507,7,1)=" "),LEFT(AN507,6),AN507),"")</f>
        <v/>
      </c>
    </row>
    <row r="508" customFormat="false" ht="15" hidden="false" customHeight="false" outlineLevel="0" collapsed="false">
      <c r="D508" s="36" t="str">
        <f aca="false">TRIM(A508)</f>
        <v/>
      </c>
      <c r="E508" s="36" t="str">
        <f aca="false">IF(D508="Revenue","Revenue",IF(D508="Cost of Goods Sold","COGS",IF(D508="Expenditures","Expense",IF(D508="Other Revenue","Other Revenue",IF(D508="Other Expenditures","Other Expense",E507)))))</f>
        <v/>
      </c>
      <c r="F508" s="36" t="str">
        <f aca="false">IF(OR(D508="Revenue",D508="Cost of Goods Sold",D508="Expenditures",D508="Other Revenue",D508="Other Expenditures"),E508,IF(AND(LEN(D508)&gt;2,MID(D508,2,1)=" ",ISNUMBER(VALUE(LEFT(D508,1)))),D508,F507))</f>
        <v/>
      </c>
      <c r="G508" s="36" t="n">
        <f aca="false">IF(AND(D508&lt;&gt;"",ISNUMBER(B508),LEFT(D508,9)&lt;&gt;"Total for",D508&lt;&gt;"Gross Profit",D508&lt;&gt;"Net Operating Revenue",D508&lt;&gt;"Net Other Revenue",D508&lt;&gt;"Net Revenue"),1,0)</f>
        <v>0</v>
      </c>
      <c r="H508" s="36" t="str">
        <f aca="false">IF(G508=1,IF(AND(LEN(D508)&gt;7,ISNUMBER(VALUE(LEFT(D508,6))),MID(D508,7,1)=" "),LEFT(D508,6),D508),"")</f>
        <v/>
      </c>
      <c r="M508" s="36" t="str">
        <f aca="false">TRIM(J508)</f>
        <v/>
      </c>
      <c r="N508" s="36" t="str">
        <f aca="false">IF(M508="Revenue","Revenue",IF(M508="Cost of Goods Sold","COGS",IF(M508="Expenditures","Expense",IF(M508="Other Revenue","Other Revenue",IF(M508="Other Expenditures","Other Expense",N507)))))</f>
        <v/>
      </c>
      <c r="O508" s="36" t="str">
        <f aca="false">IF(OR(M508="Revenue",M508="Cost of Goods Sold",M508="Expenditures",M508="Other Revenue",M508="Other Expenditures"),N508,IF(AND(LEN(M508)&gt;2,MID(M508,2,1)=" ",ISNUMBER(VALUE(LEFT(M508,1)))),M508,O507))</f>
        <v/>
      </c>
      <c r="P508" s="36" t="n">
        <f aca="false">IF(AND(M508&lt;&gt;"",ISNUMBER(K508),LEFT(M508,9)&lt;&gt;"Total for",M508&lt;&gt;"Gross Profit",M508&lt;&gt;"Net Operating Revenue",M508&lt;&gt;"Net Other Revenue",M508&lt;&gt;"Net Revenue"),1,0)</f>
        <v>0</v>
      </c>
      <c r="Q508" s="36" t="str">
        <f aca="false">IF(P508=1,IF(AND(LEN(M508)&gt;7,ISNUMBER(VALUE(LEFT(M508,6))),MID(M508,7,1)=" "),LEFT(M508,6),M508),"")</f>
        <v/>
      </c>
      <c r="V508" s="36" t="str">
        <f aca="false">TRIM(S508)</f>
        <v/>
      </c>
      <c r="W508" s="36" t="str">
        <f aca="false">IF(V508="Revenue","Revenue",IF(V508="Cost of Goods Sold","COGS",IF(V508="Expenditures","Expense",IF(V508="Other Revenue","Other Revenue",IF(V508="Other Expenditures","Other Expense",W507)))))</f>
        <v/>
      </c>
      <c r="X508" s="36" t="str">
        <f aca="false">IF(OR(V508="Revenue",V508="Cost of Goods Sold",V508="Expenditures",V508="Other Revenue",V508="Other Expenditures"),W508,IF(AND(LEN(V508)&gt;2,MID(V508,2,1)=" ",ISNUMBER(VALUE(LEFT(V508,1)))),V508,X507))</f>
        <v/>
      </c>
      <c r="Y508" s="36" t="n">
        <f aca="false">IF(AND(V508&lt;&gt;"",ISNUMBER(T508),LEFT(V508,9)&lt;&gt;"Total for",V508&lt;&gt;"Gross Profit",V508&lt;&gt;"Net Operating Revenue",V508&lt;&gt;"Net Other Revenue",V508&lt;&gt;"Net Revenue"),1,0)</f>
        <v>0</v>
      </c>
      <c r="Z508" s="36" t="str">
        <f aca="false">IF(Y508=1,IF(AND(LEN(V508)&gt;7,ISNUMBER(VALUE(LEFT(V508,6))),MID(V508,7,1)=" "),LEFT(V508,6),V508),"")</f>
        <v/>
      </c>
      <c r="AE508" s="36" t="str">
        <f aca="false">TRIM(AB508)</f>
        <v/>
      </c>
      <c r="AF508" s="36" t="str">
        <f aca="false">IF(AE508="Revenue","Revenue",IF(AE508="Cost of Goods Sold","COGS",IF(AE508="Expenditures","Expense",IF(AE508="Other Revenue","Other Revenue",IF(AE508="Other Expenditures","Other Expense",AF507)))))</f>
        <v/>
      </c>
      <c r="AG508" s="36" t="str">
        <f aca="false">IF(OR(AE508="Revenue",AE508="Cost of Goods Sold",AE508="Expenditures",AE508="Other Revenue",AE508="Other Expenditures"),AF508,IF(AND(LEN(AE508)&gt;2,MID(AE508,2,1)=" ",ISNUMBER(VALUE(LEFT(AE508,1)))),AE508,AG507))</f>
        <v/>
      </c>
      <c r="AH508" s="36" t="n">
        <f aca="false">IF(AND(AE508&lt;&gt;"",ISNUMBER(AC508),LEFT(AE508,9)&lt;&gt;"Total for",AE508&lt;&gt;"Gross Profit",AE508&lt;&gt;"Net Operating Revenue",AE508&lt;&gt;"Net Other Revenue",AE508&lt;&gt;"Net Revenue"),1,0)</f>
        <v>0</v>
      </c>
      <c r="AI508" s="36" t="str">
        <f aca="false">IF(AH508=1,IF(AND(LEN(AE508)&gt;7,ISNUMBER(VALUE(LEFT(AE508,6))),MID(AE508,7,1)=" "),LEFT(AE508,6),AE508),"")</f>
        <v/>
      </c>
      <c r="AN508" s="36" t="str">
        <f aca="false">TRIM(AK508)</f>
        <v/>
      </c>
      <c r="AO508" s="36" t="str">
        <f aca="false">IF(AN508="Revenue","Revenue",IF(AN508="Cost of Goods Sold","COGS",IF(AN508="Expenditures","Expense",IF(AN508="Other Revenue","Other Revenue",IF(AN508="Other Expenditures","Other Expense",AO507)))))</f>
        <v/>
      </c>
      <c r="AP508" s="36" t="str">
        <f aca="false">IF(OR(AN508="Revenue",AN508="Cost of Goods Sold",AN508="Expenditures",AN508="Other Revenue",AN508="Other Expenditures"),AO508,IF(AND(LEN(AN508)&gt;2,MID(AN508,2,1)=" ",ISNUMBER(VALUE(LEFT(AN508,1)))),AN508,AP507))</f>
        <v/>
      </c>
      <c r="AQ508" s="36" t="n">
        <f aca="false">IF(AND(AN508&lt;&gt;"",ISNUMBER(AL508),LEFT(AN508,9)&lt;&gt;"Total for",AN508&lt;&gt;"Gross Profit",AN508&lt;&gt;"Net Operating Revenue",AN508&lt;&gt;"Net Other Revenue",AN508&lt;&gt;"Net Revenue"),1,0)</f>
        <v>0</v>
      </c>
      <c r="AR508" s="36" t="str">
        <f aca="false">IF(AQ508=1,IF(AND(LEN(AN508)&gt;7,ISNUMBER(VALUE(LEFT(AN508,6))),MID(AN508,7,1)=" "),LEFT(AN508,6),AN508),"")</f>
        <v/>
      </c>
    </row>
    <row r="509" customFormat="false" ht="15" hidden="false" customHeight="false" outlineLevel="0" collapsed="false">
      <c r="D509" s="36" t="str">
        <f aca="false">TRIM(A509)</f>
        <v/>
      </c>
      <c r="E509" s="36" t="str">
        <f aca="false">IF(D509="Revenue","Revenue",IF(D509="Cost of Goods Sold","COGS",IF(D509="Expenditures","Expense",IF(D509="Other Revenue","Other Revenue",IF(D509="Other Expenditures","Other Expense",E508)))))</f>
        <v/>
      </c>
      <c r="F509" s="36" t="str">
        <f aca="false">IF(OR(D509="Revenue",D509="Cost of Goods Sold",D509="Expenditures",D509="Other Revenue",D509="Other Expenditures"),E509,IF(AND(LEN(D509)&gt;2,MID(D509,2,1)=" ",ISNUMBER(VALUE(LEFT(D509,1)))),D509,F508))</f>
        <v/>
      </c>
      <c r="G509" s="36" t="n">
        <f aca="false">IF(AND(D509&lt;&gt;"",ISNUMBER(B509),LEFT(D509,9)&lt;&gt;"Total for",D509&lt;&gt;"Gross Profit",D509&lt;&gt;"Net Operating Revenue",D509&lt;&gt;"Net Other Revenue",D509&lt;&gt;"Net Revenue"),1,0)</f>
        <v>0</v>
      </c>
      <c r="H509" s="36" t="str">
        <f aca="false">IF(G509=1,IF(AND(LEN(D509)&gt;7,ISNUMBER(VALUE(LEFT(D509,6))),MID(D509,7,1)=" "),LEFT(D509,6),D509),"")</f>
        <v/>
      </c>
      <c r="M509" s="36" t="str">
        <f aca="false">TRIM(J509)</f>
        <v/>
      </c>
      <c r="N509" s="36" t="str">
        <f aca="false">IF(M509="Revenue","Revenue",IF(M509="Cost of Goods Sold","COGS",IF(M509="Expenditures","Expense",IF(M509="Other Revenue","Other Revenue",IF(M509="Other Expenditures","Other Expense",N508)))))</f>
        <v/>
      </c>
      <c r="O509" s="36" t="str">
        <f aca="false">IF(OR(M509="Revenue",M509="Cost of Goods Sold",M509="Expenditures",M509="Other Revenue",M509="Other Expenditures"),N509,IF(AND(LEN(M509)&gt;2,MID(M509,2,1)=" ",ISNUMBER(VALUE(LEFT(M509,1)))),M509,O508))</f>
        <v/>
      </c>
      <c r="P509" s="36" t="n">
        <f aca="false">IF(AND(M509&lt;&gt;"",ISNUMBER(K509),LEFT(M509,9)&lt;&gt;"Total for",M509&lt;&gt;"Gross Profit",M509&lt;&gt;"Net Operating Revenue",M509&lt;&gt;"Net Other Revenue",M509&lt;&gt;"Net Revenue"),1,0)</f>
        <v>0</v>
      </c>
      <c r="Q509" s="36" t="str">
        <f aca="false">IF(P509=1,IF(AND(LEN(M509)&gt;7,ISNUMBER(VALUE(LEFT(M509,6))),MID(M509,7,1)=" "),LEFT(M509,6),M509),"")</f>
        <v/>
      </c>
      <c r="V509" s="36" t="str">
        <f aca="false">TRIM(S509)</f>
        <v/>
      </c>
      <c r="W509" s="36" t="str">
        <f aca="false">IF(V509="Revenue","Revenue",IF(V509="Cost of Goods Sold","COGS",IF(V509="Expenditures","Expense",IF(V509="Other Revenue","Other Revenue",IF(V509="Other Expenditures","Other Expense",W508)))))</f>
        <v/>
      </c>
      <c r="X509" s="36" t="str">
        <f aca="false">IF(OR(V509="Revenue",V509="Cost of Goods Sold",V509="Expenditures",V509="Other Revenue",V509="Other Expenditures"),W509,IF(AND(LEN(V509)&gt;2,MID(V509,2,1)=" ",ISNUMBER(VALUE(LEFT(V509,1)))),V509,X508))</f>
        <v/>
      </c>
      <c r="Y509" s="36" t="n">
        <f aca="false">IF(AND(V509&lt;&gt;"",ISNUMBER(T509),LEFT(V509,9)&lt;&gt;"Total for",V509&lt;&gt;"Gross Profit",V509&lt;&gt;"Net Operating Revenue",V509&lt;&gt;"Net Other Revenue",V509&lt;&gt;"Net Revenue"),1,0)</f>
        <v>0</v>
      </c>
      <c r="Z509" s="36" t="str">
        <f aca="false">IF(Y509=1,IF(AND(LEN(V509)&gt;7,ISNUMBER(VALUE(LEFT(V509,6))),MID(V509,7,1)=" "),LEFT(V509,6),V509),"")</f>
        <v/>
      </c>
      <c r="AE509" s="36" t="str">
        <f aca="false">TRIM(AB509)</f>
        <v/>
      </c>
      <c r="AF509" s="36" t="str">
        <f aca="false">IF(AE509="Revenue","Revenue",IF(AE509="Cost of Goods Sold","COGS",IF(AE509="Expenditures","Expense",IF(AE509="Other Revenue","Other Revenue",IF(AE509="Other Expenditures","Other Expense",AF508)))))</f>
        <v/>
      </c>
      <c r="AG509" s="36" t="str">
        <f aca="false">IF(OR(AE509="Revenue",AE509="Cost of Goods Sold",AE509="Expenditures",AE509="Other Revenue",AE509="Other Expenditures"),AF509,IF(AND(LEN(AE509)&gt;2,MID(AE509,2,1)=" ",ISNUMBER(VALUE(LEFT(AE509,1)))),AE509,AG508))</f>
        <v/>
      </c>
      <c r="AH509" s="36" t="n">
        <f aca="false">IF(AND(AE509&lt;&gt;"",ISNUMBER(AC509),LEFT(AE509,9)&lt;&gt;"Total for",AE509&lt;&gt;"Gross Profit",AE509&lt;&gt;"Net Operating Revenue",AE509&lt;&gt;"Net Other Revenue",AE509&lt;&gt;"Net Revenue"),1,0)</f>
        <v>0</v>
      </c>
      <c r="AI509" s="36" t="str">
        <f aca="false">IF(AH509=1,IF(AND(LEN(AE509)&gt;7,ISNUMBER(VALUE(LEFT(AE509,6))),MID(AE509,7,1)=" "),LEFT(AE509,6),AE509),"")</f>
        <v/>
      </c>
      <c r="AN509" s="36" t="str">
        <f aca="false">TRIM(AK509)</f>
        <v/>
      </c>
      <c r="AO509" s="36" t="str">
        <f aca="false">IF(AN509="Revenue","Revenue",IF(AN509="Cost of Goods Sold","COGS",IF(AN509="Expenditures","Expense",IF(AN509="Other Revenue","Other Revenue",IF(AN509="Other Expenditures","Other Expense",AO508)))))</f>
        <v/>
      </c>
      <c r="AP509" s="36" t="str">
        <f aca="false">IF(OR(AN509="Revenue",AN509="Cost of Goods Sold",AN509="Expenditures",AN509="Other Revenue",AN509="Other Expenditures"),AO509,IF(AND(LEN(AN509)&gt;2,MID(AN509,2,1)=" ",ISNUMBER(VALUE(LEFT(AN509,1)))),AN509,AP508))</f>
        <v/>
      </c>
      <c r="AQ509" s="36" t="n">
        <f aca="false">IF(AND(AN509&lt;&gt;"",ISNUMBER(AL509),LEFT(AN509,9)&lt;&gt;"Total for",AN509&lt;&gt;"Gross Profit",AN509&lt;&gt;"Net Operating Revenue",AN509&lt;&gt;"Net Other Revenue",AN509&lt;&gt;"Net Revenue"),1,0)</f>
        <v>0</v>
      </c>
      <c r="AR509" s="36" t="str">
        <f aca="false">IF(AQ509=1,IF(AND(LEN(AN509)&gt;7,ISNUMBER(VALUE(LEFT(AN509,6))),MID(AN509,7,1)=" "),LEFT(AN509,6),AN509),"")</f>
        <v/>
      </c>
    </row>
    <row r="510" customFormat="false" ht="15" hidden="false" customHeight="false" outlineLevel="0" collapsed="false">
      <c r="D510" s="36" t="str">
        <f aca="false">TRIM(A510)</f>
        <v/>
      </c>
      <c r="E510" s="36" t="str">
        <f aca="false">IF(D510="Revenue","Revenue",IF(D510="Cost of Goods Sold","COGS",IF(D510="Expenditures","Expense",IF(D510="Other Revenue","Other Revenue",IF(D510="Other Expenditures","Other Expense",E509)))))</f>
        <v/>
      </c>
      <c r="F510" s="36" t="str">
        <f aca="false">IF(OR(D510="Revenue",D510="Cost of Goods Sold",D510="Expenditures",D510="Other Revenue",D510="Other Expenditures"),E510,IF(AND(LEN(D510)&gt;2,MID(D510,2,1)=" ",ISNUMBER(VALUE(LEFT(D510,1)))),D510,F509))</f>
        <v/>
      </c>
      <c r="G510" s="36" t="n">
        <f aca="false">IF(AND(D510&lt;&gt;"",ISNUMBER(B510),LEFT(D510,9)&lt;&gt;"Total for",D510&lt;&gt;"Gross Profit",D510&lt;&gt;"Net Operating Revenue",D510&lt;&gt;"Net Other Revenue",D510&lt;&gt;"Net Revenue"),1,0)</f>
        <v>0</v>
      </c>
      <c r="H510" s="36" t="str">
        <f aca="false">IF(G510=1,IF(AND(LEN(D510)&gt;7,ISNUMBER(VALUE(LEFT(D510,6))),MID(D510,7,1)=" "),LEFT(D510,6),D510),"")</f>
        <v/>
      </c>
      <c r="M510" s="36" t="str">
        <f aca="false">TRIM(J510)</f>
        <v/>
      </c>
      <c r="N510" s="36" t="str">
        <f aca="false">IF(M510="Revenue","Revenue",IF(M510="Cost of Goods Sold","COGS",IF(M510="Expenditures","Expense",IF(M510="Other Revenue","Other Revenue",IF(M510="Other Expenditures","Other Expense",N509)))))</f>
        <v/>
      </c>
      <c r="O510" s="36" t="str">
        <f aca="false">IF(OR(M510="Revenue",M510="Cost of Goods Sold",M510="Expenditures",M510="Other Revenue",M510="Other Expenditures"),N510,IF(AND(LEN(M510)&gt;2,MID(M510,2,1)=" ",ISNUMBER(VALUE(LEFT(M510,1)))),M510,O509))</f>
        <v/>
      </c>
      <c r="P510" s="36" t="n">
        <f aca="false">IF(AND(M510&lt;&gt;"",ISNUMBER(K510),LEFT(M510,9)&lt;&gt;"Total for",M510&lt;&gt;"Gross Profit",M510&lt;&gt;"Net Operating Revenue",M510&lt;&gt;"Net Other Revenue",M510&lt;&gt;"Net Revenue"),1,0)</f>
        <v>0</v>
      </c>
      <c r="Q510" s="36" t="str">
        <f aca="false">IF(P510=1,IF(AND(LEN(M510)&gt;7,ISNUMBER(VALUE(LEFT(M510,6))),MID(M510,7,1)=" "),LEFT(M510,6),M510),"")</f>
        <v/>
      </c>
      <c r="V510" s="36" t="str">
        <f aca="false">TRIM(S510)</f>
        <v/>
      </c>
      <c r="W510" s="36" t="str">
        <f aca="false">IF(V510="Revenue","Revenue",IF(V510="Cost of Goods Sold","COGS",IF(V510="Expenditures","Expense",IF(V510="Other Revenue","Other Revenue",IF(V510="Other Expenditures","Other Expense",W509)))))</f>
        <v/>
      </c>
      <c r="X510" s="36" t="str">
        <f aca="false">IF(OR(V510="Revenue",V510="Cost of Goods Sold",V510="Expenditures",V510="Other Revenue",V510="Other Expenditures"),W510,IF(AND(LEN(V510)&gt;2,MID(V510,2,1)=" ",ISNUMBER(VALUE(LEFT(V510,1)))),V510,X509))</f>
        <v/>
      </c>
      <c r="Y510" s="36" t="n">
        <f aca="false">IF(AND(V510&lt;&gt;"",ISNUMBER(T510),LEFT(V510,9)&lt;&gt;"Total for",V510&lt;&gt;"Gross Profit",V510&lt;&gt;"Net Operating Revenue",V510&lt;&gt;"Net Other Revenue",V510&lt;&gt;"Net Revenue"),1,0)</f>
        <v>0</v>
      </c>
      <c r="Z510" s="36" t="str">
        <f aca="false">IF(Y510=1,IF(AND(LEN(V510)&gt;7,ISNUMBER(VALUE(LEFT(V510,6))),MID(V510,7,1)=" "),LEFT(V510,6),V510),"")</f>
        <v/>
      </c>
      <c r="AE510" s="36" t="str">
        <f aca="false">TRIM(AB510)</f>
        <v/>
      </c>
      <c r="AF510" s="36" t="str">
        <f aca="false">IF(AE510="Revenue","Revenue",IF(AE510="Cost of Goods Sold","COGS",IF(AE510="Expenditures","Expense",IF(AE510="Other Revenue","Other Revenue",IF(AE510="Other Expenditures","Other Expense",AF509)))))</f>
        <v/>
      </c>
      <c r="AG510" s="36" t="str">
        <f aca="false">IF(OR(AE510="Revenue",AE510="Cost of Goods Sold",AE510="Expenditures",AE510="Other Revenue",AE510="Other Expenditures"),AF510,IF(AND(LEN(AE510)&gt;2,MID(AE510,2,1)=" ",ISNUMBER(VALUE(LEFT(AE510,1)))),AE510,AG509))</f>
        <v/>
      </c>
      <c r="AH510" s="36" t="n">
        <f aca="false">IF(AND(AE510&lt;&gt;"",ISNUMBER(AC510),LEFT(AE510,9)&lt;&gt;"Total for",AE510&lt;&gt;"Gross Profit",AE510&lt;&gt;"Net Operating Revenue",AE510&lt;&gt;"Net Other Revenue",AE510&lt;&gt;"Net Revenue"),1,0)</f>
        <v>0</v>
      </c>
      <c r="AI510" s="36" t="str">
        <f aca="false">IF(AH510=1,IF(AND(LEN(AE510)&gt;7,ISNUMBER(VALUE(LEFT(AE510,6))),MID(AE510,7,1)=" "),LEFT(AE510,6),AE510),"")</f>
        <v/>
      </c>
      <c r="AN510" s="36" t="str">
        <f aca="false">TRIM(AK510)</f>
        <v/>
      </c>
      <c r="AO510" s="36" t="str">
        <f aca="false">IF(AN510="Revenue","Revenue",IF(AN510="Cost of Goods Sold","COGS",IF(AN510="Expenditures","Expense",IF(AN510="Other Revenue","Other Revenue",IF(AN510="Other Expenditures","Other Expense",AO509)))))</f>
        <v/>
      </c>
      <c r="AP510" s="36" t="str">
        <f aca="false">IF(OR(AN510="Revenue",AN510="Cost of Goods Sold",AN510="Expenditures",AN510="Other Revenue",AN510="Other Expenditures"),AO510,IF(AND(LEN(AN510)&gt;2,MID(AN510,2,1)=" ",ISNUMBER(VALUE(LEFT(AN510,1)))),AN510,AP509))</f>
        <v/>
      </c>
      <c r="AQ510" s="36" t="n">
        <f aca="false">IF(AND(AN510&lt;&gt;"",ISNUMBER(AL510),LEFT(AN510,9)&lt;&gt;"Total for",AN510&lt;&gt;"Gross Profit",AN510&lt;&gt;"Net Operating Revenue",AN510&lt;&gt;"Net Other Revenue",AN510&lt;&gt;"Net Revenue"),1,0)</f>
        <v>0</v>
      </c>
      <c r="AR510" s="36" t="str">
        <f aca="false">IF(AQ510=1,IF(AND(LEN(AN510)&gt;7,ISNUMBER(VALUE(LEFT(AN510,6))),MID(AN510,7,1)=" "),LEFT(AN510,6),AN510),"")</f>
        <v/>
      </c>
    </row>
    <row r="511" customFormat="false" ht="15" hidden="false" customHeight="false" outlineLevel="0" collapsed="false">
      <c r="D511" s="36" t="str">
        <f aca="false">TRIM(A511)</f>
        <v/>
      </c>
      <c r="E511" s="36" t="str">
        <f aca="false">IF(D511="Revenue","Revenue",IF(D511="Cost of Goods Sold","COGS",IF(D511="Expenditures","Expense",IF(D511="Other Revenue","Other Revenue",IF(D511="Other Expenditures","Other Expense",E510)))))</f>
        <v/>
      </c>
      <c r="F511" s="36" t="str">
        <f aca="false">IF(OR(D511="Revenue",D511="Cost of Goods Sold",D511="Expenditures",D511="Other Revenue",D511="Other Expenditures"),E511,IF(AND(LEN(D511)&gt;2,MID(D511,2,1)=" ",ISNUMBER(VALUE(LEFT(D511,1)))),D511,F510))</f>
        <v/>
      </c>
      <c r="G511" s="36" t="n">
        <f aca="false">IF(AND(D511&lt;&gt;"",ISNUMBER(B511),LEFT(D511,9)&lt;&gt;"Total for",D511&lt;&gt;"Gross Profit",D511&lt;&gt;"Net Operating Revenue",D511&lt;&gt;"Net Other Revenue",D511&lt;&gt;"Net Revenue"),1,0)</f>
        <v>0</v>
      </c>
      <c r="H511" s="36" t="str">
        <f aca="false">IF(G511=1,IF(AND(LEN(D511)&gt;7,ISNUMBER(VALUE(LEFT(D511,6))),MID(D511,7,1)=" "),LEFT(D511,6),D511),"")</f>
        <v/>
      </c>
      <c r="M511" s="36" t="str">
        <f aca="false">TRIM(J511)</f>
        <v/>
      </c>
      <c r="N511" s="36" t="str">
        <f aca="false">IF(M511="Revenue","Revenue",IF(M511="Cost of Goods Sold","COGS",IF(M511="Expenditures","Expense",IF(M511="Other Revenue","Other Revenue",IF(M511="Other Expenditures","Other Expense",N510)))))</f>
        <v/>
      </c>
      <c r="O511" s="36" t="str">
        <f aca="false">IF(OR(M511="Revenue",M511="Cost of Goods Sold",M511="Expenditures",M511="Other Revenue",M511="Other Expenditures"),N511,IF(AND(LEN(M511)&gt;2,MID(M511,2,1)=" ",ISNUMBER(VALUE(LEFT(M511,1)))),M511,O510))</f>
        <v/>
      </c>
      <c r="P511" s="36" t="n">
        <f aca="false">IF(AND(M511&lt;&gt;"",ISNUMBER(K511),LEFT(M511,9)&lt;&gt;"Total for",M511&lt;&gt;"Gross Profit",M511&lt;&gt;"Net Operating Revenue",M511&lt;&gt;"Net Other Revenue",M511&lt;&gt;"Net Revenue"),1,0)</f>
        <v>0</v>
      </c>
      <c r="Q511" s="36" t="str">
        <f aca="false">IF(P511=1,IF(AND(LEN(M511)&gt;7,ISNUMBER(VALUE(LEFT(M511,6))),MID(M511,7,1)=" "),LEFT(M511,6),M511),"")</f>
        <v/>
      </c>
      <c r="V511" s="36" t="str">
        <f aca="false">TRIM(S511)</f>
        <v/>
      </c>
      <c r="W511" s="36" t="str">
        <f aca="false">IF(V511="Revenue","Revenue",IF(V511="Cost of Goods Sold","COGS",IF(V511="Expenditures","Expense",IF(V511="Other Revenue","Other Revenue",IF(V511="Other Expenditures","Other Expense",W510)))))</f>
        <v/>
      </c>
      <c r="X511" s="36" t="str">
        <f aca="false">IF(OR(V511="Revenue",V511="Cost of Goods Sold",V511="Expenditures",V511="Other Revenue",V511="Other Expenditures"),W511,IF(AND(LEN(V511)&gt;2,MID(V511,2,1)=" ",ISNUMBER(VALUE(LEFT(V511,1)))),V511,X510))</f>
        <v/>
      </c>
      <c r="Y511" s="36" t="n">
        <f aca="false">IF(AND(V511&lt;&gt;"",ISNUMBER(T511),LEFT(V511,9)&lt;&gt;"Total for",V511&lt;&gt;"Gross Profit",V511&lt;&gt;"Net Operating Revenue",V511&lt;&gt;"Net Other Revenue",V511&lt;&gt;"Net Revenue"),1,0)</f>
        <v>0</v>
      </c>
      <c r="Z511" s="36" t="str">
        <f aca="false">IF(Y511=1,IF(AND(LEN(V511)&gt;7,ISNUMBER(VALUE(LEFT(V511,6))),MID(V511,7,1)=" "),LEFT(V511,6),V511),"")</f>
        <v/>
      </c>
      <c r="AE511" s="36" t="str">
        <f aca="false">TRIM(AB511)</f>
        <v/>
      </c>
      <c r="AF511" s="36" t="str">
        <f aca="false">IF(AE511="Revenue","Revenue",IF(AE511="Cost of Goods Sold","COGS",IF(AE511="Expenditures","Expense",IF(AE511="Other Revenue","Other Revenue",IF(AE511="Other Expenditures","Other Expense",AF510)))))</f>
        <v/>
      </c>
      <c r="AG511" s="36" t="str">
        <f aca="false">IF(OR(AE511="Revenue",AE511="Cost of Goods Sold",AE511="Expenditures",AE511="Other Revenue",AE511="Other Expenditures"),AF511,IF(AND(LEN(AE511)&gt;2,MID(AE511,2,1)=" ",ISNUMBER(VALUE(LEFT(AE511,1)))),AE511,AG510))</f>
        <v/>
      </c>
      <c r="AH511" s="36" t="n">
        <f aca="false">IF(AND(AE511&lt;&gt;"",ISNUMBER(AC511),LEFT(AE511,9)&lt;&gt;"Total for",AE511&lt;&gt;"Gross Profit",AE511&lt;&gt;"Net Operating Revenue",AE511&lt;&gt;"Net Other Revenue",AE511&lt;&gt;"Net Revenue"),1,0)</f>
        <v>0</v>
      </c>
      <c r="AI511" s="36" t="str">
        <f aca="false">IF(AH511=1,IF(AND(LEN(AE511)&gt;7,ISNUMBER(VALUE(LEFT(AE511,6))),MID(AE511,7,1)=" "),LEFT(AE511,6),AE511),"")</f>
        <v/>
      </c>
      <c r="AN511" s="36" t="str">
        <f aca="false">TRIM(AK511)</f>
        <v/>
      </c>
      <c r="AO511" s="36" t="str">
        <f aca="false">IF(AN511="Revenue","Revenue",IF(AN511="Cost of Goods Sold","COGS",IF(AN511="Expenditures","Expense",IF(AN511="Other Revenue","Other Revenue",IF(AN511="Other Expenditures","Other Expense",AO510)))))</f>
        <v/>
      </c>
      <c r="AP511" s="36" t="str">
        <f aca="false">IF(OR(AN511="Revenue",AN511="Cost of Goods Sold",AN511="Expenditures",AN511="Other Revenue",AN511="Other Expenditures"),AO511,IF(AND(LEN(AN511)&gt;2,MID(AN511,2,1)=" ",ISNUMBER(VALUE(LEFT(AN511,1)))),AN511,AP510))</f>
        <v/>
      </c>
      <c r="AQ511" s="36" t="n">
        <f aca="false">IF(AND(AN511&lt;&gt;"",ISNUMBER(AL511),LEFT(AN511,9)&lt;&gt;"Total for",AN511&lt;&gt;"Gross Profit",AN511&lt;&gt;"Net Operating Revenue",AN511&lt;&gt;"Net Other Revenue",AN511&lt;&gt;"Net Revenue"),1,0)</f>
        <v>0</v>
      </c>
      <c r="AR511" s="36" t="str">
        <f aca="false">IF(AQ511=1,IF(AND(LEN(AN511)&gt;7,ISNUMBER(VALUE(LEFT(AN511,6))),MID(AN511,7,1)=" "),LEFT(AN511,6),AN511),"")</f>
        <v/>
      </c>
    </row>
    <row r="512" customFormat="false" ht="15" hidden="false" customHeight="false" outlineLevel="0" collapsed="false">
      <c r="D512" s="36" t="str">
        <f aca="false">TRIM(A512)</f>
        <v/>
      </c>
      <c r="E512" s="36" t="str">
        <f aca="false">IF(D512="Revenue","Revenue",IF(D512="Cost of Goods Sold","COGS",IF(D512="Expenditures","Expense",IF(D512="Other Revenue","Other Revenue",IF(D512="Other Expenditures","Other Expense",E511)))))</f>
        <v/>
      </c>
      <c r="F512" s="36" t="str">
        <f aca="false">IF(OR(D512="Revenue",D512="Cost of Goods Sold",D512="Expenditures",D512="Other Revenue",D512="Other Expenditures"),E512,IF(AND(LEN(D512)&gt;2,MID(D512,2,1)=" ",ISNUMBER(VALUE(LEFT(D512,1)))),D512,F511))</f>
        <v/>
      </c>
      <c r="G512" s="36" t="n">
        <f aca="false">IF(AND(D512&lt;&gt;"",ISNUMBER(B512),LEFT(D512,9)&lt;&gt;"Total for",D512&lt;&gt;"Gross Profit",D512&lt;&gt;"Net Operating Revenue",D512&lt;&gt;"Net Other Revenue",D512&lt;&gt;"Net Revenue"),1,0)</f>
        <v>0</v>
      </c>
      <c r="H512" s="36" t="str">
        <f aca="false">IF(G512=1,IF(AND(LEN(D512)&gt;7,ISNUMBER(VALUE(LEFT(D512,6))),MID(D512,7,1)=" "),LEFT(D512,6),D512),"")</f>
        <v/>
      </c>
      <c r="M512" s="36" t="str">
        <f aca="false">TRIM(J512)</f>
        <v/>
      </c>
      <c r="N512" s="36" t="str">
        <f aca="false">IF(M512="Revenue","Revenue",IF(M512="Cost of Goods Sold","COGS",IF(M512="Expenditures","Expense",IF(M512="Other Revenue","Other Revenue",IF(M512="Other Expenditures","Other Expense",N511)))))</f>
        <v/>
      </c>
      <c r="O512" s="36" t="str">
        <f aca="false">IF(OR(M512="Revenue",M512="Cost of Goods Sold",M512="Expenditures",M512="Other Revenue",M512="Other Expenditures"),N512,IF(AND(LEN(M512)&gt;2,MID(M512,2,1)=" ",ISNUMBER(VALUE(LEFT(M512,1)))),M512,O511))</f>
        <v/>
      </c>
      <c r="P512" s="36" t="n">
        <f aca="false">IF(AND(M512&lt;&gt;"",ISNUMBER(K512),LEFT(M512,9)&lt;&gt;"Total for",M512&lt;&gt;"Gross Profit",M512&lt;&gt;"Net Operating Revenue",M512&lt;&gt;"Net Other Revenue",M512&lt;&gt;"Net Revenue"),1,0)</f>
        <v>0</v>
      </c>
      <c r="Q512" s="36" t="str">
        <f aca="false">IF(P512=1,IF(AND(LEN(M512)&gt;7,ISNUMBER(VALUE(LEFT(M512,6))),MID(M512,7,1)=" "),LEFT(M512,6),M512),"")</f>
        <v/>
      </c>
      <c r="V512" s="36" t="str">
        <f aca="false">TRIM(S512)</f>
        <v/>
      </c>
      <c r="W512" s="36" t="str">
        <f aca="false">IF(V512="Revenue","Revenue",IF(V512="Cost of Goods Sold","COGS",IF(V512="Expenditures","Expense",IF(V512="Other Revenue","Other Revenue",IF(V512="Other Expenditures","Other Expense",W511)))))</f>
        <v/>
      </c>
      <c r="X512" s="36" t="str">
        <f aca="false">IF(OR(V512="Revenue",V512="Cost of Goods Sold",V512="Expenditures",V512="Other Revenue",V512="Other Expenditures"),W512,IF(AND(LEN(V512)&gt;2,MID(V512,2,1)=" ",ISNUMBER(VALUE(LEFT(V512,1)))),V512,X511))</f>
        <v/>
      </c>
      <c r="Y512" s="36" t="n">
        <f aca="false">IF(AND(V512&lt;&gt;"",ISNUMBER(T512),LEFT(V512,9)&lt;&gt;"Total for",V512&lt;&gt;"Gross Profit",V512&lt;&gt;"Net Operating Revenue",V512&lt;&gt;"Net Other Revenue",V512&lt;&gt;"Net Revenue"),1,0)</f>
        <v>0</v>
      </c>
      <c r="Z512" s="36" t="str">
        <f aca="false">IF(Y512=1,IF(AND(LEN(V512)&gt;7,ISNUMBER(VALUE(LEFT(V512,6))),MID(V512,7,1)=" "),LEFT(V512,6),V512),"")</f>
        <v/>
      </c>
      <c r="AE512" s="36" t="str">
        <f aca="false">TRIM(AB512)</f>
        <v/>
      </c>
      <c r="AF512" s="36" t="str">
        <f aca="false">IF(AE512="Revenue","Revenue",IF(AE512="Cost of Goods Sold","COGS",IF(AE512="Expenditures","Expense",IF(AE512="Other Revenue","Other Revenue",IF(AE512="Other Expenditures","Other Expense",AF511)))))</f>
        <v/>
      </c>
      <c r="AG512" s="36" t="str">
        <f aca="false">IF(OR(AE512="Revenue",AE512="Cost of Goods Sold",AE512="Expenditures",AE512="Other Revenue",AE512="Other Expenditures"),AF512,IF(AND(LEN(AE512)&gt;2,MID(AE512,2,1)=" ",ISNUMBER(VALUE(LEFT(AE512,1)))),AE512,AG511))</f>
        <v/>
      </c>
      <c r="AH512" s="36" t="n">
        <f aca="false">IF(AND(AE512&lt;&gt;"",ISNUMBER(AC512),LEFT(AE512,9)&lt;&gt;"Total for",AE512&lt;&gt;"Gross Profit",AE512&lt;&gt;"Net Operating Revenue",AE512&lt;&gt;"Net Other Revenue",AE512&lt;&gt;"Net Revenue"),1,0)</f>
        <v>0</v>
      </c>
      <c r="AI512" s="36" t="str">
        <f aca="false">IF(AH512=1,IF(AND(LEN(AE512)&gt;7,ISNUMBER(VALUE(LEFT(AE512,6))),MID(AE512,7,1)=" "),LEFT(AE512,6),AE512),"")</f>
        <v/>
      </c>
      <c r="AN512" s="36" t="str">
        <f aca="false">TRIM(AK512)</f>
        <v/>
      </c>
      <c r="AO512" s="36" t="str">
        <f aca="false">IF(AN512="Revenue","Revenue",IF(AN512="Cost of Goods Sold","COGS",IF(AN512="Expenditures","Expense",IF(AN512="Other Revenue","Other Revenue",IF(AN512="Other Expenditures","Other Expense",AO511)))))</f>
        <v/>
      </c>
      <c r="AP512" s="36" t="str">
        <f aca="false">IF(OR(AN512="Revenue",AN512="Cost of Goods Sold",AN512="Expenditures",AN512="Other Revenue",AN512="Other Expenditures"),AO512,IF(AND(LEN(AN512)&gt;2,MID(AN512,2,1)=" ",ISNUMBER(VALUE(LEFT(AN512,1)))),AN512,AP511))</f>
        <v/>
      </c>
      <c r="AQ512" s="36" t="n">
        <f aca="false">IF(AND(AN512&lt;&gt;"",ISNUMBER(AL512),LEFT(AN512,9)&lt;&gt;"Total for",AN512&lt;&gt;"Gross Profit",AN512&lt;&gt;"Net Operating Revenue",AN512&lt;&gt;"Net Other Revenue",AN512&lt;&gt;"Net Revenue"),1,0)</f>
        <v>0</v>
      </c>
      <c r="AR512" s="36" t="str">
        <f aca="false">IF(AQ512=1,IF(AND(LEN(AN512)&gt;7,ISNUMBER(VALUE(LEFT(AN512,6))),MID(AN512,7,1)=" "),LEFT(AN512,6),AN512),"")</f>
        <v/>
      </c>
    </row>
    <row r="513" customFormat="false" ht="15" hidden="false" customHeight="false" outlineLevel="0" collapsed="false">
      <c r="D513" s="36" t="str">
        <f aca="false">TRIM(A513)</f>
        <v/>
      </c>
      <c r="E513" s="36" t="str">
        <f aca="false">IF(D513="Revenue","Revenue",IF(D513="Cost of Goods Sold","COGS",IF(D513="Expenditures","Expense",IF(D513="Other Revenue","Other Revenue",IF(D513="Other Expenditures","Other Expense",E512)))))</f>
        <v/>
      </c>
      <c r="F513" s="36" t="str">
        <f aca="false">IF(OR(D513="Revenue",D513="Cost of Goods Sold",D513="Expenditures",D513="Other Revenue",D513="Other Expenditures"),E513,IF(AND(LEN(D513)&gt;2,MID(D513,2,1)=" ",ISNUMBER(VALUE(LEFT(D513,1)))),D513,F512))</f>
        <v/>
      </c>
      <c r="G513" s="36" t="n">
        <f aca="false">IF(AND(D513&lt;&gt;"",ISNUMBER(B513),LEFT(D513,9)&lt;&gt;"Total for",D513&lt;&gt;"Gross Profit",D513&lt;&gt;"Net Operating Revenue",D513&lt;&gt;"Net Other Revenue",D513&lt;&gt;"Net Revenue"),1,0)</f>
        <v>0</v>
      </c>
      <c r="H513" s="36" t="str">
        <f aca="false">IF(G513=1,IF(AND(LEN(D513)&gt;7,ISNUMBER(VALUE(LEFT(D513,6))),MID(D513,7,1)=" "),LEFT(D513,6),D513),"")</f>
        <v/>
      </c>
      <c r="M513" s="36" t="str">
        <f aca="false">TRIM(J513)</f>
        <v/>
      </c>
      <c r="N513" s="36" t="str">
        <f aca="false">IF(M513="Revenue","Revenue",IF(M513="Cost of Goods Sold","COGS",IF(M513="Expenditures","Expense",IF(M513="Other Revenue","Other Revenue",IF(M513="Other Expenditures","Other Expense",N512)))))</f>
        <v/>
      </c>
      <c r="O513" s="36" t="str">
        <f aca="false">IF(OR(M513="Revenue",M513="Cost of Goods Sold",M513="Expenditures",M513="Other Revenue",M513="Other Expenditures"),N513,IF(AND(LEN(M513)&gt;2,MID(M513,2,1)=" ",ISNUMBER(VALUE(LEFT(M513,1)))),M513,O512))</f>
        <v/>
      </c>
      <c r="P513" s="36" t="n">
        <f aca="false">IF(AND(M513&lt;&gt;"",ISNUMBER(K513),LEFT(M513,9)&lt;&gt;"Total for",M513&lt;&gt;"Gross Profit",M513&lt;&gt;"Net Operating Revenue",M513&lt;&gt;"Net Other Revenue",M513&lt;&gt;"Net Revenue"),1,0)</f>
        <v>0</v>
      </c>
      <c r="Q513" s="36" t="str">
        <f aca="false">IF(P513=1,IF(AND(LEN(M513)&gt;7,ISNUMBER(VALUE(LEFT(M513,6))),MID(M513,7,1)=" "),LEFT(M513,6),M513),"")</f>
        <v/>
      </c>
      <c r="V513" s="36" t="str">
        <f aca="false">TRIM(S513)</f>
        <v/>
      </c>
      <c r="W513" s="36" t="str">
        <f aca="false">IF(V513="Revenue","Revenue",IF(V513="Cost of Goods Sold","COGS",IF(V513="Expenditures","Expense",IF(V513="Other Revenue","Other Revenue",IF(V513="Other Expenditures","Other Expense",W512)))))</f>
        <v/>
      </c>
      <c r="X513" s="36" t="str">
        <f aca="false">IF(OR(V513="Revenue",V513="Cost of Goods Sold",V513="Expenditures",V513="Other Revenue",V513="Other Expenditures"),W513,IF(AND(LEN(V513)&gt;2,MID(V513,2,1)=" ",ISNUMBER(VALUE(LEFT(V513,1)))),V513,X512))</f>
        <v/>
      </c>
      <c r="Y513" s="36" t="n">
        <f aca="false">IF(AND(V513&lt;&gt;"",ISNUMBER(T513),LEFT(V513,9)&lt;&gt;"Total for",V513&lt;&gt;"Gross Profit",V513&lt;&gt;"Net Operating Revenue",V513&lt;&gt;"Net Other Revenue",V513&lt;&gt;"Net Revenue"),1,0)</f>
        <v>0</v>
      </c>
      <c r="Z513" s="36" t="str">
        <f aca="false">IF(Y513=1,IF(AND(LEN(V513)&gt;7,ISNUMBER(VALUE(LEFT(V513,6))),MID(V513,7,1)=" "),LEFT(V513,6),V513),"")</f>
        <v/>
      </c>
      <c r="AE513" s="36" t="str">
        <f aca="false">TRIM(AB513)</f>
        <v/>
      </c>
      <c r="AF513" s="36" t="str">
        <f aca="false">IF(AE513="Revenue","Revenue",IF(AE513="Cost of Goods Sold","COGS",IF(AE513="Expenditures","Expense",IF(AE513="Other Revenue","Other Revenue",IF(AE513="Other Expenditures","Other Expense",AF512)))))</f>
        <v/>
      </c>
      <c r="AG513" s="36" t="str">
        <f aca="false">IF(OR(AE513="Revenue",AE513="Cost of Goods Sold",AE513="Expenditures",AE513="Other Revenue",AE513="Other Expenditures"),AF513,IF(AND(LEN(AE513)&gt;2,MID(AE513,2,1)=" ",ISNUMBER(VALUE(LEFT(AE513,1)))),AE513,AG512))</f>
        <v/>
      </c>
      <c r="AH513" s="36" t="n">
        <f aca="false">IF(AND(AE513&lt;&gt;"",ISNUMBER(AC513),LEFT(AE513,9)&lt;&gt;"Total for",AE513&lt;&gt;"Gross Profit",AE513&lt;&gt;"Net Operating Revenue",AE513&lt;&gt;"Net Other Revenue",AE513&lt;&gt;"Net Revenue"),1,0)</f>
        <v>0</v>
      </c>
      <c r="AI513" s="36" t="str">
        <f aca="false">IF(AH513=1,IF(AND(LEN(AE513)&gt;7,ISNUMBER(VALUE(LEFT(AE513,6))),MID(AE513,7,1)=" "),LEFT(AE513,6),AE513),"")</f>
        <v/>
      </c>
      <c r="AN513" s="36" t="str">
        <f aca="false">TRIM(AK513)</f>
        <v/>
      </c>
      <c r="AO513" s="36" t="str">
        <f aca="false">IF(AN513="Revenue","Revenue",IF(AN513="Cost of Goods Sold","COGS",IF(AN513="Expenditures","Expense",IF(AN513="Other Revenue","Other Revenue",IF(AN513="Other Expenditures","Other Expense",AO512)))))</f>
        <v/>
      </c>
      <c r="AP513" s="36" t="str">
        <f aca="false">IF(OR(AN513="Revenue",AN513="Cost of Goods Sold",AN513="Expenditures",AN513="Other Revenue",AN513="Other Expenditures"),AO513,IF(AND(LEN(AN513)&gt;2,MID(AN513,2,1)=" ",ISNUMBER(VALUE(LEFT(AN513,1)))),AN513,AP512))</f>
        <v/>
      </c>
      <c r="AQ513" s="36" t="n">
        <f aca="false">IF(AND(AN513&lt;&gt;"",ISNUMBER(AL513),LEFT(AN513,9)&lt;&gt;"Total for",AN513&lt;&gt;"Gross Profit",AN513&lt;&gt;"Net Operating Revenue",AN513&lt;&gt;"Net Other Revenue",AN513&lt;&gt;"Net Revenue"),1,0)</f>
        <v>0</v>
      </c>
      <c r="AR513" s="36" t="str">
        <f aca="false">IF(AQ513=1,IF(AND(LEN(AN513)&gt;7,ISNUMBER(VALUE(LEFT(AN513,6))),MID(AN513,7,1)=" "),LEFT(AN513,6),AN513),"")</f>
        <v/>
      </c>
    </row>
    <row r="514" customFormat="false" ht="15" hidden="false" customHeight="false" outlineLevel="0" collapsed="false">
      <c r="D514" s="36" t="str">
        <f aca="false">TRIM(A514)</f>
        <v/>
      </c>
      <c r="E514" s="36" t="str">
        <f aca="false">IF(D514="Revenue","Revenue",IF(D514="Cost of Goods Sold","COGS",IF(D514="Expenditures","Expense",IF(D514="Other Revenue","Other Revenue",IF(D514="Other Expenditures","Other Expense",E513)))))</f>
        <v/>
      </c>
      <c r="F514" s="36" t="str">
        <f aca="false">IF(OR(D514="Revenue",D514="Cost of Goods Sold",D514="Expenditures",D514="Other Revenue",D514="Other Expenditures"),E514,IF(AND(LEN(D514)&gt;2,MID(D514,2,1)=" ",ISNUMBER(VALUE(LEFT(D514,1)))),D514,F513))</f>
        <v/>
      </c>
      <c r="G514" s="36" t="n">
        <f aca="false">IF(AND(D514&lt;&gt;"",ISNUMBER(B514),LEFT(D514,9)&lt;&gt;"Total for",D514&lt;&gt;"Gross Profit",D514&lt;&gt;"Net Operating Revenue",D514&lt;&gt;"Net Other Revenue",D514&lt;&gt;"Net Revenue"),1,0)</f>
        <v>0</v>
      </c>
      <c r="H514" s="36" t="str">
        <f aca="false">IF(G514=1,IF(AND(LEN(D514)&gt;7,ISNUMBER(VALUE(LEFT(D514,6))),MID(D514,7,1)=" "),LEFT(D514,6),D514),"")</f>
        <v/>
      </c>
      <c r="M514" s="36" t="str">
        <f aca="false">TRIM(J514)</f>
        <v/>
      </c>
      <c r="N514" s="36" t="str">
        <f aca="false">IF(M514="Revenue","Revenue",IF(M514="Cost of Goods Sold","COGS",IF(M514="Expenditures","Expense",IF(M514="Other Revenue","Other Revenue",IF(M514="Other Expenditures","Other Expense",N513)))))</f>
        <v/>
      </c>
      <c r="O514" s="36" t="str">
        <f aca="false">IF(OR(M514="Revenue",M514="Cost of Goods Sold",M514="Expenditures",M514="Other Revenue",M514="Other Expenditures"),N514,IF(AND(LEN(M514)&gt;2,MID(M514,2,1)=" ",ISNUMBER(VALUE(LEFT(M514,1)))),M514,O513))</f>
        <v/>
      </c>
      <c r="P514" s="36" t="n">
        <f aca="false">IF(AND(M514&lt;&gt;"",ISNUMBER(K514),LEFT(M514,9)&lt;&gt;"Total for",M514&lt;&gt;"Gross Profit",M514&lt;&gt;"Net Operating Revenue",M514&lt;&gt;"Net Other Revenue",M514&lt;&gt;"Net Revenue"),1,0)</f>
        <v>0</v>
      </c>
      <c r="Q514" s="36" t="str">
        <f aca="false">IF(P514=1,IF(AND(LEN(M514)&gt;7,ISNUMBER(VALUE(LEFT(M514,6))),MID(M514,7,1)=" "),LEFT(M514,6),M514),"")</f>
        <v/>
      </c>
      <c r="V514" s="36" t="str">
        <f aca="false">TRIM(S514)</f>
        <v/>
      </c>
      <c r="W514" s="36" t="str">
        <f aca="false">IF(V514="Revenue","Revenue",IF(V514="Cost of Goods Sold","COGS",IF(V514="Expenditures","Expense",IF(V514="Other Revenue","Other Revenue",IF(V514="Other Expenditures","Other Expense",W513)))))</f>
        <v/>
      </c>
      <c r="X514" s="36" t="str">
        <f aca="false">IF(OR(V514="Revenue",V514="Cost of Goods Sold",V514="Expenditures",V514="Other Revenue",V514="Other Expenditures"),W514,IF(AND(LEN(V514)&gt;2,MID(V514,2,1)=" ",ISNUMBER(VALUE(LEFT(V514,1)))),V514,X513))</f>
        <v/>
      </c>
      <c r="Y514" s="36" t="n">
        <f aca="false">IF(AND(V514&lt;&gt;"",ISNUMBER(T514),LEFT(V514,9)&lt;&gt;"Total for",V514&lt;&gt;"Gross Profit",V514&lt;&gt;"Net Operating Revenue",V514&lt;&gt;"Net Other Revenue",V514&lt;&gt;"Net Revenue"),1,0)</f>
        <v>0</v>
      </c>
      <c r="Z514" s="36" t="str">
        <f aca="false">IF(Y514=1,IF(AND(LEN(V514)&gt;7,ISNUMBER(VALUE(LEFT(V514,6))),MID(V514,7,1)=" "),LEFT(V514,6),V514),"")</f>
        <v/>
      </c>
      <c r="AE514" s="36" t="str">
        <f aca="false">TRIM(AB514)</f>
        <v/>
      </c>
      <c r="AF514" s="36" t="str">
        <f aca="false">IF(AE514="Revenue","Revenue",IF(AE514="Cost of Goods Sold","COGS",IF(AE514="Expenditures","Expense",IF(AE514="Other Revenue","Other Revenue",IF(AE514="Other Expenditures","Other Expense",AF513)))))</f>
        <v/>
      </c>
      <c r="AG514" s="36" t="str">
        <f aca="false">IF(OR(AE514="Revenue",AE514="Cost of Goods Sold",AE514="Expenditures",AE514="Other Revenue",AE514="Other Expenditures"),AF514,IF(AND(LEN(AE514)&gt;2,MID(AE514,2,1)=" ",ISNUMBER(VALUE(LEFT(AE514,1)))),AE514,AG513))</f>
        <v/>
      </c>
      <c r="AH514" s="36" t="n">
        <f aca="false">IF(AND(AE514&lt;&gt;"",ISNUMBER(AC514),LEFT(AE514,9)&lt;&gt;"Total for",AE514&lt;&gt;"Gross Profit",AE514&lt;&gt;"Net Operating Revenue",AE514&lt;&gt;"Net Other Revenue",AE514&lt;&gt;"Net Revenue"),1,0)</f>
        <v>0</v>
      </c>
      <c r="AI514" s="36" t="str">
        <f aca="false">IF(AH514=1,IF(AND(LEN(AE514)&gt;7,ISNUMBER(VALUE(LEFT(AE514,6))),MID(AE514,7,1)=" "),LEFT(AE514,6),AE514),"")</f>
        <v/>
      </c>
      <c r="AN514" s="36" t="str">
        <f aca="false">TRIM(AK514)</f>
        <v/>
      </c>
      <c r="AO514" s="36" t="str">
        <f aca="false">IF(AN514="Revenue","Revenue",IF(AN514="Cost of Goods Sold","COGS",IF(AN514="Expenditures","Expense",IF(AN514="Other Revenue","Other Revenue",IF(AN514="Other Expenditures","Other Expense",AO513)))))</f>
        <v/>
      </c>
      <c r="AP514" s="36" t="str">
        <f aca="false">IF(OR(AN514="Revenue",AN514="Cost of Goods Sold",AN514="Expenditures",AN514="Other Revenue",AN514="Other Expenditures"),AO514,IF(AND(LEN(AN514)&gt;2,MID(AN514,2,1)=" ",ISNUMBER(VALUE(LEFT(AN514,1)))),AN514,AP513))</f>
        <v/>
      </c>
      <c r="AQ514" s="36" t="n">
        <f aca="false">IF(AND(AN514&lt;&gt;"",ISNUMBER(AL514),LEFT(AN514,9)&lt;&gt;"Total for",AN514&lt;&gt;"Gross Profit",AN514&lt;&gt;"Net Operating Revenue",AN514&lt;&gt;"Net Other Revenue",AN514&lt;&gt;"Net Revenue"),1,0)</f>
        <v>0</v>
      </c>
      <c r="AR514" s="36" t="str">
        <f aca="false">IF(AQ514=1,IF(AND(LEN(AN514)&gt;7,ISNUMBER(VALUE(LEFT(AN514,6))),MID(AN514,7,1)=" "),LEFT(AN514,6),AN514),"")</f>
        <v/>
      </c>
    </row>
    <row r="515" customFormat="false" ht="15" hidden="false" customHeight="false" outlineLevel="0" collapsed="false">
      <c r="D515" s="36" t="str">
        <f aca="false">TRIM(A515)</f>
        <v/>
      </c>
      <c r="E515" s="36" t="str">
        <f aca="false">IF(D515="Revenue","Revenue",IF(D515="Cost of Goods Sold","COGS",IF(D515="Expenditures","Expense",IF(D515="Other Revenue","Other Revenue",IF(D515="Other Expenditures","Other Expense",E514)))))</f>
        <v/>
      </c>
      <c r="F515" s="36" t="str">
        <f aca="false">IF(OR(D515="Revenue",D515="Cost of Goods Sold",D515="Expenditures",D515="Other Revenue",D515="Other Expenditures"),E515,IF(AND(LEN(D515)&gt;2,MID(D515,2,1)=" ",ISNUMBER(VALUE(LEFT(D515,1)))),D515,F514))</f>
        <v/>
      </c>
      <c r="G515" s="36" t="n">
        <f aca="false">IF(AND(D515&lt;&gt;"",ISNUMBER(B515),LEFT(D515,9)&lt;&gt;"Total for",D515&lt;&gt;"Gross Profit",D515&lt;&gt;"Net Operating Revenue",D515&lt;&gt;"Net Other Revenue",D515&lt;&gt;"Net Revenue"),1,0)</f>
        <v>0</v>
      </c>
      <c r="H515" s="36" t="str">
        <f aca="false">IF(G515=1,IF(AND(LEN(D515)&gt;7,ISNUMBER(VALUE(LEFT(D515,6))),MID(D515,7,1)=" "),LEFT(D515,6),D515),"")</f>
        <v/>
      </c>
      <c r="M515" s="36" t="str">
        <f aca="false">TRIM(J515)</f>
        <v/>
      </c>
      <c r="N515" s="36" t="str">
        <f aca="false">IF(M515="Revenue","Revenue",IF(M515="Cost of Goods Sold","COGS",IF(M515="Expenditures","Expense",IF(M515="Other Revenue","Other Revenue",IF(M515="Other Expenditures","Other Expense",N514)))))</f>
        <v/>
      </c>
      <c r="O515" s="36" t="str">
        <f aca="false">IF(OR(M515="Revenue",M515="Cost of Goods Sold",M515="Expenditures",M515="Other Revenue",M515="Other Expenditures"),N515,IF(AND(LEN(M515)&gt;2,MID(M515,2,1)=" ",ISNUMBER(VALUE(LEFT(M515,1)))),M515,O514))</f>
        <v/>
      </c>
      <c r="P515" s="36" t="n">
        <f aca="false">IF(AND(M515&lt;&gt;"",ISNUMBER(K515),LEFT(M515,9)&lt;&gt;"Total for",M515&lt;&gt;"Gross Profit",M515&lt;&gt;"Net Operating Revenue",M515&lt;&gt;"Net Other Revenue",M515&lt;&gt;"Net Revenue"),1,0)</f>
        <v>0</v>
      </c>
      <c r="Q515" s="36" t="str">
        <f aca="false">IF(P515=1,IF(AND(LEN(M515)&gt;7,ISNUMBER(VALUE(LEFT(M515,6))),MID(M515,7,1)=" "),LEFT(M515,6),M515),"")</f>
        <v/>
      </c>
      <c r="V515" s="36" t="str">
        <f aca="false">TRIM(S515)</f>
        <v/>
      </c>
      <c r="W515" s="36" t="str">
        <f aca="false">IF(V515="Revenue","Revenue",IF(V515="Cost of Goods Sold","COGS",IF(V515="Expenditures","Expense",IF(V515="Other Revenue","Other Revenue",IF(V515="Other Expenditures","Other Expense",W514)))))</f>
        <v/>
      </c>
      <c r="X515" s="36" t="str">
        <f aca="false">IF(OR(V515="Revenue",V515="Cost of Goods Sold",V515="Expenditures",V515="Other Revenue",V515="Other Expenditures"),W515,IF(AND(LEN(V515)&gt;2,MID(V515,2,1)=" ",ISNUMBER(VALUE(LEFT(V515,1)))),V515,X514))</f>
        <v/>
      </c>
      <c r="Y515" s="36" t="n">
        <f aca="false">IF(AND(V515&lt;&gt;"",ISNUMBER(T515),LEFT(V515,9)&lt;&gt;"Total for",V515&lt;&gt;"Gross Profit",V515&lt;&gt;"Net Operating Revenue",V515&lt;&gt;"Net Other Revenue",V515&lt;&gt;"Net Revenue"),1,0)</f>
        <v>0</v>
      </c>
      <c r="Z515" s="36" t="str">
        <f aca="false">IF(Y515=1,IF(AND(LEN(V515)&gt;7,ISNUMBER(VALUE(LEFT(V515,6))),MID(V515,7,1)=" "),LEFT(V515,6),V515),"")</f>
        <v/>
      </c>
      <c r="AE515" s="36" t="str">
        <f aca="false">TRIM(AB515)</f>
        <v/>
      </c>
      <c r="AF515" s="36" t="str">
        <f aca="false">IF(AE515="Revenue","Revenue",IF(AE515="Cost of Goods Sold","COGS",IF(AE515="Expenditures","Expense",IF(AE515="Other Revenue","Other Revenue",IF(AE515="Other Expenditures","Other Expense",AF514)))))</f>
        <v/>
      </c>
      <c r="AG515" s="36" t="str">
        <f aca="false">IF(OR(AE515="Revenue",AE515="Cost of Goods Sold",AE515="Expenditures",AE515="Other Revenue",AE515="Other Expenditures"),AF515,IF(AND(LEN(AE515)&gt;2,MID(AE515,2,1)=" ",ISNUMBER(VALUE(LEFT(AE515,1)))),AE515,AG514))</f>
        <v/>
      </c>
      <c r="AH515" s="36" t="n">
        <f aca="false">IF(AND(AE515&lt;&gt;"",ISNUMBER(AC515),LEFT(AE515,9)&lt;&gt;"Total for",AE515&lt;&gt;"Gross Profit",AE515&lt;&gt;"Net Operating Revenue",AE515&lt;&gt;"Net Other Revenue",AE515&lt;&gt;"Net Revenue"),1,0)</f>
        <v>0</v>
      </c>
      <c r="AI515" s="36" t="str">
        <f aca="false">IF(AH515=1,IF(AND(LEN(AE515)&gt;7,ISNUMBER(VALUE(LEFT(AE515,6))),MID(AE515,7,1)=" "),LEFT(AE515,6),AE515),"")</f>
        <v/>
      </c>
      <c r="AN515" s="36" t="str">
        <f aca="false">TRIM(AK515)</f>
        <v/>
      </c>
      <c r="AO515" s="36" t="str">
        <f aca="false">IF(AN515="Revenue","Revenue",IF(AN515="Cost of Goods Sold","COGS",IF(AN515="Expenditures","Expense",IF(AN515="Other Revenue","Other Revenue",IF(AN515="Other Expenditures","Other Expense",AO514)))))</f>
        <v/>
      </c>
      <c r="AP515" s="36" t="str">
        <f aca="false">IF(OR(AN515="Revenue",AN515="Cost of Goods Sold",AN515="Expenditures",AN515="Other Revenue",AN515="Other Expenditures"),AO515,IF(AND(LEN(AN515)&gt;2,MID(AN515,2,1)=" ",ISNUMBER(VALUE(LEFT(AN515,1)))),AN515,AP514))</f>
        <v/>
      </c>
      <c r="AQ515" s="36" t="n">
        <f aca="false">IF(AND(AN515&lt;&gt;"",ISNUMBER(AL515),LEFT(AN515,9)&lt;&gt;"Total for",AN515&lt;&gt;"Gross Profit",AN515&lt;&gt;"Net Operating Revenue",AN515&lt;&gt;"Net Other Revenue",AN515&lt;&gt;"Net Revenue"),1,0)</f>
        <v>0</v>
      </c>
      <c r="AR515" s="36" t="str">
        <f aca="false">IF(AQ515=1,IF(AND(LEN(AN515)&gt;7,ISNUMBER(VALUE(LEFT(AN515,6))),MID(AN515,7,1)=" "),LEFT(AN515,6),AN515),"")</f>
        <v/>
      </c>
    </row>
    <row r="516" customFormat="false" ht="15" hidden="false" customHeight="false" outlineLevel="0" collapsed="false">
      <c r="D516" s="36" t="str">
        <f aca="false">TRIM(A516)</f>
        <v/>
      </c>
      <c r="E516" s="36" t="str">
        <f aca="false">IF(D516="Revenue","Revenue",IF(D516="Cost of Goods Sold","COGS",IF(D516="Expenditures","Expense",IF(D516="Other Revenue","Other Revenue",IF(D516="Other Expenditures","Other Expense",E515)))))</f>
        <v/>
      </c>
      <c r="F516" s="36" t="str">
        <f aca="false">IF(OR(D516="Revenue",D516="Cost of Goods Sold",D516="Expenditures",D516="Other Revenue",D516="Other Expenditures"),E516,IF(AND(LEN(D516)&gt;2,MID(D516,2,1)=" ",ISNUMBER(VALUE(LEFT(D516,1)))),D516,F515))</f>
        <v/>
      </c>
      <c r="G516" s="36" t="n">
        <f aca="false">IF(AND(D516&lt;&gt;"",ISNUMBER(B516),LEFT(D516,9)&lt;&gt;"Total for",D516&lt;&gt;"Gross Profit",D516&lt;&gt;"Net Operating Revenue",D516&lt;&gt;"Net Other Revenue",D516&lt;&gt;"Net Revenue"),1,0)</f>
        <v>0</v>
      </c>
      <c r="H516" s="36" t="str">
        <f aca="false">IF(G516=1,IF(AND(LEN(D516)&gt;7,ISNUMBER(VALUE(LEFT(D516,6))),MID(D516,7,1)=" "),LEFT(D516,6),D516),"")</f>
        <v/>
      </c>
      <c r="M516" s="36" t="str">
        <f aca="false">TRIM(J516)</f>
        <v/>
      </c>
      <c r="N516" s="36" t="str">
        <f aca="false">IF(M516="Revenue","Revenue",IF(M516="Cost of Goods Sold","COGS",IF(M516="Expenditures","Expense",IF(M516="Other Revenue","Other Revenue",IF(M516="Other Expenditures","Other Expense",N515)))))</f>
        <v/>
      </c>
      <c r="O516" s="36" t="str">
        <f aca="false">IF(OR(M516="Revenue",M516="Cost of Goods Sold",M516="Expenditures",M516="Other Revenue",M516="Other Expenditures"),N516,IF(AND(LEN(M516)&gt;2,MID(M516,2,1)=" ",ISNUMBER(VALUE(LEFT(M516,1)))),M516,O515))</f>
        <v/>
      </c>
      <c r="P516" s="36" t="n">
        <f aca="false">IF(AND(M516&lt;&gt;"",ISNUMBER(K516),LEFT(M516,9)&lt;&gt;"Total for",M516&lt;&gt;"Gross Profit",M516&lt;&gt;"Net Operating Revenue",M516&lt;&gt;"Net Other Revenue",M516&lt;&gt;"Net Revenue"),1,0)</f>
        <v>0</v>
      </c>
      <c r="Q516" s="36" t="str">
        <f aca="false">IF(P516=1,IF(AND(LEN(M516)&gt;7,ISNUMBER(VALUE(LEFT(M516,6))),MID(M516,7,1)=" "),LEFT(M516,6),M516),"")</f>
        <v/>
      </c>
      <c r="V516" s="36" t="str">
        <f aca="false">TRIM(S516)</f>
        <v/>
      </c>
      <c r="W516" s="36" t="str">
        <f aca="false">IF(V516="Revenue","Revenue",IF(V516="Cost of Goods Sold","COGS",IF(V516="Expenditures","Expense",IF(V516="Other Revenue","Other Revenue",IF(V516="Other Expenditures","Other Expense",W515)))))</f>
        <v/>
      </c>
      <c r="X516" s="36" t="str">
        <f aca="false">IF(OR(V516="Revenue",V516="Cost of Goods Sold",V516="Expenditures",V516="Other Revenue",V516="Other Expenditures"),W516,IF(AND(LEN(V516)&gt;2,MID(V516,2,1)=" ",ISNUMBER(VALUE(LEFT(V516,1)))),V516,X515))</f>
        <v/>
      </c>
      <c r="Y516" s="36" t="n">
        <f aca="false">IF(AND(V516&lt;&gt;"",ISNUMBER(T516),LEFT(V516,9)&lt;&gt;"Total for",V516&lt;&gt;"Gross Profit",V516&lt;&gt;"Net Operating Revenue",V516&lt;&gt;"Net Other Revenue",V516&lt;&gt;"Net Revenue"),1,0)</f>
        <v>0</v>
      </c>
      <c r="Z516" s="36" t="str">
        <f aca="false">IF(Y516=1,IF(AND(LEN(V516)&gt;7,ISNUMBER(VALUE(LEFT(V516,6))),MID(V516,7,1)=" "),LEFT(V516,6),V516),"")</f>
        <v/>
      </c>
      <c r="AE516" s="36" t="str">
        <f aca="false">TRIM(AB516)</f>
        <v/>
      </c>
      <c r="AF516" s="36" t="str">
        <f aca="false">IF(AE516="Revenue","Revenue",IF(AE516="Cost of Goods Sold","COGS",IF(AE516="Expenditures","Expense",IF(AE516="Other Revenue","Other Revenue",IF(AE516="Other Expenditures","Other Expense",AF515)))))</f>
        <v/>
      </c>
      <c r="AG516" s="36" t="str">
        <f aca="false">IF(OR(AE516="Revenue",AE516="Cost of Goods Sold",AE516="Expenditures",AE516="Other Revenue",AE516="Other Expenditures"),AF516,IF(AND(LEN(AE516)&gt;2,MID(AE516,2,1)=" ",ISNUMBER(VALUE(LEFT(AE516,1)))),AE516,AG515))</f>
        <v/>
      </c>
      <c r="AH516" s="36" t="n">
        <f aca="false">IF(AND(AE516&lt;&gt;"",ISNUMBER(AC516),LEFT(AE516,9)&lt;&gt;"Total for",AE516&lt;&gt;"Gross Profit",AE516&lt;&gt;"Net Operating Revenue",AE516&lt;&gt;"Net Other Revenue",AE516&lt;&gt;"Net Revenue"),1,0)</f>
        <v>0</v>
      </c>
      <c r="AI516" s="36" t="str">
        <f aca="false">IF(AH516=1,IF(AND(LEN(AE516)&gt;7,ISNUMBER(VALUE(LEFT(AE516,6))),MID(AE516,7,1)=" "),LEFT(AE516,6),AE516),"")</f>
        <v/>
      </c>
      <c r="AN516" s="36" t="str">
        <f aca="false">TRIM(AK516)</f>
        <v/>
      </c>
      <c r="AO516" s="36" t="str">
        <f aca="false">IF(AN516="Revenue","Revenue",IF(AN516="Cost of Goods Sold","COGS",IF(AN516="Expenditures","Expense",IF(AN516="Other Revenue","Other Revenue",IF(AN516="Other Expenditures","Other Expense",AO515)))))</f>
        <v/>
      </c>
      <c r="AP516" s="36" t="str">
        <f aca="false">IF(OR(AN516="Revenue",AN516="Cost of Goods Sold",AN516="Expenditures",AN516="Other Revenue",AN516="Other Expenditures"),AO516,IF(AND(LEN(AN516)&gt;2,MID(AN516,2,1)=" ",ISNUMBER(VALUE(LEFT(AN516,1)))),AN516,AP515))</f>
        <v/>
      </c>
      <c r="AQ516" s="36" t="n">
        <f aca="false">IF(AND(AN516&lt;&gt;"",ISNUMBER(AL516),LEFT(AN516,9)&lt;&gt;"Total for",AN516&lt;&gt;"Gross Profit",AN516&lt;&gt;"Net Operating Revenue",AN516&lt;&gt;"Net Other Revenue",AN516&lt;&gt;"Net Revenue"),1,0)</f>
        <v>0</v>
      </c>
      <c r="AR516" s="36" t="str">
        <f aca="false">IF(AQ516=1,IF(AND(LEN(AN516)&gt;7,ISNUMBER(VALUE(LEFT(AN516,6))),MID(AN516,7,1)=" "),LEFT(AN516,6),AN516),"")</f>
        <v/>
      </c>
    </row>
    <row r="517" customFormat="false" ht="15" hidden="false" customHeight="false" outlineLevel="0" collapsed="false">
      <c r="D517" s="36" t="str">
        <f aca="false">TRIM(A517)</f>
        <v/>
      </c>
      <c r="E517" s="36" t="str">
        <f aca="false">IF(D517="Revenue","Revenue",IF(D517="Cost of Goods Sold","COGS",IF(D517="Expenditures","Expense",IF(D517="Other Revenue","Other Revenue",IF(D517="Other Expenditures","Other Expense",E516)))))</f>
        <v/>
      </c>
      <c r="F517" s="36" t="str">
        <f aca="false">IF(OR(D517="Revenue",D517="Cost of Goods Sold",D517="Expenditures",D517="Other Revenue",D517="Other Expenditures"),E517,IF(AND(LEN(D517)&gt;2,MID(D517,2,1)=" ",ISNUMBER(VALUE(LEFT(D517,1)))),D517,F516))</f>
        <v/>
      </c>
      <c r="G517" s="36" t="n">
        <f aca="false">IF(AND(D517&lt;&gt;"",ISNUMBER(B517),LEFT(D517,9)&lt;&gt;"Total for",D517&lt;&gt;"Gross Profit",D517&lt;&gt;"Net Operating Revenue",D517&lt;&gt;"Net Other Revenue",D517&lt;&gt;"Net Revenue"),1,0)</f>
        <v>0</v>
      </c>
      <c r="H517" s="36" t="str">
        <f aca="false">IF(G517=1,IF(AND(LEN(D517)&gt;7,ISNUMBER(VALUE(LEFT(D517,6))),MID(D517,7,1)=" "),LEFT(D517,6),D517),"")</f>
        <v/>
      </c>
      <c r="M517" s="36" t="str">
        <f aca="false">TRIM(J517)</f>
        <v/>
      </c>
      <c r="N517" s="36" t="str">
        <f aca="false">IF(M517="Revenue","Revenue",IF(M517="Cost of Goods Sold","COGS",IF(M517="Expenditures","Expense",IF(M517="Other Revenue","Other Revenue",IF(M517="Other Expenditures","Other Expense",N516)))))</f>
        <v/>
      </c>
      <c r="O517" s="36" t="str">
        <f aca="false">IF(OR(M517="Revenue",M517="Cost of Goods Sold",M517="Expenditures",M517="Other Revenue",M517="Other Expenditures"),N517,IF(AND(LEN(M517)&gt;2,MID(M517,2,1)=" ",ISNUMBER(VALUE(LEFT(M517,1)))),M517,O516))</f>
        <v/>
      </c>
      <c r="P517" s="36" t="n">
        <f aca="false">IF(AND(M517&lt;&gt;"",ISNUMBER(K517),LEFT(M517,9)&lt;&gt;"Total for",M517&lt;&gt;"Gross Profit",M517&lt;&gt;"Net Operating Revenue",M517&lt;&gt;"Net Other Revenue",M517&lt;&gt;"Net Revenue"),1,0)</f>
        <v>0</v>
      </c>
      <c r="Q517" s="36" t="str">
        <f aca="false">IF(P517=1,IF(AND(LEN(M517)&gt;7,ISNUMBER(VALUE(LEFT(M517,6))),MID(M517,7,1)=" "),LEFT(M517,6),M517),"")</f>
        <v/>
      </c>
      <c r="V517" s="36" t="str">
        <f aca="false">TRIM(S517)</f>
        <v/>
      </c>
      <c r="W517" s="36" t="str">
        <f aca="false">IF(V517="Revenue","Revenue",IF(V517="Cost of Goods Sold","COGS",IF(V517="Expenditures","Expense",IF(V517="Other Revenue","Other Revenue",IF(V517="Other Expenditures","Other Expense",W516)))))</f>
        <v/>
      </c>
      <c r="X517" s="36" t="str">
        <f aca="false">IF(OR(V517="Revenue",V517="Cost of Goods Sold",V517="Expenditures",V517="Other Revenue",V517="Other Expenditures"),W517,IF(AND(LEN(V517)&gt;2,MID(V517,2,1)=" ",ISNUMBER(VALUE(LEFT(V517,1)))),V517,X516))</f>
        <v/>
      </c>
      <c r="Y517" s="36" t="n">
        <f aca="false">IF(AND(V517&lt;&gt;"",ISNUMBER(T517),LEFT(V517,9)&lt;&gt;"Total for",V517&lt;&gt;"Gross Profit",V517&lt;&gt;"Net Operating Revenue",V517&lt;&gt;"Net Other Revenue",V517&lt;&gt;"Net Revenue"),1,0)</f>
        <v>0</v>
      </c>
      <c r="Z517" s="36" t="str">
        <f aca="false">IF(Y517=1,IF(AND(LEN(V517)&gt;7,ISNUMBER(VALUE(LEFT(V517,6))),MID(V517,7,1)=" "),LEFT(V517,6),V517),"")</f>
        <v/>
      </c>
      <c r="AE517" s="36" t="str">
        <f aca="false">TRIM(AB517)</f>
        <v/>
      </c>
      <c r="AF517" s="36" t="str">
        <f aca="false">IF(AE517="Revenue","Revenue",IF(AE517="Cost of Goods Sold","COGS",IF(AE517="Expenditures","Expense",IF(AE517="Other Revenue","Other Revenue",IF(AE517="Other Expenditures","Other Expense",AF516)))))</f>
        <v/>
      </c>
      <c r="AG517" s="36" t="str">
        <f aca="false">IF(OR(AE517="Revenue",AE517="Cost of Goods Sold",AE517="Expenditures",AE517="Other Revenue",AE517="Other Expenditures"),AF517,IF(AND(LEN(AE517)&gt;2,MID(AE517,2,1)=" ",ISNUMBER(VALUE(LEFT(AE517,1)))),AE517,AG516))</f>
        <v/>
      </c>
      <c r="AH517" s="36" t="n">
        <f aca="false">IF(AND(AE517&lt;&gt;"",ISNUMBER(AC517),LEFT(AE517,9)&lt;&gt;"Total for",AE517&lt;&gt;"Gross Profit",AE517&lt;&gt;"Net Operating Revenue",AE517&lt;&gt;"Net Other Revenue",AE517&lt;&gt;"Net Revenue"),1,0)</f>
        <v>0</v>
      </c>
      <c r="AI517" s="36" t="str">
        <f aca="false">IF(AH517=1,IF(AND(LEN(AE517)&gt;7,ISNUMBER(VALUE(LEFT(AE517,6))),MID(AE517,7,1)=" "),LEFT(AE517,6),AE517),"")</f>
        <v/>
      </c>
      <c r="AN517" s="36" t="str">
        <f aca="false">TRIM(AK517)</f>
        <v/>
      </c>
      <c r="AO517" s="36" t="str">
        <f aca="false">IF(AN517="Revenue","Revenue",IF(AN517="Cost of Goods Sold","COGS",IF(AN517="Expenditures","Expense",IF(AN517="Other Revenue","Other Revenue",IF(AN517="Other Expenditures","Other Expense",AO516)))))</f>
        <v/>
      </c>
      <c r="AP517" s="36" t="str">
        <f aca="false">IF(OR(AN517="Revenue",AN517="Cost of Goods Sold",AN517="Expenditures",AN517="Other Revenue",AN517="Other Expenditures"),AO517,IF(AND(LEN(AN517)&gt;2,MID(AN517,2,1)=" ",ISNUMBER(VALUE(LEFT(AN517,1)))),AN517,AP516))</f>
        <v/>
      </c>
      <c r="AQ517" s="36" t="n">
        <f aca="false">IF(AND(AN517&lt;&gt;"",ISNUMBER(AL517),LEFT(AN517,9)&lt;&gt;"Total for",AN517&lt;&gt;"Gross Profit",AN517&lt;&gt;"Net Operating Revenue",AN517&lt;&gt;"Net Other Revenue",AN517&lt;&gt;"Net Revenue"),1,0)</f>
        <v>0</v>
      </c>
      <c r="AR517" s="36" t="str">
        <f aca="false">IF(AQ517=1,IF(AND(LEN(AN517)&gt;7,ISNUMBER(VALUE(LEFT(AN517,6))),MID(AN517,7,1)=" "),LEFT(AN517,6),AN517),"")</f>
        <v/>
      </c>
    </row>
    <row r="518" customFormat="false" ht="15" hidden="false" customHeight="false" outlineLevel="0" collapsed="false">
      <c r="D518" s="36" t="str">
        <f aca="false">TRIM(A518)</f>
        <v/>
      </c>
      <c r="E518" s="36" t="str">
        <f aca="false">IF(D518="Revenue","Revenue",IF(D518="Cost of Goods Sold","COGS",IF(D518="Expenditures","Expense",IF(D518="Other Revenue","Other Revenue",IF(D518="Other Expenditures","Other Expense",E517)))))</f>
        <v/>
      </c>
      <c r="F518" s="36" t="str">
        <f aca="false">IF(OR(D518="Revenue",D518="Cost of Goods Sold",D518="Expenditures",D518="Other Revenue",D518="Other Expenditures"),E518,IF(AND(LEN(D518)&gt;2,MID(D518,2,1)=" ",ISNUMBER(VALUE(LEFT(D518,1)))),D518,F517))</f>
        <v/>
      </c>
      <c r="G518" s="36" t="n">
        <f aca="false">IF(AND(D518&lt;&gt;"",ISNUMBER(B518),LEFT(D518,9)&lt;&gt;"Total for",D518&lt;&gt;"Gross Profit",D518&lt;&gt;"Net Operating Revenue",D518&lt;&gt;"Net Other Revenue",D518&lt;&gt;"Net Revenue"),1,0)</f>
        <v>0</v>
      </c>
      <c r="H518" s="36" t="str">
        <f aca="false">IF(G518=1,IF(AND(LEN(D518)&gt;7,ISNUMBER(VALUE(LEFT(D518,6))),MID(D518,7,1)=" "),LEFT(D518,6),D518),"")</f>
        <v/>
      </c>
      <c r="M518" s="36" t="str">
        <f aca="false">TRIM(J518)</f>
        <v/>
      </c>
      <c r="N518" s="36" t="str">
        <f aca="false">IF(M518="Revenue","Revenue",IF(M518="Cost of Goods Sold","COGS",IF(M518="Expenditures","Expense",IF(M518="Other Revenue","Other Revenue",IF(M518="Other Expenditures","Other Expense",N517)))))</f>
        <v/>
      </c>
      <c r="O518" s="36" t="str">
        <f aca="false">IF(OR(M518="Revenue",M518="Cost of Goods Sold",M518="Expenditures",M518="Other Revenue",M518="Other Expenditures"),N518,IF(AND(LEN(M518)&gt;2,MID(M518,2,1)=" ",ISNUMBER(VALUE(LEFT(M518,1)))),M518,O517))</f>
        <v/>
      </c>
      <c r="P518" s="36" t="n">
        <f aca="false">IF(AND(M518&lt;&gt;"",ISNUMBER(K518),LEFT(M518,9)&lt;&gt;"Total for",M518&lt;&gt;"Gross Profit",M518&lt;&gt;"Net Operating Revenue",M518&lt;&gt;"Net Other Revenue",M518&lt;&gt;"Net Revenue"),1,0)</f>
        <v>0</v>
      </c>
      <c r="Q518" s="36" t="str">
        <f aca="false">IF(P518=1,IF(AND(LEN(M518)&gt;7,ISNUMBER(VALUE(LEFT(M518,6))),MID(M518,7,1)=" "),LEFT(M518,6),M518),"")</f>
        <v/>
      </c>
      <c r="V518" s="36" t="str">
        <f aca="false">TRIM(S518)</f>
        <v/>
      </c>
      <c r="W518" s="36" t="str">
        <f aca="false">IF(V518="Revenue","Revenue",IF(V518="Cost of Goods Sold","COGS",IF(V518="Expenditures","Expense",IF(V518="Other Revenue","Other Revenue",IF(V518="Other Expenditures","Other Expense",W517)))))</f>
        <v/>
      </c>
      <c r="X518" s="36" t="str">
        <f aca="false">IF(OR(V518="Revenue",V518="Cost of Goods Sold",V518="Expenditures",V518="Other Revenue",V518="Other Expenditures"),W518,IF(AND(LEN(V518)&gt;2,MID(V518,2,1)=" ",ISNUMBER(VALUE(LEFT(V518,1)))),V518,X517))</f>
        <v/>
      </c>
      <c r="Y518" s="36" t="n">
        <f aca="false">IF(AND(V518&lt;&gt;"",ISNUMBER(T518),LEFT(V518,9)&lt;&gt;"Total for",V518&lt;&gt;"Gross Profit",V518&lt;&gt;"Net Operating Revenue",V518&lt;&gt;"Net Other Revenue",V518&lt;&gt;"Net Revenue"),1,0)</f>
        <v>0</v>
      </c>
      <c r="Z518" s="36" t="str">
        <f aca="false">IF(Y518=1,IF(AND(LEN(V518)&gt;7,ISNUMBER(VALUE(LEFT(V518,6))),MID(V518,7,1)=" "),LEFT(V518,6),V518),"")</f>
        <v/>
      </c>
      <c r="AE518" s="36" t="str">
        <f aca="false">TRIM(AB518)</f>
        <v/>
      </c>
      <c r="AF518" s="36" t="str">
        <f aca="false">IF(AE518="Revenue","Revenue",IF(AE518="Cost of Goods Sold","COGS",IF(AE518="Expenditures","Expense",IF(AE518="Other Revenue","Other Revenue",IF(AE518="Other Expenditures","Other Expense",AF517)))))</f>
        <v/>
      </c>
      <c r="AG518" s="36" t="str">
        <f aca="false">IF(OR(AE518="Revenue",AE518="Cost of Goods Sold",AE518="Expenditures",AE518="Other Revenue",AE518="Other Expenditures"),AF518,IF(AND(LEN(AE518)&gt;2,MID(AE518,2,1)=" ",ISNUMBER(VALUE(LEFT(AE518,1)))),AE518,AG517))</f>
        <v/>
      </c>
      <c r="AH518" s="36" t="n">
        <f aca="false">IF(AND(AE518&lt;&gt;"",ISNUMBER(AC518),LEFT(AE518,9)&lt;&gt;"Total for",AE518&lt;&gt;"Gross Profit",AE518&lt;&gt;"Net Operating Revenue",AE518&lt;&gt;"Net Other Revenue",AE518&lt;&gt;"Net Revenue"),1,0)</f>
        <v>0</v>
      </c>
      <c r="AI518" s="36" t="str">
        <f aca="false">IF(AH518=1,IF(AND(LEN(AE518)&gt;7,ISNUMBER(VALUE(LEFT(AE518,6))),MID(AE518,7,1)=" "),LEFT(AE518,6),AE518),"")</f>
        <v/>
      </c>
      <c r="AN518" s="36" t="str">
        <f aca="false">TRIM(AK518)</f>
        <v/>
      </c>
      <c r="AO518" s="36" t="str">
        <f aca="false">IF(AN518="Revenue","Revenue",IF(AN518="Cost of Goods Sold","COGS",IF(AN518="Expenditures","Expense",IF(AN518="Other Revenue","Other Revenue",IF(AN518="Other Expenditures","Other Expense",AO517)))))</f>
        <v/>
      </c>
      <c r="AP518" s="36" t="str">
        <f aca="false">IF(OR(AN518="Revenue",AN518="Cost of Goods Sold",AN518="Expenditures",AN518="Other Revenue",AN518="Other Expenditures"),AO518,IF(AND(LEN(AN518)&gt;2,MID(AN518,2,1)=" ",ISNUMBER(VALUE(LEFT(AN518,1)))),AN518,AP517))</f>
        <v/>
      </c>
      <c r="AQ518" s="36" t="n">
        <f aca="false">IF(AND(AN518&lt;&gt;"",ISNUMBER(AL518),LEFT(AN518,9)&lt;&gt;"Total for",AN518&lt;&gt;"Gross Profit",AN518&lt;&gt;"Net Operating Revenue",AN518&lt;&gt;"Net Other Revenue",AN518&lt;&gt;"Net Revenue"),1,0)</f>
        <v>0</v>
      </c>
      <c r="AR518" s="36" t="str">
        <f aca="false">IF(AQ518=1,IF(AND(LEN(AN518)&gt;7,ISNUMBER(VALUE(LEFT(AN518,6))),MID(AN518,7,1)=" "),LEFT(AN518,6),AN518),"")</f>
        <v/>
      </c>
    </row>
    <row r="519" customFormat="false" ht="15" hidden="false" customHeight="false" outlineLevel="0" collapsed="false">
      <c r="D519" s="36" t="str">
        <f aca="false">TRIM(A519)</f>
        <v/>
      </c>
      <c r="E519" s="36" t="str">
        <f aca="false">IF(D519="Revenue","Revenue",IF(D519="Cost of Goods Sold","COGS",IF(D519="Expenditures","Expense",IF(D519="Other Revenue","Other Revenue",IF(D519="Other Expenditures","Other Expense",E518)))))</f>
        <v/>
      </c>
      <c r="F519" s="36" t="str">
        <f aca="false">IF(OR(D519="Revenue",D519="Cost of Goods Sold",D519="Expenditures",D519="Other Revenue",D519="Other Expenditures"),E519,IF(AND(LEN(D519)&gt;2,MID(D519,2,1)=" ",ISNUMBER(VALUE(LEFT(D519,1)))),D519,F518))</f>
        <v/>
      </c>
      <c r="G519" s="36" t="n">
        <f aca="false">IF(AND(D519&lt;&gt;"",ISNUMBER(B519),LEFT(D519,9)&lt;&gt;"Total for",D519&lt;&gt;"Gross Profit",D519&lt;&gt;"Net Operating Revenue",D519&lt;&gt;"Net Other Revenue",D519&lt;&gt;"Net Revenue"),1,0)</f>
        <v>0</v>
      </c>
      <c r="H519" s="36" t="str">
        <f aca="false">IF(G519=1,IF(AND(LEN(D519)&gt;7,ISNUMBER(VALUE(LEFT(D519,6))),MID(D519,7,1)=" "),LEFT(D519,6),D519),"")</f>
        <v/>
      </c>
      <c r="M519" s="36" t="str">
        <f aca="false">TRIM(J519)</f>
        <v/>
      </c>
      <c r="N519" s="36" t="str">
        <f aca="false">IF(M519="Revenue","Revenue",IF(M519="Cost of Goods Sold","COGS",IF(M519="Expenditures","Expense",IF(M519="Other Revenue","Other Revenue",IF(M519="Other Expenditures","Other Expense",N518)))))</f>
        <v/>
      </c>
      <c r="O519" s="36" t="str">
        <f aca="false">IF(OR(M519="Revenue",M519="Cost of Goods Sold",M519="Expenditures",M519="Other Revenue",M519="Other Expenditures"),N519,IF(AND(LEN(M519)&gt;2,MID(M519,2,1)=" ",ISNUMBER(VALUE(LEFT(M519,1)))),M519,O518))</f>
        <v/>
      </c>
      <c r="P519" s="36" t="n">
        <f aca="false">IF(AND(M519&lt;&gt;"",ISNUMBER(K519),LEFT(M519,9)&lt;&gt;"Total for",M519&lt;&gt;"Gross Profit",M519&lt;&gt;"Net Operating Revenue",M519&lt;&gt;"Net Other Revenue",M519&lt;&gt;"Net Revenue"),1,0)</f>
        <v>0</v>
      </c>
      <c r="Q519" s="36" t="str">
        <f aca="false">IF(P519=1,IF(AND(LEN(M519)&gt;7,ISNUMBER(VALUE(LEFT(M519,6))),MID(M519,7,1)=" "),LEFT(M519,6),M519),"")</f>
        <v/>
      </c>
      <c r="V519" s="36" t="str">
        <f aca="false">TRIM(S519)</f>
        <v/>
      </c>
      <c r="W519" s="36" t="str">
        <f aca="false">IF(V519="Revenue","Revenue",IF(V519="Cost of Goods Sold","COGS",IF(V519="Expenditures","Expense",IF(V519="Other Revenue","Other Revenue",IF(V519="Other Expenditures","Other Expense",W518)))))</f>
        <v/>
      </c>
      <c r="X519" s="36" t="str">
        <f aca="false">IF(OR(V519="Revenue",V519="Cost of Goods Sold",V519="Expenditures",V519="Other Revenue",V519="Other Expenditures"),W519,IF(AND(LEN(V519)&gt;2,MID(V519,2,1)=" ",ISNUMBER(VALUE(LEFT(V519,1)))),V519,X518))</f>
        <v/>
      </c>
      <c r="Y519" s="36" t="n">
        <f aca="false">IF(AND(V519&lt;&gt;"",ISNUMBER(T519),LEFT(V519,9)&lt;&gt;"Total for",V519&lt;&gt;"Gross Profit",V519&lt;&gt;"Net Operating Revenue",V519&lt;&gt;"Net Other Revenue",V519&lt;&gt;"Net Revenue"),1,0)</f>
        <v>0</v>
      </c>
      <c r="Z519" s="36" t="str">
        <f aca="false">IF(Y519=1,IF(AND(LEN(V519)&gt;7,ISNUMBER(VALUE(LEFT(V519,6))),MID(V519,7,1)=" "),LEFT(V519,6),V519),"")</f>
        <v/>
      </c>
      <c r="AE519" s="36" t="str">
        <f aca="false">TRIM(AB519)</f>
        <v/>
      </c>
      <c r="AF519" s="36" t="str">
        <f aca="false">IF(AE519="Revenue","Revenue",IF(AE519="Cost of Goods Sold","COGS",IF(AE519="Expenditures","Expense",IF(AE519="Other Revenue","Other Revenue",IF(AE519="Other Expenditures","Other Expense",AF518)))))</f>
        <v/>
      </c>
      <c r="AG519" s="36" t="str">
        <f aca="false">IF(OR(AE519="Revenue",AE519="Cost of Goods Sold",AE519="Expenditures",AE519="Other Revenue",AE519="Other Expenditures"),AF519,IF(AND(LEN(AE519)&gt;2,MID(AE519,2,1)=" ",ISNUMBER(VALUE(LEFT(AE519,1)))),AE519,AG518))</f>
        <v/>
      </c>
      <c r="AH519" s="36" t="n">
        <f aca="false">IF(AND(AE519&lt;&gt;"",ISNUMBER(AC519),LEFT(AE519,9)&lt;&gt;"Total for",AE519&lt;&gt;"Gross Profit",AE519&lt;&gt;"Net Operating Revenue",AE519&lt;&gt;"Net Other Revenue",AE519&lt;&gt;"Net Revenue"),1,0)</f>
        <v>0</v>
      </c>
      <c r="AI519" s="36" t="str">
        <f aca="false">IF(AH519=1,IF(AND(LEN(AE519)&gt;7,ISNUMBER(VALUE(LEFT(AE519,6))),MID(AE519,7,1)=" "),LEFT(AE519,6),AE519),"")</f>
        <v/>
      </c>
      <c r="AN519" s="36" t="str">
        <f aca="false">TRIM(AK519)</f>
        <v/>
      </c>
      <c r="AO519" s="36" t="str">
        <f aca="false">IF(AN519="Revenue","Revenue",IF(AN519="Cost of Goods Sold","COGS",IF(AN519="Expenditures","Expense",IF(AN519="Other Revenue","Other Revenue",IF(AN519="Other Expenditures","Other Expense",AO518)))))</f>
        <v/>
      </c>
      <c r="AP519" s="36" t="str">
        <f aca="false">IF(OR(AN519="Revenue",AN519="Cost of Goods Sold",AN519="Expenditures",AN519="Other Revenue",AN519="Other Expenditures"),AO519,IF(AND(LEN(AN519)&gt;2,MID(AN519,2,1)=" ",ISNUMBER(VALUE(LEFT(AN519,1)))),AN519,AP518))</f>
        <v/>
      </c>
      <c r="AQ519" s="36" t="n">
        <f aca="false">IF(AND(AN519&lt;&gt;"",ISNUMBER(AL519),LEFT(AN519,9)&lt;&gt;"Total for",AN519&lt;&gt;"Gross Profit",AN519&lt;&gt;"Net Operating Revenue",AN519&lt;&gt;"Net Other Revenue",AN519&lt;&gt;"Net Revenue"),1,0)</f>
        <v>0</v>
      </c>
      <c r="AR519" s="36" t="str">
        <f aca="false">IF(AQ519=1,IF(AND(LEN(AN519)&gt;7,ISNUMBER(VALUE(LEFT(AN519,6))),MID(AN519,7,1)=" "),LEFT(AN519,6),AN519),"")</f>
        <v/>
      </c>
    </row>
    <row r="520" customFormat="false" ht="15" hidden="false" customHeight="false" outlineLevel="0" collapsed="false">
      <c r="D520" s="36" t="str">
        <f aca="false">TRIM(A520)</f>
        <v/>
      </c>
      <c r="E520" s="36" t="str">
        <f aca="false">IF(D520="Revenue","Revenue",IF(D520="Cost of Goods Sold","COGS",IF(D520="Expenditures","Expense",IF(D520="Other Revenue","Other Revenue",IF(D520="Other Expenditures","Other Expense",E519)))))</f>
        <v/>
      </c>
      <c r="F520" s="36" t="str">
        <f aca="false">IF(OR(D520="Revenue",D520="Cost of Goods Sold",D520="Expenditures",D520="Other Revenue",D520="Other Expenditures"),E520,IF(AND(LEN(D520)&gt;2,MID(D520,2,1)=" ",ISNUMBER(VALUE(LEFT(D520,1)))),D520,F519))</f>
        <v/>
      </c>
      <c r="G520" s="36" t="n">
        <f aca="false">IF(AND(D520&lt;&gt;"",ISNUMBER(B520),LEFT(D520,9)&lt;&gt;"Total for",D520&lt;&gt;"Gross Profit",D520&lt;&gt;"Net Operating Revenue",D520&lt;&gt;"Net Other Revenue",D520&lt;&gt;"Net Revenue"),1,0)</f>
        <v>0</v>
      </c>
      <c r="H520" s="36" t="str">
        <f aca="false">IF(G520=1,IF(AND(LEN(D520)&gt;7,ISNUMBER(VALUE(LEFT(D520,6))),MID(D520,7,1)=" "),LEFT(D520,6),D520),"")</f>
        <v/>
      </c>
      <c r="M520" s="36" t="str">
        <f aca="false">TRIM(J520)</f>
        <v/>
      </c>
      <c r="N520" s="36" t="str">
        <f aca="false">IF(M520="Revenue","Revenue",IF(M520="Cost of Goods Sold","COGS",IF(M520="Expenditures","Expense",IF(M520="Other Revenue","Other Revenue",IF(M520="Other Expenditures","Other Expense",N519)))))</f>
        <v/>
      </c>
      <c r="O520" s="36" t="str">
        <f aca="false">IF(OR(M520="Revenue",M520="Cost of Goods Sold",M520="Expenditures",M520="Other Revenue",M520="Other Expenditures"),N520,IF(AND(LEN(M520)&gt;2,MID(M520,2,1)=" ",ISNUMBER(VALUE(LEFT(M520,1)))),M520,O519))</f>
        <v/>
      </c>
      <c r="P520" s="36" t="n">
        <f aca="false">IF(AND(M520&lt;&gt;"",ISNUMBER(K520),LEFT(M520,9)&lt;&gt;"Total for",M520&lt;&gt;"Gross Profit",M520&lt;&gt;"Net Operating Revenue",M520&lt;&gt;"Net Other Revenue",M520&lt;&gt;"Net Revenue"),1,0)</f>
        <v>0</v>
      </c>
      <c r="Q520" s="36" t="str">
        <f aca="false">IF(P520=1,IF(AND(LEN(M520)&gt;7,ISNUMBER(VALUE(LEFT(M520,6))),MID(M520,7,1)=" "),LEFT(M520,6),M520),"")</f>
        <v/>
      </c>
      <c r="V520" s="36" t="str">
        <f aca="false">TRIM(S520)</f>
        <v/>
      </c>
      <c r="W520" s="36" t="str">
        <f aca="false">IF(V520="Revenue","Revenue",IF(V520="Cost of Goods Sold","COGS",IF(V520="Expenditures","Expense",IF(V520="Other Revenue","Other Revenue",IF(V520="Other Expenditures","Other Expense",W519)))))</f>
        <v/>
      </c>
      <c r="X520" s="36" t="str">
        <f aca="false">IF(OR(V520="Revenue",V520="Cost of Goods Sold",V520="Expenditures",V520="Other Revenue",V520="Other Expenditures"),W520,IF(AND(LEN(V520)&gt;2,MID(V520,2,1)=" ",ISNUMBER(VALUE(LEFT(V520,1)))),V520,X519))</f>
        <v/>
      </c>
      <c r="Y520" s="36" t="n">
        <f aca="false">IF(AND(V520&lt;&gt;"",ISNUMBER(T520),LEFT(V520,9)&lt;&gt;"Total for",V520&lt;&gt;"Gross Profit",V520&lt;&gt;"Net Operating Revenue",V520&lt;&gt;"Net Other Revenue",V520&lt;&gt;"Net Revenue"),1,0)</f>
        <v>0</v>
      </c>
      <c r="Z520" s="36" t="str">
        <f aca="false">IF(Y520=1,IF(AND(LEN(V520)&gt;7,ISNUMBER(VALUE(LEFT(V520,6))),MID(V520,7,1)=" "),LEFT(V520,6),V520),"")</f>
        <v/>
      </c>
      <c r="AE520" s="36" t="str">
        <f aca="false">TRIM(AB520)</f>
        <v/>
      </c>
      <c r="AF520" s="36" t="str">
        <f aca="false">IF(AE520="Revenue","Revenue",IF(AE520="Cost of Goods Sold","COGS",IF(AE520="Expenditures","Expense",IF(AE520="Other Revenue","Other Revenue",IF(AE520="Other Expenditures","Other Expense",AF519)))))</f>
        <v/>
      </c>
      <c r="AG520" s="36" t="str">
        <f aca="false">IF(OR(AE520="Revenue",AE520="Cost of Goods Sold",AE520="Expenditures",AE520="Other Revenue",AE520="Other Expenditures"),AF520,IF(AND(LEN(AE520)&gt;2,MID(AE520,2,1)=" ",ISNUMBER(VALUE(LEFT(AE520,1)))),AE520,AG519))</f>
        <v/>
      </c>
      <c r="AH520" s="36" t="n">
        <f aca="false">IF(AND(AE520&lt;&gt;"",ISNUMBER(AC520),LEFT(AE520,9)&lt;&gt;"Total for",AE520&lt;&gt;"Gross Profit",AE520&lt;&gt;"Net Operating Revenue",AE520&lt;&gt;"Net Other Revenue",AE520&lt;&gt;"Net Revenue"),1,0)</f>
        <v>0</v>
      </c>
      <c r="AI520" s="36" t="str">
        <f aca="false">IF(AH520=1,IF(AND(LEN(AE520)&gt;7,ISNUMBER(VALUE(LEFT(AE520,6))),MID(AE520,7,1)=" "),LEFT(AE520,6),AE520),"")</f>
        <v/>
      </c>
      <c r="AN520" s="36" t="str">
        <f aca="false">TRIM(AK520)</f>
        <v/>
      </c>
      <c r="AO520" s="36" t="str">
        <f aca="false">IF(AN520="Revenue","Revenue",IF(AN520="Cost of Goods Sold","COGS",IF(AN520="Expenditures","Expense",IF(AN520="Other Revenue","Other Revenue",IF(AN520="Other Expenditures","Other Expense",AO519)))))</f>
        <v/>
      </c>
      <c r="AP520" s="36" t="str">
        <f aca="false">IF(OR(AN520="Revenue",AN520="Cost of Goods Sold",AN520="Expenditures",AN520="Other Revenue",AN520="Other Expenditures"),AO520,IF(AND(LEN(AN520)&gt;2,MID(AN520,2,1)=" ",ISNUMBER(VALUE(LEFT(AN520,1)))),AN520,AP519))</f>
        <v/>
      </c>
      <c r="AQ520" s="36" t="n">
        <f aca="false">IF(AND(AN520&lt;&gt;"",ISNUMBER(AL520),LEFT(AN520,9)&lt;&gt;"Total for",AN520&lt;&gt;"Gross Profit",AN520&lt;&gt;"Net Operating Revenue",AN520&lt;&gt;"Net Other Revenue",AN520&lt;&gt;"Net Revenue"),1,0)</f>
        <v>0</v>
      </c>
      <c r="AR520" s="36" t="str">
        <f aca="false">IF(AQ520=1,IF(AND(LEN(AN520)&gt;7,ISNUMBER(VALUE(LEFT(AN520,6))),MID(AN520,7,1)=" "),LEFT(AN520,6),AN520),"")</f>
        <v/>
      </c>
    </row>
    <row r="521" customFormat="false" ht="15" hidden="false" customHeight="false" outlineLevel="0" collapsed="false">
      <c r="D521" s="36" t="str">
        <f aca="false">TRIM(A521)</f>
        <v/>
      </c>
      <c r="E521" s="36" t="str">
        <f aca="false">IF(D521="Revenue","Revenue",IF(D521="Cost of Goods Sold","COGS",IF(D521="Expenditures","Expense",IF(D521="Other Revenue","Other Revenue",IF(D521="Other Expenditures","Other Expense",E520)))))</f>
        <v/>
      </c>
      <c r="F521" s="36" t="str">
        <f aca="false">IF(OR(D521="Revenue",D521="Cost of Goods Sold",D521="Expenditures",D521="Other Revenue",D521="Other Expenditures"),E521,IF(AND(LEN(D521)&gt;2,MID(D521,2,1)=" ",ISNUMBER(VALUE(LEFT(D521,1)))),D521,F520))</f>
        <v/>
      </c>
      <c r="G521" s="36" t="n">
        <f aca="false">IF(AND(D521&lt;&gt;"",ISNUMBER(B521),LEFT(D521,9)&lt;&gt;"Total for",D521&lt;&gt;"Gross Profit",D521&lt;&gt;"Net Operating Revenue",D521&lt;&gt;"Net Other Revenue",D521&lt;&gt;"Net Revenue"),1,0)</f>
        <v>0</v>
      </c>
      <c r="H521" s="36" t="str">
        <f aca="false">IF(G521=1,IF(AND(LEN(D521)&gt;7,ISNUMBER(VALUE(LEFT(D521,6))),MID(D521,7,1)=" "),LEFT(D521,6),D521),"")</f>
        <v/>
      </c>
      <c r="M521" s="36" t="str">
        <f aca="false">TRIM(J521)</f>
        <v/>
      </c>
      <c r="N521" s="36" t="str">
        <f aca="false">IF(M521="Revenue","Revenue",IF(M521="Cost of Goods Sold","COGS",IF(M521="Expenditures","Expense",IF(M521="Other Revenue","Other Revenue",IF(M521="Other Expenditures","Other Expense",N520)))))</f>
        <v/>
      </c>
      <c r="O521" s="36" t="str">
        <f aca="false">IF(OR(M521="Revenue",M521="Cost of Goods Sold",M521="Expenditures",M521="Other Revenue",M521="Other Expenditures"),N521,IF(AND(LEN(M521)&gt;2,MID(M521,2,1)=" ",ISNUMBER(VALUE(LEFT(M521,1)))),M521,O520))</f>
        <v/>
      </c>
      <c r="P521" s="36" t="n">
        <f aca="false">IF(AND(M521&lt;&gt;"",ISNUMBER(K521),LEFT(M521,9)&lt;&gt;"Total for",M521&lt;&gt;"Gross Profit",M521&lt;&gt;"Net Operating Revenue",M521&lt;&gt;"Net Other Revenue",M521&lt;&gt;"Net Revenue"),1,0)</f>
        <v>0</v>
      </c>
      <c r="Q521" s="36" t="str">
        <f aca="false">IF(P521=1,IF(AND(LEN(M521)&gt;7,ISNUMBER(VALUE(LEFT(M521,6))),MID(M521,7,1)=" "),LEFT(M521,6),M521),"")</f>
        <v/>
      </c>
      <c r="V521" s="36" t="str">
        <f aca="false">TRIM(S521)</f>
        <v/>
      </c>
      <c r="W521" s="36" t="str">
        <f aca="false">IF(V521="Revenue","Revenue",IF(V521="Cost of Goods Sold","COGS",IF(V521="Expenditures","Expense",IF(V521="Other Revenue","Other Revenue",IF(V521="Other Expenditures","Other Expense",W520)))))</f>
        <v/>
      </c>
      <c r="X521" s="36" t="str">
        <f aca="false">IF(OR(V521="Revenue",V521="Cost of Goods Sold",V521="Expenditures",V521="Other Revenue",V521="Other Expenditures"),W521,IF(AND(LEN(V521)&gt;2,MID(V521,2,1)=" ",ISNUMBER(VALUE(LEFT(V521,1)))),V521,X520))</f>
        <v/>
      </c>
      <c r="Y521" s="36" t="n">
        <f aca="false">IF(AND(V521&lt;&gt;"",ISNUMBER(T521),LEFT(V521,9)&lt;&gt;"Total for",V521&lt;&gt;"Gross Profit",V521&lt;&gt;"Net Operating Revenue",V521&lt;&gt;"Net Other Revenue",V521&lt;&gt;"Net Revenue"),1,0)</f>
        <v>0</v>
      </c>
      <c r="Z521" s="36" t="str">
        <f aca="false">IF(Y521=1,IF(AND(LEN(V521)&gt;7,ISNUMBER(VALUE(LEFT(V521,6))),MID(V521,7,1)=" "),LEFT(V521,6),V521),"")</f>
        <v/>
      </c>
      <c r="AE521" s="36" t="str">
        <f aca="false">TRIM(AB521)</f>
        <v/>
      </c>
      <c r="AF521" s="36" t="str">
        <f aca="false">IF(AE521="Revenue","Revenue",IF(AE521="Cost of Goods Sold","COGS",IF(AE521="Expenditures","Expense",IF(AE521="Other Revenue","Other Revenue",IF(AE521="Other Expenditures","Other Expense",AF520)))))</f>
        <v/>
      </c>
      <c r="AG521" s="36" t="str">
        <f aca="false">IF(OR(AE521="Revenue",AE521="Cost of Goods Sold",AE521="Expenditures",AE521="Other Revenue",AE521="Other Expenditures"),AF521,IF(AND(LEN(AE521)&gt;2,MID(AE521,2,1)=" ",ISNUMBER(VALUE(LEFT(AE521,1)))),AE521,AG520))</f>
        <v/>
      </c>
      <c r="AH521" s="36" t="n">
        <f aca="false">IF(AND(AE521&lt;&gt;"",ISNUMBER(AC521),LEFT(AE521,9)&lt;&gt;"Total for",AE521&lt;&gt;"Gross Profit",AE521&lt;&gt;"Net Operating Revenue",AE521&lt;&gt;"Net Other Revenue",AE521&lt;&gt;"Net Revenue"),1,0)</f>
        <v>0</v>
      </c>
      <c r="AI521" s="36" t="str">
        <f aca="false">IF(AH521=1,IF(AND(LEN(AE521)&gt;7,ISNUMBER(VALUE(LEFT(AE521,6))),MID(AE521,7,1)=" "),LEFT(AE521,6),AE521),"")</f>
        <v/>
      </c>
      <c r="AN521" s="36" t="str">
        <f aca="false">TRIM(AK521)</f>
        <v/>
      </c>
      <c r="AO521" s="36" t="str">
        <f aca="false">IF(AN521="Revenue","Revenue",IF(AN521="Cost of Goods Sold","COGS",IF(AN521="Expenditures","Expense",IF(AN521="Other Revenue","Other Revenue",IF(AN521="Other Expenditures","Other Expense",AO520)))))</f>
        <v/>
      </c>
      <c r="AP521" s="36" t="str">
        <f aca="false">IF(OR(AN521="Revenue",AN521="Cost of Goods Sold",AN521="Expenditures",AN521="Other Revenue",AN521="Other Expenditures"),AO521,IF(AND(LEN(AN521)&gt;2,MID(AN521,2,1)=" ",ISNUMBER(VALUE(LEFT(AN521,1)))),AN521,AP520))</f>
        <v/>
      </c>
      <c r="AQ521" s="36" t="n">
        <f aca="false">IF(AND(AN521&lt;&gt;"",ISNUMBER(AL521),LEFT(AN521,9)&lt;&gt;"Total for",AN521&lt;&gt;"Gross Profit",AN521&lt;&gt;"Net Operating Revenue",AN521&lt;&gt;"Net Other Revenue",AN521&lt;&gt;"Net Revenue"),1,0)</f>
        <v>0</v>
      </c>
      <c r="AR521" s="36" t="str">
        <f aca="false">IF(AQ521=1,IF(AND(LEN(AN521)&gt;7,ISNUMBER(VALUE(LEFT(AN521,6))),MID(AN521,7,1)=" "),LEFT(AN521,6),AN521),"")</f>
        <v/>
      </c>
    </row>
    <row r="522" customFormat="false" ht="15" hidden="false" customHeight="false" outlineLevel="0" collapsed="false">
      <c r="D522" s="36" t="str">
        <f aca="false">TRIM(A522)</f>
        <v/>
      </c>
      <c r="E522" s="36" t="str">
        <f aca="false">IF(D522="Revenue","Revenue",IF(D522="Cost of Goods Sold","COGS",IF(D522="Expenditures","Expense",IF(D522="Other Revenue","Other Revenue",IF(D522="Other Expenditures","Other Expense",E521)))))</f>
        <v/>
      </c>
      <c r="F522" s="36" t="str">
        <f aca="false">IF(OR(D522="Revenue",D522="Cost of Goods Sold",D522="Expenditures",D522="Other Revenue",D522="Other Expenditures"),E522,IF(AND(LEN(D522)&gt;2,MID(D522,2,1)=" ",ISNUMBER(VALUE(LEFT(D522,1)))),D522,F521))</f>
        <v/>
      </c>
      <c r="G522" s="36" t="n">
        <f aca="false">IF(AND(D522&lt;&gt;"",ISNUMBER(B522),LEFT(D522,9)&lt;&gt;"Total for",D522&lt;&gt;"Gross Profit",D522&lt;&gt;"Net Operating Revenue",D522&lt;&gt;"Net Other Revenue",D522&lt;&gt;"Net Revenue"),1,0)</f>
        <v>0</v>
      </c>
      <c r="H522" s="36" t="str">
        <f aca="false">IF(G522=1,IF(AND(LEN(D522)&gt;7,ISNUMBER(VALUE(LEFT(D522,6))),MID(D522,7,1)=" "),LEFT(D522,6),D522),"")</f>
        <v/>
      </c>
      <c r="M522" s="36" t="str">
        <f aca="false">TRIM(J522)</f>
        <v/>
      </c>
      <c r="N522" s="36" t="str">
        <f aca="false">IF(M522="Revenue","Revenue",IF(M522="Cost of Goods Sold","COGS",IF(M522="Expenditures","Expense",IF(M522="Other Revenue","Other Revenue",IF(M522="Other Expenditures","Other Expense",N521)))))</f>
        <v/>
      </c>
      <c r="O522" s="36" t="str">
        <f aca="false">IF(OR(M522="Revenue",M522="Cost of Goods Sold",M522="Expenditures",M522="Other Revenue",M522="Other Expenditures"),N522,IF(AND(LEN(M522)&gt;2,MID(M522,2,1)=" ",ISNUMBER(VALUE(LEFT(M522,1)))),M522,O521))</f>
        <v/>
      </c>
      <c r="P522" s="36" t="n">
        <f aca="false">IF(AND(M522&lt;&gt;"",ISNUMBER(K522),LEFT(M522,9)&lt;&gt;"Total for",M522&lt;&gt;"Gross Profit",M522&lt;&gt;"Net Operating Revenue",M522&lt;&gt;"Net Other Revenue",M522&lt;&gt;"Net Revenue"),1,0)</f>
        <v>0</v>
      </c>
      <c r="Q522" s="36" t="str">
        <f aca="false">IF(P522=1,IF(AND(LEN(M522)&gt;7,ISNUMBER(VALUE(LEFT(M522,6))),MID(M522,7,1)=" "),LEFT(M522,6),M522),"")</f>
        <v/>
      </c>
      <c r="V522" s="36" t="str">
        <f aca="false">TRIM(S522)</f>
        <v/>
      </c>
      <c r="W522" s="36" t="str">
        <f aca="false">IF(V522="Revenue","Revenue",IF(V522="Cost of Goods Sold","COGS",IF(V522="Expenditures","Expense",IF(V522="Other Revenue","Other Revenue",IF(V522="Other Expenditures","Other Expense",W521)))))</f>
        <v/>
      </c>
      <c r="X522" s="36" t="str">
        <f aca="false">IF(OR(V522="Revenue",V522="Cost of Goods Sold",V522="Expenditures",V522="Other Revenue",V522="Other Expenditures"),W522,IF(AND(LEN(V522)&gt;2,MID(V522,2,1)=" ",ISNUMBER(VALUE(LEFT(V522,1)))),V522,X521))</f>
        <v/>
      </c>
      <c r="Y522" s="36" t="n">
        <f aca="false">IF(AND(V522&lt;&gt;"",ISNUMBER(T522),LEFT(V522,9)&lt;&gt;"Total for",V522&lt;&gt;"Gross Profit",V522&lt;&gt;"Net Operating Revenue",V522&lt;&gt;"Net Other Revenue",V522&lt;&gt;"Net Revenue"),1,0)</f>
        <v>0</v>
      </c>
      <c r="Z522" s="36" t="str">
        <f aca="false">IF(Y522=1,IF(AND(LEN(V522)&gt;7,ISNUMBER(VALUE(LEFT(V522,6))),MID(V522,7,1)=" "),LEFT(V522,6),V522),"")</f>
        <v/>
      </c>
      <c r="AE522" s="36" t="str">
        <f aca="false">TRIM(AB522)</f>
        <v/>
      </c>
      <c r="AF522" s="36" t="str">
        <f aca="false">IF(AE522="Revenue","Revenue",IF(AE522="Cost of Goods Sold","COGS",IF(AE522="Expenditures","Expense",IF(AE522="Other Revenue","Other Revenue",IF(AE522="Other Expenditures","Other Expense",AF521)))))</f>
        <v/>
      </c>
      <c r="AG522" s="36" t="str">
        <f aca="false">IF(OR(AE522="Revenue",AE522="Cost of Goods Sold",AE522="Expenditures",AE522="Other Revenue",AE522="Other Expenditures"),AF522,IF(AND(LEN(AE522)&gt;2,MID(AE522,2,1)=" ",ISNUMBER(VALUE(LEFT(AE522,1)))),AE522,AG521))</f>
        <v/>
      </c>
      <c r="AH522" s="36" t="n">
        <f aca="false">IF(AND(AE522&lt;&gt;"",ISNUMBER(AC522),LEFT(AE522,9)&lt;&gt;"Total for",AE522&lt;&gt;"Gross Profit",AE522&lt;&gt;"Net Operating Revenue",AE522&lt;&gt;"Net Other Revenue",AE522&lt;&gt;"Net Revenue"),1,0)</f>
        <v>0</v>
      </c>
      <c r="AI522" s="36" t="str">
        <f aca="false">IF(AH522=1,IF(AND(LEN(AE522)&gt;7,ISNUMBER(VALUE(LEFT(AE522,6))),MID(AE522,7,1)=" "),LEFT(AE522,6),AE522),"")</f>
        <v/>
      </c>
      <c r="AN522" s="36" t="str">
        <f aca="false">TRIM(AK522)</f>
        <v/>
      </c>
      <c r="AO522" s="36" t="str">
        <f aca="false">IF(AN522="Revenue","Revenue",IF(AN522="Cost of Goods Sold","COGS",IF(AN522="Expenditures","Expense",IF(AN522="Other Revenue","Other Revenue",IF(AN522="Other Expenditures","Other Expense",AO521)))))</f>
        <v/>
      </c>
      <c r="AP522" s="36" t="str">
        <f aca="false">IF(OR(AN522="Revenue",AN522="Cost of Goods Sold",AN522="Expenditures",AN522="Other Revenue",AN522="Other Expenditures"),AO522,IF(AND(LEN(AN522)&gt;2,MID(AN522,2,1)=" ",ISNUMBER(VALUE(LEFT(AN522,1)))),AN522,AP521))</f>
        <v/>
      </c>
      <c r="AQ522" s="36" t="n">
        <f aca="false">IF(AND(AN522&lt;&gt;"",ISNUMBER(AL522),LEFT(AN522,9)&lt;&gt;"Total for",AN522&lt;&gt;"Gross Profit",AN522&lt;&gt;"Net Operating Revenue",AN522&lt;&gt;"Net Other Revenue",AN522&lt;&gt;"Net Revenue"),1,0)</f>
        <v>0</v>
      </c>
      <c r="AR522" s="36" t="str">
        <f aca="false">IF(AQ522=1,IF(AND(LEN(AN522)&gt;7,ISNUMBER(VALUE(LEFT(AN522,6))),MID(AN522,7,1)=" "),LEFT(AN522,6),AN522),"")</f>
        <v/>
      </c>
    </row>
    <row r="523" customFormat="false" ht="15" hidden="false" customHeight="false" outlineLevel="0" collapsed="false">
      <c r="D523" s="36" t="str">
        <f aca="false">TRIM(A523)</f>
        <v/>
      </c>
      <c r="E523" s="36" t="str">
        <f aca="false">IF(D523="Revenue","Revenue",IF(D523="Cost of Goods Sold","COGS",IF(D523="Expenditures","Expense",IF(D523="Other Revenue","Other Revenue",IF(D523="Other Expenditures","Other Expense",E522)))))</f>
        <v/>
      </c>
      <c r="F523" s="36" t="str">
        <f aca="false">IF(OR(D523="Revenue",D523="Cost of Goods Sold",D523="Expenditures",D523="Other Revenue",D523="Other Expenditures"),E523,IF(AND(LEN(D523)&gt;2,MID(D523,2,1)=" ",ISNUMBER(VALUE(LEFT(D523,1)))),D523,F522))</f>
        <v/>
      </c>
      <c r="G523" s="36" t="n">
        <f aca="false">IF(AND(D523&lt;&gt;"",ISNUMBER(B523),LEFT(D523,9)&lt;&gt;"Total for",D523&lt;&gt;"Gross Profit",D523&lt;&gt;"Net Operating Revenue",D523&lt;&gt;"Net Other Revenue",D523&lt;&gt;"Net Revenue"),1,0)</f>
        <v>0</v>
      </c>
      <c r="H523" s="36" t="str">
        <f aca="false">IF(G523=1,IF(AND(LEN(D523)&gt;7,ISNUMBER(VALUE(LEFT(D523,6))),MID(D523,7,1)=" "),LEFT(D523,6),D523),"")</f>
        <v/>
      </c>
      <c r="M523" s="36" t="str">
        <f aca="false">TRIM(J523)</f>
        <v/>
      </c>
      <c r="N523" s="36" t="str">
        <f aca="false">IF(M523="Revenue","Revenue",IF(M523="Cost of Goods Sold","COGS",IF(M523="Expenditures","Expense",IF(M523="Other Revenue","Other Revenue",IF(M523="Other Expenditures","Other Expense",N522)))))</f>
        <v/>
      </c>
      <c r="O523" s="36" t="str">
        <f aca="false">IF(OR(M523="Revenue",M523="Cost of Goods Sold",M523="Expenditures",M523="Other Revenue",M523="Other Expenditures"),N523,IF(AND(LEN(M523)&gt;2,MID(M523,2,1)=" ",ISNUMBER(VALUE(LEFT(M523,1)))),M523,O522))</f>
        <v/>
      </c>
      <c r="P523" s="36" t="n">
        <f aca="false">IF(AND(M523&lt;&gt;"",ISNUMBER(K523),LEFT(M523,9)&lt;&gt;"Total for",M523&lt;&gt;"Gross Profit",M523&lt;&gt;"Net Operating Revenue",M523&lt;&gt;"Net Other Revenue",M523&lt;&gt;"Net Revenue"),1,0)</f>
        <v>0</v>
      </c>
      <c r="Q523" s="36" t="str">
        <f aca="false">IF(P523=1,IF(AND(LEN(M523)&gt;7,ISNUMBER(VALUE(LEFT(M523,6))),MID(M523,7,1)=" "),LEFT(M523,6),M523),"")</f>
        <v/>
      </c>
      <c r="V523" s="36" t="str">
        <f aca="false">TRIM(S523)</f>
        <v/>
      </c>
      <c r="W523" s="36" t="str">
        <f aca="false">IF(V523="Revenue","Revenue",IF(V523="Cost of Goods Sold","COGS",IF(V523="Expenditures","Expense",IF(V523="Other Revenue","Other Revenue",IF(V523="Other Expenditures","Other Expense",W522)))))</f>
        <v/>
      </c>
      <c r="X523" s="36" t="str">
        <f aca="false">IF(OR(V523="Revenue",V523="Cost of Goods Sold",V523="Expenditures",V523="Other Revenue",V523="Other Expenditures"),W523,IF(AND(LEN(V523)&gt;2,MID(V523,2,1)=" ",ISNUMBER(VALUE(LEFT(V523,1)))),V523,X522))</f>
        <v/>
      </c>
      <c r="Y523" s="36" t="n">
        <f aca="false">IF(AND(V523&lt;&gt;"",ISNUMBER(T523),LEFT(V523,9)&lt;&gt;"Total for",V523&lt;&gt;"Gross Profit",V523&lt;&gt;"Net Operating Revenue",V523&lt;&gt;"Net Other Revenue",V523&lt;&gt;"Net Revenue"),1,0)</f>
        <v>0</v>
      </c>
      <c r="Z523" s="36" t="str">
        <f aca="false">IF(Y523=1,IF(AND(LEN(V523)&gt;7,ISNUMBER(VALUE(LEFT(V523,6))),MID(V523,7,1)=" "),LEFT(V523,6),V523),"")</f>
        <v/>
      </c>
      <c r="AE523" s="36" t="str">
        <f aca="false">TRIM(AB523)</f>
        <v/>
      </c>
      <c r="AF523" s="36" t="str">
        <f aca="false">IF(AE523="Revenue","Revenue",IF(AE523="Cost of Goods Sold","COGS",IF(AE523="Expenditures","Expense",IF(AE523="Other Revenue","Other Revenue",IF(AE523="Other Expenditures","Other Expense",AF522)))))</f>
        <v/>
      </c>
      <c r="AG523" s="36" t="str">
        <f aca="false">IF(OR(AE523="Revenue",AE523="Cost of Goods Sold",AE523="Expenditures",AE523="Other Revenue",AE523="Other Expenditures"),AF523,IF(AND(LEN(AE523)&gt;2,MID(AE523,2,1)=" ",ISNUMBER(VALUE(LEFT(AE523,1)))),AE523,AG522))</f>
        <v/>
      </c>
      <c r="AH523" s="36" t="n">
        <f aca="false">IF(AND(AE523&lt;&gt;"",ISNUMBER(AC523),LEFT(AE523,9)&lt;&gt;"Total for",AE523&lt;&gt;"Gross Profit",AE523&lt;&gt;"Net Operating Revenue",AE523&lt;&gt;"Net Other Revenue",AE523&lt;&gt;"Net Revenue"),1,0)</f>
        <v>0</v>
      </c>
      <c r="AI523" s="36" t="str">
        <f aca="false">IF(AH523=1,IF(AND(LEN(AE523)&gt;7,ISNUMBER(VALUE(LEFT(AE523,6))),MID(AE523,7,1)=" "),LEFT(AE523,6),AE523),"")</f>
        <v/>
      </c>
      <c r="AN523" s="36" t="str">
        <f aca="false">TRIM(AK523)</f>
        <v/>
      </c>
      <c r="AO523" s="36" t="str">
        <f aca="false">IF(AN523="Revenue","Revenue",IF(AN523="Cost of Goods Sold","COGS",IF(AN523="Expenditures","Expense",IF(AN523="Other Revenue","Other Revenue",IF(AN523="Other Expenditures","Other Expense",AO522)))))</f>
        <v/>
      </c>
      <c r="AP523" s="36" t="str">
        <f aca="false">IF(OR(AN523="Revenue",AN523="Cost of Goods Sold",AN523="Expenditures",AN523="Other Revenue",AN523="Other Expenditures"),AO523,IF(AND(LEN(AN523)&gt;2,MID(AN523,2,1)=" ",ISNUMBER(VALUE(LEFT(AN523,1)))),AN523,AP522))</f>
        <v/>
      </c>
      <c r="AQ523" s="36" t="n">
        <f aca="false">IF(AND(AN523&lt;&gt;"",ISNUMBER(AL523),LEFT(AN523,9)&lt;&gt;"Total for",AN523&lt;&gt;"Gross Profit",AN523&lt;&gt;"Net Operating Revenue",AN523&lt;&gt;"Net Other Revenue",AN523&lt;&gt;"Net Revenue"),1,0)</f>
        <v>0</v>
      </c>
      <c r="AR523" s="36" t="str">
        <f aca="false">IF(AQ523=1,IF(AND(LEN(AN523)&gt;7,ISNUMBER(VALUE(LEFT(AN523,6))),MID(AN523,7,1)=" "),LEFT(AN523,6),AN523),"")</f>
        <v/>
      </c>
    </row>
    <row r="524" customFormat="false" ht="15" hidden="false" customHeight="false" outlineLevel="0" collapsed="false">
      <c r="D524" s="36" t="str">
        <f aca="false">TRIM(A524)</f>
        <v/>
      </c>
      <c r="E524" s="36" t="str">
        <f aca="false">IF(D524="Revenue","Revenue",IF(D524="Cost of Goods Sold","COGS",IF(D524="Expenditures","Expense",IF(D524="Other Revenue","Other Revenue",IF(D524="Other Expenditures","Other Expense",E523)))))</f>
        <v/>
      </c>
      <c r="F524" s="36" t="str">
        <f aca="false">IF(OR(D524="Revenue",D524="Cost of Goods Sold",D524="Expenditures",D524="Other Revenue",D524="Other Expenditures"),E524,IF(AND(LEN(D524)&gt;2,MID(D524,2,1)=" ",ISNUMBER(VALUE(LEFT(D524,1)))),D524,F523))</f>
        <v/>
      </c>
      <c r="G524" s="36" t="n">
        <f aca="false">IF(AND(D524&lt;&gt;"",ISNUMBER(B524),LEFT(D524,9)&lt;&gt;"Total for",D524&lt;&gt;"Gross Profit",D524&lt;&gt;"Net Operating Revenue",D524&lt;&gt;"Net Other Revenue",D524&lt;&gt;"Net Revenue"),1,0)</f>
        <v>0</v>
      </c>
      <c r="H524" s="36" t="str">
        <f aca="false">IF(G524=1,IF(AND(LEN(D524)&gt;7,ISNUMBER(VALUE(LEFT(D524,6))),MID(D524,7,1)=" "),LEFT(D524,6),D524),"")</f>
        <v/>
      </c>
      <c r="M524" s="36" t="str">
        <f aca="false">TRIM(J524)</f>
        <v/>
      </c>
      <c r="N524" s="36" t="str">
        <f aca="false">IF(M524="Revenue","Revenue",IF(M524="Cost of Goods Sold","COGS",IF(M524="Expenditures","Expense",IF(M524="Other Revenue","Other Revenue",IF(M524="Other Expenditures","Other Expense",N523)))))</f>
        <v/>
      </c>
      <c r="O524" s="36" t="str">
        <f aca="false">IF(OR(M524="Revenue",M524="Cost of Goods Sold",M524="Expenditures",M524="Other Revenue",M524="Other Expenditures"),N524,IF(AND(LEN(M524)&gt;2,MID(M524,2,1)=" ",ISNUMBER(VALUE(LEFT(M524,1)))),M524,O523))</f>
        <v/>
      </c>
      <c r="P524" s="36" t="n">
        <f aca="false">IF(AND(M524&lt;&gt;"",ISNUMBER(K524),LEFT(M524,9)&lt;&gt;"Total for",M524&lt;&gt;"Gross Profit",M524&lt;&gt;"Net Operating Revenue",M524&lt;&gt;"Net Other Revenue",M524&lt;&gt;"Net Revenue"),1,0)</f>
        <v>0</v>
      </c>
      <c r="Q524" s="36" t="str">
        <f aca="false">IF(P524=1,IF(AND(LEN(M524)&gt;7,ISNUMBER(VALUE(LEFT(M524,6))),MID(M524,7,1)=" "),LEFT(M524,6),M524),"")</f>
        <v/>
      </c>
      <c r="V524" s="36" t="str">
        <f aca="false">TRIM(S524)</f>
        <v/>
      </c>
      <c r="W524" s="36" t="str">
        <f aca="false">IF(V524="Revenue","Revenue",IF(V524="Cost of Goods Sold","COGS",IF(V524="Expenditures","Expense",IF(V524="Other Revenue","Other Revenue",IF(V524="Other Expenditures","Other Expense",W523)))))</f>
        <v/>
      </c>
      <c r="X524" s="36" t="str">
        <f aca="false">IF(OR(V524="Revenue",V524="Cost of Goods Sold",V524="Expenditures",V524="Other Revenue",V524="Other Expenditures"),W524,IF(AND(LEN(V524)&gt;2,MID(V524,2,1)=" ",ISNUMBER(VALUE(LEFT(V524,1)))),V524,X523))</f>
        <v/>
      </c>
      <c r="Y524" s="36" t="n">
        <f aca="false">IF(AND(V524&lt;&gt;"",ISNUMBER(T524),LEFT(V524,9)&lt;&gt;"Total for",V524&lt;&gt;"Gross Profit",V524&lt;&gt;"Net Operating Revenue",V524&lt;&gt;"Net Other Revenue",V524&lt;&gt;"Net Revenue"),1,0)</f>
        <v>0</v>
      </c>
      <c r="Z524" s="36" t="str">
        <f aca="false">IF(Y524=1,IF(AND(LEN(V524)&gt;7,ISNUMBER(VALUE(LEFT(V524,6))),MID(V524,7,1)=" "),LEFT(V524,6),V524),"")</f>
        <v/>
      </c>
      <c r="AE524" s="36" t="str">
        <f aca="false">TRIM(AB524)</f>
        <v/>
      </c>
      <c r="AF524" s="36" t="str">
        <f aca="false">IF(AE524="Revenue","Revenue",IF(AE524="Cost of Goods Sold","COGS",IF(AE524="Expenditures","Expense",IF(AE524="Other Revenue","Other Revenue",IF(AE524="Other Expenditures","Other Expense",AF523)))))</f>
        <v/>
      </c>
      <c r="AG524" s="36" t="str">
        <f aca="false">IF(OR(AE524="Revenue",AE524="Cost of Goods Sold",AE524="Expenditures",AE524="Other Revenue",AE524="Other Expenditures"),AF524,IF(AND(LEN(AE524)&gt;2,MID(AE524,2,1)=" ",ISNUMBER(VALUE(LEFT(AE524,1)))),AE524,AG523))</f>
        <v/>
      </c>
      <c r="AH524" s="36" t="n">
        <f aca="false">IF(AND(AE524&lt;&gt;"",ISNUMBER(AC524),LEFT(AE524,9)&lt;&gt;"Total for",AE524&lt;&gt;"Gross Profit",AE524&lt;&gt;"Net Operating Revenue",AE524&lt;&gt;"Net Other Revenue",AE524&lt;&gt;"Net Revenue"),1,0)</f>
        <v>0</v>
      </c>
      <c r="AI524" s="36" t="str">
        <f aca="false">IF(AH524=1,IF(AND(LEN(AE524)&gt;7,ISNUMBER(VALUE(LEFT(AE524,6))),MID(AE524,7,1)=" "),LEFT(AE524,6),AE524),"")</f>
        <v/>
      </c>
      <c r="AN524" s="36" t="str">
        <f aca="false">TRIM(AK524)</f>
        <v/>
      </c>
      <c r="AO524" s="36" t="str">
        <f aca="false">IF(AN524="Revenue","Revenue",IF(AN524="Cost of Goods Sold","COGS",IF(AN524="Expenditures","Expense",IF(AN524="Other Revenue","Other Revenue",IF(AN524="Other Expenditures","Other Expense",AO523)))))</f>
        <v/>
      </c>
      <c r="AP524" s="36" t="str">
        <f aca="false">IF(OR(AN524="Revenue",AN524="Cost of Goods Sold",AN524="Expenditures",AN524="Other Revenue",AN524="Other Expenditures"),AO524,IF(AND(LEN(AN524)&gt;2,MID(AN524,2,1)=" ",ISNUMBER(VALUE(LEFT(AN524,1)))),AN524,AP523))</f>
        <v/>
      </c>
      <c r="AQ524" s="36" t="n">
        <f aca="false">IF(AND(AN524&lt;&gt;"",ISNUMBER(AL524),LEFT(AN524,9)&lt;&gt;"Total for",AN524&lt;&gt;"Gross Profit",AN524&lt;&gt;"Net Operating Revenue",AN524&lt;&gt;"Net Other Revenue",AN524&lt;&gt;"Net Revenue"),1,0)</f>
        <v>0</v>
      </c>
      <c r="AR524" s="36" t="str">
        <f aca="false">IF(AQ524=1,IF(AND(LEN(AN524)&gt;7,ISNUMBER(VALUE(LEFT(AN524,6))),MID(AN524,7,1)=" "),LEFT(AN524,6),AN524),"")</f>
        <v/>
      </c>
    </row>
    <row r="525" customFormat="false" ht="15" hidden="false" customHeight="false" outlineLevel="0" collapsed="false">
      <c r="D525" s="36" t="str">
        <f aca="false">TRIM(A525)</f>
        <v/>
      </c>
      <c r="E525" s="36" t="str">
        <f aca="false">IF(D525="Revenue","Revenue",IF(D525="Cost of Goods Sold","COGS",IF(D525="Expenditures","Expense",IF(D525="Other Revenue","Other Revenue",IF(D525="Other Expenditures","Other Expense",E524)))))</f>
        <v/>
      </c>
      <c r="F525" s="36" t="str">
        <f aca="false">IF(OR(D525="Revenue",D525="Cost of Goods Sold",D525="Expenditures",D525="Other Revenue",D525="Other Expenditures"),E525,IF(AND(LEN(D525)&gt;2,MID(D525,2,1)=" ",ISNUMBER(VALUE(LEFT(D525,1)))),D525,F524))</f>
        <v/>
      </c>
      <c r="G525" s="36" t="n">
        <f aca="false">IF(AND(D525&lt;&gt;"",ISNUMBER(B525),LEFT(D525,9)&lt;&gt;"Total for",D525&lt;&gt;"Gross Profit",D525&lt;&gt;"Net Operating Revenue",D525&lt;&gt;"Net Other Revenue",D525&lt;&gt;"Net Revenue"),1,0)</f>
        <v>0</v>
      </c>
      <c r="H525" s="36" t="str">
        <f aca="false">IF(G525=1,IF(AND(LEN(D525)&gt;7,ISNUMBER(VALUE(LEFT(D525,6))),MID(D525,7,1)=" "),LEFT(D525,6),D525),"")</f>
        <v/>
      </c>
      <c r="M525" s="36" t="str">
        <f aca="false">TRIM(J525)</f>
        <v/>
      </c>
      <c r="N525" s="36" t="str">
        <f aca="false">IF(M525="Revenue","Revenue",IF(M525="Cost of Goods Sold","COGS",IF(M525="Expenditures","Expense",IF(M525="Other Revenue","Other Revenue",IF(M525="Other Expenditures","Other Expense",N524)))))</f>
        <v/>
      </c>
      <c r="O525" s="36" t="str">
        <f aca="false">IF(OR(M525="Revenue",M525="Cost of Goods Sold",M525="Expenditures",M525="Other Revenue",M525="Other Expenditures"),N525,IF(AND(LEN(M525)&gt;2,MID(M525,2,1)=" ",ISNUMBER(VALUE(LEFT(M525,1)))),M525,O524))</f>
        <v/>
      </c>
      <c r="P525" s="36" t="n">
        <f aca="false">IF(AND(M525&lt;&gt;"",ISNUMBER(K525),LEFT(M525,9)&lt;&gt;"Total for",M525&lt;&gt;"Gross Profit",M525&lt;&gt;"Net Operating Revenue",M525&lt;&gt;"Net Other Revenue",M525&lt;&gt;"Net Revenue"),1,0)</f>
        <v>0</v>
      </c>
      <c r="Q525" s="36" t="str">
        <f aca="false">IF(P525=1,IF(AND(LEN(M525)&gt;7,ISNUMBER(VALUE(LEFT(M525,6))),MID(M525,7,1)=" "),LEFT(M525,6),M525),"")</f>
        <v/>
      </c>
      <c r="V525" s="36" t="str">
        <f aca="false">TRIM(S525)</f>
        <v/>
      </c>
      <c r="W525" s="36" t="str">
        <f aca="false">IF(V525="Revenue","Revenue",IF(V525="Cost of Goods Sold","COGS",IF(V525="Expenditures","Expense",IF(V525="Other Revenue","Other Revenue",IF(V525="Other Expenditures","Other Expense",W524)))))</f>
        <v/>
      </c>
      <c r="X525" s="36" t="str">
        <f aca="false">IF(OR(V525="Revenue",V525="Cost of Goods Sold",V525="Expenditures",V525="Other Revenue",V525="Other Expenditures"),W525,IF(AND(LEN(V525)&gt;2,MID(V525,2,1)=" ",ISNUMBER(VALUE(LEFT(V525,1)))),V525,X524))</f>
        <v/>
      </c>
      <c r="Y525" s="36" t="n">
        <f aca="false">IF(AND(V525&lt;&gt;"",ISNUMBER(T525),LEFT(V525,9)&lt;&gt;"Total for",V525&lt;&gt;"Gross Profit",V525&lt;&gt;"Net Operating Revenue",V525&lt;&gt;"Net Other Revenue",V525&lt;&gt;"Net Revenue"),1,0)</f>
        <v>0</v>
      </c>
      <c r="Z525" s="36" t="str">
        <f aca="false">IF(Y525=1,IF(AND(LEN(V525)&gt;7,ISNUMBER(VALUE(LEFT(V525,6))),MID(V525,7,1)=" "),LEFT(V525,6),V525),"")</f>
        <v/>
      </c>
      <c r="AE525" s="36" t="str">
        <f aca="false">TRIM(AB525)</f>
        <v/>
      </c>
      <c r="AF525" s="36" t="str">
        <f aca="false">IF(AE525="Revenue","Revenue",IF(AE525="Cost of Goods Sold","COGS",IF(AE525="Expenditures","Expense",IF(AE525="Other Revenue","Other Revenue",IF(AE525="Other Expenditures","Other Expense",AF524)))))</f>
        <v/>
      </c>
      <c r="AG525" s="36" t="str">
        <f aca="false">IF(OR(AE525="Revenue",AE525="Cost of Goods Sold",AE525="Expenditures",AE525="Other Revenue",AE525="Other Expenditures"),AF525,IF(AND(LEN(AE525)&gt;2,MID(AE525,2,1)=" ",ISNUMBER(VALUE(LEFT(AE525,1)))),AE525,AG524))</f>
        <v/>
      </c>
      <c r="AH525" s="36" t="n">
        <f aca="false">IF(AND(AE525&lt;&gt;"",ISNUMBER(AC525),LEFT(AE525,9)&lt;&gt;"Total for",AE525&lt;&gt;"Gross Profit",AE525&lt;&gt;"Net Operating Revenue",AE525&lt;&gt;"Net Other Revenue",AE525&lt;&gt;"Net Revenue"),1,0)</f>
        <v>0</v>
      </c>
      <c r="AI525" s="36" t="str">
        <f aca="false">IF(AH525=1,IF(AND(LEN(AE525)&gt;7,ISNUMBER(VALUE(LEFT(AE525,6))),MID(AE525,7,1)=" "),LEFT(AE525,6),AE525),"")</f>
        <v/>
      </c>
      <c r="AN525" s="36" t="str">
        <f aca="false">TRIM(AK525)</f>
        <v/>
      </c>
      <c r="AO525" s="36" t="str">
        <f aca="false">IF(AN525="Revenue","Revenue",IF(AN525="Cost of Goods Sold","COGS",IF(AN525="Expenditures","Expense",IF(AN525="Other Revenue","Other Revenue",IF(AN525="Other Expenditures","Other Expense",AO524)))))</f>
        <v/>
      </c>
      <c r="AP525" s="36" t="str">
        <f aca="false">IF(OR(AN525="Revenue",AN525="Cost of Goods Sold",AN525="Expenditures",AN525="Other Revenue",AN525="Other Expenditures"),AO525,IF(AND(LEN(AN525)&gt;2,MID(AN525,2,1)=" ",ISNUMBER(VALUE(LEFT(AN525,1)))),AN525,AP524))</f>
        <v/>
      </c>
      <c r="AQ525" s="36" t="n">
        <f aca="false">IF(AND(AN525&lt;&gt;"",ISNUMBER(AL525),LEFT(AN525,9)&lt;&gt;"Total for",AN525&lt;&gt;"Gross Profit",AN525&lt;&gt;"Net Operating Revenue",AN525&lt;&gt;"Net Other Revenue",AN525&lt;&gt;"Net Revenue"),1,0)</f>
        <v>0</v>
      </c>
      <c r="AR525" s="36" t="str">
        <f aca="false">IF(AQ525=1,IF(AND(LEN(AN525)&gt;7,ISNUMBER(VALUE(LEFT(AN525,6))),MID(AN525,7,1)=" "),LEFT(AN525,6),AN525),"")</f>
        <v/>
      </c>
    </row>
    <row r="526" customFormat="false" ht="15" hidden="false" customHeight="false" outlineLevel="0" collapsed="false">
      <c r="D526" s="36" t="str">
        <f aca="false">TRIM(A526)</f>
        <v/>
      </c>
      <c r="E526" s="36" t="str">
        <f aca="false">IF(D526="Revenue","Revenue",IF(D526="Cost of Goods Sold","COGS",IF(D526="Expenditures","Expense",IF(D526="Other Revenue","Other Revenue",IF(D526="Other Expenditures","Other Expense",E525)))))</f>
        <v/>
      </c>
      <c r="F526" s="36" t="str">
        <f aca="false">IF(OR(D526="Revenue",D526="Cost of Goods Sold",D526="Expenditures",D526="Other Revenue",D526="Other Expenditures"),E526,IF(AND(LEN(D526)&gt;2,MID(D526,2,1)=" ",ISNUMBER(VALUE(LEFT(D526,1)))),D526,F525))</f>
        <v/>
      </c>
      <c r="G526" s="36" t="n">
        <f aca="false">IF(AND(D526&lt;&gt;"",ISNUMBER(B526),LEFT(D526,9)&lt;&gt;"Total for",D526&lt;&gt;"Gross Profit",D526&lt;&gt;"Net Operating Revenue",D526&lt;&gt;"Net Other Revenue",D526&lt;&gt;"Net Revenue"),1,0)</f>
        <v>0</v>
      </c>
      <c r="H526" s="36" t="str">
        <f aca="false">IF(G526=1,IF(AND(LEN(D526)&gt;7,ISNUMBER(VALUE(LEFT(D526,6))),MID(D526,7,1)=" "),LEFT(D526,6),D526),"")</f>
        <v/>
      </c>
      <c r="M526" s="36" t="str">
        <f aca="false">TRIM(J526)</f>
        <v/>
      </c>
      <c r="N526" s="36" t="str">
        <f aca="false">IF(M526="Revenue","Revenue",IF(M526="Cost of Goods Sold","COGS",IF(M526="Expenditures","Expense",IF(M526="Other Revenue","Other Revenue",IF(M526="Other Expenditures","Other Expense",N525)))))</f>
        <v/>
      </c>
      <c r="O526" s="36" t="str">
        <f aca="false">IF(OR(M526="Revenue",M526="Cost of Goods Sold",M526="Expenditures",M526="Other Revenue",M526="Other Expenditures"),N526,IF(AND(LEN(M526)&gt;2,MID(M526,2,1)=" ",ISNUMBER(VALUE(LEFT(M526,1)))),M526,O525))</f>
        <v/>
      </c>
      <c r="P526" s="36" t="n">
        <f aca="false">IF(AND(M526&lt;&gt;"",ISNUMBER(K526),LEFT(M526,9)&lt;&gt;"Total for",M526&lt;&gt;"Gross Profit",M526&lt;&gt;"Net Operating Revenue",M526&lt;&gt;"Net Other Revenue",M526&lt;&gt;"Net Revenue"),1,0)</f>
        <v>0</v>
      </c>
      <c r="Q526" s="36" t="str">
        <f aca="false">IF(P526=1,IF(AND(LEN(M526)&gt;7,ISNUMBER(VALUE(LEFT(M526,6))),MID(M526,7,1)=" "),LEFT(M526,6),M526),"")</f>
        <v/>
      </c>
      <c r="V526" s="36" t="str">
        <f aca="false">TRIM(S526)</f>
        <v/>
      </c>
      <c r="W526" s="36" t="str">
        <f aca="false">IF(V526="Revenue","Revenue",IF(V526="Cost of Goods Sold","COGS",IF(V526="Expenditures","Expense",IF(V526="Other Revenue","Other Revenue",IF(V526="Other Expenditures","Other Expense",W525)))))</f>
        <v/>
      </c>
      <c r="X526" s="36" t="str">
        <f aca="false">IF(OR(V526="Revenue",V526="Cost of Goods Sold",V526="Expenditures",V526="Other Revenue",V526="Other Expenditures"),W526,IF(AND(LEN(V526)&gt;2,MID(V526,2,1)=" ",ISNUMBER(VALUE(LEFT(V526,1)))),V526,X525))</f>
        <v/>
      </c>
      <c r="Y526" s="36" t="n">
        <f aca="false">IF(AND(V526&lt;&gt;"",ISNUMBER(T526),LEFT(V526,9)&lt;&gt;"Total for",V526&lt;&gt;"Gross Profit",V526&lt;&gt;"Net Operating Revenue",V526&lt;&gt;"Net Other Revenue",V526&lt;&gt;"Net Revenue"),1,0)</f>
        <v>0</v>
      </c>
      <c r="Z526" s="36" t="str">
        <f aca="false">IF(Y526=1,IF(AND(LEN(V526)&gt;7,ISNUMBER(VALUE(LEFT(V526,6))),MID(V526,7,1)=" "),LEFT(V526,6),V526),"")</f>
        <v/>
      </c>
      <c r="AE526" s="36" t="str">
        <f aca="false">TRIM(AB526)</f>
        <v/>
      </c>
      <c r="AF526" s="36" t="str">
        <f aca="false">IF(AE526="Revenue","Revenue",IF(AE526="Cost of Goods Sold","COGS",IF(AE526="Expenditures","Expense",IF(AE526="Other Revenue","Other Revenue",IF(AE526="Other Expenditures","Other Expense",AF525)))))</f>
        <v/>
      </c>
      <c r="AG526" s="36" t="str">
        <f aca="false">IF(OR(AE526="Revenue",AE526="Cost of Goods Sold",AE526="Expenditures",AE526="Other Revenue",AE526="Other Expenditures"),AF526,IF(AND(LEN(AE526)&gt;2,MID(AE526,2,1)=" ",ISNUMBER(VALUE(LEFT(AE526,1)))),AE526,AG525))</f>
        <v/>
      </c>
      <c r="AH526" s="36" t="n">
        <f aca="false">IF(AND(AE526&lt;&gt;"",ISNUMBER(AC526),LEFT(AE526,9)&lt;&gt;"Total for",AE526&lt;&gt;"Gross Profit",AE526&lt;&gt;"Net Operating Revenue",AE526&lt;&gt;"Net Other Revenue",AE526&lt;&gt;"Net Revenue"),1,0)</f>
        <v>0</v>
      </c>
      <c r="AI526" s="36" t="str">
        <f aca="false">IF(AH526=1,IF(AND(LEN(AE526)&gt;7,ISNUMBER(VALUE(LEFT(AE526,6))),MID(AE526,7,1)=" "),LEFT(AE526,6),AE526),"")</f>
        <v/>
      </c>
      <c r="AN526" s="36" t="str">
        <f aca="false">TRIM(AK526)</f>
        <v/>
      </c>
      <c r="AO526" s="36" t="str">
        <f aca="false">IF(AN526="Revenue","Revenue",IF(AN526="Cost of Goods Sold","COGS",IF(AN526="Expenditures","Expense",IF(AN526="Other Revenue","Other Revenue",IF(AN526="Other Expenditures","Other Expense",AO525)))))</f>
        <v/>
      </c>
      <c r="AP526" s="36" t="str">
        <f aca="false">IF(OR(AN526="Revenue",AN526="Cost of Goods Sold",AN526="Expenditures",AN526="Other Revenue",AN526="Other Expenditures"),AO526,IF(AND(LEN(AN526)&gt;2,MID(AN526,2,1)=" ",ISNUMBER(VALUE(LEFT(AN526,1)))),AN526,AP525))</f>
        <v/>
      </c>
      <c r="AQ526" s="36" t="n">
        <f aca="false">IF(AND(AN526&lt;&gt;"",ISNUMBER(AL526),LEFT(AN526,9)&lt;&gt;"Total for",AN526&lt;&gt;"Gross Profit",AN526&lt;&gt;"Net Operating Revenue",AN526&lt;&gt;"Net Other Revenue",AN526&lt;&gt;"Net Revenue"),1,0)</f>
        <v>0</v>
      </c>
      <c r="AR526" s="36" t="str">
        <f aca="false">IF(AQ526=1,IF(AND(LEN(AN526)&gt;7,ISNUMBER(VALUE(LEFT(AN526,6))),MID(AN526,7,1)=" "),LEFT(AN526,6),AN526),"")</f>
        <v/>
      </c>
    </row>
    <row r="527" customFormat="false" ht="15" hidden="false" customHeight="false" outlineLevel="0" collapsed="false">
      <c r="D527" s="36" t="str">
        <f aca="false">TRIM(A527)</f>
        <v/>
      </c>
      <c r="E527" s="36" t="str">
        <f aca="false">IF(D527="Revenue","Revenue",IF(D527="Cost of Goods Sold","COGS",IF(D527="Expenditures","Expense",IF(D527="Other Revenue","Other Revenue",IF(D527="Other Expenditures","Other Expense",E526)))))</f>
        <v/>
      </c>
      <c r="F527" s="36" t="str">
        <f aca="false">IF(OR(D527="Revenue",D527="Cost of Goods Sold",D527="Expenditures",D527="Other Revenue",D527="Other Expenditures"),E527,IF(AND(LEN(D527)&gt;2,MID(D527,2,1)=" ",ISNUMBER(VALUE(LEFT(D527,1)))),D527,F526))</f>
        <v/>
      </c>
      <c r="G527" s="36" t="n">
        <f aca="false">IF(AND(D527&lt;&gt;"",ISNUMBER(B527),LEFT(D527,9)&lt;&gt;"Total for",D527&lt;&gt;"Gross Profit",D527&lt;&gt;"Net Operating Revenue",D527&lt;&gt;"Net Other Revenue",D527&lt;&gt;"Net Revenue"),1,0)</f>
        <v>0</v>
      </c>
      <c r="H527" s="36" t="str">
        <f aca="false">IF(G527=1,IF(AND(LEN(D527)&gt;7,ISNUMBER(VALUE(LEFT(D527,6))),MID(D527,7,1)=" "),LEFT(D527,6),D527),"")</f>
        <v/>
      </c>
      <c r="M527" s="36" t="str">
        <f aca="false">TRIM(J527)</f>
        <v/>
      </c>
      <c r="N527" s="36" t="str">
        <f aca="false">IF(M527="Revenue","Revenue",IF(M527="Cost of Goods Sold","COGS",IF(M527="Expenditures","Expense",IF(M527="Other Revenue","Other Revenue",IF(M527="Other Expenditures","Other Expense",N526)))))</f>
        <v/>
      </c>
      <c r="O527" s="36" t="str">
        <f aca="false">IF(OR(M527="Revenue",M527="Cost of Goods Sold",M527="Expenditures",M527="Other Revenue",M527="Other Expenditures"),N527,IF(AND(LEN(M527)&gt;2,MID(M527,2,1)=" ",ISNUMBER(VALUE(LEFT(M527,1)))),M527,O526))</f>
        <v/>
      </c>
      <c r="P527" s="36" t="n">
        <f aca="false">IF(AND(M527&lt;&gt;"",ISNUMBER(K527),LEFT(M527,9)&lt;&gt;"Total for",M527&lt;&gt;"Gross Profit",M527&lt;&gt;"Net Operating Revenue",M527&lt;&gt;"Net Other Revenue",M527&lt;&gt;"Net Revenue"),1,0)</f>
        <v>0</v>
      </c>
      <c r="Q527" s="36" t="str">
        <f aca="false">IF(P527=1,IF(AND(LEN(M527)&gt;7,ISNUMBER(VALUE(LEFT(M527,6))),MID(M527,7,1)=" "),LEFT(M527,6),M527),"")</f>
        <v/>
      </c>
      <c r="V527" s="36" t="str">
        <f aca="false">TRIM(S527)</f>
        <v/>
      </c>
      <c r="W527" s="36" t="str">
        <f aca="false">IF(V527="Revenue","Revenue",IF(V527="Cost of Goods Sold","COGS",IF(V527="Expenditures","Expense",IF(V527="Other Revenue","Other Revenue",IF(V527="Other Expenditures","Other Expense",W526)))))</f>
        <v/>
      </c>
      <c r="X527" s="36" t="str">
        <f aca="false">IF(OR(V527="Revenue",V527="Cost of Goods Sold",V527="Expenditures",V527="Other Revenue",V527="Other Expenditures"),W527,IF(AND(LEN(V527)&gt;2,MID(V527,2,1)=" ",ISNUMBER(VALUE(LEFT(V527,1)))),V527,X526))</f>
        <v/>
      </c>
      <c r="Y527" s="36" t="n">
        <f aca="false">IF(AND(V527&lt;&gt;"",ISNUMBER(T527),LEFT(V527,9)&lt;&gt;"Total for",V527&lt;&gt;"Gross Profit",V527&lt;&gt;"Net Operating Revenue",V527&lt;&gt;"Net Other Revenue",V527&lt;&gt;"Net Revenue"),1,0)</f>
        <v>0</v>
      </c>
      <c r="Z527" s="36" t="str">
        <f aca="false">IF(Y527=1,IF(AND(LEN(V527)&gt;7,ISNUMBER(VALUE(LEFT(V527,6))),MID(V527,7,1)=" "),LEFT(V527,6),V527),"")</f>
        <v/>
      </c>
      <c r="AE527" s="36" t="str">
        <f aca="false">TRIM(AB527)</f>
        <v/>
      </c>
      <c r="AF527" s="36" t="str">
        <f aca="false">IF(AE527="Revenue","Revenue",IF(AE527="Cost of Goods Sold","COGS",IF(AE527="Expenditures","Expense",IF(AE527="Other Revenue","Other Revenue",IF(AE527="Other Expenditures","Other Expense",AF526)))))</f>
        <v/>
      </c>
      <c r="AG527" s="36" t="str">
        <f aca="false">IF(OR(AE527="Revenue",AE527="Cost of Goods Sold",AE527="Expenditures",AE527="Other Revenue",AE527="Other Expenditures"),AF527,IF(AND(LEN(AE527)&gt;2,MID(AE527,2,1)=" ",ISNUMBER(VALUE(LEFT(AE527,1)))),AE527,AG526))</f>
        <v/>
      </c>
      <c r="AH527" s="36" t="n">
        <f aca="false">IF(AND(AE527&lt;&gt;"",ISNUMBER(AC527),LEFT(AE527,9)&lt;&gt;"Total for",AE527&lt;&gt;"Gross Profit",AE527&lt;&gt;"Net Operating Revenue",AE527&lt;&gt;"Net Other Revenue",AE527&lt;&gt;"Net Revenue"),1,0)</f>
        <v>0</v>
      </c>
      <c r="AI527" s="36" t="str">
        <f aca="false">IF(AH527=1,IF(AND(LEN(AE527)&gt;7,ISNUMBER(VALUE(LEFT(AE527,6))),MID(AE527,7,1)=" "),LEFT(AE527,6),AE527),"")</f>
        <v/>
      </c>
      <c r="AN527" s="36" t="str">
        <f aca="false">TRIM(AK527)</f>
        <v/>
      </c>
      <c r="AO527" s="36" t="str">
        <f aca="false">IF(AN527="Revenue","Revenue",IF(AN527="Cost of Goods Sold","COGS",IF(AN527="Expenditures","Expense",IF(AN527="Other Revenue","Other Revenue",IF(AN527="Other Expenditures","Other Expense",AO526)))))</f>
        <v/>
      </c>
      <c r="AP527" s="36" t="str">
        <f aca="false">IF(OR(AN527="Revenue",AN527="Cost of Goods Sold",AN527="Expenditures",AN527="Other Revenue",AN527="Other Expenditures"),AO527,IF(AND(LEN(AN527)&gt;2,MID(AN527,2,1)=" ",ISNUMBER(VALUE(LEFT(AN527,1)))),AN527,AP526))</f>
        <v/>
      </c>
      <c r="AQ527" s="36" t="n">
        <f aca="false">IF(AND(AN527&lt;&gt;"",ISNUMBER(AL527),LEFT(AN527,9)&lt;&gt;"Total for",AN527&lt;&gt;"Gross Profit",AN527&lt;&gt;"Net Operating Revenue",AN527&lt;&gt;"Net Other Revenue",AN527&lt;&gt;"Net Revenue"),1,0)</f>
        <v>0</v>
      </c>
      <c r="AR527" s="36" t="str">
        <f aca="false">IF(AQ527=1,IF(AND(LEN(AN527)&gt;7,ISNUMBER(VALUE(LEFT(AN527,6))),MID(AN527,7,1)=" "),LEFT(AN527,6),AN527),"")</f>
        <v/>
      </c>
    </row>
    <row r="528" customFormat="false" ht="15" hidden="false" customHeight="false" outlineLevel="0" collapsed="false">
      <c r="D528" s="36" t="str">
        <f aca="false">TRIM(A528)</f>
        <v/>
      </c>
      <c r="E528" s="36" t="str">
        <f aca="false">IF(D528="Revenue","Revenue",IF(D528="Cost of Goods Sold","COGS",IF(D528="Expenditures","Expense",IF(D528="Other Revenue","Other Revenue",IF(D528="Other Expenditures","Other Expense",E527)))))</f>
        <v/>
      </c>
      <c r="F528" s="36" t="str">
        <f aca="false">IF(OR(D528="Revenue",D528="Cost of Goods Sold",D528="Expenditures",D528="Other Revenue",D528="Other Expenditures"),E528,IF(AND(LEN(D528)&gt;2,MID(D528,2,1)=" ",ISNUMBER(VALUE(LEFT(D528,1)))),D528,F527))</f>
        <v/>
      </c>
      <c r="G528" s="36" t="n">
        <f aca="false">IF(AND(D528&lt;&gt;"",ISNUMBER(B528),LEFT(D528,9)&lt;&gt;"Total for",D528&lt;&gt;"Gross Profit",D528&lt;&gt;"Net Operating Revenue",D528&lt;&gt;"Net Other Revenue",D528&lt;&gt;"Net Revenue"),1,0)</f>
        <v>0</v>
      </c>
      <c r="H528" s="36" t="str">
        <f aca="false">IF(G528=1,IF(AND(LEN(D528)&gt;7,ISNUMBER(VALUE(LEFT(D528,6))),MID(D528,7,1)=" "),LEFT(D528,6),D528),"")</f>
        <v/>
      </c>
      <c r="M528" s="36" t="str">
        <f aca="false">TRIM(J528)</f>
        <v/>
      </c>
      <c r="N528" s="36" t="str">
        <f aca="false">IF(M528="Revenue","Revenue",IF(M528="Cost of Goods Sold","COGS",IF(M528="Expenditures","Expense",IF(M528="Other Revenue","Other Revenue",IF(M528="Other Expenditures","Other Expense",N527)))))</f>
        <v/>
      </c>
      <c r="O528" s="36" t="str">
        <f aca="false">IF(OR(M528="Revenue",M528="Cost of Goods Sold",M528="Expenditures",M528="Other Revenue",M528="Other Expenditures"),N528,IF(AND(LEN(M528)&gt;2,MID(M528,2,1)=" ",ISNUMBER(VALUE(LEFT(M528,1)))),M528,O527))</f>
        <v/>
      </c>
      <c r="P528" s="36" t="n">
        <f aca="false">IF(AND(M528&lt;&gt;"",ISNUMBER(K528),LEFT(M528,9)&lt;&gt;"Total for",M528&lt;&gt;"Gross Profit",M528&lt;&gt;"Net Operating Revenue",M528&lt;&gt;"Net Other Revenue",M528&lt;&gt;"Net Revenue"),1,0)</f>
        <v>0</v>
      </c>
      <c r="Q528" s="36" t="str">
        <f aca="false">IF(P528=1,IF(AND(LEN(M528)&gt;7,ISNUMBER(VALUE(LEFT(M528,6))),MID(M528,7,1)=" "),LEFT(M528,6),M528),"")</f>
        <v/>
      </c>
      <c r="V528" s="36" t="str">
        <f aca="false">TRIM(S528)</f>
        <v/>
      </c>
      <c r="W528" s="36" t="str">
        <f aca="false">IF(V528="Revenue","Revenue",IF(V528="Cost of Goods Sold","COGS",IF(V528="Expenditures","Expense",IF(V528="Other Revenue","Other Revenue",IF(V528="Other Expenditures","Other Expense",W527)))))</f>
        <v/>
      </c>
      <c r="X528" s="36" t="str">
        <f aca="false">IF(OR(V528="Revenue",V528="Cost of Goods Sold",V528="Expenditures",V528="Other Revenue",V528="Other Expenditures"),W528,IF(AND(LEN(V528)&gt;2,MID(V528,2,1)=" ",ISNUMBER(VALUE(LEFT(V528,1)))),V528,X527))</f>
        <v/>
      </c>
      <c r="Y528" s="36" t="n">
        <f aca="false">IF(AND(V528&lt;&gt;"",ISNUMBER(T528),LEFT(V528,9)&lt;&gt;"Total for",V528&lt;&gt;"Gross Profit",V528&lt;&gt;"Net Operating Revenue",V528&lt;&gt;"Net Other Revenue",V528&lt;&gt;"Net Revenue"),1,0)</f>
        <v>0</v>
      </c>
      <c r="Z528" s="36" t="str">
        <f aca="false">IF(Y528=1,IF(AND(LEN(V528)&gt;7,ISNUMBER(VALUE(LEFT(V528,6))),MID(V528,7,1)=" "),LEFT(V528,6),V528),"")</f>
        <v/>
      </c>
      <c r="AE528" s="36" t="str">
        <f aca="false">TRIM(AB528)</f>
        <v/>
      </c>
      <c r="AF528" s="36" t="str">
        <f aca="false">IF(AE528="Revenue","Revenue",IF(AE528="Cost of Goods Sold","COGS",IF(AE528="Expenditures","Expense",IF(AE528="Other Revenue","Other Revenue",IF(AE528="Other Expenditures","Other Expense",AF527)))))</f>
        <v/>
      </c>
      <c r="AG528" s="36" t="str">
        <f aca="false">IF(OR(AE528="Revenue",AE528="Cost of Goods Sold",AE528="Expenditures",AE528="Other Revenue",AE528="Other Expenditures"),AF528,IF(AND(LEN(AE528)&gt;2,MID(AE528,2,1)=" ",ISNUMBER(VALUE(LEFT(AE528,1)))),AE528,AG527))</f>
        <v/>
      </c>
      <c r="AH528" s="36" t="n">
        <f aca="false">IF(AND(AE528&lt;&gt;"",ISNUMBER(AC528),LEFT(AE528,9)&lt;&gt;"Total for",AE528&lt;&gt;"Gross Profit",AE528&lt;&gt;"Net Operating Revenue",AE528&lt;&gt;"Net Other Revenue",AE528&lt;&gt;"Net Revenue"),1,0)</f>
        <v>0</v>
      </c>
      <c r="AI528" s="36" t="str">
        <f aca="false">IF(AH528=1,IF(AND(LEN(AE528)&gt;7,ISNUMBER(VALUE(LEFT(AE528,6))),MID(AE528,7,1)=" "),LEFT(AE528,6),AE528),"")</f>
        <v/>
      </c>
      <c r="AN528" s="36" t="str">
        <f aca="false">TRIM(AK528)</f>
        <v/>
      </c>
      <c r="AO528" s="36" t="str">
        <f aca="false">IF(AN528="Revenue","Revenue",IF(AN528="Cost of Goods Sold","COGS",IF(AN528="Expenditures","Expense",IF(AN528="Other Revenue","Other Revenue",IF(AN528="Other Expenditures","Other Expense",AO527)))))</f>
        <v/>
      </c>
      <c r="AP528" s="36" t="str">
        <f aca="false">IF(OR(AN528="Revenue",AN528="Cost of Goods Sold",AN528="Expenditures",AN528="Other Revenue",AN528="Other Expenditures"),AO528,IF(AND(LEN(AN528)&gt;2,MID(AN528,2,1)=" ",ISNUMBER(VALUE(LEFT(AN528,1)))),AN528,AP527))</f>
        <v/>
      </c>
      <c r="AQ528" s="36" t="n">
        <f aca="false">IF(AND(AN528&lt;&gt;"",ISNUMBER(AL528),LEFT(AN528,9)&lt;&gt;"Total for",AN528&lt;&gt;"Gross Profit",AN528&lt;&gt;"Net Operating Revenue",AN528&lt;&gt;"Net Other Revenue",AN528&lt;&gt;"Net Revenue"),1,0)</f>
        <v>0</v>
      </c>
      <c r="AR528" s="36" t="str">
        <f aca="false">IF(AQ528=1,IF(AND(LEN(AN528)&gt;7,ISNUMBER(VALUE(LEFT(AN528,6))),MID(AN528,7,1)=" "),LEFT(AN528,6),AN528),"")</f>
        <v/>
      </c>
    </row>
    <row r="529" customFormat="false" ht="15" hidden="false" customHeight="false" outlineLevel="0" collapsed="false">
      <c r="D529" s="36" t="str">
        <f aca="false">TRIM(A529)</f>
        <v/>
      </c>
      <c r="E529" s="36" t="str">
        <f aca="false">IF(D529="Revenue","Revenue",IF(D529="Cost of Goods Sold","COGS",IF(D529="Expenditures","Expense",IF(D529="Other Revenue","Other Revenue",IF(D529="Other Expenditures","Other Expense",E528)))))</f>
        <v/>
      </c>
      <c r="F529" s="36" t="str">
        <f aca="false">IF(OR(D529="Revenue",D529="Cost of Goods Sold",D529="Expenditures",D529="Other Revenue",D529="Other Expenditures"),E529,IF(AND(LEN(D529)&gt;2,MID(D529,2,1)=" ",ISNUMBER(VALUE(LEFT(D529,1)))),D529,F528))</f>
        <v/>
      </c>
      <c r="G529" s="36" t="n">
        <f aca="false">IF(AND(D529&lt;&gt;"",ISNUMBER(B529),LEFT(D529,9)&lt;&gt;"Total for",D529&lt;&gt;"Gross Profit",D529&lt;&gt;"Net Operating Revenue",D529&lt;&gt;"Net Other Revenue",D529&lt;&gt;"Net Revenue"),1,0)</f>
        <v>0</v>
      </c>
      <c r="H529" s="36" t="str">
        <f aca="false">IF(G529=1,IF(AND(LEN(D529)&gt;7,ISNUMBER(VALUE(LEFT(D529,6))),MID(D529,7,1)=" "),LEFT(D529,6),D529),"")</f>
        <v/>
      </c>
      <c r="M529" s="36" t="str">
        <f aca="false">TRIM(J529)</f>
        <v/>
      </c>
      <c r="N529" s="36" t="str">
        <f aca="false">IF(M529="Revenue","Revenue",IF(M529="Cost of Goods Sold","COGS",IF(M529="Expenditures","Expense",IF(M529="Other Revenue","Other Revenue",IF(M529="Other Expenditures","Other Expense",N528)))))</f>
        <v/>
      </c>
      <c r="O529" s="36" t="str">
        <f aca="false">IF(OR(M529="Revenue",M529="Cost of Goods Sold",M529="Expenditures",M529="Other Revenue",M529="Other Expenditures"),N529,IF(AND(LEN(M529)&gt;2,MID(M529,2,1)=" ",ISNUMBER(VALUE(LEFT(M529,1)))),M529,O528))</f>
        <v/>
      </c>
      <c r="P529" s="36" t="n">
        <f aca="false">IF(AND(M529&lt;&gt;"",ISNUMBER(K529),LEFT(M529,9)&lt;&gt;"Total for",M529&lt;&gt;"Gross Profit",M529&lt;&gt;"Net Operating Revenue",M529&lt;&gt;"Net Other Revenue",M529&lt;&gt;"Net Revenue"),1,0)</f>
        <v>0</v>
      </c>
      <c r="Q529" s="36" t="str">
        <f aca="false">IF(P529=1,IF(AND(LEN(M529)&gt;7,ISNUMBER(VALUE(LEFT(M529,6))),MID(M529,7,1)=" "),LEFT(M529,6),M529),"")</f>
        <v/>
      </c>
      <c r="V529" s="36" t="str">
        <f aca="false">TRIM(S529)</f>
        <v/>
      </c>
      <c r="W529" s="36" t="str">
        <f aca="false">IF(V529="Revenue","Revenue",IF(V529="Cost of Goods Sold","COGS",IF(V529="Expenditures","Expense",IF(V529="Other Revenue","Other Revenue",IF(V529="Other Expenditures","Other Expense",W528)))))</f>
        <v/>
      </c>
      <c r="X529" s="36" t="str">
        <f aca="false">IF(OR(V529="Revenue",V529="Cost of Goods Sold",V529="Expenditures",V529="Other Revenue",V529="Other Expenditures"),W529,IF(AND(LEN(V529)&gt;2,MID(V529,2,1)=" ",ISNUMBER(VALUE(LEFT(V529,1)))),V529,X528))</f>
        <v/>
      </c>
      <c r="Y529" s="36" t="n">
        <f aca="false">IF(AND(V529&lt;&gt;"",ISNUMBER(T529),LEFT(V529,9)&lt;&gt;"Total for",V529&lt;&gt;"Gross Profit",V529&lt;&gt;"Net Operating Revenue",V529&lt;&gt;"Net Other Revenue",V529&lt;&gt;"Net Revenue"),1,0)</f>
        <v>0</v>
      </c>
      <c r="Z529" s="36" t="str">
        <f aca="false">IF(Y529=1,IF(AND(LEN(V529)&gt;7,ISNUMBER(VALUE(LEFT(V529,6))),MID(V529,7,1)=" "),LEFT(V529,6),V529),"")</f>
        <v/>
      </c>
      <c r="AE529" s="36" t="str">
        <f aca="false">TRIM(AB529)</f>
        <v/>
      </c>
      <c r="AF529" s="36" t="str">
        <f aca="false">IF(AE529="Revenue","Revenue",IF(AE529="Cost of Goods Sold","COGS",IF(AE529="Expenditures","Expense",IF(AE529="Other Revenue","Other Revenue",IF(AE529="Other Expenditures","Other Expense",AF528)))))</f>
        <v/>
      </c>
      <c r="AG529" s="36" t="str">
        <f aca="false">IF(OR(AE529="Revenue",AE529="Cost of Goods Sold",AE529="Expenditures",AE529="Other Revenue",AE529="Other Expenditures"),AF529,IF(AND(LEN(AE529)&gt;2,MID(AE529,2,1)=" ",ISNUMBER(VALUE(LEFT(AE529,1)))),AE529,AG528))</f>
        <v/>
      </c>
      <c r="AH529" s="36" t="n">
        <f aca="false">IF(AND(AE529&lt;&gt;"",ISNUMBER(AC529),LEFT(AE529,9)&lt;&gt;"Total for",AE529&lt;&gt;"Gross Profit",AE529&lt;&gt;"Net Operating Revenue",AE529&lt;&gt;"Net Other Revenue",AE529&lt;&gt;"Net Revenue"),1,0)</f>
        <v>0</v>
      </c>
      <c r="AI529" s="36" t="str">
        <f aca="false">IF(AH529=1,IF(AND(LEN(AE529)&gt;7,ISNUMBER(VALUE(LEFT(AE529,6))),MID(AE529,7,1)=" "),LEFT(AE529,6),AE529),"")</f>
        <v/>
      </c>
      <c r="AN529" s="36" t="str">
        <f aca="false">TRIM(AK529)</f>
        <v/>
      </c>
      <c r="AO529" s="36" t="str">
        <f aca="false">IF(AN529="Revenue","Revenue",IF(AN529="Cost of Goods Sold","COGS",IF(AN529="Expenditures","Expense",IF(AN529="Other Revenue","Other Revenue",IF(AN529="Other Expenditures","Other Expense",AO528)))))</f>
        <v/>
      </c>
      <c r="AP529" s="36" t="str">
        <f aca="false">IF(OR(AN529="Revenue",AN529="Cost of Goods Sold",AN529="Expenditures",AN529="Other Revenue",AN529="Other Expenditures"),AO529,IF(AND(LEN(AN529)&gt;2,MID(AN529,2,1)=" ",ISNUMBER(VALUE(LEFT(AN529,1)))),AN529,AP528))</f>
        <v/>
      </c>
      <c r="AQ529" s="36" t="n">
        <f aca="false">IF(AND(AN529&lt;&gt;"",ISNUMBER(AL529),LEFT(AN529,9)&lt;&gt;"Total for",AN529&lt;&gt;"Gross Profit",AN529&lt;&gt;"Net Operating Revenue",AN529&lt;&gt;"Net Other Revenue",AN529&lt;&gt;"Net Revenue"),1,0)</f>
        <v>0</v>
      </c>
      <c r="AR529" s="36" t="str">
        <f aca="false">IF(AQ529=1,IF(AND(LEN(AN529)&gt;7,ISNUMBER(VALUE(LEFT(AN529,6))),MID(AN529,7,1)=" "),LEFT(AN529,6),AN529),"")</f>
        <v/>
      </c>
    </row>
    <row r="530" customFormat="false" ht="15" hidden="false" customHeight="false" outlineLevel="0" collapsed="false">
      <c r="D530" s="36" t="str">
        <f aca="false">TRIM(A530)</f>
        <v/>
      </c>
      <c r="E530" s="36" t="str">
        <f aca="false">IF(D530="Revenue","Revenue",IF(D530="Cost of Goods Sold","COGS",IF(D530="Expenditures","Expense",IF(D530="Other Revenue","Other Revenue",IF(D530="Other Expenditures","Other Expense",E529)))))</f>
        <v/>
      </c>
      <c r="F530" s="36" t="str">
        <f aca="false">IF(OR(D530="Revenue",D530="Cost of Goods Sold",D530="Expenditures",D530="Other Revenue",D530="Other Expenditures"),E530,IF(AND(LEN(D530)&gt;2,MID(D530,2,1)=" ",ISNUMBER(VALUE(LEFT(D530,1)))),D530,F529))</f>
        <v/>
      </c>
      <c r="G530" s="36" t="n">
        <f aca="false">IF(AND(D530&lt;&gt;"",ISNUMBER(B530),LEFT(D530,9)&lt;&gt;"Total for",D530&lt;&gt;"Gross Profit",D530&lt;&gt;"Net Operating Revenue",D530&lt;&gt;"Net Other Revenue",D530&lt;&gt;"Net Revenue"),1,0)</f>
        <v>0</v>
      </c>
      <c r="H530" s="36" t="str">
        <f aca="false">IF(G530=1,IF(AND(LEN(D530)&gt;7,ISNUMBER(VALUE(LEFT(D530,6))),MID(D530,7,1)=" "),LEFT(D530,6),D530),"")</f>
        <v/>
      </c>
      <c r="M530" s="36" t="str">
        <f aca="false">TRIM(J530)</f>
        <v/>
      </c>
      <c r="N530" s="36" t="str">
        <f aca="false">IF(M530="Revenue","Revenue",IF(M530="Cost of Goods Sold","COGS",IF(M530="Expenditures","Expense",IF(M530="Other Revenue","Other Revenue",IF(M530="Other Expenditures","Other Expense",N529)))))</f>
        <v/>
      </c>
      <c r="O530" s="36" t="str">
        <f aca="false">IF(OR(M530="Revenue",M530="Cost of Goods Sold",M530="Expenditures",M530="Other Revenue",M530="Other Expenditures"),N530,IF(AND(LEN(M530)&gt;2,MID(M530,2,1)=" ",ISNUMBER(VALUE(LEFT(M530,1)))),M530,O529))</f>
        <v/>
      </c>
      <c r="P530" s="36" t="n">
        <f aca="false">IF(AND(M530&lt;&gt;"",ISNUMBER(K530),LEFT(M530,9)&lt;&gt;"Total for",M530&lt;&gt;"Gross Profit",M530&lt;&gt;"Net Operating Revenue",M530&lt;&gt;"Net Other Revenue",M530&lt;&gt;"Net Revenue"),1,0)</f>
        <v>0</v>
      </c>
      <c r="Q530" s="36" t="str">
        <f aca="false">IF(P530=1,IF(AND(LEN(M530)&gt;7,ISNUMBER(VALUE(LEFT(M530,6))),MID(M530,7,1)=" "),LEFT(M530,6),M530),"")</f>
        <v/>
      </c>
      <c r="V530" s="36" t="str">
        <f aca="false">TRIM(S530)</f>
        <v/>
      </c>
      <c r="W530" s="36" t="str">
        <f aca="false">IF(V530="Revenue","Revenue",IF(V530="Cost of Goods Sold","COGS",IF(V530="Expenditures","Expense",IF(V530="Other Revenue","Other Revenue",IF(V530="Other Expenditures","Other Expense",W529)))))</f>
        <v/>
      </c>
      <c r="X530" s="36" t="str">
        <f aca="false">IF(OR(V530="Revenue",V530="Cost of Goods Sold",V530="Expenditures",V530="Other Revenue",V530="Other Expenditures"),W530,IF(AND(LEN(V530)&gt;2,MID(V530,2,1)=" ",ISNUMBER(VALUE(LEFT(V530,1)))),V530,X529))</f>
        <v/>
      </c>
      <c r="Y530" s="36" t="n">
        <f aca="false">IF(AND(V530&lt;&gt;"",ISNUMBER(T530),LEFT(V530,9)&lt;&gt;"Total for",V530&lt;&gt;"Gross Profit",V530&lt;&gt;"Net Operating Revenue",V530&lt;&gt;"Net Other Revenue",V530&lt;&gt;"Net Revenue"),1,0)</f>
        <v>0</v>
      </c>
      <c r="Z530" s="36" t="str">
        <f aca="false">IF(Y530=1,IF(AND(LEN(V530)&gt;7,ISNUMBER(VALUE(LEFT(V530,6))),MID(V530,7,1)=" "),LEFT(V530,6),V530),"")</f>
        <v/>
      </c>
      <c r="AE530" s="36" t="str">
        <f aca="false">TRIM(AB530)</f>
        <v/>
      </c>
      <c r="AF530" s="36" t="str">
        <f aca="false">IF(AE530="Revenue","Revenue",IF(AE530="Cost of Goods Sold","COGS",IF(AE530="Expenditures","Expense",IF(AE530="Other Revenue","Other Revenue",IF(AE530="Other Expenditures","Other Expense",AF529)))))</f>
        <v/>
      </c>
      <c r="AG530" s="36" t="str">
        <f aca="false">IF(OR(AE530="Revenue",AE530="Cost of Goods Sold",AE530="Expenditures",AE530="Other Revenue",AE530="Other Expenditures"),AF530,IF(AND(LEN(AE530)&gt;2,MID(AE530,2,1)=" ",ISNUMBER(VALUE(LEFT(AE530,1)))),AE530,AG529))</f>
        <v/>
      </c>
      <c r="AH530" s="36" t="n">
        <f aca="false">IF(AND(AE530&lt;&gt;"",ISNUMBER(AC530),LEFT(AE530,9)&lt;&gt;"Total for",AE530&lt;&gt;"Gross Profit",AE530&lt;&gt;"Net Operating Revenue",AE530&lt;&gt;"Net Other Revenue",AE530&lt;&gt;"Net Revenue"),1,0)</f>
        <v>0</v>
      </c>
      <c r="AI530" s="36" t="str">
        <f aca="false">IF(AH530=1,IF(AND(LEN(AE530)&gt;7,ISNUMBER(VALUE(LEFT(AE530,6))),MID(AE530,7,1)=" "),LEFT(AE530,6),AE530),"")</f>
        <v/>
      </c>
      <c r="AN530" s="36" t="str">
        <f aca="false">TRIM(AK530)</f>
        <v/>
      </c>
      <c r="AO530" s="36" t="str">
        <f aca="false">IF(AN530="Revenue","Revenue",IF(AN530="Cost of Goods Sold","COGS",IF(AN530="Expenditures","Expense",IF(AN530="Other Revenue","Other Revenue",IF(AN530="Other Expenditures","Other Expense",AO529)))))</f>
        <v/>
      </c>
      <c r="AP530" s="36" t="str">
        <f aca="false">IF(OR(AN530="Revenue",AN530="Cost of Goods Sold",AN530="Expenditures",AN530="Other Revenue",AN530="Other Expenditures"),AO530,IF(AND(LEN(AN530)&gt;2,MID(AN530,2,1)=" ",ISNUMBER(VALUE(LEFT(AN530,1)))),AN530,AP529))</f>
        <v/>
      </c>
      <c r="AQ530" s="36" t="n">
        <f aca="false">IF(AND(AN530&lt;&gt;"",ISNUMBER(AL530),LEFT(AN530,9)&lt;&gt;"Total for",AN530&lt;&gt;"Gross Profit",AN530&lt;&gt;"Net Operating Revenue",AN530&lt;&gt;"Net Other Revenue",AN530&lt;&gt;"Net Revenue"),1,0)</f>
        <v>0</v>
      </c>
      <c r="AR530" s="36" t="str">
        <f aca="false">IF(AQ530=1,IF(AND(LEN(AN530)&gt;7,ISNUMBER(VALUE(LEFT(AN530,6))),MID(AN530,7,1)=" "),LEFT(AN530,6),AN530),"")</f>
        <v/>
      </c>
    </row>
    <row r="531" customFormat="false" ht="15" hidden="false" customHeight="false" outlineLevel="0" collapsed="false">
      <c r="D531" s="36" t="str">
        <f aca="false">TRIM(A531)</f>
        <v/>
      </c>
      <c r="E531" s="36" t="str">
        <f aca="false">IF(D531="Revenue","Revenue",IF(D531="Cost of Goods Sold","COGS",IF(D531="Expenditures","Expense",IF(D531="Other Revenue","Other Revenue",IF(D531="Other Expenditures","Other Expense",E530)))))</f>
        <v/>
      </c>
      <c r="F531" s="36" t="str">
        <f aca="false">IF(OR(D531="Revenue",D531="Cost of Goods Sold",D531="Expenditures",D531="Other Revenue",D531="Other Expenditures"),E531,IF(AND(LEN(D531)&gt;2,MID(D531,2,1)=" ",ISNUMBER(VALUE(LEFT(D531,1)))),D531,F530))</f>
        <v/>
      </c>
      <c r="G531" s="36" t="n">
        <f aca="false">IF(AND(D531&lt;&gt;"",ISNUMBER(B531),LEFT(D531,9)&lt;&gt;"Total for",D531&lt;&gt;"Gross Profit",D531&lt;&gt;"Net Operating Revenue",D531&lt;&gt;"Net Other Revenue",D531&lt;&gt;"Net Revenue"),1,0)</f>
        <v>0</v>
      </c>
      <c r="H531" s="36" t="str">
        <f aca="false">IF(G531=1,IF(AND(LEN(D531)&gt;7,ISNUMBER(VALUE(LEFT(D531,6))),MID(D531,7,1)=" "),LEFT(D531,6),D531),"")</f>
        <v/>
      </c>
      <c r="M531" s="36" t="str">
        <f aca="false">TRIM(J531)</f>
        <v/>
      </c>
      <c r="N531" s="36" t="str">
        <f aca="false">IF(M531="Revenue","Revenue",IF(M531="Cost of Goods Sold","COGS",IF(M531="Expenditures","Expense",IF(M531="Other Revenue","Other Revenue",IF(M531="Other Expenditures","Other Expense",N530)))))</f>
        <v/>
      </c>
      <c r="O531" s="36" t="str">
        <f aca="false">IF(OR(M531="Revenue",M531="Cost of Goods Sold",M531="Expenditures",M531="Other Revenue",M531="Other Expenditures"),N531,IF(AND(LEN(M531)&gt;2,MID(M531,2,1)=" ",ISNUMBER(VALUE(LEFT(M531,1)))),M531,O530))</f>
        <v/>
      </c>
      <c r="P531" s="36" t="n">
        <f aca="false">IF(AND(M531&lt;&gt;"",ISNUMBER(K531),LEFT(M531,9)&lt;&gt;"Total for",M531&lt;&gt;"Gross Profit",M531&lt;&gt;"Net Operating Revenue",M531&lt;&gt;"Net Other Revenue",M531&lt;&gt;"Net Revenue"),1,0)</f>
        <v>0</v>
      </c>
      <c r="Q531" s="36" t="str">
        <f aca="false">IF(P531=1,IF(AND(LEN(M531)&gt;7,ISNUMBER(VALUE(LEFT(M531,6))),MID(M531,7,1)=" "),LEFT(M531,6),M531),"")</f>
        <v/>
      </c>
      <c r="V531" s="36" t="str">
        <f aca="false">TRIM(S531)</f>
        <v/>
      </c>
      <c r="W531" s="36" t="str">
        <f aca="false">IF(V531="Revenue","Revenue",IF(V531="Cost of Goods Sold","COGS",IF(V531="Expenditures","Expense",IF(V531="Other Revenue","Other Revenue",IF(V531="Other Expenditures","Other Expense",W530)))))</f>
        <v/>
      </c>
      <c r="X531" s="36" t="str">
        <f aca="false">IF(OR(V531="Revenue",V531="Cost of Goods Sold",V531="Expenditures",V531="Other Revenue",V531="Other Expenditures"),W531,IF(AND(LEN(V531)&gt;2,MID(V531,2,1)=" ",ISNUMBER(VALUE(LEFT(V531,1)))),V531,X530))</f>
        <v/>
      </c>
      <c r="Y531" s="36" t="n">
        <f aca="false">IF(AND(V531&lt;&gt;"",ISNUMBER(T531),LEFT(V531,9)&lt;&gt;"Total for",V531&lt;&gt;"Gross Profit",V531&lt;&gt;"Net Operating Revenue",V531&lt;&gt;"Net Other Revenue",V531&lt;&gt;"Net Revenue"),1,0)</f>
        <v>0</v>
      </c>
      <c r="Z531" s="36" t="str">
        <f aca="false">IF(Y531=1,IF(AND(LEN(V531)&gt;7,ISNUMBER(VALUE(LEFT(V531,6))),MID(V531,7,1)=" "),LEFT(V531,6),V531),"")</f>
        <v/>
      </c>
      <c r="AE531" s="36" t="str">
        <f aca="false">TRIM(AB531)</f>
        <v/>
      </c>
      <c r="AF531" s="36" t="str">
        <f aca="false">IF(AE531="Revenue","Revenue",IF(AE531="Cost of Goods Sold","COGS",IF(AE531="Expenditures","Expense",IF(AE531="Other Revenue","Other Revenue",IF(AE531="Other Expenditures","Other Expense",AF530)))))</f>
        <v/>
      </c>
      <c r="AG531" s="36" t="str">
        <f aca="false">IF(OR(AE531="Revenue",AE531="Cost of Goods Sold",AE531="Expenditures",AE531="Other Revenue",AE531="Other Expenditures"),AF531,IF(AND(LEN(AE531)&gt;2,MID(AE531,2,1)=" ",ISNUMBER(VALUE(LEFT(AE531,1)))),AE531,AG530))</f>
        <v/>
      </c>
      <c r="AH531" s="36" t="n">
        <f aca="false">IF(AND(AE531&lt;&gt;"",ISNUMBER(AC531),LEFT(AE531,9)&lt;&gt;"Total for",AE531&lt;&gt;"Gross Profit",AE531&lt;&gt;"Net Operating Revenue",AE531&lt;&gt;"Net Other Revenue",AE531&lt;&gt;"Net Revenue"),1,0)</f>
        <v>0</v>
      </c>
      <c r="AI531" s="36" t="str">
        <f aca="false">IF(AH531=1,IF(AND(LEN(AE531)&gt;7,ISNUMBER(VALUE(LEFT(AE531,6))),MID(AE531,7,1)=" "),LEFT(AE531,6),AE531),"")</f>
        <v/>
      </c>
      <c r="AN531" s="36" t="str">
        <f aca="false">TRIM(AK531)</f>
        <v/>
      </c>
      <c r="AO531" s="36" t="str">
        <f aca="false">IF(AN531="Revenue","Revenue",IF(AN531="Cost of Goods Sold","COGS",IF(AN531="Expenditures","Expense",IF(AN531="Other Revenue","Other Revenue",IF(AN531="Other Expenditures","Other Expense",AO530)))))</f>
        <v/>
      </c>
      <c r="AP531" s="36" t="str">
        <f aca="false">IF(OR(AN531="Revenue",AN531="Cost of Goods Sold",AN531="Expenditures",AN531="Other Revenue",AN531="Other Expenditures"),AO531,IF(AND(LEN(AN531)&gt;2,MID(AN531,2,1)=" ",ISNUMBER(VALUE(LEFT(AN531,1)))),AN531,AP530))</f>
        <v/>
      </c>
      <c r="AQ531" s="36" t="n">
        <f aca="false">IF(AND(AN531&lt;&gt;"",ISNUMBER(AL531),LEFT(AN531,9)&lt;&gt;"Total for",AN531&lt;&gt;"Gross Profit",AN531&lt;&gt;"Net Operating Revenue",AN531&lt;&gt;"Net Other Revenue",AN531&lt;&gt;"Net Revenue"),1,0)</f>
        <v>0</v>
      </c>
      <c r="AR531" s="36" t="str">
        <f aca="false">IF(AQ531=1,IF(AND(LEN(AN531)&gt;7,ISNUMBER(VALUE(LEFT(AN531,6))),MID(AN531,7,1)=" "),LEFT(AN531,6),AN531),"")</f>
        <v/>
      </c>
    </row>
    <row r="532" customFormat="false" ht="15" hidden="false" customHeight="false" outlineLevel="0" collapsed="false">
      <c r="D532" s="36" t="str">
        <f aca="false">TRIM(A532)</f>
        <v/>
      </c>
      <c r="E532" s="36" t="str">
        <f aca="false">IF(D532="Revenue","Revenue",IF(D532="Cost of Goods Sold","COGS",IF(D532="Expenditures","Expense",IF(D532="Other Revenue","Other Revenue",IF(D532="Other Expenditures","Other Expense",E531)))))</f>
        <v/>
      </c>
      <c r="F532" s="36" t="str">
        <f aca="false">IF(OR(D532="Revenue",D532="Cost of Goods Sold",D532="Expenditures",D532="Other Revenue",D532="Other Expenditures"),E532,IF(AND(LEN(D532)&gt;2,MID(D532,2,1)=" ",ISNUMBER(VALUE(LEFT(D532,1)))),D532,F531))</f>
        <v/>
      </c>
      <c r="G532" s="36" t="n">
        <f aca="false">IF(AND(D532&lt;&gt;"",ISNUMBER(B532),LEFT(D532,9)&lt;&gt;"Total for",D532&lt;&gt;"Gross Profit",D532&lt;&gt;"Net Operating Revenue",D532&lt;&gt;"Net Other Revenue",D532&lt;&gt;"Net Revenue"),1,0)</f>
        <v>0</v>
      </c>
      <c r="H532" s="36" t="str">
        <f aca="false">IF(G532=1,IF(AND(LEN(D532)&gt;7,ISNUMBER(VALUE(LEFT(D532,6))),MID(D532,7,1)=" "),LEFT(D532,6),D532),"")</f>
        <v/>
      </c>
      <c r="M532" s="36" t="str">
        <f aca="false">TRIM(J532)</f>
        <v/>
      </c>
      <c r="N532" s="36" t="str">
        <f aca="false">IF(M532="Revenue","Revenue",IF(M532="Cost of Goods Sold","COGS",IF(M532="Expenditures","Expense",IF(M532="Other Revenue","Other Revenue",IF(M532="Other Expenditures","Other Expense",N531)))))</f>
        <v/>
      </c>
      <c r="O532" s="36" t="str">
        <f aca="false">IF(OR(M532="Revenue",M532="Cost of Goods Sold",M532="Expenditures",M532="Other Revenue",M532="Other Expenditures"),N532,IF(AND(LEN(M532)&gt;2,MID(M532,2,1)=" ",ISNUMBER(VALUE(LEFT(M532,1)))),M532,O531))</f>
        <v/>
      </c>
      <c r="P532" s="36" t="n">
        <f aca="false">IF(AND(M532&lt;&gt;"",ISNUMBER(K532),LEFT(M532,9)&lt;&gt;"Total for",M532&lt;&gt;"Gross Profit",M532&lt;&gt;"Net Operating Revenue",M532&lt;&gt;"Net Other Revenue",M532&lt;&gt;"Net Revenue"),1,0)</f>
        <v>0</v>
      </c>
      <c r="Q532" s="36" t="str">
        <f aca="false">IF(P532=1,IF(AND(LEN(M532)&gt;7,ISNUMBER(VALUE(LEFT(M532,6))),MID(M532,7,1)=" "),LEFT(M532,6),M532),"")</f>
        <v/>
      </c>
      <c r="V532" s="36" t="str">
        <f aca="false">TRIM(S532)</f>
        <v/>
      </c>
      <c r="W532" s="36" t="str">
        <f aca="false">IF(V532="Revenue","Revenue",IF(V532="Cost of Goods Sold","COGS",IF(V532="Expenditures","Expense",IF(V532="Other Revenue","Other Revenue",IF(V532="Other Expenditures","Other Expense",W531)))))</f>
        <v/>
      </c>
      <c r="X532" s="36" t="str">
        <f aca="false">IF(OR(V532="Revenue",V532="Cost of Goods Sold",V532="Expenditures",V532="Other Revenue",V532="Other Expenditures"),W532,IF(AND(LEN(V532)&gt;2,MID(V532,2,1)=" ",ISNUMBER(VALUE(LEFT(V532,1)))),V532,X531))</f>
        <v/>
      </c>
      <c r="Y532" s="36" t="n">
        <f aca="false">IF(AND(V532&lt;&gt;"",ISNUMBER(T532),LEFT(V532,9)&lt;&gt;"Total for",V532&lt;&gt;"Gross Profit",V532&lt;&gt;"Net Operating Revenue",V532&lt;&gt;"Net Other Revenue",V532&lt;&gt;"Net Revenue"),1,0)</f>
        <v>0</v>
      </c>
      <c r="Z532" s="36" t="str">
        <f aca="false">IF(Y532=1,IF(AND(LEN(V532)&gt;7,ISNUMBER(VALUE(LEFT(V532,6))),MID(V532,7,1)=" "),LEFT(V532,6),V532),"")</f>
        <v/>
      </c>
      <c r="AE532" s="36" t="str">
        <f aca="false">TRIM(AB532)</f>
        <v/>
      </c>
      <c r="AF532" s="36" t="str">
        <f aca="false">IF(AE532="Revenue","Revenue",IF(AE532="Cost of Goods Sold","COGS",IF(AE532="Expenditures","Expense",IF(AE532="Other Revenue","Other Revenue",IF(AE532="Other Expenditures","Other Expense",AF531)))))</f>
        <v/>
      </c>
      <c r="AG532" s="36" t="str">
        <f aca="false">IF(OR(AE532="Revenue",AE532="Cost of Goods Sold",AE532="Expenditures",AE532="Other Revenue",AE532="Other Expenditures"),AF532,IF(AND(LEN(AE532)&gt;2,MID(AE532,2,1)=" ",ISNUMBER(VALUE(LEFT(AE532,1)))),AE532,AG531))</f>
        <v/>
      </c>
      <c r="AH532" s="36" t="n">
        <f aca="false">IF(AND(AE532&lt;&gt;"",ISNUMBER(AC532),LEFT(AE532,9)&lt;&gt;"Total for",AE532&lt;&gt;"Gross Profit",AE532&lt;&gt;"Net Operating Revenue",AE532&lt;&gt;"Net Other Revenue",AE532&lt;&gt;"Net Revenue"),1,0)</f>
        <v>0</v>
      </c>
      <c r="AI532" s="36" t="str">
        <f aca="false">IF(AH532=1,IF(AND(LEN(AE532)&gt;7,ISNUMBER(VALUE(LEFT(AE532,6))),MID(AE532,7,1)=" "),LEFT(AE532,6),AE532),"")</f>
        <v/>
      </c>
      <c r="AN532" s="36" t="str">
        <f aca="false">TRIM(AK532)</f>
        <v/>
      </c>
      <c r="AO532" s="36" t="str">
        <f aca="false">IF(AN532="Revenue","Revenue",IF(AN532="Cost of Goods Sold","COGS",IF(AN532="Expenditures","Expense",IF(AN532="Other Revenue","Other Revenue",IF(AN532="Other Expenditures","Other Expense",AO531)))))</f>
        <v/>
      </c>
      <c r="AP532" s="36" t="str">
        <f aca="false">IF(OR(AN532="Revenue",AN532="Cost of Goods Sold",AN532="Expenditures",AN532="Other Revenue",AN532="Other Expenditures"),AO532,IF(AND(LEN(AN532)&gt;2,MID(AN532,2,1)=" ",ISNUMBER(VALUE(LEFT(AN532,1)))),AN532,AP531))</f>
        <v/>
      </c>
      <c r="AQ532" s="36" t="n">
        <f aca="false">IF(AND(AN532&lt;&gt;"",ISNUMBER(AL532),LEFT(AN532,9)&lt;&gt;"Total for",AN532&lt;&gt;"Gross Profit",AN532&lt;&gt;"Net Operating Revenue",AN532&lt;&gt;"Net Other Revenue",AN532&lt;&gt;"Net Revenue"),1,0)</f>
        <v>0</v>
      </c>
      <c r="AR532" s="36" t="str">
        <f aca="false">IF(AQ532=1,IF(AND(LEN(AN532)&gt;7,ISNUMBER(VALUE(LEFT(AN532,6))),MID(AN532,7,1)=" "),LEFT(AN532,6),AN532),"")</f>
        <v/>
      </c>
    </row>
    <row r="533" customFormat="false" ht="15" hidden="false" customHeight="false" outlineLevel="0" collapsed="false">
      <c r="D533" s="36" t="str">
        <f aca="false">TRIM(A533)</f>
        <v/>
      </c>
      <c r="E533" s="36" t="str">
        <f aca="false">IF(D533="Revenue","Revenue",IF(D533="Cost of Goods Sold","COGS",IF(D533="Expenditures","Expense",IF(D533="Other Revenue","Other Revenue",IF(D533="Other Expenditures","Other Expense",E532)))))</f>
        <v/>
      </c>
      <c r="F533" s="36" t="str">
        <f aca="false">IF(OR(D533="Revenue",D533="Cost of Goods Sold",D533="Expenditures",D533="Other Revenue",D533="Other Expenditures"),E533,IF(AND(LEN(D533)&gt;2,MID(D533,2,1)=" ",ISNUMBER(VALUE(LEFT(D533,1)))),D533,F532))</f>
        <v/>
      </c>
      <c r="G533" s="36" t="n">
        <f aca="false">IF(AND(D533&lt;&gt;"",ISNUMBER(B533),LEFT(D533,9)&lt;&gt;"Total for",D533&lt;&gt;"Gross Profit",D533&lt;&gt;"Net Operating Revenue",D533&lt;&gt;"Net Other Revenue",D533&lt;&gt;"Net Revenue"),1,0)</f>
        <v>0</v>
      </c>
      <c r="H533" s="36" t="str">
        <f aca="false">IF(G533=1,IF(AND(LEN(D533)&gt;7,ISNUMBER(VALUE(LEFT(D533,6))),MID(D533,7,1)=" "),LEFT(D533,6),D533),"")</f>
        <v/>
      </c>
      <c r="M533" s="36" t="str">
        <f aca="false">TRIM(J533)</f>
        <v/>
      </c>
      <c r="N533" s="36" t="str">
        <f aca="false">IF(M533="Revenue","Revenue",IF(M533="Cost of Goods Sold","COGS",IF(M533="Expenditures","Expense",IF(M533="Other Revenue","Other Revenue",IF(M533="Other Expenditures","Other Expense",N532)))))</f>
        <v/>
      </c>
      <c r="O533" s="36" t="str">
        <f aca="false">IF(OR(M533="Revenue",M533="Cost of Goods Sold",M533="Expenditures",M533="Other Revenue",M533="Other Expenditures"),N533,IF(AND(LEN(M533)&gt;2,MID(M533,2,1)=" ",ISNUMBER(VALUE(LEFT(M533,1)))),M533,O532))</f>
        <v/>
      </c>
      <c r="P533" s="36" t="n">
        <f aca="false">IF(AND(M533&lt;&gt;"",ISNUMBER(K533),LEFT(M533,9)&lt;&gt;"Total for",M533&lt;&gt;"Gross Profit",M533&lt;&gt;"Net Operating Revenue",M533&lt;&gt;"Net Other Revenue",M533&lt;&gt;"Net Revenue"),1,0)</f>
        <v>0</v>
      </c>
      <c r="Q533" s="36" t="str">
        <f aca="false">IF(P533=1,IF(AND(LEN(M533)&gt;7,ISNUMBER(VALUE(LEFT(M533,6))),MID(M533,7,1)=" "),LEFT(M533,6),M533),"")</f>
        <v/>
      </c>
      <c r="V533" s="36" t="str">
        <f aca="false">TRIM(S533)</f>
        <v/>
      </c>
      <c r="W533" s="36" t="str">
        <f aca="false">IF(V533="Revenue","Revenue",IF(V533="Cost of Goods Sold","COGS",IF(V533="Expenditures","Expense",IF(V533="Other Revenue","Other Revenue",IF(V533="Other Expenditures","Other Expense",W532)))))</f>
        <v/>
      </c>
      <c r="X533" s="36" t="str">
        <f aca="false">IF(OR(V533="Revenue",V533="Cost of Goods Sold",V533="Expenditures",V533="Other Revenue",V533="Other Expenditures"),W533,IF(AND(LEN(V533)&gt;2,MID(V533,2,1)=" ",ISNUMBER(VALUE(LEFT(V533,1)))),V533,X532))</f>
        <v/>
      </c>
      <c r="Y533" s="36" t="n">
        <f aca="false">IF(AND(V533&lt;&gt;"",ISNUMBER(T533),LEFT(V533,9)&lt;&gt;"Total for",V533&lt;&gt;"Gross Profit",V533&lt;&gt;"Net Operating Revenue",V533&lt;&gt;"Net Other Revenue",V533&lt;&gt;"Net Revenue"),1,0)</f>
        <v>0</v>
      </c>
      <c r="Z533" s="36" t="str">
        <f aca="false">IF(Y533=1,IF(AND(LEN(V533)&gt;7,ISNUMBER(VALUE(LEFT(V533,6))),MID(V533,7,1)=" "),LEFT(V533,6),V533),"")</f>
        <v/>
      </c>
      <c r="AE533" s="36" t="str">
        <f aca="false">TRIM(AB533)</f>
        <v/>
      </c>
      <c r="AF533" s="36" t="str">
        <f aca="false">IF(AE533="Revenue","Revenue",IF(AE533="Cost of Goods Sold","COGS",IF(AE533="Expenditures","Expense",IF(AE533="Other Revenue","Other Revenue",IF(AE533="Other Expenditures","Other Expense",AF532)))))</f>
        <v/>
      </c>
      <c r="AG533" s="36" t="str">
        <f aca="false">IF(OR(AE533="Revenue",AE533="Cost of Goods Sold",AE533="Expenditures",AE533="Other Revenue",AE533="Other Expenditures"),AF533,IF(AND(LEN(AE533)&gt;2,MID(AE533,2,1)=" ",ISNUMBER(VALUE(LEFT(AE533,1)))),AE533,AG532))</f>
        <v/>
      </c>
      <c r="AH533" s="36" t="n">
        <f aca="false">IF(AND(AE533&lt;&gt;"",ISNUMBER(AC533),LEFT(AE533,9)&lt;&gt;"Total for",AE533&lt;&gt;"Gross Profit",AE533&lt;&gt;"Net Operating Revenue",AE533&lt;&gt;"Net Other Revenue",AE533&lt;&gt;"Net Revenue"),1,0)</f>
        <v>0</v>
      </c>
      <c r="AI533" s="36" t="str">
        <f aca="false">IF(AH533=1,IF(AND(LEN(AE533)&gt;7,ISNUMBER(VALUE(LEFT(AE533,6))),MID(AE533,7,1)=" "),LEFT(AE533,6),AE533),"")</f>
        <v/>
      </c>
      <c r="AN533" s="36" t="str">
        <f aca="false">TRIM(AK533)</f>
        <v/>
      </c>
      <c r="AO533" s="36" t="str">
        <f aca="false">IF(AN533="Revenue","Revenue",IF(AN533="Cost of Goods Sold","COGS",IF(AN533="Expenditures","Expense",IF(AN533="Other Revenue","Other Revenue",IF(AN533="Other Expenditures","Other Expense",AO532)))))</f>
        <v/>
      </c>
      <c r="AP533" s="36" t="str">
        <f aca="false">IF(OR(AN533="Revenue",AN533="Cost of Goods Sold",AN533="Expenditures",AN533="Other Revenue",AN533="Other Expenditures"),AO533,IF(AND(LEN(AN533)&gt;2,MID(AN533,2,1)=" ",ISNUMBER(VALUE(LEFT(AN533,1)))),AN533,AP532))</f>
        <v/>
      </c>
      <c r="AQ533" s="36" t="n">
        <f aca="false">IF(AND(AN533&lt;&gt;"",ISNUMBER(AL533),LEFT(AN533,9)&lt;&gt;"Total for",AN533&lt;&gt;"Gross Profit",AN533&lt;&gt;"Net Operating Revenue",AN533&lt;&gt;"Net Other Revenue",AN533&lt;&gt;"Net Revenue"),1,0)</f>
        <v>0</v>
      </c>
      <c r="AR533" s="36" t="str">
        <f aca="false">IF(AQ533=1,IF(AND(LEN(AN533)&gt;7,ISNUMBER(VALUE(LEFT(AN533,6))),MID(AN533,7,1)=" "),LEFT(AN533,6),AN533),"")</f>
        <v/>
      </c>
    </row>
    <row r="534" customFormat="false" ht="15" hidden="false" customHeight="false" outlineLevel="0" collapsed="false">
      <c r="D534" s="36" t="str">
        <f aca="false">TRIM(A534)</f>
        <v/>
      </c>
      <c r="E534" s="36" t="str">
        <f aca="false">IF(D534="Revenue","Revenue",IF(D534="Cost of Goods Sold","COGS",IF(D534="Expenditures","Expense",IF(D534="Other Revenue","Other Revenue",IF(D534="Other Expenditures","Other Expense",E533)))))</f>
        <v/>
      </c>
      <c r="F534" s="36" t="str">
        <f aca="false">IF(OR(D534="Revenue",D534="Cost of Goods Sold",D534="Expenditures",D534="Other Revenue",D534="Other Expenditures"),E534,IF(AND(LEN(D534)&gt;2,MID(D534,2,1)=" ",ISNUMBER(VALUE(LEFT(D534,1)))),D534,F533))</f>
        <v/>
      </c>
      <c r="G534" s="36" t="n">
        <f aca="false">IF(AND(D534&lt;&gt;"",ISNUMBER(B534),LEFT(D534,9)&lt;&gt;"Total for",D534&lt;&gt;"Gross Profit",D534&lt;&gt;"Net Operating Revenue",D534&lt;&gt;"Net Other Revenue",D534&lt;&gt;"Net Revenue"),1,0)</f>
        <v>0</v>
      </c>
      <c r="H534" s="36" t="str">
        <f aca="false">IF(G534=1,IF(AND(LEN(D534)&gt;7,ISNUMBER(VALUE(LEFT(D534,6))),MID(D534,7,1)=" "),LEFT(D534,6),D534),"")</f>
        <v/>
      </c>
      <c r="M534" s="36" t="str">
        <f aca="false">TRIM(J534)</f>
        <v/>
      </c>
      <c r="N534" s="36" t="str">
        <f aca="false">IF(M534="Revenue","Revenue",IF(M534="Cost of Goods Sold","COGS",IF(M534="Expenditures","Expense",IF(M534="Other Revenue","Other Revenue",IF(M534="Other Expenditures","Other Expense",N533)))))</f>
        <v/>
      </c>
      <c r="O534" s="36" t="str">
        <f aca="false">IF(OR(M534="Revenue",M534="Cost of Goods Sold",M534="Expenditures",M534="Other Revenue",M534="Other Expenditures"),N534,IF(AND(LEN(M534)&gt;2,MID(M534,2,1)=" ",ISNUMBER(VALUE(LEFT(M534,1)))),M534,O533))</f>
        <v/>
      </c>
      <c r="P534" s="36" t="n">
        <f aca="false">IF(AND(M534&lt;&gt;"",ISNUMBER(K534),LEFT(M534,9)&lt;&gt;"Total for",M534&lt;&gt;"Gross Profit",M534&lt;&gt;"Net Operating Revenue",M534&lt;&gt;"Net Other Revenue",M534&lt;&gt;"Net Revenue"),1,0)</f>
        <v>0</v>
      </c>
      <c r="Q534" s="36" t="str">
        <f aca="false">IF(P534=1,IF(AND(LEN(M534)&gt;7,ISNUMBER(VALUE(LEFT(M534,6))),MID(M534,7,1)=" "),LEFT(M534,6),M534),"")</f>
        <v/>
      </c>
      <c r="V534" s="36" t="str">
        <f aca="false">TRIM(S534)</f>
        <v/>
      </c>
      <c r="W534" s="36" t="str">
        <f aca="false">IF(V534="Revenue","Revenue",IF(V534="Cost of Goods Sold","COGS",IF(V534="Expenditures","Expense",IF(V534="Other Revenue","Other Revenue",IF(V534="Other Expenditures","Other Expense",W533)))))</f>
        <v/>
      </c>
      <c r="X534" s="36" t="str">
        <f aca="false">IF(OR(V534="Revenue",V534="Cost of Goods Sold",V534="Expenditures",V534="Other Revenue",V534="Other Expenditures"),W534,IF(AND(LEN(V534)&gt;2,MID(V534,2,1)=" ",ISNUMBER(VALUE(LEFT(V534,1)))),V534,X533))</f>
        <v/>
      </c>
      <c r="Y534" s="36" t="n">
        <f aca="false">IF(AND(V534&lt;&gt;"",ISNUMBER(T534),LEFT(V534,9)&lt;&gt;"Total for",V534&lt;&gt;"Gross Profit",V534&lt;&gt;"Net Operating Revenue",V534&lt;&gt;"Net Other Revenue",V534&lt;&gt;"Net Revenue"),1,0)</f>
        <v>0</v>
      </c>
      <c r="Z534" s="36" t="str">
        <f aca="false">IF(Y534=1,IF(AND(LEN(V534)&gt;7,ISNUMBER(VALUE(LEFT(V534,6))),MID(V534,7,1)=" "),LEFT(V534,6),V534),"")</f>
        <v/>
      </c>
      <c r="AE534" s="36" t="str">
        <f aca="false">TRIM(AB534)</f>
        <v/>
      </c>
      <c r="AF534" s="36" t="str">
        <f aca="false">IF(AE534="Revenue","Revenue",IF(AE534="Cost of Goods Sold","COGS",IF(AE534="Expenditures","Expense",IF(AE534="Other Revenue","Other Revenue",IF(AE534="Other Expenditures","Other Expense",AF533)))))</f>
        <v/>
      </c>
      <c r="AG534" s="36" t="str">
        <f aca="false">IF(OR(AE534="Revenue",AE534="Cost of Goods Sold",AE534="Expenditures",AE534="Other Revenue",AE534="Other Expenditures"),AF534,IF(AND(LEN(AE534)&gt;2,MID(AE534,2,1)=" ",ISNUMBER(VALUE(LEFT(AE534,1)))),AE534,AG533))</f>
        <v/>
      </c>
      <c r="AH534" s="36" t="n">
        <f aca="false">IF(AND(AE534&lt;&gt;"",ISNUMBER(AC534),LEFT(AE534,9)&lt;&gt;"Total for",AE534&lt;&gt;"Gross Profit",AE534&lt;&gt;"Net Operating Revenue",AE534&lt;&gt;"Net Other Revenue",AE534&lt;&gt;"Net Revenue"),1,0)</f>
        <v>0</v>
      </c>
      <c r="AI534" s="36" t="str">
        <f aca="false">IF(AH534=1,IF(AND(LEN(AE534)&gt;7,ISNUMBER(VALUE(LEFT(AE534,6))),MID(AE534,7,1)=" "),LEFT(AE534,6),AE534),"")</f>
        <v/>
      </c>
      <c r="AN534" s="36" t="str">
        <f aca="false">TRIM(AK534)</f>
        <v/>
      </c>
      <c r="AO534" s="36" t="str">
        <f aca="false">IF(AN534="Revenue","Revenue",IF(AN534="Cost of Goods Sold","COGS",IF(AN534="Expenditures","Expense",IF(AN534="Other Revenue","Other Revenue",IF(AN534="Other Expenditures","Other Expense",AO533)))))</f>
        <v/>
      </c>
      <c r="AP534" s="36" t="str">
        <f aca="false">IF(OR(AN534="Revenue",AN534="Cost of Goods Sold",AN534="Expenditures",AN534="Other Revenue",AN534="Other Expenditures"),AO534,IF(AND(LEN(AN534)&gt;2,MID(AN534,2,1)=" ",ISNUMBER(VALUE(LEFT(AN534,1)))),AN534,AP533))</f>
        <v/>
      </c>
      <c r="AQ534" s="36" t="n">
        <f aca="false">IF(AND(AN534&lt;&gt;"",ISNUMBER(AL534),LEFT(AN534,9)&lt;&gt;"Total for",AN534&lt;&gt;"Gross Profit",AN534&lt;&gt;"Net Operating Revenue",AN534&lt;&gt;"Net Other Revenue",AN534&lt;&gt;"Net Revenue"),1,0)</f>
        <v>0</v>
      </c>
      <c r="AR534" s="36" t="str">
        <f aca="false">IF(AQ534=1,IF(AND(LEN(AN534)&gt;7,ISNUMBER(VALUE(LEFT(AN534,6))),MID(AN534,7,1)=" "),LEFT(AN534,6),AN534),"")</f>
        <v/>
      </c>
    </row>
    <row r="535" customFormat="false" ht="15" hidden="false" customHeight="false" outlineLevel="0" collapsed="false">
      <c r="D535" s="36" t="str">
        <f aca="false">TRIM(A535)</f>
        <v/>
      </c>
      <c r="E535" s="36" t="str">
        <f aca="false">IF(D535="Revenue","Revenue",IF(D535="Cost of Goods Sold","COGS",IF(D535="Expenditures","Expense",IF(D535="Other Revenue","Other Revenue",IF(D535="Other Expenditures","Other Expense",E534)))))</f>
        <v/>
      </c>
      <c r="F535" s="36" t="str">
        <f aca="false">IF(OR(D535="Revenue",D535="Cost of Goods Sold",D535="Expenditures",D535="Other Revenue",D535="Other Expenditures"),E535,IF(AND(LEN(D535)&gt;2,MID(D535,2,1)=" ",ISNUMBER(VALUE(LEFT(D535,1)))),D535,F534))</f>
        <v/>
      </c>
      <c r="G535" s="36" t="n">
        <f aca="false">IF(AND(D535&lt;&gt;"",ISNUMBER(B535),LEFT(D535,9)&lt;&gt;"Total for",D535&lt;&gt;"Gross Profit",D535&lt;&gt;"Net Operating Revenue",D535&lt;&gt;"Net Other Revenue",D535&lt;&gt;"Net Revenue"),1,0)</f>
        <v>0</v>
      </c>
      <c r="H535" s="36" t="str">
        <f aca="false">IF(G535=1,IF(AND(LEN(D535)&gt;7,ISNUMBER(VALUE(LEFT(D535,6))),MID(D535,7,1)=" "),LEFT(D535,6),D535),"")</f>
        <v/>
      </c>
      <c r="M535" s="36" t="str">
        <f aca="false">TRIM(J535)</f>
        <v/>
      </c>
      <c r="N535" s="36" t="str">
        <f aca="false">IF(M535="Revenue","Revenue",IF(M535="Cost of Goods Sold","COGS",IF(M535="Expenditures","Expense",IF(M535="Other Revenue","Other Revenue",IF(M535="Other Expenditures","Other Expense",N534)))))</f>
        <v/>
      </c>
      <c r="O535" s="36" t="str">
        <f aca="false">IF(OR(M535="Revenue",M535="Cost of Goods Sold",M535="Expenditures",M535="Other Revenue",M535="Other Expenditures"),N535,IF(AND(LEN(M535)&gt;2,MID(M535,2,1)=" ",ISNUMBER(VALUE(LEFT(M535,1)))),M535,O534))</f>
        <v/>
      </c>
      <c r="P535" s="36" t="n">
        <f aca="false">IF(AND(M535&lt;&gt;"",ISNUMBER(K535),LEFT(M535,9)&lt;&gt;"Total for",M535&lt;&gt;"Gross Profit",M535&lt;&gt;"Net Operating Revenue",M535&lt;&gt;"Net Other Revenue",M535&lt;&gt;"Net Revenue"),1,0)</f>
        <v>0</v>
      </c>
      <c r="Q535" s="36" t="str">
        <f aca="false">IF(P535=1,IF(AND(LEN(M535)&gt;7,ISNUMBER(VALUE(LEFT(M535,6))),MID(M535,7,1)=" "),LEFT(M535,6),M535),"")</f>
        <v/>
      </c>
      <c r="V535" s="36" t="str">
        <f aca="false">TRIM(S535)</f>
        <v/>
      </c>
      <c r="W535" s="36" t="str">
        <f aca="false">IF(V535="Revenue","Revenue",IF(V535="Cost of Goods Sold","COGS",IF(V535="Expenditures","Expense",IF(V535="Other Revenue","Other Revenue",IF(V535="Other Expenditures","Other Expense",W534)))))</f>
        <v/>
      </c>
      <c r="X535" s="36" t="str">
        <f aca="false">IF(OR(V535="Revenue",V535="Cost of Goods Sold",V535="Expenditures",V535="Other Revenue",V535="Other Expenditures"),W535,IF(AND(LEN(V535)&gt;2,MID(V535,2,1)=" ",ISNUMBER(VALUE(LEFT(V535,1)))),V535,X534))</f>
        <v/>
      </c>
      <c r="Y535" s="36" t="n">
        <f aca="false">IF(AND(V535&lt;&gt;"",ISNUMBER(T535),LEFT(V535,9)&lt;&gt;"Total for",V535&lt;&gt;"Gross Profit",V535&lt;&gt;"Net Operating Revenue",V535&lt;&gt;"Net Other Revenue",V535&lt;&gt;"Net Revenue"),1,0)</f>
        <v>0</v>
      </c>
      <c r="Z535" s="36" t="str">
        <f aca="false">IF(Y535=1,IF(AND(LEN(V535)&gt;7,ISNUMBER(VALUE(LEFT(V535,6))),MID(V535,7,1)=" "),LEFT(V535,6),V535),"")</f>
        <v/>
      </c>
      <c r="AE535" s="36" t="str">
        <f aca="false">TRIM(AB535)</f>
        <v/>
      </c>
      <c r="AF535" s="36" t="str">
        <f aca="false">IF(AE535="Revenue","Revenue",IF(AE535="Cost of Goods Sold","COGS",IF(AE535="Expenditures","Expense",IF(AE535="Other Revenue","Other Revenue",IF(AE535="Other Expenditures","Other Expense",AF534)))))</f>
        <v/>
      </c>
      <c r="AG535" s="36" t="str">
        <f aca="false">IF(OR(AE535="Revenue",AE535="Cost of Goods Sold",AE535="Expenditures",AE535="Other Revenue",AE535="Other Expenditures"),AF535,IF(AND(LEN(AE535)&gt;2,MID(AE535,2,1)=" ",ISNUMBER(VALUE(LEFT(AE535,1)))),AE535,AG534))</f>
        <v/>
      </c>
      <c r="AH535" s="36" t="n">
        <f aca="false">IF(AND(AE535&lt;&gt;"",ISNUMBER(AC535),LEFT(AE535,9)&lt;&gt;"Total for",AE535&lt;&gt;"Gross Profit",AE535&lt;&gt;"Net Operating Revenue",AE535&lt;&gt;"Net Other Revenue",AE535&lt;&gt;"Net Revenue"),1,0)</f>
        <v>0</v>
      </c>
      <c r="AI535" s="36" t="str">
        <f aca="false">IF(AH535=1,IF(AND(LEN(AE535)&gt;7,ISNUMBER(VALUE(LEFT(AE535,6))),MID(AE535,7,1)=" "),LEFT(AE535,6),AE535),"")</f>
        <v/>
      </c>
      <c r="AN535" s="36" t="str">
        <f aca="false">TRIM(AK535)</f>
        <v/>
      </c>
      <c r="AO535" s="36" t="str">
        <f aca="false">IF(AN535="Revenue","Revenue",IF(AN535="Cost of Goods Sold","COGS",IF(AN535="Expenditures","Expense",IF(AN535="Other Revenue","Other Revenue",IF(AN535="Other Expenditures","Other Expense",AO534)))))</f>
        <v/>
      </c>
      <c r="AP535" s="36" t="str">
        <f aca="false">IF(OR(AN535="Revenue",AN535="Cost of Goods Sold",AN535="Expenditures",AN535="Other Revenue",AN535="Other Expenditures"),AO535,IF(AND(LEN(AN535)&gt;2,MID(AN535,2,1)=" ",ISNUMBER(VALUE(LEFT(AN535,1)))),AN535,AP534))</f>
        <v/>
      </c>
      <c r="AQ535" s="36" t="n">
        <f aca="false">IF(AND(AN535&lt;&gt;"",ISNUMBER(AL535),LEFT(AN535,9)&lt;&gt;"Total for",AN535&lt;&gt;"Gross Profit",AN535&lt;&gt;"Net Operating Revenue",AN535&lt;&gt;"Net Other Revenue",AN535&lt;&gt;"Net Revenue"),1,0)</f>
        <v>0</v>
      </c>
      <c r="AR535" s="36" t="str">
        <f aca="false">IF(AQ535=1,IF(AND(LEN(AN535)&gt;7,ISNUMBER(VALUE(LEFT(AN535,6))),MID(AN535,7,1)=" "),LEFT(AN535,6),AN535),"")</f>
        <v/>
      </c>
    </row>
    <row r="536" customFormat="false" ht="15" hidden="false" customHeight="false" outlineLevel="0" collapsed="false">
      <c r="D536" s="36" t="str">
        <f aca="false">TRIM(A536)</f>
        <v/>
      </c>
      <c r="E536" s="36" t="str">
        <f aca="false">IF(D536="Revenue","Revenue",IF(D536="Cost of Goods Sold","COGS",IF(D536="Expenditures","Expense",IF(D536="Other Revenue","Other Revenue",IF(D536="Other Expenditures","Other Expense",E535)))))</f>
        <v/>
      </c>
      <c r="F536" s="36" t="str">
        <f aca="false">IF(OR(D536="Revenue",D536="Cost of Goods Sold",D536="Expenditures",D536="Other Revenue",D536="Other Expenditures"),E536,IF(AND(LEN(D536)&gt;2,MID(D536,2,1)=" ",ISNUMBER(VALUE(LEFT(D536,1)))),D536,F535))</f>
        <v/>
      </c>
      <c r="G536" s="36" t="n">
        <f aca="false">IF(AND(D536&lt;&gt;"",ISNUMBER(B536),LEFT(D536,9)&lt;&gt;"Total for",D536&lt;&gt;"Gross Profit",D536&lt;&gt;"Net Operating Revenue",D536&lt;&gt;"Net Other Revenue",D536&lt;&gt;"Net Revenue"),1,0)</f>
        <v>0</v>
      </c>
      <c r="H536" s="36" t="str">
        <f aca="false">IF(G536=1,IF(AND(LEN(D536)&gt;7,ISNUMBER(VALUE(LEFT(D536,6))),MID(D536,7,1)=" "),LEFT(D536,6),D536),"")</f>
        <v/>
      </c>
      <c r="M536" s="36" t="str">
        <f aca="false">TRIM(J536)</f>
        <v/>
      </c>
      <c r="N536" s="36" t="str">
        <f aca="false">IF(M536="Revenue","Revenue",IF(M536="Cost of Goods Sold","COGS",IF(M536="Expenditures","Expense",IF(M536="Other Revenue","Other Revenue",IF(M536="Other Expenditures","Other Expense",N535)))))</f>
        <v/>
      </c>
      <c r="O536" s="36" t="str">
        <f aca="false">IF(OR(M536="Revenue",M536="Cost of Goods Sold",M536="Expenditures",M536="Other Revenue",M536="Other Expenditures"),N536,IF(AND(LEN(M536)&gt;2,MID(M536,2,1)=" ",ISNUMBER(VALUE(LEFT(M536,1)))),M536,O535))</f>
        <v/>
      </c>
      <c r="P536" s="36" t="n">
        <f aca="false">IF(AND(M536&lt;&gt;"",ISNUMBER(K536),LEFT(M536,9)&lt;&gt;"Total for",M536&lt;&gt;"Gross Profit",M536&lt;&gt;"Net Operating Revenue",M536&lt;&gt;"Net Other Revenue",M536&lt;&gt;"Net Revenue"),1,0)</f>
        <v>0</v>
      </c>
      <c r="Q536" s="36" t="str">
        <f aca="false">IF(P536=1,IF(AND(LEN(M536)&gt;7,ISNUMBER(VALUE(LEFT(M536,6))),MID(M536,7,1)=" "),LEFT(M536,6),M536),"")</f>
        <v/>
      </c>
      <c r="V536" s="36" t="str">
        <f aca="false">TRIM(S536)</f>
        <v/>
      </c>
      <c r="W536" s="36" t="str">
        <f aca="false">IF(V536="Revenue","Revenue",IF(V536="Cost of Goods Sold","COGS",IF(V536="Expenditures","Expense",IF(V536="Other Revenue","Other Revenue",IF(V536="Other Expenditures","Other Expense",W535)))))</f>
        <v/>
      </c>
      <c r="X536" s="36" t="str">
        <f aca="false">IF(OR(V536="Revenue",V536="Cost of Goods Sold",V536="Expenditures",V536="Other Revenue",V536="Other Expenditures"),W536,IF(AND(LEN(V536)&gt;2,MID(V536,2,1)=" ",ISNUMBER(VALUE(LEFT(V536,1)))),V536,X535))</f>
        <v/>
      </c>
      <c r="Y536" s="36" t="n">
        <f aca="false">IF(AND(V536&lt;&gt;"",ISNUMBER(T536),LEFT(V536,9)&lt;&gt;"Total for",V536&lt;&gt;"Gross Profit",V536&lt;&gt;"Net Operating Revenue",V536&lt;&gt;"Net Other Revenue",V536&lt;&gt;"Net Revenue"),1,0)</f>
        <v>0</v>
      </c>
      <c r="Z536" s="36" t="str">
        <f aca="false">IF(Y536=1,IF(AND(LEN(V536)&gt;7,ISNUMBER(VALUE(LEFT(V536,6))),MID(V536,7,1)=" "),LEFT(V536,6),V536),"")</f>
        <v/>
      </c>
      <c r="AE536" s="36" t="str">
        <f aca="false">TRIM(AB536)</f>
        <v/>
      </c>
      <c r="AF536" s="36" t="str">
        <f aca="false">IF(AE536="Revenue","Revenue",IF(AE536="Cost of Goods Sold","COGS",IF(AE536="Expenditures","Expense",IF(AE536="Other Revenue","Other Revenue",IF(AE536="Other Expenditures","Other Expense",AF535)))))</f>
        <v/>
      </c>
      <c r="AG536" s="36" t="str">
        <f aca="false">IF(OR(AE536="Revenue",AE536="Cost of Goods Sold",AE536="Expenditures",AE536="Other Revenue",AE536="Other Expenditures"),AF536,IF(AND(LEN(AE536)&gt;2,MID(AE536,2,1)=" ",ISNUMBER(VALUE(LEFT(AE536,1)))),AE536,AG535))</f>
        <v/>
      </c>
      <c r="AH536" s="36" t="n">
        <f aca="false">IF(AND(AE536&lt;&gt;"",ISNUMBER(AC536),LEFT(AE536,9)&lt;&gt;"Total for",AE536&lt;&gt;"Gross Profit",AE536&lt;&gt;"Net Operating Revenue",AE536&lt;&gt;"Net Other Revenue",AE536&lt;&gt;"Net Revenue"),1,0)</f>
        <v>0</v>
      </c>
      <c r="AI536" s="36" t="str">
        <f aca="false">IF(AH536=1,IF(AND(LEN(AE536)&gt;7,ISNUMBER(VALUE(LEFT(AE536,6))),MID(AE536,7,1)=" "),LEFT(AE536,6),AE536),"")</f>
        <v/>
      </c>
      <c r="AN536" s="36" t="str">
        <f aca="false">TRIM(AK536)</f>
        <v/>
      </c>
      <c r="AO536" s="36" t="str">
        <f aca="false">IF(AN536="Revenue","Revenue",IF(AN536="Cost of Goods Sold","COGS",IF(AN536="Expenditures","Expense",IF(AN536="Other Revenue","Other Revenue",IF(AN536="Other Expenditures","Other Expense",AO535)))))</f>
        <v/>
      </c>
      <c r="AP536" s="36" t="str">
        <f aca="false">IF(OR(AN536="Revenue",AN536="Cost of Goods Sold",AN536="Expenditures",AN536="Other Revenue",AN536="Other Expenditures"),AO536,IF(AND(LEN(AN536)&gt;2,MID(AN536,2,1)=" ",ISNUMBER(VALUE(LEFT(AN536,1)))),AN536,AP535))</f>
        <v/>
      </c>
      <c r="AQ536" s="36" t="n">
        <f aca="false">IF(AND(AN536&lt;&gt;"",ISNUMBER(AL536),LEFT(AN536,9)&lt;&gt;"Total for",AN536&lt;&gt;"Gross Profit",AN536&lt;&gt;"Net Operating Revenue",AN536&lt;&gt;"Net Other Revenue",AN536&lt;&gt;"Net Revenue"),1,0)</f>
        <v>0</v>
      </c>
      <c r="AR536" s="36" t="str">
        <f aca="false">IF(AQ536=1,IF(AND(LEN(AN536)&gt;7,ISNUMBER(VALUE(LEFT(AN536,6))),MID(AN536,7,1)=" "),LEFT(AN536,6),AN536),"")</f>
        <v/>
      </c>
    </row>
    <row r="537" customFormat="false" ht="15" hidden="false" customHeight="false" outlineLevel="0" collapsed="false">
      <c r="D537" s="36" t="str">
        <f aca="false">TRIM(A537)</f>
        <v/>
      </c>
      <c r="E537" s="36" t="str">
        <f aca="false">IF(D537="Revenue","Revenue",IF(D537="Cost of Goods Sold","COGS",IF(D537="Expenditures","Expense",IF(D537="Other Revenue","Other Revenue",IF(D537="Other Expenditures","Other Expense",E536)))))</f>
        <v/>
      </c>
      <c r="F537" s="36" t="str">
        <f aca="false">IF(OR(D537="Revenue",D537="Cost of Goods Sold",D537="Expenditures",D537="Other Revenue",D537="Other Expenditures"),E537,IF(AND(LEN(D537)&gt;2,MID(D537,2,1)=" ",ISNUMBER(VALUE(LEFT(D537,1)))),D537,F536))</f>
        <v/>
      </c>
      <c r="G537" s="36" t="n">
        <f aca="false">IF(AND(D537&lt;&gt;"",ISNUMBER(B537),LEFT(D537,9)&lt;&gt;"Total for",D537&lt;&gt;"Gross Profit",D537&lt;&gt;"Net Operating Revenue",D537&lt;&gt;"Net Other Revenue",D537&lt;&gt;"Net Revenue"),1,0)</f>
        <v>0</v>
      </c>
      <c r="H537" s="36" t="str">
        <f aca="false">IF(G537=1,IF(AND(LEN(D537)&gt;7,ISNUMBER(VALUE(LEFT(D537,6))),MID(D537,7,1)=" "),LEFT(D537,6),D537),"")</f>
        <v/>
      </c>
      <c r="M537" s="36" t="str">
        <f aca="false">TRIM(J537)</f>
        <v/>
      </c>
      <c r="N537" s="36" t="str">
        <f aca="false">IF(M537="Revenue","Revenue",IF(M537="Cost of Goods Sold","COGS",IF(M537="Expenditures","Expense",IF(M537="Other Revenue","Other Revenue",IF(M537="Other Expenditures","Other Expense",N536)))))</f>
        <v/>
      </c>
      <c r="O537" s="36" t="str">
        <f aca="false">IF(OR(M537="Revenue",M537="Cost of Goods Sold",M537="Expenditures",M537="Other Revenue",M537="Other Expenditures"),N537,IF(AND(LEN(M537)&gt;2,MID(M537,2,1)=" ",ISNUMBER(VALUE(LEFT(M537,1)))),M537,O536))</f>
        <v/>
      </c>
      <c r="P537" s="36" t="n">
        <f aca="false">IF(AND(M537&lt;&gt;"",ISNUMBER(K537),LEFT(M537,9)&lt;&gt;"Total for",M537&lt;&gt;"Gross Profit",M537&lt;&gt;"Net Operating Revenue",M537&lt;&gt;"Net Other Revenue",M537&lt;&gt;"Net Revenue"),1,0)</f>
        <v>0</v>
      </c>
      <c r="Q537" s="36" t="str">
        <f aca="false">IF(P537=1,IF(AND(LEN(M537)&gt;7,ISNUMBER(VALUE(LEFT(M537,6))),MID(M537,7,1)=" "),LEFT(M537,6),M537),"")</f>
        <v/>
      </c>
      <c r="V537" s="36" t="str">
        <f aca="false">TRIM(S537)</f>
        <v/>
      </c>
      <c r="W537" s="36" t="str">
        <f aca="false">IF(V537="Revenue","Revenue",IF(V537="Cost of Goods Sold","COGS",IF(V537="Expenditures","Expense",IF(V537="Other Revenue","Other Revenue",IF(V537="Other Expenditures","Other Expense",W536)))))</f>
        <v/>
      </c>
      <c r="X537" s="36" t="str">
        <f aca="false">IF(OR(V537="Revenue",V537="Cost of Goods Sold",V537="Expenditures",V537="Other Revenue",V537="Other Expenditures"),W537,IF(AND(LEN(V537)&gt;2,MID(V537,2,1)=" ",ISNUMBER(VALUE(LEFT(V537,1)))),V537,X536))</f>
        <v/>
      </c>
      <c r="Y537" s="36" t="n">
        <f aca="false">IF(AND(V537&lt;&gt;"",ISNUMBER(T537),LEFT(V537,9)&lt;&gt;"Total for",V537&lt;&gt;"Gross Profit",V537&lt;&gt;"Net Operating Revenue",V537&lt;&gt;"Net Other Revenue",V537&lt;&gt;"Net Revenue"),1,0)</f>
        <v>0</v>
      </c>
      <c r="Z537" s="36" t="str">
        <f aca="false">IF(Y537=1,IF(AND(LEN(V537)&gt;7,ISNUMBER(VALUE(LEFT(V537,6))),MID(V537,7,1)=" "),LEFT(V537,6),V537),"")</f>
        <v/>
      </c>
      <c r="AE537" s="36" t="str">
        <f aca="false">TRIM(AB537)</f>
        <v/>
      </c>
      <c r="AF537" s="36" t="str">
        <f aca="false">IF(AE537="Revenue","Revenue",IF(AE537="Cost of Goods Sold","COGS",IF(AE537="Expenditures","Expense",IF(AE537="Other Revenue","Other Revenue",IF(AE537="Other Expenditures","Other Expense",AF536)))))</f>
        <v/>
      </c>
      <c r="AG537" s="36" t="str">
        <f aca="false">IF(OR(AE537="Revenue",AE537="Cost of Goods Sold",AE537="Expenditures",AE537="Other Revenue",AE537="Other Expenditures"),AF537,IF(AND(LEN(AE537)&gt;2,MID(AE537,2,1)=" ",ISNUMBER(VALUE(LEFT(AE537,1)))),AE537,AG536))</f>
        <v/>
      </c>
      <c r="AH537" s="36" t="n">
        <f aca="false">IF(AND(AE537&lt;&gt;"",ISNUMBER(AC537),LEFT(AE537,9)&lt;&gt;"Total for",AE537&lt;&gt;"Gross Profit",AE537&lt;&gt;"Net Operating Revenue",AE537&lt;&gt;"Net Other Revenue",AE537&lt;&gt;"Net Revenue"),1,0)</f>
        <v>0</v>
      </c>
      <c r="AI537" s="36" t="str">
        <f aca="false">IF(AH537=1,IF(AND(LEN(AE537)&gt;7,ISNUMBER(VALUE(LEFT(AE537,6))),MID(AE537,7,1)=" "),LEFT(AE537,6),AE537),"")</f>
        <v/>
      </c>
      <c r="AN537" s="36" t="str">
        <f aca="false">TRIM(AK537)</f>
        <v/>
      </c>
      <c r="AO537" s="36" t="str">
        <f aca="false">IF(AN537="Revenue","Revenue",IF(AN537="Cost of Goods Sold","COGS",IF(AN537="Expenditures","Expense",IF(AN537="Other Revenue","Other Revenue",IF(AN537="Other Expenditures","Other Expense",AO536)))))</f>
        <v/>
      </c>
      <c r="AP537" s="36" t="str">
        <f aca="false">IF(OR(AN537="Revenue",AN537="Cost of Goods Sold",AN537="Expenditures",AN537="Other Revenue",AN537="Other Expenditures"),AO537,IF(AND(LEN(AN537)&gt;2,MID(AN537,2,1)=" ",ISNUMBER(VALUE(LEFT(AN537,1)))),AN537,AP536))</f>
        <v/>
      </c>
      <c r="AQ537" s="36" t="n">
        <f aca="false">IF(AND(AN537&lt;&gt;"",ISNUMBER(AL537),LEFT(AN537,9)&lt;&gt;"Total for",AN537&lt;&gt;"Gross Profit",AN537&lt;&gt;"Net Operating Revenue",AN537&lt;&gt;"Net Other Revenue",AN537&lt;&gt;"Net Revenue"),1,0)</f>
        <v>0</v>
      </c>
      <c r="AR537" s="36" t="str">
        <f aca="false">IF(AQ537=1,IF(AND(LEN(AN537)&gt;7,ISNUMBER(VALUE(LEFT(AN537,6))),MID(AN537,7,1)=" "),LEFT(AN537,6),AN537),"")</f>
        <v/>
      </c>
    </row>
    <row r="538" customFormat="false" ht="15" hidden="false" customHeight="false" outlineLevel="0" collapsed="false">
      <c r="D538" s="36" t="str">
        <f aca="false">TRIM(A538)</f>
        <v/>
      </c>
      <c r="E538" s="36" t="str">
        <f aca="false">IF(D538="Revenue","Revenue",IF(D538="Cost of Goods Sold","COGS",IF(D538="Expenditures","Expense",IF(D538="Other Revenue","Other Revenue",IF(D538="Other Expenditures","Other Expense",E537)))))</f>
        <v/>
      </c>
      <c r="F538" s="36" t="str">
        <f aca="false">IF(OR(D538="Revenue",D538="Cost of Goods Sold",D538="Expenditures",D538="Other Revenue",D538="Other Expenditures"),E538,IF(AND(LEN(D538)&gt;2,MID(D538,2,1)=" ",ISNUMBER(VALUE(LEFT(D538,1)))),D538,F537))</f>
        <v/>
      </c>
      <c r="G538" s="36" t="n">
        <f aca="false">IF(AND(D538&lt;&gt;"",ISNUMBER(B538),LEFT(D538,9)&lt;&gt;"Total for",D538&lt;&gt;"Gross Profit",D538&lt;&gt;"Net Operating Revenue",D538&lt;&gt;"Net Other Revenue",D538&lt;&gt;"Net Revenue"),1,0)</f>
        <v>0</v>
      </c>
      <c r="H538" s="36" t="str">
        <f aca="false">IF(G538=1,IF(AND(LEN(D538)&gt;7,ISNUMBER(VALUE(LEFT(D538,6))),MID(D538,7,1)=" "),LEFT(D538,6),D538),"")</f>
        <v/>
      </c>
      <c r="M538" s="36" t="str">
        <f aca="false">TRIM(J538)</f>
        <v/>
      </c>
      <c r="N538" s="36" t="str">
        <f aca="false">IF(M538="Revenue","Revenue",IF(M538="Cost of Goods Sold","COGS",IF(M538="Expenditures","Expense",IF(M538="Other Revenue","Other Revenue",IF(M538="Other Expenditures","Other Expense",N537)))))</f>
        <v/>
      </c>
      <c r="O538" s="36" t="str">
        <f aca="false">IF(OR(M538="Revenue",M538="Cost of Goods Sold",M538="Expenditures",M538="Other Revenue",M538="Other Expenditures"),N538,IF(AND(LEN(M538)&gt;2,MID(M538,2,1)=" ",ISNUMBER(VALUE(LEFT(M538,1)))),M538,O537))</f>
        <v/>
      </c>
      <c r="P538" s="36" t="n">
        <f aca="false">IF(AND(M538&lt;&gt;"",ISNUMBER(K538),LEFT(M538,9)&lt;&gt;"Total for",M538&lt;&gt;"Gross Profit",M538&lt;&gt;"Net Operating Revenue",M538&lt;&gt;"Net Other Revenue",M538&lt;&gt;"Net Revenue"),1,0)</f>
        <v>0</v>
      </c>
      <c r="Q538" s="36" t="str">
        <f aca="false">IF(P538=1,IF(AND(LEN(M538)&gt;7,ISNUMBER(VALUE(LEFT(M538,6))),MID(M538,7,1)=" "),LEFT(M538,6),M538),"")</f>
        <v/>
      </c>
      <c r="V538" s="36" t="str">
        <f aca="false">TRIM(S538)</f>
        <v/>
      </c>
      <c r="W538" s="36" t="str">
        <f aca="false">IF(V538="Revenue","Revenue",IF(V538="Cost of Goods Sold","COGS",IF(V538="Expenditures","Expense",IF(V538="Other Revenue","Other Revenue",IF(V538="Other Expenditures","Other Expense",W537)))))</f>
        <v/>
      </c>
      <c r="X538" s="36" t="str">
        <f aca="false">IF(OR(V538="Revenue",V538="Cost of Goods Sold",V538="Expenditures",V538="Other Revenue",V538="Other Expenditures"),W538,IF(AND(LEN(V538)&gt;2,MID(V538,2,1)=" ",ISNUMBER(VALUE(LEFT(V538,1)))),V538,X537))</f>
        <v/>
      </c>
      <c r="Y538" s="36" t="n">
        <f aca="false">IF(AND(V538&lt;&gt;"",ISNUMBER(T538),LEFT(V538,9)&lt;&gt;"Total for",V538&lt;&gt;"Gross Profit",V538&lt;&gt;"Net Operating Revenue",V538&lt;&gt;"Net Other Revenue",V538&lt;&gt;"Net Revenue"),1,0)</f>
        <v>0</v>
      </c>
      <c r="Z538" s="36" t="str">
        <f aca="false">IF(Y538=1,IF(AND(LEN(V538)&gt;7,ISNUMBER(VALUE(LEFT(V538,6))),MID(V538,7,1)=" "),LEFT(V538,6),V538),"")</f>
        <v/>
      </c>
      <c r="AE538" s="36" t="str">
        <f aca="false">TRIM(AB538)</f>
        <v/>
      </c>
      <c r="AF538" s="36" t="str">
        <f aca="false">IF(AE538="Revenue","Revenue",IF(AE538="Cost of Goods Sold","COGS",IF(AE538="Expenditures","Expense",IF(AE538="Other Revenue","Other Revenue",IF(AE538="Other Expenditures","Other Expense",AF537)))))</f>
        <v/>
      </c>
      <c r="AG538" s="36" t="str">
        <f aca="false">IF(OR(AE538="Revenue",AE538="Cost of Goods Sold",AE538="Expenditures",AE538="Other Revenue",AE538="Other Expenditures"),AF538,IF(AND(LEN(AE538)&gt;2,MID(AE538,2,1)=" ",ISNUMBER(VALUE(LEFT(AE538,1)))),AE538,AG537))</f>
        <v/>
      </c>
      <c r="AH538" s="36" t="n">
        <f aca="false">IF(AND(AE538&lt;&gt;"",ISNUMBER(AC538),LEFT(AE538,9)&lt;&gt;"Total for",AE538&lt;&gt;"Gross Profit",AE538&lt;&gt;"Net Operating Revenue",AE538&lt;&gt;"Net Other Revenue",AE538&lt;&gt;"Net Revenue"),1,0)</f>
        <v>0</v>
      </c>
      <c r="AI538" s="36" t="str">
        <f aca="false">IF(AH538=1,IF(AND(LEN(AE538)&gt;7,ISNUMBER(VALUE(LEFT(AE538,6))),MID(AE538,7,1)=" "),LEFT(AE538,6),AE538),"")</f>
        <v/>
      </c>
      <c r="AN538" s="36" t="str">
        <f aca="false">TRIM(AK538)</f>
        <v/>
      </c>
      <c r="AO538" s="36" t="str">
        <f aca="false">IF(AN538="Revenue","Revenue",IF(AN538="Cost of Goods Sold","COGS",IF(AN538="Expenditures","Expense",IF(AN538="Other Revenue","Other Revenue",IF(AN538="Other Expenditures","Other Expense",AO537)))))</f>
        <v/>
      </c>
      <c r="AP538" s="36" t="str">
        <f aca="false">IF(OR(AN538="Revenue",AN538="Cost of Goods Sold",AN538="Expenditures",AN538="Other Revenue",AN538="Other Expenditures"),AO538,IF(AND(LEN(AN538)&gt;2,MID(AN538,2,1)=" ",ISNUMBER(VALUE(LEFT(AN538,1)))),AN538,AP537))</f>
        <v/>
      </c>
      <c r="AQ538" s="36" t="n">
        <f aca="false">IF(AND(AN538&lt;&gt;"",ISNUMBER(AL538),LEFT(AN538,9)&lt;&gt;"Total for",AN538&lt;&gt;"Gross Profit",AN538&lt;&gt;"Net Operating Revenue",AN538&lt;&gt;"Net Other Revenue",AN538&lt;&gt;"Net Revenue"),1,0)</f>
        <v>0</v>
      </c>
      <c r="AR538" s="36" t="str">
        <f aca="false">IF(AQ538=1,IF(AND(LEN(AN538)&gt;7,ISNUMBER(VALUE(LEFT(AN538,6))),MID(AN538,7,1)=" "),LEFT(AN538,6),AN538),"")</f>
        <v/>
      </c>
    </row>
    <row r="539" customFormat="false" ht="15" hidden="false" customHeight="false" outlineLevel="0" collapsed="false">
      <c r="D539" s="36" t="str">
        <f aca="false">TRIM(A539)</f>
        <v/>
      </c>
      <c r="E539" s="36" t="str">
        <f aca="false">IF(D539="Revenue","Revenue",IF(D539="Cost of Goods Sold","COGS",IF(D539="Expenditures","Expense",IF(D539="Other Revenue","Other Revenue",IF(D539="Other Expenditures","Other Expense",E538)))))</f>
        <v/>
      </c>
      <c r="F539" s="36" t="str">
        <f aca="false">IF(OR(D539="Revenue",D539="Cost of Goods Sold",D539="Expenditures",D539="Other Revenue",D539="Other Expenditures"),E539,IF(AND(LEN(D539)&gt;2,MID(D539,2,1)=" ",ISNUMBER(VALUE(LEFT(D539,1)))),D539,F538))</f>
        <v/>
      </c>
      <c r="G539" s="36" t="n">
        <f aca="false">IF(AND(D539&lt;&gt;"",ISNUMBER(B539),LEFT(D539,9)&lt;&gt;"Total for",D539&lt;&gt;"Gross Profit",D539&lt;&gt;"Net Operating Revenue",D539&lt;&gt;"Net Other Revenue",D539&lt;&gt;"Net Revenue"),1,0)</f>
        <v>0</v>
      </c>
      <c r="H539" s="36" t="str">
        <f aca="false">IF(G539=1,IF(AND(LEN(D539)&gt;7,ISNUMBER(VALUE(LEFT(D539,6))),MID(D539,7,1)=" "),LEFT(D539,6),D539),"")</f>
        <v/>
      </c>
      <c r="M539" s="36" t="str">
        <f aca="false">TRIM(J539)</f>
        <v/>
      </c>
      <c r="N539" s="36" t="str">
        <f aca="false">IF(M539="Revenue","Revenue",IF(M539="Cost of Goods Sold","COGS",IF(M539="Expenditures","Expense",IF(M539="Other Revenue","Other Revenue",IF(M539="Other Expenditures","Other Expense",N538)))))</f>
        <v/>
      </c>
      <c r="O539" s="36" t="str">
        <f aca="false">IF(OR(M539="Revenue",M539="Cost of Goods Sold",M539="Expenditures",M539="Other Revenue",M539="Other Expenditures"),N539,IF(AND(LEN(M539)&gt;2,MID(M539,2,1)=" ",ISNUMBER(VALUE(LEFT(M539,1)))),M539,O538))</f>
        <v/>
      </c>
      <c r="P539" s="36" t="n">
        <f aca="false">IF(AND(M539&lt;&gt;"",ISNUMBER(K539),LEFT(M539,9)&lt;&gt;"Total for",M539&lt;&gt;"Gross Profit",M539&lt;&gt;"Net Operating Revenue",M539&lt;&gt;"Net Other Revenue",M539&lt;&gt;"Net Revenue"),1,0)</f>
        <v>0</v>
      </c>
      <c r="Q539" s="36" t="str">
        <f aca="false">IF(P539=1,IF(AND(LEN(M539)&gt;7,ISNUMBER(VALUE(LEFT(M539,6))),MID(M539,7,1)=" "),LEFT(M539,6),M539),"")</f>
        <v/>
      </c>
      <c r="V539" s="36" t="str">
        <f aca="false">TRIM(S539)</f>
        <v/>
      </c>
      <c r="W539" s="36" t="str">
        <f aca="false">IF(V539="Revenue","Revenue",IF(V539="Cost of Goods Sold","COGS",IF(V539="Expenditures","Expense",IF(V539="Other Revenue","Other Revenue",IF(V539="Other Expenditures","Other Expense",W538)))))</f>
        <v/>
      </c>
      <c r="X539" s="36" t="str">
        <f aca="false">IF(OR(V539="Revenue",V539="Cost of Goods Sold",V539="Expenditures",V539="Other Revenue",V539="Other Expenditures"),W539,IF(AND(LEN(V539)&gt;2,MID(V539,2,1)=" ",ISNUMBER(VALUE(LEFT(V539,1)))),V539,X538))</f>
        <v/>
      </c>
      <c r="Y539" s="36" t="n">
        <f aca="false">IF(AND(V539&lt;&gt;"",ISNUMBER(T539),LEFT(V539,9)&lt;&gt;"Total for",V539&lt;&gt;"Gross Profit",V539&lt;&gt;"Net Operating Revenue",V539&lt;&gt;"Net Other Revenue",V539&lt;&gt;"Net Revenue"),1,0)</f>
        <v>0</v>
      </c>
      <c r="Z539" s="36" t="str">
        <f aca="false">IF(Y539=1,IF(AND(LEN(V539)&gt;7,ISNUMBER(VALUE(LEFT(V539,6))),MID(V539,7,1)=" "),LEFT(V539,6),V539),"")</f>
        <v/>
      </c>
      <c r="AE539" s="36" t="str">
        <f aca="false">TRIM(AB539)</f>
        <v/>
      </c>
      <c r="AF539" s="36" t="str">
        <f aca="false">IF(AE539="Revenue","Revenue",IF(AE539="Cost of Goods Sold","COGS",IF(AE539="Expenditures","Expense",IF(AE539="Other Revenue","Other Revenue",IF(AE539="Other Expenditures","Other Expense",AF538)))))</f>
        <v/>
      </c>
      <c r="AG539" s="36" t="str">
        <f aca="false">IF(OR(AE539="Revenue",AE539="Cost of Goods Sold",AE539="Expenditures",AE539="Other Revenue",AE539="Other Expenditures"),AF539,IF(AND(LEN(AE539)&gt;2,MID(AE539,2,1)=" ",ISNUMBER(VALUE(LEFT(AE539,1)))),AE539,AG538))</f>
        <v/>
      </c>
      <c r="AH539" s="36" t="n">
        <f aca="false">IF(AND(AE539&lt;&gt;"",ISNUMBER(AC539),LEFT(AE539,9)&lt;&gt;"Total for",AE539&lt;&gt;"Gross Profit",AE539&lt;&gt;"Net Operating Revenue",AE539&lt;&gt;"Net Other Revenue",AE539&lt;&gt;"Net Revenue"),1,0)</f>
        <v>0</v>
      </c>
      <c r="AI539" s="36" t="str">
        <f aca="false">IF(AH539=1,IF(AND(LEN(AE539)&gt;7,ISNUMBER(VALUE(LEFT(AE539,6))),MID(AE539,7,1)=" "),LEFT(AE539,6),AE539),"")</f>
        <v/>
      </c>
      <c r="AN539" s="36" t="str">
        <f aca="false">TRIM(AK539)</f>
        <v/>
      </c>
      <c r="AO539" s="36" t="str">
        <f aca="false">IF(AN539="Revenue","Revenue",IF(AN539="Cost of Goods Sold","COGS",IF(AN539="Expenditures","Expense",IF(AN539="Other Revenue","Other Revenue",IF(AN539="Other Expenditures","Other Expense",AO538)))))</f>
        <v/>
      </c>
      <c r="AP539" s="36" t="str">
        <f aca="false">IF(OR(AN539="Revenue",AN539="Cost of Goods Sold",AN539="Expenditures",AN539="Other Revenue",AN539="Other Expenditures"),AO539,IF(AND(LEN(AN539)&gt;2,MID(AN539,2,1)=" ",ISNUMBER(VALUE(LEFT(AN539,1)))),AN539,AP538))</f>
        <v/>
      </c>
      <c r="AQ539" s="36" t="n">
        <f aca="false">IF(AND(AN539&lt;&gt;"",ISNUMBER(AL539),LEFT(AN539,9)&lt;&gt;"Total for",AN539&lt;&gt;"Gross Profit",AN539&lt;&gt;"Net Operating Revenue",AN539&lt;&gt;"Net Other Revenue",AN539&lt;&gt;"Net Revenue"),1,0)</f>
        <v>0</v>
      </c>
      <c r="AR539" s="36" t="str">
        <f aca="false">IF(AQ539=1,IF(AND(LEN(AN539)&gt;7,ISNUMBER(VALUE(LEFT(AN539,6))),MID(AN539,7,1)=" "),LEFT(AN539,6),AN539),"")</f>
        <v/>
      </c>
    </row>
    <row r="540" customFormat="false" ht="15" hidden="false" customHeight="false" outlineLevel="0" collapsed="false">
      <c r="D540" s="36" t="str">
        <f aca="false">TRIM(A540)</f>
        <v/>
      </c>
      <c r="E540" s="36" t="str">
        <f aca="false">IF(D540="Revenue","Revenue",IF(D540="Cost of Goods Sold","COGS",IF(D540="Expenditures","Expense",IF(D540="Other Revenue","Other Revenue",IF(D540="Other Expenditures","Other Expense",E539)))))</f>
        <v/>
      </c>
      <c r="F540" s="36" t="str">
        <f aca="false">IF(OR(D540="Revenue",D540="Cost of Goods Sold",D540="Expenditures",D540="Other Revenue",D540="Other Expenditures"),E540,IF(AND(LEN(D540)&gt;2,MID(D540,2,1)=" ",ISNUMBER(VALUE(LEFT(D540,1)))),D540,F539))</f>
        <v/>
      </c>
      <c r="G540" s="36" t="n">
        <f aca="false">IF(AND(D540&lt;&gt;"",ISNUMBER(B540),LEFT(D540,9)&lt;&gt;"Total for",D540&lt;&gt;"Gross Profit",D540&lt;&gt;"Net Operating Revenue",D540&lt;&gt;"Net Other Revenue",D540&lt;&gt;"Net Revenue"),1,0)</f>
        <v>0</v>
      </c>
      <c r="H540" s="36" t="str">
        <f aca="false">IF(G540=1,IF(AND(LEN(D540)&gt;7,ISNUMBER(VALUE(LEFT(D540,6))),MID(D540,7,1)=" "),LEFT(D540,6),D540),"")</f>
        <v/>
      </c>
      <c r="M540" s="36" t="str">
        <f aca="false">TRIM(J540)</f>
        <v/>
      </c>
      <c r="N540" s="36" t="str">
        <f aca="false">IF(M540="Revenue","Revenue",IF(M540="Cost of Goods Sold","COGS",IF(M540="Expenditures","Expense",IF(M540="Other Revenue","Other Revenue",IF(M540="Other Expenditures","Other Expense",N539)))))</f>
        <v/>
      </c>
      <c r="O540" s="36" t="str">
        <f aca="false">IF(OR(M540="Revenue",M540="Cost of Goods Sold",M540="Expenditures",M540="Other Revenue",M540="Other Expenditures"),N540,IF(AND(LEN(M540)&gt;2,MID(M540,2,1)=" ",ISNUMBER(VALUE(LEFT(M540,1)))),M540,O539))</f>
        <v/>
      </c>
      <c r="P540" s="36" t="n">
        <f aca="false">IF(AND(M540&lt;&gt;"",ISNUMBER(K540),LEFT(M540,9)&lt;&gt;"Total for",M540&lt;&gt;"Gross Profit",M540&lt;&gt;"Net Operating Revenue",M540&lt;&gt;"Net Other Revenue",M540&lt;&gt;"Net Revenue"),1,0)</f>
        <v>0</v>
      </c>
      <c r="Q540" s="36" t="str">
        <f aca="false">IF(P540=1,IF(AND(LEN(M540)&gt;7,ISNUMBER(VALUE(LEFT(M540,6))),MID(M540,7,1)=" "),LEFT(M540,6),M540),"")</f>
        <v/>
      </c>
      <c r="V540" s="36" t="str">
        <f aca="false">TRIM(S540)</f>
        <v/>
      </c>
      <c r="W540" s="36" t="str">
        <f aca="false">IF(V540="Revenue","Revenue",IF(V540="Cost of Goods Sold","COGS",IF(V540="Expenditures","Expense",IF(V540="Other Revenue","Other Revenue",IF(V540="Other Expenditures","Other Expense",W539)))))</f>
        <v/>
      </c>
      <c r="X540" s="36" t="str">
        <f aca="false">IF(OR(V540="Revenue",V540="Cost of Goods Sold",V540="Expenditures",V540="Other Revenue",V540="Other Expenditures"),W540,IF(AND(LEN(V540)&gt;2,MID(V540,2,1)=" ",ISNUMBER(VALUE(LEFT(V540,1)))),V540,X539))</f>
        <v/>
      </c>
      <c r="Y540" s="36" t="n">
        <f aca="false">IF(AND(V540&lt;&gt;"",ISNUMBER(T540),LEFT(V540,9)&lt;&gt;"Total for",V540&lt;&gt;"Gross Profit",V540&lt;&gt;"Net Operating Revenue",V540&lt;&gt;"Net Other Revenue",V540&lt;&gt;"Net Revenue"),1,0)</f>
        <v>0</v>
      </c>
      <c r="Z540" s="36" t="str">
        <f aca="false">IF(Y540=1,IF(AND(LEN(V540)&gt;7,ISNUMBER(VALUE(LEFT(V540,6))),MID(V540,7,1)=" "),LEFT(V540,6),V540),"")</f>
        <v/>
      </c>
      <c r="AE540" s="36" t="str">
        <f aca="false">TRIM(AB540)</f>
        <v/>
      </c>
      <c r="AF540" s="36" t="str">
        <f aca="false">IF(AE540="Revenue","Revenue",IF(AE540="Cost of Goods Sold","COGS",IF(AE540="Expenditures","Expense",IF(AE540="Other Revenue","Other Revenue",IF(AE540="Other Expenditures","Other Expense",AF539)))))</f>
        <v/>
      </c>
      <c r="AG540" s="36" t="str">
        <f aca="false">IF(OR(AE540="Revenue",AE540="Cost of Goods Sold",AE540="Expenditures",AE540="Other Revenue",AE540="Other Expenditures"),AF540,IF(AND(LEN(AE540)&gt;2,MID(AE540,2,1)=" ",ISNUMBER(VALUE(LEFT(AE540,1)))),AE540,AG539))</f>
        <v/>
      </c>
      <c r="AH540" s="36" t="n">
        <f aca="false">IF(AND(AE540&lt;&gt;"",ISNUMBER(AC540),LEFT(AE540,9)&lt;&gt;"Total for",AE540&lt;&gt;"Gross Profit",AE540&lt;&gt;"Net Operating Revenue",AE540&lt;&gt;"Net Other Revenue",AE540&lt;&gt;"Net Revenue"),1,0)</f>
        <v>0</v>
      </c>
      <c r="AI540" s="36" t="str">
        <f aca="false">IF(AH540=1,IF(AND(LEN(AE540)&gt;7,ISNUMBER(VALUE(LEFT(AE540,6))),MID(AE540,7,1)=" "),LEFT(AE540,6),AE540),"")</f>
        <v/>
      </c>
      <c r="AN540" s="36" t="str">
        <f aca="false">TRIM(AK540)</f>
        <v/>
      </c>
      <c r="AO540" s="36" t="str">
        <f aca="false">IF(AN540="Revenue","Revenue",IF(AN540="Cost of Goods Sold","COGS",IF(AN540="Expenditures","Expense",IF(AN540="Other Revenue","Other Revenue",IF(AN540="Other Expenditures","Other Expense",AO539)))))</f>
        <v/>
      </c>
      <c r="AP540" s="36" t="str">
        <f aca="false">IF(OR(AN540="Revenue",AN540="Cost of Goods Sold",AN540="Expenditures",AN540="Other Revenue",AN540="Other Expenditures"),AO540,IF(AND(LEN(AN540)&gt;2,MID(AN540,2,1)=" ",ISNUMBER(VALUE(LEFT(AN540,1)))),AN540,AP539))</f>
        <v/>
      </c>
      <c r="AQ540" s="36" t="n">
        <f aca="false">IF(AND(AN540&lt;&gt;"",ISNUMBER(AL540),LEFT(AN540,9)&lt;&gt;"Total for",AN540&lt;&gt;"Gross Profit",AN540&lt;&gt;"Net Operating Revenue",AN540&lt;&gt;"Net Other Revenue",AN540&lt;&gt;"Net Revenue"),1,0)</f>
        <v>0</v>
      </c>
      <c r="AR540" s="36" t="str">
        <f aca="false">IF(AQ540=1,IF(AND(LEN(AN540)&gt;7,ISNUMBER(VALUE(LEFT(AN540,6))),MID(AN540,7,1)=" "),LEFT(AN540,6),AN540),"")</f>
        <v/>
      </c>
    </row>
    <row r="541" customFormat="false" ht="15" hidden="false" customHeight="false" outlineLevel="0" collapsed="false">
      <c r="D541" s="36" t="str">
        <f aca="false">TRIM(A541)</f>
        <v/>
      </c>
      <c r="E541" s="36" t="str">
        <f aca="false">IF(D541="Revenue","Revenue",IF(D541="Cost of Goods Sold","COGS",IF(D541="Expenditures","Expense",IF(D541="Other Revenue","Other Revenue",IF(D541="Other Expenditures","Other Expense",E540)))))</f>
        <v/>
      </c>
      <c r="F541" s="36" t="str">
        <f aca="false">IF(OR(D541="Revenue",D541="Cost of Goods Sold",D541="Expenditures",D541="Other Revenue",D541="Other Expenditures"),E541,IF(AND(LEN(D541)&gt;2,MID(D541,2,1)=" ",ISNUMBER(VALUE(LEFT(D541,1)))),D541,F540))</f>
        <v/>
      </c>
      <c r="G541" s="36" t="n">
        <f aca="false">IF(AND(D541&lt;&gt;"",ISNUMBER(B541),LEFT(D541,9)&lt;&gt;"Total for",D541&lt;&gt;"Gross Profit",D541&lt;&gt;"Net Operating Revenue",D541&lt;&gt;"Net Other Revenue",D541&lt;&gt;"Net Revenue"),1,0)</f>
        <v>0</v>
      </c>
      <c r="H541" s="36" t="str">
        <f aca="false">IF(G541=1,IF(AND(LEN(D541)&gt;7,ISNUMBER(VALUE(LEFT(D541,6))),MID(D541,7,1)=" "),LEFT(D541,6),D541),"")</f>
        <v/>
      </c>
      <c r="M541" s="36" t="str">
        <f aca="false">TRIM(J541)</f>
        <v/>
      </c>
      <c r="N541" s="36" t="str">
        <f aca="false">IF(M541="Revenue","Revenue",IF(M541="Cost of Goods Sold","COGS",IF(M541="Expenditures","Expense",IF(M541="Other Revenue","Other Revenue",IF(M541="Other Expenditures","Other Expense",N540)))))</f>
        <v/>
      </c>
      <c r="O541" s="36" t="str">
        <f aca="false">IF(OR(M541="Revenue",M541="Cost of Goods Sold",M541="Expenditures",M541="Other Revenue",M541="Other Expenditures"),N541,IF(AND(LEN(M541)&gt;2,MID(M541,2,1)=" ",ISNUMBER(VALUE(LEFT(M541,1)))),M541,O540))</f>
        <v/>
      </c>
      <c r="P541" s="36" t="n">
        <f aca="false">IF(AND(M541&lt;&gt;"",ISNUMBER(K541),LEFT(M541,9)&lt;&gt;"Total for",M541&lt;&gt;"Gross Profit",M541&lt;&gt;"Net Operating Revenue",M541&lt;&gt;"Net Other Revenue",M541&lt;&gt;"Net Revenue"),1,0)</f>
        <v>0</v>
      </c>
      <c r="Q541" s="36" t="str">
        <f aca="false">IF(P541=1,IF(AND(LEN(M541)&gt;7,ISNUMBER(VALUE(LEFT(M541,6))),MID(M541,7,1)=" "),LEFT(M541,6),M541),"")</f>
        <v/>
      </c>
      <c r="V541" s="36" t="str">
        <f aca="false">TRIM(S541)</f>
        <v/>
      </c>
      <c r="W541" s="36" t="str">
        <f aca="false">IF(V541="Revenue","Revenue",IF(V541="Cost of Goods Sold","COGS",IF(V541="Expenditures","Expense",IF(V541="Other Revenue","Other Revenue",IF(V541="Other Expenditures","Other Expense",W540)))))</f>
        <v/>
      </c>
      <c r="X541" s="36" t="str">
        <f aca="false">IF(OR(V541="Revenue",V541="Cost of Goods Sold",V541="Expenditures",V541="Other Revenue",V541="Other Expenditures"),W541,IF(AND(LEN(V541)&gt;2,MID(V541,2,1)=" ",ISNUMBER(VALUE(LEFT(V541,1)))),V541,X540))</f>
        <v/>
      </c>
      <c r="Y541" s="36" t="n">
        <f aca="false">IF(AND(V541&lt;&gt;"",ISNUMBER(T541),LEFT(V541,9)&lt;&gt;"Total for",V541&lt;&gt;"Gross Profit",V541&lt;&gt;"Net Operating Revenue",V541&lt;&gt;"Net Other Revenue",V541&lt;&gt;"Net Revenue"),1,0)</f>
        <v>0</v>
      </c>
      <c r="Z541" s="36" t="str">
        <f aca="false">IF(Y541=1,IF(AND(LEN(V541)&gt;7,ISNUMBER(VALUE(LEFT(V541,6))),MID(V541,7,1)=" "),LEFT(V541,6),V541),"")</f>
        <v/>
      </c>
      <c r="AE541" s="36" t="str">
        <f aca="false">TRIM(AB541)</f>
        <v/>
      </c>
      <c r="AF541" s="36" t="str">
        <f aca="false">IF(AE541="Revenue","Revenue",IF(AE541="Cost of Goods Sold","COGS",IF(AE541="Expenditures","Expense",IF(AE541="Other Revenue","Other Revenue",IF(AE541="Other Expenditures","Other Expense",AF540)))))</f>
        <v/>
      </c>
      <c r="AG541" s="36" t="str">
        <f aca="false">IF(OR(AE541="Revenue",AE541="Cost of Goods Sold",AE541="Expenditures",AE541="Other Revenue",AE541="Other Expenditures"),AF541,IF(AND(LEN(AE541)&gt;2,MID(AE541,2,1)=" ",ISNUMBER(VALUE(LEFT(AE541,1)))),AE541,AG540))</f>
        <v/>
      </c>
      <c r="AH541" s="36" t="n">
        <f aca="false">IF(AND(AE541&lt;&gt;"",ISNUMBER(AC541),LEFT(AE541,9)&lt;&gt;"Total for",AE541&lt;&gt;"Gross Profit",AE541&lt;&gt;"Net Operating Revenue",AE541&lt;&gt;"Net Other Revenue",AE541&lt;&gt;"Net Revenue"),1,0)</f>
        <v>0</v>
      </c>
      <c r="AI541" s="36" t="str">
        <f aca="false">IF(AH541=1,IF(AND(LEN(AE541)&gt;7,ISNUMBER(VALUE(LEFT(AE541,6))),MID(AE541,7,1)=" "),LEFT(AE541,6),AE541),"")</f>
        <v/>
      </c>
      <c r="AN541" s="36" t="str">
        <f aca="false">TRIM(AK541)</f>
        <v/>
      </c>
      <c r="AO541" s="36" t="str">
        <f aca="false">IF(AN541="Revenue","Revenue",IF(AN541="Cost of Goods Sold","COGS",IF(AN541="Expenditures","Expense",IF(AN541="Other Revenue","Other Revenue",IF(AN541="Other Expenditures","Other Expense",AO540)))))</f>
        <v/>
      </c>
      <c r="AP541" s="36" t="str">
        <f aca="false">IF(OR(AN541="Revenue",AN541="Cost of Goods Sold",AN541="Expenditures",AN541="Other Revenue",AN541="Other Expenditures"),AO541,IF(AND(LEN(AN541)&gt;2,MID(AN541,2,1)=" ",ISNUMBER(VALUE(LEFT(AN541,1)))),AN541,AP540))</f>
        <v/>
      </c>
      <c r="AQ541" s="36" t="n">
        <f aca="false">IF(AND(AN541&lt;&gt;"",ISNUMBER(AL541),LEFT(AN541,9)&lt;&gt;"Total for",AN541&lt;&gt;"Gross Profit",AN541&lt;&gt;"Net Operating Revenue",AN541&lt;&gt;"Net Other Revenue",AN541&lt;&gt;"Net Revenue"),1,0)</f>
        <v>0</v>
      </c>
      <c r="AR541" s="36" t="str">
        <f aca="false">IF(AQ541=1,IF(AND(LEN(AN541)&gt;7,ISNUMBER(VALUE(LEFT(AN541,6))),MID(AN541,7,1)=" "),LEFT(AN541,6),AN541),"")</f>
        <v/>
      </c>
    </row>
    <row r="542" customFormat="false" ht="15" hidden="false" customHeight="false" outlineLevel="0" collapsed="false">
      <c r="D542" s="36" t="str">
        <f aca="false">TRIM(A542)</f>
        <v/>
      </c>
      <c r="E542" s="36" t="str">
        <f aca="false">IF(D542="Revenue","Revenue",IF(D542="Cost of Goods Sold","COGS",IF(D542="Expenditures","Expense",IF(D542="Other Revenue","Other Revenue",IF(D542="Other Expenditures","Other Expense",E541)))))</f>
        <v/>
      </c>
      <c r="F542" s="36" t="str">
        <f aca="false">IF(OR(D542="Revenue",D542="Cost of Goods Sold",D542="Expenditures",D542="Other Revenue",D542="Other Expenditures"),E542,IF(AND(LEN(D542)&gt;2,MID(D542,2,1)=" ",ISNUMBER(VALUE(LEFT(D542,1)))),D542,F541))</f>
        <v/>
      </c>
      <c r="G542" s="36" t="n">
        <f aca="false">IF(AND(D542&lt;&gt;"",ISNUMBER(B542),LEFT(D542,9)&lt;&gt;"Total for",D542&lt;&gt;"Gross Profit",D542&lt;&gt;"Net Operating Revenue",D542&lt;&gt;"Net Other Revenue",D542&lt;&gt;"Net Revenue"),1,0)</f>
        <v>0</v>
      </c>
      <c r="H542" s="36" t="str">
        <f aca="false">IF(G542=1,IF(AND(LEN(D542)&gt;7,ISNUMBER(VALUE(LEFT(D542,6))),MID(D542,7,1)=" "),LEFT(D542,6),D542),"")</f>
        <v/>
      </c>
      <c r="M542" s="36" t="str">
        <f aca="false">TRIM(J542)</f>
        <v/>
      </c>
      <c r="N542" s="36" t="str">
        <f aca="false">IF(M542="Revenue","Revenue",IF(M542="Cost of Goods Sold","COGS",IF(M542="Expenditures","Expense",IF(M542="Other Revenue","Other Revenue",IF(M542="Other Expenditures","Other Expense",N541)))))</f>
        <v/>
      </c>
      <c r="O542" s="36" t="str">
        <f aca="false">IF(OR(M542="Revenue",M542="Cost of Goods Sold",M542="Expenditures",M542="Other Revenue",M542="Other Expenditures"),N542,IF(AND(LEN(M542)&gt;2,MID(M542,2,1)=" ",ISNUMBER(VALUE(LEFT(M542,1)))),M542,O541))</f>
        <v/>
      </c>
      <c r="P542" s="36" t="n">
        <f aca="false">IF(AND(M542&lt;&gt;"",ISNUMBER(K542),LEFT(M542,9)&lt;&gt;"Total for",M542&lt;&gt;"Gross Profit",M542&lt;&gt;"Net Operating Revenue",M542&lt;&gt;"Net Other Revenue",M542&lt;&gt;"Net Revenue"),1,0)</f>
        <v>0</v>
      </c>
      <c r="Q542" s="36" t="str">
        <f aca="false">IF(P542=1,IF(AND(LEN(M542)&gt;7,ISNUMBER(VALUE(LEFT(M542,6))),MID(M542,7,1)=" "),LEFT(M542,6),M542),"")</f>
        <v/>
      </c>
      <c r="V542" s="36" t="str">
        <f aca="false">TRIM(S542)</f>
        <v/>
      </c>
      <c r="W542" s="36" t="str">
        <f aca="false">IF(V542="Revenue","Revenue",IF(V542="Cost of Goods Sold","COGS",IF(V542="Expenditures","Expense",IF(V542="Other Revenue","Other Revenue",IF(V542="Other Expenditures","Other Expense",W541)))))</f>
        <v/>
      </c>
      <c r="X542" s="36" t="str">
        <f aca="false">IF(OR(V542="Revenue",V542="Cost of Goods Sold",V542="Expenditures",V542="Other Revenue",V542="Other Expenditures"),W542,IF(AND(LEN(V542)&gt;2,MID(V542,2,1)=" ",ISNUMBER(VALUE(LEFT(V542,1)))),V542,X541))</f>
        <v/>
      </c>
      <c r="Y542" s="36" t="n">
        <f aca="false">IF(AND(V542&lt;&gt;"",ISNUMBER(T542),LEFT(V542,9)&lt;&gt;"Total for",V542&lt;&gt;"Gross Profit",V542&lt;&gt;"Net Operating Revenue",V542&lt;&gt;"Net Other Revenue",V542&lt;&gt;"Net Revenue"),1,0)</f>
        <v>0</v>
      </c>
      <c r="Z542" s="36" t="str">
        <f aca="false">IF(Y542=1,IF(AND(LEN(V542)&gt;7,ISNUMBER(VALUE(LEFT(V542,6))),MID(V542,7,1)=" "),LEFT(V542,6),V542),"")</f>
        <v/>
      </c>
      <c r="AE542" s="36" t="str">
        <f aca="false">TRIM(AB542)</f>
        <v/>
      </c>
      <c r="AF542" s="36" t="str">
        <f aca="false">IF(AE542="Revenue","Revenue",IF(AE542="Cost of Goods Sold","COGS",IF(AE542="Expenditures","Expense",IF(AE542="Other Revenue","Other Revenue",IF(AE542="Other Expenditures","Other Expense",AF541)))))</f>
        <v/>
      </c>
      <c r="AG542" s="36" t="str">
        <f aca="false">IF(OR(AE542="Revenue",AE542="Cost of Goods Sold",AE542="Expenditures",AE542="Other Revenue",AE542="Other Expenditures"),AF542,IF(AND(LEN(AE542)&gt;2,MID(AE542,2,1)=" ",ISNUMBER(VALUE(LEFT(AE542,1)))),AE542,AG541))</f>
        <v/>
      </c>
      <c r="AH542" s="36" t="n">
        <f aca="false">IF(AND(AE542&lt;&gt;"",ISNUMBER(AC542),LEFT(AE542,9)&lt;&gt;"Total for",AE542&lt;&gt;"Gross Profit",AE542&lt;&gt;"Net Operating Revenue",AE542&lt;&gt;"Net Other Revenue",AE542&lt;&gt;"Net Revenue"),1,0)</f>
        <v>0</v>
      </c>
      <c r="AI542" s="36" t="str">
        <f aca="false">IF(AH542=1,IF(AND(LEN(AE542)&gt;7,ISNUMBER(VALUE(LEFT(AE542,6))),MID(AE542,7,1)=" "),LEFT(AE542,6),AE542),"")</f>
        <v/>
      </c>
      <c r="AN542" s="36" t="str">
        <f aca="false">TRIM(AK542)</f>
        <v/>
      </c>
      <c r="AO542" s="36" t="str">
        <f aca="false">IF(AN542="Revenue","Revenue",IF(AN542="Cost of Goods Sold","COGS",IF(AN542="Expenditures","Expense",IF(AN542="Other Revenue","Other Revenue",IF(AN542="Other Expenditures","Other Expense",AO541)))))</f>
        <v/>
      </c>
      <c r="AP542" s="36" t="str">
        <f aca="false">IF(OR(AN542="Revenue",AN542="Cost of Goods Sold",AN542="Expenditures",AN542="Other Revenue",AN542="Other Expenditures"),AO542,IF(AND(LEN(AN542)&gt;2,MID(AN542,2,1)=" ",ISNUMBER(VALUE(LEFT(AN542,1)))),AN542,AP541))</f>
        <v/>
      </c>
      <c r="AQ542" s="36" t="n">
        <f aca="false">IF(AND(AN542&lt;&gt;"",ISNUMBER(AL542),LEFT(AN542,9)&lt;&gt;"Total for",AN542&lt;&gt;"Gross Profit",AN542&lt;&gt;"Net Operating Revenue",AN542&lt;&gt;"Net Other Revenue",AN542&lt;&gt;"Net Revenue"),1,0)</f>
        <v>0</v>
      </c>
      <c r="AR542" s="36" t="str">
        <f aca="false">IF(AQ542=1,IF(AND(LEN(AN542)&gt;7,ISNUMBER(VALUE(LEFT(AN542,6))),MID(AN542,7,1)=" "),LEFT(AN542,6),AN542),"")</f>
        <v/>
      </c>
    </row>
    <row r="543" customFormat="false" ht="15" hidden="false" customHeight="false" outlineLevel="0" collapsed="false">
      <c r="D543" s="36" t="str">
        <f aca="false">TRIM(A543)</f>
        <v/>
      </c>
      <c r="E543" s="36" t="str">
        <f aca="false">IF(D543="Revenue","Revenue",IF(D543="Cost of Goods Sold","COGS",IF(D543="Expenditures","Expense",IF(D543="Other Revenue","Other Revenue",IF(D543="Other Expenditures","Other Expense",E542)))))</f>
        <v/>
      </c>
      <c r="F543" s="36" t="str">
        <f aca="false">IF(OR(D543="Revenue",D543="Cost of Goods Sold",D543="Expenditures",D543="Other Revenue",D543="Other Expenditures"),E543,IF(AND(LEN(D543)&gt;2,MID(D543,2,1)=" ",ISNUMBER(VALUE(LEFT(D543,1)))),D543,F542))</f>
        <v/>
      </c>
      <c r="G543" s="36" t="n">
        <f aca="false">IF(AND(D543&lt;&gt;"",ISNUMBER(B543),LEFT(D543,9)&lt;&gt;"Total for",D543&lt;&gt;"Gross Profit",D543&lt;&gt;"Net Operating Revenue",D543&lt;&gt;"Net Other Revenue",D543&lt;&gt;"Net Revenue"),1,0)</f>
        <v>0</v>
      </c>
      <c r="H543" s="36" t="str">
        <f aca="false">IF(G543=1,IF(AND(LEN(D543)&gt;7,ISNUMBER(VALUE(LEFT(D543,6))),MID(D543,7,1)=" "),LEFT(D543,6),D543),"")</f>
        <v/>
      </c>
      <c r="M543" s="36" t="str">
        <f aca="false">TRIM(J543)</f>
        <v/>
      </c>
      <c r="N543" s="36" t="str">
        <f aca="false">IF(M543="Revenue","Revenue",IF(M543="Cost of Goods Sold","COGS",IF(M543="Expenditures","Expense",IF(M543="Other Revenue","Other Revenue",IF(M543="Other Expenditures","Other Expense",N542)))))</f>
        <v/>
      </c>
      <c r="O543" s="36" t="str">
        <f aca="false">IF(OR(M543="Revenue",M543="Cost of Goods Sold",M543="Expenditures",M543="Other Revenue",M543="Other Expenditures"),N543,IF(AND(LEN(M543)&gt;2,MID(M543,2,1)=" ",ISNUMBER(VALUE(LEFT(M543,1)))),M543,O542))</f>
        <v/>
      </c>
      <c r="P543" s="36" t="n">
        <f aca="false">IF(AND(M543&lt;&gt;"",ISNUMBER(K543),LEFT(M543,9)&lt;&gt;"Total for",M543&lt;&gt;"Gross Profit",M543&lt;&gt;"Net Operating Revenue",M543&lt;&gt;"Net Other Revenue",M543&lt;&gt;"Net Revenue"),1,0)</f>
        <v>0</v>
      </c>
      <c r="Q543" s="36" t="str">
        <f aca="false">IF(P543=1,IF(AND(LEN(M543)&gt;7,ISNUMBER(VALUE(LEFT(M543,6))),MID(M543,7,1)=" "),LEFT(M543,6),M543),"")</f>
        <v/>
      </c>
      <c r="V543" s="36" t="str">
        <f aca="false">TRIM(S543)</f>
        <v/>
      </c>
      <c r="W543" s="36" t="str">
        <f aca="false">IF(V543="Revenue","Revenue",IF(V543="Cost of Goods Sold","COGS",IF(V543="Expenditures","Expense",IF(V543="Other Revenue","Other Revenue",IF(V543="Other Expenditures","Other Expense",W542)))))</f>
        <v/>
      </c>
      <c r="X543" s="36" t="str">
        <f aca="false">IF(OR(V543="Revenue",V543="Cost of Goods Sold",V543="Expenditures",V543="Other Revenue",V543="Other Expenditures"),W543,IF(AND(LEN(V543)&gt;2,MID(V543,2,1)=" ",ISNUMBER(VALUE(LEFT(V543,1)))),V543,X542))</f>
        <v/>
      </c>
      <c r="Y543" s="36" t="n">
        <f aca="false">IF(AND(V543&lt;&gt;"",ISNUMBER(T543),LEFT(V543,9)&lt;&gt;"Total for",V543&lt;&gt;"Gross Profit",V543&lt;&gt;"Net Operating Revenue",V543&lt;&gt;"Net Other Revenue",V543&lt;&gt;"Net Revenue"),1,0)</f>
        <v>0</v>
      </c>
      <c r="Z543" s="36" t="str">
        <f aca="false">IF(Y543=1,IF(AND(LEN(V543)&gt;7,ISNUMBER(VALUE(LEFT(V543,6))),MID(V543,7,1)=" "),LEFT(V543,6),V543),"")</f>
        <v/>
      </c>
      <c r="AE543" s="36" t="str">
        <f aca="false">TRIM(AB543)</f>
        <v/>
      </c>
      <c r="AF543" s="36" t="str">
        <f aca="false">IF(AE543="Revenue","Revenue",IF(AE543="Cost of Goods Sold","COGS",IF(AE543="Expenditures","Expense",IF(AE543="Other Revenue","Other Revenue",IF(AE543="Other Expenditures","Other Expense",AF542)))))</f>
        <v/>
      </c>
      <c r="AG543" s="36" t="str">
        <f aca="false">IF(OR(AE543="Revenue",AE543="Cost of Goods Sold",AE543="Expenditures",AE543="Other Revenue",AE543="Other Expenditures"),AF543,IF(AND(LEN(AE543)&gt;2,MID(AE543,2,1)=" ",ISNUMBER(VALUE(LEFT(AE543,1)))),AE543,AG542))</f>
        <v/>
      </c>
      <c r="AH543" s="36" t="n">
        <f aca="false">IF(AND(AE543&lt;&gt;"",ISNUMBER(AC543),LEFT(AE543,9)&lt;&gt;"Total for",AE543&lt;&gt;"Gross Profit",AE543&lt;&gt;"Net Operating Revenue",AE543&lt;&gt;"Net Other Revenue",AE543&lt;&gt;"Net Revenue"),1,0)</f>
        <v>0</v>
      </c>
      <c r="AI543" s="36" t="str">
        <f aca="false">IF(AH543=1,IF(AND(LEN(AE543)&gt;7,ISNUMBER(VALUE(LEFT(AE543,6))),MID(AE543,7,1)=" "),LEFT(AE543,6),AE543),"")</f>
        <v/>
      </c>
      <c r="AN543" s="36" t="str">
        <f aca="false">TRIM(AK543)</f>
        <v/>
      </c>
      <c r="AO543" s="36" t="str">
        <f aca="false">IF(AN543="Revenue","Revenue",IF(AN543="Cost of Goods Sold","COGS",IF(AN543="Expenditures","Expense",IF(AN543="Other Revenue","Other Revenue",IF(AN543="Other Expenditures","Other Expense",AO542)))))</f>
        <v/>
      </c>
      <c r="AP543" s="36" t="str">
        <f aca="false">IF(OR(AN543="Revenue",AN543="Cost of Goods Sold",AN543="Expenditures",AN543="Other Revenue",AN543="Other Expenditures"),AO543,IF(AND(LEN(AN543)&gt;2,MID(AN543,2,1)=" ",ISNUMBER(VALUE(LEFT(AN543,1)))),AN543,AP542))</f>
        <v/>
      </c>
      <c r="AQ543" s="36" t="n">
        <f aca="false">IF(AND(AN543&lt;&gt;"",ISNUMBER(AL543),LEFT(AN543,9)&lt;&gt;"Total for",AN543&lt;&gt;"Gross Profit",AN543&lt;&gt;"Net Operating Revenue",AN543&lt;&gt;"Net Other Revenue",AN543&lt;&gt;"Net Revenue"),1,0)</f>
        <v>0</v>
      </c>
      <c r="AR543" s="36" t="str">
        <f aca="false">IF(AQ543=1,IF(AND(LEN(AN543)&gt;7,ISNUMBER(VALUE(LEFT(AN543,6))),MID(AN543,7,1)=" "),LEFT(AN543,6),AN543),"")</f>
        <v/>
      </c>
    </row>
    <row r="544" customFormat="false" ht="15" hidden="false" customHeight="false" outlineLevel="0" collapsed="false">
      <c r="D544" s="36" t="str">
        <f aca="false">TRIM(A544)</f>
        <v/>
      </c>
      <c r="E544" s="36" t="str">
        <f aca="false">IF(D544="Revenue","Revenue",IF(D544="Cost of Goods Sold","COGS",IF(D544="Expenditures","Expense",IF(D544="Other Revenue","Other Revenue",IF(D544="Other Expenditures","Other Expense",E543)))))</f>
        <v/>
      </c>
      <c r="F544" s="36" t="str">
        <f aca="false">IF(OR(D544="Revenue",D544="Cost of Goods Sold",D544="Expenditures",D544="Other Revenue",D544="Other Expenditures"),E544,IF(AND(LEN(D544)&gt;2,MID(D544,2,1)=" ",ISNUMBER(VALUE(LEFT(D544,1)))),D544,F543))</f>
        <v/>
      </c>
      <c r="G544" s="36" t="n">
        <f aca="false">IF(AND(D544&lt;&gt;"",ISNUMBER(B544),LEFT(D544,9)&lt;&gt;"Total for",D544&lt;&gt;"Gross Profit",D544&lt;&gt;"Net Operating Revenue",D544&lt;&gt;"Net Other Revenue",D544&lt;&gt;"Net Revenue"),1,0)</f>
        <v>0</v>
      </c>
      <c r="H544" s="36" t="str">
        <f aca="false">IF(G544=1,IF(AND(LEN(D544)&gt;7,ISNUMBER(VALUE(LEFT(D544,6))),MID(D544,7,1)=" "),LEFT(D544,6),D544),"")</f>
        <v/>
      </c>
      <c r="M544" s="36" t="str">
        <f aca="false">TRIM(J544)</f>
        <v/>
      </c>
      <c r="N544" s="36" t="str">
        <f aca="false">IF(M544="Revenue","Revenue",IF(M544="Cost of Goods Sold","COGS",IF(M544="Expenditures","Expense",IF(M544="Other Revenue","Other Revenue",IF(M544="Other Expenditures","Other Expense",N543)))))</f>
        <v/>
      </c>
      <c r="O544" s="36" t="str">
        <f aca="false">IF(OR(M544="Revenue",M544="Cost of Goods Sold",M544="Expenditures",M544="Other Revenue",M544="Other Expenditures"),N544,IF(AND(LEN(M544)&gt;2,MID(M544,2,1)=" ",ISNUMBER(VALUE(LEFT(M544,1)))),M544,O543))</f>
        <v/>
      </c>
      <c r="P544" s="36" t="n">
        <f aca="false">IF(AND(M544&lt;&gt;"",ISNUMBER(K544),LEFT(M544,9)&lt;&gt;"Total for",M544&lt;&gt;"Gross Profit",M544&lt;&gt;"Net Operating Revenue",M544&lt;&gt;"Net Other Revenue",M544&lt;&gt;"Net Revenue"),1,0)</f>
        <v>0</v>
      </c>
      <c r="Q544" s="36" t="str">
        <f aca="false">IF(P544=1,IF(AND(LEN(M544)&gt;7,ISNUMBER(VALUE(LEFT(M544,6))),MID(M544,7,1)=" "),LEFT(M544,6),M544),"")</f>
        <v/>
      </c>
      <c r="V544" s="36" t="str">
        <f aca="false">TRIM(S544)</f>
        <v/>
      </c>
      <c r="W544" s="36" t="str">
        <f aca="false">IF(V544="Revenue","Revenue",IF(V544="Cost of Goods Sold","COGS",IF(V544="Expenditures","Expense",IF(V544="Other Revenue","Other Revenue",IF(V544="Other Expenditures","Other Expense",W543)))))</f>
        <v/>
      </c>
      <c r="X544" s="36" t="str">
        <f aca="false">IF(OR(V544="Revenue",V544="Cost of Goods Sold",V544="Expenditures",V544="Other Revenue",V544="Other Expenditures"),W544,IF(AND(LEN(V544)&gt;2,MID(V544,2,1)=" ",ISNUMBER(VALUE(LEFT(V544,1)))),V544,X543))</f>
        <v/>
      </c>
      <c r="Y544" s="36" t="n">
        <f aca="false">IF(AND(V544&lt;&gt;"",ISNUMBER(T544),LEFT(V544,9)&lt;&gt;"Total for",V544&lt;&gt;"Gross Profit",V544&lt;&gt;"Net Operating Revenue",V544&lt;&gt;"Net Other Revenue",V544&lt;&gt;"Net Revenue"),1,0)</f>
        <v>0</v>
      </c>
      <c r="Z544" s="36" t="str">
        <f aca="false">IF(Y544=1,IF(AND(LEN(V544)&gt;7,ISNUMBER(VALUE(LEFT(V544,6))),MID(V544,7,1)=" "),LEFT(V544,6),V544),"")</f>
        <v/>
      </c>
      <c r="AE544" s="36" t="str">
        <f aca="false">TRIM(AB544)</f>
        <v/>
      </c>
      <c r="AF544" s="36" t="str">
        <f aca="false">IF(AE544="Revenue","Revenue",IF(AE544="Cost of Goods Sold","COGS",IF(AE544="Expenditures","Expense",IF(AE544="Other Revenue","Other Revenue",IF(AE544="Other Expenditures","Other Expense",AF543)))))</f>
        <v/>
      </c>
      <c r="AG544" s="36" t="str">
        <f aca="false">IF(OR(AE544="Revenue",AE544="Cost of Goods Sold",AE544="Expenditures",AE544="Other Revenue",AE544="Other Expenditures"),AF544,IF(AND(LEN(AE544)&gt;2,MID(AE544,2,1)=" ",ISNUMBER(VALUE(LEFT(AE544,1)))),AE544,AG543))</f>
        <v/>
      </c>
      <c r="AH544" s="36" t="n">
        <f aca="false">IF(AND(AE544&lt;&gt;"",ISNUMBER(AC544),LEFT(AE544,9)&lt;&gt;"Total for",AE544&lt;&gt;"Gross Profit",AE544&lt;&gt;"Net Operating Revenue",AE544&lt;&gt;"Net Other Revenue",AE544&lt;&gt;"Net Revenue"),1,0)</f>
        <v>0</v>
      </c>
      <c r="AI544" s="36" t="str">
        <f aca="false">IF(AH544=1,IF(AND(LEN(AE544)&gt;7,ISNUMBER(VALUE(LEFT(AE544,6))),MID(AE544,7,1)=" "),LEFT(AE544,6),AE544),"")</f>
        <v/>
      </c>
      <c r="AN544" s="36" t="str">
        <f aca="false">TRIM(AK544)</f>
        <v/>
      </c>
      <c r="AO544" s="36" t="str">
        <f aca="false">IF(AN544="Revenue","Revenue",IF(AN544="Cost of Goods Sold","COGS",IF(AN544="Expenditures","Expense",IF(AN544="Other Revenue","Other Revenue",IF(AN544="Other Expenditures","Other Expense",AO543)))))</f>
        <v/>
      </c>
      <c r="AP544" s="36" t="str">
        <f aca="false">IF(OR(AN544="Revenue",AN544="Cost of Goods Sold",AN544="Expenditures",AN544="Other Revenue",AN544="Other Expenditures"),AO544,IF(AND(LEN(AN544)&gt;2,MID(AN544,2,1)=" ",ISNUMBER(VALUE(LEFT(AN544,1)))),AN544,AP543))</f>
        <v/>
      </c>
      <c r="AQ544" s="36" t="n">
        <f aca="false">IF(AND(AN544&lt;&gt;"",ISNUMBER(AL544),LEFT(AN544,9)&lt;&gt;"Total for",AN544&lt;&gt;"Gross Profit",AN544&lt;&gt;"Net Operating Revenue",AN544&lt;&gt;"Net Other Revenue",AN544&lt;&gt;"Net Revenue"),1,0)</f>
        <v>0</v>
      </c>
      <c r="AR544" s="36" t="str">
        <f aca="false">IF(AQ544=1,IF(AND(LEN(AN544)&gt;7,ISNUMBER(VALUE(LEFT(AN544,6))),MID(AN544,7,1)=" "),LEFT(AN544,6),AN544),"")</f>
        <v/>
      </c>
    </row>
    <row r="545" customFormat="false" ht="15" hidden="false" customHeight="false" outlineLevel="0" collapsed="false">
      <c r="D545" s="36" t="str">
        <f aca="false">TRIM(A545)</f>
        <v/>
      </c>
      <c r="E545" s="36" t="str">
        <f aca="false">IF(D545="Revenue","Revenue",IF(D545="Cost of Goods Sold","COGS",IF(D545="Expenditures","Expense",IF(D545="Other Revenue","Other Revenue",IF(D545="Other Expenditures","Other Expense",E544)))))</f>
        <v/>
      </c>
      <c r="F545" s="36" t="str">
        <f aca="false">IF(OR(D545="Revenue",D545="Cost of Goods Sold",D545="Expenditures",D545="Other Revenue",D545="Other Expenditures"),E545,IF(AND(LEN(D545)&gt;2,MID(D545,2,1)=" ",ISNUMBER(VALUE(LEFT(D545,1)))),D545,F544))</f>
        <v/>
      </c>
      <c r="G545" s="36" t="n">
        <f aca="false">IF(AND(D545&lt;&gt;"",ISNUMBER(B545),LEFT(D545,9)&lt;&gt;"Total for",D545&lt;&gt;"Gross Profit",D545&lt;&gt;"Net Operating Revenue",D545&lt;&gt;"Net Other Revenue",D545&lt;&gt;"Net Revenue"),1,0)</f>
        <v>0</v>
      </c>
      <c r="H545" s="36" t="str">
        <f aca="false">IF(G545=1,IF(AND(LEN(D545)&gt;7,ISNUMBER(VALUE(LEFT(D545,6))),MID(D545,7,1)=" "),LEFT(D545,6),D545),"")</f>
        <v/>
      </c>
      <c r="M545" s="36" t="str">
        <f aca="false">TRIM(J545)</f>
        <v/>
      </c>
      <c r="N545" s="36" t="str">
        <f aca="false">IF(M545="Revenue","Revenue",IF(M545="Cost of Goods Sold","COGS",IF(M545="Expenditures","Expense",IF(M545="Other Revenue","Other Revenue",IF(M545="Other Expenditures","Other Expense",N544)))))</f>
        <v/>
      </c>
      <c r="O545" s="36" t="str">
        <f aca="false">IF(OR(M545="Revenue",M545="Cost of Goods Sold",M545="Expenditures",M545="Other Revenue",M545="Other Expenditures"),N545,IF(AND(LEN(M545)&gt;2,MID(M545,2,1)=" ",ISNUMBER(VALUE(LEFT(M545,1)))),M545,O544))</f>
        <v/>
      </c>
      <c r="P545" s="36" t="n">
        <f aca="false">IF(AND(M545&lt;&gt;"",ISNUMBER(K545),LEFT(M545,9)&lt;&gt;"Total for",M545&lt;&gt;"Gross Profit",M545&lt;&gt;"Net Operating Revenue",M545&lt;&gt;"Net Other Revenue",M545&lt;&gt;"Net Revenue"),1,0)</f>
        <v>0</v>
      </c>
      <c r="Q545" s="36" t="str">
        <f aca="false">IF(P545=1,IF(AND(LEN(M545)&gt;7,ISNUMBER(VALUE(LEFT(M545,6))),MID(M545,7,1)=" "),LEFT(M545,6),M545),"")</f>
        <v/>
      </c>
      <c r="V545" s="36" t="str">
        <f aca="false">TRIM(S545)</f>
        <v/>
      </c>
      <c r="W545" s="36" t="str">
        <f aca="false">IF(V545="Revenue","Revenue",IF(V545="Cost of Goods Sold","COGS",IF(V545="Expenditures","Expense",IF(V545="Other Revenue","Other Revenue",IF(V545="Other Expenditures","Other Expense",W544)))))</f>
        <v/>
      </c>
      <c r="X545" s="36" t="str">
        <f aca="false">IF(OR(V545="Revenue",V545="Cost of Goods Sold",V545="Expenditures",V545="Other Revenue",V545="Other Expenditures"),W545,IF(AND(LEN(V545)&gt;2,MID(V545,2,1)=" ",ISNUMBER(VALUE(LEFT(V545,1)))),V545,X544))</f>
        <v/>
      </c>
      <c r="Y545" s="36" t="n">
        <f aca="false">IF(AND(V545&lt;&gt;"",ISNUMBER(T545),LEFT(V545,9)&lt;&gt;"Total for",V545&lt;&gt;"Gross Profit",V545&lt;&gt;"Net Operating Revenue",V545&lt;&gt;"Net Other Revenue",V545&lt;&gt;"Net Revenue"),1,0)</f>
        <v>0</v>
      </c>
      <c r="Z545" s="36" t="str">
        <f aca="false">IF(Y545=1,IF(AND(LEN(V545)&gt;7,ISNUMBER(VALUE(LEFT(V545,6))),MID(V545,7,1)=" "),LEFT(V545,6),V545),"")</f>
        <v/>
      </c>
      <c r="AE545" s="36" t="str">
        <f aca="false">TRIM(AB545)</f>
        <v/>
      </c>
      <c r="AF545" s="36" t="str">
        <f aca="false">IF(AE545="Revenue","Revenue",IF(AE545="Cost of Goods Sold","COGS",IF(AE545="Expenditures","Expense",IF(AE545="Other Revenue","Other Revenue",IF(AE545="Other Expenditures","Other Expense",AF544)))))</f>
        <v/>
      </c>
      <c r="AG545" s="36" t="str">
        <f aca="false">IF(OR(AE545="Revenue",AE545="Cost of Goods Sold",AE545="Expenditures",AE545="Other Revenue",AE545="Other Expenditures"),AF545,IF(AND(LEN(AE545)&gt;2,MID(AE545,2,1)=" ",ISNUMBER(VALUE(LEFT(AE545,1)))),AE545,AG544))</f>
        <v/>
      </c>
      <c r="AH545" s="36" t="n">
        <f aca="false">IF(AND(AE545&lt;&gt;"",ISNUMBER(AC545),LEFT(AE545,9)&lt;&gt;"Total for",AE545&lt;&gt;"Gross Profit",AE545&lt;&gt;"Net Operating Revenue",AE545&lt;&gt;"Net Other Revenue",AE545&lt;&gt;"Net Revenue"),1,0)</f>
        <v>0</v>
      </c>
      <c r="AI545" s="36" t="str">
        <f aca="false">IF(AH545=1,IF(AND(LEN(AE545)&gt;7,ISNUMBER(VALUE(LEFT(AE545,6))),MID(AE545,7,1)=" "),LEFT(AE545,6),AE545),"")</f>
        <v/>
      </c>
      <c r="AN545" s="36" t="str">
        <f aca="false">TRIM(AK545)</f>
        <v/>
      </c>
      <c r="AO545" s="36" t="str">
        <f aca="false">IF(AN545="Revenue","Revenue",IF(AN545="Cost of Goods Sold","COGS",IF(AN545="Expenditures","Expense",IF(AN545="Other Revenue","Other Revenue",IF(AN545="Other Expenditures","Other Expense",AO544)))))</f>
        <v/>
      </c>
      <c r="AP545" s="36" t="str">
        <f aca="false">IF(OR(AN545="Revenue",AN545="Cost of Goods Sold",AN545="Expenditures",AN545="Other Revenue",AN545="Other Expenditures"),AO545,IF(AND(LEN(AN545)&gt;2,MID(AN545,2,1)=" ",ISNUMBER(VALUE(LEFT(AN545,1)))),AN545,AP544))</f>
        <v/>
      </c>
      <c r="AQ545" s="36" t="n">
        <f aca="false">IF(AND(AN545&lt;&gt;"",ISNUMBER(AL545),LEFT(AN545,9)&lt;&gt;"Total for",AN545&lt;&gt;"Gross Profit",AN545&lt;&gt;"Net Operating Revenue",AN545&lt;&gt;"Net Other Revenue",AN545&lt;&gt;"Net Revenue"),1,0)</f>
        <v>0</v>
      </c>
      <c r="AR545" s="36" t="str">
        <f aca="false">IF(AQ545=1,IF(AND(LEN(AN545)&gt;7,ISNUMBER(VALUE(LEFT(AN545,6))),MID(AN545,7,1)=" "),LEFT(AN545,6),AN545),"")</f>
        <v/>
      </c>
    </row>
    <row r="546" customFormat="false" ht="15" hidden="false" customHeight="false" outlineLevel="0" collapsed="false">
      <c r="D546" s="36" t="str">
        <f aca="false">TRIM(A546)</f>
        <v/>
      </c>
      <c r="E546" s="36" t="str">
        <f aca="false">IF(D546="Revenue","Revenue",IF(D546="Cost of Goods Sold","COGS",IF(D546="Expenditures","Expense",IF(D546="Other Revenue","Other Revenue",IF(D546="Other Expenditures","Other Expense",E545)))))</f>
        <v/>
      </c>
      <c r="F546" s="36" t="str">
        <f aca="false">IF(OR(D546="Revenue",D546="Cost of Goods Sold",D546="Expenditures",D546="Other Revenue",D546="Other Expenditures"),E546,IF(AND(LEN(D546)&gt;2,MID(D546,2,1)=" ",ISNUMBER(VALUE(LEFT(D546,1)))),D546,F545))</f>
        <v/>
      </c>
      <c r="G546" s="36" t="n">
        <f aca="false">IF(AND(D546&lt;&gt;"",ISNUMBER(B546),LEFT(D546,9)&lt;&gt;"Total for",D546&lt;&gt;"Gross Profit",D546&lt;&gt;"Net Operating Revenue",D546&lt;&gt;"Net Other Revenue",D546&lt;&gt;"Net Revenue"),1,0)</f>
        <v>0</v>
      </c>
      <c r="H546" s="36" t="str">
        <f aca="false">IF(G546=1,IF(AND(LEN(D546)&gt;7,ISNUMBER(VALUE(LEFT(D546,6))),MID(D546,7,1)=" "),LEFT(D546,6),D546),"")</f>
        <v/>
      </c>
      <c r="M546" s="36" t="str">
        <f aca="false">TRIM(J546)</f>
        <v/>
      </c>
      <c r="N546" s="36" t="str">
        <f aca="false">IF(M546="Revenue","Revenue",IF(M546="Cost of Goods Sold","COGS",IF(M546="Expenditures","Expense",IF(M546="Other Revenue","Other Revenue",IF(M546="Other Expenditures","Other Expense",N545)))))</f>
        <v/>
      </c>
      <c r="O546" s="36" t="str">
        <f aca="false">IF(OR(M546="Revenue",M546="Cost of Goods Sold",M546="Expenditures",M546="Other Revenue",M546="Other Expenditures"),N546,IF(AND(LEN(M546)&gt;2,MID(M546,2,1)=" ",ISNUMBER(VALUE(LEFT(M546,1)))),M546,O545))</f>
        <v/>
      </c>
      <c r="P546" s="36" t="n">
        <f aca="false">IF(AND(M546&lt;&gt;"",ISNUMBER(K546),LEFT(M546,9)&lt;&gt;"Total for",M546&lt;&gt;"Gross Profit",M546&lt;&gt;"Net Operating Revenue",M546&lt;&gt;"Net Other Revenue",M546&lt;&gt;"Net Revenue"),1,0)</f>
        <v>0</v>
      </c>
      <c r="Q546" s="36" t="str">
        <f aca="false">IF(P546=1,IF(AND(LEN(M546)&gt;7,ISNUMBER(VALUE(LEFT(M546,6))),MID(M546,7,1)=" "),LEFT(M546,6),M546),"")</f>
        <v/>
      </c>
      <c r="V546" s="36" t="str">
        <f aca="false">TRIM(S546)</f>
        <v/>
      </c>
      <c r="W546" s="36" t="str">
        <f aca="false">IF(V546="Revenue","Revenue",IF(V546="Cost of Goods Sold","COGS",IF(V546="Expenditures","Expense",IF(V546="Other Revenue","Other Revenue",IF(V546="Other Expenditures","Other Expense",W545)))))</f>
        <v/>
      </c>
      <c r="X546" s="36" t="str">
        <f aca="false">IF(OR(V546="Revenue",V546="Cost of Goods Sold",V546="Expenditures",V546="Other Revenue",V546="Other Expenditures"),W546,IF(AND(LEN(V546)&gt;2,MID(V546,2,1)=" ",ISNUMBER(VALUE(LEFT(V546,1)))),V546,X545))</f>
        <v/>
      </c>
      <c r="Y546" s="36" t="n">
        <f aca="false">IF(AND(V546&lt;&gt;"",ISNUMBER(T546),LEFT(V546,9)&lt;&gt;"Total for",V546&lt;&gt;"Gross Profit",V546&lt;&gt;"Net Operating Revenue",V546&lt;&gt;"Net Other Revenue",V546&lt;&gt;"Net Revenue"),1,0)</f>
        <v>0</v>
      </c>
      <c r="Z546" s="36" t="str">
        <f aca="false">IF(Y546=1,IF(AND(LEN(V546)&gt;7,ISNUMBER(VALUE(LEFT(V546,6))),MID(V546,7,1)=" "),LEFT(V546,6),V546),"")</f>
        <v/>
      </c>
      <c r="AE546" s="36" t="str">
        <f aca="false">TRIM(AB546)</f>
        <v/>
      </c>
      <c r="AF546" s="36" t="str">
        <f aca="false">IF(AE546="Revenue","Revenue",IF(AE546="Cost of Goods Sold","COGS",IF(AE546="Expenditures","Expense",IF(AE546="Other Revenue","Other Revenue",IF(AE546="Other Expenditures","Other Expense",AF545)))))</f>
        <v/>
      </c>
      <c r="AG546" s="36" t="str">
        <f aca="false">IF(OR(AE546="Revenue",AE546="Cost of Goods Sold",AE546="Expenditures",AE546="Other Revenue",AE546="Other Expenditures"),AF546,IF(AND(LEN(AE546)&gt;2,MID(AE546,2,1)=" ",ISNUMBER(VALUE(LEFT(AE546,1)))),AE546,AG545))</f>
        <v/>
      </c>
      <c r="AH546" s="36" t="n">
        <f aca="false">IF(AND(AE546&lt;&gt;"",ISNUMBER(AC546),LEFT(AE546,9)&lt;&gt;"Total for",AE546&lt;&gt;"Gross Profit",AE546&lt;&gt;"Net Operating Revenue",AE546&lt;&gt;"Net Other Revenue",AE546&lt;&gt;"Net Revenue"),1,0)</f>
        <v>0</v>
      </c>
      <c r="AI546" s="36" t="str">
        <f aca="false">IF(AH546=1,IF(AND(LEN(AE546)&gt;7,ISNUMBER(VALUE(LEFT(AE546,6))),MID(AE546,7,1)=" "),LEFT(AE546,6),AE546),"")</f>
        <v/>
      </c>
      <c r="AN546" s="36" t="str">
        <f aca="false">TRIM(AK546)</f>
        <v/>
      </c>
      <c r="AO546" s="36" t="str">
        <f aca="false">IF(AN546="Revenue","Revenue",IF(AN546="Cost of Goods Sold","COGS",IF(AN546="Expenditures","Expense",IF(AN546="Other Revenue","Other Revenue",IF(AN546="Other Expenditures","Other Expense",AO545)))))</f>
        <v/>
      </c>
      <c r="AP546" s="36" t="str">
        <f aca="false">IF(OR(AN546="Revenue",AN546="Cost of Goods Sold",AN546="Expenditures",AN546="Other Revenue",AN546="Other Expenditures"),AO546,IF(AND(LEN(AN546)&gt;2,MID(AN546,2,1)=" ",ISNUMBER(VALUE(LEFT(AN546,1)))),AN546,AP545))</f>
        <v/>
      </c>
      <c r="AQ546" s="36" t="n">
        <f aca="false">IF(AND(AN546&lt;&gt;"",ISNUMBER(AL546),LEFT(AN546,9)&lt;&gt;"Total for",AN546&lt;&gt;"Gross Profit",AN546&lt;&gt;"Net Operating Revenue",AN546&lt;&gt;"Net Other Revenue",AN546&lt;&gt;"Net Revenue"),1,0)</f>
        <v>0</v>
      </c>
      <c r="AR546" s="36" t="str">
        <f aca="false">IF(AQ546=1,IF(AND(LEN(AN546)&gt;7,ISNUMBER(VALUE(LEFT(AN546,6))),MID(AN546,7,1)=" "),LEFT(AN546,6),AN546),"")</f>
        <v/>
      </c>
    </row>
    <row r="547" customFormat="false" ht="15" hidden="false" customHeight="false" outlineLevel="0" collapsed="false">
      <c r="D547" s="36" t="str">
        <f aca="false">TRIM(A547)</f>
        <v/>
      </c>
      <c r="E547" s="36" t="str">
        <f aca="false">IF(D547="Revenue","Revenue",IF(D547="Cost of Goods Sold","COGS",IF(D547="Expenditures","Expense",IF(D547="Other Revenue","Other Revenue",IF(D547="Other Expenditures","Other Expense",E546)))))</f>
        <v/>
      </c>
      <c r="F547" s="36" t="str">
        <f aca="false">IF(OR(D547="Revenue",D547="Cost of Goods Sold",D547="Expenditures",D547="Other Revenue",D547="Other Expenditures"),E547,IF(AND(LEN(D547)&gt;2,MID(D547,2,1)=" ",ISNUMBER(VALUE(LEFT(D547,1)))),D547,F546))</f>
        <v/>
      </c>
      <c r="G547" s="36" t="n">
        <f aca="false">IF(AND(D547&lt;&gt;"",ISNUMBER(B547),LEFT(D547,9)&lt;&gt;"Total for",D547&lt;&gt;"Gross Profit",D547&lt;&gt;"Net Operating Revenue",D547&lt;&gt;"Net Other Revenue",D547&lt;&gt;"Net Revenue"),1,0)</f>
        <v>0</v>
      </c>
      <c r="H547" s="36" t="str">
        <f aca="false">IF(G547=1,IF(AND(LEN(D547)&gt;7,ISNUMBER(VALUE(LEFT(D547,6))),MID(D547,7,1)=" "),LEFT(D547,6),D547),"")</f>
        <v/>
      </c>
      <c r="M547" s="36" t="str">
        <f aca="false">TRIM(J547)</f>
        <v/>
      </c>
      <c r="N547" s="36" t="str">
        <f aca="false">IF(M547="Revenue","Revenue",IF(M547="Cost of Goods Sold","COGS",IF(M547="Expenditures","Expense",IF(M547="Other Revenue","Other Revenue",IF(M547="Other Expenditures","Other Expense",N546)))))</f>
        <v/>
      </c>
      <c r="O547" s="36" t="str">
        <f aca="false">IF(OR(M547="Revenue",M547="Cost of Goods Sold",M547="Expenditures",M547="Other Revenue",M547="Other Expenditures"),N547,IF(AND(LEN(M547)&gt;2,MID(M547,2,1)=" ",ISNUMBER(VALUE(LEFT(M547,1)))),M547,O546))</f>
        <v/>
      </c>
      <c r="P547" s="36" t="n">
        <f aca="false">IF(AND(M547&lt;&gt;"",ISNUMBER(K547),LEFT(M547,9)&lt;&gt;"Total for",M547&lt;&gt;"Gross Profit",M547&lt;&gt;"Net Operating Revenue",M547&lt;&gt;"Net Other Revenue",M547&lt;&gt;"Net Revenue"),1,0)</f>
        <v>0</v>
      </c>
      <c r="Q547" s="36" t="str">
        <f aca="false">IF(P547=1,IF(AND(LEN(M547)&gt;7,ISNUMBER(VALUE(LEFT(M547,6))),MID(M547,7,1)=" "),LEFT(M547,6),M547),"")</f>
        <v/>
      </c>
      <c r="V547" s="36" t="str">
        <f aca="false">TRIM(S547)</f>
        <v/>
      </c>
      <c r="W547" s="36" t="str">
        <f aca="false">IF(V547="Revenue","Revenue",IF(V547="Cost of Goods Sold","COGS",IF(V547="Expenditures","Expense",IF(V547="Other Revenue","Other Revenue",IF(V547="Other Expenditures","Other Expense",W546)))))</f>
        <v/>
      </c>
      <c r="X547" s="36" t="str">
        <f aca="false">IF(OR(V547="Revenue",V547="Cost of Goods Sold",V547="Expenditures",V547="Other Revenue",V547="Other Expenditures"),W547,IF(AND(LEN(V547)&gt;2,MID(V547,2,1)=" ",ISNUMBER(VALUE(LEFT(V547,1)))),V547,X546))</f>
        <v/>
      </c>
      <c r="Y547" s="36" t="n">
        <f aca="false">IF(AND(V547&lt;&gt;"",ISNUMBER(T547),LEFT(V547,9)&lt;&gt;"Total for",V547&lt;&gt;"Gross Profit",V547&lt;&gt;"Net Operating Revenue",V547&lt;&gt;"Net Other Revenue",V547&lt;&gt;"Net Revenue"),1,0)</f>
        <v>0</v>
      </c>
      <c r="Z547" s="36" t="str">
        <f aca="false">IF(Y547=1,IF(AND(LEN(V547)&gt;7,ISNUMBER(VALUE(LEFT(V547,6))),MID(V547,7,1)=" "),LEFT(V547,6),V547),"")</f>
        <v/>
      </c>
      <c r="AE547" s="36" t="str">
        <f aca="false">TRIM(AB547)</f>
        <v/>
      </c>
      <c r="AF547" s="36" t="str">
        <f aca="false">IF(AE547="Revenue","Revenue",IF(AE547="Cost of Goods Sold","COGS",IF(AE547="Expenditures","Expense",IF(AE547="Other Revenue","Other Revenue",IF(AE547="Other Expenditures","Other Expense",AF546)))))</f>
        <v/>
      </c>
      <c r="AG547" s="36" t="str">
        <f aca="false">IF(OR(AE547="Revenue",AE547="Cost of Goods Sold",AE547="Expenditures",AE547="Other Revenue",AE547="Other Expenditures"),AF547,IF(AND(LEN(AE547)&gt;2,MID(AE547,2,1)=" ",ISNUMBER(VALUE(LEFT(AE547,1)))),AE547,AG546))</f>
        <v/>
      </c>
      <c r="AH547" s="36" t="n">
        <f aca="false">IF(AND(AE547&lt;&gt;"",ISNUMBER(AC547),LEFT(AE547,9)&lt;&gt;"Total for",AE547&lt;&gt;"Gross Profit",AE547&lt;&gt;"Net Operating Revenue",AE547&lt;&gt;"Net Other Revenue",AE547&lt;&gt;"Net Revenue"),1,0)</f>
        <v>0</v>
      </c>
      <c r="AI547" s="36" t="str">
        <f aca="false">IF(AH547=1,IF(AND(LEN(AE547)&gt;7,ISNUMBER(VALUE(LEFT(AE547,6))),MID(AE547,7,1)=" "),LEFT(AE547,6),AE547),"")</f>
        <v/>
      </c>
      <c r="AN547" s="36" t="str">
        <f aca="false">TRIM(AK547)</f>
        <v/>
      </c>
      <c r="AO547" s="36" t="str">
        <f aca="false">IF(AN547="Revenue","Revenue",IF(AN547="Cost of Goods Sold","COGS",IF(AN547="Expenditures","Expense",IF(AN547="Other Revenue","Other Revenue",IF(AN547="Other Expenditures","Other Expense",AO546)))))</f>
        <v/>
      </c>
      <c r="AP547" s="36" t="str">
        <f aca="false">IF(OR(AN547="Revenue",AN547="Cost of Goods Sold",AN547="Expenditures",AN547="Other Revenue",AN547="Other Expenditures"),AO547,IF(AND(LEN(AN547)&gt;2,MID(AN547,2,1)=" ",ISNUMBER(VALUE(LEFT(AN547,1)))),AN547,AP546))</f>
        <v/>
      </c>
      <c r="AQ547" s="36" t="n">
        <f aca="false">IF(AND(AN547&lt;&gt;"",ISNUMBER(AL547),LEFT(AN547,9)&lt;&gt;"Total for",AN547&lt;&gt;"Gross Profit",AN547&lt;&gt;"Net Operating Revenue",AN547&lt;&gt;"Net Other Revenue",AN547&lt;&gt;"Net Revenue"),1,0)</f>
        <v>0</v>
      </c>
      <c r="AR547" s="36" t="str">
        <f aca="false">IF(AQ547=1,IF(AND(LEN(AN547)&gt;7,ISNUMBER(VALUE(LEFT(AN547,6))),MID(AN547,7,1)=" "),LEFT(AN547,6),AN547),"")</f>
        <v/>
      </c>
    </row>
    <row r="548" customFormat="false" ht="15" hidden="false" customHeight="false" outlineLevel="0" collapsed="false">
      <c r="D548" s="36" t="str">
        <f aca="false">TRIM(A548)</f>
        <v/>
      </c>
      <c r="E548" s="36" t="str">
        <f aca="false">IF(D548="Revenue","Revenue",IF(D548="Cost of Goods Sold","COGS",IF(D548="Expenditures","Expense",IF(D548="Other Revenue","Other Revenue",IF(D548="Other Expenditures","Other Expense",E547)))))</f>
        <v/>
      </c>
      <c r="F548" s="36" t="str">
        <f aca="false">IF(OR(D548="Revenue",D548="Cost of Goods Sold",D548="Expenditures",D548="Other Revenue",D548="Other Expenditures"),E548,IF(AND(LEN(D548)&gt;2,MID(D548,2,1)=" ",ISNUMBER(VALUE(LEFT(D548,1)))),D548,F547))</f>
        <v/>
      </c>
      <c r="G548" s="36" t="n">
        <f aca="false">IF(AND(D548&lt;&gt;"",ISNUMBER(B548),LEFT(D548,9)&lt;&gt;"Total for",D548&lt;&gt;"Gross Profit",D548&lt;&gt;"Net Operating Revenue",D548&lt;&gt;"Net Other Revenue",D548&lt;&gt;"Net Revenue"),1,0)</f>
        <v>0</v>
      </c>
      <c r="H548" s="36" t="str">
        <f aca="false">IF(G548=1,IF(AND(LEN(D548)&gt;7,ISNUMBER(VALUE(LEFT(D548,6))),MID(D548,7,1)=" "),LEFT(D548,6),D548),"")</f>
        <v/>
      </c>
      <c r="M548" s="36" t="str">
        <f aca="false">TRIM(J548)</f>
        <v/>
      </c>
      <c r="N548" s="36" t="str">
        <f aca="false">IF(M548="Revenue","Revenue",IF(M548="Cost of Goods Sold","COGS",IF(M548="Expenditures","Expense",IF(M548="Other Revenue","Other Revenue",IF(M548="Other Expenditures","Other Expense",N547)))))</f>
        <v/>
      </c>
      <c r="O548" s="36" t="str">
        <f aca="false">IF(OR(M548="Revenue",M548="Cost of Goods Sold",M548="Expenditures",M548="Other Revenue",M548="Other Expenditures"),N548,IF(AND(LEN(M548)&gt;2,MID(M548,2,1)=" ",ISNUMBER(VALUE(LEFT(M548,1)))),M548,O547))</f>
        <v/>
      </c>
      <c r="P548" s="36" t="n">
        <f aca="false">IF(AND(M548&lt;&gt;"",ISNUMBER(K548),LEFT(M548,9)&lt;&gt;"Total for",M548&lt;&gt;"Gross Profit",M548&lt;&gt;"Net Operating Revenue",M548&lt;&gt;"Net Other Revenue",M548&lt;&gt;"Net Revenue"),1,0)</f>
        <v>0</v>
      </c>
      <c r="Q548" s="36" t="str">
        <f aca="false">IF(P548=1,IF(AND(LEN(M548)&gt;7,ISNUMBER(VALUE(LEFT(M548,6))),MID(M548,7,1)=" "),LEFT(M548,6),M548),"")</f>
        <v/>
      </c>
      <c r="V548" s="36" t="str">
        <f aca="false">TRIM(S548)</f>
        <v/>
      </c>
      <c r="W548" s="36" t="str">
        <f aca="false">IF(V548="Revenue","Revenue",IF(V548="Cost of Goods Sold","COGS",IF(V548="Expenditures","Expense",IF(V548="Other Revenue","Other Revenue",IF(V548="Other Expenditures","Other Expense",W547)))))</f>
        <v/>
      </c>
      <c r="X548" s="36" t="str">
        <f aca="false">IF(OR(V548="Revenue",V548="Cost of Goods Sold",V548="Expenditures",V548="Other Revenue",V548="Other Expenditures"),W548,IF(AND(LEN(V548)&gt;2,MID(V548,2,1)=" ",ISNUMBER(VALUE(LEFT(V548,1)))),V548,X547))</f>
        <v/>
      </c>
      <c r="Y548" s="36" t="n">
        <f aca="false">IF(AND(V548&lt;&gt;"",ISNUMBER(T548),LEFT(V548,9)&lt;&gt;"Total for",V548&lt;&gt;"Gross Profit",V548&lt;&gt;"Net Operating Revenue",V548&lt;&gt;"Net Other Revenue",V548&lt;&gt;"Net Revenue"),1,0)</f>
        <v>0</v>
      </c>
      <c r="Z548" s="36" t="str">
        <f aca="false">IF(Y548=1,IF(AND(LEN(V548)&gt;7,ISNUMBER(VALUE(LEFT(V548,6))),MID(V548,7,1)=" "),LEFT(V548,6),V548),"")</f>
        <v/>
      </c>
      <c r="AE548" s="36" t="str">
        <f aca="false">TRIM(AB548)</f>
        <v/>
      </c>
      <c r="AF548" s="36" t="str">
        <f aca="false">IF(AE548="Revenue","Revenue",IF(AE548="Cost of Goods Sold","COGS",IF(AE548="Expenditures","Expense",IF(AE548="Other Revenue","Other Revenue",IF(AE548="Other Expenditures","Other Expense",AF547)))))</f>
        <v/>
      </c>
      <c r="AG548" s="36" t="str">
        <f aca="false">IF(OR(AE548="Revenue",AE548="Cost of Goods Sold",AE548="Expenditures",AE548="Other Revenue",AE548="Other Expenditures"),AF548,IF(AND(LEN(AE548)&gt;2,MID(AE548,2,1)=" ",ISNUMBER(VALUE(LEFT(AE548,1)))),AE548,AG547))</f>
        <v/>
      </c>
      <c r="AH548" s="36" t="n">
        <f aca="false">IF(AND(AE548&lt;&gt;"",ISNUMBER(AC548),LEFT(AE548,9)&lt;&gt;"Total for",AE548&lt;&gt;"Gross Profit",AE548&lt;&gt;"Net Operating Revenue",AE548&lt;&gt;"Net Other Revenue",AE548&lt;&gt;"Net Revenue"),1,0)</f>
        <v>0</v>
      </c>
      <c r="AI548" s="36" t="str">
        <f aca="false">IF(AH548=1,IF(AND(LEN(AE548)&gt;7,ISNUMBER(VALUE(LEFT(AE548,6))),MID(AE548,7,1)=" "),LEFT(AE548,6),AE548),"")</f>
        <v/>
      </c>
      <c r="AN548" s="36" t="str">
        <f aca="false">TRIM(AK548)</f>
        <v/>
      </c>
      <c r="AO548" s="36" t="str">
        <f aca="false">IF(AN548="Revenue","Revenue",IF(AN548="Cost of Goods Sold","COGS",IF(AN548="Expenditures","Expense",IF(AN548="Other Revenue","Other Revenue",IF(AN548="Other Expenditures","Other Expense",AO547)))))</f>
        <v/>
      </c>
      <c r="AP548" s="36" t="str">
        <f aca="false">IF(OR(AN548="Revenue",AN548="Cost of Goods Sold",AN548="Expenditures",AN548="Other Revenue",AN548="Other Expenditures"),AO548,IF(AND(LEN(AN548)&gt;2,MID(AN548,2,1)=" ",ISNUMBER(VALUE(LEFT(AN548,1)))),AN548,AP547))</f>
        <v/>
      </c>
      <c r="AQ548" s="36" t="n">
        <f aca="false">IF(AND(AN548&lt;&gt;"",ISNUMBER(AL548),LEFT(AN548,9)&lt;&gt;"Total for",AN548&lt;&gt;"Gross Profit",AN548&lt;&gt;"Net Operating Revenue",AN548&lt;&gt;"Net Other Revenue",AN548&lt;&gt;"Net Revenue"),1,0)</f>
        <v>0</v>
      </c>
      <c r="AR548" s="36" t="str">
        <f aca="false">IF(AQ548=1,IF(AND(LEN(AN548)&gt;7,ISNUMBER(VALUE(LEFT(AN548,6))),MID(AN548,7,1)=" "),LEFT(AN548,6),AN548),"")</f>
        <v/>
      </c>
    </row>
    <row r="549" customFormat="false" ht="15" hidden="false" customHeight="false" outlineLevel="0" collapsed="false">
      <c r="D549" s="36" t="str">
        <f aca="false">TRIM(A549)</f>
        <v/>
      </c>
      <c r="E549" s="36" t="str">
        <f aca="false">IF(D549="Revenue","Revenue",IF(D549="Cost of Goods Sold","COGS",IF(D549="Expenditures","Expense",IF(D549="Other Revenue","Other Revenue",IF(D549="Other Expenditures","Other Expense",E548)))))</f>
        <v/>
      </c>
      <c r="F549" s="36" t="str">
        <f aca="false">IF(OR(D549="Revenue",D549="Cost of Goods Sold",D549="Expenditures",D549="Other Revenue",D549="Other Expenditures"),E549,IF(AND(LEN(D549)&gt;2,MID(D549,2,1)=" ",ISNUMBER(VALUE(LEFT(D549,1)))),D549,F548))</f>
        <v/>
      </c>
      <c r="G549" s="36" t="n">
        <f aca="false">IF(AND(D549&lt;&gt;"",ISNUMBER(B549),LEFT(D549,9)&lt;&gt;"Total for",D549&lt;&gt;"Gross Profit",D549&lt;&gt;"Net Operating Revenue",D549&lt;&gt;"Net Other Revenue",D549&lt;&gt;"Net Revenue"),1,0)</f>
        <v>0</v>
      </c>
      <c r="H549" s="36" t="str">
        <f aca="false">IF(G549=1,IF(AND(LEN(D549)&gt;7,ISNUMBER(VALUE(LEFT(D549,6))),MID(D549,7,1)=" "),LEFT(D549,6),D549),"")</f>
        <v/>
      </c>
      <c r="M549" s="36" t="str">
        <f aca="false">TRIM(J549)</f>
        <v/>
      </c>
      <c r="N549" s="36" t="str">
        <f aca="false">IF(M549="Revenue","Revenue",IF(M549="Cost of Goods Sold","COGS",IF(M549="Expenditures","Expense",IF(M549="Other Revenue","Other Revenue",IF(M549="Other Expenditures","Other Expense",N548)))))</f>
        <v/>
      </c>
      <c r="O549" s="36" t="str">
        <f aca="false">IF(OR(M549="Revenue",M549="Cost of Goods Sold",M549="Expenditures",M549="Other Revenue",M549="Other Expenditures"),N549,IF(AND(LEN(M549)&gt;2,MID(M549,2,1)=" ",ISNUMBER(VALUE(LEFT(M549,1)))),M549,O548))</f>
        <v/>
      </c>
      <c r="P549" s="36" t="n">
        <f aca="false">IF(AND(M549&lt;&gt;"",ISNUMBER(K549),LEFT(M549,9)&lt;&gt;"Total for",M549&lt;&gt;"Gross Profit",M549&lt;&gt;"Net Operating Revenue",M549&lt;&gt;"Net Other Revenue",M549&lt;&gt;"Net Revenue"),1,0)</f>
        <v>0</v>
      </c>
      <c r="Q549" s="36" t="str">
        <f aca="false">IF(P549=1,IF(AND(LEN(M549)&gt;7,ISNUMBER(VALUE(LEFT(M549,6))),MID(M549,7,1)=" "),LEFT(M549,6),M549),"")</f>
        <v/>
      </c>
      <c r="V549" s="36" t="str">
        <f aca="false">TRIM(S549)</f>
        <v/>
      </c>
      <c r="W549" s="36" t="str">
        <f aca="false">IF(V549="Revenue","Revenue",IF(V549="Cost of Goods Sold","COGS",IF(V549="Expenditures","Expense",IF(V549="Other Revenue","Other Revenue",IF(V549="Other Expenditures","Other Expense",W548)))))</f>
        <v/>
      </c>
      <c r="X549" s="36" t="str">
        <f aca="false">IF(OR(V549="Revenue",V549="Cost of Goods Sold",V549="Expenditures",V549="Other Revenue",V549="Other Expenditures"),W549,IF(AND(LEN(V549)&gt;2,MID(V549,2,1)=" ",ISNUMBER(VALUE(LEFT(V549,1)))),V549,X548))</f>
        <v/>
      </c>
      <c r="Y549" s="36" t="n">
        <f aca="false">IF(AND(V549&lt;&gt;"",ISNUMBER(T549),LEFT(V549,9)&lt;&gt;"Total for",V549&lt;&gt;"Gross Profit",V549&lt;&gt;"Net Operating Revenue",V549&lt;&gt;"Net Other Revenue",V549&lt;&gt;"Net Revenue"),1,0)</f>
        <v>0</v>
      </c>
      <c r="Z549" s="36" t="str">
        <f aca="false">IF(Y549=1,IF(AND(LEN(V549)&gt;7,ISNUMBER(VALUE(LEFT(V549,6))),MID(V549,7,1)=" "),LEFT(V549,6),V549),"")</f>
        <v/>
      </c>
      <c r="AE549" s="36" t="str">
        <f aca="false">TRIM(AB549)</f>
        <v/>
      </c>
      <c r="AF549" s="36" t="str">
        <f aca="false">IF(AE549="Revenue","Revenue",IF(AE549="Cost of Goods Sold","COGS",IF(AE549="Expenditures","Expense",IF(AE549="Other Revenue","Other Revenue",IF(AE549="Other Expenditures","Other Expense",AF548)))))</f>
        <v/>
      </c>
      <c r="AG549" s="36" t="str">
        <f aca="false">IF(OR(AE549="Revenue",AE549="Cost of Goods Sold",AE549="Expenditures",AE549="Other Revenue",AE549="Other Expenditures"),AF549,IF(AND(LEN(AE549)&gt;2,MID(AE549,2,1)=" ",ISNUMBER(VALUE(LEFT(AE549,1)))),AE549,AG548))</f>
        <v/>
      </c>
      <c r="AH549" s="36" t="n">
        <f aca="false">IF(AND(AE549&lt;&gt;"",ISNUMBER(AC549),LEFT(AE549,9)&lt;&gt;"Total for",AE549&lt;&gt;"Gross Profit",AE549&lt;&gt;"Net Operating Revenue",AE549&lt;&gt;"Net Other Revenue",AE549&lt;&gt;"Net Revenue"),1,0)</f>
        <v>0</v>
      </c>
      <c r="AI549" s="36" t="str">
        <f aca="false">IF(AH549=1,IF(AND(LEN(AE549)&gt;7,ISNUMBER(VALUE(LEFT(AE549,6))),MID(AE549,7,1)=" "),LEFT(AE549,6),AE549),"")</f>
        <v/>
      </c>
      <c r="AN549" s="36" t="str">
        <f aca="false">TRIM(AK549)</f>
        <v/>
      </c>
      <c r="AO549" s="36" t="str">
        <f aca="false">IF(AN549="Revenue","Revenue",IF(AN549="Cost of Goods Sold","COGS",IF(AN549="Expenditures","Expense",IF(AN549="Other Revenue","Other Revenue",IF(AN549="Other Expenditures","Other Expense",AO548)))))</f>
        <v/>
      </c>
      <c r="AP549" s="36" t="str">
        <f aca="false">IF(OR(AN549="Revenue",AN549="Cost of Goods Sold",AN549="Expenditures",AN549="Other Revenue",AN549="Other Expenditures"),AO549,IF(AND(LEN(AN549)&gt;2,MID(AN549,2,1)=" ",ISNUMBER(VALUE(LEFT(AN549,1)))),AN549,AP548))</f>
        <v/>
      </c>
      <c r="AQ549" s="36" t="n">
        <f aca="false">IF(AND(AN549&lt;&gt;"",ISNUMBER(AL549),LEFT(AN549,9)&lt;&gt;"Total for",AN549&lt;&gt;"Gross Profit",AN549&lt;&gt;"Net Operating Revenue",AN549&lt;&gt;"Net Other Revenue",AN549&lt;&gt;"Net Revenue"),1,0)</f>
        <v>0</v>
      </c>
      <c r="AR549" s="36" t="str">
        <f aca="false">IF(AQ549=1,IF(AND(LEN(AN549)&gt;7,ISNUMBER(VALUE(LEFT(AN549,6))),MID(AN549,7,1)=" "),LEFT(AN549,6),AN549),"")</f>
        <v/>
      </c>
    </row>
    <row r="550" customFormat="false" ht="15" hidden="false" customHeight="false" outlineLevel="0" collapsed="false">
      <c r="D550" s="36" t="str">
        <f aca="false">TRIM(A550)</f>
        <v/>
      </c>
      <c r="E550" s="36" t="str">
        <f aca="false">IF(D550="Revenue","Revenue",IF(D550="Cost of Goods Sold","COGS",IF(D550="Expenditures","Expense",IF(D550="Other Revenue","Other Revenue",IF(D550="Other Expenditures","Other Expense",E549)))))</f>
        <v/>
      </c>
      <c r="F550" s="36" t="str">
        <f aca="false">IF(OR(D550="Revenue",D550="Cost of Goods Sold",D550="Expenditures",D550="Other Revenue",D550="Other Expenditures"),E550,IF(AND(LEN(D550)&gt;2,MID(D550,2,1)=" ",ISNUMBER(VALUE(LEFT(D550,1)))),D550,F549))</f>
        <v/>
      </c>
      <c r="G550" s="36" t="n">
        <f aca="false">IF(AND(D550&lt;&gt;"",ISNUMBER(B550),LEFT(D550,9)&lt;&gt;"Total for",D550&lt;&gt;"Gross Profit",D550&lt;&gt;"Net Operating Revenue",D550&lt;&gt;"Net Other Revenue",D550&lt;&gt;"Net Revenue"),1,0)</f>
        <v>0</v>
      </c>
      <c r="H550" s="36" t="str">
        <f aca="false">IF(G550=1,IF(AND(LEN(D550)&gt;7,ISNUMBER(VALUE(LEFT(D550,6))),MID(D550,7,1)=" "),LEFT(D550,6),D550),"")</f>
        <v/>
      </c>
      <c r="M550" s="36" t="str">
        <f aca="false">TRIM(J550)</f>
        <v/>
      </c>
      <c r="N550" s="36" t="str">
        <f aca="false">IF(M550="Revenue","Revenue",IF(M550="Cost of Goods Sold","COGS",IF(M550="Expenditures","Expense",IF(M550="Other Revenue","Other Revenue",IF(M550="Other Expenditures","Other Expense",N549)))))</f>
        <v/>
      </c>
      <c r="O550" s="36" t="str">
        <f aca="false">IF(OR(M550="Revenue",M550="Cost of Goods Sold",M550="Expenditures",M550="Other Revenue",M550="Other Expenditures"),N550,IF(AND(LEN(M550)&gt;2,MID(M550,2,1)=" ",ISNUMBER(VALUE(LEFT(M550,1)))),M550,O549))</f>
        <v/>
      </c>
      <c r="P550" s="36" t="n">
        <f aca="false">IF(AND(M550&lt;&gt;"",ISNUMBER(K550),LEFT(M550,9)&lt;&gt;"Total for",M550&lt;&gt;"Gross Profit",M550&lt;&gt;"Net Operating Revenue",M550&lt;&gt;"Net Other Revenue",M550&lt;&gt;"Net Revenue"),1,0)</f>
        <v>0</v>
      </c>
      <c r="Q550" s="36" t="str">
        <f aca="false">IF(P550=1,IF(AND(LEN(M550)&gt;7,ISNUMBER(VALUE(LEFT(M550,6))),MID(M550,7,1)=" "),LEFT(M550,6),M550),"")</f>
        <v/>
      </c>
      <c r="V550" s="36" t="str">
        <f aca="false">TRIM(S550)</f>
        <v/>
      </c>
      <c r="W550" s="36" t="str">
        <f aca="false">IF(V550="Revenue","Revenue",IF(V550="Cost of Goods Sold","COGS",IF(V550="Expenditures","Expense",IF(V550="Other Revenue","Other Revenue",IF(V550="Other Expenditures","Other Expense",W549)))))</f>
        <v/>
      </c>
      <c r="X550" s="36" t="str">
        <f aca="false">IF(OR(V550="Revenue",V550="Cost of Goods Sold",V550="Expenditures",V550="Other Revenue",V550="Other Expenditures"),W550,IF(AND(LEN(V550)&gt;2,MID(V550,2,1)=" ",ISNUMBER(VALUE(LEFT(V550,1)))),V550,X549))</f>
        <v/>
      </c>
      <c r="Y550" s="36" t="n">
        <f aca="false">IF(AND(V550&lt;&gt;"",ISNUMBER(T550),LEFT(V550,9)&lt;&gt;"Total for",V550&lt;&gt;"Gross Profit",V550&lt;&gt;"Net Operating Revenue",V550&lt;&gt;"Net Other Revenue",V550&lt;&gt;"Net Revenue"),1,0)</f>
        <v>0</v>
      </c>
      <c r="Z550" s="36" t="str">
        <f aca="false">IF(Y550=1,IF(AND(LEN(V550)&gt;7,ISNUMBER(VALUE(LEFT(V550,6))),MID(V550,7,1)=" "),LEFT(V550,6),V550),"")</f>
        <v/>
      </c>
      <c r="AE550" s="36" t="str">
        <f aca="false">TRIM(AB550)</f>
        <v/>
      </c>
      <c r="AF550" s="36" t="str">
        <f aca="false">IF(AE550="Revenue","Revenue",IF(AE550="Cost of Goods Sold","COGS",IF(AE550="Expenditures","Expense",IF(AE550="Other Revenue","Other Revenue",IF(AE550="Other Expenditures","Other Expense",AF549)))))</f>
        <v/>
      </c>
      <c r="AG550" s="36" t="str">
        <f aca="false">IF(OR(AE550="Revenue",AE550="Cost of Goods Sold",AE550="Expenditures",AE550="Other Revenue",AE550="Other Expenditures"),AF550,IF(AND(LEN(AE550)&gt;2,MID(AE550,2,1)=" ",ISNUMBER(VALUE(LEFT(AE550,1)))),AE550,AG549))</f>
        <v/>
      </c>
      <c r="AH550" s="36" t="n">
        <f aca="false">IF(AND(AE550&lt;&gt;"",ISNUMBER(AC550),LEFT(AE550,9)&lt;&gt;"Total for",AE550&lt;&gt;"Gross Profit",AE550&lt;&gt;"Net Operating Revenue",AE550&lt;&gt;"Net Other Revenue",AE550&lt;&gt;"Net Revenue"),1,0)</f>
        <v>0</v>
      </c>
      <c r="AI550" s="36" t="str">
        <f aca="false">IF(AH550=1,IF(AND(LEN(AE550)&gt;7,ISNUMBER(VALUE(LEFT(AE550,6))),MID(AE550,7,1)=" "),LEFT(AE550,6),AE550),"")</f>
        <v/>
      </c>
      <c r="AN550" s="36" t="str">
        <f aca="false">TRIM(AK550)</f>
        <v/>
      </c>
      <c r="AO550" s="36" t="str">
        <f aca="false">IF(AN550="Revenue","Revenue",IF(AN550="Cost of Goods Sold","COGS",IF(AN550="Expenditures","Expense",IF(AN550="Other Revenue","Other Revenue",IF(AN550="Other Expenditures","Other Expense",AO549)))))</f>
        <v/>
      </c>
      <c r="AP550" s="36" t="str">
        <f aca="false">IF(OR(AN550="Revenue",AN550="Cost of Goods Sold",AN550="Expenditures",AN550="Other Revenue",AN550="Other Expenditures"),AO550,IF(AND(LEN(AN550)&gt;2,MID(AN550,2,1)=" ",ISNUMBER(VALUE(LEFT(AN550,1)))),AN550,AP549))</f>
        <v/>
      </c>
      <c r="AQ550" s="36" t="n">
        <f aca="false">IF(AND(AN550&lt;&gt;"",ISNUMBER(AL550),LEFT(AN550,9)&lt;&gt;"Total for",AN550&lt;&gt;"Gross Profit",AN550&lt;&gt;"Net Operating Revenue",AN550&lt;&gt;"Net Other Revenue",AN550&lt;&gt;"Net Revenue"),1,0)</f>
        <v>0</v>
      </c>
      <c r="AR550" s="36" t="str">
        <f aca="false">IF(AQ550=1,IF(AND(LEN(AN550)&gt;7,ISNUMBER(VALUE(LEFT(AN550,6))),MID(AN550,7,1)=" "),LEFT(AN550,6),AN550),"")</f>
        <v/>
      </c>
    </row>
    <row r="551" customFormat="false" ht="15" hidden="false" customHeight="false" outlineLevel="0" collapsed="false">
      <c r="D551" s="36" t="str">
        <f aca="false">TRIM(A551)</f>
        <v/>
      </c>
      <c r="E551" s="36" t="str">
        <f aca="false">IF(D551="Revenue","Revenue",IF(D551="Cost of Goods Sold","COGS",IF(D551="Expenditures","Expense",IF(D551="Other Revenue","Other Revenue",IF(D551="Other Expenditures","Other Expense",E550)))))</f>
        <v/>
      </c>
      <c r="F551" s="36" t="str">
        <f aca="false">IF(OR(D551="Revenue",D551="Cost of Goods Sold",D551="Expenditures",D551="Other Revenue",D551="Other Expenditures"),E551,IF(AND(LEN(D551)&gt;2,MID(D551,2,1)=" ",ISNUMBER(VALUE(LEFT(D551,1)))),D551,F550))</f>
        <v/>
      </c>
      <c r="G551" s="36" t="n">
        <f aca="false">IF(AND(D551&lt;&gt;"",ISNUMBER(B551),LEFT(D551,9)&lt;&gt;"Total for",D551&lt;&gt;"Gross Profit",D551&lt;&gt;"Net Operating Revenue",D551&lt;&gt;"Net Other Revenue",D551&lt;&gt;"Net Revenue"),1,0)</f>
        <v>0</v>
      </c>
      <c r="H551" s="36" t="str">
        <f aca="false">IF(G551=1,IF(AND(LEN(D551)&gt;7,ISNUMBER(VALUE(LEFT(D551,6))),MID(D551,7,1)=" "),LEFT(D551,6),D551),"")</f>
        <v/>
      </c>
      <c r="M551" s="36" t="str">
        <f aca="false">TRIM(J551)</f>
        <v/>
      </c>
      <c r="N551" s="36" t="str">
        <f aca="false">IF(M551="Revenue","Revenue",IF(M551="Cost of Goods Sold","COGS",IF(M551="Expenditures","Expense",IF(M551="Other Revenue","Other Revenue",IF(M551="Other Expenditures","Other Expense",N550)))))</f>
        <v/>
      </c>
      <c r="O551" s="36" t="str">
        <f aca="false">IF(OR(M551="Revenue",M551="Cost of Goods Sold",M551="Expenditures",M551="Other Revenue",M551="Other Expenditures"),N551,IF(AND(LEN(M551)&gt;2,MID(M551,2,1)=" ",ISNUMBER(VALUE(LEFT(M551,1)))),M551,O550))</f>
        <v/>
      </c>
      <c r="P551" s="36" t="n">
        <f aca="false">IF(AND(M551&lt;&gt;"",ISNUMBER(K551),LEFT(M551,9)&lt;&gt;"Total for",M551&lt;&gt;"Gross Profit",M551&lt;&gt;"Net Operating Revenue",M551&lt;&gt;"Net Other Revenue",M551&lt;&gt;"Net Revenue"),1,0)</f>
        <v>0</v>
      </c>
      <c r="Q551" s="36" t="str">
        <f aca="false">IF(P551=1,IF(AND(LEN(M551)&gt;7,ISNUMBER(VALUE(LEFT(M551,6))),MID(M551,7,1)=" "),LEFT(M551,6),M551),"")</f>
        <v/>
      </c>
      <c r="V551" s="36" t="str">
        <f aca="false">TRIM(S551)</f>
        <v/>
      </c>
      <c r="W551" s="36" t="str">
        <f aca="false">IF(V551="Revenue","Revenue",IF(V551="Cost of Goods Sold","COGS",IF(V551="Expenditures","Expense",IF(V551="Other Revenue","Other Revenue",IF(V551="Other Expenditures","Other Expense",W550)))))</f>
        <v/>
      </c>
      <c r="X551" s="36" t="str">
        <f aca="false">IF(OR(V551="Revenue",V551="Cost of Goods Sold",V551="Expenditures",V551="Other Revenue",V551="Other Expenditures"),W551,IF(AND(LEN(V551)&gt;2,MID(V551,2,1)=" ",ISNUMBER(VALUE(LEFT(V551,1)))),V551,X550))</f>
        <v/>
      </c>
      <c r="Y551" s="36" t="n">
        <f aca="false">IF(AND(V551&lt;&gt;"",ISNUMBER(T551),LEFT(V551,9)&lt;&gt;"Total for",V551&lt;&gt;"Gross Profit",V551&lt;&gt;"Net Operating Revenue",V551&lt;&gt;"Net Other Revenue",V551&lt;&gt;"Net Revenue"),1,0)</f>
        <v>0</v>
      </c>
      <c r="Z551" s="36" t="str">
        <f aca="false">IF(Y551=1,IF(AND(LEN(V551)&gt;7,ISNUMBER(VALUE(LEFT(V551,6))),MID(V551,7,1)=" "),LEFT(V551,6),V551),"")</f>
        <v/>
      </c>
      <c r="AE551" s="36" t="str">
        <f aca="false">TRIM(AB551)</f>
        <v/>
      </c>
      <c r="AF551" s="36" t="str">
        <f aca="false">IF(AE551="Revenue","Revenue",IF(AE551="Cost of Goods Sold","COGS",IF(AE551="Expenditures","Expense",IF(AE551="Other Revenue","Other Revenue",IF(AE551="Other Expenditures","Other Expense",AF550)))))</f>
        <v/>
      </c>
      <c r="AG551" s="36" t="str">
        <f aca="false">IF(OR(AE551="Revenue",AE551="Cost of Goods Sold",AE551="Expenditures",AE551="Other Revenue",AE551="Other Expenditures"),AF551,IF(AND(LEN(AE551)&gt;2,MID(AE551,2,1)=" ",ISNUMBER(VALUE(LEFT(AE551,1)))),AE551,AG550))</f>
        <v/>
      </c>
      <c r="AH551" s="36" t="n">
        <f aca="false">IF(AND(AE551&lt;&gt;"",ISNUMBER(AC551),LEFT(AE551,9)&lt;&gt;"Total for",AE551&lt;&gt;"Gross Profit",AE551&lt;&gt;"Net Operating Revenue",AE551&lt;&gt;"Net Other Revenue",AE551&lt;&gt;"Net Revenue"),1,0)</f>
        <v>0</v>
      </c>
      <c r="AI551" s="36" t="str">
        <f aca="false">IF(AH551=1,IF(AND(LEN(AE551)&gt;7,ISNUMBER(VALUE(LEFT(AE551,6))),MID(AE551,7,1)=" "),LEFT(AE551,6),AE551),"")</f>
        <v/>
      </c>
      <c r="AN551" s="36" t="str">
        <f aca="false">TRIM(AK551)</f>
        <v/>
      </c>
      <c r="AO551" s="36" t="str">
        <f aca="false">IF(AN551="Revenue","Revenue",IF(AN551="Cost of Goods Sold","COGS",IF(AN551="Expenditures","Expense",IF(AN551="Other Revenue","Other Revenue",IF(AN551="Other Expenditures","Other Expense",AO550)))))</f>
        <v/>
      </c>
      <c r="AP551" s="36" t="str">
        <f aca="false">IF(OR(AN551="Revenue",AN551="Cost of Goods Sold",AN551="Expenditures",AN551="Other Revenue",AN551="Other Expenditures"),AO551,IF(AND(LEN(AN551)&gt;2,MID(AN551,2,1)=" ",ISNUMBER(VALUE(LEFT(AN551,1)))),AN551,AP550))</f>
        <v/>
      </c>
      <c r="AQ551" s="36" t="n">
        <f aca="false">IF(AND(AN551&lt;&gt;"",ISNUMBER(AL551),LEFT(AN551,9)&lt;&gt;"Total for",AN551&lt;&gt;"Gross Profit",AN551&lt;&gt;"Net Operating Revenue",AN551&lt;&gt;"Net Other Revenue",AN551&lt;&gt;"Net Revenue"),1,0)</f>
        <v>0</v>
      </c>
      <c r="AR551" s="36" t="str">
        <f aca="false">IF(AQ551=1,IF(AND(LEN(AN551)&gt;7,ISNUMBER(VALUE(LEFT(AN551,6))),MID(AN551,7,1)=" "),LEFT(AN551,6),AN551),"")</f>
        <v/>
      </c>
    </row>
    <row r="552" customFormat="false" ht="15" hidden="false" customHeight="false" outlineLevel="0" collapsed="false">
      <c r="D552" s="36" t="str">
        <f aca="false">TRIM(A552)</f>
        <v/>
      </c>
      <c r="E552" s="36" t="str">
        <f aca="false">IF(D552="Revenue","Revenue",IF(D552="Cost of Goods Sold","COGS",IF(D552="Expenditures","Expense",IF(D552="Other Revenue","Other Revenue",IF(D552="Other Expenditures","Other Expense",E551)))))</f>
        <v/>
      </c>
      <c r="F552" s="36" t="str">
        <f aca="false">IF(OR(D552="Revenue",D552="Cost of Goods Sold",D552="Expenditures",D552="Other Revenue",D552="Other Expenditures"),E552,IF(AND(LEN(D552)&gt;2,MID(D552,2,1)=" ",ISNUMBER(VALUE(LEFT(D552,1)))),D552,F551))</f>
        <v/>
      </c>
      <c r="G552" s="36" t="n">
        <f aca="false">IF(AND(D552&lt;&gt;"",ISNUMBER(B552),LEFT(D552,9)&lt;&gt;"Total for",D552&lt;&gt;"Gross Profit",D552&lt;&gt;"Net Operating Revenue",D552&lt;&gt;"Net Other Revenue",D552&lt;&gt;"Net Revenue"),1,0)</f>
        <v>0</v>
      </c>
      <c r="H552" s="36" t="str">
        <f aca="false">IF(G552=1,IF(AND(LEN(D552)&gt;7,ISNUMBER(VALUE(LEFT(D552,6))),MID(D552,7,1)=" "),LEFT(D552,6),D552),"")</f>
        <v/>
      </c>
      <c r="M552" s="36" t="str">
        <f aca="false">TRIM(J552)</f>
        <v/>
      </c>
      <c r="N552" s="36" t="str">
        <f aca="false">IF(M552="Revenue","Revenue",IF(M552="Cost of Goods Sold","COGS",IF(M552="Expenditures","Expense",IF(M552="Other Revenue","Other Revenue",IF(M552="Other Expenditures","Other Expense",N551)))))</f>
        <v/>
      </c>
      <c r="O552" s="36" t="str">
        <f aca="false">IF(OR(M552="Revenue",M552="Cost of Goods Sold",M552="Expenditures",M552="Other Revenue",M552="Other Expenditures"),N552,IF(AND(LEN(M552)&gt;2,MID(M552,2,1)=" ",ISNUMBER(VALUE(LEFT(M552,1)))),M552,O551))</f>
        <v/>
      </c>
      <c r="P552" s="36" t="n">
        <f aca="false">IF(AND(M552&lt;&gt;"",ISNUMBER(K552),LEFT(M552,9)&lt;&gt;"Total for",M552&lt;&gt;"Gross Profit",M552&lt;&gt;"Net Operating Revenue",M552&lt;&gt;"Net Other Revenue",M552&lt;&gt;"Net Revenue"),1,0)</f>
        <v>0</v>
      </c>
      <c r="Q552" s="36" t="str">
        <f aca="false">IF(P552=1,IF(AND(LEN(M552)&gt;7,ISNUMBER(VALUE(LEFT(M552,6))),MID(M552,7,1)=" "),LEFT(M552,6),M552),"")</f>
        <v/>
      </c>
      <c r="V552" s="36" t="str">
        <f aca="false">TRIM(S552)</f>
        <v/>
      </c>
      <c r="W552" s="36" t="str">
        <f aca="false">IF(V552="Revenue","Revenue",IF(V552="Cost of Goods Sold","COGS",IF(V552="Expenditures","Expense",IF(V552="Other Revenue","Other Revenue",IF(V552="Other Expenditures","Other Expense",W551)))))</f>
        <v/>
      </c>
      <c r="X552" s="36" t="str">
        <f aca="false">IF(OR(V552="Revenue",V552="Cost of Goods Sold",V552="Expenditures",V552="Other Revenue",V552="Other Expenditures"),W552,IF(AND(LEN(V552)&gt;2,MID(V552,2,1)=" ",ISNUMBER(VALUE(LEFT(V552,1)))),V552,X551))</f>
        <v/>
      </c>
      <c r="Y552" s="36" t="n">
        <f aca="false">IF(AND(V552&lt;&gt;"",ISNUMBER(T552),LEFT(V552,9)&lt;&gt;"Total for",V552&lt;&gt;"Gross Profit",V552&lt;&gt;"Net Operating Revenue",V552&lt;&gt;"Net Other Revenue",V552&lt;&gt;"Net Revenue"),1,0)</f>
        <v>0</v>
      </c>
      <c r="Z552" s="36" t="str">
        <f aca="false">IF(Y552=1,IF(AND(LEN(V552)&gt;7,ISNUMBER(VALUE(LEFT(V552,6))),MID(V552,7,1)=" "),LEFT(V552,6),V552),"")</f>
        <v/>
      </c>
      <c r="AE552" s="36" t="str">
        <f aca="false">TRIM(AB552)</f>
        <v/>
      </c>
      <c r="AF552" s="36" t="str">
        <f aca="false">IF(AE552="Revenue","Revenue",IF(AE552="Cost of Goods Sold","COGS",IF(AE552="Expenditures","Expense",IF(AE552="Other Revenue","Other Revenue",IF(AE552="Other Expenditures","Other Expense",AF551)))))</f>
        <v/>
      </c>
      <c r="AG552" s="36" t="str">
        <f aca="false">IF(OR(AE552="Revenue",AE552="Cost of Goods Sold",AE552="Expenditures",AE552="Other Revenue",AE552="Other Expenditures"),AF552,IF(AND(LEN(AE552)&gt;2,MID(AE552,2,1)=" ",ISNUMBER(VALUE(LEFT(AE552,1)))),AE552,AG551))</f>
        <v/>
      </c>
      <c r="AH552" s="36" t="n">
        <f aca="false">IF(AND(AE552&lt;&gt;"",ISNUMBER(AC552),LEFT(AE552,9)&lt;&gt;"Total for",AE552&lt;&gt;"Gross Profit",AE552&lt;&gt;"Net Operating Revenue",AE552&lt;&gt;"Net Other Revenue",AE552&lt;&gt;"Net Revenue"),1,0)</f>
        <v>0</v>
      </c>
      <c r="AI552" s="36" t="str">
        <f aca="false">IF(AH552=1,IF(AND(LEN(AE552)&gt;7,ISNUMBER(VALUE(LEFT(AE552,6))),MID(AE552,7,1)=" "),LEFT(AE552,6),AE552),"")</f>
        <v/>
      </c>
      <c r="AN552" s="36" t="str">
        <f aca="false">TRIM(AK552)</f>
        <v/>
      </c>
      <c r="AO552" s="36" t="str">
        <f aca="false">IF(AN552="Revenue","Revenue",IF(AN552="Cost of Goods Sold","COGS",IF(AN552="Expenditures","Expense",IF(AN552="Other Revenue","Other Revenue",IF(AN552="Other Expenditures","Other Expense",AO551)))))</f>
        <v/>
      </c>
      <c r="AP552" s="36" t="str">
        <f aca="false">IF(OR(AN552="Revenue",AN552="Cost of Goods Sold",AN552="Expenditures",AN552="Other Revenue",AN552="Other Expenditures"),AO552,IF(AND(LEN(AN552)&gt;2,MID(AN552,2,1)=" ",ISNUMBER(VALUE(LEFT(AN552,1)))),AN552,AP551))</f>
        <v/>
      </c>
      <c r="AQ552" s="36" t="n">
        <f aca="false">IF(AND(AN552&lt;&gt;"",ISNUMBER(AL552),LEFT(AN552,9)&lt;&gt;"Total for",AN552&lt;&gt;"Gross Profit",AN552&lt;&gt;"Net Operating Revenue",AN552&lt;&gt;"Net Other Revenue",AN552&lt;&gt;"Net Revenue"),1,0)</f>
        <v>0</v>
      </c>
      <c r="AR552" s="36" t="str">
        <f aca="false">IF(AQ552=1,IF(AND(LEN(AN552)&gt;7,ISNUMBER(VALUE(LEFT(AN552,6))),MID(AN552,7,1)=" "),LEFT(AN552,6),AN552),"")</f>
        <v/>
      </c>
    </row>
    <row r="553" customFormat="false" ht="15" hidden="false" customHeight="false" outlineLevel="0" collapsed="false">
      <c r="D553" s="36" t="str">
        <f aca="false">TRIM(A553)</f>
        <v/>
      </c>
      <c r="E553" s="36" t="str">
        <f aca="false">IF(D553="Revenue","Revenue",IF(D553="Cost of Goods Sold","COGS",IF(D553="Expenditures","Expense",IF(D553="Other Revenue","Other Revenue",IF(D553="Other Expenditures","Other Expense",E552)))))</f>
        <v/>
      </c>
      <c r="F553" s="36" t="str">
        <f aca="false">IF(OR(D553="Revenue",D553="Cost of Goods Sold",D553="Expenditures",D553="Other Revenue",D553="Other Expenditures"),E553,IF(AND(LEN(D553)&gt;2,MID(D553,2,1)=" ",ISNUMBER(VALUE(LEFT(D553,1)))),D553,F552))</f>
        <v/>
      </c>
      <c r="G553" s="36" t="n">
        <f aca="false">IF(AND(D553&lt;&gt;"",ISNUMBER(B553),LEFT(D553,9)&lt;&gt;"Total for",D553&lt;&gt;"Gross Profit",D553&lt;&gt;"Net Operating Revenue",D553&lt;&gt;"Net Other Revenue",D553&lt;&gt;"Net Revenue"),1,0)</f>
        <v>0</v>
      </c>
      <c r="H553" s="36" t="str">
        <f aca="false">IF(G553=1,IF(AND(LEN(D553)&gt;7,ISNUMBER(VALUE(LEFT(D553,6))),MID(D553,7,1)=" "),LEFT(D553,6),D553),"")</f>
        <v/>
      </c>
      <c r="M553" s="36" t="str">
        <f aca="false">TRIM(J553)</f>
        <v/>
      </c>
      <c r="N553" s="36" t="str">
        <f aca="false">IF(M553="Revenue","Revenue",IF(M553="Cost of Goods Sold","COGS",IF(M553="Expenditures","Expense",IF(M553="Other Revenue","Other Revenue",IF(M553="Other Expenditures","Other Expense",N552)))))</f>
        <v/>
      </c>
      <c r="O553" s="36" t="str">
        <f aca="false">IF(OR(M553="Revenue",M553="Cost of Goods Sold",M553="Expenditures",M553="Other Revenue",M553="Other Expenditures"),N553,IF(AND(LEN(M553)&gt;2,MID(M553,2,1)=" ",ISNUMBER(VALUE(LEFT(M553,1)))),M553,O552))</f>
        <v/>
      </c>
      <c r="P553" s="36" t="n">
        <f aca="false">IF(AND(M553&lt;&gt;"",ISNUMBER(K553),LEFT(M553,9)&lt;&gt;"Total for",M553&lt;&gt;"Gross Profit",M553&lt;&gt;"Net Operating Revenue",M553&lt;&gt;"Net Other Revenue",M553&lt;&gt;"Net Revenue"),1,0)</f>
        <v>0</v>
      </c>
      <c r="Q553" s="36" t="str">
        <f aca="false">IF(P553=1,IF(AND(LEN(M553)&gt;7,ISNUMBER(VALUE(LEFT(M553,6))),MID(M553,7,1)=" "),LEFT(M553,6),M553),"")</f>
        <v/>
      </c>
      <c r="V553" s="36" t="str">
        <f aca="false">TRIM(S553)</f>
        <v/>
      </c>
      <c r="W553" s="36" t="str">
        <f aca="false">IF(V553="Revenue","Revenue",IF(V553="Cost of Goods Sold","COGS",IF(V553="Expenditures","Expense",IF(V553="Other Revenue","Other Revenue",IF(V553="Other Expenditures","Other Expense",W552)))))</f>
        <v/>
      </c>
      <c r="X553" s="36" t="str">
        <f aca="false">IF(OR(V553="Revenue",V553="Cost of Goods Sold",V553="Expenditures",V553="Other Revenue",V553="Other Expenditures"),W553,IF(AND(LEN(V553)&gt;2,MID(V553,2,1)=" ",ISNUMBER(VALUE(LEFT(V553,1)))),V553,X552))</f>
        <v/>
      </c>
      <c r="Y553" s="36" t="n">
        <f aca="false">IF(AND(V553&lt;&gt;"",ISNUMBER(T553),LEFT(V553,9)&lt;&gt;"Total for",V553&lt;&gt;"Gross Profit",V553&lt;&gt;"Net Operating Revenue",V553&lt;&gt;"Net Other Revenue",V553&lt;&gt;"Net Revenue"),1,0)</f>
        <v>0</v>
      </c>
      <c r="Z553" s="36" t="str">
        <f aca="false">IF(Y553=1,IF(AND(LEN(V553)&gt;7,ISNUMBER(VALUE(LEFT(V553,6))),MID(V553,7,1)=" "),LEFT(V553,6),V553),"")</f>
        <v/>
      </c>
      <c r="AE553" s="36" t="str">
        <f aca="false">TRIM(AB553)</f>
        <v/>
      </c>
      <c r="AF553" s="36" t="str">
        <f aca="false">IF(AE553="Revenue","Revenue",IF(AE553="Cost of Goods Sold","COGS",IF(AE553="Expenditures","Expense",IF(AE553="Other Revenue","Other Revenue",IF(AE553="Other Expenditures","Other Expense",AF552)))))</f>
        <v/>
      </c>
      <c r="AG553" s="36" t="str">
        <f aca="false">IF(OR(AE553="Revenue",AE553="Cost of Goods Sold",AE553="Expenditures",AE553="Other Revenue",AE553="Other Expenditures"),AF553,IF(AND(LEN(AE553)&gt;2,MID(AE553,2,1)=" ",ISNUMBER(VALUE(LEFT(AE553,1)))),AE553,AG552))</f>
        <v/>
      </c>
      <c r="AH553" s="36" t="n">
        <f aca="false">IF(AND(AE553&lt;&gt;"",ISNUMBER(AC553),LEFT(AE553,9)&lt;&gt;"Total for",AE553&lt;&gt;"Gross Profit",AE553&lt;&gt;"Net Operating Revenue",AE553&lt;&gt;"Net Other Revenue",AE553&lt;&gt;"Net Revenue"),1,0)</f>
        <v>0</v>
      </c>
      <c r="AI553" s="36" t="str">
        <f aca="false">IF(AH553=1,IF(AND(LEN(AE553)&gt;7,ISNUMBER(VALUE(LEFT(AE553,6))),MID(AE553,7,1)=" "),LEFT(AE553,6),AE553),"")</f>
        <v/>
      </c>
      <c r="AN553" s="36" t="str">
        <f aca="false">TRIM(AK553)</f>
        <v/>
      </c>
      <c r="AO553" s="36" t="str">
        <f aca="false">IF(AN553="Revenue","Revenue",IF(AN553="Cost of Goods Sold","COGS",IF(AN553="Expenditures","Expense",IF(AN553="Other Revenue","Other Revenue",IF(AN553="Other Expenditures","Other Expense",AO552)))))</f>
        <v/>
      </c>
      <c r="AP553" s="36" t="str">
        <f aca="false">IF(OR(AN553="Revenue",AN553="Cost of Goods Sold",AN553="Expenditures",AN553="Other Revenue",AN553="Other Expenditures"),AO553,IF(AND(LEN(AN553)&gt;2,MID(AN553,2,1)=" ",ISNUMBER(VALUE(LEFT(AN553,1)))),AN553,AP552))</f>
        <v/>
      </c>
      <c r="AQ553" s="36" t="n">
        <f aca="false">IF(AND(AN553&lt;&gt;"",ISNUMBER(AL553),LEFT(AN553,9)&lt;&gt;"Total for",AN553&lt;&gt;"Gross Profit",AN553&lt;&gt;"Net Operating Revenue",AN553&lt;&gt;"Net Other Revenue",AN553&lt;&gt;"Net Revenue"),1,0)</f>
        <v>0</v>
      </c>
      <c r="AR553" s="36" t="str">
        <f aca="false">IF(AQ553=1,IF(AND(LEN(AN553)&gt;7,ISNUMBER(VALUE(LEFT(AN553,6))),MID(AN553,7,1)=" "),LEFT(AN553,6),AN553),"")</f>
        <v/>
      </c>
    </row>
    <row r="554" customFormat="false" ht="15" hidden="false" customHeight="false" outlineLevel="0" collapsed="false">
      <c r="D554" s="36" t="str">
        <f aca="false">TRIM(A554)</f>
        <v/>
      </c>
      <c r="E554" s="36" t="str">
        <f aca="false">IF(D554="Revenue","Revenue",IF(D554="Cost of Goods Sold","COGS",IF(D554="Expenditures","Expense",IF(D554="Other Revenue","Other Revenue",IF(D554="Other Expenditures","Other Expense",E553)))))</f>
        <v/>
      </c>
      <c r="F554" s="36" t="str">
        <f aca="false">IF(OR(D554="Revenue",D554="Cost of Goods Sold",D554="Expenditures",D554="Other Revenue",D554="Other Expenditures"),E554,IF(AND(LEN(D554)&gt;2,MID(D554,2,1)=" ",ISNUMBER(VALUE(LEFT(D554,1)))),D554,F553))</f>
        <v/>
      </c>
      <c r="G554" s="36" t="n">
        <f aca="false">IF(AND(D554&lt;&gt;"",ISNUMBER(B554),LEFT(D554,9)&lt;&gt;"Total for",D554&lt;&gt;"Gross Profit",D554&lt;&gt;"Net Operating Revenue",D554&lt;&gt;"Net Other Revenue",D554&lt;&gt;"Net Revenue"),1,0)</f>
        <v>0</v>
      </c>
      <c r="H554" s="36" t="str">
        <f aca="false">IF(G554=1,IF(AND(LEN(D554)&gt;7,ISNUMBER(VALUE(LEFT(D554,6))),MID(D554,7,1)=" "),LEFT(D554,6),D554),"")</f>
        <v/>
      </c>
      <c r="M554" s="36" t="str">
        <f aca="false">TRIM(J554)</f>
        <v/>
      </c>
      <c r="N554" s="36" t="str">
        <f aca="false">IF(M554="Revenue","Revenue",IF(M554="Cost of Goods Sold","COGS",IF(M554="Expenditures","Expense",IF(M554="Other Revenue","Other Revenue",IF(M554="Other Expenditures","Other Expense",N553)))))</f>
        <v/>
      </c>
      <c r="O554" s="36" t="str">
        <f aca="false">IF(OR(M554="Revenue",M554="Cost of Goods Sold",M554="Expenditures",M554="Other Revenue",M554="Other Expenditures"),N554,IF(AND(LEN(M554)&gt;2,MID(M554,2,1)=" ",ISNUMBER(VALUE(LEFT(M554,1)))),M554,O553))</f>
        <v/>
      </c>
      <c r="P554" s="36" t="n">
        <f aca="false">IF(AND(M554&lt;&gt;"",ISNUMBER(K554),LEFT(M554,9)&lt;&gt;"Total for",M554&lt;&gt;"Gross Profit",M554&lt;&gt;"Net Operating Revenue",M554&lt;&gt;"Net Other Revenue",M554&lt;&gt;"Net Revenue"),1,0)</f>
        <v>0</v>
      </c>
      <c r="Q554" s="36" t="str">
        <f aca="false">IF(P554=1,IF(AND(LEN(M554)&gt;7,ISNUMBER(VALUE(LEFT(M554,6))),MID(M554,7,1)=" "),LEFT(M554,6),M554),"")</f>
        <v/>
      </c>
      <c r="V554" s="36" t="str">
        <f aca="false">TRIM(S554)</f>
        <v/>
      </c>
      <c r="W554" s="36" t="str">
        <f aca="false">IF(V554="Revenue","Revenue",IF(V554="Cost of Goods Sold","COGS",IF(V554="Expenditures","Expense",IF(V554="Other Revenue","Other Revenue",IF(V554="Other Expenditures","Other Expense",W553)))))</f>
        <v/>
      </c>
      <c r="X554" s="36" t="str">
        <f aca="false">IF(OR(V554="Revenue",V554="Cost of Goods Sold",V554="Expenditures",V554="Other Revenue",V554="Other Expenditures"),W554,IF(AND(LEN(V554)&gt;2,MID(V554,2,1)=" ",ISNUMBER(VALUE(LEFT(V554,1)))),V554,X553))</f>
        <v/>
      </c>
      <c r="Y554" s="36" t="n">
        <f aca="false">IF(AND(V554&lt;&gt;"",ISNUMBER(T554),LEFT(V554,9)&lt;&gt;"Total for",V554&lt;&gt;"Gross Profit",V554&lt;&gt;"Net Operating Revenue",V554&lt;&gt;"Net Other Revenue",V554&lt;&gt;"Net Revenue"),1,0)</f>
        <v>0</v>
      </c>
      <c r="Z554" s="36" t="str">
        <f aca="false">IF(Y554=1,IF(AND(LEN(V554)&gt;7,ISNUMBER(VALUE(LEFT(V554,6))),MID(V554,7,1)=" "),LEFT(V554,6),V554),"")</f>
        <v/>
      </c>
      <c r="AE554" s="36" t="str">
        <f aca="false">TRIM(AB554)</f>
        <v/>
      </c>
      <c r="AF554" s="36" t="str">
        <f aca="false">IF(AE554="Revenue","Revenue",IF(AE554="Cost of Goods Sold","COGS",IF(AE554="Expenditures","Expense",IF(AE554="Other Revenue","Other Revenue",IF(AE554="Other Expenditures","Other Expense",AF553)))))</f>
        <v/>
      </c>
      <c r="AG554" s="36" t="str">
        <f aca="false">IF(OR(AE554="Revenue",AE554="Cost of Goods Sold",AE554="Expenditures",AE554="Other Revenue",AE554="Other Expenditures"),AF554,IF(AND(LEN(AE554)&gt;2,MID(AE554,2,1)=" ",ISNUMBER(VALUE(LEFT(AE554,1)))),AE554,AG553))</f>
        <v/>
      </c>
      <c r="AH554" s="36" t="n">
        <f aca="false">IF(AND(AE554&lt;&gt;"",ISNUMBER(AC554),LEFT(AE554,9)&lt;&gt;"Total for",AE554&lt;&gt;"Gross Profit",AE554&lt;&gt;"Net Operating Revenue",AE554&lt;&gt;"Net Other Revenue",AE554&lt;&gt;"Net Revenue"),1,0)</f>
        <v>0</v>
      </c>
      <c r="AI554" s="36" t="str">
        <f aca="false">IF(AH554=1,IF(AND(LEN(AE554)&gt;7,ISNUMBER(VALUE(LEFT(AE554,6))),MID(AE554,7,1)=" "),LEFT(AE554,6),AE554),"")</f>
        <v/>
      </c>
      <c r="AN554" s="36" t="str">
        <f aca="false">TRIM(AK554)</f>
        <v/>
      </c>
      <c r="AO554" s="36" t="str">
        <f aca="false">IF(AN554="Revenue","Revenue",IF(AN554="Cost of Goods Sold","COGS",IF(AN554="Expenditures","Expense",IF(AN554="Other Revenue","Other Revenue",IF(AN554="Other Expenditures","Other Expense",AO553)))))</f>
        <v/>
      </c>
      <c r="AP554" s="36" t="str">
        <f aca="false">IF(OR(AN554="Revenue",AN554="Cost of Goods Sold",AN554="Expenditures",AN554="Other Revenue",AN554="Other Expenditures"),AO554,IF(AND(LEN(AN554)&gt;2,MID(AN554,2,1)=" ",ISNUMBER(VALUE(LEFT(AN554,1)))),AN554,AP553))</f>
        <v/>
      </c>
      <c r="AQ554" s="36" t="n">
        <f aca="false">IF(AND(AN554&lt;&gt;"",ISNUMBER(AL554),LEFT(AN554,9)&lt;&gt;"Total for",AN554&lt;&gt;"Gross Profit",AN554&lt;&gt;"Net Operating Revenue",AN554&lt;&gt;"Net Other Revenue",AN554&lt;&gt;"Net Revenue"),1,0)</f>
        <v>0</v>
      </c>
      <c r="AR554" s="36" t="str">
        <f aca="false">IF(AQ554=1,IF(AND(LEN(AN554)&gt;7,ISNUMBER(VALUE(LEFT(AN554,6))),MID(AN554,7,1)=" "),LEFT(AN554,6),AN554),"")</f>
        <v/>
      </c>
    </row>
    <row r="555" customFormat="false" ht="15" hidden="false" customHeight="false" outlineLevel="0" collapsed="false">
      <c r="D555" s="36" t="str">
        <f aca="false">TRIM(A555)</f>
        <v/>
      </c>
      <c r="E555" s="36" t="str">
        <f aca="false">IF(D555="Revenue","Revenue",IF(D555="Cost of Goods Sold","COGS",IF(D555="Expenditures","Expense",IF(D555="Other Revenue","Other Revenue",IF(D555="Other Expenditures","Other Expense",E554)))))</f>
        <v/>
      </c>
      <c r="F555" s="36" t="str">
        <f aca="false">IF(OR(D555="Revenue",D555="Cost of Goods Sold",D555="Expenditures",D555="Other Revenue",D555="Other Expenditures"),E555,IF(AND(LEN(D555)&gt;2,MID(D555,2,1)=" ",ISNUMBER(VALUE(LEFT(D555,1)))),D555,F554))</f>
        <v/>
      </c>
      <c r="G555" s="36" t="n">
        <f aca="false">IF(AND(D555&lt;&gt;"",ISNUMBER(B555),LEFT(D555,9)&lt;&gt;"Total for",D555&lt;&gt;"Gross Profit",D555&lt;&gt;"Net Operating Revenue",D555&lt;&gt;"Net Other Revenue",D555&lt;&gt;"Net Revenue"),1,0)</f>
        <v>0</v>
      </c>
      <c r="H555" s="36" t="str">
        <f aca="false">IF(G555=1,IF(AND(LEN(D555)&gt;7,ISNUMBER(VALUE(LEFT(D555,6))),MID(D555,7,1)=" "),LEFT(D555,6),D555),"")</f>
        <v/>
      </c>
      <c r="M555" s="36" t="str">
        <f aca="false">TRIM(J555)</f>
        <v/>
      </c>
      <c r="N555" s="36" t="str">
        <f aca="false">IF(M555="Revenue","Revenue",IF(M555="Cost of Goods Sold","COGS",IF(M555="Expenditures","Expense",IF(M555="Other Revenue","Other Revenue",IF(M555="Other Expenditures","Other Expense",N554)))))</f>
        <v/>
      </c>
      <c r="O555" s="36" t="str">
        <f aca="false">IF(OR(M555="Revenue",M555="Cost of Goods Sold",M555="Expenditures",M555="Other Revenue",M555="Other Expenditures"),N555,IF(AND(LEN(M555)&gt;2,MID(M555,2,1)=" ",ISNUMBER(VALUE(LEFT(M555,1)))),M555,O554))</f>
        <v/>
      </c>
      <c r="P555" s="36" t="n">
        <f aca="false">IF(AND(M555&lt;&gt;"",ISNUMBER(K555),LEFT(M555,9)&lt;&gt;"Total for",M555&lt;&gt;"Gross Profit",M555&lt;&gt;"Net Operating Revenue",M555&lt;&gt;"Net Other Revenue",M555&lt;&gt;"Net Revenue"),1,0)</f>
        <v>0</v>
      </c>
      <c r="Q555" s="36" t="str">
        <f aca="false">IF(P555=1,IF(AND(LEN(M555)&gt;7,ISNUMBER(VALUE(LEFT(M555,6))),MID(M555,7,1)=" "),LEFT(M555,6),M555),"")</f>
        <v/>
      </c>
      <c r="V555" s="36" t="str">
        <f aca="false">TRIM(S555)</f>
        <v/>
      </c>
      <c r="W555" s="36" t="str">
        <f aca="false">IF(V555="Revenue","Revenue",IF(V555="Cost of Goods Sold","COGS",IF(V555="Expenditures","Expense",IF(V555="Other Revenue","Other Revenue",IF(V555="Other Expenditures","Other Expense",W554)))))</f>
        <v/>
      </c>
      <c r="X555" s="36" t="str">
        <f aca="false">IF(OR(V555="Revenue",V555="Cost of Goods Sold",V555="Expenditures",V555="Other Revenue",V555="Other Expenditures"),W555,IF(AND(LEN(V555)&gt;2,MID(V555,2,1)=" ",ISNUMBER(VALUE(LEFT(V555,1)))),V555,X554))</f>
        <v/>
      </c>
      <c r="Y555" s="36" t="n">
        <f aca="false">IF(AND(V555&lt;&gt;"",ISNUMBER(T555),LEFT(V555,9)&lt;&gt;"Total for",V555&lt;&gt;"Gross Profit",V555&lt;&gt;"Net Operating Revenue",V555&lt;&gt;"Net Other Revenue",V555&lt;&gt;"Net Revenue"),1,0)</f>
        <v>0</v>
      </c>
      <c r="Z555" s="36" t="str">
        <f aca="false">IF(Y555=1,IF(AND(LEN(V555)&gt;7,ISNUMBER(VALUE(LEFT(V555,6))),MID(V555,7,1)=" "),LEFT(V555,6),V555),"")</f>
        <v/>
      </c>
      <c r="AE555" s="36" t="str">
        <f aca="false">TRIM(AB555)</f>
        <v/>
      </c>
      <c r="AF555" s="36" t="str">
        <f aca="false">IF(AE555="Revenue","Revenue",IF(AE555="Cost of Goods Sold","COGS",IF(AE555="Expenditures","Expense",IF(AE555="Other Revenue","Other Revenue",IF(AE555="Other Expenditures","Other Expense",AF554)))))</f>
        <v/>
      </c>
      <c r="AG555" s="36" t="str">
        <f aca="false">IF(OR(AE555="Revenue",AE555="Cost of Goods Sold",AE555="Expenditures",AE555="Other Revenue",AE555="Other Expenditures"),AF555,IF(AND(LEN(AE555)&gt;2,MID(AE555,2,1)=" ",ISNUMBER(VALUE(LEFT(AE555,1)))),AE555,AG554))</f>
        <v/>
      </c>
      <c r="AH555" s="36" t="n">
        <f aca="false">IF(AND(AE555&lt;&gt;"",ISNUMBER(AC555),LEFT(AE555,9)&lt;&gt;"Total for",AE555&lt;&gt;"Gross Profit",AE555&lt;&gt;"Net Operating Revenue",AE555&lt;&gt;"Net Other Revenue",AE555&lt;&gt;"Net Revenue"),1,0)</f>
        <v>0</v>
      </c>
      <c r="AI555" s="36" t="str">
        <f aca="false">IF(AH555=1,IF(AND(LEN(AE555)&gt;7,ISNUMBER(VALUE(LEFT(AE555,6))),MID(AE555,7,1)=" "),LEFT(AE555,6),AE555),"")</f>
        <v/>
      </c>
      <c r="AN555" s="36" t="str">
        <f aca="false">TRIM(AK555)</f>
        <v/>
      </c>
      <c r="AO555" s="36" t="str">
        <f aca="false">IF(AN555="Revenue","Revenue",IF(AN555="Cost of Goods Sold","COGS",IF(AN555="Expenditures","Expense",IF(AN555="Other Revenue","Other Revenue",IF(AN555="Other Expenditures","Other Expense",AO554)))))</f>
        <v/>
      </c>
      <c r="AP555" s="36" t="str">
        <f aca="false">IF(OR(AN555="Revenue",AN555="Cost of Goods Sold",AN555="Expenditures",AN555="Other Revenue",AN555="Other Expenditures"),AO555,IF(AND(LEN(AN555)&gt;2,MID(AN555,2,1)=" ",ISNUMBER(VALUE(LEFT(AN555,1)))),AN555,AP554))</f>
        <v/>
      </c>
      <c r="AQ555" s="36" t="n">
        <f aca="false">IF(AND(AN555&lt;&gt;"",ISNUMBER(AL555),LEFT(AN555,9)&lt;&gt;"Total for",AN555&lt;&gt;"Gross Profit",AN555&lt;&gt;"Net Operating Revenue",AN555&lt;&gt;"Net Other Revenue",AN555&lt;&gt;"Net Revenue"),1,0)</f>
        <v>0</v>
      </c>
      <c r="AR555" s="36" t="str">
        <f aca="false">IF(AQ555=1,IF(AND(LEN(AN555)&gt;7,ISNUMBER(VALUE(LEFT(AN555,6))),MID(AN555,7,1)=" "),LEFT(AN555,6),AN555),"")</f>
        <v/>
      </c>
    </row>
    <row r="556" customFormat="false" ht="15" hidden="false" customHeight="false" outlineLevel="0" collapsed="false">
      <c r="D556" s="36" t="str">
        <f aca="false">TRIM(A556)</f>
        <v/>
      </c>
      <c r="E556" s="36" t="str">
        <f aca="false">IF(D556="Revenue","Revenue",IF(D556="Cost of Goods Sold","COGS",IF(D556="Expenditures","Expense",IF(D556="Other Revenue","Other Revenue",IF(D556="Other Expenditures","Other Expense",E555)))))</f>
        <v/>
      </c>
      <c r="F556" s="36" t="str">
        <f aca="false">IF(OR(D556="Revenue",D556="Cost of Goods Sold",D556="Expenditures",D556="Other Revenue",D556="Other Expenditures"),E556,IF(AND(LEN(D556)&gt;2,MID(D556,2,1)=" ",ISNUMBER(VALUE(LEFT(D556,1)))),D556,F555))</f>
        <v/>
      </c>
      <c r="G556" s="36" t="n">
        <f aca="false">IF(AND(D556&lt;&gt;"",ISNUMBER(B556),LEFT(D556,9)&lt;&gt;"Total for",D556&lt;&gt;"Gross Profit",D556&lt;&gt;"Net Operating Revenue",D556&lt;&gt;"Net Other Revenue",D556&lt;&gt;"Net Revenue"),1,0)</f>
        <v>0</v>
      </c>
      <c r="H556" s="36" t="str">
        <f aca="false">IF(G556=1,IF(AND(LEN(D556)&gt;7,ISNUMBER(VALUE(LEFT(D556,6))),MID(D556,7,1)=" "),LEFT(D556,6),D556),"")</f>
        <v/>
      </c>
      <c r="M556" s="36" t="str">
        <f aca="false">TRIM(J556)</f>
        <v/>
      </c>
      <c r="N556" s="36" t="str">
        <f aca="false">IF(M556="Revenue","Revenue",IF(M556="Cost of Goods Sold","COGS",IF(M556="Expenditures","Expense",IF(M556="Other Revenue","Other Revenue",IF(M556="Other Expenditures","Other Expense",N555)))))</f>
        <v/>
      </c>
      <c r="O556" s="36" t="str">
        <f aca="false">IF(OR(M556="Revenue",M556="Cost of Goods Sold",M556="Expenditures",M556="Other Revenue",M556="Other Expenditures"),N556,IF(AND(LEN(M556)&gt;2,MID(M556,2,1)=" ",ISNUMBER(VALUE(LEFT(M556,1)))),M556,O555))</f>
        <v/>
      </c>
      <c r="P556" s="36" t="n">
        <f aca="false">IF(AND(M556&lt;&gt;"",ISNUMBER(K556),LEFT(M556,9)&lt;&gt;"Total for",M556&lt;&gt;"Gross Profit",M556&lt;&gt;"Net Operating Revenue",M556&lt;&gt;"Net Other Revenue",M556&lt;&gt;"Net Revenue"),1,0)</f>
        <v>0</v>
      </c>
      <c r="Q556" s="36" t="str">
        <f aca="false">IF(P556=1,IF(AND(LEN(M556)&gt;7,ISNUMBER(VALUE(LEFT(M556,6))),MID(M556,7,1)=" "),LEFT(M556,6),M556),"")</f>
        <v/>
      </c>
      <c r="V556" s="36" t="str">
        <f aca="false">TRIM(S556)</f>
        <v/>
      </c>
      <c r="W556" s="36" t="str">
        <f aca="false">IF(V556="Revenue","Revenue",IF(V556="Cost of Goods Sold","COGS",IF(V556="Expenditures","Expense",IF(V556="Other Revenue","Other Revenue",IF(V556="Other Expenditures","Other Expense",W555)))))</f>
        <v/>
      </c>
      <c r="X556" s="36" t="str">
        <f aca="false">IF(OR(V556="Revenue",V556="Cost of Goods Sold",V556="Expenditures",V556="Other Revenue",V556="Other Expenditures"),W556,IF(AND(LEN(V556)&gt;2,MID(V556,2,1)=" ",ISNUMBER(VALUE(LEFT(V556,1)))),V556,X555))</f>
        <v/>
      </c>
      <c r="Y556" s="36" t="n">
        <f aca="false">IF(AND(V556&lt;&gt;"",ISNUMBER(T556),LEFT(V556,9)&lt;&gt;"Total for",V556&lt;&gt;"Gross Profit",V556&lt;&gt;"Net Operating Revenue",V556&lt;&gt;"Net Other Revenue",V556&lt;&gt;"Net Revenue"),1,0)</f>
        <v>0</v>
      </c>
      <c r="Z556" s="36" t="str">
        <f aca="false">IF(Y556=1,IF(AND(LEN(V556)&gt;7,ISNUMBER(VALUE(LEFT(V556,6))),MID(V556,7,1)=" "),LEFT(V556,6),V556),"")</f>
        <v/>
      </c>
      <c r="AE556" s="36" t="str">
        <f aca="false">TRIM(AB556)</f>
        <v/>
      </c>
      <c r="AF556" s="36" t="str">
        <f aca="false">IF(AE556="Revenue","Revenue",IF(AE556="Cost of Goods Sold","COGS",IF(AE556="Expenditures","Expense",IF(AE556="Other Revenue","Other Revenue",IF(AE556="Other Expenditures","Other Expense",AF555)))))</f>
        <v/>
      </c>
      <c r="AG556" s="36" t="str">
        <f aca="false">IF(OR(AE556="Revenue",AE556="Cost of Goods Sold",AE556="Expenditures",AE556="Other Revenue",AE556="Other Expenditures"),AF556,IF(AND(LEN(AE556)&gt;2,MID(AE556,2,1)=" ",ISNUMBER(VALUE(LEFT(AE556,1)))),AE556,AG555))</f>
        <v/>
      </c>
      <c r="AH556" s="36" t="n">
        <f aca="false">IF(AND(AE556&lt;&gt;"",ISNUMBER(AC556),LEFT(AE556,9)&lt;&gt;"Total for",AE556&lt;&gt;"Gross Profit",AE556&lt;&gt;"Net Operating Revenue",AE556&lt;&gt;"Net Other Revenue",AE556&lt;&gt;"Net Revenue"),1,0)</f>
        <v>0</v>
      </c>
      <c r="AI556" s="36" t="str">
        <f aca="false">IF(AH556=1,IF(AND(LEN(AE556)&gt;7,ISNUMBER(VALUE(LEFT(AE556,6))),MID(AE556,7,1)=" "),LEFT(AE556,6),AE556),"")</f>
        <v/>
      </c>
      <c r="AN556" s="36" t="str">
        <f aca="false">TRIM(AK556)</f>
        <v/>
      </c>
      <c r="AO556" s="36" t="str">
        <f aca="false">IF(AN556="Revenue","Revenue",IF(AN556="Cost of Goods Sold","COGS",IF(AN556="Expenditures","Expense",IF(AN556="Other Revenue","Other Revenue",IF(AN556="Other Expenditures","Other Expense",AO555)))))</f>
        <v/>
      </c>
      <c r="AP556" s="36" t="str">
        <f aca="false">IF(OR(AN556="Revenue",AN556="Cost of Goods Sold",AN556="Expenditures",AN556="Other Revenue",AN556="Other Expenditures"),AO556,IF(AND(LEN(AN556)&gt;2,MID(AN556,2,1)=" ",ISNUMBER(VALUE(LEFT(AN556,1)))),AN556,AP555))</f>
        <v/>
      </c>
      <c r="AQ556" s="36" t="n">
        <f aca="false">IF(AND(AN556&lt;&gt;"",ISNUMBER(AL556),LEFT(AN556,9)&lt;&gt;"Total for",AN556&lt;&gt;"Gross Profit",AN556&lt;&gt;"Net Operating Revenue",AN556&lt;&gt;"Net Other Revenue",AN556&lt;&gt;"Net Revenue"),1,0)</f>
        <v>0</v>
      </c>
      <c r="AR556" s="36" t="str">
        <f aca="false">IF(AQ556=1,IF(AND(LEN(AN556)&gt;7,ISNUMBER(VALUE(LEFT(AN556,6))),MID(AN556,7,1)=" "),LEFT(AN556,6),AN556),"")</f>
        <v/>
      </c>
    </row>
    <row r="557" customFormat="false" ht="15" hidden="false" customHeight="false" outlineLevel="0" collapsed="false">
      <c r="D557" s="36" t="str">
        <f aca="false">TRIM(A557)</f>
        <v/>
      </c>
      <c r="E557" s="36" t="str">
        <f aca="false">IF(D557="Revenue","Revenue",IF(D557="Cost of Goods Sold","COGS",IF(D557="Expenditures","Expense",IF(D557="Other Revenue","Other Revenue",IF(D557="Other Expenditures","Other Expense",E556)))))</f>
        <v/>
      </c>
      <c r="F557" s="36" t="str">
        <f aca="false">IF(OR(D557="Revenue",D557="Cost of Goods Sold",D557="Expenditures",D557="Other Revenue",D557="Other Expenditures"),E557,IF(AND(LEN(D557)&gt;2,MID(D557,2,1)=" ",ISNUMBER(VALUE(LEFT(D557,1)))),D557,F556))</f>
        <v/>
      </c>
      <c r="G557" s="36" t="n">
        <f aca="false">IF(AND(D557&lt;&gt;"",ISNUMBER(B557),LEFT(D557,9)&lt;&gt;"Total for",D557&lt;&gt;"Gross Profit",D557&lt;&gt;"Net Operating Revenue",D557&lt;&gt;"Net Other Revenue",D557&lt;&gt;"Net Revenue"),1,0)</f>
        <v>0</v>
      </c>
      <c r="H557" s="36" t="str">
        <f aca="false">IF(G557=1,IF(AND(LEN(D557)&gt;7,ISNUMBER(VALUE(LEFT(D557,6))),MID(D557,7,1)=" "),LEFT(D557,6),D557),"")</f>
        <v/>
      </c>
      <c r="M557" s="36" t="str">
        <f aca="false">TRIM(J557)</f>
        <v/>
      </c>
      <c r="N557" s="36" t="str">
        <f aca="false">IF(M557="Revenue","Revenue",IF(M557="Cost of Goods Sold","COGS",IF(M557="Expenditures","Expense",IF(M557="Other Revenue","Other Revenue",IF(M557="Other Expenditures","Other Expense",N556)))))</f>
        <v/>
      </c>
      <c r="O557" s="36" t="str">
        <f aca="false">IF(OR(M557="Revenue",M557="Cost of Goods Sold",M557="Expenditures",M557="Other Revenue",M557="Other Expenditures"),N557,IF(AND(LEN(M557)&gt;2,MID(M557,2,1)=" ",ISNUMBER(VALUE(LEFT(M557,1)))),M557,O556))</f>
        <v/>
      </c>
      <c r="P557" s="36" t="n">
        <f aca="false">IF(AND(M557&lt;&gt;"",ISNUMBER(K557),LEFT(M557,9)&lt;&gt;"Total for",M557&lt;&gt;"Gross Profit",M557&lt;&gt;"Net Operating Revenue",M557&lt;&gt;"Net Other Revenue",M557&lt;&gt;"Net Revenue"),1,0)</f>
        <v>0</v>
      </c>
      <c r="Q557" s="36" t="str">
        <f aca="false">IF(P557=1,IF(AND(LEN(M557)&gt;7,ISNUMBER(VALUE(LEFT(M557,6))),MID(M557,7,1)=" "),LEFT(M557,6),M557),"")</f>
        <v/>
      </c>
      <c r="V557" s="36" t="str">
        <f aca="false">TRIM(S557)</f>
        <v/>
      </c>
      <c r="W557" s="36" t="str">
        <f aca="false">IF(V557="Revenue","Revenue",IF(V557="Cost of Goods Sold","COGS",IF(V557="Expenditures","Expense",IF(V557="Other Revenue","Other Revenue",IF(V557="Other Expenditures","Other Expense",W556)))))</f>
        <v/>
      </c>
      <c r="X557" s="36" t="str">
        <f aca="false">IF(OR(V557="Revenue",V557="Cost of Goods Sold",V557="Expenditures",V557="Other Revenue",V557="Other Expenditures"),W557,IF(AND(LEN(V557)&gt;2,MID(V557,2,1)=" ",ISNUMBER(VALUE(LEFT(V557,1)))),V557,X556))</f>
        <v/>
      </c>
      <c r="Y557" s="36" t="n">
        <f aca="false">IF(AND(V557&lt;&gt;"",ISNUMBER(T557),LEFT(V557,9)&lt;&gt;"Total for",V557&lt;&gt;"Gross Profit",V557&lt;&gt;"Net Operating Revenue",V557&lt;&gt;"Net Other Revenue",V557&lt;&gt;"Net Revenue"),1,0)</f>
        <v>0</v>
      </c>
      <c r="Z557" s="36" t="str">
        <f aca="false">IF(Y557=1,IF(AND(LEN(V557)&gt;7,ISNUMBER(VALUE(LEFT(V557,6))),MID(V557,7,1)=" "),LEFT(V557,6),V557),"")</f>
        <v/>
      </c>
      <c r="AE557" s="36" t="str">
        <f aca="false">TRIM(AB557)</f>
        <v/>
      </c>
      <c r="AF557" s="36" t="str">
        <f aca="false">IF(AE557="Revenue","Revenue",IF(AE557="Cost of Goods Sold","COGS",IF(AE557="Expenditures","Expense",IF(AE557="Other Revenue","Other Revenue",IF(AE557="Other Expenditures","Other Expense",AF556)))))</f>
        <v/>
      </c>
      <c r="AG557" s="36" t="str">
        <f aca="false">IF(OR(AE557="Revenue",AE557="Cost of Goods Sold",AE557="Expenditures",AE557="Other Revenue",AE557="Other Expenditures"),AF557,IF(AND(LEN(AE557)&gt;2,MID(AE557,2,1)=" ",ISNUMBER(VALUE(LEFT(AE557,1)))),AE557,AG556))</f>
        <v/>
      </c>
      <c r="AH557" s="36" t="n">
        <f aca="false">IF(AND(AE557&lt;&gt;"",ISNUMBER(AC557),LEFT(AE557,9)&lt;&gt;"Total for",AE557&lt;&gt;"Gross Profit",AE557&lt;&gt;"Net Operating Revenue",AE557&lt;&gt;"Net Other Revenue",AE557&lt;&gt;"Net Revenue"),1,0)</f>
        <v>0</v>
      </c>
      <c r="AI557" s="36" t="str">
        <f aca="false">IF(AH557=1,IF(AND(LEN(AE557)&gt;7,ISNUMBER(VALUE(LEFT(AE557,6))),MID(AE557,7,1)=" "),LEFT(AE557,6),AE557),"")</f>
        <v/>
      </c>
      <c r="AN557" s="36" t="str">
        <f aca="false">TRIM(AK557)</f>
        <v/>
      </c>
      <c r="AO557" s="36" t="str">
        <f aca="false">IF(AN557="Revenue","Revenue",IF(AN557="Cost of Goods Sold","COGS",IF(AN557="Expenditures","Expense",IF(AN557="Other Revenue","Other Revenue",IF(AN557="Other Expenditures","Other Expense",AO556)))))</f>
        <v/>
      </c>
      <c r="AP557" s="36" t="str">
        <f aca="false">IF(OR(AN557="Revenue",AN557="Cost of Goods Sold",AN557="Expenditures",AN557="Other Revenue",AN557="Other Expenditures"),AO557,IF(AND(LEN(AN557)&gt;2,MID(AN557,2,1)=" ",ISNUMBER(VALUE(LEFT(AN557,1)))),AN557,AP556))</f>
        <v/>
      </c>
      <c r="AQ557" s="36" t="n">
        <f aca="false">IF(AND(AN557&lt;&gt;"",ISNUMBER(AL557),LEFT(AN557,9)&lt;&gt;"Total for",AN557&lt;&gt;"Gross Profit",AN557&lt;&gt;"Net Operating Revenue",AN557&lt;&gt;"Net Other Revenue",AN557&lt;&gt;"Net Revenue"),1,0)</f>
        <v>0</v>
      </c>
      <c r="AR557" s="36" t="str">
        <f aca="false">IF(AQ557=1,IF(AND(LEN(AN557)&gt;7,ISNUMBER(VALUE(LEFT(AN557,6))),MID(AN557,7,1)=" "),LEFT(AN557,6),AN557),"")</f>
        <v/>
      </c>
    </row>
    <row r="558" customFormat="false" ht="15" hidden="false" customHeight="false" outlineLevel="0" collapsed="false">
      <c r="D558" s="36" t="str">
        <f aca="false">TRIM(A558)</f>
        <v/>
      </c>
      <c r="E558" s="36" t="str">
        <f aca="false">IF(D558="Revenue","Revenue",IF(D558="Cost of Goods Sold","COGS",IF(D558="Expenditures","Expense",IF(D558="Other Revenue","Other Revenue",IF(D558="Other Expenditures","Other Expense",E557)))))</f>
        <v/>
      </c>
      <c r="F558" s="36" t="str">
        <f aca="false">IF(OR(D558="Revenue",D558="Cost of Goods Sold",D558="Expenditures",D558="Other Revenue",D558="Other Expenditures"),E558,IF(AND(LEN(D558)&gt;2,MID(D558,2,1)=" ",ISNUMBER(VALUE(LEFT(D558,1)))),D558,F557))</f>
        <v/>
      </c>
      <c r="G558" s="36" t="n">
        <f aca="false">IF(AND(D558&lt;&gt;"",ISNUMBER(B558),LEFT(D558,9)&lt;&gt;"Total for",D558&lt;&gt;"Gross Profit",D558&lt;&gt;"Net Operating Revenue",D558&lt;&gt;"Net Other Revenue",D558&lt;&gt;"Net Revenue"),1,0)</f>
        <v>0</v>
      </c>
      <c r="H558" s="36" t="str">
        <f aca="false">IF(G558=1,IF(AND(LEN(D558)&gt;7,ISNUMBER(VALUE(LEFT(D558,6))),MID(D558,7,1)=" "),LEFT(D558,6),D558),"")</f>
        <v/>
      </c>
      <c r="M558" s="36" t="str">
        <f aca="false">TRIM(J558)</f>
        <v/>
      </c>
      <c r="N558" s="36" t="str">
        <f aca="false">IF(M558="Revenue","Revenue",IF(M558="Cost of Goods Sold","COGS",IF(M558="Expenditures","Expense",IF(M558="Other Revenue","Other Revenue",IF(M558="Other Expenditures","Other Expense",N557)))))</f>
        <v/>
      </c>
      <c r="O558" s="36" t="str">
        <f aca="false">IF(OR(M558="Revenue",M558="Cost of Goods Sold",M558="Expenditures",M558="Other Revenue",M558="Other Expenditures"),N558,IF(AND(LEN(M558)&gt;2,MID(M558,2,1)=" ",ISNUMBER(VALUE(LEFT(M558,1)))),M558,O557))</f>
        <v/>
      </c>
      <c r="P558" s="36" t="n">
        <f aca="false">IF(AND(M558&lt;&gt;"",ISNUMBER(K558),LEFT(M558,9)&lt;&gt;"Total for",M558&lt;&gt;"Gross Profit",M558&lt;&gt;"Net Operating Revenue",M558&lt;&gt;"Net Other Revenue",M558&lt;&gt;"Net Revenue"),1,0)</f>
        <v>0</v>
      </c>
      <c r="Q558" s="36" t="str">
        <f aca="false">IF(P558=1,IF(AND(LEN(M558)&gt;7,ISNUMBER(VALUE(LEFT(M558,6))),MID(M558,7,1)=" "),LEFT(M558,6),M558),"")</f>
        <v/>
      </c>
      <c r="V558" s="36" t="str">
        <f aca="false">TRIM(S558)</f>
        <v/>
      </c>
      <c r="W558" s="36" t="str">
        <f aca="false">IF(V558="Revenue","Revenue",IF(V558="Cost of Goods Sold","COGS",IF(V558="Expenditures","Expense",IF(V558="Other Revenue","Other Revenue",IF(V558="Other Expenditures","Other Expense",W557)))))</f>
        <v/>
      </c>
      <c r="X558" s="36" t="str">
        <f aca="false">IF(OR(V558="Revenue",V558="Cost of Goods Sold",V558="Expenditures",V558="Other Revenue",V558="Other Expenditures"),W558,IF(AND(LEN(V558)&gt;2,MID(V558,2,1)=" ",ISNUMBER(VALUE(LEFT(V558,1)))),V558,X557))</f>
        <v/>
      </c>
      <c r="Y558" s="36" t="n">
        <f aca="false">IF(AND(V558&lt;&gt;"",ISNUMBER(T558),LEFT(V558,9)&lt;&gt;"Total for",V558&lt;&gt;"Gross Profit",V558&lt;&gt;"Net Operating Revenue",V558&lt;&gt;"Net Other Revenue",V558&lt;&gt;"Net Revenue"),1,0)</f>
        <v>0</v>
      </c>
      <c r="Z558" s="36" t="str">
        <f aca="false">IF(Y558=1,IF(AND(LEN(V558)&gt;7,ISNUMBER(VALUE(LEFT(V558,6))),MID(V558,7,1)=" "),LEFT(V558,6),V558),"")</f>
        <v/>
      </c>
      <c r="AE558" s="36" t="str">
        <f aca="false">TRIM(AB558)</f>
        <v/>
      </c>
      <c r="AF558" s="36" t="str">
        <f aca="false">IF(AE558="Revenue","Revenue",IF(AE558="Cost of Goods Sold","COGS",IF(AE558="Expenditures","Expense",IF(AE558="Other Revenue","Other Revenue",IF(AE558="Other Expenditures","Other Expense",AF557)))))</f>
        <v/>
      </c>
      <c r="AG558" s="36" t="str">
        <f aca="false">IF(OR(AE558="Revenue",AE558="Cost of Goods Sold",AE558="Expenditures",AE558="Other Revenue",AE558="Other Expenditures"),AF558,IF(AND(LEN(AE558)&gt;2,MID(AE558,2,1)=" ",ISNUMBER(VALUE(LEFT(AE558,1)))),AE558,AG557))</f>
        <v/>
      </c>
      <c r="AH558" s="36" t="n">
        <f aca="false">IF(AND(AE558&lt;&gt;"",ISNUMBER(AC558),LEFT(AE558,9)&lt;&gt;"Total for",AE558&lt;&gt;"Gross Profit",AE558&lt;&gt;"Net Operating Revenue",AE558&lt;&gt;"Net Other Revenue",AE558&lt;&gt;"Net Revenue"),1,0)</f>
        <v>0</v>
      </c>
      <c r="AI558" s="36" t="str">
        <f aca="false">IF(AH558=1,IF(AND(LEN(AE558)&gt;7,ISNUMBER(VALUE(LEFT(AE558,6))),MID(AE558,7,1)=" "),LEFT(AE558,6),AE558),"")</f>
        <v/>
      </c>
      <c r="AN558" s="36" t="str">
        <f aca="false">TRIM(AK558)</f>
        <v/>
      </c>
      <c r="AO558" s="36" t="str">
        <f aca="false">IF(AN558="Revenue","Revenue",IF(AN558="Cost of Goods Sold","COGS",IF(AN558="Expenditures","Expense",IF(AN558="Other Revenue","Other Revenue",IF(AN558="Other Expenditures","Other Expense",AO557)))))</f>
        <v/>
      </c>
      <c r="AP558" s="36" t="str">
        <f aca="false">IF(OR(AN558="Revenue",AN558="Cost of Goods Sold",AN558="Expenditures",AN558="Other Revenue",AN558="Other Expenditures"),AO558,IF(AND(LEN(AN558)&gt;2,MID(AN558,2,1)=" ",ISNUMBER(VALUE(LEFT(AN558,1)))),AN558,AP557))</f>
        <v/>
      </c>
      <c r="AQ558" s="36" t="n">
        <f aca="false">IF(AND(AN558&lt;&gt;"",ISNUMBER(AL558),LEFT(AN558,9)&lt;&gt;"Total for",AN558&lt;&gt;"Gross Profit",AN558&lt;&gt;"Net Operating Revenue",AN558&lt;&gt;"Net Other Revenue",AN558&lt;&gt;"Net Revenue"),1,0)</f>
        <v>0</v>
      </c>
      <c r="AR558" s="36" t="str">
        <f aca="false">IF(AQ558=1,IF(AND(LEN(AN558)&gt;7,ISNUMBER(VALUE(LEFT(AN558,6))),MID(AN558,7,1)=" "),LEFT(AN558,6),AN558),"")</f>
        <v/>
      </c>
    </row>
    <row r="559" customFormat="false" ht="15" hidden="false" customHeight="false" outlineLevel="0" collapsed="false">
      <c r="D559" s="36" t="str">
        <f aca="false">TRIM(A559)</f>
        <v/>
      </c>
      <c r="E559" s="36" t="str">
        <f aca="false">IF(D559="Revenue","Revenue",IF(D559="Cost of Goods Sold","COGS",IF(D559="Expenditures","Expense",IF(D559="Other Revenue","Other Revenue",IF(D559="Other Expenditures","Other Expense",E558)))))</f>
        <v/>
      </c>
      <c r="F559" s="36" t="str">
        <f aca="false">IF(OR(D559="Revenue",D559="Cost of Goods Sold",D559="Expenditures",D559="Other Revenue",D559="Other Expenditures"),E559,IF(AND(LEN(D559)&gt;2,MID(D559,2,1)=" ",ISNUMBER(VALUE(LEFT(D559,1)))),D559,F558))</f>
        <v/>
      </c>
      <c r="G559" s="36" t="n">
        <f aca="false">IF(AND(D559&lt;&gt;"",ISNUMBER(B559),LEFT(D559,9)&lt;&gt;"Total for",D559&lt;&gt;"Gross Profit",D559&lt;&gt;"Net Operating Revenue",D559&lt;&gt;"Net Other Revenue",D559&lt;&gt;"Net Revenue"),1,0)</f>
        <v>0</v>
      </c>
      <c r="H559" s="36" t="str">
        <f aca="false">IF(G559=1,IF(AND(LEN(D559)&gt;7,ISNUMBER(VALUE(LEFT(D559,6))),MID(D559,7,1)=" "),LEFT(D559,6),D559),"")</f>
        <v/>
      </c>
      <c r="M559" s="36" t="str">
        <f aca="false">TRIM(J559)</f>
        <v/>
      </c>
      <c r="N559" s="36" t="str">
        <f aca="false">IF(M559="Revenue","Revenue",IF(M559="Cost of Goods Sold","COGS",IF(M559="Expenditures","Expense",IF(M559="Other Revenue","Other Revenue",IF(M559="Other Expenditures","Other Expense",N558)))))</f>
        <v/>
      </c>
      <c r="O559" s="36" t="str">
        <f aca="false">IF(OR(M559="Revenue",M559="Cost of Goods Sold",M559="Expenditures",M559="Other Revenue",M559="Other Expenditures"),N559,IF(AND(LEN(M559)&gt;2,MID(M559,2,1)=" ",ISNUMBER(VALUE(LEFT(M559,1)))),M559,O558))</f>
        <v/>
      </c>
      <c r="P559" s="36" t="n">
        <f aca="false">IF(AND(M559&lt;&gt;"",ISNUMBER(K559),LEFT(M559,9)&lt;&gt;"Total for",M559&lt;&gt;"Gross Profit",M559&lt;&gt;"Net Operating Revenue",M559&lt;&gt;"Net Other Revenue",M559&lt;&gt;"Net Revenue"),1,0)</f>
        <v>0</v>
      </c>
      <c r="Q559" s="36" t="str">
        <f aca="false">IF(P559=1,IF(AND(LEN(M559)&gt;7,ISNUMBER(VALUE(LEFT(M559,6))),MID(M559,7,1)=" "),LEFT(M559,6),M559),"")</f>
        <v/>
      </c>
      <c r="V559" s="36" t="str">
        <f aca="false">TRIM(S559)</f>
        <v/>
      </c>
      <c r="W559" s="36" t="str">
        <f aca="false">IF(V559="Revenue","Revenue",IF(V559="Cost of Goods Sold","COGS",IF(V559="Expenditures","Expense",IF(V559="Other Revenue","Other Revenue",IF(V559="Other Expenditures","Other Expense",W558)))))</f>
        <v/>
      </c>
      <c r="X559" s="36" t="str">
        <f aca="false">IF(OR(V559="Revenue",V559="Cost of Goods Sold",V559="Expenditures",V559="Other Revenue",V559="Other Expenditures"),W559,IF(AND(LEN(V559)&gt;2,MID(V559,2,1)=" ",ISNUMBER(VALUE(LEFT(V559,1)))),V559,X558))</f>
        <v/>
      </c>
      <c r="Y559" s="36" t="n">
        <f aca="false">IF(AND(V559&lt;&gt;"",ISNUMBER(T559),LEFT(V559,9)&lt;&gt;"Total for",V559&lt;&gt;"Gross Profit",V559&lt;&gt;"Net Operating Revenue",V559&lt;&gt;"Net Other Revenue",V559&lt;&gt;"Net Revenue"),1,0)</f>
        <v>0</v>
      </c>
      <c r="Z559" s="36" t="str">
        <f aca="false">IF(Y559=1,IF(AND(LEN(V559)&gt;7,ISNUMBER(VALUE(LEFT(V559,6))),MID(V559,7,1)=" "),LEFT(V559,6),V559),"")</f>
        <v/>
      </c>
      <c r="AE559" s="36" t="str">
        <f aca="false">TRIM(AB559)</f>
        <v/>
      </c>
      <c r="AF559" s="36" t="str">
        <f aca="false">IF(AE559="Revenue","Revenue",IF(AE559="Cost of Goods Sold","COGS",IF(AE559="Expenditures","Expense",IF(AE559="Other Revenue","Other Revenue",IF(AE559="Other Expenditures","Other Expense",AF558)))))</f>
        <v/>
      </c>
      <c r="AG559" s="36" t="str">
        <f aca="false">IF(OR(AE559="Revenue",AE559="Cost of Goods Sold",AE559="Expenditures",AE559="Other Revenue",AE559="Other Expenditures"),AF559,IF(AND(LEN(AE559)&gt;2,MID(AE559,2,1)=" ",ISNUMBER(VALUE(LEFT(AE559,1)))),AE559,AG558))</f>
        <v/>
      </c>
      <c r="AH559" s="36" t="n">
        <f aca="false">IF(AND(AE559&lt;&gt;"",ISNUMBER(AC559),LEFT(AE559,9)&lt;&gt;"Total for",AE559&lt;&gt;"Gross Profit",AE559&lt;&gt;"Net Operating Revenue",AE559&lt;&gt;"Net Other Revenue",AE559&lt;&gt;"Net Revenue"),1,0)</f>
        <v>0</v>
      </c>
      <c r="AI559" s="36" t="str">
        <f aca="false">IF(AH559=1,IF(AND(LEN(AE559)&gt;7,ISNUMBER(VALUE(LEFT(AE559,6))),MID(AE559,7,1)=" "),LEFT(AE559,6),AE559),"")</f>
        <v/>
      </c>
      <c r="AN559" s="36" t="str">
        <f aca="false">TRIM(AK559)</f>
        <v/>
      </c>
      <c r="AO559" s="36" t="str">
        <f aca="false">IF(AN559="Revenue","Revenue",IF(AN559="Cost of Goods Sold","COGS",IF(AN559="Expenditures","Expense",IF(AN559="Other Revenue","Other Revenue",IF(AN559="Other Expenditures","Other Expense",AO558)))))</f>
        <v/>
      </c>
      <c r="AP559" s="36" t="str">
        <f aca="false">IF(OR(AN559="Revenue",AN559="Cost of Goods Sold",AN559="Expenditures",AN559="Other Revenue",AN559="Other Expenditures"),AO559,IF(AND(LEN(AN559)&gt;2,MID(AN559,2,1)=" ",ISNUMBER(VALUE(LEFT(AN559,1)))),AN559,AP558))</f>
        <v/>
      </c>
      <c r="AQ559" s="36" t="n">
        <f aca="false">IF(AND(AN559&lt;&gt;"",ISNUMBER(AL559),LEFT(AN559,9)&lt;&gt;"Total for",AN559&lt;&gt;"Gross Profit",AN559&lt;&gt;"Net Operating Revenue",AN559&lt;&gt;"Net Other Revenue",AN559&lt;&gt;"Net Revenue"),1,0)</f>
        <v>0</v>
      </c>
      <c r="AR559" s="36" t="str">
        <f aca="false">IF(AQ559=1,IF(AND(LEN(AN559)&gt;7,ISNUMBER(VALUE(LEFT(AN559,6))),MID(AN559,7,1)=" "),LEFT(AN559,6),AN559),"")</f>
        <v/>
      </c>
    </row>
    <row r="560" customFormat="false" ht="15" hidden="false" customHeight="false" outlineLevel="0" collapsed="false">
      <c r="D560" s="36" t="str">
        <f aca="false">TRIM(A560)</f>
        <v/>
      </c>
      <c r="E560" s="36" t="str">
        <f aca="false">IF(D560="Revenue","Revenue",IF(D560="Cost of Goods Sold","COGS",IF(D560="Expenditures","Expense",IF(D560="Other Revenue","Other Revenue",IF(D560="Other Expenditures","Other Expense",E559)))))</f>
        <v/>
      </c>
      <c r="F560" s="36" t="str">
        <f aca="false">IF(OR(D560="Revenue",D560="Cost of Goods Sold",D560="Expenditures",D560="Other Revenue",D560="Other Expenditures"),E560,IF(AND(LEN(D560)&gt;2,MID(D560,2,1)=" ",ISNUMBER(VALUE(LEFT(D560,1)))),D560,F559))</f>
        <v/>
      </c>
      <c r="G560" s="36" t="n">
        <f aca="false">IF(AND(D560&lt;&gt;"",ISNUMBER(B560),LEFT(D560,9)&lt;&gt;"Total for",D560&lt;&gt;"Gross Profit",D560&lt;&gt;"Net Operating Revenue",D560&lt;&gt;"Net Other Revenue",D560&lt;&gt;"Net Revenue"),1,0)</f>
        <v>0</v>
      </c>
      <c r="H560" s="36" t="str">
        <f aca="false">IF(G560=1,IF(AND(LEN(D560)&gt;7,ISNUMBER(VALUE(LEFT(D560,6))),MID(D560,7,1)=" "),LEFT(D560,6),D560),"")</f>
        <v/>
      </c>
      <c r="M560" s="36" t="str">
        <f aca="false">TRIM(J560)</f>
        <v/>
      </c>
      <c r="N560" s="36" t="str">
        <f aca="false">IF(M560="Revenue","Revenue",IF(M560="Cost of Goods Sold","COGS",IF(M560="Expenditures","Expense",IF(M560="Other Revenue","Other Revenue",IF(M560="Other Expenditures","Other Expense",N559)))))</f>
        <v/>
      </c>
      <c r="O560" s="36" t="str">
        <f aca="false">IF(OR(M560="Revenue",M560="Cost of Goods Sold",M560="Expenditures",M560="Other Revenue",M560="Other Expenditures"),N560,IF(AND(LEN(M560)&gt;2,MID(M560,2,1)=" ",ISNUMBER(VALUE(LEFT(M560,1)))),M560,O559))</f>
        <v/>
      </c>
      <c r="P560" s="36" t="n">
        <f aca="false">IF(AND(M560&lt;&gt;"",ISNUMBER(K560),LEFT(M560,9)&lt;&gt;"Total for",M560&lt;&gt;"Gross Profit",M560&lt;&gt;"Net Operating Revenue",M560&lt;&gt;"Net Other Revenue",M560&lt;&gt;"Net Revenue"),1,0)</f>
        <v>0</v>
      </c>
      <c r="Q560" s="36" t="str">
        <f aca="false">IF(P560=1,IF(AND(LEN(M560)&gt;7,ISNUMBER(VALUE(LEFT(M560,6))),MID(M560,7,1)=" "),LEFT(M560,6),M560),"")</f>
        <v/>
      </c>
      <c r="V560" s="36" t="str">
        <f aca="false">TRIM(S560)</f>
        <v/>
      </c>
      <c r="W560" s="36" t="str">
        <f aca="false">IF(V560="Revenue","Revenue",IF(V560="Cost of Goods Sold","COGS",IF(V560="Expenditures","Expense",IF(V560="Other Revenue","Other Revenue",IF(V560="Other Expenditures","Other Expense",W559)))))</f>
        <v/>
      </c>
      <c r="X560" s="36" t="str">
        <f aca="false">IF(OR(V560="Revenue",V560="Cost of Goods Sold",V560="Expenditures",V560="Other Revenue",V560="Other Expenditures"),W560,IF(AND(LEN(V560)&gt;2,MID(V560,2,1)=" ",ISNUMBER(VALUE(LEFT(V560,1)))),V560,X559))</f>
        <v/>
      </c>
      <c r="Y560" s="36" t="n">
        <f aca="false">IF(AND(V560&lt;&gt;"",ISNUMBER(T560),LEFT(V560,9)&lt;&gt;"Total for",V560&lt;&gt;"Gross Profit",V560&lt;&gt;"Net Operating Revenue",V560&lt;&gt;"Net Other Revenue",V560&lt;&gt;"Net Revenue"),1,0)</f>
        <v>0</v>
      </c>
      <c r="Z560" s="36" t="str">
        <f aca="false">IF(Y560=1,IF(AND(LEN(V560)&gt;7,ISNUMBER(VALUE(LEFT(V560,6))),MID(V560,7,1)=" "),LEFT(V560,6),V560),"")</f>
        <v/>
      </c>
      <c r="AE560" s="36" t="str">
        <f aca="false">TRIM(AB560)</f>
        <v/>
      </c>
      <c r="AF560" s="36" t="str">
        <f aca="false">IF(AE560="Revenue","Revenue",IF(AE560="Cost of Goods Sold","COGS",IF(AE560="Expenditures","Expense",IF(AE560="Other Revenue","Other Revenue",IF(AE560="Other Expenditures","Other Expense",AF559)))))</f>
        <v/>
      </c>
      <c r="AG560" s="36" t="str">
        <f aca="false">IF(OR(AE560="Revenue",AE560="Cost of Goods Sold",AE560="Expenditures",AE560="Other Revenue",AE560="Other Expenditures"),AF560,IF(AND(LEN(AE560)&gt;2,MID(AE560,2,1)=" ",ISNUMBER(VALUE(LEFT(AE560,1)))),AE560,AG559))</f>
        <v/>
      </c>
      <c r="AH560" s="36" t="n">
        <f aca="false">IF(AND(AE560&lt;&gt;"",ISNUMBER(AC560),LEFT(AE560,9)&lt;&gt;"Total for",AE560&lt;&gt;"Gross Profit",AE560&lt;&gt;"Net Operating Revenue",AE560&lt;&gt;"Net Other Revenue",AE560&lt;&gt;"Net Revenue"),1,0)</f>
        <v>0</v>
      </c>
      <c r="AI560" s="36" t="str">
        <f aca="false">IF(AH560=1,IF(AND(LEN(AE560)&gt;7,ISNUMBER(VALUE(LEFT(AE560,6))),MID(AE560,7,1)=" "),LEFT(AE560,6),AE560),"")</f>
        <v/>
      </c>
      <c r="AN560" s="36" t="str">
        <f aca="false">TRIM(AK560)</f>
        <v/>
      </c>
      <c r="AO560" s="36" t="str">
        <f aca="false">IF(AN560="Revenue","Revenue",IF(AN560="Cost of Goods Sold","COGS",IF(AN560="Expenditures","Expense",IF(AN560="Other Revenue","Other Revenue",IF(AN560="Other Expenditures","Other Expense",AO559)))))</f>
        <v/>
      </c>
      <c r="AP560" s="36" t="str">
        <f aca="false">IF(OR(AN560="Revenue",AN560="Cost of Goods Sold",AN560="Expenditures",AN560="Other Revenue",AN560="Other Expenditures"),AO560,IF(AND(LEN(AN560)&gt;2,MID(AN560,2,1)=" ",ISNUMBER(VALUE(LEFT(AN560,1)))),AN560,AP559))</f>
        <v/>
      </c>
      <c r="AQ560" s="36" t="n">
        <f aca="false">IF(AND(AN560&lt;&gt;"",ISNUMBER(AL560),LEFT(AN560,9)&lt;&gt;"Total for",AN560&lt;&gt;"Gross Profit",AN560&lt;&gt;"Net Operating Revenue",AN560&lt;&gt;"Net Other Revenue",AN560&lt;&gt;"Net Revenue"),1,0)</f>
        <v>0</v>
      </c>
      <c r="AR560" s="36" t="str">
        <f aca="false">IF(AQ560=1,IF(AND(LEN(AN560)&gt;7,ISNUMBER(VALUE(LEFT(AN560,6))),MID(AN560,7,1)=" "),LEFT(AN560,6),AN560),"")</f>
        <v/>
      </c>
    </row>
    <row r="561" customFormat="false" ht="15" hidden="false" customHeight="false" outlineLevel="0" collapsed="false">
      <c r="D561" s="36" t="str">
        <f aca="false">TRIM(A561)</f>
        <v/>
      </c>
      <c r="E561" s="36" t="str">
        <f aca="false">IF(D561="Revenue","Revenue",IF(D561="Cost of Goods Sold","COGS",IF(D561="Expenditures","Expense",IF(D561="Other Revenue","Other Revenue",IF(D561="Other Expenditures","Other Expense",E560)))))</f>
        <v/>
      </c>
      <c r="F561" s="36" t="str">
        <f aca="false">IF(OR(D561="Revenue",D561="Cost of Goods Sold",D561="Expenditures",D561="Other Revenue",D561="Other Expenditures"),E561,IF(AND(LEN(D561)&gt;2,MID(D561,2,1)=" ",ISNUMBER(VALUE(LEFT(D561,1)))),D561,F560))</f>
        <v/>
      </c>
      <c r="G561" s="36" t="n">
        <f aca="false">IF(AND(D561&lt;&gt;"",ISNUMBER(B561),LEFT(D561,9)&lt;&gt;"Total for",D561&lt;&gt;"Gross Profit",D561&lt;&gt;"Net Operating Revenue",D561&lt;&gt;"Net Other Revenue",D561&lt;&gt;"Net Revenue"),1,0)</f>
        <v>0</v>
      </c>
      <c r="H561" s="36" t="str">
        <f aca="false">IF(G561=1,IF(AND(LEN(D561)&gt;7,ISNUMBER(VALUE(LEFT(D561,6))),MID(D561,7,1)=" "),LEFT(D561,6),D561),"")</f>
        <v/>
      </c>
      <c r="M561" s="36" t="str">
        <f aca="false">TRIM(J561)</f>
        <v/>
      </c>
      <c r="N561" s="36" t="str">
        <f aca="false">IF(M561="Revenue","Revenue",IF(M561="Cost of Goods Sold","COGS",IF(M561="Expenditures","Expense",IF(M561="Other Revenue","Other Revenue",IF(M561="Other Expenditures","Other Expense",N560)))))</f>
        <v/>
      </c>
      <c r="O561" s="36" t="str">
        <f aca="false">IF(OR(M561="Revenue",M561="Cost of Goods Sold",M561="Expenditures",M561="Other Revenue",M561="Other Expenditures"),N561,IF(AND(LEN(M561)&gt;2,MID(M561,2,1)=" ",ISNUMBER(VALUE(LEFT(M561,1)))),M561,O560))</f>
        <v/>
      </c>
      <c r="P561" s="36" t="n">
        <f aca="false">IF(AND(M561&lt;&gt;"",ISNUMBER(K561),LEFT(M561,9)&lt;&gt;"Total for",M561&lt;&gt;"Gross Profit",M561&lt;&gt;"Net Operating Revenue",M561&lt;&gt;"Net Other Revenue",M561&lt;&gt;"Net Revenue"),1,0)</f>
        <v>0</v>
      </c>
      <c r="Q561" s="36" t="str">
        <f aca="false">IF(P561=1,IF(AND(LEN(M561)&gt;7,ISNUMBER(VALUE(LEFT(M561,6))),MID(M561,7,1)=" "),LEFT(M561,6),M561),"")</f>
        <v/>
      </c>
      <c r="V561" s="36" t="str">
        <f aca="false">TRIM(S561)</f>
        <v/>
      </c>
      <c r="W561" s="36" t="str">
        <f aca="false">IF(V561="Revenue","Revenue",IF(V561="Cost of Goods Sold","COGS",IF(V561="Expenditures","Expense",IF(V561="Other Revenue","Other Revenue",IF(V561="Other Expenditures","Other Expense",W560)))))</f>
        <v/>
      </c>
      <c r="X561" s="36" t="str">
        <f aca="false">IF(OR(V561="Revenue",V561="Cost of Goods Sold",V561="Expenditures",V561="Other Revenue",V561="Other Expenditures"),W561,IF(AND(LEN(V561)&gt;2,MID(V561,2,1)=" ",ISNUMBER(VALUE(LEFT(V561,1)))),V561,X560))</f>
        <v/>
      </c>
      <c r="Y561" s="36" t="n">
        <f aca="false">IF(AND(V561&lt;&gt;"",ISNUMBER(T561),LEFT(V561,9)&lt;&gt;"Total for",V561&lt;&gt;"Gross Profit",V561&lt;&gt;"Net Operating Revenue",V561&lt;&gt;"Net Other Revenue",V561&lt;&gt;"Net Revenue"),1,0)</f>
        <v>0</v>
      </c>
      <c r="Z561" s="36" t="str">
        <f aca="false">IF(Y561=1,IF(AND(LEN(V561)&gt;7,ISNUMBER(VALUE(LEFT(V561,6))),MID(V561,7,1)=" "),LEFT(V561,6),V561),"")</f>
        <v/>
      </c>
      <c r="AE561" s="36" t="str">
        <f aca="false">TRIM(AB561)</f>
        <v/>
      </c>
      <c r="AF561" s="36" t="str">
        <f aca="false">IF(AE561="Revenue","Revenue",IF(AE561="Cost of Goods Sold","COGS",IF(AE561="Expenditures","Expense",IF(AE561="Other Revenue","Other Revenue",IF(AE561="Other Expenditures","Other Expense",AF560)))))</f>
        <v/>
      </c>
      <c r="AG561" s="36" t="str">
        <f aca="false">IF(OR(AE561="Revenue",AE561="Cost of Goods Sold",AE561="Expenditures",AE561="Other Revenue",AE561="Other Expenditures"),AF561,IF(AND(LEN(AE561)&gt;2,MID(AE561,2,1)=" ",ISNUMBER(VALUE(LEFT(AE561,1)))),AE561,AG560))</f>
        <v/>
      </c>
      <c r="AH561" s="36" t="n">
        <f aca="false">IF(AND(AE561&lt;&gt;"",ISNUMBER(AC561),LEFT(AE561,9)&lt;&gt;"Total for",AE561&lt;&gt;"Gross Profit",AE561&lt;&gt;"Net Operating Revenue",AE561&lt;&gt;"Net Other Revenue",AE561&lt;&gt;"Net Revenue"),1,0)</f>
        <v>0</v>
      </c>
      <c r="AI561" s="36" t="str">
        <f aca="false">IF(AH561=1,IF(AND(LEN(AE561)&gt;7,ISNUMBER(VALUE(LEFT(AE561,6))),MID(AE561,7,1)=" "),LEFT(AE561,6),AE561),"")</f>
        <v/>
      </c>
      <c r="AN561" s="36" t="str">
        <f aca="false">TRIM(AK561)</f>
        <v/>
      </c>
      <c r="AO561" s="36" t="str">
        <f aca="false">IF(AN561="Revenue","Revenue",IF(AN561="Cost of Goods Sold","COGS",IF(AN561="Expenditures","Expense",IF(AN561="Other Revenue","Other Revenue",IF(AN561="Other Expenditures","Other Expense",AO560)))))</f>
        <v/>
      </c>
      <c r="AP561" s="36" t="str">
        <f aca="false">IF(OR(AN561="Revenue",AN561="Cost of Goods Sold",AN561="Expenditures",AN561="Other Revenue",AN561="Other Expenditures"),AO561,IF(AND(LEN(AN561)&gt;2,MID(AN561,2,1)=" ",ISNUMBER(VALUE(LEFT(AN561,1)))),AN561,AP560))</f>
        <v/>
      </c>
      <c r="AQ561" s="36" t="n">
        <f aca="false">IF(AND(AN561&lt;&gt;"",ISNUMBER(AL561),LEFT(AN561,9)&lt;&gt;"Total for",AN561&lt;&gt;"Gross Profit",AN561&lt;&gt;"Net Operating Revenue",AN561&lt;&gt;"Net Other Revenue",AN561&lt;&gt;"Net Revenue"),1,0)</f>
        <v>0</v>
      </c>
      <c r="AR561" s="36" t="str">
        <f aca="false">IF(AQ561=1,IF(AND(LEN(AN561)&gt;7,ISNUMBER(VALUE(LEFT(AN561,6))),MID(AN561,7,1)=" "),LEFT(AN561,6),AN561),"")</f>
        <v/>
      </c>
    </row>
    <row r="562" customFormat="false" ht="15" hidden="false" customHeight="false" outlineLevel="0" collapsed="false">
      <c r="D562" s="36" t="str">
        <f aca="false">TRIM(A562)</f>
        <v/>
      </c>
      <c r="E562" s="36" t="str">
        <f aca="false">IF(D562="Revenue","Revenue",IF(D562="Cost of Goods Sold","COGS",IF(D562="Expenditures","Expense",IF(D562="Other Revenue","Other Revenue",IF(D562="Other Expenditures","Other Expense",E561)))))</f>
        <v/>
      </c>
      <c r="F562" s="36" t="str">
        <f aca="false">IF(OR(D562="Revenue",D562="Cost of Goods Sold",D562="Expenditures",D562="Other Revenue",D562="Other Expenditures"),E562,IF(AND(LEN(D562)&gt;2,MID(D562,2,1)=" ",ISNUMBER(VALUE(LEFT(D562,1)))),D562,F561))</f>
        <v/>
      </c>
      <c r="G562" s="36" t="n">
        <f aca="false">IF(AND(D562&lt;&gt;"",ISNUMBER(B562),LEFT(D562,9)&lt;&gt;"Total for",D562&lt;&gt;"Gross Profit",D562&lt;&gt;"Net Operating Revenue",D562&lt;&gt;"Net Other Revenue",D562&lt;&gt;"Net Revenue"),1,0)</f>
        <v>0</v>
      </c>
      <c r="H562" s="36" t="str">
        <f aca="false">IF(G562=1,IF(AND(LEN(D562)&gt;7,ISNUMBER(VALUE(LEFT(D562,6))),MID(D562,7,1)=" "),LEFT(D562,6),D562),"")</f>
        <v/>
      </c>
      <c r="M562" s="36" t="str">
        <f aca="false">TRIM(J562)</f>
        <v/>
      </c>
      <c r="N562" s="36" t="str">
        <f aca="false">IF(M562="Revenue","Revenue",IF(M562="Cost of Goods Sold","COGS",IF(M562="Expenditures","Expense",IF(M562="Other Revenue","Other Revenue",IF(M562="Other Expenditures","Other Expense",N561)))))</f>
        <v/>
      </c>
      <c r="O562" s="36" t="str">
        <f aca="false">IF(OR(M562="Revenue",M562="Cost of Goods Sold",M562="Expenditures",M562="Other Revenue",M562="Other Expenditures"),N562,IF(AND(LEN(M562)&gt;2,MID(M562,2,1)=" ",ISNUMBER(VALUE(LEFT(M562,1)))),M562,O561))</f>
        <v/>
      </c>
      <c r="P562" s="36" t="n">
        <f aca="false">IF(AND(M562&lt;&gt;"",ISNUMBER(K562),LEFT(M562,9)&lt;&gt;"Total for",M562&lt;&gt;"Gross Profit",M562&lt;&gt;"Net Operating Revenue",M562&lt;&gt;"Net Other Revenue",M562&lt;&gt;"Net Revenue"),1,0)</f>
        <v>0</v>
      </c>
      <c r="Q562" s="36" t="str">
        <f aca="false">IF(P562=1,IF(AND(LEN(M562)&gt;7,ISNUMBER(VALUE(LEFT(M562,6))),MID(M562,7,1)=" "),LEFT(M562,6),M562),"")</f>
        <v/>
      </c>
      <c r="V562" s="36" t="str">
        <f aca="false">TRIM(S562)</f>
        <v/>
      </c>
      <c r="W562" s="36" t="str">
        <f aca="false">IF(V562="Revenue","Revenue",IF(V562="Cost of Goods Sold","COGS",IF(V562="Expenditures","Expense",IF(V562="Other Revenue","Other Revenue",IF(V562="Other Expenditures","Other Expense",W561)))))</f>
        <v/>
      </c>
      <c r="X562" s="36" t="str">
        <f aca="false">IF(OR(V562="Revenue",V562="Cost of Goods Sold",V562="Expenditures",V562="Other Revenue",V562="Other Expenditures"),W562,IF(AND(LEN(V562)&gt;2,MID(V562,2,1)=" ",ISNUMBER(VALUE(LEFT(V562,1)))),V562,X561))</f>
        <v/>
      </c>
      <c r="Y562" s="36" t="n">
        <f aca="false">IF(AND(V562&lt;&gt;"",ISNUMBER(T562),LEFT(V562,9)&lt;&gt;"Total for",V562&lt;&gt;"Gross Profit",V562&lt;&gt;"Net Operating Revenue",V562&lt;&gt;"Net Other Revenue",V562&lt;&gt;"Net Revenue"),1,0)</f>
        <v>0</v>
      </c>
      <c r="Z562" s="36" t="str">
        <f aca="false">IF(Y562=1,IF(AND(LEN(V562)&gt;7,ISNUMBER(VALUE(LEFT(V562,6))),MID(V562,7,1)=" "),LEFT(V562,6),V562),"")</f>
        <v/>
      </c>
      <c r="AE562" s="36" t="str">
        <f aca="false">TRIM(AB562)</f>
        <v/>
      </c>
      <c r="AF562" s="36" t="str">
        <f aca="false">IF(AE562="Revenue","Revenue",IF(AE562="Cost of Goods Sold","COGS",IF(AE562="Expenditures","Expense",IF(AE562="Other Revenue","Other Revenue",IF(AE562="Other Expenditures","Other Expense",AF561)))))</f>
        <v/>
      </c>
      <c r="AG562" s="36" t="str">
        <f aca="false">IF(OR(AE562="Revenue",AE562="Cost of Goods Sold",AE562="Expenditures",AE562="Other Revenue",AE562="Other Expenditures"),AF562,IF(AND(LEN(AE562)&gt;2,MID(AE562,2,1)=" ",ISNUMBER(VALUE(LEFT(AE562,1)))),AE562,AG561))</f>
        <v/>
      </c>
      <c r="AH562" s="36" t="n">
        <f aca="false">IF(AND(AE562&lt;&gt;"",ISNUMBER(AC562),LEFT(AE562,9)&lt;&gt;"Total for",AE562&lt;&gt;"Gross Profit",AE562&lt;&gt;"Net Operating Revenue",AE562&lt;&gt;"Net Other Revenue",AE562&lt;&gt;"Net Revenue"),1,0)</f>
        <v>0</v>
      </c>
      <c r="AI562" s="36" t="str">
        <f aca="false">IF(AH562=1,IF(AND(LEN(AE562)&gt;7,ISNUMBER(VALUE(LEFT(AE562,6))),MID(AE562,7,1)=" "),LEFT(AE562,6),AE562),"")</f>
        <v/>
      </c>
      <c r="AN562" s="36" t="str">
        <f aca="false">TRIM(AK562)</f>
        <v/>
      </c>
      <c r="AO562" s="36" t="str">
        <f aca="false">IF(AN562="Revenue","Revenue",IF(AN562="Cost of Goods Sold","COGS",IF(AN562="Expenditures","Expense",IF(AN562="Other Revenue","Other Revenue",IF(AN562="Other Expenditures","Other Expense",AO561)))))</f>
        <v/>
      </c>
      <c r="AP562" s="36" t="str">
        <f aca="false">IF(OR(AN562="Revenue",AN562="Cost of Goods Sold",AN562="Expenditures",AN562="Other Revenue",AN562="Other Expenditures"),AO562,IF(AND(LEN(AN562)&gt;2,MID(AN562,2,1)=" ",ISNUMBER(VALUE(LEFT(AN562,1)))),AN562,AP561))</f>
        <v/>
      </c>
      <c r="AQ562" s="36" t="n">
        <f aca="false">IF(AND(AN562&lt;&gt;"",ISNUMBER(AL562),LEFT(AN562,9)&lt;&gt;"Total for",AN562&lt;&gt;"Gross Profit",AN562&lt;&gt;"Net Operating Revenue",AN562&lt;&gt;"Net Other Revenue",AN562&lt;&gt;"Net Revenue"),1,0)</f>
        <v>0</v>
      </c>
      <c r="AR562" s="36" t="str">
        <f aca="false">IF(AQ562=1,IF(AND(LEN(AN562)&gt;7,ISNUMBER(VALUE(LEFT(AN562,6))),MID(AN562,7,1)=" "),LEFT(AN562,6),AN562),"")</f>
        <v/>
      </c>
    </row>
    <row r="563" customFormat="false" ht="15" hidden="false" customHeight="false" outlineLevel="0" collapsed="false">
      <c r="D563" s="36" t="str">
        <f aca="false">TRIM(A563)</f>
        <v/>
      </c>
      <c r="E563" s="36" t="str">
        <f aca="false">IF(D563="Revenue","Revenue",IF(D563="Cost of Goods Sold","COGS",IF(D563="Expenditures","Expense",IF(D563="Other Revenue","Other Revenue",IF(D563="Other Expenditures","Other Expense",E562)))))</f>
        <v/>
      </c>
      <c r="F563" s="36" t="str">
        <f aca="false">IF(OR(D563="Revenue",D563="Cost of Goods Sold",D563="Expenditures",D563="Other Revenue",D563="Other Expenditures"),E563,IF(AND(LEN(D563)&gt;2,MID(D563,2,1)=" ",ISNUMBER(VALUE(LEFT(D563,1)))),D563,F562))</f>
        <v/>
      </c>
      <c r="G563" s="36" t="n">
        <f aca="false">IF(AND(D563&lt;&gt;"",ISNUMBER(B563),LEFT(D563,9)&lt;&gt;"Total for",D563&lt;&gt;"Gross Profit",D563&lt;&gt;"Net Operating Revenue",D563&lt;&gt;"Net Other Revenue",D563&lt;&gt;"Net Revenue"),1,0)</f>
        <v>0</v>
      </c>
      <c r="H563" s="36" t="str">
        <f aca="false">IF(G563=1,IF(AND(LEN(D563)&gt;7,ISNUMBER(VALUE(LEFT(D563,6))),MID(D563,7,1)=" "),LEFT(D563,6),D563),"")</f>
        <v/>
      </c>
      <c r="M563" s="36" t="str">
        <f aca="false">TRIM(J563)</f>
        <v/>
      </c>
      <c r="N563" s="36" t="str">
        <f aca="false">IF(M563="Revenue","Revenue",IF(M563="Cost of Goods Sold","COGS",IF(M563="Expenditures","Expense",IF(M563="Other Revenue","Other Revenue",IF(M563="Other Expenditures","Other Expense",N562)))))</f>
        <v/>
      </c>
      <c r="O563" s="36" t="str">
        <f aca="false">IF(OR(M563="Revenue",M563="Cost of Goods Sold",M563="Expenditures",M563="Other Revenue",M563="Other Expenditures"),N563,IF(AND(LEN(M563)&gt;2,MID(M563,2,1)=" ",ISNUMBER(VALUE(LEFT(M563,1)))),M563,O562))</f>
        <v/>
      </c>
      <c r="P563" s="36" t="n">
        <f aca="false">IF(AND(M563&lt;&gt;"",ISNUMBER(K563),LEFT(M563,9)&lt;&gt;"Total for",M563&lt;&gt;"Gross Profit",M563&lt;&gt;"Net Operating Revenue",M563&lt;&gt;"Net Other Revenue",M563&lt;&gt;"Net Revenue"),1,0)</f>
        <v>0</v>
      </c>
      <c r="Q563" s="36" t="str">
        <f aca="false">IF(P563=1,IF(AND(LEN(M563)&gt;7,ISNUMBER(VALUE(LEFT(M563,6))),MID(M563,7,1)=" "),LEFT(M563,6),M563),"")</f>
        <v/>
      </c>
      <c r="V563" s="36" t="str">
        <f aca="false">TRIM(S563)</f>
        <v/>
      </c>
      <c r="W563" s="36" t="str">
        <f aca="false">IF(V563="Revenue","Revenue",IF(V563="Cost of Goods Sold","COGS",IF(V563="Expenditures","Expense",IF(V563="Other Revenue","Other Revenue",IF(V563="Other Expenditures","Other Expense",W562)))))</f>
        <v/>
      </c>
      <c r="X563" s="36" t="str">
        <f aca="false">IF(OR(V563="Revenue",V563="Cost of Goods Sold",V563="Expenditures",V563="Other Revenue",V563="Other Expenditures"),W563,IF(AND(LEN(V563)&gt;2,MID(V563,2,1)=" ",ISNUMBER(VALUE(LEFT(V563,1)))),V563,X562))</f>
        <v/>
      </c>
      <c r="Y563" s="36" t="n">
        <f aca="false">IF(AND(V563&lt;&gt;"",ISNUMBER(T563),LEFT(V563,9)&lt;&gt;"Total for",V563&lt;&gt;"Gross Profit",V563&lt;&gt;"Net Operating Revenue",V563&lt;&gt;"Net Other Revenue",V563&lt;&gt;"Net Revenue"),1,0)</f>
        <v>0</v>
      </c>
      <c r="Z563" s="36" t="str">
        <f aca="false">IF(Y563=1,IF(AND(LEN(V563)&gt;7,ISNUMBER(VALUE(LEFT(V563,6))),MID(V563,7,1)=" "),LEFT(V563,6),V563),"")</f>
        <v/>
      </c>
      <c r="AE563" s="36" t="str">
        <f aca="false">TRIM(AB563)</f>
        <v/>
      </c>
      <c r="AF563" s="36" t="str">
        <f aca="false">IF(AE563="Revenue","Revenue",IF(AE563="Cost of Goods Sold","COGS",IF(AE563="Expenditures","Expense",IF(AE563="Other Revenue","Other Revenue",IF(AE563="Other Expenditures","Other Expense",AF562)))))</f>
        <v/>
      </c>
      <c r="AG563" s="36" t="str">
        <f aca="false">IF(OR(AE563="Revenue",AE563="Cost of Goods Sold",AE563="Expenditures",AE563="Other Revenue",AE563="Other Expenditures"),AF563,IF(AND(LEN(AE563)&gt;2,MID(AE563,2,1)=" ",ISNUMBER(VALUE(LEFT(AE563,1)))),AE563,AG562))</f>
        <v/>
      </c>
      <c r="AH563" s="36" t="n">
        <f aca="false">IF(AND(AE563&lt;&gt;"",ISNUMBER(AC563),LEFT(AE563,9)&lt;&gt;"Total for",AE563&lt;&gt;"Gross Profit",AE563&lt;&gt;"Net Operating Revenue",AE563&lt;&gt;"Net Other Revenue",AE563&lt;&gt;"Net Revenue"),1,0)</f>
        <v>0</v>
      </c>
      <c r="AI563" s="36" t="str">
        <f aca="false">IF(AH563=1,IF(AND(LEN(AE563)&gt;7,ISNUMBER(VALUE(LEFT(AE563,6))),MID(AE563,7,1)=" "),LEFT(AE563,6),AE563),"")</f>
        <v/>
      </c>
      <c r="AN563" s="36" t="str">
        <f aca="false">TRIM(AK563)</f>
        <v/>
      </c>
      <c r="AO563" s="36" t="str">
        <f aca="false">IF(AN563="Revenue","Revenue",IF(AN563="Cost of Goods Sold","COGS",IF(AN563="Expenditures","Expense",IF(AN563="Other Revenue","Other Revenue",IF(AN563="Other Expenditures","Other Expense",AO562)))))</f>
        <v/>
      </c>
      <c r="AP563" s="36" t="str">
        <f aca="false">IF(OR(AN563="Revenue",AN563="Cost of Goods Sold",AN563="Expenditures",AN563="Other Revenue",AN563="Other Expenditures"),AO563,IF(AND(LEN(AN563)&gt;2,MID(AN563,2,1)=" ",ISNUMBER(VALUE(LEFT(AN563,1)))),AN563,AP562))</f>
        <v/>
      </c>
      <c r="AQ563" s="36" t="n">
        <f aca="false">IF(AND(AN563&lt;&gt;"",ISNUMBER(AL563),LEFT(AN563,9)&lt;&gt;"Total for",AN563&lt;&gt;"Gross Profit",AN563&lt;&gt;"Net Operating Revenue",AN563&lt;&gt;"Net Other Revenue",AN563&lt;&gt;"Net Revenue"),1,0)</f>
        <v>0</v>
      </c>
      <c r="AR563" s="36" t="str">
        <f aca="false">IF(AQ563=1,IF(AND(LEN(AN563)&gt;7,ISNUMBER(VALUE(LEFT(AN563,6))),MID(AN563,7,1)=" "),LEFT(AN563,6),AN563),"")</f>
        <v/>
      </c>
    </row>
    <row r="564" customFormat="false" ht="15" hidden="false" customHeight="false" outlineLevel="0" collapsed="false">
      <c r="D564" s="36" t="str">
        <f aca="false">TRIM(A564)</f>
        <v/>
      </c>
      <c r="E564" s="36" t="str">
        <f aca="false">IF(D564="Revenue","Revenue",IF(D564="Cost of Goods Sold","COGS",IF(D564="Expenditures","Expense",IF(D564="Other Revenue","Other Revenue",IF(D564="Other Expenditures","Other Expense",E563)))))</f>
        <v/>
      </c>
      <c r="F564" s="36" t="str">
        <f aca="false">IF(OR(D564="Revenue",D564="Cost of Goods Sold",D564="Expenditures",D564="Other Revenue",D564="Other Expenditures"),E564,IF(AND(LEN(D564)&gt;2,MID(D564,2,1)=" ",ISNUMBER(VALUE(LEFT(D564,1)))),D564,F563))</f>
        <v/>
      </c>
      <c r="G564" s="36" t="n">
        <f aca="false">IF(AND(D564&lt;&gt;"",ISNUMBER(B564),LEFT(D564,9)&lt;&gt;"Total for",D564&lt;&gt;"Gross Profit",D564&lt;&gt;"Net Operating Revenue",D564&lt;&gt;"Net Other Revenue",D564&lt;&gt;"Net Revenue"),1,0)</f>
        <v>0</v>
      </c>
      <c r="H564" s="36" t="str">
        <f aca="false">IF(G564=1,IF(AND(LEN(D564)&gt;7,ISNUMBER(VALUE(LEFT(D564,6))),MID(D564,7,1)=" "),LEFT(D564,6),D564),"")</f>
        <v/>
      </c>
      <c r="M564" s="36" t="str">
        <f aca="false">TRIM(J564)</f>
        <v/>
      </c>
      <c r="N564" s="36" t="str">
        <f aca="false">IF(M564="Revenue","Revenue",IF(M564="Cost of Goods Sold","COGS",IF(M564="Expenditures","Expense",IF(M564="Other Revenue","Other Revenue",IF(M564="Other Expenditures","Other Expense",N563)))))</f>
        <v/>
      </c>
      <c r="O564" s="36" t="str">
        <f aca="false">IF(OR(M564="Revenue",M564="Cost of Goods Sold",M564="Expenditures",M564="Other Revenue",M564="Other Expenditures"),N564,IF(AND(LEN(M564)&gt;2,MID(M564,2,1)=" ",ISNUMBER(VALUE(LEFT(M564,1)))),M564,O563))</f>
        <v/>
      </c>
      <c r="P564" s="36" t="n">
        <f aca="false">IF(AND(M564&lt;&gt;"",ISNUMBER(K564),LEFT(M564,9)&lt;&gt;"Total for",M564&lt;&gt;"Gross Profit",M564&lt;&gt;"Net Operating Revenue",M564&lt;&gt;"Net Other Revenue",M564&lt;&gt;"Net Revenue"),1,0)</f>
        <v>0</v>
      </c>
      <c r="Q564" s="36" t="str">
        <f aca="false">IF(P564=1,IF(AND(LEN(M564)&gt;7,ISNUMBER(VALUE(LEFT(M564,6))),MID(M564,7,1)=" "),LEFT(M564,6),M564),"")</f>
        <v/>
      </c>
      <c r="V564" s="36" t="str">
        <f aca="false">TRIM(S564)</f>
        <v/>
      </c>
      <c r="W564" s="36" t="str">
        <f aca="false">IF(V564="Revenue","Revenue",IF(V564="Cost of Goods Sold","COGS",IF(V564="Expenditures","Expense",IF(V564="Other Revenue","Other Revenue",IF(V564="Other Expenditures","Other Expense",W563)))))</f>
        <v/>
      </c>
      <c r="X564" s="36" t="str">
        <f aca="false">IF(OR(V564="Revenue",V564="Cost of Goods Sold",V564="Expenditures",V564="Other Revenue",V564="Other Expenditures"),W564,IF(AND(LEN(V564)&gt;2,MID(V564,2,1)=" ",ISNUMBER(VALUE(LEFT(V564,1)))),V564,X563))</f>
        <v/>
      </c>
      <c r="Y564" s="36" t="n">
        <f aca="false">IF(AND(V564&lt;&gt;"",ISNUMBER(T564),LEFT(V564,9)&lt;&gt;"Total for",V564&lt;&gt;"Gross Profit",V564&lt;&gt;"Net Operating Revenue",V564&lt;&gt;"Net Other Revenue",V564&lt;&gt;"Net Revenue"),1,0)</f>
        <v>0</v>
      </c>
      <c r="Z564" s="36" t="str">
        <f aca="false">IF(Y564=1,IF(AND(LEN(V564)&gt;7,ISNUMBER(VALUE(LEFT(V564,6))),MID(V564,7,1)=" "),LEFT(V564,6),V564),"")</f>
        <v/>
      </c>
      <c r="AE564" s="36" t="str">
        <f aca="false">TRIM(AB564)</f>
        <v/>
      </c>
      <c r="AF564" s="36" t="str">
        <f aca="false">IF(AE564="Revenue","Revenue",IF(AE564="Cost of Goods Sold","COGS",IF(AE564="Expenditures","Expense",IF(AE564="Other Revenue","Other Revenue",IF(AE564="Other Expenditures","Other Expense",AF563)))))</f>
        <v/>
      </c>
      <c r="AG564" s="36" t="str">
        <f aca="false">IF(OR(AE564="Revenue",AE564="Cost of Goods Sold",AE564="Expenditures",AE564="Other Revenue",AE564="Other Expenditures"),AF564,IF(AND(LEN(AE564)&gt;2,MID(AE564,2,1)=" ",ISNUMBER(VALUE(LEFT(AE564,1)))),AE564,AG563))</f>
        <v/>
      </c>
      <c r="AH564" s="36" t="n">
        <f aca="false">IF(AND(AE564&lt;&gt;"",ISNUMBER(AC564),LEFT(AE564,9)&lt;&gt;"Total for",AE564&lt;&gt;"Gross Profit",AE564&lt;&gt;"Net Operating Revenue",AE564&lt;&gt;"Net Other Revenue",AE564&lt;&gt;"Net Revenue"),1,0)</f>
        <v>0</v>
      </c>
      <c r="AI564" s="36" t="str">
        <f aca="false">IF(AH564=1,IF(AND(LEN(AE564)&gt;7,ISNUMBER(VALUE(LEFT(AE564,6))),MID(AE564,7,1)=" "),LEFT(AE564,6),AE564),"")</f>
        <v/>
      </c>
      <c r="AN564" s="36" t="str">
        <f aca="false">TRIM(AK564)</f>
        <v/>
      </c>
      <c r="AO564" s="36" t="str">
        <f aca="false">IF(AN564="Revenue","Revenue",IF(AN564="Cost of Goods Sold","COGS",IF(AN564="Expenditures","Expense",IF(AN564="Other Revenue","Other Revenue",IF(AN564="Other Expenditures","Other Expense",AO563)))))</f>
        <v/>
      </c>
      <c r="AP564" s="36" t="str">
        <f aca="false">IF(OR(AN564="Revenue",AN564="Cost of Goods Sold",AN564="Expenditures",AN564="Other Revenue",AN564="Other Expenditures"),AO564,IF(AND(LEN(AN564)&gt;2,MID(AN564,2,1)=" ",ISNUMBER(VALUE(LEFT(AN564,1)))),AN564,AP563))</f>
        <v/>
      </c>
      <c r="AQ564" s="36" t="n">
        <f aca="false">IF(AND(AN564&lt;&gt;"",ISNUMBER(AL564),LEFT(AN564,9)&lt;&gt;"Total for",AN564&lt;&gt;"Gross Profit",AN564&lt;&gt;"Net Operating Revenue",AN564&lt;&gt;"Net Other Revenue",AN564&lt;&gt;"Net Revenue"),1,0)</f>
        <v>0</v>
      </c>
      <c r="AR564" s="36" t="str">
        <f aca="false">IF(AQ564=1,IF(AND(LEN(AN564)&gt;7,ISNUMBER(VALUE(LEFT(AN564,6))),MID(AN564,7,1)=" "),LEFT(AN564,6),AN564),"")</f>
        <v/>
      </c>
    </row>
    <row r="565" customFormat="false" ht="15" hidden="false" customHeight="false" outlineLevel="0" collapsed="false">
      <c r="D565" s="36" t="str">
        <f aca="false">TRIM(A565)</f>
        <v/>
      </c>
      <c r="E565" s="36" t="str">
        <f aca="false">IF(D565="Revenue","Revenue",IF(D565="Cost of Goods Sold","COGS",IF(D565="Expenditures","Expense",IF(D565="Other Revenue","Other Revenue",IF(D565="Other Expenditures","Other Expense",E564)))))</f>
        <v/>
      </c>
      <c r="F565" s="36" t="str">
        <f aca="false">IF(OR(D565="Revenue",D565="Cost of Goods Sold",D565="Expenditures",D565="Other Revenue",D565="Other Expenditures"),E565,IF(AND(LEN(D565)&gt;2,MID(D565,2,1)=" ",ISNUMBER(VALUE(LEFT(D565,1)))),D565,F564))</f>
        <v/>
      </c>
      <c r="G565" s="36" t="n">
        <f aca="false">IF(AND(D565&lt;&gt;"",ISNUMBER(B565),LEFT(D565,9)&lt;&gt;"Total for",D565&lt;&gt;"Gross Profit",D565&lt;&gt;"Net Operating Revenue",D565&lt;&gt;"Net Other Revenue",D565&lt;&gt;"Net Revenue"),1,0)</f>
        <v>0</v>
      </c>
      <c r="H565" s="36" t="str">
        <f aca="false">IF(G565=1,IF(AND(LEN(D565)&gt;7,ISNUMBER(VALUE(LEFT(D565,6))),MID(D565,7,1)=" "),LEFT(D565,6),D565),"")</f>
        <v/>
      </c>
      <c r="M565" s="36" t="str">
        <f aca="false">TRIM(J565)</f>
        <v/>
      </c>
      <c r="N565" s="36" t="str">
        <f aca="false">IF(M565="Revenue","Revenue",IF(M565="Cost of Goods Sold","COGS",IF(M565="Expenditures","Expense",IF(M565="Other Revenue","Other Revenue",IF(M565="Other Expenditures","Other Expense",N564)))))</f>
        <v/>
      </c>
      <c r="O565" s="36" t="str">
        <f aca="false">IF(OR(M565="Revenue",M565="Cost of Goods Sold",M565="Expenditures",M565="Other Revenue",M565="Other Expenditures"),N565,IF(AND(LEN(M565)&gt;2,MID(M565,2,1)=" ",ISNUMBER(VALUE(LEFT(M565,1)))),M565,O564))</f>
        <v/>
      </c>
      <c r="P565" s="36" t="n">
        <f aca="false">IF(AND(M565&lt;&gt;"",ISNUMBER(K565),LEFT(M565,9)&lt;&gt;"Total for",M565&lt;&gt;"Gross Profit",M565&lt;&gt;"Net Operating Revenue",M565&lt;&gt;"Net Other Revenue",M565&lt;&gt;"Net Revenue"),1,0)</f>
        <v>0</v>
      </c>
      <c r="Q565" s="36" t="str">
        <f aca="false">IF(P565=1,IF(AND(LEN(M565)&gt;7,ISNUMBER(VALUE(LEFT(M565,6))),MID(M565,7,1)=" "),LEFT(M565,6),M565),"")</f>
        <v/>
      </c>
      <c r="V565" s="36" t="str">
        <f aca="false">TRIM(S565)</f>
        <v/>
      </c>
      <c r="W565" s="36" t="str">
        <f aca="false">IF(V565="Revenue","Revenue",IF(V565="Cost of Goods Sold","COGS",IF(V565="Expenditures","Expense",IF(V565="Other Revenue","Other Revenue",IF(V565="Other Expenditures","Other Expense",W564)))))</f>
        <v/>
      </c>
      <c r="X565" s="36" t="str">
        <f aca="false">IF(OR(V565="Revenue",V565="Cost of Goods Sold",V565="Expenditures",V565="Other Revenue",V565="Other Expenditures"),W565,IF(AND(LEN(V565)&gt;2,MID(V565,2,1)=" ",ISNUMBER(VALUE(LEFT(V565,1)))),V565,X564))</f>
        <v/>
      </c>
      <c r="Y565" s="36" t="n">
        <f aca="false">IF(AND(V565&lt;&gt;"",ISNUMBER(T565),LEFT(V565,9)&lt;&gt;"Total for",V565&lt;&gt;"Gross Profit",V565&lt;&gt;"Net Operating Revenue",V565&lt;&gt;"Net Other Revenue",V565&lt;&gt;"Net Revenue"),1,0)</f>
        <v>0</v>
      </c>
      <c r="Z565" s="36" t="str">
        <f aca="false">IF(Y565=1,IF(AND(LEN(V565)&gt;7,ISNUMBER(VALUE(LEFT(V565,6))),MID(V565,7,1)=" "),LEFT(V565,6),V565),"")</f>
        <v/>
      </c>
      <c r="AE565" s="36" t="str">
        <f aca="false">TRIM(AB565)</f>
        <v/>
      </c>
      <c r="AF565" s="36" t="str">
        <f aca="false">IF(AE565="Revenue","Revenue",IF(AE565="Cost of Goods Sold","COGS",IF(AE565="Expenditures","Expense",IF(AE565="Other Revenue","Other Revenue",IF(AE565="Other Expenditures","Other Expense",AF564)))))</f>
        <v/>
      </c>
      <c r="AG565" s="36" t="str">
        <f aca="false">IF(OR(AE565="Revenue",AE565="Cost of Goods Sold",AE565="Expenditures",AE565="Other Revenue",AE565="Other Expenditures"),AF565,IF(AND(LEN(AE565)&gt;2,MID(AE565,2,1)=" ",ISNUMBER(VALUE(LEFT(AE565,1)))),AE565,AG564))</f>
        <v/>
      </c>
      <c r="AH565" s="36" t="n">
        <f aca="false">IF(AND(AE565&lt;&gt;"",ISNUMBER(AC565),LEFT(AE565,9)&lt;&gt;"Total for",AE565&lt;&gt;"Gross Profit",AE565&lt;&gt;"Net Operating Revenue",AE565&lt;&gt;"Net Other Revenue",AE565&lt;&gt;"Net Revenue"),1,0)</f>
        <v>0</v>
      </c>
      <c r="AI565" s="36" t="str">
        <f aca="false">IF(AH565=1,IF(AND(LEN(AE565)&gt;7,ISNUMBER(VALUE(LEFT(AE565,6))),MID(AE565,7,1)=" "),LEFT(AE565,6),AE565),"")</f>
        <v/>
      </c>
      <c r="AN565" s="36" t="str">
        <f aca="false">TRIM(AK565)</f>
        <v/>
      </c>
      <c r="AO565" s="36" t="str">
        <f aca="false">IF(AN565="Revenue","Revenue",IF(AN565="Cost of Goods Sold","COGS",IF(AN565="Expenditures","Expense",IF(AN565="Other Revenue","Other Revenue",IF(AN565="Other Expenditures","Other Expense",AO564)))))</f>
        <v/>
      </c>
      <c r="AP565" s="36" t="str">
        <f aca="false">IF(OR(AN565="Revenue",AN565="Cost of Goods Sold",AN565="Expenditures",AN565="Other Revenue",AN565="Other Expenditures"),AO565,IF(AND(LEN(AN565)&gt;2,MID(AN565,2,1)=" ",ISNUMBER(VALUE(LEFT(AN565,1)))),AN565,AP564))</f>
        <v/>
      </c>
      <c r="AQ565" s="36" t="n">
        <f aca="false">IF(AND(AN565&lt;&gt;"",ISNUMBER(AL565),LEFT(AN565,9)&lt;&gt;"Total for",AN565&lt;&gt;"Gross Profit",AN565&lt;&gt;"Net Operating Revenue",AN565&lt;&gt;"Net Other Revenue",AN565&lt;&gt;"Net Revenue"),1,0)</f>
        <v>0</v>
      </c>
      <c r="AR565" s="36" t="str">
        <f aca="false">IF(AQ565=1,IF(AND(LEN(AN565)&gt;7,ISNUMBER(VALUE(LEFT(AN565,6))),MID(AN565,7,1)=" "),LEFT(AN565,6),AN565),"")</f>
        <v/>
      </c>
    </row>
    <row r="566" customFormat="false" ht="15" hidden="false" customHeight="false" outlineLevel="0" collapsed="false">
      <c r="D566" s="36" t="str">
        <f aca="false">TRIM(A566)</f>
        <v/>
      </c>
      <c r="E566" s="36" t="str">
        <f aca="false">IF(D566="Revenue","Revenue",IF(D566="Cost of Goods Sold","COGS",IF(D566="Expenditures","Expense",IF(D566="Other Revenue","Other Revenue",IF(D566="Other Expenditures","Other Expense",E565)))))</f>
        <v/>
      </c>
      <c r="F566" s="36" t="str">
        <f aca="false">IF(OR(D566="Revenue",D566="Cost of Goods Sold",D566="Expenditures",D566="Other Revenue",D566="Other Expenditures"),E566,IF(AND(LEN(D566)&gt;2,MID(D566,2,1)=" ",ISNUMBER(VALUE(LEFT(D566,1)))),D566,F565))</f>
        <v/>
      </c>
      <c r="G566" s="36" t="n">
        <f aca="false">IF(AND(D566&lt;&gt;"",ISNUMBER(B566),LEFT(D566,9)&lt;&gt;"Total for",D566&lt;&gt;"Gross Profit",D566&lt;&gt;"Net Operating Revenue",D566&lt;&gt;"Net Other Revenue",D566&lt;&gt;"Net Revenue"),1,0)</f>
        <v>0</v>
      </c>
      <c r="H566" s="36" t="str">
        <f aca="false">IF(G566=1,IF(AND(LEN(D566)&gt;7,ISNUMBER(VALUE(LEFT(D566,6))),MID(D566,7,1)=" "),LEFT(D566,6),D566),"")</f>
        <v/>
      </c>
      <c r="M566" s="36" t="str">
        <f aca="false">TRIM(J566)</f>
        <v/>
      </c>
      <c r="N566" s="36" t="str">
        <f aca="false">IF(M566="Revenue","Revenue",IF(M566="Cost of Goods Sold","COGS",IF(M566="Expenditures","Expense",IF(M566="Other Revenue","Other Revenue",IF(M566="Other Expenditures","Other Expense",N565)))))</f>
        <v/>
      </c>
      <c r="O566" s="36" t="str">
        <f aca="false">IF(OR(M566="Revenue",M566="Cost of Goods Sold",M566="Expenditures",M566="Other Revenue",M566="Other Expenditures"),N566,IF(AND(LEN(M566)&gt;2,MID(M566,2,1)=" ",ISNUMBER(VALUE(LEFT(M566,1)))),M566,O565))</f>
        <v/>
      </c>
      <c r="P566" s="36" t="n">
        <f aca="false">IF(AND(M566&lt;&gt;"",ISNUMBER(K566),LEFT(M566,9)&lt;&gt;"Total for",M566&lt;&gt;"Gross Profit",M566&lt;&gt;"Net Operating Revenue",M566&lt;&gt;"Net Other Revenue",M566&lt;&gt;"Net Revenue"),1,0)</f>
        <v>0</v>
      </c>
      <c r="Q566" s="36" t="str">
        <f aca="false">IF(P566=1,IF(AND(LEN(M566)&gt;7,ISNUMBER(VALUE(LEFT(M566,6))),MID(M566,7,1)=" "),LEFT(M566,6),M566),"")</f>
        <v/>
      </c>
      <c r="V566" s="36" t="str">
        <f aca="false">TRIM(S566)</f>
        <v/>
      </c>
      <c r="W566" s="36" t="str">
        <f aca="false">IF(V566="Revenue","Revenue",IF(V566="Cost of Goods Sold","COGS",IF(V566="Expenditures","Expense",IF(V566="Other Revenue","Other Revenue",IF(V566="Other Expenditures","Other Expense",W565)))))</f>
        <v/>
      </c>
      <c r="X566" s="36" t="str">
        <f aca="false">IF(OR(V566="Revenue",V566="Cost of Goods Sold",V566="Expenditures",V566="Other Revenue",V566="Other Expenditures"),W566,IF(AND(LEN(V566)&gt;2,MID(V566,2,1)=" ",ISNUMBER(VALUE(LEFT(V566,1)))),V566,X565))</f>
        <v/>
      </c>
      <c r="Y566" s="36" t="n">
        <f aca="false">IF(AND(V566&lt;&gt;"",ISNUMBER(T566),LEFT(V566,9)&lt;&gt;"Total for",V566&lt;&gt;"Gross Profit",V566&lt;&gt;"Net Operating Revenue",V566&lt;&gt;"Net Other Revenue",V566&lt;&gt;"Net Revenue"),1,0)</f>
        <v>0</v>
      </c>
      <c r="Z566" s="36" t="str">
        <f aca="false">IF(Y566=1,IF(AND(LEN(V566)&gt;7,ISNUMBER(VALUE(LEFT(V566,6))),MID(V566,7,1)=" "),LEFT(V566,6),V566),"")</f>
        <v/>
      </c>
      <c r="AE566" s="36" t="str">
        <f aca="false">TRIM(AB566)</f>
        <v/>
      </c>
      <c r="AF566" s="36" t="str">
        <f aca="false">IF(AE566="Revenue","Revenue",IF(AE566="Cost of Goods Sold","COGS",IF(AE566="Expenditures","Expense",IF(AE566="Other Revenue","Other Revenue",IF(AE566="Other Expenditures","Other Expense",AF565)))))</f>
        <v/>
      </c>
      <c r="AG566" s="36" t="str">
        <f aca="false">IF(OR(AE566="Revenue",AE566="Cost of Goods Sold",AE566="Expenditures",AE566="Other Revenue",AE566="Other Expenditures"),AF566,IF(AND(LEN(AE566)&gt;2,MID(AE566,2,1)=" ",ISNUMBER(VALUE(LEFT(AE566,1)))),AE566,AG565))</f>
        <v/>
      </c>
      <c r="AH566" s="36" t="n">
        <f aca="false">IF(AND(AE566&lt;&gt;"",ISNUMBER(AC566),LEFT(AE566,9)&lt;&gt;"Total for",AE566&lt;&gt;"Gross Profit",AE566&lt;&gt;"Net Operating Revenue",AE566&lt;&gt;"Net Other Revenue",AE566&lt;&gt;"Net Revenue"),1,0)</f>
        <v>0</v>
      </c>
      <c r="AI566" s="36" t="str">
        <f aca="false">IF(AH566=1,IF(AND(LEN(AE566)&gt;7,ISNUMBER(VALUE(LEFT(AE566,6))),MID(AE566,7,1)=" "),LEFT(AE566,6),AE566),"")</f>
        <v/>
      </c>
      <c r="AN566" s="36" t="str">
        <f aca="false">TRIM(AK566)</f>
        <v/>
      </c>
      <c r="AO566" s="36" t="str">
        <f aca="false">IF(AN566="Revenue","Revenue",IF(AN566="Cost of Goods Sold","COGS",IF(AN566="Expenditures","Expense",IF(AN566="Other Revenue","Other Revenue",IF(AN566="Other Expenditures","Other Expense",AO565)))))</f>
        <v/>
      </c>
      <c r="AP566" s="36" t="str">
        <f aca="false">IF(OR(AN566="Revenue",AN566="Cost of Goods Sold",AN566="Expenditures",AN566="Other Revenue",AN566="Other Expenditures"),AO566,IF(AND(LEN(AN566)&gt;2,MID(AN566,2,1)=" ",ISNUMBER(VALUE(LEFT(AN566,1)))),AN566,AP565))</f>
        <v/>
      </c>
      <c r="AQ566" s="36" t="n">
        <f aca="false">IF(AND(AN566&lt;&gt;"",ISNUMBER(AL566),LEFT(AN566,9)&lt;&gt;"Total for",AN566&lt;&gt;"Gross Profit",AN566&lt;&gt;"Net Operating Revenue",AN566&lt;&gt;"Net Other Revenue",AN566&lt;&gt;"Net Revenue"),1,0)</f>
        <v>0</v>
      </c>
      <c r="AR566" s="36" t="str">
        <f aca="false">IF(AQ566=1,IF(AND(LEN(AN566)&gt;7,ISNUMBER(VALUE(LEFT(AN566,6))),MID(AN566,7,1)=" "),LEFT(AN566,6),AN566),"")</f>
        <v/>
      </c>
    </row>
    <row r="567" customFormat="false" ht="15" hidden="false" customHeight="false" outlineLevel="0" collapsed="false">
      <c r="D567" s="36" t="str">
        <f aca="false">TRIM(A567)</f>
        <v/>
      </c>
      <c r="E567" s="36" t="str">
        <f aca="false">IF(D567="Revenue","Revenue",IF(D567="Cost of Goods Sold","COGS",IF(D567="Expenditures","Expense",IF(D567="Other Revenue","Other Revenue",IF(D567="Other Expenditures","Other Expense",E566)))))</f>
        <v/>
      </c>
      <c r="F567" s="36" t="str">
        <f aca="false">IF(OR(D567="Revenue",D567="Cost of Goods Sold",D567="Expenditures",D567="Other Revenue",D567="Other Expenditures"),E567,IF(AND(LEN(D567)&gt;2,MID(D567,2,1)=" ",ISNUMBER(VALUE(LEFT(D567,1)))),D567,F566))</f>
        <v/>
      </c>
      <c r="G567" s="36" t="n">
        <f aca="false">IF(AND(D567&lt;&gt;"",ISNUMBER(B567),LEFT(D567,9)&lt;&gt;"Total for",D567&lt;&gt;"Gross Profit",D567&lt;&gt;"Net Operating Revenue",D567&lt;&gt;"Net Other Revenue",D567&lt;&gt;"Net Revenue"),1,0)</f>
        <v>0</v>
      </c>
      <c r="H567" s="36" t="str">
        <f aca="false">IF(G567=1,IF(AND(LEN(D567)&gt;7,ISNUMBER(VALUE(LEFT(D567,6))),MID(D567,7,1)=" "),LEFT(D567,6),D567),"")</f>
        <v/>
      </c>
      <c r="M567" s="36" t="str">
        <f aca="false">TRIM(J567)</f>
        <v/>
      </c>
      <c r="N567" s="36" t="str">
        <f aca="false">IF(M567="Revenue","Revenue",IF(M567="Cost of Goods Sold","COGS",IF(M567="Expenditures","Expense",IF(M567="Other Revenue","Other Revenue",IF(M567="Other Expenditures","Other Expense",N566)))))</f>
        <v/>
      </c>
      <c r="O567" s="36" t="str">
        <f aca="false">IF(OR(M567="Revenue",M567="Cost of Goods Sold",M567="Expenditures",M567="Other Revenue",M567="Other Expenditures"),N567,IF(AND(LEN(M567)&gt;2,MID(M567,2,1)=" ",ISNUMBER(VALUE(LEFT(M567,1)))),M567,O566))</f>
        <v/>
      </c>
      <c r="P567" s="36" t="n">
        <f aca="false">IF(AND(M567&lt;&gt;"",ISNUMBER(K567),LEFT(M567,9)&lt;&gt;"Total for",M567&lt;&gt;"Gross Profit",M567&lt;&gt;"Net Operating Revenue",M567&lt;&gt;"Net Other Revenue",M567&lt;&gt;"Net Revenue"),1,0)</f>
        <v>0</v>
      </c>
      <c r="Q567" s="36" t="str">
        <f aca="false">IF(P567=1,IF(AND(LEN(M567)&gt;7,ISNUMBER(VALUE(LEFT(M567,6))),MID(M567,7,1)=" "),LEFT(M567,6),M567),"")</f>
        <v/>
      </c>
      <c r="V567" s="36" t="str">
        <f aca="false">TRIM(S567)</f>
        <v/>
      </c>
      <c r="W567" s="36" t="str">
        <f aca="false">IF(V567="Revenue","Revenue",IF(V567="Cost of Goods Sold","COGS",IF(V567="Expenditures","Expense",IF(V567="Other Revenue","Other Revenue",IF(V567="Other Expenditures","Other Expense",W566)))))</f>
        <v/>
      </c>
      <c r="X567" s="36" t="str">
        <f aca="false">IF(OR(V567="Revenue",V567="Cost of Goods Sold",V567="Expenditures",V567="Other Revenue",V567="Other Expenditures"),W567,IF(AND(LEN(V567)&gt;2,MID(V567,2,1)=" ",ISNUMBER(VALUE(LEFT(V567,1)))),V567,X566))</f>
        <v/>
      </c>
      <c r="Y567" s="36" t="n">
        <f aca="false">IF(AND(V567&lt;&gt;"",ISNUMBER(T567),LEFT(V567,9)&lt;&gt;"Total for",V567&lt;&gt;"Gross Profit",V567&lt;&gt;"Net Operating Revenue",V567&lt;&gt;"Net Other Revenue",V567&lt;&gt;"Net Revenue"),1,0)</f>
        <v>0</v>
      </c>
      <c r="Z567" s="36" t="str">
        <f aca="false">IF(Y567=1,IF(AND(LEN(V567)&gt;7,ISNUMBER(VALUE(LEFT(V567,6))),MID(V567,7,1)=" "),LEFT(V567,6),V567),"")</f>
        <v/>
      </c>
      <c r="AE567" s="36" t="str">
        <f aca="false">TRIM(AB567)</f>
        <v/>
      </c>
      <c r="AF567" s="36" t="str">
        <f aca="false">IF(AE567="Revenue","Revenue",IF(AE567="Cost of Goods Sold","COGS",IF(AE567="Expenditures","Expense",IF(AE567="Other Revenue","Other Revenue",IF(AE567="Other Expenditures","Other Expense",AF566)))))</f>
        <v/>
      </c>
      <c r="AG567" s="36" t="str">
        <f aca="false">IF(OR(AE567="Revenue",AE567="Cost of Goods Sold",AE567="Expenditures",AE567="Other Revenue",AE567="Other Expenditures"),AF567,IF(AND(LEN(AE567)&gt;2,MID(AE567,2,1)=" ",ISNUMBER(VALUE(LEFT(AE567,1)))),AE567,AG566))</f>
        <v/>
      </c>
      <c r="AH567" s="36" t="n">
        <f aca="false">IF(AND(AE567&lt;&gt;"",ISNUMBER(AC567),LEFT(AE567,9)&lt;&gt;"Total for",AE567&lt;&gt;"Gross Profit",AE567&lt;&gt;"Net Operating Revenue",AE567&lt;&gt;"Net Other Revenue",AE567&lt;&gt;"Net Revenue"),1,0)</f>
        <v>0</v>
      </c>
      <c r="AI567" s="36" t="str">
        <f aca="false">IF(AH567=1,IF(AND(LEN(AE567)&gt;7,ISNUMBER(VALUE(LEFT(AE567,6))),MID(AE567,7,1)=" "),LEFT(AE567,6),AE567),"")</f>
        <v/>
      </c>
      <c r="AN567" s="36" t="str">
        <f aca="false">TRIM(AK567)</f>
        <v/>
      </c>
      <c r="AO567" s="36" t="str">
        <f aca="false">IF(AN567="Revenue","Revenue",IF(AN567="Cost of Goods Sold","COGS",IF(AN567="Expenditures","Expense",IF(AN567="Other Revenue","Other Revenue",IF(AN567="Other Expenditures","Other Expense",AO566)))))</f>
        <v/>
      </c>
      <c r="AP567" s="36" t="str">
        <f aca="false">IF(OR(AN567="Revenue",AN567="Cost of Goods Sold",AN567="Expenditures",AN567="Other Revenue",AN567="Other Expenditures"),AO567,IF(AND(LEN(AN567)&gt;2,MID(AN567,2,1)=" ",ISNUMBER(VALUE(LEFT(AN567,1)))),AN567,AP566))</f>
        <v/>
      </c>
      <c r="AQ567" s="36" t="n">
        <f aca="false">IF(AND(AN567&lt;&gt;"",ISNUMBER(AL567),LEFT(AN567,9)&lt;&gt;"Total for",AN567&lt;&gt;"Gross Profit",AN567&lt;&gt;"Net Operating Revenue",AN567&lt;&gt;"Net Other Revenue",AN567&lt;&gt;"Net Revenue"),1,0)</f>
        <v>0</v>
      </c>
      <c r="AR567" s="36" t="str">
        <f aca="false">IF(AQ567=1,IF(AND(LEN(AN567)&gt;7,ISNUMBER(VALUE(LEFT(AN567,6))),MID(AN567,7,1)=" "),LEFT(AN567,6),AN567),"")</f>
        <v/>
      </c>
    </row>
    <row r="568" customFormat="false" ht="15" hidden="false" customHeight="false" outlineLevel="0" collapsed="false">
      <c r="D568" s="36" t="str">
        <f aca="false">TRIM(A568)</f>
        <v/>
      </c>
      <c r="E568" s="36" t="str">
        <f aca="false">IF(D568="Revenue","Revenue",IF(D568="Cost of Goods Sold","COGS",IF(D568="Expenditures","Expense",IF(D568="Other Revenue","Other Revenue",IF(D568="Other Expenditures","Other Expense",E567)))))</f>
        <v/>
      </c>
      <c r="F568" s="36" t="str">
        <f aca="false">IF(OR(D568="Revenue",D568="Cost of Goods Sold",D568="Expenditures",D568="Other Revenue",D568="Other Expenditures"),E568,IF(AND(LEN(D568)&gt;2,MID(D568,2,1)=" ",ISNUMBER(VALUE(LEFT(D568,1)))),D568,F567))</f>
        <v/>
      </c>
      <c r="G568" s="36" t="n">
        <f aca="false">IF(AND(D568&lt;&gt;"",ISNUMBER(B568),LEFT(D568,9)&lt;&gt;"Total for",D568&lt;&gt;"Gross Profit",D568&lt;&gt;"Net Operating Revenue",D568&lt;&gt;"Net Other Revenue",D568&lt;&gt;"Net Revenue"),1,0)</f>
        <v>0</v>
      </c>
      <c r="H568" s="36" t="str">
        <f aca="false">IF(G568=1,IF(AND(LEN(D568)&gt;7,ISNUMBER(VALUE(LEFT(D568,6))),MID(D568,7,1)=" "),LEFT(D568,6),D568),"")</f>
        <v/>
      </c>
      <c r="M568" s="36" t="str">
        <f aca="false">TRIM(J568)</f>
        <v/>
      </c>
      <c r="N568" s="36" t="str">
        <f aca="false">IF(M568="Revenue","Revenue",IF(M568="Cost of Goods Sold","COGS",IF(M568="Expenditures","Expense",IF(M568="Other Revenue","Other Revenue",IF(M568="Other Expenditures","Other Expense",N567)))))</f>
        <v/>
      </c>
      <c r="O568" s="36" t="str">
        <f aca="false">IF(OR(M568="Revenue",M568="Cost of Goods Sold",M568="Expenditures",M568="Other Revenue",M568="Other Expenditures"),N568,IF(AND(LEN(M568)&gt;2,MID(M568,2,1)=" ",ISNUMBER(VALUE(LEFT(M568,1)))),M568,O567))</f>
        <v/>
      </c>
      <c r="P568" s="36" t="n">
        <f aca="false">IF(AND(M568&lt;&gt;"",ISNUMBER(K568),LEFT(M568,9)&lt;&gt;"Total for",M568&lt;&gt;"Gross Profit",M568&lt;&gt;"Net Operating Revenue",M568&lt;&gt;"Net Other Revenue",M568&lt;&gt;"Net Revenue"),1,0)</f>
        <v>0</v>
      </c>
      <c r="Q568" s="36" t="str">
        <f aca="false">IF(P568=1,IF(AND(LEN(M568)&gt;7,ISNUMBER(VALUE(LEFT(M568,6))),MID(M568,7,1)=" "),LEFT(M568,6),M568),"")</f>
        <v/>
      </c>
      <c r="V568" s="36" t="str">
        <f aca="false">TRIM(S568)</f>
        <v/>
      </c>
      <c r="W568" s="36" t="str">
        <f aca="false">IF(V568="Revenue","Revenue",IF(V568="Cost of Goods Sold","COGS",IF(V568="Expenditures","Expense",IF(V568="Other Revenue","Other Revenue",IF(V568="Other Expenditures","Other Expense",W567)))))</f>
        <v/>
      </c>
      <c r="X568" s="36" t="str">
        <f aca="false">IF(OR(V568="Revenue",V568="Cost of Goods Sold",V568="Expenditures",V568="Other Revenue",V568="Other Expenditures"),W568,IF(AND(LEN(V568)&gt;2,MID(V568,2,1)=" ",ISNUMBER(VALUE(LEFT(V568,1)))),V568,X567))</f>
        <v/>
      </c>
      <c r="Y568" s="36" t="n">
        <f aca="false">IF(AND(V568&lt;&gt;"",ISNUMBER(T568),LEFT(V568,9)&lt;&gt;"Total for",V568&lt;&gt;"Gross Profit",V568&lt;&gt;"Net Operating Revenue",V568&lt;&gt;"Net Other Revenue",V568&lt;&gt;"Net Revenue"),1,0)</f>
        <v>0</v>
      </c>
      <c r="Z568" s="36" t="str">
        <f aca="false">IF(Y568=1,IF(AND(LEN(V568)&gt;7,ISNUMBER(VALUE(LEFT(V568,6))),MID(V568,7,1)=" "),LEFT(V568,6),V568),"")</f>
        <v/>
      </c>
      <c r="AE568" s="36" t="str">
        <f aca="false">TRIM(AB568)</f>
        <v/>
      </c>
      <c r="AF568" s="36" t="str">
        <f aca="false">IF(AE568="Revenue","Revenue",IF(AE568="Cost of Goods Sold","COGS",IF(AE568="Expenditures","Expense",IF(AE568="Other Revenue","Other Revenue",IF(AE568="Other Expenditures","Other Expense",AF567)))))</f>
        <v/>
      </c>
      <c r="AG568" s="36" t="str">
        <f aca="false">IF(OR(AE568="Revenue",AE568="Cost of Goods Sold",AE568="Expenditures",AE568="Other Revenue",AE568="Other Expenditures"),AF568,IF(AND(LEN(AE568)&gt;2,MID(AE568,2,1)=" ",ISNUMBER(VALUE(LEFT(AE568,1)))),AE568,AG567))</f>
        <v/>
      </c>
      <c r="AH568" s="36" t="n">
        <f aca="false">IF(AND(AE568&lt;&gt;"",ISNUMBER(AC568),LEFT(AE568,9)&lt;&gt;"Total for",AE568&lt;&gt;"Gross Profit",AE568&lt;&gt;"Net Operating Revenue",AE568&lt;&gt;"Net Other Revenue",AE568&lt;&gt;"Net Revenue"),1,0)</f>
        <v>0</v>
      </c>
      <c r="AI568" s="36" t="str">
        <f aca="false">IF(AH568=1,IF(AND(LEN(AE568)&gt;7,ISNUMBER(VALUE(LEFT(AE568,6))),MID(AE568,7,1)=" "),LEFT(AE568,6),AE568),"")</f>
        <v/>
      </c>
      <c r="AN568" s="36" t="str">
        <f aca="false">TRIM(AK568)</f>
        <v/>
      </c>
      <c r="AO568" s="36" t="str">
        <f aca="false">IF(AN568="Revenue","Revenue",IF(AN568="Cost of Goods Sold","COGS",IF(AN568="Expenditures","Expense",IF(AN568="Other Revenue","Other Revenue",IF(AN568="Other Expenditures","Other Expense",AO567)))))</f>
        <v/>
      </c>
      <c r="AP568" s="36" t="str">
        <f aca="false">IF(OR(AN568="Revenue",AN568="Cost of Goods Sold",AN568="Expenditures",AN568="Other Revenue",AN568="Other Expenditures"),AO568,IF(AND(LEN(AN568)&gt;2,MID(AN568,2,1)=" ",ISNUMBER(VALUE(LEFT(AN568,1)))),AN568,AP567))</f>
        <v/>
      </c>
      <c r="AQ568" s="36" t="n">
        <f aca="false">IF(AND(AN568&lt;&gt;"",ISNUMBER(AL568),LEFT(AN568,9)&lt;&gt;"Total for",AN568&lt;&gt;"Gross Profit",AN568&lt;&gt;"Net Operating Revenue",AN568&lt;&gt;"Net Other Revenue",AN568&lt;&gt;"Net Revenue"),1,0)</f>
        <v>0</v>
      </c>
      <c r="AR568" s="36" t="str">
        <f aca="false">IF(AQ568=1,IF(AND(LEN(AN568)&gt;7,ISNUMBER(VALUE(LEFT(AN568,6))),MID(AN568,7,1)=" "),LEFT(AN568,6),AN568),"")</f>
        <v/>
      </c>
    </row>
    <row r="569" customFormat="false" ht="15" hidden="false" customHeight="false" outlineLevel="0" collapsed="false">
      <c r="D569" s="36" t="str">
        <f aca="false">TRIM(A569)</f>
        <v/>
      </c>
      <c r="E569" s="36" t="str">
        <f aca="false">IF(D569="Revenue","Revenue",IF(D569="Cost of Goods Sold","COGS",IF(D569="Expenditures","Expense",IF(D569="Other Revenue","Other Revenue",IF(D569="Other Expenditures","Other Expense",E568)))))</f>
        <v/>
      </c>
      <c r="F569" s="36" t="str">
        <f aca="false">IF(OR(D569="Revenue",D569="Cost of Goods Sold",D569="Expenditures",D569="Other Revenue",D569="Other Expenditures"),E569,IF(AND(LEN(D569)&gt;2,MID(D569,2,1)=" ",ISNUMBER(VALUE(LEFT(D569,1)))),D569,F568))</f>
        <v/>
      </c>
      <c r="G569" s="36" t="n">
        <f aca="false">IF(AND(D569&lt;&gt;"",ISNUMBER(B569),LEFT(D569,9)&lt;&gt;"Total for",D569&lt;&gt;"Gross Profit",D569&lt;&gt;"Net Operating Revenue",D569&lt;&gt;"Net Other Revenue",D569&lt;&gt;"Net Revenue"),1,0)</f>
        <v>0</v>
      </c>
      <c r="H569" s="36" t="str">
        <f aca="false">IF(G569=1,IF(AND(LEN(D569)&gt;7,ISNUMBER(VALUE(LEFT(D569,6))),MID(D569,7,1)=" "),LEFT(D569,6),D569),"")</f>
        <v/>
      </c>
      <c r="M569" s="36" t="str">
        <f aca="false">TRIM(J569)</f>
        <v/>
      </c>
      <c r="N569" s="36" t="str">
        <f aca="false">IF(M569="Revenue","Revenue",IF(M569="Cost of Goods Sold","COGS",IF(M569="Expenditures","Expense",IF(M569="Other Revenue","Other Revenue",IF(M569="Other Expenditures","Other Expense",N568)))))</f>
        <v/>
      </c>
      <c r="O569" s="36" t="str">
        <f aca="false">IF(OR(M569="Revenue",M569="Cost of Goods Sold",M569="Expenditures",M569="Other Revenue",M569="Other Expenditures"),N569,IF(AND(LEN(M569)&gt;2,MID(M569,2,1)=" ",ISNUMBER(VALUE(LEFT(M569,1)))),M569,O568))</f>
        <v/>
      </c>
      <c r="P569" s="36" t="n">
        <f aca="false">IF(AND(M569&lt;&gt;"",ISNUMBER(K569),LEFT(M569,9)&lt;&gt;"Total for",M569&lt;&gt;"Gross Profit",M569&lt;&gt;"Net Operating Revenue",M569&lt;&gt;"Net Other Revenue",M569&lt;&gt;"Net Revenue"),1,0)</f>
        <v>0</v>
      </c>
      <c r="Q569" s="36" t="str">
        <f aca="false">IF(P569=1,IF(AND(LEN(M569)&gt;7,ISNUMBER(VALUE(LEFT(M569,6))),MID(M569,7,1)=" "),LEFT(M569,6),M569),"")</f>
        <v/>
      </c>
      <c r="V569" s="36" t="str">
        <f aca="false">TRIM(S569)</f>
        <v/>
      </c>
      <c r="W569" s="36" t="str">
        <f aca="false">IF(V569="Revenue","Revenue",IF(V569="Cost of Goods Sold","COGS",IF(V569="Expenditures","Expense",IF(V569="Other Revenue","Other Revenue",IF(V569="Other Expenditures","Other Expense",W568)))))</f>
        <v/>
      </c>
      <c r="X569" s="36" t="str">
        <f aca="false">IF(OR(V569="Revenue",V569="Cost of Goods Sold",V569="Expenditures",V569="Other Revenue",V569="Other Expenditures"),W569,IF(AND(LEN(V569)&gt;2,MID(V569,2,1)=" ",ISNUMBER(VALUE(LEFT(V569,1)))),V569,X568))</f>
        <v/>
      </c>
      <c r="Y569" s="36" t="n">
        <f aca="false">IF(AND(V569&lt;&gt;"",ISNUMBER(T569),LEFT(V569,9)&lt;&gt;"Total for",V569&lt;&gt;"Gross Profit",V569&lt;&gt;"Net Operating Revenue",V569&lt;&gt;"Net Other Revenue",V569&lt;&gt;"Net Revenue"),1,0)</f>
        <v>0</v>
      </c>
      <c r="Z569" s="36" t="str">
        <f aca="false">IF(Y569=1,IF(AND(LEN(V569)&gt;7,ISNUMBER(VALUE(LEFT(V569,6))),MID(V569,7,1)=" "),LEFT(V569,6),V569),"")</f>
        <v/>
      </c>
      <c r="AE569" s="36" t="str">
        <f aca="false">TRIM(AB569)</f>
        <v/>
      </c>
      <c r="AF569" s="36" t="str">
        <f aca="false">IF(AE569="Revenue","Revenue",IF(AE569="Cost of Goods Sold","COGS",IF(AE569="Expenditures","Expense",IF(AE569="Other Revenue","Other Revenue",IF(AE569="Other Expenditures","Other Expense",AF568)))))</f>
        <v/>
      </c>
      <c r="AG569" s="36" t="str">
        <f aca="false">IF(OR(AE569="Revenue",AE569="Cost of Goods Sold",AE569="Expenditures",AE569="Other Revenue",AE569="Other Expenditures"),AF569,IF(AND(LEN(AE569)&gt;2,MID(AE569,2,1)=" ",ISNUMBER(VALUE(LEFT(AE569,1)))),AE569,AG568))</f>
        <v/>
      </c>
      <c r="AH569" s="36" t="n">
        <f aca="false">IF(AND(AE569&lt;&gt;"",ISNUMBER(AC569),LEFT(AE569,9)&lt;&gt;"Total for",AE569&lt;&gt;"Gross Profit",AE569&lt;&gt;"Net Operating Revenue",AE569&lt;&gt;"Net Other Revenue",AE569&lt;&gt;"Net Revenue"),1,0)</f>
        <v>0</v>
      </c>
      <c r="AI569" s="36" t="str">
        <f aca="false">IF(AH569=1,IF(AND(LEN(AE569)&gt;7,ISNUMBER(VALUE(LEFT(AE569,6))),MID(AE569,7,1)=" "),LEFT(AE569,6),AE569),"")</f>
        <v/>
      </c>
      <c r="AN569" s="36" t="str">
        <f aca="false">TRIM(AK569)</f>
        <v/>
      </c>
      <c r="AO569" s="36" t="str">
        <f aca="false">IF(AN569="Revenue","Revenue",IF(AN569="Cost of Goods Sold","COGS",IF(AN569="Expenditures","Expense",IF(AN569="Other Revenue","Other Revenue",IF(AN569="Other Expenditures","Other Expense",AO568)))))</f>
        <v/>
      </c>
      <c r="AP569" s="36" t="str">
        <f aca="false">IF(OR(AN569="Revenue",AN569="Cost of Goods Sold",AN569="Expenditures",AN569="Other Revenue",AN569="Other Expenditures"),AO569,IF(AND(LEN(AN569)&gt;2,MID(AN569,2,1)=" ",ISNUMBER(VALUE(LEFT(AN569,1)))),AN569,AP568))</f>
        <v/>
      </c>
      <c r="AQ569" s="36" t="n">
        <f aca="false">IF(AND(AN569&lt;&gt;"",ISNUMBER(AL569),LEFT(AN569,9)&lt;&gt;"Total for",AN569&lt;&gt;"Gross Profit",AN569&lt;&gt;"Net Operating Revenue",AN569&lt;&gt;"Net Other Revenue",AN569&lt;&gt;"Net Revenue"),1,0)</f>
        <v>0</v>
      </c>
      <c r="AR569" s="36" t="str">
        <f aca="false">IF(AQ569=1,IF(AND(LEN(AN569)&gt;7,ISNUMBER(VALUE(LEFT(AN569,6))),MID(AN569,7,1)=" "),LEFT(AN569,6),AN569),"")</f>
        <v/>
      </c>
    </row>
    <row r="570" customFormat="false" ht="15" hidden="false" customHeight="false" outlineLevel="0" collapsed="false">
      <c r="D570" s="36" t="str">
        <f aca="false">TRIM(A570)</f>
        <v/>
      </c>
      <c r="E570" s="36" t="str">
        <f aca="false">IF(D570="Revenue","Revenue",IF(D570="Cost of Goods Sold","COGS",IF(D570="Expenditures","Expense",IF(D570="Other Revenue","Other Revenue",IF(D570="Other Expenditures","Other Expense",E569)))))</f>
        <v/>
      </c>
      <c r="F570" s="36" t="str">
        <f aca="false">IF(OR(D570="Revenue",D570="Cost of Goods Sold",D570="Expenditures",D570="Other Revenue",D570="Other Expenditures"),E570,IF(AND(LEN(D570)&gt;2,MID(D570,2,1)=" ",ISNUMBER(VALUE(LEFT(D570,1)))),D570,F569))</f>
        <v/>
      </c>
      <c r="G570" s="36" t="n">
        <f aca="false">IF(AND(D570&lt;&gt;"",ISNUMBER(B570),LEFT(D570,9)&lt;&gt;"Total for",D570&lt;&gt;"Gross Profit",D570&lt;&gt;"Net Operating Revenue",D570&lt;&gt;"Net Other Revenue",D570&lt;&gt;"Net Revenue"),1,0)</f>
        <v>0</v>
      </c>
      <c r="H570" s="36" t="str">
        <f aca="false">IF(G570=1,IF(AND(LEN(D570)&gt;7,ISNUMBER(VALUE(LEFT(D570,6))),MID(D570,7,1)=" "),LEFT(D570,6),D570),"")</f>
        <v/>
      </c>
      <c r="M570" s="36" t="str">
        <f aca="false">TRIM(J570)</f>
        <v/>
      </c>
      <c r="N570" s="36" t="str">
        <f aca="false">IF(M570="Revenue","Revenue",IF(M570="Cost of Goods Sold","COGS",IF(M570="Expenditures","Expense",IF(M570="Other Revenue","Other Revenue",IF(M570="Other Expenditures","Other Expense",N569)))))</f>
        <v/>
      </c>
      <c r="O570" s="36" t="str">
        <f aca="false">IF(OR(M570="Revenue",M570="Cost of Goods Sold",M570="Expenditures",M570="Other Revenue",M570="Other Expenditures"),N570,IF(AND(LEN(M570)&gt;2,MID(M570,2,1)=" ",ISNUMBER(VALUE(LEFT(M570,1)))),M570,O569))</f>
        <v/>
      </c>
      <c r="P570" s="36" t="n">
        <f aca="false">IF(AND(M570&lt;&gt;"",ISNUMBER(K570),LEFT(M570,9)&lt;&gt;"Total for",M570&lt;&gt;"Gross Profit",M570&lt;&gt;"Net Operating Revenue",M570&lt;&gt;"Net Other Revenue",M570&lt;&gt;"Net Revenue"),1,0)</f>
        <v>0</v>
      </c>
      <c r="Q570" s="36" t="str">
        <f aca="false">IF(P570=1,IF(AND(LEN(M570)&gt;7,ISNUMBER(VALUE(LEFT(M570,6))),MID(M570,7,1)=" "),LEFT(M570,6),M570),"")</f>
        <v/>
      </c>
      <c r="V570" s="36" t="str">
        <f aca="false">TRIM(S570)</f>
        <v/>
      </c>
      <c r="W570" s="36" t="str">
        <f aca="false">IF(V570="Revenue","Revenue",IF(V570="Cost of Goods Sold","COGS",IF(V570="Expenditures","Expense",IF(V570="Other Revenue","Other Revenue",IF(V570="Other Expenditures","Other Expense",W569)))))</f>
        <v/>
      </c>
      <c r="X570" s="36" t="str">
        <f aca="false">IF(OR(V570="Revenue",V570="Cost of Goods Sold",V570="Expenditures",V570="Other Revenue",V570="Other Expenditures"),W570,IF(AND(LEN(V570)&gt;2,MID(V570,2,1)=" ",ISNUMBER(VALUE(LEFT(V570,1)))),V570,X569))</f>
        <v/>
      </c>
      <c r="Y570" s="36" t="n">
        <f aca="false">IF(AND(V570&lt;&gt;"",ISNUMBER(T570),LEFT(V570,9)&lt;&gt;"Total for",V570&lt;&gt;"Gross Profit",V570&lt;&gt;"Net Operating Revenue",V570&lt;&gt;"Net Other Revenue",V570&lt;&gt;"Net Revenue"),1,0)</f>
        <v>0</v>
      </c>
      <c r="Z570" s="36" t="str">
        <f aca="false">IF(Y570=1,IF(AND(LEN(V570)&gt;7,ISNUMBER(VALUE(LEFT(V570,6))),MID(V570,7,1)=" "),LEFT(V570,6),V570),"")</f>
        <v/>
      </c>
      <c r="AE570" s="36" t="str">
        <f aca="false">TRIM(AB570)</f>
        <v/>
      </c>
      <c r="AF570" s="36" t="str">
        <f aca="false">IF(AE570="Revenue","Revenue",IF(AE570="Cost of Goods Sold","COGS",IF(AE570="Expenditures","Expense",IF(AE570="Other Revenue","Other Revenue",IF(AE570="Other Expenditures","Other Expense",AF569)))))</f>
        <v/>
      </c>
      <c r="AG570" s="36" t="str">
        <f aca="false">IF(OR(AE570="Revenue",AE570="Cost of Goods Sold",AE570="Expenditures",AE570="Other Revenue",AE570="Other Expenditures"),AF570,IF(AND(LEN(AE570)&gt;2,MID(AE570,2,1)=" ",ISNUMBER(VALUE(LEFT(AE570,1)))),AE570,AG569))</f>
        <v/>
      </c>
      <c r="AH570" s="36" t="n">
        <f aca="false">IF(AND(AE570&lt;&gt;"",ISNUMBER(AC570),LEFT(AE570,9)&lt;&gt;"Total for",AE570&lt;&gt;"Gross Profit",AE570&lt;&gt;"Net Operating Revenue",AE570&lt;&gt;"Net Other Revenue",AE570&lt;&gt;"Net Revenue"),1,0)</f>
        <v>0</v>
      </c>
      <c r="AI570" s="36" t="str">
        <f aca="false">IF(AH570=1,IF(AND(LEN(AE570)&gt;7,ISNUMBER(VALUE(LEFT(AE570,6))),MID(AE570,7,1)=" "),LEFT(AE570,6),AE570),"")</f>
        <v/>
      </c>
      <c r="AN570" s="36" t="str">
        <f aca="false">TRIM(AK570)</f>
        <v/>
      </c>
      <c r="AO570" s="36" t="str">
        <f aca="false">IF(AN570="Revenue","Revenue",IF(AN570="Cost of Goods Sold","COGS",IF(AN570="Expenditures","Expense",IF(AN570="Other Revenue","Other Revenue",IF(AN570="Other Expenditures","Other Expense",AO569)))))</f>
        <v/>
      </c>
      <c r="AP570" s="36" t="str">
        <f aca="false">IF(OR(AN570="Revenue",AN570="Cost of Goods Sold",AN570="Expenditures",AN570="Other Revenue",AN570="Other Expenditures"),AO570,IF(AND(LEN(AN570)&gt;2,MID(AN570,2,1)=" ",ISNUMBER(VALUE(LEFT(AN570,1)))),AN570,AP569))</f>
        <v/>
      </c>
      <c r="AQ570" s="36" t="n">
        <f aca="false">IF(AND(AN570&lt;&gt;"",ISNUMBER(AL570),LEFT(AN570,9)&lt;&gt;"Total for",AN570&lt;&gt;"Gross Profit",AN570&lt;&gt;"Net Operating Revenue",AN570&lt;&gt;"Net Other Revenue",AN570&lt;&gt;"Net Revenue"),1,0)</f>
        <v>0</v>
      </c>
      <c r="AR570" s="36" t="str">
        <f aca="false">IF(AQ570=1,IF(AND(LEN(AN570)&gt;7,ISNUMBER(VALUE(LEFT(AN570,6))),MID(AN570,7,1)=" "),LEFT(AN570,6),AN570),"")</f>
        <v/>
      </c>
    </row>
    <row r="571" customFormat="false" ht="15" hidden="false" customHeight="false" outlineLevel="0" collapsed="false">
      <c r="D571" s="36" t="str">
        <f aca="false">TRIM(A571)</f>
        <v/>
      </c>
      <c r="E571" s="36" t="str">
        <f aca="false">IF(D571="Revenue","Revenue",IF(D571="Cost of Goods Sold","COGS",IF(D571="Expenditures","Expense",IF(D571="Other Revenue","Other Revenue",IF(D571="Other Expenditures","Other Expense",E570)))))</f>
        <v/>
      </c>
      <c r="F571" s="36" t="str">
        <f aca="false">IF(OR(D571="Revenue",D571="Cost of Goods Sold",D571="Expenditures",D571="Other Revenue",D571="Other Expenditures"),E571,IF(AND(LEN(D571)&gt;2,MID(D571,2,1)=" ",ISNUMBER(VALUE(LEFT(D571,1)))),D571,F570))</f>
        <v/>
      </c>
      <c r="G571" s="36" t="n">
        <f aca="false">IF(AND(D571&lt;&gt;"",ISNUMBER(B571),LEFT(D571,9)&lt;&gt;"Total for",D571&lt;&gt;"Gross Profit",D571&lt;&gt;"Net Operating Revenue",D571&lt;&gt;"Net Other Revenue",D571&lt;&gt;"Net Revenue"),1,0)</f>
        <v>0</v>
      </c>
      <c r="H571" s="36" t="str">
        <f aca="false">IF(G571=1,IF(AND(LEN(D571)&gt;7,ISNUMBER(VALUE(LEFT(D571,6))),MID(D571,7,1)=" "),LEFT(D571,6),D571),"")</f>
        <v/>
      </c>
      <c r="M571" s="36" t="str">
        <f aca="false">TRIM(J571)</f>
        <v/>
      </c>
      <c r="N571" s="36" t="str">
        <f aca="false">IF(M571="Revenue","Revenue",IF(M571="Cost of Goods Sold","COGS",IF(M571="Expenditures","Expense",IF(M571="Other Revenue","Other Revenue",IF(M571="Other Expenditures","Other Expense",N570)))))</f>
        <v/>
      </c>
      <c r="O571" s="36" t="str">
        <f aca="false">IF(OR(M571="Revenue",M571="Cost of Goods Sold",M571="Expenditures",M571="Other Revenue",M571="Other Expenditures"),N571,IF(AND(LEN(M571)&gt;2,MID(M571,2,1)=" ",ISNUMBER(VALUE(LEFT(M571,1)))),M571,O570))</f>
        <v/>
      </c>
      <c r="P571" s="36" t="n">
        <f aca="false">IF(AND(M571&lt;&gt;"",ISNUMBER(K571),LEFT(M571,9)&lt;&gt;"Total for",M571&lt;&gt;"Gross Profit",M571&lt;&gt;"Net Operating Revenue",M571&lt;&gt;"Net Other Revenue",M571&lt;&gt;"Net Revenue"),1,0)</f>
        <v>0</v>
      </c>
      <c r="Q571" s="36" t="str">
        <f aca="false">IF(P571=1,IF(AND(LEN(M571)&gt;7,ISNUMBER(VALUE(LEFT(M571,6))),MID(M571,7,1)=" "),LEFT(M571,6),M571),"")</f>
        <v/>
      </c>
      <c r="V571" s="36" t="str">
        <f aca="false">TRIM(S571)</f>
        <v/>
      </c>
      <c r="W571" s="36" t="str">
        <f aca="false">IF(V571="Revenue","Revenue",IF(V571="Cost of Goods Sold","COGS",IF(V571="Expenditures","Expense",IF(V571="Other Revenue","Other Revenue",IF(V571="Other Expenditures","Other Expense",W570)))))</f>
        <v/>
      </c>
      <c r="X571" s="36" t="str">
        <f aca="false">IF(OR(V571="Revenue",V571="Cost of Goods Sold",V571="Expenditures",V571="Other Revenue",V571="Other Expenditures"),W571,IF(AND(LEN(V571)&gt;2,MID(V571,2,1)=" ",ISNUMBER(VALUE(LEFT(V571,1)))),V571,X570))</f>
        <v/>
      </c>
      <c r="Y571" s="36" t="n">
        <f aca="false">IF(AND(V571&lt;&gt;"",ISNUMBER(T571),LEFT(V571,9)&lt;&gt;"Total for",V571&lt;&gt;"Gross Profit",V571&lt;&gt;"Net Operating Revenue",V571&lt;&gt;"Net Other Revenue",V571&lt;&gt;"Net Revenue"),1,0)</f>
        <v>0</v>
      </c>
      <c r="Z571" s="36" t="str">
        <f aca="false">IF(Y571=1,IF(AND(LEN(V571)&gt;7,ISNUMBER(VALUE(LEFT(V571,6))),MID(V571,7,1)=" "),LEFT(V571,6),V571),"")</f>
        <v/>
      </c>
      <c r="AE571" s="36" t="str">
        <f aca="false">TRIM(AB571)</f>
        <v/>
      </c>
      <c r="AF571" s="36" t="str">
        <f aca="false">IF(AE571="Revenue","Revenue",IF(AE571="Cost of Goods Sold","COGS",IF(AE571="Expenditures","Expense",IF(AE571="Other Revenue","Other Revenue",IF(AE571="Other Expenditures","Other Expense",AF570)))))</f>
        <v/>
      </c>
      <c r="AG571" s="36" t="str">
        <f aca="false">IF(OR(AE571="Revenue",AE571="Cost of Goods Sold",AE571="Expenditures",AE571="Other Revenue",AE571="Other Expenditures"),AF571,IF(AND(LEN(AE571)&gt;2,MID(AE571,2,1)=" ",ISNUMBER(VALUE(LEFT(AE571,1)))),AE571,AG570))</f>
        <v/>
      </c>
      <c r="AH571" s="36" t="n">
        <f aca="false">IF(AND(AE571&lt;&gt;"",ISNUMBER(AC571),LEFT(AE571,9)&lt;&gt;"Total for",AE571&lt;&gt;"Gross Profit",AE571&lt;&gt;"Net Operating Revenue",AE571&lt;&gt;"Net Other Revenue",AE571&lt;&gt;"Net Revenue"),1,0)</f>
        <v>0</v>
      </c>
      <c r="AI571" s="36" t="str">
        <f aca="false">IF(AH571=1,IF(AND(LEN(AE571)&gt;7,ISNUMBER(VALUE(LEFT(AE571,6))),MID(AE571,7,1)=" "),LEFT(AE571,6),AE571),"")</f>
        <v/>
      </c>
      <c r="AN571" s="36" t="str">
        <f aca="false">TRIM(AK571)</f>
        <v/>
      </c>
      <c r="AO571" s="36" t="str">
        <f aca="false">IF(AN571="Revenue","Revenue",IF(AN571="Cost of Goods Sold","COGS",IF(AN571="Expenditures","Expense",IF(AN571="Other Revenue","Other Revenue",IF(AN571="Other Expenditures","Other Expense",AO570)))))</f>
        <v/>
      </c>
      <c r="AP571" s="36" t="str">
        <f aca="false">IF(OR(AN571="Revenue",AN571="Cost of Goods Sold",AN571="Expenditures",AN571="Other Revenue",AN571="Other Expenditures"),AO571,IF(AND(LEN(AN571)&gt;2,MID(AN571,2,1)=" ",ISNUMBER(VALUE(LEFT(AN571,1)))),AN571,AP570))</f>
        <v/>
      </c>
      <c r="AQ571" s="36" t="n">
        <f aca="false">IF(AND(AN571&lt;&gt;"",ISNUMBER(AL571),LEFT(AN571,9)&lt;&gt;"Total for",AN571&lt;&gt;"Gross Profit",AN571&lt;&gt;"Net Operating Revenue",AN571&lt;&gt;"Net Other Revenue",AN571&lt;&gt;"Net Revenue"),1,0)</f>
        <v>0</v>
      </c>
      <c r="AR571" s="36" t="str">
        <f aca="false">IF(AQ571=1,IF(AND(LEN(AN571)&gt;7,ISNUMBER(VALUE(LEFT(AN571,6))),MID(AN571,7,1)=" "),LEFT(AN571,6),AN571),"")</f>
        <v/>
      </c>
    </row>
    <row r="572" customFormat="false" ht="15" hidden="false" customHeight="false" outlineLevel="0" collapsed="false">
      <c r="D572" s="36" t="str">
        <f aca="false">TRIM(A572)</f>
        <v/>
      </c>
      <c r="E572" s="36" t="str">
        <f aca="false">IF(D572="Revenue","Revenue",IF(D572="Cost of Goods Sold","COGS",IF(D572="Expenditures","Expense",IF(D572="Other Revenue","Other Revenue",IF(D572="Other Expenditures","Other Expense",E571)))))</f>
        <v/>
      </c>
      <c r="F572" s="36" t="str">
        <f aca="false">IF(OR(D572="Revenue",D572="Cost of Goods Sold",D572="Expenditures",D572="Other Revenue",D572="Other Expenditures"),E572,IF(AND(LEN(D572)&gt;2,MID(D572,2,1)=" ",ISNUMBER(VALUE(LEFT(D572,1)))),D572,F571))</f>
        <v/>
      </c>
      <c r="G572" s="36" t="n">
        <f aca="false">IF(AND(D572&lt;&gt;"",ISNUMBER(B572),LEFT(D572,9)&lt;&gt;"Total for",D572&lt;&gt;"Gross Profit",D572&lt;&gt;"Net Operating Revenue",D572&lt;&gt;"Net Other Revenue",D572&lt;&gt;"Net Revenue"),1,0)</f>
        <v>0</v>
      </c>
      <c r="H572" s="36" t="str">
        <f aca="false">IF(G572=1,IF(AND(LEN(D572)&gt;7,ISNUMBER(VALUE(LEFT(D572,6))),MID(D572,7,1)=" "),LEFT(D572,6),D572),"")</f>
        <v/>
      </c>
      <c r="M572" s="36" t="str">
        <f aca="false">TRIM(J572)</f>
        <v/>
      </c>
      <c r="N572" s="36" t="str">
        <f aca="false">IF(M572="Revenue","Revenue",IF(M572="Cost of Goods Sold","COGS",IF(M572="Expenditures","Expense",IF(M572="Other Revenue","Other Revenue",IF(M572="Other Expenditures","Other Expense",N571)))))</f>
        <v/>
      </c>
      <c r="O572" s="36" t="str">
        <f aca="false">IF(OR(M572="Revenue",M572="Cost of Goods Sold",M572="Expenditures",M572="Other Revenue",M572="Other Expenditures"),N572,IF(AND(LEN(M572)&gt;2,MID(M572,2,1)=" ",ISNUMBER(VALUE(LEFT(M572,1)))),M572,O571))</f>
        <v/>
      </c>
      <c r="P572" s="36" t="n">
        <f aca="false">IF(AND(M572&lt;&gt;"",ISNUMBER(K572),LEFT(M572,9)&lt;&gt;"Total for",M572&lt;&gt;"Gross Profit",M572&lt;&gt;"Net Operating Revenue",M572&lt;&gt;"Net Other Revenue",M572&lt;&gt;"Net Revenue"),1,0)</f>
        <v>0</v>
      </c>
      <c r="Q572" s="36" t="str">
        <f aca="false">IF(P572=1,IF(AND(LEN(M572)&gt;7,ISNUMBER(VALUE(LEFT(M572,6))),MID(M572,7,1)=" "),LEFT(M572,6),M572),"")</f>
        <v/>
      </c>
      <c r="V572" s="36" t="str">
        <f aca="false">TRIM(S572)</f>
        <v/>
      </c>
      <c r="W572" s="36" t="str">
        <f aca="false">IF(V572="Revenue","Revenue",IF(V572="Cost of Goods Sold","COGS",IF(V572="Expenditures","Expense",IF(V572="Other Revenue","Other Revenue",IF(V572="Other Expenditures","Other Expense",W571)))))</f>
        <v/>
      </c>
      <c r="X572" s="36" t="str">
        <f aca="false">IF(OR(V572="Revenue",V572="Cost of Goods Sold",V572="Expenditures",V572="Other Revenue",V572="Other Expenditures"),W572,IF(AND(LEN(V572)&gt;2,MID(V572,2,1)=" ",ISNUMBER(VALUE(LEFT(V572,1)))),V572,X571))</f>
        <v/>
      </c>
      <c r="Y572" s="36" t="n">
        <f aca="false">IF(AND(V572&lt;&gt;"",ISNUMBER(T572),LEFT(V572,9)&lt;&gt;"Total for",V572&lt;&gt;"Gross Profit",V572&lt;&gt;"Net Operating Revenue",V572&lt;&gt;"Net Other Revenue",V572&lt;&gt;"Net Revenue"),1,0)</f>
        <v>0</v>
      </c>
      <c r="Z572" s="36" t="str">
        <f aca="false">IF(Y572=1,IF(AND(LEN(V572)&gt;7,ISNUMBER(VALUE(LEFT(V572,6))),MID(V572,7,1)=" "),LEFT(V572,6),V572),"")</f>
        <v/>
      </c>
      <c r="AE572" s="36" t="str">
        <f aca="false">TRIM(AB572)</f>
        <v/>
      </c>
      <c r="AF572" s="36" t="str">
        <f aca="false">IF(AE572="Revenue","Revenue",IF(AE572="Cost of Goods Sold","COGS",IF(AE572="Expenditures","Expense",IF(AE572="Other Revenue","Other Revenue",IF(AE572="Other Expenditures","Other Expense",AF571)))))</f>
        <v/>
      </c>
      <c r="AG572" s="36" t="str">
        <f aca="false">IF(OR(AE572="Revenue",AE572="Cost of Goods Sold",AE572="Expenditures",AE572="Other Revenue",AE572="Other Expenditures"),AF572,IF(AND(LEN(AE572)&gt;2,MID(AE572,2,1)=" ",ISNUMBER(VALUE(LEFT(AE572,1)))),AE572,AG571))</f>
        <v/>
      </c>
      <c r="AH572" s="36" t="n">
        <f aca="false">IF(AND(AE572&lt;&gt;"",ISNUMBER(AC572),LEFT(AE572,9)&lt;&gt;"Total for",AE572&lt;&gt;"Gross Profit",AE572&lt;&gt;"Net Operating Revenue",AE572&lt;&gt;"Net Other Revenue",AE572&lt;&gt;"Net Revenue"),1,0)</f>
        <v>0</v>
      </c>
      <c r="AI572" s="36" t="str">
        <f aca="false">IF(AH572=1,IF(AND(LEN(AE572)&gt;7,ISNUMBER(VALUE(LEFT(AE572,6))),MID(AE572,7,1)=" "),LEFT(AE572,6),AE572),"")</f>
        <v/>
      </c>
      <c r="AN572" s="36" t="str">
        <f aca="false">TRIM(AK572)</f>
        <v/>
      </c>
      <c r="AO572" s="36" t="str">
        <f aca="false">IF(AN572="Revenue","Revenue",IF(AN572="Cost of Goods Sold","COGS",IF(AN572="Expenditures","Expense",IF(AN572="Other Revenue","Other Revenue",IF(AN572="Other Expenditures","Other Expense",AO571)))))</f>
        <v/>
      </c>
      <c r="AP572" s="36" t="str">
        <f aca="false">IF(OR(AN572="Revenue",AN572="Cost of Goods Sold",AN572="Expenditures",AN572="Other Revenue",AN572="Other Expenditures"),AO572,IF(AND(LEN(AN572)&gt;2,MID(AN572,2,1)=" ",ISNUMBER(VALUE(LEFT(AN572,1)))),AN572,AP571))</f>
        <v/>
      </c>
      <c r="AQ572" s="36" t="n">
        <f aca="false">IF(AND(AN572&lt;&gt;"",ISNUMBER(AL572),LEFT(AN572,9)&lt;&gt;"Total for",AN572&lt;&gt;"Gross Profit",AN572&lt;&gt;"Net Operating Revenue",AN572&lt;&gt;"Net Other Revenue",AN572&lt;&gt;"Net Revenue"),1,0)</f>
        <v>0</v>
      </c>
      <c r="AR572" s="36" t="str">
        <f aca="false">IF(AQ572=1,IF(AND(LEN(AN572)&gt;7,ISNUMBER(VALUE(LEFT(AN572,6))),MID(AN572,7,1)=" "),LEFT(AN572,6),AN572),"")</f>
        <v/>
      </c>
    </row>
    <row r="573" customFormat="false" ht="15" hidden="false" customHeight="false" outlineLevel="0" collapsed="false">
      <c r="D573" s="36" t="str">
        <f aca="false">TRIM(A573)</f>
        <v/>
      </c>
      <c r="E573" s="36" t="str">
        <f aca="false">IF(D573="Revenue","Revenue",IF(D573="Cost of Goods Sold","COGS",IF(D573="Expenditures","Expense",IF(D573="Other Revenue","Other Revenue",IF(D573="Other Expenditures","Other Expense",E572)))))</f>
        <v/>
      </c>
      <c r="F573" s="36" t="str">
        <f aca="false">IF(OR(D573="Revenue",D573="Cost of Goods Sold",D573="Expenditures",D573="Other Revenue",D573="Other Expenditures"),E573,IF(AND(LEN(D573)&gt;2,MID(D573,2,1)=" ",ISNUMBER(VALUE(LEFT(D573,1)))),D573,F572))</f>
        <v/>
      </c>
      <c r="G573" s="36" t="n">
        <f aca="false">IF(AND(D573&lt;&gt;"",ISNUMBER(B573),LEFT(D573,9)&lt;&gt;"Total for",D573&lt;&gt;"Gross Profit",D573&lt;&gt;"Net Operating Revenue",D573&lt;&gt;"Net Other Revenue",D573&lt;&gt;"Net Revenue"),1,0)</f>
        <v>0</v>
      </c>
      <c r="H573" s="36" t="str">
        <f aca="false">IF(G573=1,IF(AND(LEN(D573)&gt;7,ISNUMBER(VALUE(LEFT(D573,6))),MID(D573,7,1)=" "),LEFT(D573,6),D573),"")</f>
        <v/>
      </c>
      <c r="M573" s="36" t="str">
        <f aca="false">TRIM(J573)</f>
        <v/>
      </c>
      <c r="N573" s="36" t="str">
        <f aca="false">IF(M573="Revenue","Revenue",IF(M573="Cost of Goods Sold","COGS",IF(M573="Expenditures","Expense",IF(M573="Other Revenue","Other Revenue",IF(M573="Other Expenditures","Other Expense",N572)))))</f>
        <v/>
      </c>
      <c r="O573" s="36" t="str">
        <f aca="false">IF(OR(M573="Revenue",M573="Cost of Goods Sold",M573="Expenditures",M573="Other Revenue",M573="Other Expenditures"),N573,IF(AND(LEN(M573)&gt;2,MID(M573,2,1)=" ",ISNUMBER(VALUE(LEFT(M573,1)))),M573,O572))</f>
        <v/>
      </c>
      <c r="P573" s="36" t="n">
        <f aca="false">IF(AND(M573&lt;&gt;"",ISNUMBER(K573),LEFT(M573,9)&lt;&gt;"Total for",M573&lt;&gt;"Gross Profit",M573&lt;&gt;"Net Operating Revenue",M573&lt;&gt;"Net Other Revenue",M573&lt;&gt;"Net Revenue"),1,0)</f>
        <v>0</v>
      </c>
      <c r="Q573" s="36" t="str">
        <f aca="false">IF(P573=1,IF(AND(LEN(M573)&gt;7,ISNUMBER(VALUE(LEFT(M573,6))),MID(M573,7,1)=" "),LEFT(M573,6),M573),"")</f>
        <v/>
      </c>
      <c r="V573" s="36" t="str">
        <f aca="false">TRIM(S573)</f>
        <v/>
      </c>
      <c r="W573" s="36" t="str">
        <f aca="false">IF(V573="Revenue","Revenue",IF(V573="Cost of Goods Sold","COGS",IF(V573="Expenditures","Expense",IF(V573="Other Revenue","Other Revenue",IF(V573="Other Expenditures","Other Expense",W572)))))</f>
        <v/>
      </c>
      <c r="X573" s="36" t="str">
        <f aca="false">IF(OR(V573="Revenue",V573="Cost of Goods Sold",V573="Expenditures",V573="Other Revenue",V573="Other Expenditures"),W573,IF(AND(LEN(V573)&gt;2,MID(V573,2,1)=" ",ISNUMBER(VALUE(LEFT(V573,1)))),V573,X572))</f>
        <v/>
      </c>
      <c r="Y573" s="36" t="n">
        <f aca="false">IF(AND(V573&lt;&gt;"",ISNUMBER(T573),LEFT(V573,9)&lt;&gt;"Total for",V573&lt;&gt;"Gross Profit",V573&lt;&gt;"Net Operating Revenue",V573&lt;&gt;"Net Other Revenue",V573&lt;&gt;"Net Revenue"),1,0)</f>
        <v>0</v>
      </c>
      <c r="Z573" s="36" t="str">
        <f aca="false">IF(Y573=1,IF(AND(LEN(V573)&gt;7,ISNUMBER(VALUE(LEFT(V573,6))),MID(V573,7,1)=" "),LEFT(V573,6),V573),"")</f>
        <v/>
      </c>
      <c r="AE573" s="36" t="str">
        <f aca="false">TRIM(AB573)</f>
        <v/>
      </c>
      <c r="AF573" s="36" t="str">
        <f aca="false">IF(AE573="Revenue","Revenue",IF(AE573="Cost of Goods Sold","COGS",IF(AE573="Expenditures","Expense",IF(AE573="Other Revenue","Other Revenue",IF(AE573="Other Expenditures","Other Expense",AF572)))))</f>
        <v/>
      </c>
      <c r="AG573" s="36" t="str">
        <f aca="false">IF(OR(AE573="Revenue",AE573="Cost of Goods Sold",AE573="Expenditures",AE573="Other Revenue",AE573="Other Expenditures"),AF573,IF(AND(LEN(AE573)&gt;2,MID(AE573,2,1)=" ",ISNUMBER(VALUE(LEFT(AE573,1)))),AE573,AG572))</f>
        <v/>
      </c>
      <c r="AH573" s="36" t="n">
        <f aca="false">IF(AND(AE573&lt;&gt;"",ISNUMBER(AC573),LEFT(AE573,9)&lt;&gt;"Total for",AE573&lt;&gt;"Gross Profit",AE573&lt;&gt;"Net Operating Revenue",AE573&lt;&gt;"Net Other Revenue",AE573&lt;&gt;"Net Revenue"),1,0)</f>
        <v>0</v>
      </c>
      <c r="AI573" s="36" t="str">
        <f aca="false">IF(AH573=1,IF(AND(LEN(AE573)&gt;7,ISNUMBER(VALUE(LEFT(AE573,6))),MID(AE573,7,1)=" "),LEFT(AE573,6),AE573),"")</f>
        <v/>
      </c>
      <c r="AN573" s="36" t="str">
        <f aca="false">TRIM(AK573)</f>
        <v/>
      </c>
      <c r="AO573" s="36" t="str">
        <f aca="false">IF(AN573="Revenue","Revenue",IF(AN573="Cost of Goods Sold","COGS",IF(AN573="Expenditures","Expense",IF(AN573="Other Revenue","Other Revenue",IF(AN573="Other Expenditures","Other Expense",AO572)))))</f>
        <v/>
      </c>
      <c r="AP573" s="36" t="str">
        <f aca="false">IF(OR(AN573="Revenue",AN573="Cost of Goods Sold",AN573="Expenditures",AN573="Other Revenue",AN573="Other Expenditures"),AO573,IF(AND(LEN(AN573)&gt;2,MID(AN573,2,1)=" ",ISNUMBER(VALUE(LEFT(AN573,1)))),AN573,AP572))</f>
        <v/>
      </c>
      <c r="AQ573" s="36" t="n">
        <f aca="false">IF(AND(AN573&lt;&gt;"",ISNUMBER(AL573),LEFT(AN573,9)&lt;&gt;"Total for",AN573&lt;&gt;"Gross Profit",AN573&lt;&gt;"Net Operating Revenue",AN573&lt;&gt;"Net Other Revenue",AN573&lt;&gt;"Net Revenue"),1,0)</f>
        <v>0</v>
      </c>
      <c r="AR573" s="36" t="str">
        <f aca="false">IF(AQ573=1,IF(AND(LEN(AN573)&gt;7,ISNUMBER(VALUE(LEFT(AN573,6))),MID(AN573,7,1)=" "),LEFT(AN573,6),AN573),"")</f>
        <v/>
      </c>
    </row>
    <row r="574" customFormat="false" ht="15" hidden="false" customHeight="false" outlineLevel="0" collapsed="false">
      <c r="D574" s="36" t="str">
        <f aca="false">TRIM(A574)</f>
        <v/>
      </c>
      <c r="E574" s="36" t="str">
        <f aca="false">IF(D574="Revenue","Revenue",IF(D574="Cost of Goods Sold","COGS",IF(D574="Expenditures","Expense",IF(D574="Other Revenue","Other Revenue",IF(D574="Other Expenditures","Other Expense",E573)))))</f>
        <v/>
      </c>
      <c r="F574" s="36" t="str">
        <f aca="false">IF(OR(D574="Revenue",D574="Cost of Goods Sold",D574="Expenditures",D574="Other Revenue",D574="Other Expenditures"),E574,IF(AND(LEN(D574)&gt;2,MID(D574,2,1)=" ",ISNUMBER(VALUE(LEFT(D574,1)))),D574,F573))</f>
        <v/>
      </c>
      <c r="G574" s="36" t="n">
        <f aca="false">IF(AND(D574&lt;&gt;"",ISNUMBER(B574),LEFT(D574,9)&lt;&gt;"Total for",D574&lt;&gt;"Gross Profit",D574&lt;&gt;"Net Operating Revenue",D574&lt;&gt;"Net Other Revenue",D574&lt;&gt;"Net Revenue"),1,0)</f>
        <v>0</v>
      </c>
      <c r="H574" s="36" t="str">
        <f aca="false">IF(G574=1,IF(AND(LEN(D574)&gt;7,ISNUMBER(VALUE(LEFT(D574,6))),MID(D574,7,1)=" "),LEFT(D574,6),D574),"")</f>
        <v/>
      </c>
      <c r="M574" s="36" t="str">
        <f aca="false">TRIM(J574)</f>
        <v/>
      </c>
      <c r="N574" s="36" t="str">
        <f aca="false">IF(M574="Revenue","Revenue",IF(M574="Cost of Goods Sold","COGS",IF(M574="Expenditures","Expense",IF(M574="Other Revenue","Other Revenue",IF(M574="Other Expenditures","Other Expense",N573)))))</f>
        <v/>
      </c>
      <c r="O574" s="36" t="str">
        <f aca="false">IF(OR(M574="Revenue",M574="Cost of Goods Sold",M574="Expenditures",M574="Other Revenue",M574="Other Expenditures"),N574,IF(AND(LEN(M574)&gt;2,MID(M574,2,1)=" ",ISNUMBER(VALUE(LEFT(M574,1)))),M574,O573))</f>
        <v/>
      </c>
      <c r="P574" s="36" t="n">
        <f aca="false">IF(AND(M574&lt;&gt;"",ISNUMBER(K574),LEFT(M574,9)&lt;&gt;"Total for",M574&lt;&gt;"Gross Profit",M574&lt;&gt;"Net Operating Revenue",M574&lt;&gt;"Net Other Revenue",M574&lt;&gt;"Net Revenue"),1,0)</f>
        <v>0</v>
      </c>
      <c r="Q574" s="36" t="str">
        <f aca="false">IF(P574=1,IF(AND(LEN(M574)&gt;7,ISNUMBER(VALUE(LEFT(M574,6))),MID(M574,7,1)=" "),LEFT(M574,6),M574),"")</f>
        <v/>
      </c>
      <c r="V574" s="36" t="str">
        <f aca="false">TRIM(S574)</f>
        <v/>
      </c>
      <c r="W574" s="36" t="str">
        <f aca="false">IF(V574="Revenue","Revenue",IF(V574="Cost of Goods Sold","COGS",IF(V574="Expenditures","Expense",IF(V574="Other Revenue","Other Revenue",IF(V574="Other Expenditures","Other Expense",W573)))))</f>
        <v/>
      </c>
      <c r="X574" s="36" t="str">
        <f aca="false">IF(OR(V574="Revenue",V574="Cost of Goods Sold",V574="Expenditures",V574="Other Revenue",V574="Other Expenditures"),W574,IF(AND(LEN(V574)&gt;2,MID(V574,2,1)=" ",ISNUMBER(VALUE(LEFT(V574,1)))),V574,X573))</f>
        <v/>
      </c>
      <c r="Y574" s="36" t="n">
        <f aca="false">IF(AND(V574&lt;&gt;"",ISNUMBER(T574),LEFT(V574,9)&lt;&gt;"Total for",V574&lt;&gt;"Gross Profit",V574&lt;&gt;"Net Operating Revenue",V574&lt;&gt;"Net Other Revenue",V574&lt;&gt;"Net Revenue"),1,0)</f>
        <v>0</v>
      </c>
      <c r="Z574" s="36" t="str">
        <f aca="false">IF(Y574=1,IF(AND(LEN(V574)&gt;7,ISNUMBER(VALUE(LEFT(V574,6))),MID(V574,7,1)=" "),LEFT(V574,6),V574),"")</f>
        <v/>
      </c>
      <c r="AE574" s="36" t="str">
        <f aca="false">TRIM(AB574)</f>
        <v/>
      </c>
      <c r="AF574" s="36" t="str">
        <f aca="false">IF(AE574="Revenue","Revenue",IF(AE574="Cost of Goods Sold","COGS",IF(AE574="Expenditures","Expense",IF(AE574="Other Revenue","Other Revenue",IF(AE574="Other Expenditures","Other Expense",AF573)))))</f>
        <v/>
      </c>
      <c r="AG574" s="36" t="str">
        <f aca="false">IF(OR(AE574="Revenue",AE574="Cost of Goods Sold",AE574="Expenditures",AE574="Other Revenue",AE574="Other Expenditures"),AF574,IF(AND(LEN(AE574)&gt;2,MID(AE574,2,1)=" ",ISNUMBER(VALUE(LEFT(AE574,1)))),AE574,AG573))</f>
        <v/>
      </c>
      <c r="AH574" s="36" t="n">
        <f aca="false">IF(AND(AE574&lt;&gt;"",ISNUMBER(AC574),LEFT(AE574,9)&lt;&gt;"Total for",AE574&lt;&gt;"Gross Profit",AE574&lt;&gt;"Net Operating Revenue",AE574&lt;&gt;"Net Other Revenue",AE574&lt;&gt;"Net Revenue"),1,0)</f>
        <v>0</v>
      </c>
      <c r="AI574" s="36" t="str">
        <f aca="false">IF(AH574=1,IF(AND(LEN(AE574)&gt;7,ISNUMBER(VALUE(LEFT(AE574,6))),MID(AE574,7,1)=" "),LEFT(AE574,6),AE574),"")</f>
        <v/>
      </c>
      <c r="AN574" s="36" t="str">
        <f aca="false">TRIM(AK574)</f>
        <v/>
      </c>
      <c r="AO574" s="36" t="str">
        <f aca="false">IF(AN574="Revenue","Revenue",IF(AN574="Cost of Goods Sold","COGS",IF(AN574="Expenditures","Expense",IF(AN574="Other Revenue","Other Revenue",IF(AN574="Other Expenditures","Other Expense",AO573)))))</f>
        <v/>
      </c>
      <c r="AP574" s="36" t="str">
        <f aca="false">IF(OR(AN574="Revenue",AN574="Cost of Goods Sold",AN574="Expenditures",AN574="Other Revenue",AN574="Other Expenditures"),AO574,IF(AND(LEN(AN574)&gt;2,MID(AN574,2,1)=" ",ISNUMBER(VALUE(LEFT(AN574,1)))),AN574,AP573))</f>
        <v/>
      </c>
      <c r="AQ574" s="36" t="n">
        <f aca="false">IF(AND(AN574&lt;&gt;"",ISNUMBER(AL574),LEFT(AN574,9)&lt;&gt;"Total for",AN574&lt;&gt;"Gross Profit",AN574&lt;&gt;"Net Operating Revenue",AN574&lt;&gt;"Net Other Revenue",AN574&lt;&gt;"Net Revenue"),1,0)</f>
        <v>0</v>
      </c>
      <c r="AR574" s="36" t="str">
        <f aca="false">IF(AQ574=1,IF(AND(LEN(AN574)&gt;7,ISNUMBER(VALUE(LEFT(AN574,6))),MID(AN574,7,1)=" "),LEFT(AN574,6),AN574),"")</f>
        <v/>
      </c>
    </row>
    <row r="575" customFormat="false" ht="15" hidden="false" customHeight="false" outlineLevel="0" collapsed="false">
      <c r="D575" s="36" t="str">
        <f aca="false">TRIM(A575)</f>
        <v/>
      </c>
      <c r="E575" s="36" t="str">
        <f aca="false">IF(D575="Revenue","Revenue",IF(D575="Cost of Goods Sold","COGS",IF(D575="Expenditures","Expense",IF(D575="Other Revenue","Other Revenue",IF(D575="Other Expenditures","Other Expense",E574)))))</f>
        <v/>
      </c>
      <c r="F575" s="36" t="str">
        <f aca="false">IF(OR(D575="Revenue",D575="Cost of Goods Sold",D575="Expenditures",D575="Other Revenue",D575="Other Expenditures"),E575,IF(AND(LEN(D575)&gt;2,MID(D575,2,1)=" ",ISNUMBER(VALUE(LEFT(D575,1)))),D575,F574))</f>
        <v/>
      </c>
      <c r="G575" s="36" t="n">
        <f aca="false">IF(AND(D575&lt;&gt;"",ISNUMBER(B575),LEFT(D575,9)&lt;&gt;"Total for",D575&lt;&gt;"Gross Profit",D575&lt;&gt;"Net Operating Revenue",D575&lt;&gt;"Net Other Revenue",D575&lt;&gt;"Net Revenue"),1,0)</f>
        <v>0</v>
      </c>
      <c r="H575" s="36" t="str">
        <f aca="false">IF(G575=1,IF(AND(LEN(D575)&gt;7,ISNUMBER(VALUE(LEFT(D575,6))),MID(D575,7,1)=" "),LEFT(D575,6),D575),"")</f>
        <v/>
      </c>
      <c r="M575" s="36" t="str">
        <f aca="false">TRIM(J575)</f>
        <v/>
      </c>
      <c r="N575" s="36" t="str">
        <f aca="false">IF(M575="Revenue","Revenue",IF(M575="Cost of Goods Sold","COGS",IF(M575="Expenditures","Expense",IF(M575="Other Revenue","Other Revenue",IF(M575="Other Expenditures","Other Expense",N574)))))</f>
        <v/>
      </c>
      <c r="O575" s="36" t="str">
        <f aca="false">IF(OR(M575="Revenue",M575="Cost of Goods Sold",M575="Expenditures",M575="Other Revenue",M575="Other Expenditures"),N575,IF(AND(LEN(M575)&gt;2,MID(M575,2,1)=" ",ISNUMBER(VALUE(LEFT(M575,1)))),M575,O574))</f>
        <v/>
      </c>
      <c r="P575" s="36" t="n">
        <f aca="false">IF(AND(M575&lt;&gt;"",ISNUMBER(K575),LEFT(M575,9)&lt;&gt;"Total for",M575&lt;&gt;"Gross Profit",M575&lt;&gt;"Net Operating Revenue",M575&lt;&gt;"Net Other Revenue",M575&lt;&gt;"Net Revenue"),1,0)</f>
        <v>0</v>
      </c>
      <c r="Q575" s="36" t="str">
        <f aca="false">IF(P575=1,IF(AND(LEN(M575)&gt;7,ISNUMBER(VALUE(LEFT(M575,6))),MID(M575,7,1)=" "),LEFT(M575,6),M575),"")</f>
        <v/>
      </c>
      <c r="V575" s="36" t="str">
        <f aca="false">TRIM(S575)</f>
        <v/>
      </c>
      <c r="W575" s="36" t="str">
        <f aca="false">IF(V575="Revenue","Revenue",IF(V575="Cost of Goods Sold","COGS",IF(V575="Expenditures","Expense",IF(V575="Other Revenue","Other Revenue",IF(V575="Other Expenditures","Other Expense",W574)))))</f>
        <v/>
      </c>
      <c r="X575" s="36" t="str">
        <f aca="false">IF(OR(V575="Revenue",V575="Cost of Goods Sold",V575="Expenditures",V575="Other Revenue",V575="Other Expenditures"),W575,IF(AND(LEN(V575)&gt;2,MID(V575,2,1)=" ",ISNUMBER(VALUE(LEFT(V575,1)))),V575,X574))</f>
        <v/>
      </c>
      <c r="Y575" s="36" t="n">
        <f aca="false">IF(AND(V575&lt;&gt;"",ISNUMBER(T575),LEFT(V575,9)&lt;&gt;"Total for",V575&lt;&gt;"Gross Profit",V575&lt;&gt;"Net Operating Revenue",V575&lt;&gt;"Net Other Revenue",V575&lt;&gt;"Net Revenue"),1,0)</f>
        <v>0</v>
      </c>
      <c r="Z575" s="36" t="str">
        <f aca="false">IF(Y575=1,IF(AND(LEN(V575)&gt;7,ISNUMBER(VALUE(LEFT(V575,6))),MID(V575,7,1)=" "),LEFT(V575,6),V575),"")</f>
        <v/>
      </c>
      <c r="AE575" s="36" t="str">
        <f aca="false">TRIM(AB575)</f>
        <v/>
      </c>
      <c r="AF575" s="36" t="str">
        <f aca="false">IF(AE575="Revenue","Revenue",IF(AE575="Cost of Goods Sold","COGS",IF(AE575="Expenditures","Expense",IF(AE575="Other Revenue","Other Revenue",IF(AE575="Other Expenditures","Other Expense",AF574)))))</f>
        <v/>
      </c>
      <c r="AG575" s="36" t="str">
        <f aca="false">IF(OR(AE575="Revenue",AE575="Cost of Goods Sold",AE575="Expenditures",AE575="Other Revenue",AE575="Other Expenditures"),AF575,IF(AND(LEN(AE575)&gt;2,MID(AE575,2,1)=" ",ISNUMBER(VALUE(LEFT(AE575,1)))),AE575,AG574))</f>
        <v/>
      </c>
      <c r="AH575" s="36" t="n">
        <f aca="false">IF(AND(AE575&lt;&gt;"",ISNUMBER(AC575),LEFT(AE575,9)&lt;&gt;"Total for",AE575&lt;&gt;"Gross Profit",AE575&lt;&gt;"Net Operating Revenue",AE575&lt;&gt;"Net Other Revenue",AE575&lt;&gt;"Net Revenue"),1,0)</f>
        <v>0</v>
      </c>
      <c r="AI575" s="36" t="str">
        <f aca="false">IF(AH575=1,IF(AND(LEN(AE575)&gt;7,ISNUMBER(VALUE(LEFT(AE575,6))),MID(AE575,7,1)=" "),LEFT(AE575,6),AE575),"")</f>
        <v/>
      </c>
      <c r="AN575" s="36" t="str">
        <f aca="false">TRIM(AK575)</f>
        <v/>
      </c>
      <c r="AO575" s="36" t="str">
        <f aca="false">IF(AN575="Revenue","Revenue",IF(AN575="Cost of Goods Sold","COGS",IF(AN575="Expenditures","Expense",IF(AN575="Other Revenue","Other Revenue",IF(AN575="Other Expenditures","Other Expense",AO574)))))</f>
        <v/>
      </c>
      <c r="AP575" s="36" t="str">
        <f aca="false">IF(OR(AN575="Revenue",AN575="Cost of Goods Sold",AN575="Expenditures",AN575="Other Revenue",AN575="Other Expenditures"),AO575,IF(AND(LEN(AN575)&gt;2,MID(AN575,2,1)=" ",ISNUMBER(VALUE(LEFT(AN575,1)))),AN575,AP574))</f>
        <v/>
      </c>
      <c r="AQ575" s="36" t="n">
        <f aca="false">IF(AND(AN575&lt;&gt;"",ISNUMBER(AL575),LEFT(AN575,9)&lt;&gt;"Total for",AN575&lt;&gt;"Gross Profit",AN575&lt;&gt;"Net Operating Revenue",AN575&lt;&gt;"Net Other Revenue",AN575&lt;&gt;"Net Revenue"),1,0)</f>
        <v>0</v>
      </c>
      <c r="AR575" s="36" t="str">
        <f aca="false">IF(AQ575=1,IF(AND(LEN(AN575)&gt;7,ISNUMBER(VALUE(LEFT(AN575,6))),MID(AN575,7,1)=" "),LEFT(AN575,6),AN575),"")</f>
        <v/>
      </c>
    </row>
    <row r="576" customFormat="false" ht="15" hidden="false" customHeight="false" outlineLevel="0" collapsed="false">
      <c r="D576" s="36" t="str">
        <f aca="false">TRIM(A576)</f>
        <v/>
      </c>
      <c r="E576" s="36" t="str">
        <f aca="false">IF(D576="Revenue","Revenue",IF(D576="Cost of Goods Sold","COGS",IF(D576="Expenditures","Expense",IF(D576="Other Revenue","Other Revenue",IF(D576="Other Expenditures","Other Expense",E575)))))</f>
        <v/>
      </c>
      <c r="F576" s="36" t="str">
        <f aca="false">IF(OR(D576="Revenue",D576="Cost of Goods Sold",D576="Expenditures",D576="Other Revenue",D576="Other Expenditures"),E576,IF(AND(LEN(D576)&gt;2,MID(D576,2,1)=" ",ISNUMBER(VALUE(LEFT(D576,1)))),D576,F575))</f>
        <v/>
      </c>
      <c r="G576" s="36" t="n">
        <f aca="false">IF(AND(D576&lt;&gt;"",ISNUMBER(B576),LEFT(D576,9)&lt;&gt;"Total for",D576&lt;&gt;"Gross Profit",D576&lt;&gt;"Net Operating Revenue",D576&lt;&gt;"Net Other Revenue",D576&lt;&gt;"Net Revenue"),1,0)</f>
        <v>0</v>
      </c>
      <c r="H576" s="36" t="str">
        <f aca="false">IF(G576=1,IF(AND(LEN(D576)&gt;7,ISNUMBER(VALUE(LEFT(D576,6))),MID(D576,7,1)=" "),LEFT(D576,6),D576),"")</f>
        <v/>
      </c>
      <c r="M576" s="36" t="str">
        <f aca="false">TRIM(J576)</f>
        <v/>
      </c>
      <c r="N576" s="36" t="str">
        <f aca="false">IF(M576="Revenue","Revenue",IF(M576="Cost of Goods Sold","COGS",IF(M576="Expenditures","Expense",IF(M576="Other Revenue","Other Revenue",IF(M576="Other Expenditures","Other Expense",N575)))))</f>
        <v/>
      </c>
      <c r="O576" s="36" t="str">
        <f aca="false">IF(OR(M576="Revenue",M576="Cost of Goods Sold",M576="Expenditures",M576="Other Revenue",M576="Other Expenditures"),N576,IF(AND(LEN(M576)&gt;2,MID(M576,2,1)=" ",ISNUMBER(VALUE(LEFT(M576,1)))),M576,O575))</f>
        <v/>
      </c>
      <c r="P576" s="36" t="n">
        <f aca="false">IF(AND(M576&lt;&gt;"",ISNUMBER(K576),LEFT(M576,9)&lt;&gt;"Total for",M576&lt;&gt;"Gross Profit",M576&lt;&gt;"Net Operating Revenue",M576&lt;&gt;"Net Other Revenue",M576&lt;&gt;"Net Revenue"),1,0)</f>
        <v>0</v>
      </c>
      <c r="Q576" s="36" t="str">
        <f aca="false">IF(P576=1,IF(AND(LEN(M576)&gt;7,ISNUMBER(VALUE(LEFT(M576,6))),MID(M576,7,1)=" "),LEFT(M576,6),M576),"")</f>
        <v/>
      </c>
      <c r="V576" s="36" t="str">
        <f aca="false">TRIM(S576)</f>
        <v/>
      </c>
      <c r="W576" s="36" t="str">
        <f aca="false">IF(V576="Revenue","Revenue",IF(V576="Cost of Goods Sold","COGS",IF(V576="Expenditures","Expense",IF(V576="Other Revenue","Other Revenue",IF(V576="Other Expenditures","Other Expense",W575)))))</f>
        <v/>
      </c>
      <c r="X576" s="36" t="str">
        <f aca="false">IF(OR(V576="Revenue",V576="Cost of Goods Sold",V576="Expenditures",V576="Other Revenue",V576="Other Expenditures"),W576,IF(AND(LEN(V576)&gt;2,MID(V576,2,1)=" ",ISNUMBER(VALUE(LEFT(V576,1)))),V576,X575))</f>
        <v/>
      </c>
      <c r="Y576" s="36" t="n">
        <f aca="false">IF(AND(V576&lt;&gt;"",ISNUMBER(T576),LEFT(V576,9)&lt;&gt;"Total for",V576&lt;&gt;"Gross Profit",V576&lt;&gt;"Net Operating Revenue",V576&lt;&gt;"Net Other Revenue",V576&lt;&gt;"Net Revenue"),1,0)</f>
        <v>0</v>
      </c>
      <c r="Z576" s="36" t="str">
        <f aca="false">IF(Y576=1,IF(AND(LEN(V576)&gt;7,ISNUMBER(VALUE(LEFT(V576,6))),MID(V576,7,1)=" "),LEFT(V576,6),V576),"")</f>
        <v/>
      </c>
      <c r="AE576" s="36" t="str">
        <f aca="false">TRIM(AB576)</f>
        <v/>
      </c>
      <c r="AF576" s="36" t="str">
        <f aca="false">IF(AE576="Revenue","Revenue",IF(AE576="Cost of Goods Sold","COGS",IF(AE576="Expenditures","Expense",IF(AE576="Other Revenue","Other Revenue",IF(AE576="Other Expenditures","Other Expense",AF575)))))</f>
        <v/>
      </c>
      <c r="AG576" s="36" t="str">
        <f aca="false">IF(OR(AE576="Revenue",AE576="Cost of Goods Sold",AE576="Expenditures",AE576="Other Revenue",AE576="Other Expenditures"),AF576,IF(AND(LEN(AE576)&gt;2,MID(AE576,2,1)=" ",ISNUMBER(VALUE(LEFT(AE576,1)))),AE576,AG575))</f>
        <v/>
      </c>
      <c r="AH576" s="36" t="n">
        <f aca="false">IF(AND(AE576&lt;&gt;"",ISNUMBER(AC576),LEFT(AE576,9)&lt;&gt;"Total for",AE576&lt;&gt;"Gross Profit",AE576&lt;&gt;"Net Operating Revenue",AE576&lt;&gt;"Net Other Revenue",AE576&lt;&gt;"Net Revenue"),1,0)</f>
        <v>0</v>
      </c>
      <c r="AI576" s="36" t="str">
        <f aca="false">IF(AH576=1,IF(AND(LEN(AE576)&gt;7,ISNUMBER(VALUE(LEFT(AE576,6))),MID(AE576,7,1)=" "),LEFT(AE576,6),AE576),"")</f>
        <v/>
      </c>
      <c r="AN576" s="36" t="str">
        <f aca="false">TRIM(AK576)</f>
        <v/>
      </c>
      <c r="AO576" s="36" t="str">
        <f aca="false">IF(AN576="Revenue","Revenue",IF(AN576="Cost of Goods Sold","COGS",IF(AN576="Expenditures","Expense",IF(AN576="Other Revenue","Other Revenue",IF(AN576="Other Expenditures","Other Expense",AO575)))))</f>
        <v/>
      </c>
      <c r="AP576" s="36" t="str">
        <f aca="false">IF(OR(AN576="Revenue",AN576="Cost of Goods Sold",AN576="Expenditures",AN576="Other Revenue",AN576="Other Expenditures"),AO576,IF(AND(LEN(AN576)&gt;2,MID(AN576,2,1)=" ",ISNUMBER(VALUE(LEFT(AN576,1)))),AN576,AP575))</f>
        <v/>
      </c>
      <c r="AQ576" s="36" t="n">
        <f aca="false">IF(AND(AN576&lt;&gt;"",ISNUMBER(AL576),LEFT(AN576,9)&lt;&gt;"Total for",AN576&lt;&gt;"Gross Profit",AN576&lt;&gt;"Net Operating Revenue",AN576&lt;&gt;"Net Other Revenue",AN576&lt;&gt;"Net Revenue"),1,0)</f>
        <v>0</v>
      </c>
      <c r="AR576" s="36" t="str">
        <f aca="false">IF(AQ576=1,IF(AND(LEN(AN576)&gt;7,ISNUMBER(VALUE(LEFT(AN576,6))),MID(AN576,7,1)=" "),LEFT(AN576,6),AN576),"")</f>
        <v/>
      </c>
    </row>
    <row r="577" customFormat="false" ht="15" hidden="false" customHeight="false" outlineLevel="0" collapsed="false">
      <c r="D577" s="36" t="str">
        <f aca="false">TRIM(A577)</f>
        <v/>
      </c>
      <c r="E577" s="36" t="str">
        <f aca="false">IF(D577="Revenue","Revenue",IF(D577="Cost of Goods Sold","COGS",IF(D577="Expenditures","Expense",IF(D577="Other Revenue","Other Revenue",IF(D577="Other Expenditures","Other Expense",E576)))))</f>
        <v/>
      </c>
      <c r="F577" s="36" t="str">
        <f aca="false">IF(OR(D577="Revenue",D577="Cost of Goods Sold",D577="Expenditures",D577="Other Revenue",D577="Other Expenditures"),E577,IF(AND(LEN(D577)&gt;2,MID(D577,2,1)=" ",ISNUMBER(VALUE(LEFT(D577,1)))),D577,F576))</f>
        <v/>
      </c>
      <c r="G577" s="36" t="n">
        <f aca="false">IF(AND(D577&lt;&gt;"",ISNUMBER(B577),LEFT(D577,9)&lt;&gt;"Total for",D577&lt;&gt;"Gross Profit",D577&lt;&gt;"Net Operating Revenue",D577&lt;&gt;"Net Other Revenue",D577&lt;&gt;"Net Revenue"),1,0)</f>
        <v>0</v>
      </c>
      <c r="H577" s="36" t="str">
        <f aca="false">IF(G577=1,IF(AND(LEN(D577)&gt;7,ISNUMBER(VALUE(LEFT(D577,6))),MID(D577,7,1)=" "),LEFT(D577,6),D577),"")</f>
        <v/>
      </c>
      <c r="M577" s="36" t="str">
        <f aca="false">TRIM(J577)</f>
        <v/>
      </c>
      <c r="N577" s="36" t="str">
        <f aca="false">IF(M577="Revenue","Revenue",IF(M577="Cost of Goods Sold","COGS",IF(M577="Expenditures","Expense",IF(M577="Other Revenue","Other Revenue",IF(M577="Other Expenditures","Other Expense",N576)))))</f>
        <v/>
      </c>
      <c r="O577" s="36" t="str">
        <f aca="false">IF(OR(M577="Revenue",M577="Cost of Goods Sold",M577="Expenditures",M577="Other Revenue",M577="Other Expenditures"),N577,IF(AND(LEN(M577)&gt;2,MID(M577,2,1)=" ",ISNUMBER(VALUE(LEFT(M577,1)))),M577,O576))</f>
        <v/>
      </c>
      <c r="P577" s="36" t="n">
        <f aca="false">IF(AND(M577&lt;&gt;"",ISNUMBER(K577),LEFT(M577,9)&lt;&gt;"Total for",M577&lt;&gt;"Gross Profit",M577&lt;&gt;"Net Operating Revenue",M577&lt;&gt;"Net Other Revenue",M577&lt;&gt;"Net Revenue"),1,0)</f>
        <v>0</v>
      </c>
      <c r="Q577" s="36" t="str">
        <f aca="false">IF(P577=1,IF(AND(LEN(M577)&gt;7,ISNUMBER(VALUE(LEFT(M577,6))),MID(M577,7,1)=" "),LEFT(M577,6),M577),"")</f>
        <v/>
      </c>
      <c r="V577" s="36" t="str">
        <f aca="false">TRIM(S577)</f>
        <v/>
      </c>
      <c r="W577" s="36" t="str">
        <f aca="false">IF(V577="Revenue","Revenue",IF(V577="Cost of Goods Sold","COGS",IF(V577="Expenditures","Expense",IF(V577="Other Revenue","Other Revenue",IF(V577="Other Expenditures","Other Expense",W576)))))</f>
        <v/>
      </c>
      <c r="X577" s="36" t="str">
        <f aca="false">IF(OR(V577="Revenue",V577="Cost of Goods Sold",V577="Expenditures",V577="Other Revenue",V577="Other Expenditures"),W577,IF(AND(LEN(V577)&gt;2,MID(V577,2,1)=" ",ISNUMBER(VALUE(LEFT(V577,1)))),V577,X576))</f>
        <v/>
      </c>
      <c r="Y577" s="36" t="n">
        <f aca="false">IF(AND(V577&lt;&gt;"",ISNUMBER(T577),LEFT(V577,9)&lt;&gt;"Total for",V577&lt;&gt;"Gross Profit",V577&lt;&gt;"Net Operating Revenue",V577&lt;&gt;"Net Other Revenue",V577&lt;&gt;"Net Revenue"),1,0)</f>
        <v>0</v>
      </c>
      <c r="Z577" s="36" t="str">
        <f aca="false">IF(Y577=1,IF(AND(LEN(V577)&gt;7,ISNUMBER(VALUE(LEFT(V577,6))),MID(V577,7,1)=" "),LEFT(V577,6),V577),"")</f>
        <v/>
      </c>
      <c r="AE577" s="36" t="str">
        <f aca="false">TRIM(AB577)</f>
        <v/>
      </c>
      <c r="AF577" s="36" t="str">
        <f aca="false">IF(AE577="Revenue","Revenue",IF(AE577="Cost of Goods Sold","COGS",IF(AE577="Expenditures","Expense",IF(AE577="Other Revenue","Other Revenue",IF(AE577="Other Expenditures","Other Expense",AF576)))))</f>
        <v/>
      </c>
      <c r="AG577" s="36" t="str">
        <f aca="false">IF(OR(AE577="Revenue",AE577="Cost of Goods Sold",AE577="Expenditures",AE577="Other Revenue",AE577="Other Expenditures"),AF577,IF(AND(LEN(AE577)&gt;2,MID(AE577,2,1)=" ",ISNUMBER(VALUE(LEFT(AE577,1)))),AE577,AG576))</f>
        <v/>
      </c>
      <c r="AH577" s="36" t="n">
        <f aca="false">IF(AND(AE577&lt;&gt;"",ISNUMBER(AC577),LEFT(AE577,9)&lt;&gt;"Total for",AE577&lt;&gt;"Gross Profit",AE577&lt;&gt;"Net Operating Revenue",AE577&lt;&gt;"Net Other Revenue",AE577&lt;&gt;"Net Revenue"),1,0)</f>
        <v>0</v>
      </c>
      <c r="AI577" s="36" t="str">
        <f aca="false">IF(AH577=1,IF(AND(LEN(AE577)&gt;7,ISNUMBER(VALUE(LEFT(AE577,6))),MID(AE577,7,1)=" "),LEFT(AE577,6),AE577),"")</f>
        <v/>
      </c>
      <c r="AN577" s="36" t="str">
        <f aca="false">TRIM(AK577)</f>
        <v/>
      </c>
      <c r="AO577" s="36" t="str">
        <f aca="false">IF(AN577="Revenue","Revenue",IF(AN577="Cost of Goods Sold","COGS",IF(AN577="Expenditures","Expense",IF(AN577="Other Revenue","Other Revenue",IF(AN577="Other Expenditures","Other Expense",AO576)))))</f>
        <v/>
      </c>
      <c r="AP577" s="36" t="str">
        <f aca="false">IF(OR(AN577="Revenue",AN577="Cost of Goods Sold",AN577="Expenditures",AN577="Other Revenue",AN577="Other Expenditures"),AO577,IF(AND(LEN(AN577)&gt;2,MID(AN577,2,1)=" ",ISNUMBER(VALUE(LEFT(AN577,1)))),AN577,AP576))</f>
        <v/>
      </c>
      <c r="AQ577" s="36" t="n">
        <f aca="false">IF(AND(AN577&lt;&gt;"",ISNUMBER(AL577),LEFT(AN577,9)&lt;&gt;"Total for",AN577&lt;&gt;"Gross Profit",AN577&lt;&gt;"Net Operating Revenue",AN577&lt;&gt;"Net Other Revenue",AN577&lt;&gt;"Net Revenue"),1,0)</f>
        <v>0</v>
      </c>
      <c r="AR577" s="36" t="str">
        <f aca="false">IF(AQ577=1,IF(AND(LEN(AN577)&gt;7,ISNUMBER(VALUE(LEFT(AN577,6))),MID(AN577,7,1)=" "),LEFT(AN577,6),AN577),"")</f>
        <v/>
      </c>
    </row>
    <row r="578" customFormat="false" ht="15" hidden="false" customHeight="false" outlineLevel="0" collapsed="false">
      <c r="D578" s="36" t="str">
        <f aca="false">TRIM(A578)</f>
        <v/>
      </c>
      <c r="E578" s="36" t="str">
        <f aca="false">IF(D578="Revenue","Revenue",IF(D578="Cost of Goods Sold","COGS",IF(D578="Expenditures","Expense",IF(D578="Other Revenue","Other Revenue",IF(D578="Other Expenditures","Other Expense",E577)))))</f>
        <v/>
      </c>
      <c r="F578" s="36" t="str">
        <f aca="false">IF(OR(D578="Revenue",D578="Cost of Goods Sold",D578="Expenditures",D578="Other Revenue",D578="Other Expenditures"),E578,IF(AND(LEN(D578)&gt;2,MID(D578,2,1)=" ",ISNUMBER(VALUE(LEFT(D578,1)))),D578,F577))</f>
        <v/>
      </c>
      <c r="G578" s="36" t="n">
        <f aca="false">IF(AND(D578&lt;&gt;"",ISNUMBER(B578),LEFT(D578,9)&lt;&gt;"Total for",D578&lt;&gt;"Gross Profit",D578&lt;&gt;"Net Operating Revenue",D578&lt;&gt;"Net Other Revenue",D578&lt;&gt;"Net Revenue"),1,0)</f>
        <v>0</v>
      </c>
      <c r="H578" s="36" t="str">
        <f aca="false">IF(G578=1,IF(AND(LEN(D578)&gt;7,ISNUMBER(VALUE(LEFT(D578,6))),MID(D578,7,1)=" "),LEFT(D578,6),D578),"")</f>
        <v/>
      </c>
      <c r="M578" s="36" t="str">
        <f aca="false">TRIM(J578)</f>
        <v/>
      </c>
      <c r="N578" s="36" t="str">
        <f aca="false">IF(M578="Revenue","Revenue",IF(M578="Cost of Goods Sold","COGS",IF(M578="Expenditures","Expense",IF(M578="Other Revenue","Other Revenue",IF(M578="Other Expenditures","Other Expense",N577)))))</f>
        <v/>
      </c>
      <c r="O578" s="36" t="str">
        <f aca="false">IF(OR(M578="Revenue",M578="Cost of Goods Sold",M578="Expenditures",M578="Other Revenue",M578="Other Expenditures"),N578,IF(AND(LEN(M578)&gt;2,MID(M578,2,1)=" ",ISNUMBER(VALUE(LEFT(M578,1)))),M578,O577))</f>
        <v/>
      </c>
      <c r="P578" s="36" t="n">
        <f aca="false">IF(AND(M578&lt;&gt;"",ISNUMBER(K578),LEFT(M578,9)&lt;&gt;"Total for",M578&lt;&gt;"Gross Profit",M578&lt;&gt;"Net Operating Revenue",M578&lt;&gt;"Net Other Revenue",M578&lt;&gt;"Net Revenue"),1,0)</f>
        <v>0</v>
      </c>
      <c r="Q578" s="36" t="str">
        <f aca="false">IF(P578=1,IF(AND(LEN(M578)&gt;7,ISNUMBER(VALUE(LEFT(M578,6))),MID(M578,7,1)=" "),LEFT(M578,6),M578),"")</f>
        <v/>
      </c>
      <c r="V578" s="36" t="str">
        <f aca="false">TRIM(S578)</f>
        <v/>
      </c>
      <c r="W578" s="36" t="str">
        <f aca="false">IF(V578="Revenue","Revenue",IF(V578="Cost of Goods Sold","COGS",IF(V578="Expenditures","Expense",IF(V578="Other Revenue","Other Revenue",IF(V578="Other Expenditures","Other Expense",W577)))))</f>
        <v/>
      </c>
      <c r="X578" s="36" t="str">
        <f aca="false">IF(OR(V578="Revenue",V578="Cost of Goods Sold",V578="Expenditures",V578="Other Revenue",V578="Other Expenditures"),W578,IF(AND(LEN(V578)&gt;2,MID(V578,2,1)=" ",ISNUMBER(VALUE(LEFT(V578,1)))),V578,X577))</f>
        <v/>
      </c>
      <c r="Y578" s="36" t="n">
        <f aca="false">IF(AND(V578&lt;&gt;"",ISNUMBER(T578),LEFT(V578,9)&lt;&gt;"Total for",V578&lt;&gt;"Gross Profit",V578&lt;&gt;"Net Operating Revenue",V578&lt;&gt;"Net Other Revenue",V578&lt;&gt;"Net Revenue"),1,0)</f>
        <v>0</v>
      </c>
      <c r="Z578" s="36" t="str">
        <f aca="false">IF(Y578=1,IF(AND(LEN(V578)&gt;7,ISNUMBER(VALUE(LEFT(V578,6))),MID(V578,7,1)=" "),LEFT(V578,6),V578),"")</f>
        <v/>
      </c>
      <c r="AE578" s="36" t="str">
        <f aca="false">TRIM(AB578)</f>
        <v/>
      </c>
      <c r="AF578" s="36" t="str">
        <f aca="false">IF(AE578="Revenue","Revenue",IF(AE578="Cost of Goods Sold","COGS",IF(AE578="Expenditures","Expense",IF(AE578="Other Revenue","Other Revenue",IF(AE578="Other Expenditures","Other Expense",AF577)))))</f>
        <v/>
      </c>
      <c r="AG578" s="36" t="str">
        <f aca="false">IF(OR(AE578="Revenue",AE578="Cost of Goods Sold",AE578="Expenditures",AE578="Other Revenue",AE578="Other Expenditures"),AF578,IF(AND(LEN(AE578)&gt;2,MID(AE578,2,1)=" ",ISNUMBER(VALUE(LEFT(AE578,1)))),AE578,AG577))</f>
        <v/>
      </c>
      <c r="AH578" s="36" t="n">
        <f aca="false">IF(AND(AE578&lt;&gt;"",ISNUMBER(AC578),LEFT(AE578,9)&lt;&gt;"Total for",AE578&lt;&gt;"Gross Profit",AE578&lt;&gt;"Net Operating Revenue",AE578&lt;&gt;"Net Other Revenue",AE578&lt;&gt;"Net Revenue"),1,0)</f>
        <v>0</v>
      </c>
      <c r="AI578" s="36" t="str">
        <f aca="false">IF(AH578=1,IF(AND(LEN(AE578)&gt;7,ISNUMBER(VALUE(LEFT(AE578,6))),MID(AE578,7,1)=" "),LEFT(AE578,6),AE578),"")</f>
        <v/>
      </c>
      <c r="AN578" s="36" t="str">
        <f aca="false">TRIM(AK578)</f>
        <v/>
      </c>
      <c r="AO578" s="36" t="str">
        <f aca="false">IF(AN578="Revenue","Revenue",IF(AN578="Cost of Goods Sold","COGS",IF(AN578="Expenditures","Expense",IF(AN578="Other Revenue","Other Revenue",IF(AN578="Other Expenditures","Other Expense",AO577)))))</f>
        <v/>
      </c>
      <c r="AP578" s="36" t="str">
        <f aca="false">IF(OR(AN578="Revenue",AN578="Cost of Goods Sold",AN578="Expenditures",AN578="Other Revenue",AN578="Other Expenditures"),AO578,IF(AND(LEN(AN578)&gt;2,MID(AN578,2,1)=" ",ISNUMBER(VALUE(LEFT(AN578,1)))),AN578,AP577))</f>
        <v/>
      </c>
      <c r="AQ578" s="36" t="n">
        <f aca="false">IF(AND(AN578&lt;&gt;"",ISNUMBER(AL578),LEFT(AN578,9)&lt;&gt;"Total for",AN578&lt;&gt;"Gross Profit",AN578&lt;&gt;"Net Operating Revenue",AN578&lt;&gt;"Net Other Revenue",AN578&lt;&gt;"Net Revenue"),1,0)</f>
        <v>0</v>
      </c>
      <c r="AR578" s="36" t="str">
        <f aca="false">IF(AQ578=1,IF(AND(LEN(AN578)&gt;7,ISNUMBER(VALUE(LEFT(AN578,6))),MID(AN578,7,1)=" "),LEFT(AN578,6),AN578),"")</f>
        <v/>
      </c>
    </row>
    <row r="579" customFormat="false" ht="15" hidden="false" customHeight="false" outlineLevel="0" collapsed="false">
      <c r="D579" s="36" t="str">
        <f aca="false">TRIM(A579)</f>
        <v/>
      </c>
      <c r="E579" s="36" t="str">
        <f aca="false">IF(D579="Revenue","Revenue",IF(D579="Cost of Goods Sold","COGS",IF(D579="Expenditures","Expense",IF(D579="Other Revenue","Other Revenue",IF(D579="Other Expenditures","Other Expense",E578)))))</f>
        <v/>
      </c>
      <c r="F579" s="36" t="str">
        <f aca="false">IF(OR(D579="Revenue",D579="Cost of Goods Sold",D579="Expenditures",D579="Other Revenue",D579="Other Expenditures"),E579,IF(AND(LEN(D579)&gt;2,MID(D579,2,1)=" ",ISNUMBER(VALUE(LEFT(D579,1)))),D579,F578))</f>
        <v/>
      </c>
      <c r="G579" s="36" t="n">
        <f aca="false">IF(AND(D579&lt;&gt;"",ISNUMBER(B579),LEFT(D579,9)&lt;&gt;"Total for",D579&lt;&gt;"Gross Profit",D579&lt;&gt;"Net Operating Revenue",D579&lt;&gt;"Net Other Revenue",D579&lt;&gt;"Net Revenue"),1,0)</f>
        <v>0</v>
      </c>
      <c r="H579" s="36" t="str">
        <f aca="false">IF(G579=1,IF(AND(LEN(D579)&gt;7,ISNUMBER(VALUE(LEFT(D579,6))),MID(D579,7,1)=" "),LEFT(D579,6),D579),"")</f>
        <v/>
      </c>
      <c r="M579" s="36" t="str">
        <f aca="false">TRIM(J579)</f>
        <v/>
      </c>
      <c r="N579" s="36" t="str">
        <f aca="false">IF(M579="Revenue","Revenue",IF(M579="Cost of Goods Sold","COGS",IF(M579="Expenditures","Expense",IF(M579="Other Revenue","Other Revenue",IF(M579="Other Expenditures","Other Expense",N578)))))</f>
        <v/>
      </c>
      <c r="O579" s="36" t="str">
        <f aca="false">IF(OR(M579="Revenue",M579="Cost of Goods Sold",M579="Expenditures",M579="Other Revenue",M579="Other Expenditures"),N579,IF(AND(LEN(M579)&gt;2,MID(M579,2,1)=" ",ISNUMBER(VALUE(LEFT(M579,1)))),M579,O578))</f>
        <v/>
      </c>
      <c r="P579" s="36" t="n">
        <f aca="false">IF(AND(M579&lt;&gt;"",ISNUMBER(K579),LEFT(M579,9)&lt;&gt;"Total for",M579&lt;&gt;"Gross Profit",M579&lt;&gt;"Net Operating Revenue",M579&lt;&gt;"Net Other Revenue",M579&lt;&gt;"Net Revenue"),1,0)</f>
        <v>0</v>
      </c>
      <c r="Q579" s="36" t="str">
        <f aca="false">IF(P579=1,IF(AND(LEN(M579)&gt;7,ISNUMBER(VALUE(LEFT(M579,6))),MID(M579,7,1)=" "),LEFT(M579,6),M579),"")</f>
        <v/>
      </c>
      <c r="V579" s="36" t="str">
        <f aca="false">TRIM(S579)</f>
        <v/>
      </c>
      <c r="W579" s="36" t="str">
        <f aca="false">IF(V579="Revenue","Revenue",IF(V579="Cost of Goods Sold","COGS",IF(V579="Expenditures","Expense",IF(V579="Other Revenue","Other Revenue",IF(V579="Other Expenditures","Other Expense",W578)))))</f>
        <v/>
      </c>
      <c r="X579" s="36" t="str">
        <f aca="false">IF(OR(V579="Revenue",V579="Cost of Goods Sold",V579="Expenditures",V579="Other Revenue",V579="Other Expenditures"),W579,IF(AND(LEN(V579)&gt;2,MID(V579,2,1)=" ",ISNUMBER(VALUE(LEFT(V579,1)))),V579,X578))</f>
        <v/>
      </c>
      <c r="Y579" s="36" t="n">
        <f aca="false">IF(AND(V579&lt;&gt;"",ISNUMBER(T579),LEFT(V579,9)&lt;&gt;"Total for",V579&lt;&gt;"Gross Profit",V579&lt;&gt;"Net Operating Revenue",V579&lt;&gt;"Net Other Revenue",V579&lt;&gt;"Net Revenue"),1,0)</f>
        <v>0</v>
      </c>
      <c r="Z579" s="36" t="str">
        <f aca="false">IF(Y579=1,IF(AND(LEN(V579)&gt;7,ISNUMBER(VALUE(LEFT(V579,6))),MID(V579,7,1)=" "),LEFT(V579,6),V579),"")</f>
        <v/>
      </c>
      <c r="AE579" s="36" t="str">
        <f aca="false">TRIM(AB579)</f>
        <v/>
      </c>
      <c r="AF579" s="36" t="str">
        <f aca="false">IF(AE579="Revenue","Revenue",IF(AE579="Cost of Goods Sold","COGS",IF(AE579="Expenditures","Expense",IF(AE579="Other Revenue","Other Revenue",IF(AE579="Other Expenditures","Other Expense",AF578)))))</f>
        <v/>
      </c>
      <c r="AG579" s="36" t="str">
        <f aca="false">IF(OR(AE579="Revenue",AE579="Cost of Goods Sold",AE579="Expenditures",AE579="Other Revenue",AE579="Other Expenditures"),AF579,IF(AND(LEN(AE579)&gt;2,MID(AE579,2,1)=" ",ISNUMBER(VALUE(LEFT(AE579,1)))),AE579,AG578))</f>
        <v/>
      </c>
      <c r="AH579" s="36" t="n">
        <f aca="false">IF(AND(AE579&lt;&gt;"",ISNUMBER(AC579),LEFT(AE579,9)&lt;&gt;"Total for",AE579&lt;&gt;"Gross Profit",AE579&lt;&gt;"Net Operating Revenue",AE579&lt;&gt;"Net Other Revenue",AE579&lt;&gt;"Net Revenue"),1,0)</f>
        <v>0</v>
      </c>
      <c r="AI579" s="36" t="str">
        <f aca="false">IF(AH579=1,IF(AND(LEN(AE579)&gt;7,ISNUMBER(VALUE(LEFT(AE579,6))),MID(AE579,7,1)=" "),LEFT(AE579,6),AE579),"")</f>
        <v/>
      </c>
      <c r="AN579" s="36" t="str">
        <f aca="false">TRIM(AK579)</f>
        <v/>
      </c>
      <c r="AO579" s="36" t="str">
        <f aca="false">IF(AN579="Revenue","Revenue",IF(AN579="Cost of Goods Sold","COGS",IF(AN579="Expenditures","Expense",IF(AN579="Other Revenue","Other Revenue",IF(AN579="Other Expenditures","Other Expense",AO578)))))</f>
        <v/>
      </c>
      <c r="AP579" s="36" t="str">
        <f aca="false">IF(OR(AN579="Revenue",AN579="Cost of Goods Sold",AN579="Expenditures",AN579="Other Revenue",AN579="Other Expenditures"),AO579,IF(AND(LEN(AN579)&gt;2,MID(AN579,2,1)=" ",ISNUMBER(VALUE(LEFT(AN579,1)))),AN579,AP578))</f>
        <v/>
      </c>
      <c r="AQ579" s="36" t="n">
        <f aca="false">IF(AND(AN579&lt;&gt;"",ISNUMBER(AL579),LEFT(AN579,9)&lt;&gt;"Total for",AN579&lt;&gt;"Gross Profit",AN579&lt;&gt;"Net Operating Revenue",AN579&lt;&gt;"Net Other Revenue",AN579&lt;&gt;"Net Revenue"),1,0)</f>
        <v>0</v>
      </c>
      <c r="AR579" s="36" t="str">
        <f aca="false">IF(AQ579=1,IF(AND(LEN(AN579)&gt;7,ISNUMBER(VALUE(LEFT(AN579,6))),MID(AN579,7,1)=" "),LEFT(AN579,6),AN579),"")</f>
        <v/>
      </c>
    </row>
    <row r="580" customFormat="false" ht="15" hidden="false" customHeight="false" outlineLevel="0" collapsed="false">
      <c r="D580" s="36" t="str">
        <f aca="false">TRIM(A580)</f>
        <v/>
      </c>
      <c r="E580" s="36" t="str">
        <f aca="false">IF(D580="Revenue","Revenue",IF(D580="Cost of Goods Sold","COGS",IF(D580="Expenditures","Expense",IF(D580="Other Revenue","Other Revenue",IF(D580="Other Expenditures","Other Expense",E579)))))</f>
        <v/>
      </c>
      <c r="F580" s="36" t="str">
        <f aca="false">IF(OR(D580="Revenue",D580="Cost of Goods Sold",D580="Expenditures",D580="Other Revenue",D580="Other Expenditures"),E580,IF(AND(LEN(D580)&gt;2,MID(D580,2,1)=" ",ISNUMBER(VALUE(LEFT(D580,1)))),D580,F579))</f>
        <v/>
      </c>
      <c r="G580" s="36" t="n">
        <f aca="false">IF(AND(D580&lt;&gt;"",ISNUMBER(B580),LEFT(D580,9)&lt;&gt;"Total for",D580&lt;&gt;"Gross Profit",D580&lt;&gt;"Net Operating Revenue",D580&lt;&gt;"Net Other Revenue",D580&lt;&gt;"Net Revenue"),1,0)</f>
        <v>0</v>
      </c>
      <c r="H580" s="36" t="str">
        <f aca="false">IF(G580=1,IF(AND(LEN(D580)&gt;7,ISNUMBER(VALUE(LEFT(D580,6))),MID(D580,7,1)=" "),LEFT(D580,6),D580),"")</f>
        <v/>
      </c>
      <c r="M580" s="36" t="str">
        <f aca="false">TRIM(J580)</f>
        <v/>
      </c>
      <c r="N580" s="36" t="str">
        <f aca="false">IF(M580="Revenue","Revenue",IF(M580="Cost of Goods Sold","COGS",IF(M580="Expenditures","Expense",IF(M580="Other Revenue","Other Revenue",IF(M580="Other Expenditures","Other Expense",N579)))))</f>
        <v/>
      </c>
      <c r="O580" s="36" t="str">
        <f aca="false">IF(OR(M580="Revenue",M580="Cost of Goods Sold",M580="Expenditures",M580="Other Revenue",M580="Other Expenditures"),N580,IF(AND(LEN(M580)&gt;2,MID(M580,2,1)=" ",ISNUMBER(VALUE(LEFT(M580,1)))),M580,O579))</f>
        <v/>
      </c>
      <c r="P580" s="36" t="n">
        <f aca="false">IF(AND(M580&lt;&gt;"",ISNUMBER(K580),LEFT(M580,9)&lt;&gt;"Total for",M580&lt;&gt;"Gross Profit",M580&lt;&gt;"Net Operating Revenue",M580&lt;&gt;"Net Other Revenue",M580&lt;&gt;"Net Revenue"),1,0)</f>
        <v>0</v>
      </c>
      <c r="Q580" s="36" t="str">
        <f aca="false">IF(P580=1,IF(AND(LEN(M580)&gt;7,ISNUMBER(VALUE(LEFT(M580,6))),MID(M580,7,1)=" "),LEFT(M580,6),M580),"")</f>
        <v/>
      </c>
      <c r="V580" s="36" t="str">
        <f aca="false">TRIM(S580)</f>
        <v/>
      </c>
      <c r="W580" s="36" t="str">
        <f aca="false">IF(V580="Revenue","Revenue",IF(V580="Cost of Goods Sold","COGS",IF(V580="Expenditures","Expense",IF(V580="Other Revenue","Other Revenue",IF(V580="Other Expenditures","Other Expense",W579)))))</f>
        <v/>
      </c>
      <c r="X580" s="36" t="str">
        <f aca="false">IF(OR(V580="Revenue",V580="Cost of Goods Sold",V580="Expenditures",V580="Other Revenue",V580="Other Expenditures"),W580,IF(AND(LEN(V580)&gt;2,MID(V580,2,1)=" ",ISNUMBER(VALUE(LEFT(V580,1)))),V580,X579))</f>
        <v/>
      </c>
      <c r="Y580" s="36" t="n">
        <f aca="false">IF(AND(V580&lt;&gt;"",ISNUMBER(T580),LEFT(V580,9)&lt;&gt;"Total for",V580&lt;&gt;"Gross Profit",V580&lt;&gt;"Net Operating Revenue",V580&lt;&gt;"Net Other Revenue",V580&lt;&gt;"Net Revenue"),1,0)</f>
        <v>0</v>
      </c>
      <c r="Z580" s="36" t="str">
        <f aca="false">IF(Y580=1,IF(AND(LEN(V580)&gt;7,ISNUMBER(VALUE(LEFT(V580,6))),MID(V580,7,1)=" "),LEFT(V580,6),V580),"")</f>
        <v/>
      </c>
      <c r="AE580" s="36" t="str">
        <f aca="false">TRIM(AB580)</f>
        <v/>
      </c>
      <c r="AF580" s="36" t="str">
        <f aca="false">IF(AE580="Revenue","Revenue",IF(AE580="Cost of Goods Sold","COGS",IF(AE580="Expenditures","Expense",IF(AE580="Other Revenue","Other Revenue",IF(AE580="Other Expenditures","Other Expense",AF579)))))</f>
        <v/>
      </c>
      <c r="AG580" s="36" t="str">
        <f aca="false">IF(OR(AE580="Revenue",AE580="Cost of Goods Sold",AE580="Expenditures",AE580="Other Revenue",AE580="Other Expenditures"),AF580,IF(AND(LEN(AE580)&gt;2,MID(AE580,2,1)=" ",ISNUMBER(VALUE(LEFT(AE580,1)))),AE580,AG579))</f>
        <v/>
      </c>
      <c r="AH580" s="36" t="n">
        <f aca="false">IF(AND(AE580&lt;&gt;"",ISNUMBER(AC580),LEFT(AE580,9)&lt;&gt;"Total for",AE580&lt;&gt;"Gross Profit",AE580&lt;&gt;"Net Operating Revenue",AE580&lt;&gt;"Net Other Revenue",AE580&lt;&gt;"Net Revenue"),1,0)</f>
        <v>0</v>
      </c>
      <c r="AI580" s="36" t="str">
        <f aca="false">IF(AH580=1,IF(AND(LEN(AE580)&gt;7,ISNUMBER(VALUE(LEFT(AE580,6))),MID(AE580,7,1)=" "),LEFT(AE580,6),AE580),"")</f>
        <v/>
      </c>
      <c r="AN580" s="36" t="str">
        <f aca="false">TRIM(AK580)</f>
        <v/>
      </c>
      <c r="AO580" s="36" t="str">
        <f aca="false">IF(AN580="Revenue","Revenue",IF(AN580="Cost of Goods Sold","COGS",IF(AN580="Expenditures","Expense",IF(AN580="Other Revenue","Other Revenue",IF(AN580="Other Expenditures","Other Expense",AO579)))))</f>
        <v/>
      </c>
      <c r="AP580" s="36" t="str">
        <f aca="false">IF(OR(AN580="Revenue",AN580="Cost of Goods Sold",AN580="Expenditures",AN580="Other Revenue",AN580="Other Expenditures"),AO580,IF(AND(LEN(AN580)&gt;2,MID(AN580,2,1)=" ",ISNUMBER(VALUE(LEFT(AN580,1)))),AN580,AP579))</f>
        <v/>
      </c>
      <c r="AQ580" s="36" t="n">
        <f aca="false">IF(AND(AN580&lt;&gt;"",ISNUMBER(AL580),LEFT(AN580,9)&lt;&gt;"Total for",AN580&lt;&gt;"Gross Profit",AN580&lt;&gt;"Net Operating Revenue",AN580&lt;&gt;"Net Other Revenue",AN580&lt;&gt;"Net Revenue"),1,0)</f>
        <v>0</v>
      </c>
      <c r="AR580" s="36" t="str">
        <f aca="false">IF(AQ580=1,IF(AND(LEN(AN580)&gt;7,ISNUMBER(VALUE(LEFT(AN580,6))),MID(AN580,7,1)=" "),LEFT(AN580,6),AN580),"")</f>
        <v/>
      </c>
    </row>
    <row r="581" customFormat="false" ht="15" hidden="false" customHeight="false" outlineLevel="0" collapsed="false">
      <c r="D581" s="36" t="str">
        <f aca="false">TRIM(A581)</f>
        <v/>
      </c>
      <c r="E581" s="36" t="str">
        <f aca="false">IF(D581="Revenue","Revenue",IF(D581="Cost of Goods Sold","COGS",IF(D581="Expenditures","Expense",IF(D581="Other Revenue","Other Revenue",IF(D581="Other Expenditures","Other Expense",E580)))))</f>
        <v/>
      </c>
      <c r="F581" s="36" t="str">
        <f aca="false">IF(OR(D581="Revenue",D581="Cost of Goods Sold",D581="Expenditures",D581="Other Revenue",D581="Other Expenditures"),E581,IF(AND(LEN(D581)&gt;2,MID(D581,2,1)=" ",ISNUMBER(VALUE(LEFT(D581,1)))),D581,F580))</f>
        <v/>
      </c>
      <c r="G581" s="36" t="n">
        <f aca="false">IF(AND(D581&lt;&gt;"",ISNUMBER(B581),LEFT(D581,9)&lt;&gt;"Total for",D581&lt;&gt;"Gross Profit",D581&lt;&gt;"Net Operating Revenue",D581&lt;&gt;"Net Other Revenue",D581&lt;&gt;"Net Revenue"),1,0)</f>
        <v>0</v>
      </c>
      <c r="H581" s="36" t="str">
        <f aca="false">IF(G581=1,IF(AND(LEN(D581)&gt;7,ISNUMBER(VALUE(LEFT(D581,6))),MID(D581,7,1)=" "),LEFT(D581,6),D581),"")</f>
        <v/>
      </c>
      <c r="M581" s="36" t="str">
        <f aca="false">TRIM(J581)</f>
        <v/>
      </c>
      <c r="N581" s="36" t="str">
        <f aca="false">IF(M581="Revenue","Revenue",IF(M581="Cost of Goods Sold","COGS",IF(M581="Expenditures","Expense",IF(M581="Other Revenue","Other Revenue",IF(M581="Other Expenditures","Other Expense",N580)))))</f>
        <v/>
      </c>
      <c r="O581" s="36" t="str">
        <f aca="false">IF(OR(M581="Revenue",M581="Cost of Goods Sold",M581="Expenditures",M581="Other Revenue",M581="Other Expenditures"),N581,IF(AND(LEN(M581)&gt;2,MID(M581,2,1)=" ",ISNUMBER(VALUE(LEFT(M581,1)))),M581,O580))</f>
        <v/>
      </c>
      <c r="P581" s="36" t="n">
        <f aca="false">IF(AND(M581&lt;&gt;"",ISNUMBER(K581),LEFT(M581,9)&lt;&gt;"Total for",M581&lt;&gt;"Gross Profit",M581&lt;&gt;"Net Operating Revenue",M581&lt;&gt;"Net Other Revenue",M581&lt;&gt;"Net Revenue"),1,0)</f>
        <v>0</v>
      </c>
      <c r="Q581" s="36" t="str">
        <f aca="false">IF(P581=1,IF(AND(LEN(M581)&gt;7,ISNUMBER(VALUE(LEFT(M581,6))),MID(M581,7,1)=" "),LEFT(M581,6),M581),"")</f>
        <v/>
      </c>
      <c r="V581" s="36" t="str">
        <f aca="false">TRIM(S581)</f>
        <v/>
      </c>
      <c r="W581" s="36" t="str">
        <f aca="false">IF(V581="Revenue","Revenue",IF(V581="Cost of Goods Sold","COGS",IF(V581="Expenditures","Expense",IF(V581="Other Revenue","Other Revenue",IF(V581="Other Expenditures","Other Expense",W580)))))</f>
        <v/>
      </c>
      <c r="X581" s="36" t="str">
        <f aca="false">IF(OR(V581="Revenue",V581="Cost of Goods Sold",V581="Expenditures",V581="Other Revenue",V581="Other Expenditures"),W581,IF(AND(LEN(V581)&gt;2,MID(V581,2,1)=" ",ISNUMBER(VALUE(LEFT(V581,1)))),V581,X580))</f>
        <v/>
      </c>
      <c r="Y581" s="36" t="n">
        <f aca="false">IF(AND(V581&lt;&gt;"",ISNUMBER(T581),LEFT(V581,9)&lt;&gt;"Total for",V581&lt;&gt;"Gross Profit",V581&lt;&gt;"Net Operating Revenue",V581&lt;&gt;"Net Other Revenue",V581&lt;&gt;"Net Revenue"),1,0)</f>
        <v>0</v>
      </c>
      <c r="Z581" s="36" t="str">
        <f aca="false">IF(Y581=1,IF(AND(LEN(V581)&gt;7,ISNUMBER(VALUE(LEFT(V581,6))),MID(V581,7,1)=" "),LEFT(V581,6),V581),"")</f>
        <v/>
      </c>
      <c r="AE581" s="36" t="str">
        <f aca="false">TRIM(AB581)</f>
        <v/>
      </c>
      <c r="AF581" s="36" t="str">
        <f aca="false">IF(AE581="Revenue","Revenue",IF(AE581="Cost of Goods Sold","COGS",IF(AE581="Expenditures","Expense",IF(AE581="Other Revenue","Other Revenue",IF(AE581="Other Expenditures","Other Expense",AF580)))))</f>
        <v/>
      </c>
      <c r="AG581" s="36" t="str">
        <f aca="false">IF(OR(AE581="Revenue",AE581="Cost of Goods Sold",AE581="Expenditures",AE581="Other Revenue",AE581="Other Expenditures"),AF581,IF(AND(LEN(AE581)&gt;2,MID(AE581,2,1)=" ",ISNUMBER(VALUE(LEFT(AE581,1)))),AE581,AG580))</f>
        <v/>
      </c>
      <c r="AH581" s="36" t="n">
        <f aca="false">IF(AND(AE581&lt;&gt;"",ISNUMBER(AC581),LEFT(AE581,9)&lt;&gt;"Total for",AE581&lt;&gt;"Gross Profit",AE581&lt;&gt;"Net Operating Revenue",AE581&lt;&gt;"Net Other Revenue",AE581&lt;&gt;"Net Revenue"),1,0)</f>
        <v>0</v>
      </c>
      <c r="AI581" s="36" t="str">
        <f aca="false">IF(AH581=1,IF(AND(LEN(AE581)&gt;7,ISNUMBER(VALUE(LEFT(AE581,6))),MID(AE581,7,1)=" "),LEFT(AE581,6),AE581),"")</f>
        <v/>
      </c>
      <c r="AN581" s="36" t="str">
        <f aca="false">TRIM(AK581)</f>
        <v/>
      </c>
      <c r="AO581" s="36" t="str">
        <f aca="false">IF(AN581="Revenue","Revenue",IF(AN581="Cost of Goods Sold","COGS",IF(AN581="Expenditures","Expense",IF(AN581="Other Revenue","Other Revenue",IF(AN581="Other Expenditures","Other Expense",AO580)))))</f>
        <v/>
      </c>
      <c r="AP581" s="36" t="str">
        <f aca="false">IF(OR(AN581="Revenue",AN581="Cost of Goods Sold",AN581="Expenditures",AN581="Other Revenue",AN581="Other Expenditures"),AO581,IF(AND(LEN(AN581)&gt;2,MID(AN581,2,1)=" ",ISNUMBER(VALUE(LEFT(AN581,1)))),AN581,AP580))</f>
        <v/>
      </c>
      <c r="AQ581" s="36" t="n">
        <f aca="false">IF(AND(AN581&lt;&gt;"",ISNUMBER(AL581),LEFT(AN581,9)&lt;&gt;"Total for",AN581&lt;&gt;"Gross Profit",AN581&lt;&gt;"Net Operating Revenue",AN581&lt;&gt;"Net Other Revenue",AN581&lt;&gt;"Net Revenue"),1,0)</f>
        <v>0</v>
      </c>
      <c r="AR581" s="36" t="str">
        <f aca="false">IF(AQ581=1,IF(AND(LEN(AN581)&gt;7,ISNUMBER(VALUE(LEFT(AN581,6))),MID(AN581,7,1)=" "),LEFT(AN581,6),AN581),"")</f>
        <v/>
      </c>
    </row>
    <row r="582" customFormat="false" ht="15" hidden="false" customHeight="false" outlineLevel="0" collapsed="false">
      <c r="D582" s="36" t="str">
        <f aca="false">TRIM(A582)</f>
        <v/>
      </c>
      <c r="E582" s="36" t="str">
        <f aca="false">IF(D582="Revenue","Revenue",IF(D582="Cost of Goods Sold","COGS",IF(D582="Expenditures","Expense",IF(D582="Other Revenue","Other Revenue",IF(D582="Other Expenditures","Other Expense",E581)))))</f>
        <v/>
      </c>
      <c r="F582" s="36" t="str">
        <f aca="false">IF(OR(D582="Revenue",D582="Cost of Goods Sold",D582="Expenditures",D582="Other Revenue",D582="Other Expenditures"),E582,IF(AND(LEN(D582)&gt;2,MID(D582,2,1)=" ",ISNUMBER(VALUE(LEFT(D582,1)))),D582,F581))</f>
        <v/>
      </c>
      <c r="G582" s="36" t="n">
        <f aca="false">IF(AND(D582&lt;&gt;"",ISNUMBER(B582),LEFT(D582,9)&lt;&gt;"Total for",D582&lt;&gt;"Gross Profit",D582&lt;&gt;"Net Operating Revenue",D582&lt;&gt;"Net Other Revenue",D582&lt;&gt;"Net Revenue"),1,0)</f>
        <v>0</v>
      </c>
      <c r="H582" s="36" t="str">
        <f aca="false">IF(G582=1,IF(AND(LEN(D582)&gt;7,ISNUMBER(VALUE(LEFT(D582,6))),MID(D582,7,1)=" "),LEFT(D582,6),D582),"")</f>
        <v/>
      </c>
      <c r="M582" s="36" t="str">
        <f aca="false">TRIM(J582)</f>
        <v/>
      </c>
      <c r="N582" s="36" t="str">
        <f aca="false">IF(M582="Revenue","Revenue",IF(M582="Cost of Goods Sold","COGS",IF(M582="Expenditures","Expense",IF(M582="Other Revenue","Other Revenue",IF(M582="Other Expenditures","Other Expense",N581)))))</f>
        <v/>
      </c>
      <c r="O582" s="36" t="str">
        <f aca="false">IF(OR(M582="Revenue",M582="Cost of Goods Sold",M582="Expenditures",M582="Other Revenue",M582="Other Expenditures"),N582,IF(AND(LEN(M582)&gt;2,MID(M582,2,1)=" ",ISNUMBER(VALUE(LEFT(M582,1)))),M582,O581))</f>
        <v/>
      </c>
      <c r="P582" s="36" t="n">
        <f aca="false">IF(AND(M582&lt;&gt;"",ISNUMBER(K582),LEFT(M582,9)&lt;&gt;"Total for",M582&lt;&gt;"Gross Profit",M582&lt;&gt;"Net Operating Revenue",M582&lt;&gt;"Net Other Revenue",M582&lt;&gt;"Net Revenue"),1,0)</f>
        <v>0</v>
      </c>
      <c r="Q582" s="36" t="str">
        <f aca="false">IF(P582=1,IF(AND(LEN(M582)&gt;7,ISNUMBER(VALUE(LEFT(M582,6))),MID(M582,7,1)=" "),LEFT(M582,6),M582),"")</f>
        <v/>
      </c>
      <c r="V582" s="36" t="str">
        <f aca="false">TRIM(S582)</f>
        <v/>
      </c>
      <c r="W582" s="36" t="str">
        <f aca="false">IF(V582="Revenue","Revenue",IF(V582="Cost of Goods Sold","COGS",IF(V582="Expenditures","Expense",IF(V582="Other Revenue","Other Revenue",IF(V582="Other Expenditures","Other Expense",W581)))))</f>
        <v/>
      </c>
      <c r="X582" s="36" t="str">
        <f aca="false">IF(OR(V582="Revenue",V582="Cost of Goods Sold",V582="Expenditures",V582="Other Revenue",V582="Other Expenditures"),W582,IF(AND(LEN(V582)&gt;2,MID(V582,2,1)=" ",ISNUMBER(VALUE(LEFT(V582,1)))),V582,X581))</f>
        <v/>
      </c>
      <c r="Y582" s="36" t="n">
        <f aca="false">IF(AND(V582&lt;&gt;"",ISNUMBER(T582),LEFT(V582,9)&lt;&gt;"Total for",V582&lt;&gt;"Gross Profit",V582&lt;&gt;"Net Operating Revenue",V582&lt;&gt;"Net Other Revenue",V582&lt;&gt;"Net Revenue"),1,0)</f>
        <v>0</v>
      </c>
      <c r="Z582" s="36" t="str">
        <f aca="false">IF(Y582=1,IF(AND(LEN(V582)&gt;7,ISNUMBER(VALUE(LEFT(V582,6))),MID(V582,7,1)=" "),LEFT(V582,6),V582),"")</f>
        <v/>
      </c>
      <c r="AE582" s="36" t="str">
        <f aca="false">TRIM(AB582)</f>
        <v/>
      </c>
      <c r="AF582" s="36" t="str">
        <f aca="false">IF(AE582="Revenue","Revenue",IF(AE582="Cost of Goods Sold","COGS",IF(AE582="Expenditures","Expense",IF(AE582="Other Revenue","Other Revenue",IF(AE582="Other Expenditures","Other Expense",AF581)))))</f>
        <v/>
      </c>
      <c r="AG582" s="36" t="str">
        <f aca="false">IF(OR(AE582="Revenue",AE582="Cost of Goods Sold",AE582="Expenditures",AE582="Other Revenue",AE582="Other Expenditures"),AF582,IF(AND(LEN(AE582)&gt;2,MID(AE582,2,1)=" ",ISNUMBER(VALUE(LEFT(AE582,1)))),AE582,AG581))</f>
        <v/>
      </c>
      <c r="AH582" s="36" t="n">
        <f aca="false">IF(AND(AE582&lt;&gt;"",ISNUMBER(AC582),LEFT(AE582,9)&lt;&gt;"Total for",AE582&lt;&gt;"Gross Profit",AE582&lt;&gt;"Net Operating Revenue",AE582&lt;&gt;"Net Other Revenue",AE582&lt;&gt;"Net Revenue"),1,0)</f>
        <v>0</v>
      </c>
      <c r="AI582" s="36" t="str">
        <f aca="false">IF(AH582=1,IF(AND(LEN(AE582)&gt;7,ISNUMBER(VALUE(LEFT(AE582,6))),MID(AE582,7,1)=" "),LEFT(AE582,6),AE582),"")</f>
        <v/>
      </c>
      <c r="AN582" s="36" t="str">
        <f aca="false">TRIM(AK582)</f>
        <v/>
      </c>
      <c r="AO582" s="36" t="str">
        <f aca="false">IF(AN582="Revenue","Revenue",IF(AN582="Cost of Goods Sold","COGS",IF(AN582="Expenditures","Expense",IF(AN582="Other Revenue","Other Revenue",IF(AN582="Other Expenditures","Other Expense",AO581)))))</f>
        <v/>
      </c>
      <c r="AP582" s="36" t="str">
        <f aca="false">IF(OR(AN582="Revenue",AN582="Cost of Goods Sold",AN582="Expenditures",AN582="Other Revenue",AN582="Other Expenditures"),AO582,IF(AND(LEN(AN582)&gt;2,MID(AN582,2,1)=" ",ISNUMBER(VALUE(LEFT(AN582,1)))),AN582,AP581))</f>
        <v/>
      </c>
      <c r="AQ582" s="36" t="n">
        <f aca="false">IF(AND(AN582&lt;&gt;"",ISNUMBER(AL582),LEFT(AN582,9)&lt;&gt;"Total for",AN582&lt;&gt;"Gross Profit",AN582&lt;&gt;"Net Operating Revenue",AN582&lt;&gt;"Net Other Revenue",AN582&lt;&gt;"Net Revenue"),1,0)</f>
        <v>0</v>
      </c>
      <c r="AR582" s="36" t="str">
        <f aca="false">IF(AQ582=1,IF(AND(LEN(AN582)&gt;7,ISNUMBER(VALUE(LEFT(AN582,6))),MID(AN582,7,1)=" "),LEFT(AN582,6),AN582),"")</f>
        <v/>
      </c>
    </row>
    <row r="583" customFormat="false" ht="15" hidden="false" customHeight="false" outlineLevel="0" collapsed="false">
      <c r="D583" s="36" t="str">
        <f aca="false">TRIM(A583)</f>
        <v/>
      </c>
      <c r="E583" s="36" t="str">
        <f aca="false">IF(D583="Revenue","Revenue",IF(D583="Cost of Goods Sold","COGS",IF(D583="Expenditures","Expense",IF(D583="Other Revenue","Other Revenue",IF(D583="Other Expenditures","Other Expense",E582)))))</f>
        <v/>
      </c>
      <c r="F583" s="36" t="str">
        <f aca="false">IF(OR(D583="Revenue",D583="Cost of Goods Sold",D583="Expenditures",D583="Other Revenue",D583="Other Expenditures"),E583,IF(AND(LEN(D583)&gt;2,MID(D583,2,1)=" ",ISNUMBER(VALUE(LEFT(D583,1)))),D583,F582))</f>
        <v/>
      </c>
      <c r="G583" s="36" t="n">
        <f aca="false">IF(AND(D583&lt;&gt;"",ISNUMBER(B583),LEFT(D583,9)&lt;&gt;"Total for",D583&lt;&gt;"Gross Profit",D583&lt;&gt;"Net Operating Revenue",D583&lt;&gt;"Net Other Revenue",D583&lt;&gt;"Net Revenue"),1,0)</f>
        <v>0</v>
      </c>
      <c r="H583" s="36" t="str">
        <f aca="false">IF(G583=1,IF(AND(LEN(D583)&gt;7,ISNUMBER(VALUE(LEFT(D583,6))),MID(D583,7,1)=" "),LEFT(D583,6),D583),"")</f>
        <v/>
      </c>
      <c r="M583" s="36" t="str">
        <f aca="false">TRIM(J583)</f>
        <v/>
      </c>
      <c r="N583" s="36" t="str">
        <f aca="false">IF(M583="Revenue","Revenue",IF(M583="Cost of Goods Sold","COGS",IF(M583="Expenditures","Expense",IF(M583="Other Revenue","Other Revenue",IF(M583="Other Expenditures","Other Expense",N582)))))</f>
        <v/>
      </c>
      <c r="O583" s="36" t="str">
        <f aca="false">IF(OR(M583="Revenue",M583="Cost of Goods Sold",M583="Expenditures",M583="Other Revenue",M583="Other Expenditures"),N583,IF(AND(LEN(M583)&gt;2,MID(M583,2,1)=" ",ISNUMBER(VALUE(LEFT(M583,1)))),M583,O582))</f>
        <v/>
      </c>
      <c r="P583" s="36" t="n">
        <f aca="false">IF(AND(M583&lt;&gt;"",ISNUMBER(K583),LEFT(M583,9)&lt;&gt;"Total for",M583&lt;&gt;"Gross Profit",M583&lt;&gt;"Net Operating Revenue",M583&lt;&gt;"Net Other Revenue",M583&lt;&gt;"Net Revenue"),1,0)</f>
        <v>0</v>
      </c>
      <c r="Q583" s="36" t="str">
        <f aca="false">IF(P583=1,IF(AND(LEN(M583)&gt;7,ISNUMBER(VALUE(LEFT(M583,6))),MID(M583,7,1)=" "),LEFT(M583,6),M583),"")</f>
        <v/>
      </c>
      <c r="V583" s="36" t="str">
        <f aca="false">TRIM(S583)</f>
        <v/>
      </c>
      <c r="W583" s="36" t="str">
        <f aca="false">IF(V583="Revenue","Revenue",IF(V583="Cost of Goods Sold","COGS",IF(V583="Expenditures","Expense",IF(V583="Other Revenue","Other Revenue",IF(V583="Other Expenditures","Other Expense",W582)))))</f>
        <v/>
      </c>
      <c r="X583" s="36" t="str">
        <f aca="false">IF(OR(V583="Revenue",V583="Cost of Goods Sold",V583="Expenditures",V583="Other Revenue",V583="Other Expenditures"),W583,IF(AND(LEN(V583)&gt;2,MID(V583,2,1)=" ",ISNUMBER(VALUE(LEFT(V583,1)))),V583,X582))</f>
        <v/>
      </c>
      <c r="Y583" s="36" t="n">
        <f aca="false">IF(AND(V583&lt;&gt;"",ISNUMBER(T583),LEFT(V583,9)&lt;&gt;"Total for",V583&lt;&gt;"Gross Profit",V583&lt;&gt;"Net Operating Revenue",V583&lt;&gt;"Net Other Revenue",V583&lt;&gt;"Net Revenue"),1,0)</f>
        <v>0</v>
      </c>
      <c r="Z583" s="36" t="str">
        <f aca="false">IF(Y583=1,IF(AND(LEN(V583)&gt;7,ISNUMBER(VALUE(LEFT(V583,6))),MID(V583,7,1)=" "),LEFT(V583,6),V583),"")</f>
        <v/>
      </c>
      <c r="AE583" s="36" t="str">
        <f aca="false">TRIM(AB583)</f>
        <v/>
      </c>
      <c r="AF583" s="36" t="str">
        <f aca="false">IF(AE583="Revenue","Revenue",IF(AE583="Cost of Goods Sold","COGS",IF(AE583="Expenditures","Expense",IF(AE583="Other Revenue","Other Revenue",IF(AE583="Other Expenditures","Other Expense",AF582)))))</f>
        <v/>
      </c>
      <c r="AG583" s="36" t="str">
        <f aca="false">IF(OR(AE583="Revenue",AE583="Cost of Goods Sold",AE583="Expenditures",AE583="Other Revenue",AE583="Other Expenditures"),AF583,IF(AND(LEN(AE583)&gt;2,MID(AE583,2,1)=" ",ISNUMBER(VALUE(LEFT(AE583,1)))),AE583,AG582))</f>
        <v/>
      </c>
      <c r="AH583" s="36" t="n">
        <f aca="false">IF(AND(AE583&lt;&gt;"",ISNUMBER(AC583),LEFT(AE583,9)&lt;&gt;"Total for",AE583&lt;&gt;"Gross Profit",AE583&lt;&gt;"Net Operating Revenue",AE583&lt;&gt;"Net Other Revenue",AE583&lt;&gt;"Net Revenue"),1,0)</f>
        <v>0</v>
      </c>
      <c r="AI583" s="36" t="str">
        <f aca="false">IF(AH583=1,IF(AND(LEN(AE583)&gt;7,ISNUMBER(VALUE(LEFT(AE583,6))),MID(AE583,7,1)=" "),LEFT(AE583,6),AE583),"")</f>
        <v/>
      </c>
      <c r="AN583" s="36" t="str">
        <f aca="false">TRIM(AK583)</f>
        <v/>
      </c>
      <c r="AO583" s="36" t="str">
        <f aca="false">IF(AN583="Revenue","Revenue",IF(AN583="Cost of Goods Sold","COGS",IF(AN583="Expenditures","Expense",IF(AN583="Other Revenue","Other Revenue",IF(AN583="Other Expenditures","Other Expense",AO582)))))</f>
        <v/>
      </c>
      <c r="AP583" s="36" t="str">
        <f aca="false">IF(OR(AN583="Revenue",AN583="Cost of Goods Sold",AN583="Expenditures",AN583="Other Revenue",AN583="Other Expenditures"),AO583,IF(AND(LEN(AN583)&gt;2,MID(AN583,2,1)=" ",ISNUMBER(VALUE(LEFT(AN583,1)))),AN583,AP582))</f>
        <v/>
      </c>
      <c r="AQ583" s="36" t="n">
        <f aca="false">IF(AND(AN583&lt;&gt;"",ISNUMBER(AL583),LEFT(AN583,9)&lt;&gt;"Total for",AN583&lt;&gt;"Gross Profit",AN583&lt;&gt;"Net Operating Revenue",AN583&lt;&gt;"Net Other Revenue",AN583&lt;&gt;"Net Revenue"),1,0)</f>
        <v>0</v>
      </c>
      <c r="AR583" s="36" t="str">
        <f aca="false">IF(AQ583=1,IF(AND(LEN(AN583)&gt;7,ISNUMBER(VALUE(LEFT(AN583,6))),MID(AN583,7,1)=" "),LEFT(AN583,6),AN583),"")</f>
        <v/>
      </c>
    </row>
    <row r="584" customFormat="false" ht="15" hidden="false" customHeight="false" outlineLevel="0" collapsed="false">
      <c r="D584" s="36" t="str">
        <f aca="false">TRIM(A584)</f>
        <v/>
      </c>
      <c r="E584" s="36" t="str">
        <f aca="false">IF(D584="Revenue","Revenue",IF(D584="Cost of Goods Sold","COGS",IF(D584="Expenditures","Expense",IF(D584="Other Revenue","Other Revenue",IF(D584="Other Expenditures","Other Expense",E583)))))</f>
        <v/>
      </c>
      <c r="F584" s="36" t="str">
        <f aca="false">IF(OR(D584="Revenue",D584="Cost of Goods Sold",D584="Expenditures",D584="Other Revenue",D584="Other Expenditures"),E584,IF(AND(LEN(D584)&gt;2,MID(D584,2,1)=" ",ISNUMBER(VALUE(LEFT(D584,1)))),D584,F583))</f>
        <v/>
      </c>
      <c r="G584" s="36" t="n">
        <f aca="false">IF(AND(D584&lt;&gt;"",ISNUMBER(B584),LEFT(D584,9)&lt;&gt;"Total for",D584&lt;&gt;"Gross Profit",D584&lt;&gt;"Net Operating Revenue",D584&lt;&gt;"Net Other Revenue",D584&lt;&gt;"Net Revenue"),1,0)</f>
        <v>0</v>
      </c>
      <c r="H584" s="36" t="str">
        <f aca="false">IF(G584=1,IF(AND(LEN(D584)&gt;7,ISNUMBER(VALUE(LEFT(D584,6))),MID(D584,7,1)=" "),LEFT(D584,6),D584),"")</f>
        <v/>
      </c>
      <c r="M584" s="36" t="str">
        <f aca="false">TRIM(J584)</f>
        <v/>
      </c>
      <c r="N584" s="36" t="str">
        <f aca="false">IF(M584="Revenue","Revenue",IF(M584="Cost of Goods Sold","COGS",IF(M584="Expenditures","Expense",IF(M584="Other Revenue","Other Revenue",IF(M584="Other Expenditures","Other Expense",N583)))))</f>
        <v/>
      </c>
      <c r="O584" s="36" t="str">
        <f aca="false">IF(OR(M584="Revenue",M584="Cost of Goods Sold",M584="Expenditures",M584="Other Revenue",M584="Other Expenditures"),N584,IF(AND(LEN(M584)&gt;2,MID(M584,2,1)=" ",ISNUMBER(VALUE(LEFT(M584,1)))),M584,O583))</f>
        <v/>
      </c>
      <c r="P584" s="36" t="n">
        <f aca="false">IF(AND(M584&lt;&gt;"",ISNUMBER(K584),LEFT(M584,9)&lt;&gt;"Total for",M584&lt;&gt;"Gross Profit",M584&lt;&gt;"Net Operating Revenue",M584&lt;&gt;"Net Other Revenue",M584&lt;&gt;"Net Revenue"),1,0)</f>
        <v>0</v>
      </c>
      <c r="Q584" s="36" t="str">
        <f aca="false">IF(P584=1,IF(AND(LEN(M584)&gt;7,ISNUMBER(VALUE(LEFT(M584,6))),MID(M584,7,1)=" "),LEFT(M584,6),M584),"")</f>
        <v/>
      </c>
      <c r="V584" s="36" t="str">
        <f aca="false">TRIM(S584)</f>
        <v/>
      </c>
      <c r="W584" s="36" t="str">
        <f aca="false">IF(V584="Revenue","Revenue",IF(V584="Cost of Goods Sold","COGS",IF(V584="Expenditures","Expense",IF(V584="Other Revenue","Other Revenue",IF(V584="Other Expenditures","Other Expense",W583)))))</f>
        <v/>
      </c>
      <c r="X584" s="36" t="str">
        <f aca="false">IF(OR(V584="Revenue",V584="Cost of Goods Sold",V584="Expenditures",V584="Other Revenue",V584="Other Expenditures"),W584,IF(AND(LEN(V584)&gt;2,MID(V584,2,1)=" ",ISNUMBER(VALUE(LEFT(V584,1)))),V584,X583))</f>
        <v/>
      </c>
      <c r="Y584" s="36" t="n">
        <f aca="false">IF(AND(V584&lt;&gt;"",ISNUMBER(T584),LEFT(V584,9)&lt;&gt;"Total for",V584&lt;&gt;"Gross Profit",V584&lt;&gt;"Net Operating Revenue",V584&lt;&gt;"Net Other Revenue",V584&lt;&gt;"Net Revenue"),1,0)</f>
        <v>0</v>
      </c>
      <c r="Z584" s="36" t="str">
        <f aca="false">IF(Y584=1,IF(AND(LEN(V584)&gt;7,ISNUMBER(VALUE(LEFT(V584,6))),MID(V584,7,1)=" "),LEFT(V584,6),V584),"")</f>
        <v/>
      </c>
      <c r="AE584" s="36" t="str">
        <f aca="false">TRIM(AB584)</f>
        <v/>
      </c>
      <c r="AF584" s="36" t="str">
        <f aca="false">IF(AE584="Revenue","Revenue",IF(AE584="Cost of Goods Sold","COGS",IF(AE584="Expenditures","Expense",IF(AE584="Other Revenue","Other Revenue",IF(AE584="Other Expenditures","Other Expense",AF583)))))</f>
        <v/>
      </c>
      <c r="AG584" s="36" t="str">
        <f aca="false">IF(OR(AE584="Revenue",AE584="Cost of Goods Sold",AE584="Expenditures",AE584="Other Revenue",AE584="Other Expenditures"),AF584,IF(AND(LEN(AE584)&gt;2,MID(AE584,2,1)=" ",ISNUMBER(VALUE(LEFT(AE584,1)))),AE584,AG583))</f>
        <v/>
      </c>
      <c r="AH584" s="36" t="n">
        <f aca="false">IF(AND(AE584&lt;&gt;"",ISNUMBER(AC584),LEFT(AE584,9)&lt;&gt;"Total for",AE584&lt;&gt;"Gross Profit",AE584&lt;&gt;"Net Operating Revenue",AE584&lt;&gt;"Net Other Revenue",AE584&lt;&gt;"Net Revenue"),1,0)</f>
        <v>0</v>
      </c>
      <c r="AI584" s="36" t="str">
        <f aca="false">IF(AH584=1,IF(AND(LEN(AE584)&gt;7,ISNUMBER(VALUE(LEFT(AE584,6))),MID(AE584,7,1)=" "),LEFT(AE584,6),AE584),"")</f>
        <v/>
      </c>
      <c r="AN584" s="36" t="str">
        <f aca="false">TRIM(AK584)</f>
        <v/>
      </c>
      <c r="AO584" s="36" t="str">
        <f aca="false">IF(AN584="Revenue","Revenue",IF(AN584="Cost of Goods Sold","COGS",IF(AN584="Expenditures","Expense",IF(AN584="Other Revenue","Other Revenue",IF(AN584="Other Expenditures","Other Expense",AO583)))))</f>
        <v/>
      </c>
      <c r="AP584" s="36" t="str">
        <f aca="false">IF(OR(AN584="Revenue",AN584="Cost of Goods Sold",AN584="Expenditures",AN584="Other Revenue",AN584="Other Expenditures"),AO584,IF(AND(LEN(AN584)&gt;2,MID(AN584,2,1)=" ",ISNUMBER(VALUE(LEFT(AN584,1)))),AN584,AP583))</f>
        <v/>
      </c>
      <c r="AQ584" s="36" t="n">
        <f aca="false">IF(AND(AN584&lt;&gt;"",ISNUMBER(AL584),LEFT(AN584,9)&lt;&gt;"Total for",AN584&lt;&gt;"Gross Profit",AN584&lt;&gt;"Net Operating Revenue",AN584&lt;&gt;"Net Other Revenue",AN584&lt;&gt;"Net Revenue"),1,0)</f>
        <v>0</v>
      </c>
      <c r="AR584" s="36" t="str">
        <f aca="false">IF(AQ584=1,IF(AND(LEN(AN584)&gt;7,ISNUMBER(VALUE(LEFT(AN584,6))),MID(AN584,7,1)=" "),LEFT(AN584,6),AN584),"")</f>
        <v/>
      </c>
    </row>
    <row r="585" customFormat="false" ht="15" hidden="false" customHeight="false" outlineLevel="0" collapsed="false">
      <c r="D585" s="36" t="str">
        <f aca="false">TRIM(A585)</f>
        <v/>
      </c>
      <c r="E585" s="36" t="str">
        <f aca="false">IF(D585="Revenue","Revenue",IF(D585="Cost of Goods Sold","COGS",IF(D585="Expenditures","Expense",IF(D585="Other Revenue","Other Revenue",IF(D585="Other Expenditures","Other Expense",E584)))))</f>
        <v/>
      </c>
      <c r="F585" s="36" t="str">
        <f aca="false">IF(OR(D585="Revenue",D585="Cost of Goods Sold",D585="Expenditures",D585="Other Revenue",D585="Other Expenditures"),E585,IF(AND(LEN(D585)&gt;2,MID(D585,2,1)=" ",ISNUMBER(VALUE(LEFT(D585,1)))),D585,F584))</f>
        <v/>
      </c>
      <c r="G585" s="36" t="n">
        <f aca="false">IF(AND(D585&lt;&gt;"",ISNUMBER(B585),LEFT(D585,9)&lt;&gt;"Total for",D585&lt;&gt;"Gross Profit",D585&lt;&gt;"Net Operating Revenue",D585&lt;&gt;"Net Other Revenue",D585&lt;&gt;"Net Revenue"),1,0)</f>
        <v>0</v>
      </c>
      <c r="H585" s="36" t="str">
        <f aca="false">IF(G585=1,IF(AND(LEN(D585)&gt;7,ISNUMBER(VALUE(LEFT(D585,6))),MID(D585,7,1)=" "),LEFT(D585,6),D585),"")</f>
        <v/>
      </c>
      <c r="M585" s="36" t="str">
        <f aca="false">TRIM(J585)</f>
        <v/>
      </c>
      <c r="N585" s="36" t="str">
        <f aca="false">IF(M585="Revenue","Revenue",IF(M585="Cost of Goods Sold","COGS",IF(M585="Expenditures","Expense",IF(M585="Other Revenue","Other Revenue",IF(M585="Other Expenditures","Other Expense",N584)))))</f>
        <v/>
      </c>
      <c r="O585" s="36" t="str">
        <f aca="false">IF(OR(M585="Revenue",M585="Cost of Goods Sold",M585="Expenditures",M585="Other Revenue",M585="Other Expenditures"),N585,IF(AND(LEN(M585)&gt;2,MID(M585,2,1)=" ",ISNUMBER(VALUE(LEFT(M585,1)))),M585,O584))</f>
        <v/>
      </c>
      <c r="P585" s="36" t="n">
        <f aca="false">IF(AND(M585&lt;&gt;"",ISNUMBER(K585),LEFT(M585,9)&lt;&gt;"Total for",M585&lt;&gt;"Gross Profit",M585&lt;&gt;"Net Operating Revenue",M585&lt;&gt;"Net Other Revenue",M585&lt;&gt;"Net Revenue"),1,0)</f>
        <v>0</v>
      </c>
      <c r="Q585" s="36" t="str">
        <f aca="false">IF(P585=1,IF(AND(LEN(M585)&gt;7,ISNUMBER(VALUE(LEFT(M585,6))),MID(M585,7,1)=" "),LEFT(M585,6),M585),"")</f>
        <v/>
      </c>
      <c r="V585" s="36" t="str">
        <f aca="false">TRIM(S585)</f>
        <v/>
      </c>
      <c r="W585" s="36" t="str">
        <f aca="false">IF(V585="Revenue","Revenue",IF(V585="Cost of Goods Sold","COGS",IF(V585="Expenditures","Expense",IF(V585="Other Revenue","Other Revenue",IF(V585="Other Expenditures","Other Expense",W584)))))</f>
        <v/>
      </c>
      <c r="X585" s="36" t="str">
        <f aca="false">IF(OR(V585="Revenue",V585="Cost of Goods Sold",V585="Expenditures",V585="Other Revenue",V585="Other Expenditures"),W585,IF(AND(LEN(V585)&gt;2,MID(V585,2,1)=" ",ISNUMBER(VALUE(LEFT(V585,1)))),V585,X584))</f>
        <v/>
      </c>
      <c r="Y585" s="36" t="n">
        <f aca="false">IF(AND(V585&lt;&gt;"",ISNUMBER(T585),LEFT(V585,9)&lt;&gt;"Total for",V585&lt;&gt;"Gross Profit",V585&lt;&gt;"Net Operating Revenue",V585&lt;&gt;"Net Other Revenue",V585&lt;&gt;"Net Revenue"),1,0)</f>
        <v>0</v>
      </c>
      <c r="Z585" s="36" t="str">
        <f aca="false">IF(Y585=1,IF(AND(LEN(V585)&gt;7,ISNUMBER(VALUE(LEFT(V585,6))),MID(V585,7,1)=" "),LEFT(V585,6),V585),"")</f>
        <v/>
      </c>
      <c r="AE585" s="36" t="str">
        <f aca="false">TRIM(AB585)</f>
        <v/>
      </c>
      <c r="AF585" s="36" t="str">
        <f aca="false">IF(AE585="Revenue","Revenue",IF(AE585="Cost of Goods Sold","COGS",IF(AE585="Expenditures","Expense",IF(AE585="Other Revenue","Other Revenue",IF(AE585="Other Expenditures","Other Expense",AF584)))))</f>
        <v/>
      </c>
      <c r="AG585" s="36" t="str">
        <f aca="false">IF(OR(AE585="Revenue",AE585="Cost of Goods Sold",AE585="Expenditures",AE585="Other Revenue",AE585="Other Expenditures"),AF585,IF(AND(LEN(AE585)&gt;2,MID(AE585,2,1)=" ",ISNUMBER(VALUE(LEFT(AE585,1)))),AE585,AG584))</f>
        <v/>
      </c>
      <c r="AH585" s="36" t="n">
        <f aca="false">IF(AND(AE585&lt;&gt;"",ISNUMBER(AC585),LEFT(AE585,9)&lt;&gt;"Total for",AE585&lt;&gt;"Gross Profit",AE585&lt;&gt;"Net Operating Revenue",AE585&lt;&gt;"Net Other Revenue",AE585&lt;&gt;"Net Revenue"),1,0)</f>
        <v>0</v>
      </c>
      <c r="AI585" s="36" t="str">
        <f aca="false">IF(AH585=1,IF(AND(LEN(AE585)&gt;7,ISNUMBER(VALUE(LEFT(AE585,6))),MID(AE585,7,1)=" "),LEFT(AE585,6),AE585),"")</f>
        <v/>
      </c>
      <c r="AN585" s="36" t="str">
        <f aca="false">TRIM(AK585)</f>
        <v/>
      </c>
      <c r="AO585" s="36" t="str">
        <f aca="false">IF(AN585="Revenue","Revenue",IF(AN585="Cost of Goods Sold","COGS",IF(AN585="Expenditures","Expense",IF(AN585="Other Revenue","Other Revenue",IF(AN585="Other Expenditures","Other Expense",AO584)))))</f>
        <v/>
      </c>
      <c r="AP585" s="36" t="str">
        <f aca="false">IF(OR(AN585="Revenue",AN585="Cost of Goods Sold",AN585="Expenditures",AN585="Other Revenue",AN585="Other Expenditures"),AO585,IF(AND(LEN(AN585)&gt;2,MID(AN585,2,1)=" ",ISNUMBER(VALUE(LEFT(AN585,1)))),AN585,AP584))</f>
        <v/>
      </c>
      <c r="AQ585" s="36" t="n">
        <f aca="false">IF(AND(AN585&lt;&gt;"",ISNUMBER(AL585),LEFT(AN585,9)&lt;&gt;"Total for",AN585&lt;&gt;"Gross Profit",AN585&lt;&gt;"Net Operating Revenue",AN585&lt;&gt;"Net Other Revenue",AN585&lt;&gt;"Net Revenue"),1,0)</f>
        <v>0</v>
      </c>
      <c r="AR585" s="36" t="str">
        <f aca="false">IF(AQ585=1,IF(AND(LEN(AN585)&gt;7,ISNUMBER(VALUE(LEFT(AN585,6))),MID(AN585,7,1)=" "),LEFT(AN585,6),AN585),"")</f>
        <v/>
      </c>
    </row>
    <row r="586" customFormat="false" ht="15" hidden="false" customHeight="false" outlineLevel="0" collapsed="false">
      <c r="D586" s="36" t="str">
        <f aca="false">TRIM(A586)</f>
        <v/>
      </c>
      <c r="E586" s="36" t="str">
        <f aca="false">IF(D586="Revenue","Revenue",IF(D586="Cost of Goods Sold","COGS",IF(D586="Expenditures","Expense",IF(D586="Other Revenue","Other Revenue",IF(D586="Other Expenditures","Other Expense",E585)))))</f>
        <v/>
      </c>
      <c r="F586" s="36" t="str">
        <f aca="false">IF(OR(D586="Revenue",D586="Cost of Goods Sold",D586="Expenditures",D586="Other Revenue",D586="Other Expenditures"),E586,IF(AND(LEN(D586)&gt;2,MID(D586,2,1)=" ",ISNUMBER(VALUE(LEFT(D586,1)))),D586,F585))</f>
        <v/>
      </c>
      <c r="G586" s="36" t="n">
        <f aca="false">IF(AND(D586&lt;&gt;"",ISNUMBER(B586),LEFT(D586,9)&lt;&gt;"Total for",D586&lt;&gt;"Gross Profit",D586&lt;&gt;"Net Operating Revenue",D586&lt;&gt;"Net Other Revenue",D586&lt;&gt;"Net Revenue"),1,0)</f>
        <v>0</v>
      </c>
      <c r="H586" s="36" t="str">
        <f aca="false">IF(G586=1,IF(AND(LEN(D586)&gt;7,ISNUMBER(VALUE(LEFT(D586,6))),MID(D586,7,1)=" "),LEFT(D586,6),D586),"")</f>
        <v/>
      </c>
      <c r="M586" s="36" t="str">
        <f aca="false">TRIM(J586)</f>
        <v/>
      </c>
      <c r="N586" s="36" t="str">
        <f aca="false">IF(M586="Revenue","Revenue",IF(M586="Cost of Goods Sold","COGS",IF(M586="Expenditures","Expense",IF(M586="Other Revenue","Other Revenue",IF(M586="Other Expenditures","Other Expense",N585)))))</f>
        <v/>
      </c>
      <c r="O586" s="36" t="str">
        <f aca="false">IF(OR(M586="Revenue",M586="Cost of Goods Sold",M586="Expenditures",M586="Other Revenue",M586="Other Expenditures"),N586,IF(AND(LEN(M586)&gt;2,MID(M586,2,1)=" ",ISNUMBER(VALUE(LEFT(M586,1)))),M586,O585))</f>
        <v/>
      </c>
      <c r="P586" s="36" t="n">
        <f aca="false">IF(AND(M586&lt;&gt;"",ISNUMBER(K586),LEFT(M586,9)&lt;&gt;"Total for",M586&lt;&gt;"Gross Profit",M586&lt;&gt;"Net Operating Revenue",M586&lt;&gt;"Net Other Revenue",M586&lt;&gt;"Net Revenue"),1,0)</f>
        <v>0</v>
      </c>
      <c r="Q586" s="36" t="str">
        <f aca="false">IF(P586=1,IF(AND(LEN(M586)&gt;7,ISNUMBER(VALUE(LEFT(M586,6))),MID(M586,7,1)=" "),LEFT(M586,6),M586),"")</f>
        <v/>
      </c>
      <c r="V586" s="36" t="str">
        <f aca="false">TRIM(S586)</f>
        <v/>
      </c>
      <c r="W586" s="36" t="str">
        <f aca="false">IF(V586="Revenue","Revenue",IF(V586="Cost of Goods Sold","COGS",IF(V586="Expenditures","Expense",IF(V586="Other Revenue","Other Revenue",IF(V586="Other Expenditures","Other Expense",W585)))))</f>
        <v/>
      </c>
      <c r="X586" s="36" t="str">
        <f aca="false">IF(OR(V586="Revenue",V586="Cost of Goods Sold",V586="Expenditures",V586="Other Revenue",V586="Other Expenditures"),W586,IF(AND(LEN(V586)&gt;2,MID(V586,2,1)=" ",ISNUMBER(VALUE(LEFT(V586,1)))),V586,X585))</f>
        <v/>
      </c>
      <c r="Y586" s="36" t="n">
        <f aca="false">IF(AND(V586&lt;&gt;"",ISNUMBER(T586),LEFT(V586,9)&lt;&gt;"Total for",V586&lt;&gt;"Gross Profit",V586&lt;&gt;"Net Operating Revenue",V586&lt;&gt;"Net Other Revenue",V586&lt;&gt;"Net Revenue"),1,0)</f>
        <v>0</v>
      </c>
      <c r="Z586" s="36" t="str">
        <f aca="false">IF(Y586=1,IF(AND(LEN(V586)&gt;7,ISNUMBER(VALUE(LEFT(V586,6))),MID(V586,7,1)=" "),LEFT(V586,6),V586),"")</f>
        <v/>
      </c>
      <c r="AE586" s="36" t="str">
        <f aca="false">TRIM(AB586)</f>
        <v/>
      </c>
      <c r="AF586" s="36" t="str">
        <f aca="false">IF(AE586="Revenue","Revenue",IF(AE586="Cost of Goods Sold","COGS",IF(AE586="Expenditures","Expense",IF(AE586="Other Revenue","Other Revenue",IF(AE586="Other Expenditures","Other Expense",AF585)))))</f>
        <v/>
      </c>
      <c r="AG586" s="36" t="str">
        <f aca="false">IF(OR(AE586="Revenue",AE586="Cost of Goods Sold",AE586="Expenditures",AE586="Other Revenue",AE586="Other Expenditures"),AF586,IF(AND(LEN(AE586)&gt;2,MID(AE586,2,1)=" ",ISNUMBER(VALUE(LEFT(AE586,1)))),AE586,AG585))</f>
        <v/>
      </c>
      <c r="AH586" s="36" t="n">
        <f aca="false">IF(AND(AE586&lt;&gt;"",ISNUMBER(AC586),LEFT(AE586,9)&lt;&gt;"Total for",AE586&lt;&gt;"Gross Profit",AE586&lt;&gt;"Net Operating Revenue",AE586&lt;&gt;"Net Other Revenue",AE586&lt;&gt;"Net Revenue"),1,0)</f>
        <v>0</v>
      </c>
      <c r="AI586" s="36" t="str">
        <f aca="false">IF(AH586=1,IF(AND(LEN(AE586)&gt;7,ISNUMBER(VALUE(LEFT(AE586,6))),MID(AE586,7,1)=" "),LEFT(AE586,6),AE586),"")</f>
        <v/>
      </c>
      <c r="AN586" s="36" t="str">
        <f aca="false">TRIM(AK586)</f>
        <v/>
      </c>
      <c r="AO586" s="36" t="str">
        <f aca="false">IF(AN586="Revenue","Revenue",IF(AN586="Cost of Goods Sold","COGS",IF(AN586="Expenditures","Expense",IF(AN586="Other Revenue","Other Revenue",IF(AN586="Other Expenditures","Other Expense",AO585)))))</f>
        <v/>
      </c>
      <c r="AP586" s="36" t="str">
        <f aca="false">IF(OR(AN586="Revenue",AN586="Cost of Goods Sold",AN586="Expenditures",AN586="Other Revenue",AN586="Other Expenditures"),AO586,IF(AND(LEN(AN586)&gt;2,MID(AN586,2,1)=" ",ISNUMBER(VALUE(LEFT(AN586,1)))),AN586,AP585))</f>
        <v/>
      </c>
      <c r="AQ586" s="36" t="n">
        <f aca="false">IF(AND(AN586&lt;&gt;"",ISNUMBER(AL586),LEFT(AN586,9)&lt;&gt;"Total for",AN586&lt;&gt;"Gross Profit",AN586&lt;&gt;"Net Operating Revenue",AN586&lt;&gt;"Net Other Revenue",AN586&lt;&gt;"Net Revenue"),1,0)</f>
        <v>0</v>
      </c>
      <c r="AR586" s="36" t="str">
        <f aca="false">IF(AQ586=1,IF(AND(LEN(AN586)&gt;7,ISNUMBER(VALUE(LEFT(AN586,6))),MID(AN586,7,1)=" "),LEFT(AN586,6),AN586),"")</f>
        <v/>
      </c>
    </row>
    <row r="587" customFormat="false" ht="15" hidden="false" customHeight="false" outlineLevel="0" collapsed="false">
      <c r="D587" s="36" t="str">
        <f aca="false">TRIM(A587)</f>
        <v/>
      </c>
      <c r="E587" s="36" t="str">
        <f aca="false">IF(D587="Revenue","Revenue",IF(D587="Cost of Goods Sold","COGS",IF(D587="Expenditures","Expense",IF(D587="Other Revenue","Other Revenue",IF(D587="Other Expenditures","Other Expense",E586)))))</f>
        <v/>
      </c>
      <c r="F587" s="36" t="str">
        <f aca="false">IF(OR(D587="Revenue",D587="Cost of Goods Sold",D587="Expenditures",D587="Other Revenue",D587="Other Expenditures"),E587,IF(AND(LEN(D587)&gt;2,MID(D587,2,1)=" ",ISNUMBER(VALUE(LEFT(D587,1)))),D587,F586))</f>
        <v/>
      </c>
      <c r="G587" s="36" t="n">
        <f aca="false">IF(AND(D587&lt;&gt;"",ISNUMBER(B587),LEFT(D587,9)&lt;&gt;"Total for",D587&lt;&gt;"Gross Profit",D587&lt;&gt;"Net Operating Revenue",D587&lt;&gt;"Net Other Revenue",D587&lt;&gt;"Net Revenue"),1,0)</f>
        <v>0</v>
      </c>
      <c r="H587" s="36" t="str">
        <f aca="false">IF(G587=1,IF(AND(LEN(D587)&gt;7,ISNUMBER(VALUE(LEFT(D587,6))),MID(D587,7,1)=" "),LEFT(D587,6),D587),"")</f>
        <v/>
      </c>
      <c r="M587" s="36" t="str">
        <f aca="false">TRIM(J587)</f>
        <v/>
      </c>
      <c r="N587" s="36" t="str">
        <f aca="false">IF(M587="Revenue","Revenue",IF(M587="Cost of Goods Sold","COGS",IF(M587="Expenditures","Expense",IF(M587="Other Revenue","Other Revenue",IF(M587="Other Expenditures","Other Expense",N586)))))</f>
        <v/>
      </c>
      <c r="O587" s="36" t="str">
        <f aca="false">IF(OR(M587="Revenue",M587="Cost of Goods Sold",M587="Expenditures",M587="Other Revenue",M587="Other Expenditures"),N587,IF(AND(LEN(M587)&gt;2,MID(M587,2,1)=" ",ISNUMBER(VALUE(LEFT(M587,1)))),M587,O586))</f>
        <v/>
      </c>
      <c r="P587" s="36" t="n">
        <f aca="false">IF(AND(M587&lt;&gt;"",ISNUMBER(K587),LEFT(M587,9)&lt;&gt;"Total for",M587&lt;&gt;"Gross Profit",M587&lt;&gt;"Net Operating Revenue",M587&lt;&gt;"Net Other Revenue",M587&lt;&gt;"Net Revenue"),1,0)</f>
        <v>0</v>
      </c>
      <c r="Q587" s="36" t="str">
        <f aca="false">IF(P587=1,IF(AND(LEN(M587)&gt;7,ISNUMBER(VALUE(LEFT(M587,6))),MID(M587,7,1)=" "),LEFT(M587,6),M587),"")</f>
        <v/>
      </c>
      <c r="V587" s="36" t="str">
        <f aca="false">TRIM(S587)</f>
        <v/>
      </c>
      <c r="W587" s="36" t="str">
        <f aca="false">IF(V587="Revenue","Revenue",IF(V587="Cost of Goods Sold","COGS",IF(V587="Expenditures","Expense",IF(V587="Other Revenue","Other Revenue",IF(V587="Other Expenditures","Other Expense",W586)))))</f>
        <v/>
      </c>
      <c r="X587" s="36" t="str">
        <f aca="false">IF(OR(V587="Revenue",V587="Cost of Goods Sold",V587="Expenditures",V587="Other Revenue",V587="Other Expenditures"),W587,IF(AND(LEN(V587)&gt;2,MID(V587,2,1)=" ",ISNUMBER(VALUE(LEFT(V587,1)))),V587,X586))</f>
        <v/>
      </c>
      <c r="Y587" s="36" t="n">
        <f aca="false">IF(AND(V587&lt;&gt;"",ISNUMBER(T587),LEFT(V587,9)&lt;&gt;"Total for",V587&lt;&gt;"Gross Profit",V587&lt;&gt;"Net Operating Revenue",V587&lt;&gt;"Net Other Revenue",V587&lt;&gt;"Net Revenue"),1,0)</f>
        <v>0</v>
      </c>
      <c r="Z587" s="36" t="str">
        <f aca="false">IF(Y587=1,IF(AND(LEN(V587)&gt;7,ISNUMBER(VALUE(LEFT(V587,6))),MID(V587,7,1)=" "),LEFT(V587,6),V587),"")</f>
        <v/>
      </c>
      <c r="AE587" s="36" t="str">
        <f aca="false">TRIM(AB587)</f>
        <v/>
      </c>
      <c r="AF587" s="36" t="str">
        <f aca="false">IF(AE587="Revenue","Revenue",IF(AE587="Cost of Goods Sold","COGS",IF(AE587="Expenditures","Expense",IF(AE587="Other Revenue","Other Revenue",IF(AE587="Other Expenditures","Other Expense",AF586)))))</f>
        <v/>
      </c>
      <c r="AG587" s="36" t="str">
        <f aca="false">IF(OR(AE587="Revenue",AE587="Cost of Goods Sold",AE587="Expenditures",AE587="Other Revenue",AE587="Other Expenditures"),AF587,IF(AND(LEN(AE587)&gt;2,MID(AE587,2,1)=" ",ISNUMBER(VALUE(LEFT(AE587,1)))),AE587,AG586))</f>
        <v/>
      </c>
      <c r="AH587" s="36" t="n">
        <f aca="false">IF(AND(AE587&lt;&gt;"",ISNUMBER(AC587),LEFT(AE587,9)&lt;&gt;"Total for",AE587&lt;&gt;"Gross Profit",AE587&lt;&gt;"Net Operating Revenue",AE587&lt;&gt;"Net Other Revenue",AE587&lt;&gt;"Net Revenue"),1,0)</f>
        <v>0</v>
      </c>
      <c r="AI587" s="36" t="str">
        <f aca="false">IF(AH587=1,IF(AND(LEN(AE587)&gt;7,ISNUMBER(VALUE(LEFT(AE587,6))),MID(AE587,7,1)=" "),LEFT(AE587,6),AE587),"")</f>
        <v/>
      </c>
      <c r="AN587" s="36" t="str">
        <f aca="false">TRIM(AK587)</f>
        <v/>
      </c>
      <c r="AO587" s="36" t="str">
        <f aca="false">IF(AN587="Revenue","Revenue",IF(AN587="Cost of Goods Sold","COGS",IF(AN587="Expenditures","Expense",IF(AN587="Other Revenue","Other Revenue",IF(AN587="Other Expenditures","Other Expense",AO586)))))</f>
        <v/>
      </c>
      <c r="AP587" s="36" t="str">
        <f aca="false">IF(OR(AN587="Revenue",AN587="Cost of Goods Sold",AN587="Expenditures",AN587="Other Revenue",AN587="Other Expenditures"),AO587,IF(AND(LEN(AN587)&gt;2,MID(AN587,2,1)=" ",ISNUMBER(VALUE(LEFT(AN587,1)))),AN587,AP586))</f>
        <v/>
      </c>
      <c r="AQ587" s="36" t="n">
        <f aca="false">IF(AND(AN587&lt;&gt;"",ISNUMBER(AL587),LEFT(AN587,9)&lt;&gt;"Total for",AN587&lt;&gt;"Gross Profit",AN587&lt;&gt;"Net Operating Revenue",AN587&lt;&gt;"Net Other Revenue",AN587&lt;&gt;"Net Revenue"),1,0)</f>
        <v>0</v>
      </c>
      <c r="AR587" s="36" t="str">
        <f aca="false">IF(AQ587=1,IF(AND(LEN(AN587)&gt;7,ISNUMBER(VALUE(LEFT(AN587,6))),MID(AN587,7,1)=" "),LEFT(AN587,6),AN587),"")</f>
        <v/>
      </c>
    </row>
    <row r="588" customFormat="false" ht="15" hidden="false" customHeight="false" outlineLevel="0" collapsed="false">
      <c r="D588" s="36" t="str">
        <f aca="false">TRIM(A588)</f>
        <v/>
      </c>
      <c r="E588" s="36" t="str">
        <f aca="false">IF(D588="Revenue","Revenue",IF(D588="Cost of Goods Sold","COGS",IF(D588="Expenditures","Expense",IF(D588="Other Revenue","Other Revenue",IF(D588="Other Expenditures","Other Expense",E587)))))</f>
        <v/>
      </c>
      <c r="F588" s="36" t="str">
        <f aca="false">IF(OR(D588="Revenue",D588="Cost of Goods Sold",D588="Expenditures",D588="Other Revenue",D588="Other Expenditures"),E588,IF(AND(LEN(D588)&gt;2,MID(D588,2,1)=" ",ISNUMBER(VALUE(LEFT(D588,1)))),D588,F587))</f>
        <v/>
      </c>
      <c r="G588" s="36" t="n">
        <f aca="false">IF(AND(D588&lt;&gt;"",ISNUMBER(B588),LEFT(D588,9)&lt;&gt;"Total for",D588&lt;&gt;"Gross Profit",D588&lt;&gt;"Net Operating Revenue",D588&lt;&gt;"Net Other Revenue",D588&lt;&gt;"Net Revenue"),1,0)</f>
        <v>0</v>
      </c>
      <c r="H588" s="36" t="str">
        <f aca="false">IF(G588=1,IF(AND(LEN(D588)&gt;7,ISNUMBER(VALUE(LEFT(D588,6))),MID(D588,7,1)=" "),LEFT(D588,6),D588),"")</f>
        <v/>
      </c>
      <c r="M588" s="36" t="str">
        <f aca="false">TRIM(J588)</f>
        <v/>
      </c>
      <c r="N588" s="36" t="str">
        <f aca="false">IF(M588="Revenue","Revenue",IF(M588="Cost of Goods Sold","COGS",IF(M588="Expenditures","Expense",IF(M588="Other Revenue","Other Revenue",IF(M588="Other Expenditures","Other Expense",N587)))))</f>
        <v/>
      </c>
      <c r="O588" s="36" t="str">
        <f aca="false">IF(OR(M588="Revenue",M588="Cost of Goods Sold",M588="Expenditures",M588="Other Revenue",M588="Other Expenditures"),N588,IF(AND(LEN(M588)&gt;2,MID(M588,2,1)=" ",ISNUMBER(VALUE(LEFT(M588,1)))),M588,O587))</f>
        <v/>
      </c>
      <c r="P588" s="36" t="n">
        <f aca="false">IF(AND(M588&lt;&gt;"",ISNUMBER(K588),LEFT(M588,9)&lt;&gt;"Total for",M588&lt;&gt;"Gross Profit",M588&lt;&gt;"Net Operating Revenue",M588&lt;&gt;"Net Other Revenue",M588&lt;&gt;"Net Revenue"),1,0)</f>
        <v>0</v>
      </c>
      <c r="Q588" s="36" t="str">
        <f aca="false">IF(P588=1,IF(AND(LEN(M588)&gt;7,ISNUMBER(VALUE(LEFT(M588,6))),MID(M588,7,1)=" "),LEFT(M588,6),M588),"")</f>
        <v/>
      </c>
      <c r="V588" s="36" t="str">
        <f aca="false">TRIM(S588)</f>
        <v/>
      </c>
      <c r="W588" s="36" t="str">
        <f aca="false">IF(V588="Revenue","Revenue",IF(V588="Cost of Goods Sold","COGS",IF(V588="Expenditures","Expense",IF(V588="Other Revenue","Other Revenue",IF(V588="Other Expenditures","Other Expense",W587)))))</f>
        <v/>
      </c>
      <c r="X588" s="36" t="str">
        <f aca="false">IF(OR(V588="Revenue",V588="Cost of Goods Sold",V588="Expenditures",V588="Other Revenue",V588="Other Expenditures"),W588,IF(AND(LEN(V588)&gt;2,MID(V588,2,1)=" ",ISNUMBER(VALUE(LEFT(V588,1)))),V588,X587))</f>
        <v/>
      </c>
      <c r="Y588" s="36" t="n">
        <f aca="false">IF(AND(V588&lt;&gt;"",ISNUMBER(T588),LEFT(V588,9)&lt;&gt;"Total for",V588&lt;&gt;"Gross Profit",V588&lt;&gt;"Net Operating Revenue",V588&lt;&gt;"Net Other Revenue",V588&lt;&gt;"Net Revenue"),1,0)</f>
        <v>0</v>
      </c>
      <c r="Z588" s="36" t="str">
        <f aca="false">IF(Y588=1,IF(AND(LEN(V588)&gt;7,ISNUMBER(VALUE(LEFT(V588,6))),MID(V588,7,1)=" "),LEFT(V588,6),V588),"")</f>
        <v/>
      </c>
      <c r="AE588" s="36" t="str">
        <f aca="false">TRIM(AB588)</f>
        <v/>
      </c>
      <c r="AF588" s="36" t="str">
        <f aca="false">IF(AE588="Revenue","Revenue",IF(AE588="Cost of Goods Sold","COGS",IF(AE588="Expenditures","Expense",IF(AE588="Other Revenue","Other Revenue",IF(AE588="Other Expenditures","Other Expense",AF587)))))</f>
        <v/>
      </c>
      <c r="AG588" s="36" t="str">
        <f aca="false">IF(OR(AE588="Revenue",AE588="Cost of Goods Sold",AE588="Expenditures",AE588="Other Revenue",AE588="Other Expenditures"),AF588,IF(AND(LEN(AE588)&gt;2,MID(AE588,2,1)=" ",ISNUMBER(VALUE(LEFT(AE588,1)))),AE588,AG587))</f>
        <v/>
      </c>
      <c r="AH588" s="36" t="n">
        <f aca="false">IF(AND(AE588&lt;&gt;"",ISNUMBER(AC588),LEFT(AE588,9)&lt;&gt;"Total for",AE588&lt;&gt;"Gross Profit",AE588&lt;&gt;"Net Operating Revenue",AE588&lt;&gt;"Net Other Revenue",AE588&lt;&gt;"Net Revenue"),1,0)</f>
        <v>0</v>
      </c>
      <c r="AI588" s="36" t="str">
        <f aca="false">IF(AH588=1,IF(AND(LEN(AE588)&gt;7,ISNUMBER(VALUE(LEFT(AE588,6))),MID(AE588,7,1)=" "),LEFT(AE588,6),AE588),"")</f>
        <v/>
      </c>
      <c r="AN588" s="36" t="str">
        <f aca="false">TRIM(AK588)</f>
        <v/>
      </c>
      <c r="AO588" s="36" t="str">
        <f aca="false">IF(AN588="Revenue","Revenue",IF(AN588="Cost of Goods Sold","COGS",IF(AN588="Expenditures","Expense",IF(AN588="Other Revenue","Other Revenue",IF(AN588="Other Expenditures","Other Expense",AO587)))))</f>
        <v/>
      </c>
      <c r="AP588" s="36" t="str">
        <f aca="false">IF(OR(AN588="Revenue",AN588="Cost of Goods Sold",AN588="Expenditures",AN588="Other Revenue",AN588="Other Expenditures"),AO588,IF(AND(LEN(AN588)&gt;2,MID(AN588,2,1)=" ",ISNUMBER(VALUE(LEFT(AN588,1)))),AN588,AP587))</f>
        <v/>
      </c>
      <c r="AQ588" s="36" t="n">
        <f aca="false">IF(AND(AN588&lt;&gt;"",ISNUMBER(AL588),LEFT(AN588,9)&lt;&gt;"Total for",AN588&lt;&gt;"Gross Profit",AN588&lt;&gt;"Net Operating Revenue",AN588&lt;&gt;"Net Other Revenue",AN588&lt;&gt;"Net Revenue"),1,0)</f>
        <v>0</v>
      </c>
      <c r="AR588" s="36" t="str">
        <f aca="false">IF(AQ588=1,IF(AND(LEN(AN588)&gt;7,ISNUMBER(VALUE(LEFT(AN588,6))),MID(AN588,7,1)=" "),LEFT(AN588,6),AN588),"")</f>
        <v/>
      </c>
    </row>
    <row r="589" customFormat="false" ht="15" hidden="false" customHeight="false" outlineLevel="0" collapsed="false">
      <c r="D589" s="36" t="str">
        <f aca="false">TRIM(A589)</f>
        <v/>
      </c>
      <c r="E589" s="36" t="str">
        <f aca="false">IF(D589="Revenue","Revenue",IF(D589="Cost of Goods Sold","COGS",IF(D589="Expenditures","Expense",IF(D589="Other Revenue","Other Revenue",IF(D589="Other Expenditures","Other Expense",E588)))))</f>
        <v/>
      </c>
      <c r="F589" s="36" t="str">
        <f aca="false">IF(OR(D589="Revenue",D589="Cost of Goods Sold",D589="Expenditures",D589="Other Revenue",D589="Other Expenditures"),E589,IF(AND(LEN(D589)&gt;2,MID(D589,2,1)=" ",ISNUMBER(VALUE(LEFT(D589,1)))),D589,F588))</f>
        <v/>
      </c>
      <c r="G589" s="36" t="n">
        <f aca="false">IF(AND(D589&lt;&gt;"",ISNUMBER(B589),LEFT(D589,9)&lt;&gt;"Total for",D589&lt;&gt;"Gross Profit",D589&lt;&gt;"Net Operating Revenue",D589&lt;&gt;"Net Other Revenue",D589&lt;&gt;"Net Revenue"),1,0)</f>
        <v>0</v>
      </c>
      <c r="H589" s="36" t="str">
        <f aca="false">IF(G589=1,IF(AND(LEN(D589)&gt;7,ISNUMBER(VALUE(LEFT(D589,6))),MID(D589,7,1)=" "),LEFT(D589,6),D589),"")</f>
        <v/>
      </c>
      <c r="M589" s="36" t="str">
        <f aca="false">TRIM(J589)</f>
        <v/>
      </c>
      <c r="N589" s="36" t="str">
        <f aca="false">IF(M589="Revenue","Revenue",IF(M589="Cost of Goods Sold","COGS",IF(M589="Expenditures","Expense",IF(M589="Other Revenue","Other Revenue",IF(M589="Other Expenditures","Other Expense",N588)))))</f>
        <v/>
      </c>
      <c r="O589" s="36" t="str">
        <f aca="false">IF(OR(M589="Revenue",M589="Cost of Goods Sold",M589="Expenditures",M589="Other Revenue",M589="Other Expenditures"),N589,IF(AND(LEN(M589)&gt;2,MID(M589,2,1)=" ",ISNUMBER(VALUE(LEFT(M589,1)))),M589,O588))</f>
        <v/>
      </c>
      <c r="P589" s="36" t="n">
        <f aca="false">IF(AND(M589&lt;&gt;"",ISNUMBER(K589),LEFT(M589,9)&lt;&gt;"Total for",M589&lt;&gt;"Gross Profit",M589&lt;&gt;"Net Operating Revenue",M589&lt;&gt;"Net Other Revenue",M589&lt;&gt;"Net Revenue"),1,0)</f>
        <v>0</v>
      </c>
      <c r="Q589" s="36" t="str">
        <f aca="false">IF(P589=1,IF(AND(LEN(M589)&gt;7,ISNUMBER(VALUE(LEFT(M589,6))),MID(M589,7,1)=" "),LEFT(M589,6),M589),"")</f>
        <v/>
      </c>
      <c r="V589" s="36" t="str">
        <f aca="false">TRIM(S589)</f>
        <v/>
      </c>
      <c r="W589" s="36" t="str">
        <f aca="false">IF(V589="Revenue","Revenue",IF(V589="Cost of Goods Sold","COGS",IF(V589="Expenditures","Expense",IF(V589="Other Revenue","Other Revenue",IF(V589="Other Expenditures","Other Expense",W588)))))</f>
        <v/>
      </c>
      <c r="X589" s="36" t="str">
        <f aca="false">IF(OR(V589="Revenue",V589="Cost of Goods Sold",V589="Expenditures",V589="Other Revenue",V589="Other Expenditures"),W589,IF(AND(LEN(V589)&gt;2,MID(V589,2,1)=" ",ISNUMBER(VALUE(LEFT(V589,1)))),V589,X588))</f>
        <v/>
      </c>
      <c r="Y589" s="36" t="n">
        <f aca="false">IF(AND(V589&lt;&gt;"",ISNUMBER(T589),LEFT(V589,9)&lt;&gt;"Total for",V589&lt;&gt;"Gross Profit",V589&lt;&gt;"Net Operating Revenue",V589&lt;&gt;"Net Other Revenue",V589&lt;&gt;"Net Revenue"),1,0)</f>
        <v>0</v>
      </c>
      <c r="Z589" s="36" t="str">
        <f aca="false">IF(Y589=1,IF(AND(LEN(V589)&gt;7,ISNUMBER(VALUE(LEFT(V589,6))),MID(V589,7,1)=" "),LEFT(V589,6),V589),"")</f>
        <v/>
      </c>
      <c r="AE589" s="36" t="str">
        <f aca="false">TRIM(AB589)</f>
        <v/>
      </c>
      <c r="AF589" s="36" t="str">
        <f aca="false">IF(AE589="Revenue","Revenue",IF(AE589="Cost of Goods Sold","COGS",IF(AE589="Expenditures","Expense",IF(AE589="Other Revenue","Other Revenue",IF(AE589="Other Expenditures","Other Expense",AF588)))))</f>
        <v/>
      </c>
      <c r="AG589" s="36" t="str">
        <f aca="false">IF(OR(AE589="Revenue",AE589="Cost of Goods Sold",AE589="Expenditures",AE589="Other Revenue",AE589="Other Expenditures"),AF589,IF(AND(LEN(AE589)&gt;2,MID(AE589,2,1)=" ",ISNUMBER(VALUE(LEFT(AE589,1)))),AE589,AG588))</f>
        <v/>
      </c>
      <c r="AH589" s="36" t="n">
        <f aca="false">IF(AND(AE589&lt;&gt;"",ISNUMBER(AC589),LEFT(AE589,9)&lt;&gt;"Total for",AE589&lt;&gt;"Gross Profit",AE589&lt;&gt;"Net Operating Revenue",AE589&lt;&gt;"Net Other Revenue",AE589&lt;&gt;"Net Revenue"),1,0)</f>
        <v>0</v>
      </c>
      <c r="AI589" s="36" t="str">
        <f aca="false">IF(AH589=1,IF(AND(LEN(AE589)&gt;7,ISNUMBER(VALUE(LEFT(AE589,6))),MID(AE589,7,1)=" "),LEFT(AE589,6),AE589),"")</f>
        <v/>
      </c>
      <c r="AN589" s="36" t="str">
        <f aca="false">TRIM(AK589)</f>
        <v/>
      </c>
      <c r="AO589" s="36" t="str">
        <f aca="false">IF(AN589="Revenue","Revenue",IF(AN589="Cost of Goods Sold","COGS",IF(AN589="Expenditures","Expense",IF(AN589="Other Revenue","Other Revenue",IF(AN589="Other Expenditures","Other Expense",AO588)))))</f>
        <v/>
      </c>
      <c r="AP589" s="36" t="str">
        <f aca="false">IF(OR(AN589="Revenue",AN589="Cost of Goods Sold",AN589="Expenditures",AN589="Other Revenue",AN589="Other Expenditures"),AO589,IF(AND(LEN(AN589)&gt;2,MID(AN589,2,1)=" ",ISNUMBER(VALUE(LEFT(AN589,1)))),AN589,AP588))</f>
        <v/>
      </c>
      <c r="AQ589" s="36" t="n">
        <f aca="false">IF(AND(AN589&lt;&gt;"",ISNUMBER(AL589),LEFT(AN589,9)&lt;&gt;"Total for",AN589&lt;&gt;"Gross Profit",AN589&lt;&gt;"Net Operating Revenue",AN589&lt;&gt;"Net Other Revenue",AN589&lt;&gt;"Net Revenue"),1,0)</f>
        <v>0</v>
      </c>
      <c r="AR589" s="36" t="str">
        <f aca="false">IF(AQ589=1,IF(AND(LEN(AN589)&gt;7,ISNUMBER(VALUE(LEFT(AN589,6))),MID(AN589,7,1)=" "),LEFT(AN589,6),AN589),"")</f>
        <v/>
      </c>
    </row>
    <row r="590" customFormat="false" ht="15" hidden="false" customHeight="false" outlineLevel="0" collapsed="false">
      <c r="D590" s="36" t="str">
        <f aca="false">TRIM(A590)</f>
        <v/>
      </c>
      <c r="E590" s="36" t="str">
        <f aca="false">IF(D590="Revenue","Revenue",IF(D590="Cost of Goods Sold","COGS",IF(D590="Expenditures","Expense",IF(D590="Other Revenue","Other Revenue",IF(D590="Other Expenditures","Other Expense",E589)))))</f>
        <v/>
      </c>
      <c r="F590" s="36" t="str">
        <f aca="false">IF(OR(D590="Revenue",D590="Cost of Goods Sold",D590="Expenditures",D590="Other Revenue",D590="Other Expenditures"),E590,IF(AND(LEN(D590)&gt;2,MID(D590,2,1)=" ",ISNUMBER(VALUE(LEFT(D590,1)))),D590,F589))</f>
        <v/>
      </c>
      <c r="G590" s="36" t="n">
        <f aca="false">IF(AND(D590&lt;&gt;"",ISNUMBER(B590),LEFT(D590,9)&lt;&gt;"Total for",D590&lt;&gt;"Gross Profit",D590&lt;&gt;"Net Operating Revenue",D590&lt;&gt;"Net Other Revenue",D590&lt;&gt;"Net Revenue"),1,0)</f>
        <v>0</v>
      </c>
      <c r="H590" s="36" t="str">
        <f aca="false">IF(G590=1,IF(AND(LEN(D590)&gt;7,ISNUMBER(VALUE(LEFT(D590,6))),MID(D590,7,1)=" "),LEFT(D590,6),D590),"")</f>
        <v/>
      </c>
      <c r="M590" s="36" t="str">
        <f aca="false">TRIM(J590)</f>
        <v/>
      </c>
      <c r="N590" s="36" t="str">
        <f aca="false">IF(M590="Revenue","Revenue",IF(M590="Cost of Goods Sold","COGS",IF(M590="Expenditures","Expense",IF(M590="Other Revenue","Other Revenue",IF(M590="Other Expenditures","Other Expense",N589)))))</f>
        <v/>
      </c>
      <c r="O590" s="36" t="str">
        <f aca="false">IF(OR(M590="Revenue",M590="Cost of Goods Sold",M590="Expenditures",M590="Other Revenue",M590="Other Expenditures"),N590,IF(AND(LEN(M590)&gt;2,MID(M590,2,1)=" ",ISNUMBER(VALUE(LEFT(M590,1)))),M590,O589))</f>
        <v/>
      </c>
      <c r="P590" s="36" t="n">
        <f aca="false">IF(AND(M590&lt;&gt;"",ISNUMBER(K590),LEFT(M590,9)&lt;&gt;"Total for",M590&lt;&gt;"Gross Profit",M590&lt;&gt;"Net Operating Revenue",M590&lt;&gt;"Net Other Revenue",M590&lt;&gt;"Net Revenue"),1,0)</f>
        <v>0</v>
      </c>
      <c r="Q590" s="36" t="str">
        <f aca="false">IF(P590=1,IF(AND(LEN(M590)&gt;7,ISNUMBER(VALUE(LEFT(M590,6))),MID(M590,7,1)=" "),LEFT(M590,6),M590),"")</f>
        <v/>
      </c>
      <c r="V590" s="36" t="str">
        <f aca="false">TRIM(S590)</f>
        <v/>
      </c>
      <c r="W590" s="36" t="str">
        <f aca="false">IF(V590="Revenue","Revenue",IF(V590="Cost of Goods Sold","COGS",IF(V590="Expenditures","Expense",IF(V590="Other Revenue","Other Revenue",IF(V590="Other Expenditures","Other Expense",W589)))))</f>
        <v/>
      </c>
      <c r="X590" s="36" t="str">
        <f aca="false">IF(OR(V590="Revenue",V590="Cost of Goods Sold",V590="Expenditures",V590="Other Revenue",V590="Other Expenditures"),W590,IF(AND(LEN(V590)&gt;2,MID(V590,2,1)=" ",ISNUMBER(VALUE(LEFT(V590,1)))),V590,X589))</f>
        <v/>
      </c>
      <c r="Y590" s="36" t="n">
        <f aca="false">IF(AND(V590&lt;&gt;"",ISNUMBER(T590),LEFT(V590,9)&lt;&gt;"Total for",V590&lt;&gt;"Gross Profit",V590&lt;&gt;"Net Operating Revenue",V590&lt;&gt;"Net Other Revenue",V590&lt;&gt;"Net Revenue"),1,0)</f>
        <v>0</v>
      </c>
      <c r="Z590" s="36" t="str">
        <f aca="false">IF(Y590=1,IF(AND(LEN(V590)&gt;7,ISNUMBER(VALUE(LEFT(V590,6))),MID(V590,7,1)=" "),LEFT(V590,6),V590),"")</f>
        <v/>
      </c>
      <c r="AE590" s="36" t="str">
        <f aca="false">TRIM(AB590)</f>
        <v/>
      </c>
      <c r="AF590" s="36" t="str">
        <f aca="false">IF(AE590="Revenue","Revenue",IF(AE590="Cost of Goods Sold","COGS",IF(AE590="Expenditures","Expense",IF(AE590="Other Revenue","Other Revenue",IF(AE590="Other Expenditures","Other Expense",AF589)))))</f>
        <v/>
      </c>
      <c r="AG590" s="36" t="str">
        <f aca="false">IF(OR(AE590="Revenue",AE590="Cost of Goods Sold",AE590="Expenditures",AE590="Other Revenue",AE590="Other Expenditures"),AF590,IF(AND(LEN(AE590)&gt;2,MID(AE590,2,1)=" ",ISNUMBER(VALUE(LEFT(AE590,1)))),AE590,AG589))</f>
        <v/>
      </c>
      <c r="AH590" s="36" t="n">
        <f aca="false">IF(AND(AE590&lt;&gt;"",ISNUMBER(AC590),LEFT(AE590,9)&lt;&gt;"Total for",AE590&lt;&gt;"Gross Profit",AE590&lt;&gt;"Net Operating Revenue",AE590&lt;&gt;"Net Other Revenue",AE590&lt;&gt;"Net Revenue"),1,0)</f>
        <v>0</v>
      </c>
      <c r="AI590" s="36" t="str">
        <f aca="false">IF(AH590=1,IF(AND(LEN(AE590)&gt;7,ISNUMBER(VALUE(LEFT(AE590,6))),MID(AE590,7,1)=" "),LEFT(AE590,6),AE590),"")</f>
        <v/>
      </c>
      <c r="AN590" s="36" t="str">
        <f aca="false">TRIM(AK590)</f>
        <v/>
      </c>
      <c r="AO590" s="36" t="str">
        <f aca="false">IF(AN590="Revenue","Revenue",IF(AN590="Cost of Goods Sold","COGS",IF(AN590="Expenditures","Expense",IF(AN590="Other Revenue","Other Revenue",IF(AN590="Other Expenditures","Other Expense",AO589)))))</f>
        <v/>
      </c>
      <c r="AP590" s="36" t="str">
        <f aca="false">IF(OR(AN590="Revenue",AN590="Cost of Goods Sold",AN590="Expenditures",AN590="Other Revenue",AN590="Other Expenditures"),AO590,IF(AND(LEN(AN590)&gt;2,MID(AN590,2,1)=" ",ISNUMBER(VALUE(LEFT(AN590,1)))),AN590,AP589))</f>
        <v/>
      </c>
      <c r="AQ590" s="36" t="n">
        <f aca="false">IF(AND(AN590&lt;&gt;"",ISNUMBER(AL590),LEFT(AN590,9)&lt;&gt;"Total for",AN590&lt;&gt;"Gross Profit",AN590&lt;&gt;"Net Operating Revenue",AN590&lt;&gt;"Net Other Revenue",AN590&lt;&gt;"Net Revenue"),1,0)</f>
        <v>0</v>
      </c>
      <c r="AR590" s="36" t="str">
        <f aca="false">IF(AQ590=1,IF(AND(LEN(AN590)&gt;7,ISNUMBER(VALUE(LEFT(AN590,6))),MID(AN590,7,1)=" "),LEFT(AN590,6),AN590),"")</f>
        <v/>
      </c>
    </row>
    <row r="591" customFormat="false" ht="15" hidden="false" customHeight="false" outlineLevel="0" collapsed="false">
      <c r="D591" s="36" t="str">
        <f aca="false">TRIM(A591)</f>
        <v/>
      </c>
      <c r="E591" s="36" t="str">
        <f aca="false">IF(D591="Revenue","Revenue",IF(D591="Cost of Goods Sold","COGS",IF(D591="Expenditures","Expense",IF(D591="Other Revenue","Other Revenue",IF(D591="Other Expenditures","Other Expense",E590)))))</f>
        <v/>
      </c>
      <c r="F591" s="36" t="str">
        <f aca="false">IF(OR(D591="Revenue",D591="Cost of Goods Sold",D591="Expenditures",D591="Other Revenue",D591="Other Expenditures"),E591,IF(AND(LEN(D591)&gt;2,MID(D591,2,1)=" ",ISNUMBER(VALUE(LEFT(D591,1)))),D591,F590))</f>
        <v/>
      </c>
      <c r="G591" s="36" t="n">
        <f aca="false">IF(AND(D591&lt;&gt;"",ISNUMBER(B591),LEFT(D591,9)&lt;&gt;"Total for",D591&lt;&gt;"Gross Profit",D591&lt;&gt;"Net Operating Revenue",D591&lt;&gt;"Net Other Revenue",D591&lt;&gt;"Net Revenue"),1,0)</f>
        <v>0</v>
      </c>
      <c r="H591" s="36" t="str">
        <f aca="false">IF(G591=1,IF(AND(LEN(D591)&gt;7,ISNUMBER(VALUE(LEFT(D591,6))),MID(D591,7,1)=" "),LEFT(D591,6),D591),"")</f>
        <v/>
      </c>
      <c r="M591" s="36" t="str">
        <f aca="false">TRIM(J591)</f>
        <v/>
      </c>
      <c r="N591" s="36" t="str">
        <f aca="false">IF(M591="Revenue","Revenue",IF(M591="Cost of Goods Sold","COGS",IF(M591="Expenditures","Expense",IF(M591="Other Revenue","Other Revenue",IF(M591="Other Expenditures","Other Expense",N590)))))</f>
        <v/>
      </c>
      <c r="O591" s="36" t="str">
        <f aca="false">IF(OR(M591="Revenue",M591="Cost of Goods Sold",M591="Expenditures",M591="Other Revenue",M591="Other Expenditures"),N591,IF(AND(LEN(M591)&gt;2,MID(M591,2,1)=" ",ISNUMBER(VALUE(LEFT(M591,1)))),M591,O590))</f>
        <v/>
      </c>
      <c r="P591" s="36" t="n">
        <f aca="false">IF(AND(M591&lt;&gt;"",ISNUMBER(K591),LEFT(M591,9)&lt;&gt;"Total for",M591&lt;&gt;"Gross Profit",M591&lt;&gt;"Net Operating Revenue",M591&lt;&gt;"Net Other Revenue",M591&lt;&gt;"Net Revenue"),1,0)</f>
        <v>0</v>
      </c>
      <c r="Q591" s="36" t="str">
        <f aca="false">IF(P591=1,IF(AND(LEN(M591)&gt;7,ISNUMBER(VALUE(LEFT(M591,6))),MID(M591,7,1)=" "),LEFT(M591,6),M591),"")</f>
        <v/>
      </c>
      <c r="V591" s="36" t="str">
        <f aca="false">TRIM(S591)</f>
        <v/>
      </c>
      <c r="W591" s="36" t="str">
        <f aca="false">IF(V591="Revenue","Revenue",IF(V591="Cost of Goods Sold","COGS",IF(V591="Expenditures","Expense",IF(V591="Other Revenue","Other Revenue",IF(V591="Other Expenditures","Other Expense",W590)))))</f>
        <v/>
      </c>
      <c r="X591" s="36" t="str">
        <f aca="false">IF(OR(V591="Revenue",V591="Cost of Goods Sold",V591="Expenditures",V591="Other Revenue",V591="Other Expenditures"),W591,IF(AND(LEN(V591)&gt;2,MID(V591,2,1)=" ",ISNUMBER(VALUE(LEFT(V591,1)))),V591,X590))</f>
        <v/>
      </c>
      <c r="Y591" s="36" t="n">
        <f aca="false">IF(AND(V591&lt;&gt;"",ISNUMBER(T591),LEFT(V591,9)&lt;&gt;"Total for",V591&lt;&gt;"Gross Profit",V591&lt;&gt;"Net Operating Revenue",V591&lt;&gt;"Net Other Revenue",V591&lt;&gt;"Net Revenue"),1,0)</f>
        <v>0</v>
      </c>
      <c r="Z591" s="36" t="str">
        <f aca="false">IF(Y591=1,IF(AND(LEN(V591)&gt;7,ISNUMBER(VALUE(LEFT(V591,6))),MID(V591,7,1)=" "),LEFT(V591,6),V591),"")</f>
        <v/>
      </c>
      <c r="AE591" s="36" t="str">
        <f aca="false">TRIM(AB591)</f>
        <v/>
      </c>
      <c r="AF591" s="36" t="str">
        <f aca="false">IF(AE591="Revenue","Revenue",IF(AE591="Cost of Goods Sold","COGS",IF(AE591="Expenditures","Expense",IF(AE591="Other Revenue","Other Revenue",IF(AE591="Other Expenditures","Other Expense",AF590)))))</f>
        <v/>
      </c>
      <c r="AG591" s="36" t="str">
        <f aca="false">IF(OR(AE591="Revenue",AE591="Cost of Goods Sold",AE591="Expenditures",AE591="Other Revenue",AE591="Other Expenditures"),AF591,IF(AND(LEN(AE591)&gt;2,MID(AE591,2,1)=" ",ISNUMBER(VALUE(LEFT(AE591,1)))),AE591,AG590))</f>
        <v/>
      </c>
      <c r="AH591" s="36" t="n">
        <f aca="false">IF(AND(AE591&lt;&gt;"",ISNUMBER(AC591),LEFT(AE591,9)&lt;&gt;"Total for",AE591&lt;&gt;"Gross Profit",AE591&lt;&gt;"Net Operating Revenue",AE591&lt;&gt;"Net Other Revenue",AE591&lt;&gt;"Net Revenue"),1,0)</f>
        <v>0</v>
      </c>
      <c r="AI591" s="36" t="str">
        <f aca="false">IF(AH591=1,IF(AND(LEN(AE591)&gt;7,ISNUMBER(VALUE(LEFT(AE591,6))),MID(AE591,7,1)=" "),LEFT(AE591,6),AE591),"")</f>
        <v/>
      </c>
      <c r="AN591" s="36" t="str">
        <f aca="false">TRIM(AK591)</f>
        <v/>
      </c>
      <c r="AO591" s="36" t="str">
        <f aca="false">IF(AN591="Revenue","Revenue",IF(AN591="Cost of Goods Sold","COGS",IF(AN591="Expenditures","Expense",IF(AN591="Other Revenue","Other Revenue",IF(AN591="Other Expenditures","Other Expense",AO590)))))</f>
        <v/>
      </c>
      <c r="AP591" s="36" t="str">
        <f aca="false">IF(OR(AN591="Revenue",AN591="Cost of Goods Sold",AN591="Expenditures",AN591="Other Revenue",AN591="Other Expenditures"),AO591,IF(AND(LEN(AN591)&gt;2,MID(AN591,2,1)=" ",ISNUMBER(VALUE(LEFT(AN591,1)))),AN591,AP590))</f>
        <v/>
      </c>
      <c r="AQ591" s="36" t="n">
        <f aca="false">IF(AND(AN591&lt;&gt;"",ISNUMBER(AL591),LEFT(AN591,9)&lt;&gt;"Total for",AN591&lt;&gt;"Gross Profit",AN591&lt;&gt;"Net Operating Revenue",AN591&lt;&gt;"Net Other Revenue",AN591&lt;&gt;"Net Revenue"),1,0)</f>
        <v>0</v>
      </c>
      <c r="AR591" s="36" t="str">
        <f aca="false">IF(AQ591=1,IF(AND(LEN(AN591)&gt;7,ISNUMBER(VALUE(LEFT(AN591,6))),MID(AN591,7,1)=" "),LEFT(AN591,6),AN591),"")</f>
        <v/>
      </c>
    </row>
    <row r="592" customFormat="false" ht="15" hidden="false" customHeight="false" outlineLevel="0" collapsed="false">
      <c r="D592" s="36" t="str">
        <f aca="false">TRIM(A592)</f>
        <v/>
      </c>
      <c r="E592" s="36" t="str">
        <f aca="false">IF(D592="Revenue","Revenue",IF(D592="Cost of Goods Sold","COGS",IF(D592="Expenditures","Expense",IF(D592="Other Revenue","Other Revenue",IF(D592="Other Expenditures","Other Expense",E591)))))</f>
        <v/>
      </c>
      <c r="F592" s="36" t="str">
        <f aca="false">IF(OR(D592="Revenue",D592="Cost of Goods Sold",D592="Expenditures",D592="Other Revenue",D592="Other Expenditures"),E592,IF(AND(LEN(D592)&gt;2,MID(D592,2,1)=" ",ISNUMBER(VALUE(LEFT(D592,1)))),D592,F591))</f>
        <v/>
      </c>
      <c r="G592" s="36" t="n">
        <f aca="false">IF(AND(D592&lt;&gt;"",ISNUMBER(B592),LEFT(D592,9)&lt;&gt;"Total for",D592&lt;&gt;"Gross Profit",D592&lt;&gt;"Net Operating Revenue",D592&lt;&gt;"Net Other Revenue",D592&lt;&gt;"Net Revenue"),1,0)</f>
        <v>0</v>
      </c>
      <c r="H592" s="36" t="str">
        <f aca="false">IF(G592=1,IF(AND(LEN(D592)&gt;7,ISNUMBER(VALUE(LEFT(D592,6))),MID(D592,7,1)=" "),LEFT(D592,6),D592),"")</f>
        <v/>
      </c>
      <c r="M592" s="36" t="str">
        <f aca="false">TRIM(J592)</f>
        <v/>
      </c>
      <c r="N592" s="36" t="str">
        <f aca="false">IF(M592="Revenue","Revenue",IF(M592="Cost of Goods Sold","COGS",IF(M592="Expenditures","Expense",IF(M592="Other Revenue","Other Revenue",IF(M592="Other Expenditures","Other Expense",N591)))))</f>
        <v/>
      </c>
      <c r="O592" s="36" t="str">
        <f aca="false">IF(OR(M592="Revenue",M592="Cost of Goods Sold",M592="Expenditures",M592="Other Revenue",M592="Other Expenditures"),N592,IF(AND(LEN(M592)&gt;2,MID(M592,2,1)=" ",ISNUMBER(VALUE(LEFT(M592,1)))),M592,O591))</f>
        <v/>
      </c>
      <c r="P592" s="36" t="n">
        <f aca="false">IF(AND(M592&lt;&gt;"",ISNUMBER(K592),LEFT(M592,9)&lt;&gt;"Total for",M592&lt;&gt;"Gross Profit",M592&lt;&gt;"Net Operating Revenue",M592&lt;&gt;"Net Other Revenue",M592&lt;&gt;"Net Revenue"),1,0)</f>
        <v>0</v>
      </c>
      <c r="Q592" s="36" t="str">
        <f aca="false">IF(P592=1,IF(AND(LEN(M592)&gt;7,ISNUMBER(VALUE(LEFT(M592,6))),MID(M592,7,1)=" "),LEFT(M592,6),M592),"")</f>
        <v/>
      </c>
      <c r="V592" s="36" t="str">
        <f aca="false">TRIM(S592)</f>
        <v/>
      </c>
      <c r="W592" s="36" t="str">
        <f aca="false">IF(V592="Revenue","Revenue",IF(V592="Cost of Goods Sold","COGS",IF(V592="Expenditures","Expense",IF(V592="Other Revenue","Other Revenue",IF(V592="Other Expenditures","Other Expense",W591)))))</f>
        <v/>
      </c>
      <c r="X592" s="36" t="str">
        <f aca="false">IF(OR(V592="Revenue",V592="Cost of Goods Sold",V592="Expenditures",V592="Other Revenue",V592="Other Expenditures"),W592,IF(AND(LEN(V592)&gt;2,MID(V592,2,1)=" ",ISNUMBER(VALUE(LEFT(V592,1)))),V592,X591))</f>
        <v/>
      </c>
      <c r="Y592" s="36" t="n">
        <f aca="false">IF(AND(V592&lt;&gt;"",ISNUMBER(T592),LEFT(V592,9)&lt;&gt;"Total for",V592&lt;&gt;"Gross Profit",V592&lt;&gt;"Net Operating Revenue",V592&lt;&gt;"Net Other Revenue",V592&lt;&gt;"Net Revenue"),1,0)</f>
        <v>0</v>
      </c>
      <c r="Z592" s="36" t="str">
        <f aca="false">IF(Y592=1,IF(AND(LEN(V592)&gt;7,ISNUMBER(VALUE(LEFT(V592,6))),MID(V592,7,1)=" "),LEFT(V592,6),V592),"")</f>
        <v/>
      </c>
      <c r="AE592" s="36" t="str">
        <f aca="false">TRIM(AB592)</f>
        <v/>
      </c>
      <c r="AF592" s="36" t="str">
        <f aca="false">IF(AE592="Revenue","Revenue",IF(AE592="Cost of Goods Sold","COGS",IF(AE592="Expenditures","Expense",IF(AE592="Other Revenue","Other Revenue",IF(AE592="Other Expenditures","Other Expense",AF591)))))</f>
        <v/>
      </c>
      <c r="AG592" s="36" t="str">
        <f aca="false">IF(OR(AE592="Revenue",AE592="Cost of Goods Sold",AE592="Expenditures",AE592="Other Revenue",AE592="Other Expenditures"),AF592,IF(AND(LEN(AE592)&gt;2,MID(AE592,2,1)=" ",ISNUMBER(VALUE(LEFT(AE592,1)))),AE592,AG591))</f>
        <v/>
      </c>
      <c r="AH592" s="36" t="n">
        <f aca="false">IF(AND(AE592&lt;&gt;"",ISNUMBER(AC592),LEFT(AE592,9)&lt;&gt;"Total for",AE592&lt;&gt;"Gross Profit",AE592&lt;&gt;"Net Operating Revenue",AE592&lt;&gt;"Net Other Revenue",AE592&lt;&gt;"Net Revenue"),1,0)</f>
        <v>0</v>
      </c>
      <c r="AI592" s="36" t="str">
        <f aca="false">IF(AH592=1,IF(AND(LEN(AE592)&gt;7,ISNUMBER(VALUE(LEFT(AE592,6))),MID(AE592,7,1)=" "),LEFT(AE592,6),AE592),"")</f>
        <v/>
      </c>
      <c r="AN592" s="36" t="str">
        <f aca="false">TRIM(AK592)</f>
        <v/>
      </c>
      <c r="AO592" s="36" t="str">
        <f aca="false">IF(AN592="Revenue","Revenue",IF(AN592="Cost of Goods Sold","COGS",IF(AN592="Expenditures","Expense",IF(AN592="Other Revenue","Other Revenue",IF(AN592="Other Expenditures","Other Expense",AO591)))))</f>
        <v/>
      </c>
      <c r="AP592" s="36" t="str">
        <f aca="false">IF(OR(AN592="Revenue",AN592="Cost of Goods Sold",AN592="Expenditures",AN592="Other Revenue",AN592="Other Expenditures"),AO592,IF(AND(LEN(AN592)&gt;2,MID(AN592,2,1)=" ",ISNUMBER(VALUE(LEFT(AN592,1)))),AN592,AP591))</f>
        <v/>
      </c>
      <c r="AQ592" s="36" t="n">
        <f aca="false">IF(AND(AN592&lt;&gt;"",ISNUMBER(AL592),LEFT(AN592,9)&lt;&gt;"Total for",AN592&lt;&gt;"Gross Profit",AN592&lt;&gt;"Net Operating Revenue",AN592&lt;&gt;"Net Other Revenue",AN592&lt;&gt;"Net Revenue"),1,0)</f>
        <v>0</v>
      </c>
      <c r="AR592" s="36" t="str">
        <f aca="false">IF(AQ592=1,IF(AND(LEN(AN592)&gt;7,ISNUMBER(VALUE(LEFT(AN592,6))),MID(AN592,7,1)=" "),LEFT(AN592,6),AN592),"")</f>
        <v/>
      </c>
    </row>
    <row r="593" customFormat="false" ht="15" hidden="false" customHeight="false" outlineLevel="0" collapsed="false">
      <c r="D593" s="36" t="str">
        <f aca="false">TRIM(A593)</f>
        <v/>
      </c>
      <c r="E593" s="36" t="str">
        <f aca="false">IF(D593="Revenue","Revenue",IF(D593="Cost of Goods Sold","COGS",IF(D593="Expenditures","Expense",IF(D593="Other Revenue","Other Revenue",IF(D593="Other Expenditures","Other Expense",E592)))))</f>
        <v/>
      </c>
      <c r="F593" s="36" t="str">
        <f aca="false">IF(OR(D593="Revenue",D593="Cost of Goods Sold",D593="Expenditures",D593="Other Revenue",D593="Other Expenditures"),E593,IF(AND(LEN(D593)&gt;2,MID(D593,2,1)=" ",ISNUMBER(VALUE(LEFT(D593,1)))),D593,F592))</f>
        <v/>
      </c>
      <c r="G593" s="36" t="n">
        <f aca="false">IF(AND(D593&lt;&gt;"",ISNUMBER(B593),LEFT(D593,9)&lt;&gt;"Total for",D593&lt;&gt;"Gross Profit",D593&lt;&gt;"Net Operating Revenue",D593&lt;&gt;"Net Other Revenue",D593&lt;&gt;"Net Revenue"),1,0)</f>
        <v>0</v>
      </c>
      <c r="H593" s="36" t="str">
        <f aca="false">IF(G593=1,IF(AND(LEN(D593)&gt;7,ISNUMBER(VALUE(LEFT(D593,6))),MID(D593,7,1)=" "),LEFT(D593,6),D593),"")</f>
        <v/>
      </c>
      <c r="M593" s="36" t="str">
        <f aca="false">TRIM(J593)</f>
        <v/>
      </c>
      <c r="N593" s="36" t="str">
        <f aca="false">IF(M593="Revenue","Revenue",IF(M593="Cost of Goods Sold","COGS",IF(M593="Expenditures","Expense",IF(M593="Other Revenue","Other Revenue",IF(M593="Other Expenditures","Other Expense",N592)))))</f>
        <v/>
      </c>
      <c r="O593" s="36" t="str">
        <f aca="false">IF(OR(M593="Revenue",M593="Cost of Goods Sold",M593="Expenditures",M593="Other Revenue",M593="Other Expenditures"),N593,IF(AND(LEN(M593)&gt;2,MID(M593,2,1)=" ",ISNUMBER(VALUE(LEFT(M593,1)))),M593,O592))</f>
        <v/>
      </c>
      <c r="P593" s="36" t="n">
        <f aca="false">IF(AND(M593&lt;&gt;"",ISNUMBER(K593),LEFT(M593,9)&lt;&gt;"Total for",M593&lt;&gt;"Gross Profit",M593&lt;&gt;"Net Operating Revenue",M593&lt;&gt;"Net Other Revenue",M593&lt;&gt;"Net Revenue"),1,0)</f>
        <v>0</v>
      </c>
      <c r="Q593" s="36" t="str">
        <f aca="false">IF(P593=1,IF(AND(LEN(M593)&gt;7,ISNUMBER(VALUE(LEFT(M593,6))),MID(M593,7,1)=" "),LEFT(M593,6),M593),"")</f>
        <v/>
      </c>
      <c r="V593" s="36" t="str">
        <f aca="false">TRIM(S593)</f>
        <v/>
      </c>
      <c r="W593" s="36" t="str">
        <f aca="false">IF(V593="Revenue","Revenue",IF(V593="Cost of Goods Sold","COGS",IF(V593="Expenditures","Expense",IF(V593="Other Revenue","Other Revenue",IF(V593="Other Expenditures","Other Expense",W592)))))</f>
        <v/>
      </c>
      <c r="X593" s="36" t="str">
        <f aca="false">IF(OR(V593="Revenue",V593="Cost of Goods Sold",V593="Expenditures",V593="Other Revenue",V593="Other Expenditures"),W593,IF(AND(LEN(V593)&gt;2,MID(V593,2,1)=" ",ISNUMBER(VALUE(LEFT(V593,1)))),V593,X592))</f>
        <v/>
      </c>
      <c r="Y593" s="36" t="n">
        <f aca="false">IF(AND(V593&lt;&gt;"",ISNUMBER(T593),LEFT(V593,9)&lt;&gt;"Total for",V593&lt;&gt;"Gross Profit",V593&lt;&gt;"Net Operating Revenue",V593&lt;&gt;"Net Other Revenue",V593&lt;&gt;"Net Revenue"),1,0)</f>
        <v>0</v>
      </c>
      <c r="Z593" s="36" t="str">
        <f aca="false">IF(Y593=1,IF(AND(LEN(V593)&gt;7,ISNUMBER(VALUE(LEFT(V593,6))),MID(V593,7,1)=" "),LEFT(V593,6),V593),"")</f>
        <v/>
      </c>
      <c r="AE593" s="36" t="str">
        <f aca="false">TRIM(AB593)</f>
        <v/>
      </c>
      <c r="AF593" s="36" t="str">
        <f aca="false">IF(AE593="Revenue","Revenue",IF(AE593="Cost of Goods Sold","COGS",IF(AE593="Expenditures","Expense",IF(AE593="Other Revenue","Other Revenue",IF(AE593="Other Expenditures","Other Expense",AF592)))))</f>
        <v/>
      </c>
      <c r="AG593" s="36" t="str">
        <f aca="false">IF(OR(AE593="Revenue",AE593="Cost of Goods Sold",AE593="Expenditures",AE593="Other Revenue",AE593="Other Expenditures"),AF593,IF(AND(LEN(AE593)&gt;2,MID(AE593,2,1)=" ",ISNUMBER(VALUE(LEFT(AE593,1)))),AE593,AG592))</f>
        <v/>
      </c>
      <c r="AH593" s="36" t="n">
        <f aca="false">IF(AND(AE593&lt;&gt;"",ISNUMBER(AC593),LEFT(AE593,9)&lt;&gt;"Total for",AE593&lt;&gt;"Gross Profit",AE593&lt;&gt;"Net Operating Revenue",AE593&lt;&gt;"Net Other Revenue",AE593&lt;&gt;"Net Revenue"),1,0)</f>
        <v>0</v>
      </c>
      <c r="AI593" s="36" t="str">
        <f aca="false">IF(AH593=1,IF(AND(LEN(AE593)&gt;7,ISNUMBER(VALUE(LEFT(AE593,6))),MID(AE593,7,1)=" "),LEFT(AE593,6),AE593),"")</f>
        <v/>
      </c>
      <c r="AN593" s="36" t="str">
        <f aca="false">TRIM(AK593)</f>
        <v/>
      </c>
      <c r="AO593" s="36" t="str">
        <f aca="false">IF(AN593="Revenue","Revenue",IF(AN593="Cost of Goods Sold","COGS",IF(AN593="Expenditures","Expense",IF(AN593="Other Revenue","Other Revenue",IF(AN593="Other Expenditures","Other Expense",AO592)))))</f>
        <v/>
      </c>
      <c r="AP593" s="36" t="str">
        <f aca="false">IF(OR(AN593="Revenue",AN593="Cost of Goods Sold",AN593="Expenditures",AN593="Other Revenue",AN593="Other Expenditures"),AO593,IF(AND(LEN(AN593)&gt;2,MID(AN593,2,1)=" ",ISNUMBER(VALUE(LEFT(AN593,1)))),AN593,AP592))</f>
        <v/>
      </c>
      <c r="AQ593" s="36" t="n">
        <f aca="false">IF(AND(AN593&lt;&gt;"",ISNUMBER(AL593),LEFT(AN593,9)&lt;&gt;"Total for",AN593&lt;&gt;"Gross Profit",AN593&lt;&gt;"Net Operating Revenue",AN593&lt;&gt;"Net Other Revenue",AN593&lt;&gt;"Net Revenue"),1,0)</f>
        <v>0</v>
      </c>
      <c r="AR593" s="36" t="str">
        <f aca="false">IF(AQ593=1,IF(AND(LEN(AN593)&gt;7,ISNUMBER(VALUE(LEFT(AN593,6))),MID(AN593,7,1)=" "),LEFT(AN593,6),AN593),"")</f>
        <v/>
      </c>
    </row>
    <row r="594" customFormat="false" ht="15" hidden="false" customHeight="false" outlineLevel="0" collapsed="false">
      <c r="D594" s="36" t="str">
        <f aca="false">TRIM(A594)</f>
        <v/>
      </c>
      <c r="E594" s="36" t="str">
        <f aca="false">IF(D594="Revenue","Revenue",IF(D594="Cost of Goods Sold","COGS",IF(D594="Expenditures","Expense",IF(D594="Other Revenue","Other Revenue",IF(D594="Other Expenditures","Other Expense",E593)))))</f>
        <v/>
      </c>
      <c r="F594" s="36" t="str">
        <f aca="false">IF(OR(D594="Revenue",D594="Cost of Goods Sold",D594="Expenditures",D594="Other Revenue",D594="Other Expenditures"),E594,IF(AND(LEN(D594)&gt;2,MID(D594,2,1)=" ",ISNUMBER(VALUE(LEFT(D594,1)))),D594,F593))</f>
        <v/>
      </c>
      <c r="G594" s="36" t="n">
        <f aca="false">IF(AND(D594&lt;&gt;"",ISNUMBER(B594),LEFT(D594,9)&lt;&gt;"Total for",D594&lt;&gt;"Gross Profit",D594&lt;&gt;"Net Operating Revenue",D594&lt;&gt;"Net Other Revenue",D594&lt;&gt;"Net Revenue"),1,0)</f>
        <v>0</v>
      </c>
      <c r="H594" s="36" t="str">
        <f aca="false">IF(G594=1,IF(AND(LEN(D594)&gt;7,ISNUMBER(VALUE(LEFT(D594,6))),MID(D594,7,1)=" "),LEFT(D594,6),D594),"")</f>
        <v/>
      </c>
      <c r="M594" s="36" t="str">
        <f aca="false">TRIM(J594)</f>
        <v/>
      </c>
      <c r="N594" s="36" t="str">
        <f aca="false">IF(M594="Revenue","Revenue",IF(M594="Cost of Goods Sold","COGS",IF(M594="Expenditures","Expense",IF(M594="Other Revenue","Other Revenue",IF(M594="Other Expenditures","Other Expense",N593)))))</f>
        <v/>
      </c>
      <c r="O594" s="36" t="str">
        <f aca="false">IF(OR(M594="Revenue",M594="Cost of Goods Sold",M594="Expenditures",M594="Other Revenue",M594="Other Expenditures"),N594,IF(AND(LEN(M594)&gt;2,MID(M594,2,1)=" ",ISNUMBER(VALUE(LEFT(M594,1)))),M594,O593))</f>
        <v/>
      </c>
      <c r="P594" s="36" t="n">
        <f aca="false">IF(AND(M594&lt;&gt;"",ISNUMBER(K594),LEFT(M594,9)&lt;&gt;"Total for",M594&lt;&gt;"Gross Profit",M594&lt;&gt;"Net Operating Revenue",M594&lt;&gt;"Net Other Revenue",M594&lt;&gt;"Net Revenue"),1,0)</f>
        <v>0</v>
      </c>
      <c r="Q594" s="36" t="str">
        <f aca="false">IF(P594=1,IF(AND(LEN(M594)&gt;7,ISNUMBER(VALUE(LEFT(M594,6))),MID(M594,7,1)=" "),LEFT(M594,6),M594),"")</f>
        <v/>
      </c>
      <c r="V594" s="36" t="str">
        <f aca="false">TRIM(S594)</f>
        <v/>
      </c>
      <c r="W594" s="36" t="str">
        <f aca="false">IF(V594="Revenue","Revenue",IF(V594="Cost of Goods Sold","COGS",IF(V594="Expenditures","Expense",IF(V594="Other Revenue","Other Revenue",IF(V594="Other Expenditures","Other Expense",W593)))))</f>
        <v/>
      </c>
      <c r="X594" s="36" t="str">
        <f aca="false">IF(OR(V594="Revenue",V594="Cost of Goods Sold",V594="Expenditures",V594="Other Revenue",V594="Other Expenditures"),W594,IF(AND(LEN(V594)&gt;2,MID(V594,2,1)=" ",ISNUMBER(VALUE(LEFT(V594,1)))),V594,X593))</f>
        <v/>
      </c>
      <c r="Y594" s="36" t="n">
        <f aca="false">IF(AND(V594&lt;&gt;"",ISNUMBER(T594),LEFT(V594,9)&lt;&gt;"Total for",V594&lt;&gt;"Gross Profit",V594&lt;&gt;"Net Operating Revenue",V594&lt;&gt;"Net Other Revenue",V594&lt;&gt;"Net Revenue"),1,0)</f>
        <v>0</v>
      </c>
      <c r="Z594" s="36" t="str">
        <f aca="false">IF(Y594=1,IF(AND(LEN(V594)&gt;7,ISNUMBER(VALUE(LEFT(V594,6))),MID(V594,7,1)=" "),LEFT(V594,6),V594),"")</f>
        <v/>
      </c>
      <c r="AE594" s="36" t="str">
        <f aca="false">TRIM(AB594)</f>
        <v/>
      </c>
      <c r="AF594" s="36" t="str">
        <f aca="false">IF(AE594="Revenue","Revenue",IF(AE594="Cost of Goods Sold","COGS",IF(AE594="Expenditures","Expense",IF(AE594="Other Revenue","Other Revenue",IF(AE594="Other Expenditures","Other Expense",AF593)))))</f>
        <v/>
      </c>
      <c r="AG594" s="36" t="str">
        <f aca="false">IF(OR(AE594="Revenue",AE594="Cost of Goods Sold",AE594="Expenditures",AE594="Other Revenue",AE594="Other Expenditures"),AF594,IF(AND(LEN(AE594)&gt;2,MID(AE594,2,1)=" ",ISNUMBER(VALUE(LEFT(AE594,1)))),AE594,AG593))</f>
        <v/>
      </c>
      <c r="AH594" s="36" t="n">
        <f aca="false">IF(AND(AE594&lt;&gt;"",ISNUMBER(AC594),LEFT(AE594,9)&lt;&gt;"Total for",AE594&lt;&gt;"Gross Profit",AE594&lt;&gt;"Net Operating Revenue",AE594&lt;&gt;"Net Other Revenue",AE594&lt;&gt;"Net Revenue"),1,0)</f>
        <v>0</v>
      </c>
      <c r="AI594" s="36" t="str">
        <f aca="false">IF(AH594=1,IF(AND(LEN(AE594)&gt;7,ISNUMBER(VALUE(LEFT(AE594,6))),MID(AE594,7,1)=" "),LEFT(AE594,6),AE594),"")</f>
        <v/>
      </c>
      <c r="AN594" s="36" t="str">
        <f aca="false">TRIM(AK594)</f>
        <v/>
      </c>
      <c r="AO594" s="36" t="str">
        <f aca="false">IF(AN594="Revenue","Revenue",IF(AN594="Cost of Goods Sold","COGS",IF(AN594="Expenditures","Expense",IF(AN594="Other Revenue","Other Revenue",IF(AN594="Other Expenditures","Other Expense",AO593)))))</f>
        <v/>
      </c>
      <c r="AP594" s="36" t="str">
        <f aca="false">IF(OR(AN594="Revenue",AN594="Cost of Goods Sold",AN594="Expenditures",AN594="Other Revenue",AN594="Other Expenditures"),AO594,IF(AND(LEN(AN594)&gt;2,MID(AN594,2,1)=" ",ISNUMBER(VALUE(LEFT(AN594,1)))),AN594,AP593))</f>
        <v/>
      </c>
      <c r="AQ594" s="36" t="n">
        <f aca="false">IF(AND(AN594&lt;&gt;"",ISNUMBER(AL594),LEFT(AN594,9)&lt;&gt;"Total for",AN594&lt;&gt;"Gross Profit",AN594&lt;&gt;"Net Operating Revenue",AN594&lt;&gt;"Net Other Revenue",AN594&lt;&gt;"Net Revenue"),1,0)</f>
        <v>0</v>
      </c>
      <c r="AR594" s="36" t="str">
        <f aca="false">IF(AQ594=1,IF(AND(LEN(AN594)&gt;7,ISNUMBER(VALUE(LEFT(AN594,6))),MID(AN594,7,1)=" "),LEFT(AN594,6),AN594),"")</f>
        <v/>
      </c>
    </row>
    <row r="595" customFormat="false" ht="15" hidden="false" customHeight="false" outlineLevel="0" collapsed="false">
      <c r="D595" s="36" t="str">
        <f aca="false">TRIM(A595)</f>
        <v/>
      </c>
      <c r="E595" s="36" t="str">
        <f aca="false">IF(D595="Revenue","Revenue",IF(D595="Cost of Goods Sold","COGS",IF(D595="Expenditures","Expense",IF(D595="Other Revenue","Other Revenue",IF(D595="Other Expenditures","Other Expense",E594)))))</f>
        <v/>
      </c>
      <c r="F595" s="36" t="str">
        <f aca="false">IF(OR(D595="Revenue",D595="Cost of Goods Sold",D595="Expenditures",D595="Other Revenue",D595="Other Expenditures"),E595,IF(AND(LEN(D595)&gt;2,MID(D595,2,1)=" ",ISNUMBER(VALUE(LEFT(D595,1)))),D595,F594))</f>
        <v/>
      </c>
      <c r="G595" s="36" t="n">
        <f aca="false">IF(AND(D595&lt;&gt;"",ISNUMBER(B595),LEFT(D595,9)&lt;&gt;"Total for",D595&lt;&gt;"Gross Profit",D595&lt;&gt;"Net Operating Revenue",D595&lt;&gt;"Net Other Revenue",D595&lt;&gt;"Net Revenue"),1,0)</f>
        <v>0</v>
      </c>
      <c r="H595" s="36" t="str">
        <f aca="false">IF(G595=1,IF(AND(LEN(D595)&gt;7,ISNUMBER(VALUE(LEFT(D595,6))),MID(D595,7,1)=" "),LEFT(D595,6),D595),"")</f>
        <v/>
      </c>
      <c r="M595" s="36" t="str">
        <f aca="false">TRIM(J595)</f>
        <v/>
      </c>
      <c r="N595" s="36" t="str">
        <f aca="false">IF(M595="Revenue","Revenue",IF(M595="Cost of Goods Sold","COGS",IF(M595="Expenditures","Expense",IF(M595="Other Revenue","Other Revenue",IF(M595="Other Expenditures","Other Expense",N594)))))</f>
        <v/>
      </c>
      <c r="O595" s="36" t="str">
        <f aca="false">IF(OR(M595="Revenue",M595="Cost of Goods Sold",M595="Expenditures",M595="Other Revenue",M595="Other Expenditures"),N595,IF(AND(LEN(M595)&gt;2,MID(M595,2,1)=" ",ISNUMBER(VALUE(LEFT(M595,1)))),M595,O594))</f>
        <v/>
      </c>
      <c r="P595" s="36" t="n">
        <f aca="false">IF(AND(M595&lt;&gt;"",ISNUMBER(K595),LEFT(M595,9)&lt;&gt;"Total for",M595&lt;&gt;"Gross Profit",M595&lt;&gt;"Net Operating Revenue",M595&lt;&gt;"Net Other Revenue",M595&lt;&gt;"Net Revenue"),1,0)</f>
        <v>0</v>
      </c>
      <c r="Q595" s="36" t="str">
        <f aca="false">IF(P595=1,IF(AND(LEN(M595)&gt;7,ISNUMBER(VALUE(LEFT(M595,6))),MID(M595,7,1)=" "),LEFT(M595,6),M595),"")</f>
        <v/>
      </c>
      <c r="V595" s="36" t="str">
        <f aca="false">TRIM(S595)</f>
        <v/>
      </c>
      <c r="W595" s="36" t="str">
        <f aca="false">IF(V595="Revenue","Revenue",IF(V595="Cost of Goods Sold","COGS",IF(V595="Expenditures","Expense",IF(V595="Other Revenue","Other Revenue",IF(V595="Other Expenditures","Other Expense",W594)))))</f>
        <v/>
      </c>
      <c r="X595" s="36" t="str">
        <f aca="false">IF(OR(V595="Revenue",V595="Cost of Goods Sold",V595="Expenditures",V595="Other Revenue",V595="Other Expenditures"),W595,IF(AND(LEN(V595)&gt;2,MID(V595,2,1)=" ",ISNUMBER(VALUE(LEFT(V595,1)))),V595,X594))</f>
        <v/>
      </c>
      <c r="Y595" s="36" t="n">
        <f aca="false">IF(AND(V595&lt;&gt;"",ISNUMBER(T595),LEFT(V595,9)&lt;&gt;"Total for",V595&lt;&gt;"Gross Profit",V595&lt;&gt;"Net Operating Revenue",V595&lt;&gt;"Net Other Revenue",V595&lt;&gt;"Net Revenue"),1,0)</f>
        <v>0</v>
      </c>
      <c r="Z595" s="36" t="str">
        <f aca="false">IF(Y595=1,IF(AND(LEN(V595)&gt;7,ISNUMBER(VALUE(LEFT(V595,6))),MID(V595,7,1)=" "),LEFT(V595,6),V595),"")</f>
        <v/>
      </c>
      <c r="AE595" s="36" t="str">
        <f aca="false">TRIM(AB595)</f>
        <v/>
      </c>
      <c r="AF595" s="36" t="str">
        <f aca="false">IF(AE595="Revenue","Revenue",IF(AE595="Cost of Goods Sold","COGS",IF(AE595="Expenditures","Expense",IF(AE595="Other Revenue","Other Revenue",IF(AE595="Other Expenditures","Other Expense",AF594)))))</f>
        <v/>
      </c>
      <c r="AG595" s="36" t="str">
        <f aca="false">IF(OR(AE595="Revenue",AE595="Cost of Goods Sold",AE595="Expenditures",AE595="Other Revenue",AE595="Other Expenditures"),AF595,IF(AND(LEN(AE595)&gt;2,MID(AE595,2,1)=" ",ISNUMBER(VALUE(LEFT(AE595,1)))),AE595,AG594))</f>
        <v/>
      </c>
      <c r="AH595" s="36" t="n">
        <f aca="false">IF(AND(AE595&lt;&gt;"",ISNUMBER(AC595),LEFT(AE595,9)&lt;&gt;"Total for",AE595&lt;&gt;"Gross Profit",AE595&lt;&gt;"Net Operating Revenue",AE595&lt;&gt;"Net Other Revenue",AE595&lt;&gt;"Net Revenue"),1,0)</f>
        <v>0</v>
      </c>
      <c r="AI595" s="36" t="str">
        <f aca="false">IF(AH595=1,IF(AND(LEN(AE595)&gt;7,ISNUMBER(VALUE(LEFT(AE595,6))),MID(AE595,7,1)=" "),LEFT(AE595,6),AE595),"")</f>
        <v/>
      </c>
      <c r="AN595" s="36" t="str">
        <f aca="false">TRIM(AK595)</f>
        <v/>
      </c>
      <c r="AO595" s="36" t="str">
        <f aca="false">IF(AN595="Revenue","Revenue",IF(AN595="Cost of Goods Sold","COGS",IF(AN595="Expenditures","Expense",IF(AN595="Other Revenue","Other Revenue",IF(AN595="Other Expenditures","Other Expense",AO594)))))</f>
        <v/>
      </c>
      <c r="AP595" s="36" t="str">
        <f aca="false">IF(OR(AN595="Revenue",AN595="Cost of Goods Sold",AN595="Expenditures",AN595="Other Revenue",AN595="Other Expenditures"),AO595,IF(AND(LEN(AN595)&gt;2,MID(AN595,2,1)=" ",ISNUMBER(VALUE(LEFT(AN595,1)))),AN595,AP594))</f>
        <v/>
      </c>
      <c r="AQ595" s="36" t="n">
        <f aca="false">IF(AND(AN595&lt;&gt;"",ISNUMBER(AL595),LEFT(AN595,9)&lt;&gt;"Total for",AN595&lt;&gt;"Gross Profit",AN595&lt;&gt;"Net Operating Revenue",AN595&lt;&gt;"Net Other Revenue",AN595&lt;&gt;"Net Revenue"),1,0)</f>
        <v>0</v>
      </c>
      <c r="AR595" s="36" t="str">
        <f aca="false">IF(AQ595=1,IF(AND(LEN(AN595)&gt;7,ISNUMBER(VALUE(LEFT(AN595,6))),MID(AN595,7,1)=" "),LEFT(AN595,6),AN595),"")</f>
        <v/>
      </c>
    </row>
    <row r="596" customFormat="false" ht="15" hidden="false" customHeight="false" outlineLevel="0" collapsed="false">
      <c r="D596" s="36" t="str">
        <f aca="false">TRIM(A596)</f>
        <v/>
      </c>
      <c r="E596" s="36" t="str">
        <f aca="false">IF(D596="Revenue","Revenue",IF(D596="Cost of Goods Sold","COGS",IF(D596="Expenditures","Expense",IF(D596="Other Revenue","Other Revenue",IF(D596="Other Expenditures","Other Expense",E595)))))</f>
        <v/>
      </c>
      <c r="F596" s="36" t="str">
        <f aca="false">IF(OR(D596="Revenue",D596="Cost of Goods Sold",D596="Expenditures",D596="Other Revenue",D596="Other Expenditures"),E596,IF(AND(LEN(D596)&gt;2,MID(D596,2,1)=" ",ISNUMBER(VALUE(LEFT(D596,1)))),D596,F595))</f>
        <v/>
      </c>
      <c r="G596" s="36" t="n">
        <f aca="false">IF(AND(D596&lt;&gt;"",ISNUMBER(B596),LEFT(D596,9)&lt;&gt;"Total for",D596&lt;&gt;"Gross Profit",D596&lt;&gt;"Net Operating Revenue",D596&lt;&gt;"Net Other Revenue",D596&lt;&gt;"Net Revenue"),1,0)</f>
        <v>0</v>
      </c>
      <c r="H596" s="36" t="str">
        <f aca="false">IF(G596=1,IF(AND(LEN(D596)&gt;7,ISNUMBER(VALUE(LEFT(D596,6))),MID(D596,7,1)=" "),LEFT(D596,6),D596),"")</f>
        <v/>
      </c>
      <c r="M596" s="36" t="str">
        <f aca="false">TRIM(J596)</f>
        <v/>
      </c>
      <c r="N596" s="36" t="str">
        <f aca="false">IF(M596="Revenue","Revenue",IF(M596="Cost of Goods Sold","COGS",IF(M596="Expenditures","Expense",IF(M596="Other Revenue","Other Revenue",IF(M596="Other Expenditures","Other Expense",N595)))))</f>
        <v/>
      </c>
      <c r="O596" s="36" t="str">
        <f aca="false">IF(OR(M596="Revenue",M596="Cost of Goods Sold",M596="Expenditures",M596="Other Revenue",M596="Other Expenditures"),N596,IF(AND(LEN(M596)&gt;2,MID(M596,2,1)=" ",ISNUMBER(VALUE(LEFT(M596,1)))),M596,O595))</f>
        <v/>
      </c>
      <c r="P596" s="36" t="n">
        <f aca="false">IF(AND(M596&lt;&gt;"",ISNUMBER(K596),LEFT(M596,9)&lt;&gt;"Total for",M596&lt;&gt;"Gross Profit",M596&lt;&gt;"Net Operating Revenue",M596&lt;&gt;"Net Other Revenue",M596&lt;&gt;"Net Revenue"),1,0)</f>
        <v>0</v>
      </c>
      <c r="Q596" s="36" t="str">
        <f aca="false">IF(P596=1,IF(AND(LEN(M596)&gt;7,ISNUMBER(VALUE(LEFT(M596,6))),MID(M596,7,1)=" "),LEFT(M596,6),M596),"")</f>
        <v/>
      </c>
      <c r="V596" s="36" t="str">
        <f aca="false">TRIM(S596)</f>
        <v/>
      </c>
      <c r="W596" s="36" t="str">
        <f aca="false">IF(V596="Revenue","Revenue",IF(V596="Cost of Goods Sold","COGS",IF(V596="Expenditures","Expense",IF(V596="Other Revenue","Other Revenue",IF(V596="Other Expenditures","Other Expense",W595)))))</f>
        <v/>
      </c>
      <c r="X596" s="36" t="str">
        <f aca="false">IF(OR(V596="Revenue",V596="Cost of Goods Sold",V596="Expenditures",V596="Other Revenue",V596="Other Expenditures"),W596,IF(AND(LEN(V596)&gt;2,MID(V596,2,1)=" ",ISNUMBER(VALUE(LEFT(V596,1)))),V596,X595))</f>
        <v/>
      </c>
      <c r="Y596" s="36" t="n">
        <f aca="false">IF(AND(V596&lt;&gt;"",ISNUMBER(T596),LEFT(V596,9)&lt;&gt;"Total for",V596&lt;&gt;"Gross Profit",V596&lt;&gt;"Net Operating Revenue",V596&lt;&gt;"Net Other Revenue",V596&lt;&gt;"Net Revenue"),1,0)</f>
        <v>0</v>
      </c>
      <c r="Z596" s="36" t="str">
        <f aca="false">IF(Y596=1,IF(AND(LEN(V596)&gt;7,ISNUMBER(VALUE(LEFT(V596,6))),MID(V596,7,1)=" "),LEFT(V596,6),V596),"")</f>
        <v/>
      </c>
      <c r="AE596" s="36" t="str">
        <f aca="false">TRIM(AB596)</f>
        <v/>
      </c>
      <c r="AF596" s="36" t="str">
        <f aca="false">IF(AE596="Revenue","Revenue",IF(AE596="Cost of Goods Sold","COGS",IF(AE596="Expenditures","Expense",IF(AE596="Other Revenue","Other Revenue",IF(AE596="Other Expenditures","Other Expense",AF595)))))</f>
        <v/>
      </c>
      <c r="AG596" s="36" t="str">
        <f aca="false">IF(OR(AE596="Revenue",AE596="Cost of Goods Sold",AE596="Expenditures",AE596="Other Revenue",AE596="Other Expenditures"),AF596,IF(AND(LEN(AE596)&gt;2,MID(AE596,2,1)=" ",ISNUMBER(VALUE(LEFT(AE596,1)))),AE596,AG595))</f>
        <v/>
      </c>
      <c r="AH596" s="36" t="n">
        <f aca="false">IF(AND(AE596&lt;&gt;"",ISNUMBER(AC596),LEFT(AE596,9)&lt;&gt;"Total for",AE596&lt;&gt;"Gross Profit",AE596&lt;&gt;"Net Operating Revenue",AE596&lt;&gt;"Net Other Revenue",AE596&lt;&gt;"Net Revenue"),1,0)</f>
        <v>0</v>
      </c>
      <c r="AI596" s="36" t="str">
        <f aca="false">IF(AH596=1,IF(AND(LEN(AE596)&gt;7,ISNUMBER(VALUE(LEFT(AE596,6))),MID(AE596,7,1)=" "),LEFT(AE596,6),AE596),"")</f>
        <v/>
      </c>
      <c r="AN596" s="36" t="str">
        <f aca="false">TRIM(AK596)</f>
        <v/>
      </c>
      <c r="AO596" s="36" t="str">
        <f aca="false">IF(AN596="Revenue","Revenue",IF(AN596="Cost of Goods Sold","COGS",IF(AN596="Expenditures","Expense",IF(AN596="Other Revenue","Other Revenue",IF(AN596="Other Expenditures","Other Expense",AO595)))))</f>
        <v/>
      </c>
      <c r="AP596" s="36" t="str">
        <f aca="false">IF(OR(AN596="Revenue",AN596="Cost of Goods Sold",AN596="Expenditures",AN596="Other Revenue",AN596="Other Expenditures"),AO596,IF(AND(LEN(AN596)&gt;2,MID(AN596,2,1)=" ",ISNUMBER(VALUE(LEFT(AN596,1)))),AN596,AP595))</f>
        <v/>
      </c>
      <c r="AQ596" s="36" t="n">
        <f aca="false">IF(AND(AN596&lt;&gt;"",ISNUMBER(AL596),LEFT(AN596,9)&lt;&gt;"Total for",AN596&lt;&gt;"Gross Profit",AN596&lt;&gt;"Net Operating Revenue",AN596&lt;&gt;"Net Other Revenue",AN596&lt;&gt;"Net Revenue"),1,0)</f>
        <v>0</v>
      </c>
      <c r="AR596" s="36" t="str">
        <f aca="false">IF(AQ596=1,IF(AND(LEN(AN596)&gt;7,ISNUMBER(VALUE(LEFT(AN596,6))),MID(AN596,7,1)=" "),LEFT(AN596,6),AN596),"")</f>
        <v/>
      </c>
    </row>
    <row r="597" customFormat="false" ht="15" hidden="false" customHeight="false" outlineLevel="0" collapsed="false">
      <c r="D597" s="36" t="str">
        <f aca="false">TRIM(A597)</f>
        <v/>
      </c>
      <c r="E597" s="36" t="str">
        <f aca="false">IF(D597="Revenue","Revenue",IF(D597="Cost of Goods Sold","COGS",IF(D597="Expenditures","Expense",IF(D597="Other Revenue","Other Revenue",IF(D597="Other Expenditures","Other Expense",E596)))))</f>
        <v/>
      </c>
      <c r="F597" s="36" t="str">
        <f aca="false">IF(OR(D597="Revenue",D597="Cost of Goods Sold",D597="Expenditures",D597="Other Revenue",D597="Other Expenditures"),E597,IF(AND(LEN(D597)&gt;2,MID(D597,2,1)=" ",ISNUMBER(VALUE(LEFT(D597,1)))),D597,F596))</f>
        <v/>
      </c>
      <c r="G597" s="36" t="n">
        <f aca="false">IF(AND(D597&lt;&gt;"",ISNUMBER(B597),LEFT(D597,9)&lt;&gt;"Total for",D597&lt;&gt;"Gross Profit",D597&lt;&gt;"Net Operating Revenue",D597&lt;&gt;"Net Other Revenue",D597&lt;&gt;"Net Revenue"),1,0)</f>
        <v>0</v>
      </c>
      <c r="H597" s="36" t="str">
        <f aca="false">IF(G597=1,IF(AND(LEN(D597)&gt;7,ISNUMBER(VALUE(LEFT(D597,6))),MID(D597,7,1)=" "),LEFT(D597,6),D597),"")</f>
        <v/>
      </c>
      <c r="M597" s="36" t="str">
        <f aca="false">TRIM(J597)</f>
        <v/>
      </c>
      <c r="N597" s="36" t="str">
        <f aca="false">IF(M597="Revenue","Revenue",IF(M597="Cost of Goods Sold","COGS",IF(M597="Expenditures","Expense",IF(M597="Other Revenue","Other Revenue",IF(M597="Other Expenditures","Other Expense",N596)))))</f>
        <v/>
      </c>
      <c r="O597" s="36" t="str">
        <f aca="false">IF(OR(M597="Revenue",M597="Cost of Goods Sold",M597="Expenditures",M597="Other Revenue",M597="Other Expenditures"),N597,IF(AND(LEN(M597)&gt;2,MID(M597,2,1)=" ",ISNUMBER(VALUE(LEFT(M597,1)))),M597,O596))</f>
        <v/>
      </c>
      <c r="P597" s="36" t="n">
        <f aca="false">IF(AND(M597&lt;&gt;"",ISNUMBER(K597),LEFT(M597,9)&lt;&gt;"Total for",M597&lt;&gt;"Gross Profit",M597&lt;&gt;"Net Operating Revenue",M597&lt;&gt;"Net Other Revenue",M597&lt;&gt;"Net Revenue"),1,0)</f>
        <v>0</v>
      </c>
      <c r="Q597" s="36" t="str">
        <f aca="false">IF(P597=1,IF(AND(LEN(M597)&gt;7,ISNUMBER(VALUE(LEFT(M597,6))),MID(M597,7,1)=" "),LEFT(M597,6),M597),"")</f>
        <v/>
      </c>
      <c r="V597" s="36" t="str">
        <f aca="false">TRIM(S597)</f>
        <v/>
      </c>
      <c r="W597" s="36" t="str">
        <f aca="false">IF(V597="Revenue","Revenue",IF(V597="Cost of Goods Sold","COGS",IF(V597="Expenditures","Expense",IF(V597="Other Revenue","Other Revenue",IF(V597="Other Expenditures","Other Expense",W596)))))</f>
        <v/>
      </c>
      <c r="X597" s="36" t="str">
        <f aca="false">IF(OR(V597="Revenue",V597="Cost of Goods Sold",V597="Expenditures",V597="Other Revenue",V597="Other Expenditures"),W597,IF(AND(LEN(V597)&gt;2,MID(V597,2,1)=" ",ISNUMBER(VALUE(LEFT(V597,1)))),V597,X596))</f>
        <v/>
      </c>
      <c r="Y597" s="36" t="n">
        <f aca="false">IF(AND(V597&lt;&gt;"",ISNUMBER(T597),LEFT(V597,9)&lt;&gt;"Total for",V597&lt;&gt;"Gross Profit",V597&lt;&gt;"Net Operating Revenue",V597&lt;&gt;"Net Other Revenue",V597&lt;&gt;"Net Revenue"),1,0)</f>
        <v>0</v>
      </c>
      <c r="Z597" s="36" t="str">
        <f aca="false">IF(Y597=1,IF(AND(LEN(V597)&gt;7,ISNUMBER(VALUE(LEFT(V597,6))),MID(V597,7,1)=" "),LEFT(V597,6),V597),"")</f>
        <v/>
      </c>
      <c r="AE597" s="36" t="str">
        <f aca="false">TRIM(AB597)</f>
        <v/>
      </c>
      <c r="AF597" s="36" t="str">
        <f aca="false">IF(AE597="Revenue","Revenue",IF(AE597="Cost of Goods Sold","COGS",IF(AE597="Expenditures","Expense",IF(AE597="Other Revenue","Other Revenue",IF(AE597="Other Expenditures","Other Expense",AF596)))))</f>
        <v/>
      </c>
      <c r="AG597" s="36" t="str">
        <f aca="false">IF(OR(AE597="Revenue",AE597="Cost of Goods Sold",AE597="Expenditures",AE597="Other Revenue",AE597="Other Expenditures"),AF597,IF(AND(LEN(AE597)&gt;2,MID(AE597,2,1)=" ",ISNUMBER(VALUE(LEFT(AE597,1)))),AE597,AG596))</f>
        <v/>
      </c>
      <c r="AH597" s="36" t="n">
        <f aca="false">IF(AND(AE597&lt;&gt;"",ISNUMBER(AC597),LEFT(AE597,9)&lt;&gt;"Total for",AE597&lt;&gt;"Gross Profit",AE597&lt;&gt;"Net Operating Revenue",AE597&lt;&gt;"Net Other Revenue",AE597&lt;&gt;"Net Revenue"),1,0)</f>
        <v>0</v>
      </c>
      <c r="AI597" s="36" t="str">
        <f aca="false">IF(AH597=1,IF(AND(LEN(AE597)&gt;7,ISNUMBER(VALUE(LEFT(AE597,6))),MID(AE597,7,1)=" "),LEFT(AE597,6),AE597),"")</f>
        <v/>
      </c>
      <c r="AN597" s="36" t="str">
        <f aca="false">TRIM(AK597)</f>
        <v/>
      </c>
      <c r="AO597" s="36" t="str">
        <f aca="false">IF(AN597="Revenue","Revenue",IF(AN597="Cost of Goods Sold","COGS",IF(AN597="Expenditures","Expense",IF(AN597="Other Revenue","Other Revenue",IF(AN597="Other Expenditures","Other Expense",AO596)))))</f>
        <v/>
      </c>
      <c r="AP597" s="36" t="str">
        <f aca="false">IF(OR(AN597="Revenue",AN597="Cost of Goods Sold",AN597="Expenditures",AN597="Other Revenue",AN597="Other Expenditures"),AO597,IF(AND(LEN(AN597)&gt;2,MID(AN597,2,1)=" ",ISNUMBER(VALUE(LEFT(AN597,1)))),AN597,AP596))</f>
        <v/>
      </c>
      <c r="AQ597" s="36" t="n">
        <f aca="false">IF(AND(AN597&lt;&gt;"",ISNUMBER(AL597),LEFT(AN597,9)&lt;&gt;"Total for",AN597&lt;&gt;"Gross Profit",AN597&lt;&gt;"Net Operating Revenue",AN597&lt;&gt;"Net Other Revenue",AN597&lt;&gt;"Net Revenue"),1,0)</f>
        <v>0</v>
      </c>
      <c r="AR597" s="36" t="str">
        <f aca="false">IF(AQ597=1,IF(AND(LEN(AN597)&gt;7,ISNUMBER(VALUE(LEFT(AN597,6))),MID(AN597,7,1)=" "),LEFT(AN597,6),AN597),"")</f>
        <v/>
      </c>
    </row>
    <row r="598" customFormat="false" ht="15" hidden="false" customHeight="false" outlineLevel="0" collapsed="false">
      <c r="D598" s="36" t="str">
        <f aca="false">TRIM(A598)</f>
        <v/>
      </c>
      <c r="E598" s="36" t="str">
        <f aca="false">IF(D598="Revenue","Revenue",IF(D598="Cost of Goods Sold","COGS",IF(D598="Expenditures","Expense",IF(D598="Other Revenue","Other Revenue",IF(D598="Other Expenditures","Other Expense",E597)))))</f>
        <v/>
      </c>
      <c r="F598" s="36" t="str">
        <f aca="false">IF(OR(D598="Revenue",D598="Cost of Goods Sold",D598="Expenditures",D598="Other Revenue",D598="Other Expenditures"),E598,IF(AND(LEN(D598)&gt;2,MID(D598,2,1)=" ",ISNUMBER(VALUE(LEFT(D598,1)))),D598,F597))</f>
        <v/>
      </c>
      <c r="G598" s="36" t="n">
        <f aca="false">IF(AND(D598&lt;&gt;"",ISNUMBER(B598),LEFT(D598,9)&lt;&gt;"Total for",D598&lt;&gt;"Gross Profit",D598&lt;&gt;"Net Operating Revenue",D598&lt;&gt;"Net Other Revenue",D598&lt;&gt;"Net Revenue"),1,0)</f>
        <v>0</v>
      </c>
      <c r="H598" s="36" t="str">
        <f aca="false">IF(G598=1,IF(AND(LEN(D598)&gt;7,ISNUMBER(VALUE(LEFT(D598,6))),MID(D598,7,1)=" "),LEFT(D598,6),D598),"")</f>
        <v/>
      </c>
      <c r="M598" s="36" t="str">
        <f aca="false">TRIM(J598)</f>
        <v/>
      </c>
      <c r="N598" s="36" t="str">
        <f aca="false">IF(M598="Revenue","Revenue",IF(M598="Cost of Goods Sold","COGS",IF(M598="Expenditures","Expense",IF(M598="Other Revenue","Other Revenue",IF(M598="Other Expenditures","Other Expense",N597)))))</f>
        <v/>
      </c>
      <c r="O598" s="36" t="str">
        <f aca="false">IF(OR(M598="Revenue",M598="Cost of Goods Sold",M598="Expenditures",M598="Other Revenue",M598="Other Expenditures"),N598,IF(AND(LEN(M598)&gt;2,MID(M598,2,1)=" ",ISNUMBER(VALUE(LEFT(M598,1)))),M598,O597))</f>
        <v/>
      </c>
      <c r="P598" s="36" t="n">
        <f aca="false">IF(AND(M598&lt;&gt;"",ISNUMBER(K598),LEFT(M598,9)&lt;&gt;"Total for",M598&lt;&gt;"Gross Profit",M598&lt;&gt;"Net Operating Revenue",M598&lt;&gt;"Net Other Revenue",M598&lt;&gt;"Net Revenue"),1,0)</f>
        <v>0</v>
      </c>
      <c r="Q598" s="36" t="str">
        <f aca="false">IF(P598=1,IF(AND(LEN(M598)&gt;7,ISNUMBER(VALUE(LEFT(M598,6))),MID(M598,7,1)=" "),LEFT(M598,6),M598),"")</f>
        <v/>
      </c>
      <c r="V598" s="36" t="str">
        <f aca="false">TRIM(S598)</f>
        <v/>
      </c>
      <c r="W598" s="36" t="str">
        <f aca="false">IF(V598="Revenue","Revenue",IF(V598="Cost of Goods Sold","COGS",IF(V598="Expenditures","Expense",IF(V598="Other Revenue","Other Revenue",IF(V598="Other Expenditures","Other Expense",W597)))))</f>
        <v/>
      </c>
      <c r="X598" s="36" t="str">
        <f aca="false">IF(OR(V598="Revenue",V598="Cost of Goods Sold",V598="Expenditures",V598="Other Revenue",V598="Other Expenditures"),W598,IF(AND(LEN(V598)&gt;2,MID(V598,2,1)=" ",ISNUMBER(VALUE(LEFT(V598,1)))),V598,X597))</f>
        <v/>
      </c>
      <c r="Y598" s="36" t="n">
        <f aca="false">IF(AND(V598&lt;&gt;"",ISNUMBER(T598),LEFT(V598,9)&lt;&gt;"Total for",V598&lt;&gt;"Gross Profit",V598&lt;&gt;"Net Operating Revenue",V598&lt;&gt;"Net Other Revenue",V598&lt;&gt;"Net Revenue"),1,0)</f>
        <v>0</v>
      </c>
      <c r="Z598" s="36" t="str">
        <f aca="false">IF(Y598=1,IF(AND(LEN(V598)&gt;7,ISNUMBER(VALUE(LEFT(V598,6))),MID(V598,7,1)=" "),LEFT(V598,6),V598),"")</f>
        <v/>
      </c>
      <c r="AE598" s="36" t="str">
        <f aca="false">TRIM(AB598)</f>
        <v/>
      </c>
      <c r="AF598" s="36" t="str">
        <f aca="false">IF(AE598="Revenue","Revenue",IF(AE598="Cost of Goods Sold","COGS",IF(AE598="Expenditures","Expense",IF(AE598="Other Revenue","Other Revenue",IF(AE598="Other Expenditures","Other Expense",AF597)))))</f>
        <v/>
      </c>
      <c r="AG598" s="36" t="str">
        <f aca="false">IF(OR(AE598="Revenue",AE598="Cost of Goods Sold",AE598="Expenditures",AE598="Other Revenue",AE598="Other Expenditures"),AF598,IF(AND(LEN(AE598)&gt;2,MID(AE598,2,1)=" ",ISNUMBER(VALUE(LEFT(AE598,1)))),AE598,AG597))</f>
        <v/>
      </c>
      <c r="AH598" s="36" t="n">
        <f aca="false">IF(AND(AE598&lt;&gt;"",ISNUMBER(AC598),LEFT(AE598,9)&lt;&gt;"Total for",AE598&lt;&gt;"Gross Profit",AE598&lt;&gt;"Net Operating Revenue",AE598&lt;&gt;"Net Other Revenue",AE598&lt;&gt;"Net Revenue"),1,0)</f>
        <v>0</v>
      </c>
      <c r="AI598" s="36" t="str">
        <f aca="false">IF(AH598=1,IF(AND(LEN(AE598)&gt;7,ISNUMBER(VALUE(LEFT(AE598,6))),MID(AE598,7,1)=" "),LEFT(AE598,6),AE598),"")</f>
        <v/>
      </c>
      <c r="AN598" s="36" t="str">
        <f aca="false">TRIM(AK598)</f>
        <v/>
      </c>
      <c r="AO598" s="36" t="str">
        <f aca="false">IF(AN598="Revenue","Revenue",IF(AN598="Cost of Goods Sold","COGS",IF(AN598="Expenditures","Expense",IF(AN598="Other Revenue","Other Revenue",IF(AN598="Other Expenditures","Other Expense",AO597)))))</f>
        <v/>
      </c>
      <c r="AP598" s="36" t="str">
        <f aca="false">IF(OR(AN598="Revenue",AN598="Cost of Goods Sold",AN598="Expenditures",AN598="Other Revenue",AN598="Other Expenditures"),AO598,IF(AND(LEN(AN598)&gt;2,MID(AN598,2,1)=" ",ISNUMBER(VALUE(LEFT(AN598,1)))),AN598,AP597))</f>
        <v/>
      </c>
      <c r="AQ598" s="36" t="n">
        <f aca="false">IF(AND(AN598&lt;&gt;"",ISNUMBER(AL598),LEFT(AN598,9)&lt;&gt;"Total for",AN598&lt;&gt;"Gross Profit",AN598&lt;&gt;"Net Operating Revenue",AN598&lt;&gt;"Net Other Revenue",AN598&lt;&gt;"Net Revenue"),1,0)</f>
        <v>0</v>
      </c>
      <c r="AR598" s="36" t="str">
        <f aca="false">IF(AQ598=1,IF(AND(LEN(AN598)&gt;7,ISNUMBER(VALUE(LEFT(AN598,6))),MID(AN598,7,1)=" "),LEFT(AN598,6),AN598),"")</f>
        <v/>
      </c>
    </row>
    <row r="599" customFormat="false" ht="15" hidden="false" customHeight="false" outlineLevel="0" collapsed="false">
      <c r="D599" s="36" t="str">
        <f aca="false">TRIM(A599)</f>
        <v/>
      </c>
      <c r="E599" s="36" t="str">
        <f aca="false">IF(D599="Revenue","Revenue",IF(D599="Cost of Goods Sold","COGS",IF(D599="Expenditures","Expense",IF(D599="Other Revenue","Other Revenue",IF(D599="Other Expenditures","Other Expense",E598)))))</f>
        <v/>
      </c>
      <c r="F599" s="36" t="str">
        <f aca="false">IF(OR(D599="Revenue",D599="Cost of Goods Sold",D599="Expenditures",D599="Other Revenue",D599="Other Expenditures"),E599,IF(AND(LEN(D599)&gt;2,MID(D599,2,1)=" ",ISNUMBER(VALUE(LEFT(D599,1)))),D599,F598))</f>
        <v/>
      </c>
      <c r="G599" s="36" t="n">
        <f aca="false">IF(AND(D599&lt;&gt;"",ISNUMBER(B599),LEFT(D599,9)&lt;&gt;"Total for",D599&lt;&gt;"Gross Profit",D599&lt;&gt;"Net Operating Revenue",D599&lt;&gt;"Net Other Revenue",D599&lt;&gt;"Net Revenue"),1,0)</f>
        <v>0</v>
      </c>
      <c r="H599" s="36" t="str">
        <f aca="false">IF(G599=1,IF(AND(LEN(D599)&gt;7,ISNUMBER(VALUE(LEFT(D599,6))),MID(D599,7,1)=" "),LEFT(D599,6),D599),"")</f>
        <v/>
      </c>
      <c r="M599" s="36" t="str">
        <f aca="false">TRIM(J599)</f>
        <v/>
      </c>
      <c r="N599" s="36" t="str">
        <f aca="false">IF(M599="Revenue","Revenue",IF(M599="Cost of Goods Sold","COGS",IF(M599="Expenditures","Expense",IF(M599="Other Revenue","Other Revenue",IF(M599="Other Expenditures","Other Expense",N598)))))</f>
        <v/>
      </c>
      <c r="O599" s="36" t="str">
        <f aca="false">IF(OR(M599="Revenue",M599="Cost of Goods Sold",M599="Expenditures",M599="Other Revenue",M599="Other Expenditures"),N599,IF(AND(LEN(M599)&gt;2,MID(M599,2,1)=" ",ISNUMBER(VALUE(LEFT(M599,1)))),M599,O598))</f>
        <v/>
      </c>
      <c r="P599" s="36" t="n">
        <f aca="false">IF(AND(M599&lt;&gt;"",ISNUMBER(K599),LEFT(M599,9)&lt;&gt;"Total for",M599&lt;&gt;"Gross Profit",M599&lt;&gt;"Net Operating Revenue",M599&lt;&gt;"Net Other Revenue",M599&lt;&gt;"Net Revenue"),1,0)</f>
        <v>0</v>
      </c>
      <c r="Q599" s="36" t="str">
        <f aca="false">IF(P599=1,IF(AND(LEN(M599)&gt;7,ISNUMBER(VALUE(LEFT(M599,6))),MID(M599,7,1)=" "),LEFT(M599,6),M599),"")</f>
        <v/>
      </c>
      <c r="V599" s="36" t="str">
        <f aca="false">TRIM(S599)</f>
        <v/>
      </c>
      <c r="W599" s="36" t="str">
        <f aca="false">IF(V599="Revenue","Revenue",IF(V599="Cost of Goods Sold","COGS",IF(V599="Expenditures","Expense",IF(V599="Other Revenue","Other Revenue",IF(V599="Other Expenditures","Other Expense",W598)))))</f>
        <v/>
      </c>
      <c r="X599" s="36" t="str">
        <f aca="false">IF(OR(V599="Revenue",V599="Cost of Goods Sold",V599="Expenditures",V599="Other Revenue",V599="Other Expenditures"),W599,IF(AND(LEN(V599)&gt;2,MID(V599,2,1)=" ",ISNUMBER(VALUE(LEFT(V599,1)))),V599,X598))</f>
        <v/>
      </c>
      <c r="Y599" s="36" t="n">
        <f aca="false">IF(AND(V599&lt;&gt;"",ISNUMBER(T599),LEFT(V599,9)&lt;&gt;"Total for",V599&lt;&gt;"Gross Profit",V599&lt;&gt;"Net Operating Revenue",V599&lt;&gt;"Net Other Revenue",V599&lt;&gt;"Net Revenue"),1,0)</f>
        <v>0</v>
      </c>
      <c r="Z599" s="36" t="str">
        <f aca="false">IF(Y599=1,IF(AND(LEN(V599)&gt;7,ISNUMBER(VALUE(LEFT(V599,6))),MID(V599,7,1)=" "),LEFT(V599,6),V599),"")</f>
        <v/>
      </c>
      <c r="AE599" s="36" t="str">
        <f aca="false">TRIM(AB599)</f>
        <v/>
      </c>
      <c r="AF599" s="36" t="str">
        <f aca="false">IF(AE599="Revenue","Revenue",IF(AE599="Cost of Goods Sold","COGS",IF(AE599="Expenditures","Expense",IF(AE599="Other Revenue","Other Revenue",IF(AE599="Other Expenditures","Other Expense",AF598)))))</f>
        <v/>
      </c>
      <c r="AG599" s="36" t="str">
        <f aca="false">IF(OR(AE599="Revenue",AE599="Cost of Goods Sold",AE599="Expenditures",AE599="Other Revenue",AE599="Other Expenditures"),AF599,IF(AND(LEN(AE599)&gt;2,MID(AE599,2,1)=" ",ISNUMBER(VALUE(LEFT(AE599,1)))),AE599,AG598))</f>
        <v/>
      </c>
      <c r="AH599" s="36" t="n">
        <f aca="false">IF(AND(AE599&lt;&gt;"",ISNUMBER(AC599),LEFT(AE599,9)&lt;&gt;"Total for",AE599&lt;&gt;"Gross Profit",AE599&lt;&gt;"Net Operating Revenue",AE599&lt;&gt;"Net Other Revenue",AE599&lt;&gt;"Net Revenue"),1,0)</f>
        <v>0</v>
      </c>
      <c r="AI599" s="36" t="str">
        <f aca="false">IF(AH599=1,IF(AND(LEN(AE599)&gt;7,ISNUMBER(VALUE(LEFT(AE599,6))),MID(AE599,7,1)=" "),LEFT(AE599,6),AE599),"")</f>
        <v/>
      </c>
      <c r="AN599" s="36" t="str">
        <f aca="false">TRIM(AK599)</f>
        <v/>
      </c>
      <c r="AO599" s="36" t="str">
        <f aca="false">IF(AN599="Revenue","Revenue",IF(AN599="Cost of Goods Sold","COGS",IF(AN599="Expenditures","Expense",IF(AN599="Other Revenue","Other Revenue",IF(AN599="Other Expenditures","Other Expense",AO598)))))</f>
        <v/>
      </c>
      <c r="AP599" s="36" t="str">
        <f aca="false">IF(OR(AN599="Revenue",AN599="Cost of Goods Sold",AN599="Expenditures",AN599="Other Revenue",AN599="Other Expenditures"),AO599,IF(AND(LEN(AN599)&gt;2,MID(AN599,2,1)=" ",ISNUMBER(VALUE(LEFT(AN599,1)))),AN599,AP598))</f>
        <v/>
      </c>
      <c r="AQ599" s="36" t="n">
        <f aca="false">IF(AND(AN599&lt;&gt;"",ISNUMBER(AL599),LEFT(AN599,9)&lt;&gt;"Total for",AN599&lt;&gt;"Gross Profit",AN599&lt;&gt;"Net Operating Revenue",AN599&lt;&gt;"Net Other Revenue",AN599&lt;&gt;"Net Revenue"),1,0)</f>
        <v>0</v>
      </c>
      <c r="AR599" s="36" t="str">
        <f aca="false">IF(AQ599=1,IF(AND(LEN(AN599)&gt;7,ISNUMBER(VALUE(LEFT(AN599,6))),MID(AN599,7,1)=" "),LEFT(AN599,6),AN599),"")</f>
        <v/>
      </c>
    </row>
    <row r="600" customFormat="false" ht="15" hidden="false" customHeight="false" outlineLevel="0" collapsed="false">
      <c r="D600" s="36" t="str">
        <f aca="false">TRIM(A600)</f>
        <v/>
      </c>
      <c r="E600" s="36" t="str">
        <f aca="false">IF(D600="Revenue","Revenue",IF(D600="Cost of Goods Sold","COGS",IF(D600="Expenditures","Expense",IF(D600="Other Revenue","Other Revenue",IF(D600="Other Expenditures","Other Expense",E599)))))</f>
        <v/>
      </c>
      <c r="F600" s="36" t="str">
        <f aca="false">IF(OR(D600="Revenue",D600="Cost of Goods Sold",D600="Expenditures",D600="Other Revenue",D600="Other Expenditures"),E600,IF(AND(LEN(D600)&gt;2,MID(D600,2,1)=" ",ISNUMBER(VALUE(LEFT(D600,1)))),D600,F599))</f>
        <v/>
      </c>
      <c r="G600" s="36" t="n">
        <f aca="false">IF(AND(D600&lt;&gt;"",ISNUMBER(B600),LEFT(D600,9)&lt;&gt;"Total for",D600&lt;&gt;"Gross Profit",D600&lt;&gt;"Net Operating Revenue",D600&lt;&gt;"Net Other Revenue",D600&lt;&gt;"Net Revenue"),1,0)</f>
        <v>0</v>
      </c>
      <c r="H600" s="36" t="str">
        <f aca="false">IF(G600=1,IF(AND(LEN(D600)&gt;7,ISNUMBER(VALUE(LEFT(D600,6))),MID(D600,7,1)=" "),LEFT(D600,6),D600),"")</f>
        <v/>
      </c>
      <c r="M600" s="36" t="str">
        <f aca="false">TRIM(J600)</f>
        <v/>
      </c>
      <c r="N600" s="36" t="str">
        <f aca="false">IF(M600="Revenue","Revenue",IF(M600="Cost of Goods Sold","COGS",IF(M600="Expenditures","Expense",IF(M600="Other Revenue","Other Revenue",IF(M600="Other Expenditures","Other Expense",N599)))))</f>
        <v/>
      </c>
      <c r="O600" s="36" t="str">
        <f aca="false">IF(OR(M600="Revenue",M600="Cost of Goods Sold",M600="Expenditures",M600="Other Revenue",M600="Other Expenditures"),N600,IF(AND(LEN(M600)&gt;2,MID(M600,2,1)=" ",ISNUMBER(VALUE(LEFT(M600,1)))),M600,O599))</f>
        <v/>
      </c>
      <c r="P600" s="36" t="n">
        <f aca="false">IF(AND(M600&lt;&gt;"",ISNUMBER(K600),LEFT(M600,9)&lt;&gt;"Total for",M600&lt;&gt;"Gross Profit",M600&lt;&gt;"Net Operating Revenue",M600&lt;&gt;"Net Other Revenue",M600&lt;&gt;"Net Revenue"),1,0)</f>
        <v>0</v>
      </c>
      <c r="Q600" s="36" t="str">
        <f aca="false">IF(P600=1,IF(AND(LEN(M600)&gt;7,ISNUMBER(VALUE(LEFT(M600,6))),MID(M600,7,1)=" "),LEFT(M600,6),M600),"")</f>
        <v/>
      </c>
      <c r="V600" s="36" t="str">
        <f aca="false">TRIM(S600)</f>
        <v/>
      </c>
      <c r="W600" s="36" t="str">
        <f aca="false">IF(V600="Revenue","Revenue",IF(V600="Cost of Goods Sold","COGS",IF(V600="Expenditures","Expense",IF(V600="Other Revenue","Other Revenue",IF(V600="Other Expenditures","Other Expense",W599)))))</f>
        <v/>
      </c>
      <c r="X600" s="36" t="str">
        <f aca="false">IF(OR(V600="Revenue",V600="Cost of Goods Sold",V600="Expenditures",V600="Other Revenue",V600="Other Expenditures"),W600,IF(AND(LEN(V600)&gt;2,MID(V600,2,1)=" ",ISNUMBER(VALUE(LEFT(V600,1)))),V600,X599))</f>
        <v/>
      </c>
      <c r="Y600" s="36" t="n">
        <f aca="false">IF(AND(V600&lt;&gt;"",ISNUMBER(T600),LEFT(V600,9)&lt;&gt;"Total for",V600&lt;&gt;"Gross Profit",V600&lt;&gt;"Net Operating Revenue",V600&lt;&gt;"Net Other Revenue",V600&lt;&gt;"Net Revenue"),1,0)</f>
        <v>0</v>
      </c>
      <c r="Z600" s="36" t="str">
        <f aca="false">IF(Y600=1,IF(AND(LEN(V600)&gt;7,ISNUMBER(VALUE(LEFT(V600,6))),MID(V600,7,1)=" "),LEFT(V600,6),V600),"")</f>
        <v/>
      </c>
      <c r="AE600" s="36" t="str">
        <f aca="false">TRIM(AB600)</f>
        <v/>
      </c>
      <c r="AF600" s="36" t="str">
        <f aca="false">IF(AE600="Revenue","Revenue",IF(AE600="Cost of Goods Sold","COGS",IF(AE600="Expenditures","Expense",IF(AE600="Other Revenue","Other Revenue",IF(AE600="Other Expenditures","Other Expense",AF599)))))</f>
        <v/>
      </c>
      <c r="AG600" s="36" t="str">
        <f aca="false">IF(OR(AE600="Revenue",AE600="Cost of Goods Sold",AE600="Expenditures",AE600="Other Revenue",AE600="Other Expenditures"),AF600,IF(AND(LEN(AE600)&gt;2,MID(AE600,2,1)=" ",ISNUMBER(VALUE(LEFT(AE600,1)))),AE600,AG599))</f>
        <v/>
      </c>
      <c r="AH600" s="36" t="n">
        <f aca="false">IF(AND(AE600&lt;&gt;"",ISNUMBER(AC600),LEFT(AE600,9)&lt;&gt;"Total for",AE600&lt;&gt;"Gross Profit",AE600&lt;&gt;"Net Operating Revenue",AE600&lt;&gt;"Net Other Revenue",AE600&lt;&gt;"Net Revenue"),1,0)</f>
        <v>0</v>
      </c>
      <c r="AI600" s="36" t="str">
        <f aca="false">IF(AH600=1,IF(AND(LEN(AE600)&gt;7,ISNUMBER(VALUE(LEFT(AE600,6))),MID(AE600,7,1)=" "),LEFT(AE600,6),AE600),"")</f>
        <v/>
      </c>
      <c r="AN600" s="36" t="str">
        <f aca="false">TRIM(AK600)</f>
        <v/>
      </c>
      <c r="AO600" s="36" t="str">
        <f aca="false">IF(AN600="Revenue","Revenue",IF(AN600="Cost of Goods Sold","COGS",IF(AN600="Expenditures","Expense",IF(AN600="Other Revenue","Other Revenue",IF(AN600="Other Expenditures","Other Expense",AO599)))))</f>
        <v/>
      </c>
      <c r="AP600" s="36" t="str">
        <f aca="false">IF(OR(AN600="Revenue",AN600="Cost of Goods Sold",AN600="Expenditures",AN600="Other Revenue",AN600="Other Expenditures"),AO600,IF(AND(LEN(AN600)&gt;2,MID(AN600,2,1)=" ",ISNUMBER(VALUE(LEFT(AN600,1)))),AN600,AP599))</f>
        <v/>
      </c>
      <c r="AQ600" s="36" t="n">
        <f aca="false">IF(AND(AN600&lt;&gt;"",ISNUMBER(AL600),LEFT(AN600,9)&lt;&gt;"Total for",AN600&lt;&gt;"Gross Profit",AN600&lt;&gt;"Net Operating Revenue",AN600&lt;&gt;"Net Other Revenue",AN600&lt;&gt;"Net Revenue"),1,0)</f>
        <v>0</v>
      </c>
      <c r="AR600" s="36" t="str">
        <f aca="false">IF(AQ600=1,IF(AND(LEN(AN600)&gt;7,ISNUMBER(VALUE(LEFT(AN600,6))),MID(AN600,7,1)=" "),LEFT(AN600,6),AN600),"")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685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12" t="s">
        <v>686</v>
      </c>
    </row>
    <row r="4" customFormat="false" ht="15" hidden="false" customHeight="false" outlineLevel="0" collapsed="false">
      <c r="A4" s="6" t="s">
        <v>687</v>
      </c>
    </row>
    <row r="5" customFormat="false" ht="15" hidden="false" customHeight="false" outlineLevel="0" collapsed="false">
      <c r="A5" s="6" t="s">
        <v>688</v>
      </c>
    </row>
    <row r="6" customFormat="false" ht="15" hidden="false" customHeight="false" outlineLevel="0" collapsed="false">
      <c r="A6" s="6" t="s">
        <v>689</v>
      </c>
    </row>
    <row r="7" customFormat="false" ht="15" hidden="false" customHeight="false" outlineLevel="0" collapsed="false">
      <c r="A7" s="6" t="s">
        <v>690</v>
      </c>
    </row>
    <row r="8" customFormat="false" ht="15" hidden="false" customHeight="false" outlineLevel="0" collapsed="false">
      <c r="A8" s="6" t="s">
        <v>691</v>
      </c>
    </row>
    <row r="9" customFormat="false" ht="15" hidden="false" customHeight="false" outlineLevel="0" collapsed="false">
      <c r="A9" s="6" t="s">
        <v>692</v>
      </c>
    </row>
    <row r="10" customFormat="false" ht="15" hidden="false" customHeight="false" outlineLevel="0" collapsed="false">
      <c r="A10" s="6" t="s">
        <v>693</v>
      </c>
    </row>
    <row r="11" customFormat="false" ht="15" hidden="false" customHeight="false" outlineLevel="0" collapsed="false">
      <c r="A11" s="6" t="s">
        <v>694</v>
      </c>
    </row>
    <row r="12" customFormat="false" ht="15" hidden="false" customHeight="false" outlineLevel="0" collapsed="false">
      <c r="A12" s="6" t="s">
        <v>695</v>
      </c>
    </row>
    <row r="13" customFormat="false" ht="15" hidden="false" customHeight="false" outlineLevel="0" collapsed="false">
      <c r="A13" s="6"/>
    </row>
    <row r="14" customFormat="false" ht="15" hidden="false" customHeight="false" outlineLevel="0" collapsed="false">
      <c r="A14" s="12" t="s">
        <v>696</v>
      </c>
    </row>
    <row r="15" customFormat="false" ht="15" hidden="false" customHeight="false" outlineLevel="0" collapsed="false">
      <c r="A15" s="6" t="s">
        <v>697</v>
      </c>
    </row>
    <row r="16" customFormat="false" ht="15" hidden="false" customHeight="false" outlineLevel="0" collapsed="false">
      <c r="A16" s="6" t="s">
        <v>698</v>
      </c>
    </row>
    <row r="17" customFormat="false" ht="15" hidden="false" customHeight="false" outlineLevel="0" collapsed="false">
      <c r="A17" s="6" t="s">
        <v>699</v>
      </c>
    </row>
    <row r="18" customFormat="false" ht="15" hidden="false" customHeight="false" outlineLevel="0" collapsed="false">
      <c r="A18" s="6"/>
    </row>
    <row r="19" customFormat="false" ht="15" hidden="false" customHeight="false" outlineLevel="0" collapsed="false">
      <c r="A19" s="12" t="s">
        <v>700</v>
      </c>
    </row>
    <row r="20" customFormat="false" ht="15" hidden="false" customHeight="false" outlineLevel="0" collapsed="false">
      <c r="A20" s="6" t="s">
        <v>701</v>
      </c>
    </row>
    <row r="21" customFormat="false" ht="15" hidden="false" customHeight="false" outlineLevel="0" collapsed="false">
      <c r="A21" s="6" t="s">
        <v>702</v>
      </c>
    </row>
    <row r="22" customFormat="false" ht="15" hidden="false" customHeight="false" outlineLevel="0" collapsed="false">
      <c r="A22" s="6"/>
    </row>
    <row r="23" customFormat="false" ht="15" hidden="false" customHeight="false" outlineLevel="0" collapsed="false">
      <c r="A23" s="12" t="s">
        <v>703</v>
      </c>
    </row>
    <row r="24" customFormat="false" ht="15" hidden="false" customHeight="false" outlineLevel="0" collapsed="false">
      <c r="A24" s="6" t="s">
        <v>704</v>
      </c>
    </row>
    <row r="25" customFormat="false" ht="15" hidden="false" customHeight="false" outlineLevel="0" collapsed="false">
      <c r="A25" s="6" t="s">
        <v>705</v>
      </c>
    </row>
    <row r="26" customFormat="false" ht="15" hidden="false" customHeight="false" outlineLevel="0" collapsed="false">
      <c r="A26" s="6" t="s">
        <v>706</v>
      </c>
    </row>
    <row r="27" customFormat="false" ht="15" hidden="false" customHeight="false" outlineLevel="0" collapsed="false">
      <c r="A27" s="6" t="s">
        <v>707</v>
      </c>
    </row>
    <row r="28" customFormat="false" ht="15" hidden="false" customHeight="false" outlineLevel="0" collapsed="false">
      <c r="A28" s="6" t="s">
        <v>708</v>
      </c>
    </row>
    <row r="29" customFormat="false" ht="15" hidden="false" customHeight="false" outlineLevel="0" collapsed="false">
      <c r="A29" s="6" t="s">
        <v>709</v>
      </c>
    </row>
    <row r="30" customFormat="false" ht="15" hidden="false" customHeight="false" outlineLevel="0" collapsed="false">
      <c r="A30" s="6" t="s">
        <v>710</v>
      </c>
    </row>
    <row r="31" customFormat="false" ht="15" hidden="false" customHeight="false" outlineLevel="0" collapsed="false">
      <c r="A31" s="6" t="s">
        <v>711</v>
      </c>
    </row>
    <row r="32" customFormat="false" ht="15" hidden="false" customHeight="false" outlineLevel="0" collapsed="false">
      <c r="A32" s="6" t="s">
        <v>712</v>
      </c>
    </row>
    <row r="33" customFormat="false" ht="15" hidden="false" customHeight="false" outlineLevel="0" collapsed="false">
      <c r="A33" s="6" t="s">
        <v>713</v>
      </c>
    </row>
    <row r="34" customFormat="false" ht="15" hidden="false" customHeight="false" outlineLevel="0" collapsed="false">
      <c r="A34" s="6" t="s">
        <v>714</v>
      </c>
    </row>
    <row r="35" customFormat="false" ht="15" hidden="false" customHeight="false" outlineLevel="0" collapsed="false">
      <c r="A35" s="6" t="s">
        <v>715</v>
      </c>
    </row>
    <row r="36" customFormat="false" ht="15" hidden="false" customHeight="false" outlineLevel="0" collapsed="false">
      <c r="A36" s="6"/>
    </row>
    <row r="37" customFormat="false" ht="15" hidden="false" customHeight="false" outlineLevel="0" collapsed="false">
      <c r="A37" s="12" t="s">
        <v>716</v>
      </c>
    </row>
    <row r="38" customFormat="false" ht="15" hidden="false" customHeight="false" outlineLevel="0" collapsed="false">
      <c r="A38" s="6" t="s">
        <v>717</v>
      </c>
    </row>
    <row r="39" customFormat="false" ht="15" hidden="false" customHeight="false" outlineLevel="0" collapsed="false">
      <c r="A39" s="6" t="s">
        <v>718</v>
      </c>
    </row>
    <row r="40" customFormat="false" ht="15" hidden="false" customHeight="false" outlineLevel="0" collapsed="false">
      <c r="A40" s="6" t="s">
        <v>719</v>
      </c>
    </row>
    <row r="41" customFormat="false" ht="15" hidden="false" customHeight="false" outlineLevel="0" collapsed="false">
      <c r="A41" s="6"/>
    </row>
    <row r="42" customFormat="false" ht="15" hidden="false" customHeight="false" outlineLevel="0" collapsed="false">
      <c r="A42" s="12" t="s">
        <v>720</v>
      </c>
    </row>
    <row r="43" customFormat="false" ht="15" hidden="false" customHeight="false" outlineLevel="0" collapsed="false">
      <c r="A43" s="6" t="s">
        <v>721</v>
      </c>
    </row>
    <row r="44" customFormat="false" ht="15" hidden="false" customHeight="false" outlineLevel="0" collapsed="false">
      <c r="A44" s="6" t="s">
        <v>722</v>
      </c>
    </row>
    <row r="45" customFormat="false" ht="15" hidden="false" customHeight="false" outlineLevel="0" collapsed="false">
      <c r="A45" s="6" t="s">
        <v>723</v>
      </c>
    </row>
    <row r="46" customFormat="false" ht="15" hidden="false" customHeight="false" outlineLevel="0" collapsed="false">
      <c r="A46" s="6" t="s">
        <v>724</v>
      </c>
    </row>
    <row r="47" customFormat="false" ht="15" hidden="false" customHeight="false" outlineLevel="0" collapsed="false">
      <c r="A47" s="6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2026-10-10T16:33:52Z</dcterms:created>
  <dc:creator>openpyxl</dc:creator>
  <dc:description/>
  <dc:language>en-US</dc:language>
  <cp:lastModifiedBy/>
  <dcterms:modified xsi:type="dcterms:W3CDTF">2026-10-10T16:33:52Z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