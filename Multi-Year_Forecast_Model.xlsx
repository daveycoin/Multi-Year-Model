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Inputs" sheetId="2" state="visible" r:id="rId4"/>
    <sheet name="Enrollment" sheetId="3" state="visible" r:id="rId5"/>
    <sheet name="Forecast Detail" sheetId="4" state="visible" r:id="rId6"/>
    <sheet name="Cash Flow" sheetId="5" state="visible" r:id="rId7"/>
    <sheet name="CF Summary" sheetId="6" state="visible" r:id="rId8"/>
    <sheet name="QB Import" sheetId="7" state="visible" r:id="rId9"/>
    <sheet name="Read Me" sheetId="8" state="visible" r:id="rId10"/>
  </sheets>
  <definedNames>
    <definedName function="false" hidden="false" localSheetId="4" name="_xlnm.Print_Titles" vbProcedure="false">'Cash Flow'!$A:$A</definedName>
    <definedName function="false" hidden="true" localSheetId="3" name="_xlnm._FilterDatabase" vbProcedure="false">'Forecast Detail'!$A$7:$O$188</definedName>
    <definedName function="false" hidden="false" localSheetId="0" name="_xlnm.Print_Area" vbProcedure="false">Summary!$A$1:$G$41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<sst xmlns="http://schemas.openxmlformats.org/spreadsheetml/2006/main" count="1683" uniqueCount="677">
  <si>
    <t xml:space="preserve">TRINITY PRESBYTERIAN SCHOOL</t>
  </si>
  <si>
    <t xml:space="preserve">Five-Year Financial Forecast - Summary by Major Category</t>
  </si>
  <si>
    <t xml:space="preserve">Fiscal year ending June 30</t>
  </si>
  <si>
    <t xml:space="preserve">5-yr CAGR</t>
  </si>
  <si>
    <t xml:space="preserve">Enrollment (students)</t>
  </si>
  <si>
    <t xml:space="preserve">Tuition rate increase</t>
  </si>
  <si>
    <t xml:space="preserve">Salary increase</t>
  </si>
  <si>
    <t xml:space="preserve">REVENUE</t>
  </si>
  <si>
    <t xml:space="preserve">1 Tuition and Fees</t>
  </si>
  <si>
    <t xml:space="preserve">2 Interest and Other Income</t>
  </si>
  <si>
    <t xml:space="preserve">4 Other Miscellaneous Income</t>
  </si>
  <si>
    <t xml:space="preserve">5 Athletic Income</t>
  </si>
  <si>
    <t xml:space="preserve">Total Revenue</t>
  </si>
  <si>
    <t xml:space="preserve">EXPENSES</t>
  </si>
  <si>
    <t xml:space="preserve">1 Salaries and Benefits</t>
  </si>
  <si>
    <t xml:space="preserve">2 Instructional Expenses</t>
  </si>
  <si>
    <t xml:space="preserve">3 Operations</t>
  </si>
  <si>
    <t xml:space="preserve">4 Administrative</t>
  </si>
  <si>
    <t xml:space="preserve">5 Athletic Expenses</t>
  </si>
  <si>
    <t xml:space="preserve">Strategic Plan Initiatives (operating, net)</t>
  </si>
  <si>
    <t xml:space="preserve">Total Expenses</t>
  </si>
  <si>
    <t xml:space="preserve">Net Operating Revenue</t>
  </si>
  <si>
    <t xml:space="preserve">Other Revenue (Development)</t>
  </si>
  <si>
    <t xml:space="preserve">Other Expenditures (Development)</t>
  </si>
  <si>
    <t xml:space="preserve">Net Other Revenue</t>
  </si>
  <si>
    <t xml:space="preserve">NET REVENUE (SURPLUS / DEFICIT)</t>
  </si>
  <si>
    <t xml:space="preserve">KEY METRICS</t>
  </si>
  <si>
    <t xml:space="preserve">Salaries &amp; benefits % of total revenue</t>
  </si>
  <si>
    <t xml:space="preserve">Net tuition &amp; fees per student</t>
  </si>
  <si>
    <t xml:space="preserve">Net revenue margin (% of revenue)</t>
  </si>
  <si>
    <t xml:space="preserve">Capital projects &amp; initiatives (cash)</t>
  </si>
  <si>
    <t xml:space="preserve">Ending cash &amp; reserves</t>
  </si>
  <si>
    <t xml:space="preserve">Lowest month-end operating cash</t>
  </si>
  <si>
    <t xml:space="preserve">Days cash on hand</t>
  </si>
  <si>
    <t xml:space="preserve">Source: FY27 = QuickBooks budget import; FY28-FY31 = forecast per Inputs and Forecast Detail. Cash on a cash basis.</t>
  </si>
  <si>
    <t xml:space="preserve">IMPORT CHECKS (not printed)</t>
  </si>
  <si>
    <t xml:space="preserve">Revenue: import detail vs summary FY27</t>
  </si>
  <si>
    <t xml:space="preserve">Expenses: import detail vs summary FY27</t>
  </si>
  <si>
    <t xml:space="preserve">Overall status</t>
  </si>
  <si>
    <t xml:space="preserve">Other net: import detail vs summary FY27</t>
  </si>
  <si>
    <t xml:space="preserve">Net Revenue: summary FY27 vs QuickBooks 'Net Revenue' line</t>
  </si>
  <si>
    <t xml:space="preserve">Accounts on import not in Forecast Detail (count)</t>
  </si>
  <si>
    <t xml:space="preserve">Forecast Detail rows with no method (count)</t>
  </si>
  <si>
    <t xml:space="preserve">INPUTS &amp; ASSUMPTIONS</t>
  </si>
  <si>
    <t xml:space="preserve">Blue-on-yellow cells are inputs. Everything else is calculated. FY27 amounts come from the QuickBooks import.</t>
  </si>
  <si>
    <t xml:space="preserve">Fiscal year</t>
  </si>
  <si>
    <t xml:space="preserve">Fiscal year ending</t>
  </si>
  <si>
    <t xml:space="preserve">Fiscal year starting</t>
  </si>
  <si>
    <t xml:space="preserve">Growth assumptions</t>
  </si>
  <si>
    <t xml:space="preserve">Tuition rate increase %</t>
  </si>
  <si>
    <t xml:space="preserve">FY27 shown for reference; rates already set in the budget</t>
  </si>
  <si>
    <t xml:space="preserve">Salary increase %</t>
  </si>
  <si>
    <t xml:space="preserve">Applies to lines using the 'Salary' method</t>
  </si>
  <si>
    <t xml:space="preserve">Benefits cost increase % (medical, dental)</t>
  </si>
  <si>
    <t xml:space="preserve">Lines using the 'Benefits' method</t>
  </si>
  <si>
    <t xml:space="preserve">General inflation %</t>
  </si>
  <si>
    <t xml:space="preserve">Lines using 'Inflation' and 'Per Student'</t>
  </si>
  <si>
    <t xml:space="preserve">Yield on interest-earning balances %</t>
  </si>
  <si>
    <t xml:space="preserve">Applied to prior year-end balances; 'Reserve Yield' method</t>
  </si>
  <si>
    <t xml:space="preserve">Final mortgage payment date</t>
  </si>
  <si>
    <t xml:space="preserve">Lines using the 'Debt' method stop after this month</t>
  </si>
  <si>
    <t xml:space="preserve">Months of debt service paid in fiscal year</t>
  </si>
  <si>
    <t xml:space="preserve">Interest-earning balance at prior year-end</t>
  </si>
  <si>
    <t xml:space="preserve">Opening earning balances + reserve funding to date</t>
  </si>
  <si>
    <t xml:space="preserve">Strategic plan initiatives  (Operating = flows through the P&amp;L; Capital = cash only, no P&amp;L)</t>
  </si>
  <si>
    <t xml:space="preserve">Initiative</t>
  </si>
  <si>
    <t xml:space="preserve">Type</t>
  </si>
  <si>
    <t xml:space="preserve">On? (Y/N)</t>
  </si>
  <si>
    <t xml:space="preserve">Spend month (0=even, 1=Jul)</t>
  </si>
  <si>
    <t xml:space="preserve">Additional Lower School teacher (per prior model: +$50k/yr)</t>
  </si>
  <si>
    <t xml:space="preserve">Operating</t>
  </si>
  <si>
    <t xml:space="preserve">Y</t>
  </si>
  <si>
    <t xml:space="preserve">Lower School reconfiguration (enter cost)</t>
  </si>
  <si>
    <t xml:space="preserve">Capital</t>
  </si>
  <si>
    <t xml:space="preserve">Operating initiatives - net cost to P&amp;L</t>
  </si>
  <si>
    <t xml:space="preserve">Capital initiatives - net cash cost</t>
  </si>
  <si>
    <t xml:space="preserve">Capital projects &amp; equipment (cash only; outside the operating P&amp;L)</t>
  </si>
  <si>
    <t xml:space="preserve">Project</t>
  </si>
  <si>
    <t xml:space="preserve">Example: roof replacement</t>
  </si>
  <si>
    <t xml:space="preserve">Total capital projects</t>
  </si>
  <si>
    <t xml:space="preserve">Reserve funding (transfer from operating cash to reserves; cash-neutral overall)</t>
  </si>
  <si>
    <t xml:space="preserve">Transfer</t>
  </si>
  <si>
    <t xml:space="preserve">Month (0=even, 1=Jul)</t>
  </si>
  <si>
    <t xml:space="preserve">Operating reserve funding</t>
  </si>
  <si>
    <t xml:space="preserve">Repair &amp; replacement (R&amp;R) reserve funding</t>
  </si>
  <si>
    <t xml:space="preserve">Total reserve funding</t>
  </si>
  <si>
    <t xml:space="preserve">Opening cash &amp; reserve balances</t>
  </si>
  <si>
    <t xml:space="preserve">Balances as of (start of FY27 = 6/30/2026 recommended)</t>
  </si>
  <si>
    <t xml:space="preserve">Account</t>
  </si>
  <si>
    <t xml:space="preserve">Available for operations? (Y/N)</t>
  </si>
  <si>
    <t xml:space="preserve">Earns interest? (Y/N)</t>
  </si>
  <si>
    <t xml:space="preserve">Balance</t>
  </si>
  <si>
    <t xml:space="preserve">Operating Account</t>
  </si>
  <si>
    <t xml:space="preserve">N</t>
  </si>
  <si>
    <t xml:space="preserve">Balances seeded from the 1/31/26 figures in the old model - UPDATE.</t>
  </si>
  <si>
    <t xml:space="preserve">Contingency</t>
  </si>
  <si>
    <t xml:space="preserve">S4K</t>
  </si>
  <si>
    <t xml:space="preserve">PPP Reserve Account</t>
  </si>
  <si>
    <t xml:space="preserve">Development Account</t>
  </si>
  <si>
    <t xml:space="preserve">Operating cash available (opening)</t>
  </si>
  <si>
    <t xml:space="preserve">Reserves &amp; restricted (opening)</t>
  </si>
  <si>
    <t xml:space="preserve">Interest-earning balances (opening)</t>
  </si>
  <si>
    <t xml:space="preserve">Tuition payment plans (drives monthly cash receipts)</t>
  </si>
  <si>
    <t xml:space="preserve">Plan</t>
  </si>
  <si>
    <t xml:space="preserve">Families</t>
  </si>
  <si>
    <t xml:space="preserve">% of tuition</t>
  </si>
  <si>
    <t xml:space="preserve">Plan A - 1 annual payment (June 30)</t>
  </si>
  <si>
    <t xml:space="preserve">Plan B - 4 payments (May/Aug/Nov/Feb)</t>
  </si>
  <si>
    <t xml:space="preserve">Plan C - 12 monthly payments (May-April), incl. S4K &amp; employees</t>
  </si>
  <si>
    <t xml:space="preserve">Total families in plans</t>
  </si>
  <si>
    <t xml:space="preserve">Payment schedule: % of a plan's annual tuition received in each period</t>
  </si>
  <si>
    <t xml:space="preserve">Prior May</t>
  </si>
  <si>
    <t xml:space="preserve">Prior 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</si>
  <si>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</si>
  <si>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</si>
  <si>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</si>
  <si>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</si>
  <si>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</si>
  <si>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</si>
  <si>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</si>
  <si>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</si>
  <si>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</si>
  <si>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</si>
  <si>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</si>
  <si>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</si>
  <si>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Total</t>
  </si>
  <si>
    <t xml:space="preserve">Plan A</t>
  </si>
  <si>
    <t xml:space="preserve">Plan B</t>
  </si>
  <si>
    <t xml:space="preserve">Plan C</t>
  </si>
  <si>
    <t xml:space="preserve">Cash timing profiles: % of a fiscal year's amount received/paid in each period (used by Forecast Detail column F)</t>
  </si>
  <si>
    <t xml:space="preserve">Profile</t>
  </si>
  <si>
    <t xml:space="preserve">Tuition Plan</t>
  </si>
  <si>
    <t xml:space="preserve">Even</t>
  </si>
  <si>
    <t xml:space="preserve">Jul Lump</t>
  </si>
  <si>
    <t xml:space="preserve">Custom A</t>
  </si>
  <si>
    <t xml:space="preserve">Custom B</t>
  </si>
  <si>
    <t xml:space="preserve">Profile rows must total 100%</t>
  </si>
  <si>
    <t xml:space="preserve">ENROLLMENT &amp; TUITION RATES</t>
  </si>
  <si>
    <t xml:space="preserve">FY27 enrollment and rates are inputs. Later years roll each grade forward: prior grade x retention + new students.</t>
  </si>
  <si>
    <t xml:space="preserve">Enrollment by grade</t>
  </si>
  <si>
    <t xml:space="preserve">Grade</t>
  </si>
  <si>
    <t xml:space="preserve">K-3 (5 day)</t>
  </si>
  <si>
    <t xml:space="preserve">K-3 (3 day)</t>
  </si>
  <si>
    <t xml:space="preserve">K-4</t>
  </si>
  <si>
    <t xml:space="preserve">K5</t>
  </si>
  <si>
    <t xml:space="preserve">1st</t>
  </si>
  <si>
    <t xml:space="preserve">2nd</t>
  </si>
  <si>
    <t xml:space="preserve">3rd</t>
  </si>
  <si>
    <t xml:space="preserve">4th</t>
  </si>
  <si>
    <t xml:space="preserve">5th</t>
  </si>
  <si>
    <t xml:space="preserve">6th</t>
  </si>
  <si>
    <t xml:space="preserve">7th</t>
  </si>
  <si>
    <t xml:space="preserve">8th</t>
  </si>
  <si>
    <t xml:space="preserve">9th</t>
  </si>
  <si>
    <t xml:space="preserve">10th</t>
  </si>
  <si>
    <t xml:space="preserve">11th</t>
  </si>
  <si>
    <t xml:space="preserve">12th</t>
  </si>
  <si>
    <t xml:space="preserve">Total enrollment</t>
  </si>
  <si>
    <t xml:space="preserve">  Change vs prior year</t>
  </si>
  <si>
    <t xml:space="preserve">Tuition potential (enrollment x rate)</t>
  </si>
  <si>
    <t xml:space="preserve">Tuition index (FY27 = 1.000)</t>
  </si>
  <si>
    <t xml:space="preserve">Average rate per student</t>
  </si>
  <si>
    <t xml:space="preserve">Tuition rate by grade (before discounts)</t>
  </si>
  <si>
    <t xml:space="preserve">K-3 (3 day) (rate not in old model - enter)</t>
  </si>
  <si>
    <t xml:space="preserve">Roll-forward assumptions</t>
  </si>
  <si>
    <t xml:space="preserve">Retention into grade</t>
  </si>
  <si>
    <t xml:space="preserve">n/a</t>
  </si>
  <si>
    <t xml:space="preserve">K-4 is fed by both K-3 programs. Retention is the share of the prior grade that advances; new students are additions.</t>
  </si>
  <si>
    <t xml:space="preserve">FORECAST DETAIL - by QuickBooks account</t>
  </si>
  <si>
    <t xml:space="preserve">FY27 = QuickBooks budget import. Choose a forecast method per line (column E). Use 'Manual' + columns L:O to type amounts directly.</t>
  </si>
  <si>
    <t xml:space="preserve">Tuition index</t>
  </si>
  <si>
    <t xml:space="preserve">Salary-method lines total</t>
  </si>
  <si>
    <t xml:space="preserve">Major Category</t>
  </si>
  <si>
    <t xml:space="preserve">Key</t>
  </si>
  <si>
    <t xml:space="preserve">Description</t>
  </si>
  <si>
    <t xml:space="preserve">Method</t>
  </si>
  <si>
    <t xml:space="preserve">Cash Timing</t>
  </si>
  <si>
    <t xml:space="preserve">Revenue</t>
  </si>
  <si>
    <t xml:space="preserve">400186</t>
  </si>
  <si>
    <t xml:space="preserve">400186 Tuition Income</t>
  </si>
  <si>
    <t xml:space="preserve">Tuition Index</t>
  </si>
  <si>
    <t xml:space="preserve">400187</t>
  </si>
  <si>
    <t xml:space="preserve">400187 Scholarship for Kids Tuition</t>
  </si>
  <si>
    <t xml:space="preserve">Manual</t>
  </si>
  <si>
    <t xml:space="preserve">400188</t>
  </si>
  <si>
    <t xml:space="preserve">400188 Choose Act Tuition</t>
  </si>
  <si>
    <t xml:space="preserve">Flat</t>
  </si>
  <si>
    <t xml:space="preserve">400189</t>
  </si>
  <si>
    <t xml:space="preserve">400189 AOSF Tuition</t>
  </si>
  <si>
    <t xml:space="preserve">400180</t>
  </si>
  <si>
    <t xml:space="preserve">400180 Building Fees</t>
  </si>
  <si>
    <t xml:space="preserve">400181</t>
  </si>
  <si>
    <t xml:space="preserve">400181 Enrollment Fees</t>
  </si>
  <si>
    <t xml:space="preserve">Enrollment</t>
  </si>
  <si>
    <t xml:space="preserve">400183</t>
  </si>
  <si>
    <t xml:space="preserve">400183 Tuition Insurance Income</t>
  </si>
  <si>
    <t xml:space="preserve">400184</t>
  </si>
  <si>
    <t xml:space="preserve">400184 Application Fees</t>
  </si>
  <si>
    <t xml:space="preserve">400185</t>
  </si>
  <si>
    <t xml:space="preserve">400185 Enrollment Fee Waived - Alumni Credit</t>
  </si>
  <si>
    <t xml:space="preserve">400199</t>
  </si>
  <si>
    <t xml:space="preserve">400199 Fee - Tuition Discount</t>
  </si>
  <si>
    <t xml:space="preserve">400201</t>
  </si>
  <si>
    <t xml:space="preserve">400201 Referral Fee - Tuition Discount</t>
  </si>
  <si>
    <t xml:space="preserve">400126</t>
  </si>
  <si>
    <t xml:space="preserve">400126 Late Fees</t>
  </si>
  <si>
    <t xml:space="preserve">400127</t>
  </si>
  <si>
    <t xml:space="preserve">400127 Waived Late Fees</t>
  </si>
  <si>
    <t xml:space="preserve">400128</t>
  </si>
  <si>
    <t xml:space="preserve">400128 Late Fees - Past Due Accounts</t>
  </si>
  <si>
    <t xml:space="preserve">400193</t>
  </si>
  <si>
    <t xml:space="preserve">400193 Pastoral Discount</t>
  </si>
  <si>
    <t xml:space="preserve">400194</t>
  </si>
  <si>
    <t xml:space="preserve">400194 Grace Based Financial Assistance</t>
  </si>
  <si>
    <t xml:space="preserve">400195</t>
  </si>
  <si>
    <t xml:space="preserve">400195 Multi-Child Discounts</t>
  </si>
  <si>
    <t xml:space="preserve">400196</t>
  </si>
  <si>
    <t xml:space="preserve">400196 Military Discount</t>
  </si>
  <si>
    <t xml:space="preserve">400133</t>
  </si>
  <si>
    <t xml:space="preserve">400133 Cat Quest Revenue</t>
  </si>
  <si>
    <t xml:space="preserve">400134</t>
  </si>
  <si>
    <t xml:space="preserve">400134 Summer Quest Income</t>
  </si>
  <si>
    <t xml:space="preserve">400197</t>
  </si>
  <si>
    <t xml:space="preserve">400197 Cat Quest Expenses (Contra)</t>
  </si>
  <si>
    <t xml:space="preserve">400198</t>
  </si>
  <si>
    <t xml:space="preserve">400198 Summer Cat Quest Expenses (Contra)</t>
  </si>
  <si>
    <t xml:space="preserve">400080</t>
  </si>
  <si>
    <t xml:space="preserve">400080 Contribution from Charitable Trust</t>
  </si>
  <si>
    <t xml:space="preserve">400081</t>
  </si>
  <si>
    <t xml:space="preserve">400081 Scholarship Income Charitable Trust</t>
  </si>
  <si>
    <t xml:space="preserve">400084</t>
  </si>
  <si>
    <t xml:space="preserve">400084 Trinity Church Contribution</t>
  </si>
  <si>
    <t xml:space="preserve">400191</t>
  </si>
  <si>
    <t xml:space="preserve">400191 Corporate Sponsors - General Fund Contribution</t>
  </si>
  <si>
    <t xml:space="preserve">400192</t>
  </si>
  <si>
    <t xml:space="preserve">400192 Annual Fund Unrestricted-General Fund Contribution</t>
  </si>
  <si>
    <t xml:space="preserve">400124</t>
  </si>
  <si>
    <t xml:space="preserve">400124 Interest Income Reserve Acct Synovus</t>
  </si>
  <si>
    <t xml:space="preserve">Reserve Yield</t>
  </si>
  <si>
    <t xml:space="preserve">400125</t>
  </si>
  <si>
    <t xml:space="preserve">400125 Interest Income Contingency Synovus</t>
  </si>
  <si>
    <t xml:space="preserve">400182</t>
  </si>
  <si>
    <t xml:space="preserve">400182 Scholarship for Kids Interest Income</t>
  </si>
  <si>
    <t xml:space="preserve">400027</t>
  </si>
  <si>
    <t xml:space="preserve">400027 Contingency Income Athletic Playoffs</t>
  </si>
  <si>
    <t xml:space="preserve">400082</t>
  </si>
  <si>
    <t xml:space="preserve">400082 Grant Income</t>
  </si>
  <si>
    <t xml:space="preserve">400132</t>
  </si>
  <si>
    <t xml:space="preserve">400132 Facility Rental/Usage Income</t>
  </si>
  <si>
    <t xml:space="preserve">400143</t>
  </si>
  <si>
    <t xml:space="preserve">400143 Speech Therapy Fees</t>
  </si>
  <si>
    <t xml:space="preserve">400144</t>
  </si>
  <si>
    <t xml:space="preserve">400144 Credit Card Rebates</t>
  </si>
  <si>
    <t xml:space="preserve">400145</t>
  </si>
  <si>
    <t xml:space="preserve">400145 Sale of AP Textbooks</t>
  </si>
  <si>
    <t xml:space="preserve">400147</t>
  </si>
  <si>
    <t xml:space="preserve">400147 Coke Machines Proceeds</t>
  </si>
  <si>
    <t xml:space="preserve">400148</t>
  </si>
  <si>
    <t xml:space="preserve">400148 Convenience Fee Income</t>
  </si>
  <si>
    <t xml:space="preserve">400149</t>
  </si>
  <si>
    <t xml:space="preserve">400149 AP Testing Fees</t>
  </si>
  <si>
    <t xml:space="preserve">400165</t>
  </si>
  <si>
    <t xml:space="preserve">400165 Lost Textbook Fines</t>
  </si>
  <si>
    <t xml:space="preserve">400166</t>
  </si>
  <si>
    <t xml:space="preserve">400166 School Picture Income</t>
  </si>
  <si>
    <t xml:space="preserve">400169</t>
  </si>
  <si>
    <t xml:space="preserve">400169 Other Income For Non-Classified Activities</t>
  </si>
  <si>
    <t xml:space="preserve">400170</t>
  </si>
  <si>
    <t xml:space="preserve">400170 Hospitality Collections from Employees</t>
  </si>
  <si>
    <t xml:space="preserve">400129</t>
  </si>
  <si>
    <t xml:space="preserve">400129 Tutoring Fees Lower School</t>
  </si>
  <si>
    <t xml:space="preserve">400130</t>
  </si>
  <si>
    <t xml:space="preserve">400130 Tutoring Fees Middle School</t>
  </si>
  <si>
    <t xml:space="preserve">400131</t>
  </si>
  <si>
    <t xml:space="preserve">400131 Tutoring Fees Upper School</t>
  </si>
  <si>
    <t xml:space="preserve">400151</t>
  </si>
  <si>
    <t xml:space="preserve">400151 ACT Prep Income</t>
  </si>
  <si>
    <t xml:space="preserve">400086</t>
  </si>
  <si>
    <t xml:space="preserve">400086 Twas the Night Revenue</t>
  </si>
  <si>
    <t xml:space="preserve">400200</t>
  </si>
  <si>
    <t xml:space="preserve">400200 Twas the Night Costs Contra</t>
  </si>
  <si>
    <t xml:space="preserve">Expense</t>
  </si>
  <si>
    <t xml:space="preserve">500267</t>
  </si>
  <si>
    <t xml:space="preserve">500267 Expenses for 401K plan</t>
  </si>
  <si>
    <t xml:space="preserve">% of Salaries</t>
  </si>
  <si>
    <t xml:space="preserve">500268</t>
  </si>
  <si>
    <t xml:space="preserve">500268 Medical Insurance Expense</t>
  </si>
  <si>
    <t xml:space="preserve">Benefits</t>
  </si>
  <si>
    <t xml:space="preserve">500269</t>
  </si>
  <si>
    <t xml:space="preserve">500269 Dental/Life Insurance Expense</t>
  </si>
  <si>
    <t xml:space="preserve">500270</t>
  </si>
  <si>
    <t xml:space="preserve">500270 Staff Tuition Benefits</t>
  </si>
  <si>
    <t xml:space="preserve">500271</t>
  </si>
  <si>
    <t xml:space="preserve">500271 Staff Benefit After School Care</t>
  </si>
  <si>
    <t xml:space="preserve">500272</t>
  </si>
  <si>
    <t xml:space="preserve">500272 Head of School Auto Allowance</t>
  </si>
  <si>
    <t xml:space="preserve">500273</t>
  </si>
  <si>
    <t xml:space="preserve">500273 State Unemployment Insurance</t>
  </si>
  <si>
    <t xml:space="preserve">500274</t>
  </si>
  <si>
    <t xml:space="preserve">500274 Federal Payroll Taxes</t>
  </si>
  <si>
    <t xml:space="preserve">500275</t>
  </si>
  <si>
    <t xml:space="preserve">500275 Administrative Salaries</t>
  </si>
  <si>
    <t xml:space="preserve">Salary</t>
  </si>
  <si>
    <t xml:space="preserve">500276</t>
  </si>
  <si>
    <t xml:space="preserve">500276 Teacher Salaries</t>
  </si>
  <si>
    <t xml:space="preserve">500277</t>
  </si>
  <si>
    <t xml:space="preserve">500277 Faculty/Staff Stipends</t>
  </si>
  <si>
    <t xml:space="preserve">500278</t>
  </si>
  <si>
    <t xml:space="preserve">500278 Substitute Expenses Upper School</t>
  </si>
  <si>
    <t xml:space="preserve">500279</t>
  </si>
  <si>
    <t xml:space="preserve">500279 Substitute Expense Lower School</t>
  </si>
  <si>
    <t xml:space="preserve">500280</t>
  </si>
  <si>
    <t xml:space="preserve">500280 Maintenance Salaries</t>
  </si>
  <si>
    <t xml:space="preserve">500023</t>
  </si>
  <si>
    <t xml:space="preserve">500023 Teacher Development</t>
  </si>
  <si>
    <t xml:space="preserve">All School Supplies</t>
  </si>
  <si>
    <t xml:space="preserve">Inflation</t>
  </si>
  <si>
    <t xml:space="preserve">500168</t>
  </si>
  <si>
    <t xml:space="preserve">500168 All School Supplies</t>
  </si>
  <si>
    <t xml:space="preserve">500169</t>
  </si>
  <si>
    <t xml:space="preserve">500169 School Machine Supplies DO NOT USE</t>
  </si>
  <si>
    <t xml:space="preserve">500170</t>
  </si>
  <si>
    <t xml:space="preserve">500170 Copy and Duplication Paper DO NOT USE</t>
  </si>
  <si>
    <t xml:space="preserve">500171</t>
  </si>
  <si>
    <t xml:space="preserve">500171 Supplies Teachers Lounge</t>
  </si>
  <si>
    <t xml:space="preserve">Band Activities</t>
  </si>
  <si>
    <t xml:space="preserve">Clubs</t>
  </si>
  <si>
    <t xml:space="preserve">Combined Libraries</t>
  </si>
  <si>
    <t xml:space="preserve">Drama Expenses</t>
  </si>
  <si>
    <t xml:space="preserve">Fine Arts</t>
  </si>
  <si>
    <t xml:space="preserve">500025</t>
  </si>
  <si>
    <t xml:space="preserve">500025 In-Service Expenses</t>
  </si>
  <si>
    <t xml:space="preserve">500219</t>
  </si>
  <si>
    <t xml:space="preserve">500219 ACT Prep Expense</t>
  </si>
  <si>
    <t xml:space="preserve">500312</t>
  </si>
  <si>
    <t xml:space="preserve">500312 Honor Society Expenses</t>
  </si>
  <si>
    <t xml:space="preserve">Lower School Expenses</t>
  </si>
  <si>
    <t xml:space="preserve">500181</t>
  </si>
  <si>
    <t xml:space="preserve">500181 Lower School Activity Fee</t>
  </si>
  <si>
    <t xml:space="preserve">500193</t>
  </si>
  <si>
    <t xml:space="preserve">500193 Math Department Expenses</t>
  </si>
  <si>
    <t xml:space="preserve">500194</t>
  </si>
  <si>
    <t xml:space="preserve">500194 English Department Expense</t>
  </si>
  <si>
    <t xml:space="preserve">500195</t>
  </si>
  <si>
    <t xml:space="preserve">500195 Curriculum Review</t>
  </si>
  <si>
    <t xml:space="preserve">500196</t>
  </si>
  <si>
    <t xml:space="preserve">500196 History Department Expense</t>
  </si>
  <si>
    <t xml:space="preserve">500197</t>
  </si>
  <si>
    <t xml:space="preserve">500197 Foreign Language Expenses</t>
  </si>
  <si>
    <t xml:space="preserve">500198</t>
  </si>
  <si>
    <t xml:space="preserve">500198 Christian Studies Department</t>
  </si>
  <si>
    <t xml:space="preserve">500199</t>
  </si>
  <si>
    <t xml:space="preserve">500199 Science Department</t>
  </si>
  <si>
    <t xml:space="preserve">500200</t>
  </si>
  <si>
    <t xml:space="preserve">500200 Tech and Media Class Expenses</t>
  </si>
  <si>
    <t xml:space="preserve">500203</t>
  </si>
  <si>
    <t xml:space="preserve">500203 Middle School/Upper School Supplies</t>
  </si>
  <si>
    <t xml:space="preserve">500204</t>
  </si>
  <si>
    <t xml:space="preserve">500204 Winterim Class Expense</t>
  </si>
  <si>
    <t xml:space="preserve">500205</t>
  </si>
  <si>
    <t xml:space="preserve">500205 MakerSpace Expenses</t>
  </si>
  <si>
    <t xml:space="preserve">500207</t>
  </si>
  <si>
    <t xml:space="preserve">500207 MS/US Activities Billed</t>
  </si>
  <si>
    <t xml:space="preserve">500208</t>
  </si>
  <si>
    <t xml:space="preserve">500208 Academic Testing AP</t>
  </si>
  <si>
    <t xml:space="preserve">500209</t>
  </si>
  <si>
    <t xml:space="preserve">500209 MS/US Principal Activities</t>
  </si>
  <si>
    <t xml:space="preserve">500211</t>
  </si>
  <si>
    <t xml:space="preserve">500211 Consumables/Workbooks US&amp;MS</t>
  </si>
  <si>
    <t xml:space="preserve">500212</t>
  </si>
  <si>
    <t xml:space="preserve">500212 MS Textbooks</t>
  </si>
  <si>
    <t xml:space="preserve">500213</t>
  </si>
  <si>
    <t xml:space="preserve">500213 Textbooks AP</t>
  </si>
  <si>
    <t xml:space="preserve">500214</t>
  </si>
  <si>
    <t xml:space="preserve">500214 Textbooks US</t>
  </si>
  <si>
    <t xml:space="preserve">500215</t>
  </si>
  <si>
    <t xml:space="preserve">500215 Innovation Class Expenses</t>
  </si>
  <si>
    <t xml:space="preserve">500216</t>
  </si>
  <si>
    <t xml:space="preserve">500216 OnLine Course Expense</t>
  </si>
  <si>
    <t xml:space="preserve">Student Activities Expenses</t>
  </si>
  <si>
    <t xml:space="preserve">500283</t>
  </si>
  <si>
    <t xml:space="preserve">500283 All School Activity Expenses</t>
  </si>
  <si>
    <t xml:space="preserve">500311</t>
  </si>
  <si>
    <t xml:space="preserve">500311 Graduation Activities</t>
  </si>
  <si>
    <t xml:space="preserve">500313</t>
  </si>
  <si>
    <t xml:space="preserve">500313 Junior Class Prom</t>
  </si>
  <si>
    <t xml:space="preserve">500318</t>
  </si>
  <si>
    <t xml:space="preserve">500318 Purchases Student Activities Billable</t>
  </si>
  <si>
    <t xml:space="preserve">500340</t>
  </si>
  <si>
    <t xml:space="preserve">500340 Senior Class Expenses</t>
  </si>
  <si>
    <t xml:space="preserve">500428</t>
  </si>
  <si>
    <t xml:space="preserve">500428 Wildcat Carnival</t>
  </si>
  <si>
    <t xml:space="preserve">500434</t>
  </si>
  <si>
    <t xml:space="preserve">500434 MS/US Field Trips Billable</t>
  </si>
  <si>
    <t xml:space="preserve">Business Office Expenses</t>
  </si>
  <si>
    <t xml:space="preserve">500010</t>
  </si>
  <si>
    <t xml:space="preserve">500010 Postage Expense</t>
  </si>
  <si>
    <t xml:space="preserve">500241</t>
  </si>
  <si>
    <t xml:space="preserve">500241 FACTS Enrollment Fee Expense</t>
  </si>
  <si>
    <t xml:space="preserve">500242</t>
  </si>
  <si>
    <t xml:space="preserve">500242 FACTS Hosting Fee</t>
  </si>
  <si>
    <t xml:space="preserve">500243</t>
  </si>
  <si>
    <t xml:space="preserve">500243 FACTS Implementation Fee</t>
  </si>
  <si>
    <t xml:space="preserve">500244</t>
  </si>
  <si>
    <t xml:space="preserve">500244 FACTS Returned Payment Fee</t>
  </si>
  <si>
    <t xml:space="preserve">500245</t>
  </si>
  <si>
    <t xml:space="preserve">500245 FACTS Online Enrollment Fee</t>
  </si>
  <si>
    <t xml:space="preserve">500246</t>
  </si>
  <si>
    <t xml:space="preserve">500246 FACTS Application Fee</t>
  </si>
  <si>
    <t xml:space="preserve">500247</t>
  </si>
  <si>
    <t xml:space="preserve">500247 FACTS Services Expense</t>
  </si>
  <si>
    <t xml:space="preserve">500248</t>
  </si>
  <si>
    <t xml:space="preserve">500248 Pre-Employment Expenses</t>
  </si>
  <si>
    <t xml:space="preserve">500249</t>
  </si>
  <si>
    <t xml:space="preserve">500249 Business Office Expenses</t>
  </si>
  <si>
    <t xml:space="preserve">500251</t>
  </si>
  <si>
    <t xml:space="preserve">500251 Payroll Processing Fees</t>
  </si>
  <si>
    <t xml:space="preserve">500252</t>
  </si>
  <si>
    <t xml:space="preserve">500252 Banking Fees</t>
  </si>
  <si>
    <t xml:space="preserve">Food Service</t>
  </si>
  <si>
    <t xml:space="preserve">Per Student</t>
  </si>
  <si>
    <t xml:space="preserve">500026</t>
  </si>
  <si>
    <t xml:space="preserve">500026 Insurance Expense</t>
  </si>
  <si>
    <t xml:space="preserve">500250</t>
  </si>
  <si>
    <t xml:space="preserve">500250 Copier Leases</t>
  </si>
  <si>
    <t xml:space="preserve">500357</t>
  </si>
  <si>
    <t xml:space="preserve">500357 Outsourced Tech Support</t>
  </si>
  <si>
    <t xml:space="preserve">500221</t>
  </si>
  <si>
    <t xml:space="preserve">500221 Repairs Athletic Facilities</t>
  </si>
  <si>
    <t xml:space="preserve">500222</t>
  </si>
  <si>
    <t xml:space="preserve">500222 Janitorial Services</t>
  </si>
  <si>
    <t xml:space="preserve">500223</t>
  </si>
  <si>
    <t xml:space="preserve">500223 Maintenance Contracts Facilities</t>
  </si>
  <si>
    <t xml:space="preserve">500224</t>
  </si>
  <si>
    <t xml:space="preserve">500224 Equipment General</t>
  </si>
  <si>
    <t xml:space="preserve">500226</t>
  </si>
  <si>
    <t xml:space="preserve">500226 Grounds Contracts</t>
  </si>
  <si>
    <t xml:space="preserve">500227</t>
  </si>
  <si>
    <t xml:space="preserve">500227 Grounds Equipment</t>
  </si>
  <si>
    <t xml:space="preserve">500228</t>
  </si>
  <si>
    <t xml:space="preserve">500228 Grounds Costs and Expenses</t>
  </si>
  <si>
    <t xml:space="preserve">500230</t>
  </si>
  <si>
    <t xml:space="preserve">500230 Repairs and Maintenance School Property</t>
  </si>
  <si>
    <t xml:space="preserve">500234</t>
  </si>
  <si>
    <t xml:space="preserve">500234 Janitorial Supplies</t>
  </si>
  <si>
    <t xml:space="preserve">500236</t>
  </si>
  <si>
    <t xml:space="preserve">500236 Repairs Willet Hall</t>
  </si>
  <si>
    <t xml:space="preserve">Maintenance-Budget Only</t>
  </si>
  <si>
    <t xml:space="preserve">500237</t>
  </si>
  <si>
    <t xml:space="preserve">500237 Utilities - Power</t>
  </si>
  <si>
    <t xml:space="preserve">500238</t>
  </si>
  <si>
    <t xml:space="preserve">500238 Utilities Water</t>
  </si>
  <si>
    <t xml:space="preserve">500239</t>
  </si>
  <si>
    <t xml:space="preserve">500239 Utilities Telephone &amp; Cell</t>
  </si>
  <si>
    <t xml:space="preserve">500240</t>
  </si>
  <si>
    <t xml:space="preserve">500240 Utilities Gas</t>
  </si>
  <si>
    <t xml:space="preserve">500017</t>
  </si>
  <si>
    <t xml:space="preserve">500017 Admissions</t>
  </si>
  <si>
    <t xml:space="preserve">500018</t>
  </si>
  <si>
    <t xml:space="preserve">500018 College Counseling</t>
  </si>
  <si>
    <t xml:space="preserve">500019</t>
  </si>
  <si>
    <t xml:space="preserve">500019 Guidance Office</t>
  </si>
  <si>
    <t xml:space="preserve">500020</t>
  </si>
  <si>
    <t xml:space="preserve">500020 Head of School Expenses</t>
  </si>
  <si>
    <t xml:space="preserve">500022</t>
  </si>
  <si>
    <t xml:space="preserve">500022 Board Expense</t>
  </si>
  <si>
    <t xml:space="preserve">500024</t>
  </si>
  <si>
    <t xml:space="preserve">500024 Faculty Appreciation</t>
  </si>
  <si>
    <t xml:space="preserve">500056</t>
  </si>
  <si>
    <t xml:space="preserve">500056 Athletic Contingency Playoff Expenses</t>
  </si>
  <si>
    <t xml:space="preserve">500127</t>
  </si>
  <si>
    <t xml:space="preserve">500127 Cirrus Lease</t>
  </si>
  <si>
    <t xml:space="preserve">500256</t>
  </si>
  <si>
    <t xml:space="preserve">500256 Audit Fees - Financials</t>
  </si>
  <si>
    <t xml:space="preserve">500257</t>
  </si>
  <si>
    <t xml:space="preserve">500257 SAIS/SACS Audit Fees</t>
  </si>
  <si>
    <t xml:space="preserve">500260</t>
  </si>
  <si>
    <t xml:space="preserve">500260 Bad Debt Expense</t>
  </si>
  <si>
    <t xml:space="preserve">500265</t>
  </si>
  <si>
    <t xml:space="preserve">500265 Strategic Plan Expenses</t>
  </si>
  <si>
    <t xml:space="preserve">500266</t>
  </si>
  <si>
    <t xml:space="preserve">500266 Dues and Subscriptions</t>
  </si>
  <si>
    <t xml:space="preserve">500393</t>
  </si>
  <si>
    <t xml:space="preserve">500393 Premium Paid for Tuition Insurance</t>
  </si>
  <si>
    <t xml:space="preserve">Advancement Activities</t>
  </si>
  <si>
    <t xml:space="preserve">Advertising and Marketing</t>
  </si>
  <si>
    <t xml:space="preserve">500123</t>
  </si>
  <si>
    <t xml:space="preserve">500123 Mortgage Principal</t>
  </si>
  <si>
    <t xml:space="preserve">Debt</t>
  </si>
  <si>
    <t xml:space="preserve">500125</t>
  </si>
  <si>
    <t xml:space="preserve">500125 Mortgage Interest Expense</t>
  </si>
  <si>
    <t xml:space="preserve">Technology Expenses</t>
  </si>
  <si>
    <t xml:space="preserve">500202</t>
  </si>
  <si>
    <t xml:space="preserve">500202 Computer Classroom Expenses</t>
  </si>
  <si>
    <t xml:space="preserve">500354</t>
  </si>
  <si>
    <t xml:space="preserve">500354 Technology Supplies 1 to 1</t>
  </si>
  <si>
    <t xml:space="preserve">500355</t>
  </si>
  <si>
    <t xml:space="preserve">500355 Administrative Software</t>
  </si>
  <si>
    <t xml:space="preserve">500356</t>
  </si>
  <si>
    <t xml:space="preserve">500356 Software Costs Upper School</t>
  </si>
  <si>
    <t xml:space="preserve">500358</t>
  </si>
  <si>
    <t xml:space="preserve">500358 Technology Equipment</t>
  </si>
  <si>
    <t xml:space="preserve">500359</t>
  </si>
  <si>
    <t xml:space="preserve">500359 Technology Equipment Reserve</t>
  </si>
  <si>
    <t xml:space="preserve">500360</t>
  </si>
  <si>
    <t xml:space="preserve">500360 Lease for Network Switches</t>
  </si>
  <si>
    <t xml:space="preserve">500361</t>
  </si>
  <si>
    <t xml:space="preserve">500361 Software Lower School</t>
  </si>
  <si>
    <t xml:space="preserve">500362</t>
  </si>
  <si>
    <t xml:space="preserve">500362 Technology Software Administrative</t>
  </si>
  <si>
    <t xml:space="preserve">500363</t>
  </si>
  <si>
    <t xml:space="preserve">500363 Technology General Office Supplies</t>
  </si>
  <si>
    <t xml:space="preserve">500364</t>
  </si>
  <si>
    <t xml:space="preserve">500364 Repairs Technology</t>
  </si>
  <si>
    <t xml:space="preserve">500365</t>
  </si>
  <si>
    <t xml:space="preserve">500365 Communication Costs</t>
  </si>
  <si>
    <t xml:space="preserve">500367</t>
  </si>
  <si>
    <t xml:space="preserve">500367 Technology Installation Expense</t>
  </si>
  <si>
    <t xml:space="preserve">500377</t>
  </si>
  <si>
    <t xml:space="preserve">500377 Apple Lease #10</t>
  </si>
  <si>
    <t xml:space="preserve">500378</t>
  </si>
  <si>
    <t xml:space="preserve">500378 Apple Lease #9</t>
  </si>
  <si>
    <t xml:space="preserve">500403</t>
  </si>
  <si>
    <t xml:space="preserve">500403 Billings for Deductible for Students 1 to 1</t>
  </si>
  <si>
    <t xml:space="preserve">500404</t>
  </si>
  <si>
    <t xml:space="preserve">500404 Technology Insurance Premiums</t>
  </si>
  <si>
    <t xml:space="preserve">500057</t>
  </si>
  <si>
    <t xml:space="preserve">500057 Summer Camp Exp DO NOT USE</t>
  </si>
  <si>
    <t xml:space="preserve">Other Revenue</t>
  </si>
  <si>
    <t xml:space="preserve">Development Income</t>
  </si>
  <si>
    <t xml:space="preserve">Other Expense</t>
  </si>
  <si>
    <t xml:space="preserve">Development Expenses</t>
  </si>
  <si>
    <t xml:space="preserve">To add an account: insert a row above this note (inside the table), fill columns A:F, copy G:K formulas down from the row above.</t>
  </si>
  <si>
    <t xml:space="preserve">MONTHLY CASH FLOW - 5 YEARS</t>
  </si>
  <si>
    <t xml:space="preserve">Month ending</t>
  </si>
  <si>
    <t xml:space="preserve">Fiscal year #</t>
  </si>
  <si>
    <t xml:space="preserve">Fiscal month # (1 = July)</t>
  </si>
  <si>
    <t xml:space="preserve">CASH RECEIPTS (by timing profile)</t>
  </si>
  <si>
    <t xml:space="preserve">  Tuition Plan</t>
  </si>
  <si>
    <t xml:space="preserve">  Even</t>
  </si>
  <si>
    <t xml:space="preserve">  Jul Lump</t>
  </si>
  <si>
    <t xml:space="preserve">  Custom A</t>
  </si>
  <si>
    <t xml:space="preserve">  Custom B</t>
  </si>
  <si>
    <t xml:space="preserve">Total receipts</t>
  </si>
  <si>
    <t xml:space="preserve">CASH DISBURSEMENTS (by timing profile)</t>
  </si>
  <si>
    <t xml:space="preserve">  Strategic plan initiatives - operating, net</t>
  </si>
  <si>
    <t xml:space="preserve">Total operating disbursements</t>
  </si>
  <si>
    <t xml:space="preserve">NET OPERATING CASH FLOW</t>
  </si>
  <si>
    <t xml:space="preserve">Capital projects &amp; capital initiatives</t>
  </si>
  <si>
    <t xml:space="preserve">Transfers to reserves</t>
  </si>
  <si>
    <t xml:space="preserve">Operating cash - beginning</t>
  </si>
  <si>
    <t xml:space="preserve">  Net operating cash flow</t>
  </si>
  <si>
    <t xml:space="preserve">  Capital &amp; reserve transfers</t>
  </si>
  <si>
    <t xml:space="preserve">Operating cash - ending</t>
  </si>
  <si>
    <t xml:space="preserve">Reserves &amp; restricted - beginning</t>
  </si>
  <si>
    <t xml:space="preserve">  Transfers in</t>
  </si>
  <si>
    <t xml:space="preserve">Reserves &amp; restricted - ending</t>
  </si>
  <si>
    <t xml:space="preserve">TOTAL CASH &amp; RESERVES - ending</t>
  </si>
  <si>
    <t xml:space="preserve">Operating cash below zero?</t>
  </si>
  <si>
    <t xml:space="preserve">CASH FLOW SUMMARY (annual)</t>
  </si>
  <si>
    <t xml:space="preserve">Operating cash - beginning of year</t>
  </si>
  <si>
    <t xml:space="preserve">Cash receipts</t>
  </si>
  <si>
    <t xml:space="preserve">Operating disbursements (incl. strategic plan)</t>
  </si>
  <si>
    <t xml:space="preserve">Net operating cash flow</t>
  </si>
  <si>
    <t xml:space="preserve">Operating cash - end of year</t>
  </si>
  <si>
    <t xml:space="preserve">Reserves &amp; restricted - end of year</t>
  </si>
  <si>
    <t xml:space="preserve">Total cash &amp; reserves - end of year</t>
  </si>
  <si>
    <t xml:space="preserve">  Month of low point</t>
  </si>
  <si>
    <t xml:space="preserve">Days cash on hand (total cash / daily expenses)</t>
  </si>
  <si>
    <t xml:space="preserve">Cash flow is on a cash basis: tuition follows the payment-plan profile, prepayments for next year (May/June) are included.</t>
  </si>
  <si>
    <t xml:space="preserve">Supporting calculation: annual amounts by cash-timing profile (feeds the monthly Cash Flow tab)</t>
  </si>
  <si>
    <t xml:space="preserve">Revenue lines</t>
  </si>
  <si>
    <t xml:space="preserve">Next FY (est.)</t>
  </si>
  <si>
    <t xml:space="preserve">  (FY32 is estimated from FY31 x growth; only used for May/June prepayments in the final year)</t>
  </si>
  <si>
    <t xml:space="preserve">Expense lines</t>
  </si>
  <si>
    <t xml:space="preserve">Budget Overview__Budget_FY27_P&amp;L___Report</t>
  </si>
  <si>
    <t xml:space="preserve">HOW TO IMPORT</t>
  </si>
  <si>
    <t xml:space="preserve">July, 2026-June, 2027</t>
  </si>
  <si>
    <t xml:space="preserve">1. In QuickBooks, export the Budget Overview P&amp;L report to Excel.</t>
  </si>
  <si>
    <t xml:space="preserve">2. Clear columns A:C on this tab (do NOT touch columns D:I).</t>
  </si>
  <si>
    <t xml:space="preserve">Jul 2026 - Jun 2027</t>
  </si>
  <si>
    <t xml:space="preserve">3. Paste the whole export so its first row lands in A1.</t>
  </si>
  <si>
    <t xml:space="preserve">4. Check the status line at the top of the Summary tab.</t>
  </si>
  <si>
    <t xml:space="preserve">Columns D:I (green) are helper formulas that read the pasted data.</t>
  </si>
  <si>
    <t xml:space="preserve">Gross Tuition</t>
  </si>
  <si>
    <t xml:space="preserve">Any account flagged UNMAPPED in column I is held flat in the forecast</t>
  </si>
  <si>
    <t xml:space="preserve">under its Major Category; add it to Forecast Detail to forecast it.</t>
  </si>
  <si>
    <t xml:space="preserve">Total for Gross Tuition</t>
  </si>
  <si>
    <t xml:space="preserve">Other Tuition-Related Fees</t>
  </si>
  <si>
    <t xml:space="preserve">Other Income-Late Fees</t>
  </si>
  <si>
    <t xml:space="preserve">Total for Other Income-Late Fees</t>
  </si>
  <si>
    <t xml:space="preserve">Total for Other Tuition-Related Fees</t>
  </si>
  <si>
    <t xml:space="preserve">Tuition Discounts</t>
  </si>
  <si>
    <t xml:space="preserve">Total for Tuition Discounts</t>
  </si>
  <si>
    <t xml:space="preserve">Total for 1 Tuition and Fees</t>
  </si>
  <si>
    <t xml:space="preserve">After School/Summer Day Care</t>
  </si>
  <si>
    <t xml:space="preserve">Total for After School/Summer Day Care</t>
  </si>
  <si>
    <t xml:space="preserve">Contributions from Endowments</t>
  </si>
  <si>
    <t xml:space="preserve">Total for Contributions from Endowments</t>
  </si>
  <si>
    <t xml:space="preserve">Interest Income</t>
  </si>
  <si>
    <t xml:space="preserve">Total for Interest Income</t>
  </si>
  <si>
    <t xml:space="preserve">Total for 2 Interest and Other Income</t>
  </si>
  <si>
    <t xml:space="preserve">Fees from Tutoring Services</t>
  </si>
  <si>
    <t xml:space="preserve">Total for Fees from Tutoring Services</t>
  </si>
  <si>
    <t xml:space="preserve">Net Revenue Twas the Night</t>
  </si>
  <si>
    <t xml:space="preserve">Total for Net Revenue Twas the Night</t>
  </si>
  <si>
    <t xml:space="preserve">Total for 4 Other Miscellaneous Income</t>
  </si>
  <si>
    <t xml:space="preserve">Total for Revenue</t>
  </si>
  <si>
    <t xml:space="preserve">Cost of Goods Sold</t>
  </si>
  <si>
    <t xml:space="preserve">Gross Profit</t>
  </si>
  <si>
    <t xml:space="preserve">Expenditures</t>
  </si>
  <si>
    <t xml:space="preserve">Total for 1 Salaries and Benefits</t>
  </si>
  <si>
    <t xml:space="preserve">Total for All School Supplies</t>
  </si>
  <si>
    <t xml:space="preserve">General Instructional Activities</t>
  </si>
  <si>
    <t xml:space="preserve">Total for General Instructional Activities</t>
  </si>
  <si>
    <t xml:space="preserve">Total for Lower School Expenses</t>
  </si>
  <si>
    <t xml:space="preserve">Middle/Upper School Division</t>
  </si>
  <si>
    <t xml:space="preserve">Total for Middle/Upper School Division</t>
  </si>
  <si>
    <t xml:space="preserve">Total for Student Activities Expenses</t>
  </si>
  <si>
    <t xml:space="preserve">Total for 2 Instructional Expenses</t>
  </si>
  <si>
    <t xml:space="preserve">Total for Business Office Expenses</t>
  </si>
  <si>
    <t xml:space="preserve">General Operational Expenses</t>
  </si>
  <si>
    <t xml:space="preserve">Total for General Operational Expenses</t>
  </si>
  <si>
    <t xml:space="preserve">Maintenance/Grounds/Utilities Expenses</t>
  </si>
  <si>
    <t xml:space="preserve">Utilities</t>
  </si>
  <si>
    <t xml:space="preserve">Total for Utilities</t>
  </si>
  <si>
    <t xml:space="preserve">Total for Maintenance/Grounds/Utilities Expenses</t>
  </si>
  <si>
    <t xml:space="preserve">Total for 3 Operations</t>
  </si>
  <si>
    <t xml:space="preserve">Administrative Activities-General</t>
  </si>
  <si>
    <t xml:space="preserve">Total for Administrative Activities-General</t>
  </si>
  <si>
    <t xml:space="preserve">Debt Service</t>
  </si>
  <si>
    <t xml:space="preserve">Total for Debt Service</t>
  </si>
  <si>
    <t xml:space="preserve">Total for Technology Expenses</t>
  </si>
  <si>
    <t xml:space="preserve">Total for 4 Administrative</t>
  </si>
  <si>
    <t xml:space="preserve">Athletic Expenses - General</t>
  </si>
  <si>
    <t xml:space="preserve">Total for Athletic Expenses - General</t>
  </si>
  <si>
    <t xml:space="preserve">Total for 5 Athletic Expenses</t>
  </si>
  <si>
    <t xml:space="preserve">Total for Expenditures</t>
  </si>
  <si>
    <t xml:space="preserve">Total for Other Revenue</t>
  </si>
  <si>
    <t xml:space="preserve">Other Expenditures</t>
  </si>
  <si>
    <t xml:space="preserve">Total for Other Expenditures</t>
  </si>
  <si>
    <t xml:space="preserve">Net Revenue</t>
  </si>
  <si>
    <t xml:space="preserve"> Tuesday, September 22, 2026 09:32 AM GMT-05:00</t>
  </si>
  <si>
    <t xml:space="preserve">FIVE-YEAR FORECAST MODEL - READ ME</t>
  </si>
  <si>
    <t xml:space="preserve">TABS</t>
  </si>
  <si>
    <t xml:space="preserve">  Summary          One-page print view by QuickBooks Major Category (the accounts under '1 Tuition and Fees', '1 Salaries and Benefits', etc.).</t>
  </si>
  <si>
    <t xml:space="preserve">  Inputs           All assumptions: growth %, strategic plan initiatives, capital projects, reserve funding, opening cash, payment plans, cash timing.</t>
  </si>
  <si>
    <t xml:space="preserve">  Enrollment       FY27 enrollment and rates by grade; later years roll forward by grade using retention and new-student inputs.</t>
  </si>
  <si>
    <t xml:space="preserve">  Forecast Detail  One row per QuickBooks account. Pick a forecast method and cash timing per line.</t>
  </si>
  <si>
    <t xml:space="preserve">  Cash Flow        Monthly cash flow, 60 months (5 fiscal years, July-June).</t>
  </si>
  <si>
    <t xml:space="preserve">  CF Summary       Annual cash flow summary, low-point cash and days cash on hand.</t>
  </si>
  <si>
    <t xml:space="preserve">  QB Import        Paste the QuickBooks budget export here (A1). Helper formulas in D:I map every account to its Major Category.</t>
  </si>
  <si>
    <t xml:space="preserve">HOW MAJOR CATEGORIES ARE FOUND</t>
  </si>
  <si>
    <t xml:space="preserve">  Any row whose label begins with a single digit and a space (e.g. '1 Tuition and Fees') starts a Major Category. Every account beneath it, including</t>
  </si>
  <si>
    <t xml:space="preserve">  subgroups such as 'Gross Tuition' or 'Tuition Discounts', rolls up into it until the next such row or the next section (Revenue / Expenditures / Other Revenue / Other Expenditures).</t>
  </si>
  <si>
    <t xml:space="preserve">  Rows that carry an amount but have no account number (e.g. 'Food Service') are treated as their own detail line.</t>
  </si>
  <si>
    <t xml:space="preserve">UPDATING FROM A NEW QUICKBOOKS EXPORT</t>
  </si>
  <si>
    <t xml:space="preserve">  1. Clear QB Import columns A:C, paste the new export at A1.  2. Read the status on Summary!A3.  3. If accounts show as UNMAPPED, add them to Forecast Detail.</t>
  </si>
  <si>
    <t xml:space="preserve">  Unmapped accounts are still counted (held flat) so totals never drop out of the forecast.</t>
  </si>
  <si>
    <t xml:space="preserve">FORECAST METHODS (Forecast Detail column E)</t>
  </si>
  <si>
    <t xml:space="preserve">  Flat              Same as prior year.</t>
  </si>
  <si>
    <t xml:space="preserve">  Inflation         Prior year x (1 + general inflation).</t>
  </si>
  <si>
    <t xml:space="preserve">  Salary            Prior year x (1 + salary increase).</t>
  </si>
  <si>
    <t xml:space="preserve">  Benefits          Prior year x (1 + benefits increase).</t>
  </si>
  <si>
    <t xml:space="preserve">  Per Student       Prior year x enrollment change x (1 + inflation).</t>
  </si>
  <si>
    <t xml:space="preserve">  Enrollment        Prior year x enrollment change.</t>
  </si>
  <si>
    <t xml:space="preserve">  Tuition Index     Prior year x change in the tuition index (enrollment by grade x rate by grade). Calibrated to the QuickBooks FY27 budget.</t>
  </si>
  <si>
    <t xml:space="preserve">  % of Salaries     Keeps the FY27 ratio to total 'Salary' lines (payroll taxes, 401K).</t>
  </si>
  <si>
    <t xml:space="preserve">  Debt              FY27 amount x months of payments remaining (see final mortgage payment date).</t>
  </si>
  <si>
    <t xml:space="preserve">  Reserve Yield     Yield % x prior year-end interest-earning balances (Inputs).</t>
  </si>
  <si>
    <t xml:space="preserve">  Manual            Type the amount for each year in Forecast Detail columns L:O.</t>
  </si>
  <si>
    <t xml:space="preserve">SIMPLIFICATIONS TO KNOW ABOUT</t>
  </si>
  <si>
    <t xml:space="preserve">  - Mortgage principal and interest are kept as expenses exactly as in QuickBooks; interest is not stepped down as principal is repaid.</t>
  </si>
  <si>
    <t xml:space="preserve">  - Interest income is based on prior year-end balances (opening balances + reserve funding), not the monthly cash flow, to avoid circularity.</t>
  </si>
  <si>
    <t xml:space="preserve">  - The cash flow starts July of FY27 from the opening balances on Inputs; May/June collections for FY27 tuition are assumed to be in those balances.</t>
  </si>
  <si>
    <t xml:space="preserve">  - Scholarship programs (S4K, Choose Act, AOSF) are driven by the method chosen on their own lines, not by student counts.</t>
  </si>
  <si>
    <t xml:space="preserve">  - Strategic Plan Initiatives are incremental to the QuickBooks account '500265 Strategic Plan Expenses'.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</si>
</sst>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#,##0;\(#,##0\);\-"/>
    <numFmt numFmtId="168" formatCode="0"/>
    <numFmt numFmtId="169" formatCode="m/d/yyyy"/>
    <numFmt numFmtId="170" formatCode="0.0000"/>
    <numFmt numFmtId="171" formatCode="@"/>
    <numFmt numFmtId="172" formatCode="mmm\-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00803C"/>
      </font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3C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tr">
        <f aca="false">"Data check: "&amp;B46</f>
        <v>Data check: OK - ties to QuickBooks</v>
      </c>
    </row>
    <row r="5" customFormat="false" ht="15" hidden="false" customHeight="false" outlineLevel="0" collapsed="false">
      <c r="A5" s="4" t="s">
        <v>2</v>
      </c>
      <c r="B5" s="5" t="str">
        <f aca="false">Inputs!C$4</f>
        <v>FY27</v>
      </c>
      <c r="C5" s="5" t="str">
        <f aca="false">Inputs!D$4</f>
        <v>FY28</v>
      </c>
      <c r="D5" s="5" t="str">
        <f aca="false">Inputs!E$4</f>
        <v>FY29</v>
      </c>
      <c r="E5" s="5" t="str">
        <f aca="false">Inputs!F$4</f>
        <v>FY30</v>
      </c>
      <c r="F5" s="5" t="str">
        <f aca="false">Inputs!G$4</f>
        <v>FY31</v>
      </c>
      <c r="G5" s="5" t="s">
        <v>3</v>
      </c>
    </row>
    <row r="6" customFormat="false" ht="15" hidden="false" customHeight="false" outlineLevel="0" collapsed="false">
      <c r="A6" s="6" t="s">
        <v>4</v>
      </c>
      <c r="B6" s="7" t="n">
        <f aca="false">Enrollment!B21</f>
        <v>582</v>
      </c>
      <c r="C6" s="7" t="n">
        <f aca="false">Enrollment!C21</f>
        <v>591</v>
      </c>
      <c r="D6" s="7" t="n">
        <f aca="false">Enrollment!D21</f>
        <v>588</v>
      </c>
      <c r="E6" s="7" t="n">
        <f aca="false">Enrollment!E21</f>
        <v>583</v>
      </c>
      <c r="F6" s="7" t="n">
        <f aca="false">Enrollment!F21</f>
        <v>579</v>
      </c>
    </row>
    <row r="7" customFormat="false" ht="15" hidden="false" customHeight="false" outlineLevel="0" collapsed="false">
      <c r="A7" s="6" t="s">
        <v>5</v>
      </c>
      <c r="B7" s="8" t="n">
        <f aca="false">Inputs!C9</f>
        <v>0.04</v>
      </c>
      <c r="C7" s="8" t="n">
        <f aca="false">Inputs!D9</f>
        <v>0.05</v>
      </c>
      <c r="D7" s="8" t="n">
        <f aca="false">Inputs!E9</f>
        <v>0.045</v>
      </c>
      <c r="E7" s="8" t="n">
        <f aca="false">Inputs!F9</f>
        <v>0.045</v>
      </c>
      <c r="F7" s="8" t="n">
        <f aca="false">Inputs!G9</f>
        <v>0.04</v>
      </c>
    </row>
    <row r="8" customFormat="false" ht="15" hidden="false" customHeight="false" outlineLevel="0" collapsed="false">
      <c r="A8" s="6" t="s">
        <v>6</v>
      </c>
      <c r="B8" s="8" t="n">
        <f aca="false">Inputs!C10</f>
        <v>0.025</v>
      </c>
      <c r="C8" s="8" t="n">
        <f aca="false">Inputs!D10</f>
        <v>0.03</v>
      </c>
      <c r="D8" s="8" t="n">
        <f aca="false">Inputs!E10</f>
        <v>0.03</v>
      </c>
      <c r="E8" s="8" t="n">
        <f aca="false">Inputs!F10</f>
        <v>0.03</v>
      </c>
      <c r="F8" s="8" t="n">
        <f aca="false">Inputs!G10</f>
        <v>0.03</v>
      </c>
    </row>
    <row r="10" customFormat="false" ht="15" hidden="false" customHeight="false" outlineLevel="0" collapsed="false">
      <c r="A10" s="9" t="s">
        <v>7</v>
      </c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6" t="s">
        <v>8</v>
      </c>
      <c r="B11" s="11" t="n">
        <f aca="false">SUMIFS('Forecast Detail'!G$8:G$400,'Forecast Detail'!$B$8:$B$400,$A11)+SUMIFS('QB Import'!$B$1:$B$600,'QB Import'!$F$1:$F$600,$A11,'QB Import'!$I$1:$I$600,"UNMAPPED")</f>
        <v>8799382</v>
      </c>
      <c r="C11" s="11" t="n">
        <f aca="false">SUMIFS('Forecast Detail'!H$8:H$400,'Forecast Detail'!$B$8:$B$400,$A11)+SUMIFS('QB Import'!$B$1:$B$600,'QB Import'!$F$1:$F$600,$A11,'QB Import'!$I$1:$I$600,"UNMAPPED")</f>
        <v>9300918.43818146</v>
      </c>
      <c r="D11" s="11" t="n">
        <f aca="false">SUMIFS('Forecast Detail'!I$8:I$400,'Forecast Detail'!$B$8:$B$400,$A11)+SUMIFS('QB Import'!$B$1:$B$600,'QB Import'!$F$1:$F$600,$A11,'QB Import'!$I$1:$I$600,"UNMAPPED")</f>
        <v>9629546.2771512</v>
      </c>
      <c r="E11" s="11" t="n">
        <f aca="false">SUMIFS('Forecast Detail'!J$8:J$400,'Forecast Detail'!$B$8:$B$400,$A11)+SUMIFS('QB Import'!$B$1:$B$600,'QB Import'!$F$1:$F$600,$A11,'QB Import'!$I$1:$I$600,"UNMAPPED")</f>
        <v>9941469.62509973</v>
      </c>
      <c r="F11" s="11" t="n">
        <f aca="false">SUMIFS('Forecast Detail'!K$8:K$400,'Forecast Detail'!$B$8:$B$400,$A11)+SUMIFS('QB Import'!$B$1:$B$600,'QB Import'!$F$1:$F$600,$A11,'QB Import'!$I$1:$I$600,"UNMAPPED")</f>
        <v>10246937.1039501</v>
      </c>
      <c r="G11" s="8" t="n">
        <f aca="false">IF(AND(B11&gt;0,F11&gt;0),(F11/B11)^(1/4)-1,"")</f>
        <v>0.0388084524464143</v>
      </c>
    </row>
    <row r="12" customFormat="false" ht="15" hidden="false" customHeight="false" outlineLevel="0" collapsed="false">
      <c r="A12" s="6" t="s">
        <v>9</v>
      </c>
      <c r="B12" s="11" t="n">
        <f aca="false">SUMIFS('Forecast Detail'!G$8:G$400,'Forecast Detail'!$B$8:$B$400,$A12)+SUMIFS('QB Import'!$B$1:$B$600,'QB Import'!$F$1:$F$600,$A12,'QB Import'!$I$1:$I$600,"UNMAPPED")</f>
        <v>445000</v>
      </c>
      <c r="C12" s="11" t="n">
        <f aca="false">SUMIFS('Forecast Detail'!H$8:H$400,'Forecast Detail'!$B$8:$B$400,$A12)+SUMIFS('QB Import'!$B$1:$B$600,'QB Import'!$F$1:$F$600,$A12,'QB Import'!$I$1:$I$600,"UNMAPPED")</f>
        <v>394005.03102</v>
      </c>
      <c r="D12" s="11" t="n">
        <f aca="false">SUMIFS('Forecast Detail'!I$8:I$400,'Forecast Detail'!$B$8:$B$400,$A12)+SUMIFS('QB Import'!$B$1:$B$600,'QB Import'!$F$1:$F$600,$A12,'QB Import'!$I$1:$I$600,"UNMAPPED")</f>
        <v>344005.03102</v>
      </c>
      <c r="E12" s="11" t="n">
        <f aca="false">SUMIFS('Forecast Detail'!J$8:J$400,'Forecast Detail'!$B$8:$B$400,$A12)+SUMIFS('QB Import'!$B$1:$B$600,'QB Import'!$F$1:$F$600,$A12,'QB Import'!$I$1:$I$600,"UNMAPPED")</f>
        <v>344005.03102</v>
      </c>
      <c r="F12" s="11" t="n">
        <f aca="false">SUMIFS('Forecast Detail'!K$8:K$400,'Forecast Detail'!$B$8:$B$400,$A12)+SUMIFS('QB Import'!$B$1:$B$600,'QB Import'!$F$1:$F$600,$A12,'QB Import'!$I$1:$I$600,"UNMAPPED")</f>
        <v>344005.03102</v>
      </c>
      <c r="G12" s="8" t="n">
        <f aca="false">IF(AND(B12&gt;0,F12&gt;0),(F12/B12)^(1/4)-1,"")</f>
        <v>-0.0623274642717862</v>
      </c>
    </row>
    <row r="13" customFormat="false" ht="15" hidden="false" customHeight="false" outlineLevel="0" collapsed="false">
      <c r="A13" s="6" t="s">
        <v>10</v>
      </c>
      <c r="B13" s="11" t="n">
        <f aca="false">SUMIFS('Forecast Detail'!G$8:G$400,'Forecast Detail'!$B$8:$B$400,$A13)+SUMIFS('QB Import'!$B$1:$B$600,'QB Import'!$F$1:$F$600,$A13,'QB Import'!$I$1:$I$600,"UNMAPPED")</f>
        <v>60000</v>
      </c>
      <c r="C13" s="11" t="n">
        <f aca="false">SUMIFS('Forecast Detail'!H$8:H$400,'Forecast Detail'!$B$8:$B$400,$A13)+SUMIFS('QB Import'!$B$1:$B$600,'QB Import'!$F$1:$F$600,$A13,'QB Import'!$I$1:$I$600,"UNMAPPED")</f>
        <v>60000</v>
      </c>
      <c r="D13" s="11" t="n">
        <f aca="false">SUMIFS('Forecast Detail'!I$8:I$400,'Forecast Detail'!$B$8:$B$400,$A13)+SUMIFS('QB Import'!$B$1:$B$600,'QB Import'!$F$1:$F$600,$A13,'QB Import'!$I$1:$I$600,"UNMAPPED")</f>
        <v>60000</v>
      </c>
      <c r="E13" s="11" t="n">
        <f aca="false">SUMIFS('Forecast Detail'!J$8:J$400,'Forecast Detail'!$B$8:$B$400,$A13)+SUMIFS('QB Import'!$B$1:$B$600,'QB Import'!$F$1:$F$600,$A13,'QB Import'!$I$1:$I$600,"UNMAPPED")</f>
        <v>60000</v>
      </c>
      <c r="F13" s="11" t="n">
        <f aca="false">SUMIFS('Forecast Detail'!K$8:K$400,'Forecast Detail'!$B$8:$B$400,$A13)+SUMIFS('QB Import'!$B$1:$B$600,'QB Import'!$F$1:$F$600,$A13,'QB Import'!$I$1:$I$600,"UNMAPPED")</f>
        <v>60000</v>
      </c>
      <c r="G13" s="8" t="n">
        <f aca="false">IF(AND(B13&gt;0,F13&gt;0),(F13/B13)^(1/4)-1,"")</f>
        <v>0</v>
      </c>
    </row>
    <row r="14" customFormat="false" ht="15" hidden="false" customHeight="false" outlineLevel="0" collapsed="false">
      <c r="A14" s="6" t="s">
        <v>11</v>
      </c>
      <c r="B14" s="11" t="n">
        <f aca="false">SUMIFS('Forecast Detail'!G$8:G$400,'Forecast Detail'!$B$8:$B$400,$A14)+SUMIFS('QB Import'!$B$1:$B$600,'QB Import'!$F$1:$F$600,$A14,'QB Import'!$I$1:$I$600,"UNMAPPED")</f>
        <v>0</v>
      </c>
      <c r="C14" s="11" t="n">
        <f aca="false">SUMIFS('Forecast Detail'!H$8:H$400,'Forecast Detail'!$B$8:$B$400,$A14)+SUMIFS('QB Import'!$B$1:$B$600,'QB Import'!$F$1:$F$600,$A14,'QB Import'!$I$1:$I$600,"UNMAPPED")</f>
        <v>0</v>
      </c>
      <c r="D14" s="11" t="n">
        <f aca="false">SUMIFS('Forecast Detail'!I$8:I$400,'Forecast Detail'!$B$8:$B$400,$A14)+SUMIFS('QB Import'!$B$1:$B$600,'QB Import'!$F$1:$F$600,$A14,'QB Import'!$I$1:$I$600,"UNMAPPED")</f>
        <v>0</v>
      </c>
      <c r="E14" s="11" t="n">
        <f aca="false">SUMIFS('Forecast Detail'!J$8:J$400,'Forecast Detail'!$B$8:$B$400,$A14)+SUMIFS('QB Import'!$B$1:$B$600,'QB Import'!$F$1:$F$600,$A14,'QB Import'!$I$1:$I$600,"UNMAPPED")</f>
        <v>0</v>
      </c>
      <c r="F14" s="11" t="n">
        <f aca="false">SUMIFS('Forecast Detail'!K$8:K$400,'Forecast Detail'!$B$8:$B$400,$A14)+SUMIFS('QB Import'!$B$1:$B$600,'QB Import'!$F$1:$F$600,$A14,'QB Import'!$I$1:$I$600,"UNMAPPED")</f>
        <v>0</v>
      </c>
      <c r="G14" s="8" t="str">
        <f aca="false">IF(AND(B14&gt;0,F14&gt;0),(F14/B14)^(1/4)-1,"")</f>
        <v/>
      </c>
    </row>
    <row r="15" customFormat="false" ht="15" hidden="false" customHeight="false" outlineLevel="0" collapsed="false">
      <c r="A15" s="12" t="s">
        <v>12</v>
      </c>
      <c r="B15" s="13" t="n">
        <f aca="false">SUM(B11:B14)</f>
        <v>9304382</v>
      </c>
      <c r="C15" s="13" t="n">
        <f aca="false">SUM(C11:C14)</f>
        <v>9754923.46920146</v>
      </c>
      <c r="D15" s="13" t="n">
        <f aca="false">SUM(D11:D14)</f>
        <v>10033551.3081712</v>
      </c>
      <c r="E15" s="13" t="n">
        <f aca="false">SUM(E11:E14)</f>
        <v>10345474.6561197</v>
      </c>
      <c r="F15" s="13" t="n">
        <f aca="false">SUM(F11:F14)</f>
        <v>10650942.1349701</v>
      </c>
      <c r="G15" s="8" t="n">
        <f aca="false">IF(AND(B15&gt;0,F15&gt;0),(F15/B15)^(1/4)-1,"")</f>
        <v>0.0343681114226293</v>
      </c>
    </row>
    <row r="17" customFormat="false" ht="15" hidden="false" customHeight="false" outlineLevel="0" collapsed="false">
      <c r="A17" s="9" t="s">
        <v>13</v>
      </c>
      <c r="B17" s="10"/>
      <c r="C17" s="10"/>
      <c r="D17" s="10"/>
      <c r="E17" s="10"/>
      <c r="F17" s="10"/>
      <c r="G17" s="10"/>
    </row>
    <row r="18" customFormat="false" ht="15" hidden="false" customHeight="false" outlineLevel="0" collapsed="false">
      <c r="A18" s="6" t="s">
        <v>14</v>
      </c>
      <c r="B18" s="11" t="n">
        <f aca="false">SUMIFS('Forecast Detail'!G$8:G$400,'Forecast Detail'!$B$8:$B$400,$A18)+SUMIFS('QB Import'!$B$1:$B$600,'QB Import'!$F$1:$F$600,$A18,'QB Import'!$I$1:$I$600,"UNMAPPED")</f>
        <v>6253109</v>
      </c>
      <c r="C18" s="11" t="n">
        <f aca="false">SUMIFS('Forecast Detail'!H$8:H$400,'Forecast Detail'!$B$8:$B$400,$A18)+SUMIFS('QB Import'!$B$1:$B$600,'QB Import'!$F$1:$F$600,$A18,'QB Import'!$I$1:$I$600,"UNMAPPED")</f>
        <v>6455524.83884263</v>
      </c>
      <c r="D18" s="11" t="n">
        <f aca="false">SUMIFS('Forecast Detail'!I$8:I$400,'Forecast Detail'!$B$8:$B$400,$A18)+SUMIFS('QB Import'!$B$1:$B$600,'QB Import'!$F$1:$F$600,$A18,'QB Import'!$I$1:$I$600,"UNMAPPED")</f>
        <v>6653066.151931</v>
      </c>
      <c r="E18" s="11" t="n">
        <f aca="false">SUMIFS('Forecast Detail'!J$8:J$400,'Forecast Detail'!$B$8:$B$400,$A18)+SUMIFS('QB Import'!$B$1:$B$600,'QB Import'!$F$1:$F$600,$A18,'QB Import'!$I$1:$I$600,"UNMAPPED")</f>
        <v>6854595.47992527</v>
      </c>
      <c r="F18" s="11" t="n">
        <f aca="false">SUMIFS('Forecast Detail'!K$8:K$400,'Forecast Detail'!$B$8:$B$400,$A18)+SUMIFS('QB Import'!$B$1:$B$600,'QB Import'!$F$1:$F$600,$A18,'QB Import'!$I$1:$I$600,"UNMAPPED")</f>
        <v>7061481.90590804</v>
      </c>
      <c r="G18" s="8" t="n">
        <f aca="false">IF(AND(B18&gt;0,F18&gt;0),(F18/B18)^(1/4)-1,"")</f>
        <v>0.030860651972856</v>
      </c>
    </row>
    <row r="19" customFormat="false" ht="15" hidden="false" customHeight="false" outlineLevel="0" collapsed="false">
      <c r="A19" s="6" t="s">
        <v>15</v>
      </c>
      <c r="B19" s="11" t="n">
        <f aca="false">SUMIFS('Forecast Detail'!G$8:G$400,'Forecast Detail'!$B$8:$B$400,$A19)+SUMIFS('QB Import'!$B$1:$B$600,'QB Import'!$F$1:$F$600,$A19,'QB Import'!$I$1:$I$600,"UNMAPPED")</f>
        <v>252750</v>
      </c>
      <c r="C19" s="11" t="n">
        <f aca="false">SUMIFS('Forecast Detail'!H$8:H$400,'Forecast Detail'!$B$8:$B$400,$A19)+SUMIFS('QB Import'!$B$1:$B$600,'QB Import'!$F$1:$F$600,$A19,'QB Import'!$I$1:$I$600,"UNMAPPED")</f>
        <v>260332.5</v>
      </c>
      <c r="D19" s="11" t="n">
        <f aca="false">SUMIFS('Forecast Detail'!I$8:I$400,'Forecast Detail'!$B$8:$B$400,$A19)+SUMIFS('QB Import'!$B$1:$B$600,'QB Import'!$F$1:$F$600,$A19,'QB Import'!$I$1:$I$600,"UNMAPPED")</f>
        <v>268142.475</v>
      </c>
      <c r="E19" s="11" t="n">
        <f aca="false">SUMIFS('Forecast Detail'!J$8:J$400,'Forecast Detail'!$B$8:$B$400,$A19)+SUMIFS('QB Import'!$B$1:$B$600,'QB Import'!$F$1:$F$600,$A19,'QB Import'!$I$1:$I$600,"UNMAPPED")</f>
        <v>276186.74925</v>
      </c>
      <c r="F19" s="11" t="n">
        <f aca="false">SUMIFS('Forecast Detail'!K$8:K$400,'Forecast Detail'!$B$8:$B$400,$A19)+SUMIFS('QB Import'!$B$1:$B$600,'QB Import'!$F$1:$F$600,$A19,'QB Import'!$I$1:$I$600,"UNMAPPED")</f>
        <v>284472.3517275</v>
      </c>
      <c r="G19" s="8" t="n">
        <f aca="false">IF(AND(B19&gt;0,F19&gt;0),(F19/B19)^(1/4)-1,"")</f>
        <v>0.03</v>
      </c>
    </row>
    <row r="20" customFormat="false" ht="15" hidden="false" customHeight="false" outlineLevel="0" collapsed="false">
      <c r="A20" s="6" t="s">
        <v>16</v>
      </c>
      <c r="B20" s="11" t="n">
        <f aca="false">SUMIFS('Forecast Detail'!G$8:G$400,'Forecast Detail'!$B$8:$B$400,$A20)+SUMIFS('QB Import'!$B$1:$B$600,'QB Import'!$F$1:$F$600,$A20,'QB Import'!$I$1:$I$600,"UNMAPPED")</f>
        <v>1847250</v>
      </c>
      <c r="C20" s="11" t="n">
        <f aca="false">SUMIFS('Forecast Detail'!H$8:H$400,'Forecast Detail'!$B$8:$B$400,$A20)+SUMIFS('QB Import'!$B$1:$B$600,'QB Import'!$F$1:$F$600,$A20,'QB Import'!$I$1:$I$600,"UNMAPPED")</f>
        <v>1914294.81958763</v>
      </c>
      <c r="D20" s="11" t="n">
        <f aca="false">SUMIFS('Forecast Detail'!I$8:I$400,'Forecast Detail'!$B$8:$B$400,$A20)+SUMIFS('QB Import'!$B$1:$B$600,'QB Import'!$F$1:$F$600,$A20,'QB Import'!$I$1:$I$600,"UNMAPPED")</f>
        <v>1967731.61778351</v>
      </c>
      <c r="E20" s="11" t="n">
        <f aca="false">SUMIFS('Forecast Detail'!J$8:J$400,'Forecast Detail'!$B$8:$B$400,$A20)+SUMIFS('QB Import'!$B$1:$B$600,'QB Import'!$F$1:$F$600,$A20,'QB Import'!$I$1:$I$600,"UNMAPPED")</f>
        <v>2019910.5533445</v>
      </c>
      <c r="F20" s="11" t="n">
        <f aca="false">SUMIFS('Forecast Detail'!K$8:K$400,'Forecast Detail'!$B$8:$B$400,$A20)+SUMIFS('QB Import'!$B$1:$B$600,'QB Import'!$F$1:$F$600,$A20,'QB Import'!$I$1:$I$600,"UNMAPPED")</f>
        <v>2074860.98725549</v>
      </c>
      <c r="G20" s="8" t="n">
        <f aca="false">IF(AND(B20&gt;0,F20&gt;0),(F20/B20)^(1/4)-1,"")</f>
        <v>0.0294750659960421</v>
      </c>
    </row>
    <row r="21" customFormat="false" ht="15" hidden="false" customHeight="false" outlineLevel="0" collapsed="false">
      <c r="A21" s="6" t="s">
        <v>17</v>
      </c>
      <c r="B21" s="11" t="n">
        <f aca="false">SUMIFS('Forecast Detail'!G$8:G$400,'Forecast Detail'!$B$8:$B$400,$A21)+SUMIFS('QB Import'!$B$1:$B$600,'QB Import'!$F$1:$F$600,$A21,'QB Import'!$I$1:$I$600,"UNMAPPED")</f>
        <v>778368</v>
      </c>
      <c r="C21" s="11" t="n">
        <f aca="false">SUMIFS('Forecast Detail'!H$8:H$400,'Forecast Detail'!$B$8:$B$400,$A21)+SUMIFS('QB Import'!$B$1:$B$600,'QB Import'!$F$1:$F$600,$A21,'QB Import'!$I$1:$I$600,"UNMAPPED")</f>
        <v>795138.742268041</v>
      </c>
      <c r="D21" s="11" t="n">
        <f aca="false">SUMIFS('Forecast Detail'!I$8:I$400,'Forecast Detail'!$B$8:$B$400,$A21)+SUMIFS('QB Import'!$B$1:$B$600,'QB Import'!$F$1:$F$600,$A21,'QB Import'!$I$1:$I$600,"UNMAPPED")</f>
        <v>810947.374845361</v>
      </c>
      <c r="E21" s="11" t="n">
        <f aca="false">SUMIFS('Forecast Detail'!J$8:J$400,'Forecast Detail'!$B$8:$B$400,$A21)+SUMIFS('QB Import'!$B$1:$B$600,'QB Import'!$F$1:$F$600,$A21,'QB Import'!$I$1:$I$600,"UNMAPPED")</f>
        <v>703223.515540894</v>
      </c>
      <c r="F21" s="11" t="n">
        <f aca="false">SUMIFS('Forecast Detail'!K$8:K$400,'Forecast Detail'!$B$8:$B$400,$A21)+SUMIFS('QB Import'!$B$1:$B$600,'QB Import'!$F$1:$F$600,$A21,'QB Import'!$I$1:$I$600,"UNMAPPED")</f>
        <v>658007.96196932</v>
      </c>
      <c r="G21" s="8" t="n">
        <f aca="false">IF(AND(B21&gt;0,F21&gt;0),(F21/B21)^(1/4)-1,"")</f>
        <v>-0.04112599764598</v>
      </c>
    </row>
    <row r="22" customFormat="false" ht="15" hidden="false" customHeight="false" outlineLevel="0" collapsed="false">
      <c r="A22" s="6" t="s">
        <v>18</v>
      </c>
      <c r="B22" s="11" t="n">
        <f aca="false">SUMIFS('Forecast Detail'!G$8:G$400,'Forecast Detail'!$B$8:$B$400,$A22)+SUMIFS('QB Import'!$B$1:$B$600,'QB Import'!$F$1:$F$600,$A22,'QB Import'!$I$1:$I$600,"UNMAPPED")</f>
        <v>171263</v>
      </c>
      <c r="C22" s="11" t="n">
        <f aca="false">SUMIFS('Forecast Detail'!H$8:H$400,'Forecast Detail'!$B$8:$B$400,$A22)+SUMIFS('QB Import'!$B$1:$B$600,'QB Import'!$F$1:$F$600,$A22,'QB Import'!$I$1:$I$600,"UNMAPPED")</f>
        <v>176400.89</v>
      </c>
      <c r="D22" s="11" t="n">
        <f aca="false">SUMIFS('Forecast Detail'!I$8:I$400,'Forecast Detail'!$B$8:$B$400,$A22)+SUMIFS('QB Import'!$B$1:$B$600,'QB Import'!$F$1:$F$600,$A22,'QB Import'!$I$1:$I$600,"UNMAPPED")</f>
        <v>181692.9167</v>
      </c>
      <c r="E22" s="11" t="n">
        <f aca="false">SUMIFS('Forecast Detail'!J$8:J$400,'Forecast Detail'!$B$8:$B$400,$A22)+SUMIFS('QB Import'!$B$1:$B$600,'QB Import'!$F$1:$F$600,$A22,'QB Import'!$I$1:$I$600,"UNMAPPED")</f>
        <v>187143.704201</v>
      </c>
      <c r="F22" s="11" t="n">
        <f aca="false">SUMIFS('Forecast Detail'!K$8:K$400,'Forecast Detail'!$B$8:$B$400,$A22)+SUMIFS('QB Import'!$B$1:$B$600,'QB Import'!$F$1:$F$600,$A22,'QB Import'!$I$1:$I$600,"UNMAPPED")</f>
        <v>192758.01532703</v>
      </c>
      <c r="G22" s="8" t="n">
        <f aca="false">IF(AND(B22&gt;0,F22&gt;0),(F22/B22)^(1/4)-1,"")</f>
        <v>0.03</v>
      </c>
    </row>
    <row r="23" customFormat="false" ht="15" hidden="false" customHeight="false" outlineLevel="0" collapsed="false">
      <c r="A23" s="6" t="s">
        <v>19</v>
      </c>
      <c r="B23" s="11" t="n">
        <f aca="false">Inputs!E31</f>
        <v>0</v>
      </c>
      <c r="C23" s="11" t="n">
        <f aca="false">Inputs!F31</f>
        <v>50000</v>
      </c>
      <c r="D23" s="11" t="n">
        <f aca="false">Inputs!G31</f>
        <v>100000</v>
      </c>
      <c r="E23" s="11" t="n">
        <f aca="false">Inputs!H31</f>
        <v>150000</v>
      </c>
      <c r="F23" s="11" t="n">
        <f aca="false">Inputs!I31</f>
        <v>200000</v>
      </c>
    </row>
    <row r="24" customFormat="false" ht="15" hidden="false" customHeight="false" outlineLevel="0" collapsed="false">
      <c r="A24" s="12" t="s">
        <v>20</v>
      </c>
      <c r="B24" s="13" t="n">
        <f aca="false">SUM(B18:B23)</f>
        <v>9302740</v>
      </c>
      <c r="C24" s="13" t="n">
        <f aca="false">SUM(C18:C23)</f>
        <v>9651691.7906983</v>
      </c>
      <c r="D24" s="13" t="n">
        <f aca="false">SUM(D18:D23)</f>
        <v>9981580.53625986</v>
      </c>
      <c r="E24" s="13" t="n">
        <f aca="false">SUM(E18:E23)</f>
        <v>10191060.0022617</v>
      </c>
      <c r="F24" s="13" t="n">
        <f aca="false">SUM(F18:F23)</f>
        <v>10471581.2221874</v>
      </c>
      <c r="G24" s="8" t="n">
        <f aca="false">IF(AND(B24&gt;0,F24&gt;0),(F24/B24)^(1/4)-1,"")</f>
        <v>0.0300311188758753</v>
      </c>
    </row>
    <row r="26" customFormat="false" ht="15" hidden="false" customHeight="false" outlineLevel="0" collapsed="false">
      <c r="A26" s="12" t="s">
        <v>21</v>
      </c>
      <c r="B26" s="13" t="n">
        <f aca="false">B15-B24</f>
        <v>1642</v>
      </c>
      <c r="C26" s="13" t="n">
        <f aca="false">C15-C24</f>
        <v>103231.678503159</v>
      </c>
      <c r="D26" s="13" t="n">
        <f aca="false">D15-D24</f>
        <v>51970.7719113343</v>
      </c>
      <c r="E26" s="13" t="n">
        <f aca="false">E15-E24</f>
        <v>154414.653858073</v>
      </c>
      <c r="F26" s="13" t="n">
        <f aca="false">F15-F24</f>
        <v>179360.91278276</v>
      </c>
    </row>
    <row r="27" customFormat="false" ht="15" hidden="false" customHeight="false" outlineLevel="0" collapsed="false">
      <c r="A27" s="6" t="s">
        <v>22</v>
      </c>
      <c r="B27" s="11" t="n">
        <f aca="false">SUMIFS('Forecast Detail'!G$8:G$400,'Forecast Detail'!$B$8:$B$400,"Other Revenue")+SUMIFS('QB Import'!$B$1:$B$600,'QB Import'!$F$1:$F$600,"Other Revenue",'QB Import'!$I$1:$I$600,"UNMAPPED")</f>
        <v>0</v>
      </c>
      <c r="C27" s="11" t="n">
        <f aca="false">SUMIFS('Forecast Detail'!H$8:H$400,'Forecast Detail'!$B$8:$B$400,"Other Revenue")+SUMIFS('QB Import'!$B$1:$B$600,'QB Import'!$F$1:$F$600,"Other Revenue",'QB Import'!$I$1:$I$600,"UNMAPPED")</f>
        <v>0</v>
      </c>
      <c r="D27" s="11" t="n">
        <f aca="false">SUMIFS('Forecast Detail'!I$8:I$400,'Forecast Detail'!$B$8:$B$400,"Other Revenue")+SUMIFS('QB Import'!$B$1:$B$600,'QB Import'!$F$1:$F$600,"Other Revenue",'QB Import'!$I$1:$I$600,"UNMAPPED")</f>
        <v>0</v>
      </c>
      <c r="E27" s="11" t="n">
        <f aca="false">SUMIFS('Forecast Detail'!J$8:J$400,'Forecast Detail'!$B$8:$B$400,"Other Revenue")+SUMIFS('QB Import'!$B$1:$B$600,'QB Import'!$F$1:$F$600,"Other Revenue",'QB Import'!$I$1:$I$600,"UNMAPPED")</f>
        <v>0</v>
      </c>
      <c r="F27" s="11" t="n">
        <f aca="false">SUMIFS('Forecast Detail'!K$8:K$400,'Forecast Detail'!$B$8:$B$400,"Other Revenue")+SUMIFS('QB Import'!$B$1:$B$600,'QB Import'!$F$1:$F$600,"Other Revenue",'QB Import'!$I$1:$I$600,"UNMAPPED")</f>
        <v>0</v>
      </c>
    </row>
    <row r="28" customFormat="false" ht="15" hidden="false" customHeight="false" outlineLevel="0" collapsed="false">
      <c r="A28" s="6" t="s">
        <v>23</v>
      </c>
      <c r="B28" s="11" t="n">
        <f aca="false">SUMIFS('Forecast Detail'!G$8:G$400,'Forecast Detail'!$B$8:$B$400,"Other Expense")+SUMIFS('QB Import'!$B$1:$B$600,'QB Import'!$F$1:$F$600,"Other Expense",'QB Import'!$I$1:$I$600,"UNMAPPED")</f>
        <v>0</v>
      </c>
      <c r="C28" s="11" t="n">
        <f aca="false">SUMIFS('Forecast Detail'!H$8:H$400,'Forecast Detail'!$B$8:$B$400,"Other Expense")+SUMIFS('QB Import'!$B$1:$B$600,'QB Import'!$F$1:$F$600,"Other Expense",'QB Import'!$I$1:$I$600,"UNMAPPED")</f>
        <v>0</v>
      </c>
      <c r="D28" s="11" t="n">
        <f aca="false">SUMIFS('Forecast Detail'!I$8:I$400,'Forecast Detail'!$B$8:$B$400,"Other Expense")+SUMIFS('QB Import'!$B$1:$B$600,'QB Import'!$F$1:$F$600,"Other Expense",'QB Import'!$I$1:$I$600,"UNMAPPED")</f>
        <v>0</v>
      </c>
      <c r="E28" s="11" t="n">
        <f aca="false">SUMIFS('Forecast Detail'!J$8:J$400,'Forecast Detail'!$B$8:$B$400,"Other Expense")+SUMIFS('QB Import'!$B$1:$B$600,'QB Import'!$F$1:$F$600,"Other Expense",'QB Import'!$I$1:$I$600,"UNMAPPED")</f>
        <v>0</v>
      </c>
      <c r="F28" s="11" t="n">
        <f aca="false">SUMIFS('Forecast Detail'!K$8:K$400,'Forecast Detail'!$B$8:$B$400,"Other Expense")+SUMIFS('QB Import'!$B$1:$B$600,'QB Import'!$F$1:$F$600,"Other Expense",'QB Import'!$I$1:$I$600,"UNMAPPED")</f>
        <v>0</v>
      </c>
    </row>
    <row r="29" customFormat="false" ht="15" hidden="false" customHeight="false" outlineLevel="0" collapsed="false">
      <c r="A29" s="6" t="s">
        <v>24</v>
      </c>
      <c r="B29" s="11" t="n">
        <f aca="false">B27-B28</f>
        <v>0</v>
      </c>
      <c r="C29" s="11" t="n">
        <f aca="false">C27-C28</f>
        <v>0</v>
      </c>
      <c r="D29" s="11" t="n">
        <f aca="false">D27-D28</f>
        <v>0</v>
      </c>
      <c r="E29" s="11" t="n">
        <f aca="false">E27-E28</f>
        <v>0</v>
      </c>
      <c r="F29" s="11" t="n">
        <f aca="false">F27-F28</f>
        <v>0</v>
      </c>
    </row>
    <row r="30" customFormat="false" ht="15" hidden="false" customHeight="false" outlineLevel="0" collapsed="false">
      <c r="A30" s="12" t="s">
        <v>25</v>
      </c>
      <c r="B30" s="14" t="n">
        <f aca="false">B26+B29</f>
        <v>1642</v>
      </c>
      <c r="C30" s="14" t="n">
        <f aca="false">C26+C29</f>
        <v>103231.678503159</v>
      </c>
      <c r="D30" s="14" t="n">
        <f aca="false">D26+D29</f>
        <v>51970.7719113343</v>
      </c>
      <c r="E30" s="14" t="n">
        <f aca="false">E26+E29</f>
        <v>154414.653858073</v>
      </c>
      <c r="F30" s="14" t="n">
        <f aca="false">F26+F29</f>
        <v>179360.91278276</v>
      </c>
    </row>
    <row r="32" customFormat="false" ht="15" hidden="false" customHeight="false" outlineLevel="0" collapsed="false">
      <c r="A32" s="9" t="s">
        <v>26</v>
      </c>
      <c r="B32" s="10"/>
      <c r="C32" s="10"/>
      <c r="D32" s="10"/>
      <c r="E32" s="10"/>
      <c r="F32" s="10"/>
      <c r="G32" s="10"/>
    </row>
    <row r="33" customFormat="false" ht="15" hidden="false" customHeight="false" outlineLevel="0" collapsed="false">
      <c r="A33" s="6" t="s">
        <v>27</v>
      </c>
      <c r="B33" s="8" t="n">
        <f aca="false">IF(B15=0,0,B18/B15)</f>
        <v>0.672060648412759</v>
      </c>
      <c r="C33" s="8" t="n">
        <f aca="false">IF(C15=0,0,C18/C15)</f>
        <v>0.661770936412183</v>
      </c>
      <c r="D33" s="8" t="n">
        <f aca="false">IF(D15=0,0,D18/D15)</f>
        <v>0.663081888714001</v>
      </c>
      <c r="E33" s="8" t="n">
        <f aca="false">IF(E15=0,0,E18/E15)</f>
        <v>0.66256945261284</v>
      </c>
      <c r="F33" s="8" t="n">
        <f aca="false">IF(F15=0,0,F18/F15)</f>
        <v>0.662991293767632</v>
      </c>
    </row>
    <row r="34" customFormat="false" ht="15" hidden="false" customHeight="false" outlineLevel="0" collapsed="false">
      <c r="A34" s="6" t="s">
        <v>28</v>
      </c>
      <c r="B34" s="11" t="n">
        <f aca="false">IF(B6=0,0,B11/B6)</f>
        <v>15119.2130584192</v>
      </c>
      <c r="C34" s="11" t="n">
        <f aca="false">IF(C6=0,0,C11/C6)</f>
        <v>15737.5946500532</v>
      </c>
      <c r="D34" s="11" t="n">
        <f aca="false">IF(D6=0,0,D11/D6)</f>
        <v>16376.7793829102</v>
      </c>
      <c r="E34" s="11" t="n">
        <f aca="false">IF(E6=0,0,E11/E6)</f>
        <v>17052.2635078898</v>
      </c>
      <c r="F34" s="11" t="n">
        <f aca="false">IF(F6=0,0,F11/F6)</f>
        <v>17697.646120812</v>
      </c>
    </row>
    <row r="35" customFormat="false" ht="15" hidden="false" customHeight="false" outlineLevel="0" collapsed="false">
      <c r="A35" s="6" t="s">
        <v>29</v>
      </c>
      <c r="B35" s="8" t="n">
        <f aca="false">IF(B15=0,0,B30/B15)</f>
        <v>0.00017647598733586</v>
      </c>
      <c r="C35" s="8" t="n">
        <f aca="false">IF(C15=0,0,C30/C15)</f>
        <v>0.0105825205937377</v>
      </c>
      <c r="D35" s="8" t="n">
        <f aca="false">IF(D15=0,0,D30/D15)</f>
        <v>0.00517969862465446</v>
      </c>
      <c r="E35" s="8" t="n">
        <f aca="false">IF(E15=0,0,E30/E15)</f>
        <v>0.0149258162617731</v>
      </c>
      <c r="F35" s="8" t="n">
        <f aca="false">IF(F15=0,0,F30/F15)</f>
        <v>0.0168399105459287</v>
      </c>
    </row>
    <row r="36" customFormat="false" ht="15" hidden="false" customHeight="false" outlineLevel="0" collapsed="false">
      <c r="A36" s="6" t="s">
        <v>30</v>
      </c>
      <c r="B36" s="11" t="n">
        <f aca="false">-'CF Summary'!B8</f>
        <v>-0</v>
      </c>
      <c r="C36" s="11" t="n">
        <f aca="false">-'CF Summary'!C8</f>
        <v>-0</v>
      </c>
      <c r="D36" s="11" t="n">
        <f aca="false">-'CF Summary'!D8</f>
        <v>-0</v>
      </c>
      <c r="E36" s="11" t="n">
        <f aca="false">-'CF Summary'!E8</f>
        <v>-0</v>
      </c>
      <c r="F36" s="11" t="n">
        <f aca="false">-'CF Summary'!F8</f>
        <v>-0</v>
      </c>
    </row>
    <row r="37" customFormat="false" ht="15" hidden="false" customHeight="false" outlineLevel="0" collapsed="false">
      <c r="A37" s="6" t="s">
        <v>31</v>
      </c>
      <c r="B37" s="11" t="n">
        <f aca="false">'CF Summary'!B12</f>
        <v>2379207.72559222</v>
      </c>
      <c r="C37" s="11" t="n">
        <f aca="false">'CF Summary'!C12</f>
        <v>2586817.55758533</v>
      </c>
      <c r="D37" s="11" t="n">
        <f aca="false">'CF Summary'!D12</f>
        <v>2738051.00250682</v>
      </c>
      <c r="E37" s="11" t="n">
        <f aca="false">'CF Summary'!E12</f>
        <v>2989594.68721862</v>
      </c>
      <c r="F37" s="11" t="n">
        <f aca="false">'CF Summary'!F12</f>
        <v>3296725.38268154</v>
      </c>
    </row>
    <row r="38" customFormat="false" ht="15" hidden="false" customHeight="false" outlineLevel="0" collapsed="false">
      <c r="A38" s="6" t="s">
        <v>32</v>
      </c>
      <c r="B38" s="11" t="n">
        <f aca="false">'CF Summary'!B13</f>
        <v>-31299.8207246371</v>
      </c>
      <c r="C38" s="11" t="n">
        <f aca="false">'CF Summary'!C13</f>
        <v>131306.317724906</v>
      </c>
      <c r="D38" s="11" t="n">
        <f aca="false">'CF Summary'!D13</f>
        <v>238258.547229831</v>
      </c>
      <c r="E38" s="11" t="n">
        <f aca="false">'CF Summary'!E13</f>
        <v>427586.445421538</v>
      </c>
      <c r="F38" s="11" t="n">
        <f aca="false">'CF Summary'!F13</f>
        <v>653700.894858586</v>
      </c>
    </row>
    <row r="39" customFormat="false" ht="15" hidden="false" customHeight="false" outlineLevel="0" collapsed="false">
      <c r="A39" s="6" t="s">
        <v>33</v>
      </c>
      <c r="B39" s="15" t="n">
        <f aca="false">'CF Summary'!B15</f>
        <v>93.3500043902292</v>
      </c>
      <c r="C39" s="15" t="n">
        <f aca="false">'CF Summary'!C15</f>
        <v>97.8262079844483</v>
      </c>
      <c r="D39" s="15" t="n">
        <f aca="false">'CF Summary'!D15</f>
        <v>100.123283310147</v>
      </c>
      <c r="E39" s="15" t="n">
        <f aca="false">'CF Summary'!E15</f>
        <v>107.074441774715</v>
      </c>
      <c r="F39" s="15" t="n">
        <f aca="false">'CF Summary'!F15</f>
        <v>114.911467441916</v>
      </c>
    </row>
    <row r="41" customFormat="false" ht="15" hidden="false" customHeight="false" outlineLevel="0" collapsed="false">
      <c r="A41" s="3" t="s">
        <v>34</v>
      </c>
    </row>
    <row r="43" customFormat="false" ht="15" hidden="false" customHeight="false" outlineLevel="0" collapsed="false">
      <c r="A43" s="12" t="s">
        <v>35</v>
      </c>
    </row>
    <row r="44" customFormat="false" ht="15" hidden="false" customHeight="false" outlineLevel="0" collapsed="false">
      <c r="A44" s="6" t="s">
        <v>36</v>
      </c>
      <c r="B44" s="11" t="n">
        <f aca="false">SUMIFS('QB Import'!$B$1:$B$600,'QB Import'!$E$1:$E$600,"Revenue",'QB Import'!$G$1:$G$600,1)+SUMIFS('QB Import'!$B$1:$B$600,'QB Import'!$E$1:$E$600,"COGS",'QB Import'!$G$1:$G$600,1)-SUM(B11:B14)</f>
        <v>0</v>
      </c>
    </row>
    <row r="45" customFormat="false" ht="15" hidden="false" customHeight="false" outlineLevel="0" collapsed="false">
      <c r="A45" s="6" t="s">
        <v>37</v>
      </c>
      <c r="B45" s="11" t="n">
        <f aca="false">SUMIFS('QB Import'!$B$1:$B$600,'QB Import'!$E$1:$E$600,"Expense",'QB Import'!$G$1:$G$600,1)-SUM(B18:B22)</f>
        <v>0</v>
      </c>
    </row>
    <row r="46" customFormat="false" ht="15" hidden="false" customHeight="false" outlineLevel="0" collapsed="false">
      <c r="A46" s="12" t="s">
        <v>38</v>
      </c>
      <c r="B46" s="12" t="str">
        <f aca="false">IF(AND(ABS(B44)&lt;1,ABS(B45)&lt;1,ABS(B47)&lt;1,ABS(B48)&lt;1,B49=0,B50=0),"OK - ties to QuickBooks","CHECK - "&amp;B49&amp;" unmapped account(s); see rows 44-50")</f>
        <v>OK - ties to QuickBooks</v>
      </c>
    </row>
    <row r="47" customFormat="false" ht="15" hidden="false" customHeight="false" outlineLevel="0" collapsed="false">
      <c r="A47" s="6" t="s">
        <v>39</v>
      </c>
      <c r="B47" s="11" t="n">
        <f aca="false">SUMIFS('QB Import'!$B$1:$B$600,'QB Import'!$E$1:$E$600,"Other Revenue",'QB Import'!$G$1:$G$600,1)-SUMIFS('QB Import'!$B$1:$B$600,'QB Import'!$E$1:$E$600,"Other Expense",'QB Import'!$G$1:$G$600,1)-B29</f>
        <v>0</v>
      </c>
    </row>
    <row r="48" customFormat="false" ht="15" hidden="false" customHeight="false" outlineLevel="0" collapsed="false">
      <c r="A48" s="6" t="s">
        <v>40</v>
      </c>
      <c r="B48" s="11" t="n">
        <f aca="false">IF(COUNTIF('QB Import'!$D$1:$D$600,"Net Revenue")=0,0,SUMIFS('QB Import'!$B$1:$B$600,'QB Import'!$D$1:$D$600,"Net Revenue")-B30)</f>
        <v>0</v>
      </c>
    </row>
    <row r="49" customFormat="false" ht="15" hidden="false" customHeight="false" outlineLevel="0" collapsed="false">
      <c r="A49" s="6" t="s">
        <v>41</v>
      </c>
      <c r="B49" s="11" t="n">
        <f aca="false">COUNTIF('QB Import'!$I$1:$I$600,"UNMAPPED")</f>
        <v>0</v>
      </c>
    </row>
    <row r="50" customFormat="false" ht="15" hidden="false" customHeight="false" outlineLevel="0" collapsed="false">
      <c r="A50" s="6" t="s">
        <v>42</v>
      </c>
      <c r="B50" s="11" t="n">
        <f aca="false">COUNTA('Forecast Detail'!$C$8:$C$400)-COUNTA('Forecast Detail'!$E$8:$E$400)</f>
        <v>0</v>
      </c>
    </row>
  </sheetData>
  <conditionalFormatting sqref="B30:F30">
    <cfRule type="cellIs" priority="2" operator="lessThan" aboveAverage="0" equalAverage="0" bottom="0" percent="0" rank="0" text="" dxfId="0">
      <formula>0</formula>
    </cfRule>
  </conditionalFormatting>
  <conditionalFormatting sqref="B38:F38">
    <cfRule type="cellIs" priority="3" operator="lessThan" aboveAverage="0" equalAverage="0" bottom="0" percent="0" rank="0" text="" dxfId="1">
      <formula>0</formula>
    </cfRule>
  </conditionalFormatting>
  <conditionalFormatting sqref="B46">
    <cfRule type="expression" priority="4" aboveAverage="0" equalAverage="0" bottom="0" percent="0" rank="0" text="" dxfId="2">
      <formula>LEFT(B46,2)="OK"</formula>
    </cfRule>
    <cfRule type="expression" priority="5" aboveAverage="0" equalAverage="0" bottom="0" percent="0" rank="0" text="" dxfId="0">
      <formula>LEFT(B46,5)="CHECK"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6" min="2" style="0" width="12.5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3" t="s">
        <v>44</v>
      </c>
    </row>
    <row r="4" customFormat="false" ht="15" hidden="false" customHeight="false" outlineLevel="0" collapsed="false">
      <c r="A4" s="4" t="s">
        <v>45</v>
      </c>
      <c r="B4" s="5"/>
      <c r="C4" s="16" t="str">
        <f aca="false">"FY"&amp;TEXT(C5,"yy")</f>
        <v>FY27</v>
      </c>
      <c r="D4" s="16" t="str">
        <f aca="false">"FY"&amp;TEXT(D5,"yy")</f>
        <v>FY28</v>
      </c>
      <c r="E4" s="16" t="str">
        <f aca="false">"FY"&amp;TEXT(E5,"yy")</f>
        <v>FY29</v>
      </c>
      <c r="F4" s="16" t="str">
        <f aca="false">"FY"&amp;TEXT(F5,"yy")</f>
        <v>FY30</v>
      </c>
      <c r="G4" s="16" t="str">
        <f aca="false">"FY"&amp;TEXT(G5,"yy")</f>
        <v>FY31</v>
      </c>
    </row>
    <row r="5" customFormat="false" ht="15" hidden="false" customHeight="false" outlineLevel="0" collapsed="false">
      <c r="A5" s="6" t="s">
        <v>46</v>
      </c>
      <c r="C5" s="17" t="n">
        <v>46568</v>
      </c>
      <c r="D5" s="18" t="n">
        <f aca="false">EOMONTH(C5,12)</f>
        <v>46934</v>
      </c>
      <c r="E5" s="18" t="n">
        <f aca="false">EOMONTH(D5,12)</f>
        <v>47299</v>
      </c>
      <c r="F5" s="18" t="n">
        <f aca="false">EOMONTH(E5,12)</f>
        <v>47664</v>
      </c>
      <c r="G5" s="18" t="n">
        <f aca="false">EOMONTH(F5,12)</f>
        <v>48029</v>
      </c>
    </row>
    <row r="6" customFormat="false" ht="15" hidden="false" customHeight="false" outlineLevel="0" collapsed="false">
      <c r="A6" s="6" t="s">
        <v>47</v>
      </c>
      <c r="C6" s="18" t="n">
        <f aca="false">EOMONTH(C5,-12)+1</f>
        <v>46204</v>
      </c>
      <c r="D6" s="18" t="n">
        <f aca="false">EOMONTH(D5,-12)+1</f>
        <v>46569</v>
      </c>
      <c r="E6" s="18" t="n">
        <f aca="false">EOMONTH(E5,-12)+1</f>
        <v>46935</v>
      </c>
      <c r="F6" s="18" t="n">
        <f aca="false">EOMONTH(F5,-12)+1</f>
        <v>47300</v>
      </c>
      <c r="G6" s="18" t="n">
        <f aca="false">EOMONTH(G5,-12)+1</f>
        <v>47665</v>
      </c>
    </row>
    <row r="8" customFormat="false" ht="15" hidden="false" customHeight="false" outlineLevel="0" collapsed="false">
      <c r="A8" s="9" t="s">
        <v>48</v>
      </c>
      <c r="B8" s="10"/>
      <c r="C8" s="10"/>
      <c r="D8" s="10"/>
      <c r="E8" s="10"/>
      <c r="F8" s="10"/>
      <c r="G8" s="10"/>
    </row>
    <row r="9" customFormat="false" ht="15" hidden="false" customHeight="false" outlineLevel="0" collapsed="false">
      <c r="A9" s="6" t="s">
        <v>49</v>
      </c>
      <c r="C9" s="19" t="n">
        <v>0.04</v>
      </c>
      <c r="D9" s="19" t="n">
        <v>0.05</v>
      </c>
      <c r="E9" s="19" t="n">
        <v>0.045</v>
      </c>
      <c r="F9" s="19" t="n">
        <v>0.045</v>
      </c>
      <c r="G9" s="19" t="n">
        <v>0.04</v>
      </c>
      <c r="H9" s="3" t="s">
        <v>50</v>
      </c>
    </row>
    <row r="10" customFormat="false" ht="15" hidden="false" customHeight="false" outlineLevel="0" collapsed="false">
      <c r="A10" s="6" t="s">
        <v>51</v>
      </c>
      <c r="C10" s="19" t="n">
        <v>0.025</v>
      </c>
      <c r="D10" s="19" t="n">
        <v>0.03</v>
      </c>
      <c r="E10" s="19" t="n">
        <v>0.03</v>
      </c>
      <c r="F10" s="19" t="n">
        <v>0.03</v>
      </c>
      <c r="G10" s="19" t="n">
        <v>0.03</v>
      </c>
      <c r="H10" s="3" t="s">
        <v>52</v>
      </c>
    </row>
    <row r="11" customFormat="false" ht="15" hidden="false" customHeight="false" outlineLevel="0" collapsed="false">
      <c r="A11" s="6" t="s">
        <v>53</v>
      </c>
      <c r="C11" s="19" t="n">
        <v>0.03</v>
      </c>
      <c r="D11" s="19" t="n">
        <v>0.03</v>
      </c>
      <c r="E11" s="19" t="n">
        <v>0.03</v>
      </c>
      <c r="F11" s="19" t="n">
        <v>0.03</v>
      </c>
      <c r="G11" s="19" t="n">
        <v>0.03</v>
      </c>
      <c r="H11" s="3" t="s">
        <v>54</v>
      </c>
    </row>
    <row r="12" customFormat="false" ht="15" hidden="false" customHeight="false" outlineLevel="0" collapsed="false">
      <c r="A12" s="6" t="s">
        <v>55</v>
      </c>
      <c r="C12" s="19" t="n">
        <v>0.03</v>
      </c>
      <c r="D12" s="19" t="n">
        <v>0.03</v>
      </c>
      <c r="E12" s="19" t="n">
        <v>0.03</v>
      </c>
      <c r="F12" s="19" t="n">
        <v>0.03</v>
      </c>
      <c r="G12" s="19" t="n">
        <v>0.03</v>
      </c>
      <c r="H12" s="3" t="s">
        <v>56</v>
      </c>
    </row>
    <row r="13" customFormat="false" ht="15" hidden="false" customHeight="false" outlineLevel="0" collapsed="false">
      <c r="A13" s="6" t="s">
        <v>57</v>
      </c>
      <c r="D13" s="19" t="n">
        <v>0.014</v>
      </c>
      <c r="E13" s="19" t="n">
        <v>0.014</v>
      </c>
      <c r="F13" s="19" t="n">
        <v>0.014</v>
      </c>
      <c r="G13" s="19" t="n">
        <v>0.014</v>
      </c>
      <c r="H13" s="3" t="s">
        <v>58</v>
      </c>
    </row>
    <row r="14" customFormat="false" ht="15" hidden="false" customHeight="false" outlineLevel="0" collapsed="false">
      <c r="A14" s="6" t="s">
        <v>59</v>
      </c>
      <c r="C14" s="17" t="n">
        <v>47422</v>
      </c>
      <c r="H14" s="3" t="s">
        <v>60</v>
      </c>
    </row>
    <row r="15" customFormat="false" ht="15" hidden="false" customHeight="false" outlineLevel="0" collapsed="false">
      <c r="A15" s="6" t="s">
        <v>61</v>
      </c>
      <c r="C15" s="15" t="n">
        <f aca="false">MAX(0,MIN(12,(YEAR($C$14)-YEAR(C6))*12+MONTH($C$14)-MONTH(C6)+1))</f>
        <v>12</v>
      </c>
      <c r="D15" s="15" t="n">
        <f aca="false">MAX(0,MIN(12,(YEAR($C$14)-YEAR(D6))*12+MONTH($C$14)-MONTH(D6)+1))</f>
        <v>12</v>
      </c>
      <c r="E15" s="15" t="n">
        <f aca="false">MAX(0,MIN(12,(YEAR($C$14)-YEAR(E6))*12+MONTH($C$14)-MONTH(E6)+1))</f>
        <v>12</v>
      </c>
      <c r="F15" s="15" t="n">
        <f aca="false">MAX(0,MIN(12,(YEAR($C$14)-YEAR(F6))*12+MONTH($C$14)-MONTH(F6)+1))</f>
        <v>4</v>
      </c>
      <c r="G15" s="15" t="n">
        <f aca="false">MAX(0,MIN(12,(YEAR($C$14)-YEAR(G6))*12+MONTH($C$14)-MONTH(G6)+1))</f>
        <v>0</v>
      </c>
    </row>
    <row r="16" customFormat="false" ht="15" hidden="false" customHeight="false" outlineLevel="0" collapsed="false">
      <c r="A16" s="6" t="s">
        <v>62</v>
      </c>
      <c r="D16" s="11" t="n">
        <f aca="false">$D$60+SUM($C$48:C48)</f>
        <v>2071787.93</v>
      </c>
      <c r="E16" s="11" t="n">
        <f aca="false">$D$60+SUM($C$48:D48)</f>
        <v>2071787.93</v>
      </c>
      <c r="F16" s="11" t="n">
        <f aca="false">$D$60+SUM($C$48:E48)</f>
        <v>2071787.93</v>
      </c>
      <c r="G16" s="11" t="n">
        <f aca="false">$D$60+SUM($C$48:F48)</f>
        <v>2071787.93</v>
      </c>
      <c r="H16" s="3" t="s">
        <v>63</v>
      </c>
    </row>
    <row r="18" customFormat="false" ht="15" hidden="false" customHeight="false" outlineLevel="0" collapsed="false">
      <c r="A18" s="9" t="s">
        <v>64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customFormat="false" ht="39.75" hidden="false" customHeight="true" outlineLevel="0" collapsed="false">
      <c r="A19" s="4" t="s">
        <v>65</v>
      </c>
      <c r="B19" s="5" t="s">
        <v>66</v>
      </c>
      <c r="C19" s="5" t="s">
        <v>67</v>
      </c>
      <c r="D19" s="5" t="s">
        <v>68</v>
      </c>
      <c r="E19" s="5" t="str">
        <f aca="false">"Cost "&amp;C$4</f>
        <v>Cost FY27</v>
      </c>
      <c r="F19" s="5" t="str">
        <f aca="false">"Cost "&amp;D$4</f>
        <v>Cost FY28</v>
      </c>
      <c r="G19" s="5" t="str">
        <f aca="false">"Cost "&amp;E$4</f>
        <v>Cost FY29</v>
      </c>
      <c r="H19" s="5" t="str">
        <f aca="false">"Cost "&amp;F$4</f>
        <v>Cost FY30</v>
      </c>
      <c r="I19" s="5" t="str">
        <f aca="false">"Cost "&amp;G$4</f>
        <v>Cost FY31</v>
      </c>
      <c r="J19" s="5" t="str">
        <f aca="false">"Offset "&amp;C$4</f>
        <v>Offset FY27</v>
      </c>
      <c r="K19" s="5" t="str">
        <f aca="false">"Offset "&amp;D$4</f>
        <v>Offset FY28</v>
      </c>
      <c r="L19" s="5" t="str">
        <f aca="false">"Offset "&amp;E$4</f>
        <v>Offset FY29</v>
      </c>
      <c r="M19" s="5" t="str">
        <f aca="false">"Offset "&amp;F$4</f>
        <v>Offset FY30</v>
      </c>
      <c r="N19" s="5" t="str">
        <f aca="false">"Offset "&amp;G$4</f>
        <v>Offset FY31</v>
      </c>
    </row>
    <row r="20" customFormat="false" ht="15" hidden="false" customHeight="false" outlineLevel="0" collapsed="false">
      <c r="A20" s="20" t="s">
        <v>69</v>
      </c>
      <c r="B20" s="20" t="s">
        <v>70</v>
      </c>
      <c r="C20" s="20" t="s">
        <v>71</v>
      </c>
      <c r="D20" s="21" t="n">
        <v>0</v>
      </c>
      <c r="E20" s="22" t="n">
        <v>0</v>
      </c>
      <c r="F20" s="22" t="n">
        <v>50000</v>
      </c>
      <c r="G20" s="22" t="n">
        <v>100000</v>
      </c>
      <c r="H20" s="22" t="n">
        <v>150000</v>
      </c>
      <c r="I20" s="22" t="n">
        <v>200000</v>
      </c>
      <c r="J20" s="22" t="n">
        <v>0</v>
      </c>
      <c r="K20" s="22" t="n">
        <v>0</v>
      </c>
      <c r="L20" s="22" t="n">
        <v>0</v>
      </c>
      <c r="M20" s="22" t="n">
        <v>0</v>
      </c>
      <c r="N20" s="22" t="n">
        <v>0</v>
      </c>
    </row>
    <row r="21" customFormat="false" ht="15" hidden="false" customHeight="false" outlineLevel="0" collapsed="false">
      <c r="A21" s="20" t="s">
        <v>72</v>
      </c>
      <c r="B21" s="20" t="s">
        <v>73</v>
      </c>
      <c r="C21" s="20" t="s">
        <v>71</v>
      </c>
      <c r="D21" s="21" t="n">
        <v>0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</row>
    <row r="22" customFormat="false" ht="15" hidden="false" customHeight="false" outlineLevel="0" collapsed="false">
      <c r="A22" s="20"/>
      <c r="B22" s="20"/>
      <c r="C22" s="20"/>
      <c r="D22" s="21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customFormat="false" ht="15" hidden="false" customHeight="false" outlineLevel="0" collapsed="false">
      <c r="A23" s="20"/>
      <c r="B23" s="20"/>
      <c r="C23" s="20"/>
      <c r="D23" s="21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customFormat="false" ht="15" hidden="false" customHeight="false" outlineLevel="0" collapsed="false">
      <c r="A24" s="20"/>
      <c r="B24" s="20"/>
      <c r="C24" s="20"/>
      <c r="D24" s="21"/>
      <c r="E24" s="22"/>
      <c r="F24" s="22"/>
      <c r="G24" s="22"/>
      <c r="H24" s="22"/>
      <c r="I24" s="22"/>
      <c r="J24" s="22"/>
      <c r="K24" s="22"/>
      <c r="L24" s="22"/>
      <c r="M24" s="22"/>
      <c r="N24" s="22"/>
    </row>
    <row r="25" customFormat="false" ht="15" hidden="false" customHeight="false" outlineLevel="0" collapsed="false">
      <c r="A25" s="20"/>
      <c r="B25" s="20"/>
      <c r="C25" s="20"/>
      <c r="D25" s="21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customFormat="false" ht="15" hidden="false" customHeight="false" outlineLevel="0" collapsed="false">
      <c r="A26" s="20"/>
      <c r="B26" s="20"/>
      <c r="C26" s="20"/>
      <c r="D26" s="21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customFormat="false" ht="15" hidden="false" customHeight="false" outlineLevel="0" collapsed="false">
      <c r="A27" s="20"/>
      <c r="B27" s="20"/>
      <c r="C27" s="20"/>
      <c r="D27" s="21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customFormat="false" ht="15" hidden="false" customHeight="false" outlineLevel="0" collapsed="false">
      <c r="A28" s="20"/>
      <c r="B28" s="20"/>
      <c r="C28" s="20"/>
      <c r="D28" s="21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customFormat="false" ht="15" hidden="false" customHeight="false" outlineLevel="0" collapsed="false">
      <c r="A29" s="20"/>
      <c r="B29" s="20"/>
      <c r="C29" s="20"/>
      <c r="D29" s="21"/>
      <c r="E29" s="22"/>
      <c r="F29" s="22"/>
      <c r="G29" s="22"/>
      <c r="H29" s="22"/>
      <c r="I29" s="22"/>
      <c r="J29" s="22"/>
      <c r="K29" s="22"/>
      <c r="L29" s="22"/>
      <c r="M29" s="22"/>
      <c r="N29" s="22"/>
    </row>
    <row r="31" customFormat="false" ht="15" hidden="false" customHeight="false" outlineLevel="0" collapsed="false">
      <c r="A31" s="12" t="s">
        <v>74</v>
      </c>
      <c r="E31" s="13" t="n">
        <f aca="false">SUMPRODUCT(($B$20:$B$29="Operating")*($C$20:$C$29="Y")*(E$20:E$29-J$20:J$29))</f>
        <v>0</v>
      </c>
      <c r="F31" s="13" t="n">
        <f aca="false">SUMPRODUCT(($B$20:$B$29="Operating")*($C$20:$C$29="Y")*(F$20:F$29-K$20:K$29))</f>
        <v>50000</v>
      </c>
      <c r="G31" s="13" t="n">
        <f aca="false">SUMPRODUCT(($B$20:$B$29="Operating")*($C$20:$C$29="Y")*(G$20:G$29-L$20:L$29))</f>
        <v>100000</v>
      </c>
      <c r="H31" s="13" t="n">
        <f aca="false">SUMPRODUCT(($B$20:$B$29="Operating")*($C$20:$C$29="Y")*(H$20:H$29-M$20:M$29))</f>
        <v>150000</v>
      </c>
      <c r="I31" s="13" t="n">
        <f aca="false">SUMPRODUCT(($B$20:$B$29="Operating")*($C$20:$C$29="Y")*(I$20:I$29-N$20:N$29))</f>
        <v>200000</v>
      </c>
    </row>
    <row r="32" customFormat="false" ht="15" hidden="false" customHeight="false" outlineLevel="0" collapsed="false">
      <c r="A32" s="12" t="s">
        <v>75</v>
      </c>
      <c r="E32" s="23" t="n">
        <f aca="false">SUMPRODUCT(($B$20:$B$29="Capital")*($C$20:$C$29="Y")*(E$20:E$29-J$20:J$29))</f>
        <v>0</v>
      </c>
      <c r="F32" s="23" t="n">
        <f aca="false">SUMPRODUCT(($B$20:$B$29="Capital")*($C$20:$C$29="Y")*(F$20:F$29-K$20:K$29))</f>
        <v>0</v>
      </c>
      <c r="G32" s="23" t="n">
        <f aca="false">SUMPRODUCT(($B$20:$B$29="Capital")*($C$20:$C$29="Y")*(G$20:G$29-L$20:L$29))</f>
        <v>0</v>
      </c>
      <c r="H32" s="23" t="n">
        <f aca="false">SUMPRODUCT(($B$20:$B$29="Capital")*($C$20:$C$29="Y")*(H$20:H$29-M$20:M$29))</f>
        <v>0</v>
      </c>
      <c r="I32" s="23" t="n">
        <f aca="false">SUMPRODUCT(($B$20:$B$29="Capital")*($C$20:$C$29="Y")*(I$20:I$29-N$20:N$29))</f>
        <v>0</v>
      </c>
    </row>
    <row r="34" customFormat="false" ht="15" hidden="false" customHeight="false" outlineLevel="0" collapsed="false">
      <c r="A34" s="9" t="s">
        <v>76</v>
      </c>
      <c r="B34" s="10"/>
      <c r="C34" s="10"/>
      <c r="D34" s="10"/>
      <c r="E34" s="10"/>
      <c r="F34" s="10"/>
      <c r="G34" s="10"/>
    </row>
    <row r="35" customFormat="false" ht="39.75" hidden="false" customHeight="true" outlineLevel="0" collapsed="false">
      <c r="A35" s="4" t="s">
        <v>77</v>
      </c>
      <c r="B35" s="5" t="s">
        <v>68</v>
      </c>
      <c r="C35" s="5" t="str">
        <f aca="false">C$4</f>
        <v>FY27</v>
      </c>
      <c r="D35" s="5" t="str">
        <f aca="false">D$4</f>
        <v>FY28</v>
      </c>
      <c r="E35" s="5" t="str">
        <f aca="false">E$4</f>
        <v>FY29</v>
      </c>
      <c r="F35" s="5" t="str">
        <f aca="false">F$4</f>
        <v>FY30</v>
      </c>
      <c r="G35" s="5" t="str">
        <f aca="false">G$4</f>
        <v>FY31</v>
      </c>
    </row>
    <row r="36" customFormat="false" ht="15" hidden="false" customHeight="false" outlineLevel="0" collapsed="false">
      <c r="A36" s="20" t="s">
        <v>78</v>
      </c>
      <c r="B36" s="21" t="n">
        <v>0</v>
      </c>
      <c r="C36" s="22"/>
      <c r="D36" s="22"/>
      <c r="E36" s="22"/>
      <c r="F36" s="22"/>
      <c r="G36" s="22"/>
    </row>
    <row r="37" customFormat="false" ht="15" hidden="false" customHeight="false" outlineLevel="0" collapsed="false">
      <c r="A37" s="20"/>
      <c r="B37" s="21" t="n">
        <v>0</v>
      </c>
      <c r="C37" s="22"/>
      <c r="D37" s="22"/>
      <c r="E37" s="22"/>
      <c r="F37" s="22"/>
      <c r="G37" s="22"/>
    </row>
    <row r="38" customFormat="false" ht="15" hidden="false" customHeight="false" outlineLevel="0" collapsed="false">
      <c r="A38" s="20"/>
      <c r="B38" s="21" t="n">
        <v>0</v>
      </c>
      <c r="C38" s="22"/>
      <c r="D38" s="22"/>
      <c r="E38" s="22"/>
      <c r="F38" s="22"/>
      <c r="G38" s="22"/>
    </row>
    <row r="39" customFormat="false" ht="15" hidden="false" customHeight="false" outlineLevel="0" collapsed="false">
      <c r="A39" s="20"/>
      <c r="B39" s="21" t="n">
        <v>0</v>
      </c>
      <c r="C39" s="22"/>
      <c r="D39" s="22"/>
      <c r="E39" s="22"/>
      <c r="F39" s="22"/>
      <c r="G39" s="22"/>
    </row>
    <row r="40" customFormat="false" ht="15" hidden="false" customHeight="false" outlineLevel="0" collapsed="false">
      <c r="A40" s="20"/>
      <c r="B40" s="21" t="n">
        <v>0</v>
      </c>
      <c r="C40" s="22"/>
      <c r="D40" s="22"/>
      <c r="E40" s="22"/>
      <c r="F40" s="22"/>
      <c r="G40" s="22"/>
    </row>
    <row r="41" customFormat="false" ht="15" hidden="false" customHeight="false" outlineLevel="0" collapsed="false">
      <c r="A41" s="20"/>
      <c r="B41" s="21" t="n">
        <v>0</v>
      </c>
      <c r="C41" s="22"/>
      <c r="D41" s="22"/>
      <c r="E41" s="22"/>
      <c r="F41" s="22"/>
      <c r="G41" s="22"/>
    </row>
    <row r="42" customFormat="false" ht="15" hidden="false" customHeight="false" outlineLevel="0" collapsed="false">
      <c r="A42" s="12" t="s">
        <v>79</v>
      </c>
      <c r="C42" s="13" t="n">
        <f aca="false">SUM(C36:C41)</f>
        <v>0</v>
      </c>
      <c r="D42" s="13" t="n">
        <f aca="false">SUM(D36:D41)</f>
        <v>0</v>
      </c>
      <c r="E42" s="13" t="n">
        <f aca="false">SUM(E36:E41)</f>
        <v>0</v>
      </c>
      <c r="F42" s="13" t="n">
        <f aca="false">SUM(F36:F41)</f>
        <v>0</v>
      </c>
      <c r="G42" s="13" t="n">
        <f aca="false">SUM(G36:G41)</f>
        <v>0</v>
      </c>
    </row>
    <row r="44" customFormat="false" ht="15" hidden="false" customHeight="false" outlineLevel="0" collapsed="false">
      <c r="A44" s="9" t="s">
        <v>80</v>
      </c>
      <c r="B44" s="10"/>
      <c r="C44" s="10"/>
      <c r="D44" s="10"/>
      <c r="E44" s="10"/>
      <c r="F44" s="10"/>
      <c r="G44" s="10"/>
    </row>
    <row r="45" customFormat="false" ht="39.75" hidden="false" customHeight="true" outlineLevel="0" collapsed="false">
      <c r="A45" s="4" t="s">
        <v>81</v>
      </c>
      <c r="B45" s="5" t="s">
        <v>82</v>
      </c>
      <c r="C45" s="5" t="str">
        <f aca="false">C$4</f>
        <v>FY27</v>
      </c>
      <c r="D45" s="5" t="str">
        <f aca="false">D$4</f>
        <v>FY28</v>
      </c>
      <c r="E45" s="5" t="str">
        <f aca="false">E$4</f>
        <v>FY29</v>
      </c>
      <c r="F45" s="5" t="str">
        <f aca="false">F$4</f>
        <v>FY30</v>
      </c>
      <c r="G45" s="5" t="str">
        <f aca="false">G$4</f>
        <v>FY31</v>
      </c>
    </row>
    <row r="46" customFormat="false" ht="15" hidden="false" customHeight="false" outlineLevel="0" collapsed="false">
      <c r="A46" s="6" t="s">
        <v>83</v>
      </c>
      <c r="B46" s="21" t="n">
        <v>12</v>
      </c>
      <c r="C46" s="22" t="n">
        <v>0</v>
      </c>
      <c r="D46" s="22" t="n">
        <v>0</v>
      </c>
      <c r="E46" s="22" t="n">
        <v>0</v>
      </c>
      <c r="F46" s="22" t="n">
        <v>0</v>
      </c>
      <c r="G46" s="22" t="n">
        <v>0</v>
      </c>
    </row>
    <row r="47" customFormat="false" ht="15" hidden="false" customHeight="false" outlineLevel="0" collapsed="false">
      <c r="A47" s="6" t="s">
        <v>84</v>
      </c>
      <c r="B47" s="21" t="n">
        <v>12</v>
      </c>
      <c r="C47" s="22" t="n">
        <v>0</v>
      </c>
      <c r="D47" s="22" t="n">
        <v>0</v>
      </c>
      <c r="E47" s="22" t="n">
        <v>0</v>
      </c>
      <c r="F47" s="22" t="n">
        <v>0</v>
      </c>
      <c r="G47" s="22" t="n">
        <v>0</v>
      </c>
    </row>
    <row r="48" customFormat="false" ht="15" hidden="false" customHeight="false" outlineLevel="0" collapsed="false">
      <c r="A48" s="12" t="s">
        <v>85</v>
      </c>
      <c r="C48" s="13" t="n">
        <f aca="false">SUM(C46:C47)</f>
        <v>0</v>
      </c>
      <c r="D48" s="13" t="n">
        <f aca="false">SUM(D46:D47)</f>
        <v>0</v>
      </c>
      <c r="E48" s="13" t="n">
        <f aca="false">SUM(E46:E47)</f>
        <v>0</v>
      </c>
      <c r="F48" s="13" t="n">
        <f aca="false">SUM(F46:F47)</f>
        <v>0</v>
      </c>
      <c r="G48" s="13" t="n">
        <f aca="false">SUM(G46:G47)</f>
        <v>0</v>
      </c>
    </row>
    <row r="50" customFormat="false" ht="15" hidden="false" customHeight="false" outlineLevel="0" collapsed="false">
      <c r="A50" s="9" t="s">
        <v>86</v>
      </c>
      <c r="B50" s="10"/>
      <c r="C50" s="10"/>
      <c r="D50" s="10"/>
      <c r="E50" s="10"/>
      <c r="F50" s="10"/>
      <c r="G50" s="10"/>
    </row>
    <row r="51" customFormat="false" ht="15" hidden="false" customHeight="false" outlineLevel="0" collapsed="false">
      <c r="A51" s="6" t="s">
        <v>87</v>
      </c>
      <c r="B51" s="17" t="n">
        <v>46203</v>
      </c>
    </row>
    <row r="52" customFormat="false" ht="39.75" hidden="false" customHeight="true" outlineLevel="0" collapsed="false">
      <c r="A52" s="4" t="s">
        <v>88</v>
      </c>
      <c r="B52" s="5" t="s">
        <v>89</v>
      </c>
      <c r="C52" s="5" t="s">
        <v>90</v>
      </c>
      <c r="D52" s="5" t="s">
        <v>91</v>
      </c>
    </row>
    <row r="53" customFormat="false" ht="15" hidden="false" customHeight="false" outlineLevel="0" collapsed="false">
      <c r="A53" s="20" t="s">
        <v>92</v>
      </c>
      <c r="B53" s="20" t="s">
        <v>71</v>
      </c>
      <c r="C53" s="20" t="s">
        <v>93</v>
      </c>
      <c r="D53" s="22" t="n">
        <v>134596.05</v>
      </c>
      <c r="E53" s="3" t="s">
        <v>94</v>
      </c>
    </row>
    <row r="54" customFormat="false" ht="15" hidden="false" customHeight="false" outlineLevel="0" collapsed="false">
      <c r="A54" s="20" t="s">
        <v>95</v>
      </c>
      <c r="B54" s="20" t="s">
        <v>93</v>
      </c>
      <c r="C54" s="20" t="s">
        <v>71</v>
      </c>
      <c r="D54" s="22" t="n">
        <v>441027.78</v>
      </c>
    </row>
    <row r="55" customFormat="false" ht="15" hidden="false" customHeight="false" outlineLevel="0" collapsed="false">
      <c r="A55" s="20" t="s">
        <v>96</v>
      </c>
      <c r="B55" s="20" t="s">
        <v>93</v>
      </c>
      <c r="C55" s="20" t="s">
        <v>71</v>
      </c>
      <c r="D55" s="22" t="n">
        <v>167658.2</v>
      </c>
    </row>
    <row r="56" customFormat="false" ht="15" hidden="false" customHeight="false" outlineLevel="0" collapsed="false">
      <c r="A56" s="20" t="s">
        <v>97</v>
      </c>
      <c r="B56" s="20" t="s">
        <v>71</v>
      </c>
      <c r="C56" s="20" t="s">
        <v>71</v>
      </c>
      <c r="D56" s="22" t="n">
        <v>1029181.76</v>
      </c>
    </row>
    <row r="57" customFormat="false" ht="15" hidden="false" customHeight="false" outlineLevel="0" collapsed="false">
      <c r="A57" s="20" t="s">
        <v>98</v>
      </c>
      <c r="B57" s="20" t="s">
        <v>93</v>
      </c>
      <c r="C57" s="20" t="s">
        <v>71</v>
      </c>
      <c r="D57" s="22" t="n">
        <v>433920.19</v>
      </c>
    </row>
    <row r="58" customFormat="false" ht="15" hidden="false" customHeight="false" outlineLevel="0" collapsed="false">
      <c r="A58" s="12" t="s">
        <v>99</v>
      </c>
      <c r="D58" s="13" t="n">
        <f aca="false">SUMIF(B53:B57,"Y",D53:D57)</f>
        <v>1163777.81</v>
      </c>
    </row>
    <row r="59" customFormat="false" ht="15" hidden="false" customHeight="false" outlineLevel="0" collapsed="false">
      <c r="A59" s="12" t="s">
        <v>100</v>
      </c>
      <c r="D59" s="23" t="n">
        <f aca="false">SUMIF(B53:B57,"N",D53:D57)</f>
        <v>1042606.17</v>
      </c>
    </row>
    <row r="60" customFormat="false" ht="15" hidden="false" customHeight="false" outlineLevel="0" collapsed="false">
      <c r="A60" s="12" t="s">
        <v>101</v>
      </c>
      <c r="D60" s="23" t="n">
        <f aca="false">SUMIF(C53:C57,"Y",D53:D57)</f>
        <v>2071787.93</v>
      </c>
    </row>
    <row r="62" customFormat="false" ht="15" hidden="false" customHeight="false" outlineLevel="0" collapsed="false">
      <c r="A62" s="9" t="s">
        <v>102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4" t="s">
        <v>103</v>
      </c>
      <c r="B63" s="5" t="s">
        <v>104</v>
      </c>
      <c r="C63" s="5" t="s">
        <v>105</v>
      </c>
    </row>
    <row r="64" customFormat="false" ht="15" hidden="false" customHeight="false" outlineLevel="0" collapsed="false">
      <c r="A64" s="6" t="s">
        <v>106</v>
      </c>
      <c r="B64" s="21" t="n">
        <v>94</v>
      </c>
      <c r="C64" s="8" t="n">
        <f aca="false">B64/SUM($B$64:$B$66)</f>
        <v>0.163478260869565</v>
      </c>
    </row>
    <row r="65" customFormat="false" ht="15" hidden="false" customHeight="false" outlineLevel="0" collapsed="false">
      <c r="A65" s="6" t="s">
        <v>107</v>
      </c>
      <c r="B65" s="21" t="n">
        <v>96</v>
      </c>
      <c r="C65" s="8" t="n">
        <f aca="false">B65/SUM($B$64:$B$66)</f>
        <v>0.16695652173913</v>
      </c>
    </row>
    <row r="66" customFormat="false" ht="15" hidden="false" customHeight="false" outlineLevel="0" collapsed="false">
      <c r="A66" s="6" t="s">
        <v>108</v>
      </c>
      <c r="B66" s="21" t="n">
        <v>385</v>
      </c>
      <c r="C66" s="8" t="n">
        <f aca="false">B66/SUM($B$64:$B$66)</f>
        <v>0.669565217391304</v>
      </c>
    </row>
    <row r="67" customFormat="false" ht="15" hidden="false" customHeight="false" outlineLevel="0" collapsed="false">
      <c r="A67" s="12" t="s">
        <v>109</v>
      </c>
      <c r="B67" s="24" t="n">
        <f aca="false">SUM(B64:B66)</f>
        <v>575</v>
      </c>
    </row>
    <row r="69" customFormat="false" ht="15" hidden="false" customHeight="false" outlineLevel="0" collapsed="false">
      <c r="A69" s="12" t="s">
        <v>110</v>
      </c>
    </row>
    <row r="70" customFormat="false" ht="15" hidden="false" customHeight="false" outlineLevel="0" collapsed="false">
      <c r="A70" s="4" t="s">
        <v>103</v>
      </c>
      <c r="B70" s="5" t="s">
        <v>111</v>
      </c>
      <c r="C70" s="5" t="s">
        <v>112</v>
      </c>
      <c r="D70" s="5" t="s">
        <v>113</v>
      </c>
      <c r="E70" s="5" t="s">
        <v>114</v>
      </c>
      <c r="F70" s="5" t="s">
        <v>115</v>
      </c>
      <c r="G70" s="5" t="s">
        <v>116</v>
      </c>
      <c r="H70" s="5" t="s">
        <v>117</v>
      </c>
      <c r="I70" s="5" t="s">
        <v>118</v>
      </c>
      <c r="J70" s="5" t="s">
        <v>119</v>
      </c>
      <c r="K70" s="5" t="s">
        <v>120</v>
      </c>
      <c r="L70" s="5" t="s">
        <v>121</v>
      </c>
      <c r="M70" s="5" t="s">
        <v>122</v>
      </c>
      <c r="N70" s="5" t="s">
        <v>123</v>
      </c>
      <c r="O70" s="5" t="s">
        <v>124</v>
      </c>
      <c r="P70" s="5" t="s">
        <v>125</v>
      </c>
    </row>
    <row r="71" customFormat="false" ht="15" hidden="false" customHeight="false" outlineLevel="0" collapsed="false">
      <c r="A71" s="6" t="s">
        <v>126</v>
      </c>
      <c r="B71" s="19" t="n">
        <v>0</v>
      </c>
      <c r="C71" s="19" t="n">
        <v>1</v>
      </c>
      <c r="D71" s="19" t="n">
        <v>0</v>
      </c>
      <c r="E71" s="19" t="n">
        <v>0</v>
      </c>
      <c r="F71" s="19" t="n">
        <v>0</v>
      </c>
      <c r="G71" s="19" t="n">
        <v>0</v>
      </c>
      <c r="H71" s="19" t="n">
        <v>0</v>
      </c>
      <c r="I71" s="19" t="n">
        <v>0</v>
      </c>
      <c r="J71" s="19" t="n">
        <v>0</v>
      </c>
      <c r="K71" s="19" t="n">
        <v>0</v>
      </c>
      <c r="L71" s="19" t="n">
        <v>0</v>
      </c>
      <c r="M71" s="19" t="n">
        <v>0</v>
      </c>
      <c r="N71" s="19" t="n">
        <v>0</v>
      </c>
      <c r="O71" s="19" t="n">
        <v>0</v>
      </c>
      <c r="P71" s="8" t="n">
        <f aca="false">SUM(B71:O71)</f>
        <v>1</v>
      </c>
    </row>
    <row r="72" customFormat="false" ht="15" hidden="false" customHeight="false" outlineLevel="0" collapsed="false">
      <c r="A72" s="6" t="s">
        <v>127</v>
      </c>
      <c r="B72" s="19" t="n">
        <v>0.25</v>
      </c>
      <c r="C72" s="19" t="n">
        <v>0</v>
      </c>
      <c r="D72" s="19" t="n">
        <v>0</v>
      </c>
      <c r="E72" s="19" t="n">
        <v>0.25</v>
      </c>
      <c r="F72" s="19" t="n">
        <v>0</v>
      </c>
      <c r="G72" s="19" t="n">
        <v>0</v>
      </c>
      <c r="H72" s="19" t="n">
        <v>0.25</v>
      </c>
      <c r="I72" s="19" t="n">
        <v>0</v>
      </c>
      <c r="J72" s="19" t="n">
        <v>0</v>
      </c>
      <c r="K72" s="19" t="n">
        <v>0.25</v>
      </c>
      <c r="L72" s="19" t="n">
        <v>0</v>
      </c>
      <c r="M72" s="19" t="n">
        <v>0</v>
      </c>
      <c r="N72" s="19" t="n">
        <v>0</v>
      </c>
      <c r="O72" s="19" t="n">
        <v>0</v>
      </c>
      <c r="P72" s="8" t="n">
        <f aca="false">SUM(B72:O72)</f>
        <v>1</v>
      </c>
    </row>
    <row r="73" customFormat="false" ht="15" hidden="false" customHeight="false" outlineLevel="0" collapsed="false">
      <c r="A73" s="6" t="s">
        <v>128</v>
      </c>
      <c r="B73" s="19" t="n">
        <v>0.0833333333333333</v>
      </c>
      <c r="C73" s="19" t="n">
        <v>0.0833333333333333</v>
      </c>
      <c r="D73" s="19" t="n">
        <v>0.0833333333333333</v>
      </c>
      <c r="E73" s="19" t="n">
        <v>0.0833333333333333</v>
      </c>
      <c r="F73" s="19" t="n">
        <v>0.0833333333333333</v>
      </c>
      <c r="G73" s="19" t="n">
        <v>0.0833333333333333</v>
      </c>
      <c r="H73" s="19" t="n">
        <v>0.0833333333333333</v>
      </c>
      <c r="I73" s="19" t="n">
        <v>0.0833333333333333</v>
      </c>
      <c r="J73" s="19" t="n">
        <v>0.0833333333333333</v>
      </c>
      <c r="K73" s="19" t="n">
        <v>0.0833333333333333</v>
      </c>
      <c r="L73" s="19" t="n">
        <v>0.0833333333333333</v>
      </c>
      <c r="M73" s="19" t="n">
        <v>0.0833333333333333</v>
      </c>
      <c r="N73" s="19" t="n">
        <v>0</v>
      </c>
      <c r="O73" s="19" t="n">
        <v>0</v>
      </c>
      <c r="P73" s="8" t="n">
        <f aca="false">SUM(B73:O73)</f>
        <v>1</v>
      </c>
    </row>
    <row r="74" customFormat="false" ht="15" hidden="false" customHeight="false" outlineLevel="0" collapsed="false">
      <c r="A74" s="12" t="s">
        <v>129</v>
      </c>
    </row>
    <row r="75" customFormat="false" ht="15" hidden="false" customHeight="false" outlineLevel="0" collapsed="false">
      <c r="A75" s="4" t="s">
        <v>130</v>
      </c>
      <c r="B75" s="5" t="s">
        <v>111</v>
      </c>
      <c r="C75" s="5" t="s">
        <v>112</v>
      </c>
      <c r="D75" s="5" t="s">
        <v>113</v>
      </c>
      <c r="E75" s="5" t="s">
        <v>114</v>
      </c>
      <c r="F75" s="5" t="s">
        <v>115</v>
      </c>
      <c r="G75" s="5" t="s">
        <v>116</v>
      </c>
      <c r="H75" s="5" t="s">
        <v>117</v>
      </c>
      <c r="I75" s="5" t="s">
        <v>118</v>
      </c>
      <c r="J75" s="5" t="s">
        <v>119</v>
      </c>
      <c r="K75" s="5" t="s">
        <v>120</v>
      </c>
      <c r="L75" s="5" t="s">
        <v>121</v>
      </c>
      <c r="M75" s="5" t="s">
        <v>122</v>
      </c>
      <c r="N75" s="5" t="s">
        <v>123</v>
      </c>
      <c r="O75" s="5" t="s">
        <v>124</v>
      </c>
      <c r="P75" s="5" t="s">
        <v>125</v>
      </c>
    </row>
    <row r="76" customFormat="false" ht="15" hidden="false" customHeight="false" outlineLevel="0" collapsed="false">
      <c r="A76" s="6" t="s">
        <v>131</v>
      </c>
      <c r="B76" s="8" t="n">
        <f aca="false">SUMPRODUCT($C$64:$C$66,B71:B73)</f>
        <v>0.097536231884058</v>
      </c>
      <c r="C76" s="8" t="n">
        <f aca="false">SUMPRODUCT($C$64:$C$66,C71:C73)</f>
        <v>0.219275362318841</v>
      </c>
      <c r="D76" s="8" t="n">
        <f aca="false">SUMPRODUCT($C$64:$C$66,D71:D73)</f>
        <v>0.0557971014492754</v>
      </c>
      <c r="E76" s="8" t="n">
        <f aca="false">SUMPRODUCT($C$64:$C$66,E71:E73)</f>
        <v>0.097536231884058</v>
      </c>
      <c r="F76" s="8" t="n">
        <f aca="false">SUMPRODUCT($C$64:$C$66,F71:F73)</f>
        <v>0.0557971014492754</v>
      </c>
      <c r="G76" s="8" t="n">
        <f aca="false">SUMPRODUCT($C$64:$C$66,G71:G73)</f>
        <v>0.0557971014492754</v>
      </c>
      <c r="H76" s="8" t="n">
        <f aca="false">SUMPRODUCT($C$64:$C$66,H71:H73)</f>
        <v>0.097536231884058</v>
      </c>
      <c r="I76" s="8" t="n">
        <f aca="false">SUMPRODUCT($C$64:$C$66,I71:I73)</f>
        <v>0.0557971014492754</v>
      </c>
      <c r="J76" s="8" t="n">
        <f aca="false">SUMPRODUCT($C$64:$C$66,J71:J73)</f>
        <v>0.0557971014492754</v>
      </c>
      <c r="K76" s="8" t="n">
        <f aca="false">SUMPRODUCT($C$64:$C$66,K71:K73)</f>
        <v>0.097536231884058</v>
      </c>
      <c r="L76" s="8" t="n">
        <f aca="false">SUMPRODUCT($C$64:$C$66,L71:L73)</f>
        <v>0.0557971014492754</v>
      </c>
      <c r="M76" s="8" t="n">
        <f aca="false">SUMPRODUCT($C$64:$C$66,M71:M73)</f>
        <v>0.0557971014492754</v>
      </c>
      <c r="N76" s="8" t="n">
        <f aca="false">SUMPRODUCT($C$64:$C$66,N71:N73)</f>
        <v>0</v>
      </c>
      <c r="O76" s="8" t="n">
        <f aca="false">SUMPRODUCT($C$64:$C$66,O71:O73)</f>
        <v>0</v>
      </c>
      <c r="P76" s="8" t="n">
        <f aca="false">SUM(B76:O76)</f>
        <v>1</v>
      </c>
    </row>
    <row r="77" customFormat="false" ht="15" hidden="false" customHeight="false" outlineLevel="0" collapsed="false">
      <c r="A77" s="6" t="s">
        <v>132</v>
      </c>
      <c r="B77" s="19" t="n">
        <v>0</v>
      </c>
      <c r="C77" s="19" t="n">
        <v>0</v>
      </c>
      <c r="D77" s="19" t="n">
        <v>0.0833333333333333</v>
      </c>
      <c r="E77" s="19" t="n">
        <v>0.0833333333333333</v>
      </c>
      <c r="F77" s="19" t="n">
        <v>0.0833333333333333</v>
      </c>
      <c r="G77" s="19" t="n">
        <v>0.0833333333333333</v>
      </c>
      <c r="H77" s="19" t="n">
        <v>0.0833333333333333</v>
      </c>
      <c r="I77" s="19" t="n">
        <v>0.0833333333333333</v>
      </c>
      <c r="J77" s="19" t="n">
        <v>0.0833333333333333</v>
      </c>
      <c r="K77" s="19" t="n">
        <v>0.0833333333333333</v>
      </c>
      <c r="L77" s="19" t="n">
        <v>0.0833333333333333</v>
      </c>
      <c r="M77" s="19" t="n">
        <v>0.0833333333333333</v>
      </c>
      <c r="N77" s="19" t="n">
        <v>0.0833333333333333</v>
      </c>
      <c r="O77" s="19" t="n">
        <v>0.0833333333333333</v>
      </c>
      <c r="P77" s="8" t="n">
        <f aca="false">SUM(B77:O77)</f>
        <v>1</v>
      </c>
    </row>
    <row r="78" customFormat="false" ht="15" hidden="false" customHeight="false" outlineLevel="0" collapsed="false">
      <c r="A78" s="6" t="s">
        <v>133</v>
      </c>
      <c r="B78" s="19" t="n">
        <v>0</v>
      </c>
      <c r="C78" s="19" t="n">
        <v>0</v>
      </c>
      <c r="D78" s="19" t="n">
        <v>1</v>
      </c>
      <c r="E78" s="19" t="n">
        <v>0</v>
      </c>
      <c r="F78" s="19" t="n">
        <v>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  <c r="N78" s="19" t="n">
        <v>0</v>
      </c>
      <c r="O78" s="19" t="n">
        <v>0</v>
      </c>
      <c r="P78" s="8" t="n">
        <f aca="false">SUM(B78:O78)</f>
        <v>1</v>
      </c>
    </row>
    <row r="79" customFormat="false" ht="15" hidden="false" customHeight="false" outlineLevel="0" collapsed="false">
      <c r="A79" s="6" t="s">
        <v>134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v>0</v>
      </c>
      <c r="G79" s="19" t="n">
        <v>0.5</v>
      </c>
      <c r="H79" s="19" t="n">
        <v>0</v>
      </c>
      <c r="I79" s="19" t="n">
        <v>0</v>
      </c>
      <c r="J79" s="19" t="n">
        <v>0</v>
      </c>
      <c r="K79" s="19" t="n">
        <v>0</v>
      </c>
      <c r="L79" s="19" t="n">
        <v>0.5</v>
      </c>
      <c r="M79" s="19" t="n">
        <v>0</v>
      </c>
      <c r="N79" s="19" t="n">
        <v>0</v>
      </c>
      <c r="O79" s="19" t="n">
        <v>0</v>
      </c>
      <c r="P79" s="8" t="n">
        <f aca="false">SUM(B79:O79)</f>
        <v>1</v>
      </c>
    </row>
    <row r="80" customFormat="false" ht="15" hidden="false" customHeight="false" outlineLevel="0" collapsed="false">
      <c r="A80" s="6" t="s">
        <v>135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v>0</v>
      </c>
      <c r="G80" s="19" t="n">
        <v>0</v>
      </c>
      <c r="H80" s="19" t="n">
        <v>0</v>
      </c>
      <c r="I80" s="19" t="n">
        <v>0</v>
      </c>
      <c r="J80" s="19" t="n">
        <v>0</v>
      </c>
      <c r="K80" s="19" t="n">
        <v>0</v>
      </c>
      <c r="L80" s="19" t="n">
        <v>0</v>
      </c>
      <c r="M80" s="19" t="n">
        <v>0</v>
      </c>
      <c r="N80" s="19" t="n">
        <v>0</v>
      </c>
      <c r="O80" s="19" t="n">
        <v>1</v>
      </c>
      <c r="P80" s="8" t="n">
        <f aca="false">SUM(B80:O80)</f>
        <v>1</v>
      </c>
    </row>
    <row r="81" customFormat="false" ht="15" hidden="false" customHeight="false" outlineLevel="0" collapsed="false">
      <c r="A81" s="3" t="s">
        <v>136</v>
      </c>
    </row>
  </sheetData>
  <conditionalFormatting sqref="P76:P80">
    <cfRule type="expression" priority="2" aboveAverage="0" equalAverage="0" bottom="0" percent="0" rank="0" text="" dxfId="3">
      <formula>ABS(P76-1)&gt;0.0001</formula>
    </cfRule>
  </conditionalFormatting>
  <conditionalFormatting sqref="P71:P73">
    <cfRule type="expression" priority="3" aboveAverage="0" equalAverage="0" bottom="0" percent="0" rank="0" text="" dxfId="3">
      <formula>ABS(P71-1)&gt;0.0001</formula>
    </cfRule>
  </conditionalFormatting>
  <dataValidations count="2">
    <dataValidation allowBlank="true" errorStyle="stop" operator="between" showDropDown="false" showErrorMessage="false" showInputMessage="false" sqref="B20:B29" type="list">
      <formula1>"Operating,Capital"</formula1>
      <formula2>0</formula2>
    </dataValidation>
    <dataValidation allowBlank="true" errorStyle="stop" operator="between" showDropDown="false" showErrorMessage="false" showInputMessage="false" sqref="C20:C29 B53:C5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3" t="s">
        <v>138</v>
      </c>
    </row>
    <row r="3" customFormat="false" ht="15" hidden="false" customHeight="false" outlineLevel="0" collapsed="false">
      <c r="A3" s="12" t="s">
        <v>139</v>
      </c>
    </row>
    <row r="4" customFormat="false" ht="15" hidden="false" customHeight="false" outlineLevel="0" collapsed="false">
      <c r="A4" s="4" t="s">
        <v>140</v>
      </c>
      <c r="B4" s="5" t="str">
        <f aca="false">Inputs!C$4</f>
        <v>FY27</v>
      </c>
      <c r="C4" s="5" t="str">
        <f aca="false">Inputs!D$4</f>
        <v>FY28</v>
      </c>
      <c r="D4" s="5" t="str">
        <f aca="false">Inputs!E$4</f>
        <v>FY29</v>
      </c>
      <c r="E4" s="5" t="str">
        <f aca="false">Inputs!F$4</f>
        <v>FY30</v>
      </c>
      <c r="F4" s="5" t="str">
        <f aca="false">Inputs!G$4</f>
        <v>FY31</v>
      </c>
    </row>
    <row r="5" customFormat="false" ht="15" hidden="false" customHeight="false" outlineLevel="0" collapsed="false">
      <c r="A5" s="6" t="s">
        <v>141</v>
      </c>
      <c r="B5" s="25" t="n">
        <v>21</v>
      </c>
      <c r="C5" s="7" t="n">
        <f aca="false">C49</f>
        <v>20</v>
      </c>
      <c r="D5" s="7" t="n">
        <f aca="false">D49</f>
        <v>20</v>
      </c>
      <c r="E5" s="7" t="n">
        <f aca="false">E49</f>
        <v>20</v>
      </c>
      <c r="F5" s="7" t="n">
        <f aca="false">F49</f>
        <v>20</v>
      </c>
    </row>
    <row r="6" customFormat="false" ht="15" hidden="false" customHeight="false" outlineLevel="0" collapsed="false">
      <c r="A6" s="6" t="s">
        <v>142</v>
      </c>
      <c r="B6" s="25" t="n">
        <v>4</v>
      </c>
      <c r="C6" s="7" t="n">
        <f aca="false">C50</f>
        <v>4</v>
      </c>
      <c r="D6" s="7" t="n">
        <f aca="false">D50</f>
        <v>4</v>
      </c>
      <c r="E6" s="7" t="n">
        <f aca="false">E50</f>
        <v>4</v>
      </c>
      <c r="F6" s="7" t="n">
        <f aca="false">F50</f>
        <v>4</v>
      </c>
    </row>
    <row r="7" customFormat="false" ht="15" hidden="false" customHeight="false" outlineLevel="0" collapsed="false">
      <c r="A7" s="6" t="s">
        <v>143</v>
      </c>
      <c r="B7" s="25" t="n">
        <v>44</v>
      </c>
      <c r="C7" s="7" t="n">
        <f aca="false">ROUND((B5+B6)*$B51+C51,0)</f>
        <v>37</v>
      </c>
      <c r="D7" s="7" t="n">
        <f aca="false">ROUND((C5+C6)*$B51+D51,0)</f>
        <v>36</v>
      </c>
      <c r="E7" s="7" t="n">
        <f aca="false">ROUND((D5+D6)*$B51+E51,0)</f>
        <v>36</v>
      </c>
      <c r="F7" s="7" t="n">
        <f aca="false">ROUND((E5+E6)*$B51+F51,0)</f>
        <v>36</v>
      </c>
    </row>
    <row r="8" customFormat="false" ht="15" hidden="false" customHeight="false" outlineLevel="0" collapsed="false">
      <c r="A8" s="6" t="s">
        <v>144</v>
      </c>
      <c r="B8" s="25" t="n">
        <v>53</v>
      </c>
      <c r="C8" s="7" t="n">
        <f aca="false">ROUND(B7*$B52+C52,0)</f>
        <v>45</v>
      </c>
      <c r="D8" s="7" t="n">
        <f aca="false">ROUND(C7*$B52+D52,0)</f>
        <v>39</v>
      </c>
      <c r="E8" s="7" t="n">
        <f aca="false">ROUND(D7*$B52+E52,0)</f>
        <v>38</v>
      </c>
      <c r="F8" s="7" t="n">
        <f aca="false">ROUND(E7*$B52+F52,0)</f>
        <v>38</v>
      </c>
    </row>
    <row r="9" customFormat="false" ht="15" hidden="false" customHeight="false" outlineLevel="0" collapsed="false">
      <c r="A9" s="6" t="s">
        <v>145</v>
      </c>
      <c r="B9" s="25" t="n">
        <v>45</v>
      </c>
      <c r="C9" s="7" t="n">
        <f aca="false">ROUND(B8*$B53+C53,0)</f>
        <v>53</v>
      </c>
      <c r="D9" s="7" t="n">
        <f aca="false">ROUND(C8*$B53+D53,0)</f>
        <v>45</v>
      </c>
      <c r="E9" s="7" t="n">
        <f aca="false">ROUND(D8*$B53+E53,0)</f>
        <v>39</v>
      </c>
      <c r="F9" s="7" t="n">
        <f aca="false">ROUND(E8*$B53+F53,0)</f>
        <v>38</v>
      </c>
    </row>
    <row r="10" customFormat="false" ht="15" hidden="false" customHeight="false" outlineLevel="0" collapsed="false">
      <c r="A10" s="6" t="s">
        <v>146</v>
      </c>
      <c r="B10" s="25" t="n">
        <v>37</v>
      </c>
      <c r="C10" s="7" t="n">
        <f aca="false">ROUND(B9*$B54+C54,0)</f>
        <v>44</v>
      </c>
      <c r="D10" s="7" t="n">
        <f aca="false">ROUND(C9*$B54+D54,0)</f>
        <v>52</v>
      </c>
      <c r="E10" s="7" t="n">
        <f aca="false">ROUND(D9*$B54+E54,0)</f>
        <v>44</v>
      </c>
      <c r="F10" s="7" t="n">
        <f aca="false">ROUND(E9*$B54+F54,0)</f>
        <v>38</v>
      </c>
    </row>
    <row r="11" customFormat="false" ht="15" hidden="false" customHeight="false" outlineLevel="0" collapsed="false">
      <c r="A11" s="6" t="s">
        <v>147</v>
      </c>
      <c r="B11" s="25" t="n">
        <v>33</v>
      </c>
      <c r="C11" s="7" t="n">
        <f aca="false">ROUND(B10*$B55+C55,0)</f>
        <v>37</v>
      </c>
      <c r="D11" s="7" t="n">
        <f aca="false">ROUND(C10*$B55+D55,0)</f>
        <v>43</v>
      </c>
      <c r="E11" s="7" t="n">
        <f aca="false">ROUND(D10*$B55+E55,0)</f>
        <v>51</v>
      </c>
      <c r="F11" s="7" t="n">
        <f aca="false">ROUND(E10*$B55+F55,0)</f>
        <v>43</v>
      </c>
    </row>
    <row r="12" customFormat="false" ht="15" hidden="false" customHeight="false" outlineLevel="0" collapsed="false">
      <c r="A12" s="6" t="s">
        <v>148</v>
      </c>
      <c r="B12" s="25" t="n">
        <v>36</v>
      </c>
      <c r="C12" s="7" t="n">
        <f aca="false">ROUND(B11*$B56+C56,0)</f>
        <v>33</v>
      </c>
      <c r="D12" s="7" t="n">
        <f aca="false">ROUND(C11*$B56+D56,0)</f>
        <v>37</v>
      </c>
      <c r="E12" s="7" t="n">
        <f aca="false">ROUND(D11*$B56+E56,0)</f>
        <v>42</v>
      </c>
      <c r="F12" s="7" t="n">
        <f aca="false">ROUND(E11*$B56+F56,0)</f>
        <v>50</v>
      </c>
    </row>
    <row r="13" customFormat="false" ht="15" hidden="false" customHeight="false" outlineLevel="0" collapsed="false">
      <c r="A13" s="6" t="s">
        <v>149</v>
      </c>
      <c r="B13" s="25" t="n">
        <v>36</v>
      </c>
      <c r="C13" s="7" t="n">
        <f aca="false">ROUND(B12*$B57+C57,0)</f>
        <v>36</v>
      </c>
      <c r="D13" s="7" t="n">
        <f aca="false">ROUND(C12*$B57+D57,0)</f>
        <v>33</v>
      </c>
      <c r="E13" s="7" t="n">
        <f aca="false">ROUND(D12*$B57+E57,0)</f>
        <v>37</v>
      </c>
      <c r="F13" s="7" t="n">
        <f aca="false">ROUND(E12*$B57+F57,0)</f>
        <v>41</v>
      </c>
    </row>
    <row r="14" customFormat="false" ht="15" hidden="false" customHeight="false" outlineLevel="0" collapsed="false">
      <c r="A14" s="6" t="s">
        <v>150</v>
      </c>
      <c r="B14" s="25" t="n">
        <v>40</v>
      </c>
      <c r="C14" s="7" t="n">
        <f aca="false">ROUND(B13*$B58+C58,0)</f>
        <v>39</v>
      </c>
      <c r="D14" s="7" t="n">
        <f aca="false">ROUND(C13*$B58+D58,0)</f>
        <v>39</v>
      </c>
      <c r="E14" s="7" t="n">
        <f aca="false">ROUND(D13*$B58+E58,0)</f>
        <v>36</v>
      </c>
      <c r="F14" s="7" t="n">
        <f aca="false">ROUND(E13*$B58+F58,0)</f>
        <v>40</v>
      </c>
    </row>
    <row r="15" customFormat="false" ht="15" hidden="false" customHeight="false" outlineLevel="0" collapsed="false">
      <c r="A15" s="6" t="s">
        <v>151</v>
      </c>
      <c r="B15" s="25" t="n">
        <v>34</v>
      </c>
      <c r="C15" s="7" t="n">
        <f aca="false">ROUND(B14*$B59+C59,0)</f>
        <v>40</v>
      </c>
      <c r="D15" s="7" t="n">
        <f aca="false">ROUND(C14*$B59+D59,0)</f>
        <v>39</v>
      </c>
      <c r="E15" s="7" t="n">
        <f aca="false">ROUND(D14*$B59+E59,0)</f>
        <v>39</v>
      </c>
      <c r="F15" s="7" t="n">
        <f aca="false">ROUND(E14*$B59+F59,0)</f>
        <v>37</v>
      </c>
    </row>
    <row r="16" customFormat="false" ht="15" hidden="false" customHeight="false" outlineLevel="0" collapsed="false">
      <c r="A16" s="6" t="s">
        <v>152</v>
      </c>
      <c r="B16" s="25" t="n">
        <v>37</v>
      </c>
      <c r="C16" s="7" t="n">
        <f aca="false">ROUND(B15*$B60+C60,0)</f>
        <v>35</v>
      </c>
      <c r="D16" s="7" t="n">
        <f aca="false">ROUND(C15*$B60+D60,0)</f>
        <v>40</v>
      </c>
      <c r="E16" s="7" t="n">
        <f aca="false">ROUND(D15*$B60+E60,0)</f>
        <v>39</v>
      </c>
      <c r="F16" s="7" t="n">
        <f aca="false">ROUND(E15*$B60+F60,0)</f>
        <v>39</v>
      </c>
    </row>
    <row r="17" customFormat="false" ht="15" hidden="false" customHeight="false" outlineLevel="0" collapsed="false">
      <c r="A17" s="6" t="s">
        <v>153</v>
      </c>
      <c r="B17" s="25" t="n">
        <v>45</v>
      </c>
      <c r="C17" s="7" t="n">
        <f aca="false">ROUND(B16*$B61+C61,0)</f>
        <v>40</v>
      </c>
      <c r="D17" s="7" t="n">
        <f aca="false">ROUND(C16*$B61+D61,0)</f>
        <v>38</v>
      </c>
      <c r="E17" s="7" t="n">
        <f aca="false">ROUND(D16*$B61+E61,0)</f>
        <v>42</v>
      </c>
      <c r="F17" s="7" t="n">
        <f aca="false">ROUND(E16*$B61+F61,0)</f>
        <v>41</v>
      </c>
    </row>
    <row r="18" customFormat="false" ht="15" hidden="false" customHeight="false" outlineLevel="0" collapsed="false">
      <c r="A18" s="6" t="s">
        <v>154</v>
      </c>
      <c r="B18" s="25" t="n">
        <v>44</v>
      </c>
      <c r="C18" s="7" t="n">
        <f aca="false">ROUND(B17*$B62+C62,0)</f>
        <v>44</v>
      </c>
      <c r="D18" s="7" t="n">
        <f aca="false">ROUND(C17*$B62+D62,0)</f>
        <v>39</v>
      </c>
      <c r="E18" s="7" t="n">
        <f aca="false">ROUND(D17*$B62+E62,0)</f>
        <v>37</v>
      </c>
      <c r="F18" s="7" t="n">
        <f aca="false">ROUND(E17*$B62+F62,0)</f>
        <v>41</v>
      </c>
    </row>
    <row r="19" customFormat="false" ht="15" hidden="false" customHeight="false" outlineLevel="0" collapsed="false">
      <c r="A19" s="6" t="s">
        <v>155</v>
      </c>
      <c r="B19" s="25" t="n">
        <v>43</v>
      </c>
      <c r="C19" s="7" t="n">
        <f aca="false">ROUND(B18*$B63+C63,0)</f>
        <v>43</v>
      </c>
      <c r="D19" s="7" t="n">
        <f aca="false">ROUND(C18*$B63+D63,0)</f>
        <v>43</v>
      </c>
      <c r="E19" s="7" t="n">
        <f aca="false">ROUND(D18*$B63+E63,0)</f>
        <v>38</v>
      </c>
      <c r="F19" s="7" t="n">
        <f aca="false">ROUND(E18*$B63+F63,0)</f>
        <v>37</v>
      </c>
    </row>
    <row r="20" customFormat="false" ht="15" hidden="false" customHeight="false" outlineLevel="0" collapsed="false">
      <c r="A20" s="6" t="s">
        <v>156</v>
      </c>
      <c r="B20" s="25" t="n">
        <v>30</v>
      </c>
      <c r="C20" s="7" t="n">
        <f aca="false">ROUND(B19*$B64+C64,0)</f>
        <v>41</v>
      </c>
      <c r="D20" s="7" t="n">
        <f aca="false">ROUND(C19*$B64+D64,0)</f>
        <v>41</v>
      </c>
      <c r="E20" s="7" t="n">
        <f aca="false">ROUND(D19*$B64+E64,0)</f>
        <v>41</v>
      </c>
      <c r="F20" s="7" t="n">
        <f aca="false">ROUND(E19*$B64+F64,0)</f>
        <v>36</v>
      </c>
    </row>
    <row r="21" customFormat="false" ht="15" hidden="false" customHeight="false" outlineLevel="0" collapsed="false">
      <c r="A21" s="12" t="s">
        <v>157</v>
      </c>
      <c r="B21" s="26" t="n">
        <f aca="false">SUM(B5:B20)</f>
        <v>582</v>
      </c>
      <c r="C21" s="26" t="n">
        <f aca="false">SUM(C5:C20)</f>
        <v>591</v>
      </c>
      <c r="D21" s="26" t="n">
        <f aca="false">SUM(D5:D20)</f>
        <v>588</v>
      </c>
      <c r="E21" s="26" t="n">
        <f aca="false">SUM(E5:E20)</f>
        <v>583</v>
      </c>
      <c r="F21" s="26" t="n">
        <f aca="false">SUM(F5:F20)</f>
        <v>579</v>
      </c>
    </row>
    <row r="22" customFormat="false" ht="15" hidden="false" customHeight="false" outlineLevel="0" collapsed="false">
      <c r="A22" s="6" t="s">
        <v>158</v>
      </c>
      <c r="C22" s="11" t="n">
        <f aca="false">C21-B21</f>
        <v>9</v>
      </c>
      <c r="D22" s="11" t="n">
        <f aca="false">D21-C21</f>
        <v>-3</v>
      </c>
      <c r="E22" s="11" t="n">
        <f aca="false">E21-D21</f>
        <v>-5</v>
      </c>
      <c r="F22" s="11" t="n">
        <f aca="false">F21-E21</f>
        <v>-4</v>
      </c>
    </row>
    <row r="23" customFormat="false" ht="15" hidden="false" customHeight="false" outlineLevel="0" collapsed="false">
      <c r="A23" s="6" t="s">
        <v>159</v>
      </c>
      <c r="B23" s="11" t="n">
        <f aca="false">SUMPRODUCT(B5:B20,B29:B44)</f>
        <v>9315096.16</v>
      </c>
      <c r="C23" s="11" t="n">
        <f aca="false">SUMPRODUCT(C5:C20,C29:C44)</f>
        <v>10018177.512</v>
      </c>
      <c r="D23" s="11" t="n">
        <f aca="false">SUMPRODUCT(D5:D20,D29:D44)</f>
        <v>10433240.16042</v>
      </c>
      <c r="E23" s="11" t="n">
        <f aca="false">SUMPRODUCT(E5:E20,E29:E44)</f>
        <v>10806024.9232089</v>
      </c>
      <c r="F23" s="11" t="n">
        <f aca="false">SUMPRODUCT(F5:F20,F29:F44)</f>
        <v>11170544.0530123</v>
      </c>
    </row>
    <row r="24" customFormat="false" ht="15" hidden="false" customHeight="false" outlineLevel="0" collapsed="false">
      <c r="A24" s="12" t="s">
        <v>160</v>
      </c>
      <c r="B24" s="27" t="n">
        <f aca="false">B23/$B$23</f>
        <v>1</v>
      </c>
      <c r="C24" s="27" t="n">
        <f aca="false">C23/$B$23</f>
        <v>1.0754776268461</v>
      </c>
      <c r="D24" s="27" t="n">
        <f aca="false">D23/$B$23</f>
        <v>1.12003569058379</v>
      </c>
      <c r="E24" s="27" t="n">
        <f aca="false">E23/$B$23</f>
        <v>1.16005511243256</v>
      </c>
      <c r="F24" s="27" t="n">
        <f aca="false">F23/$B$23</f>
        <v>1.19918719690515</v>
      </c>
    </row>
    <row r="25" customFormat="false" ht="15" hidden="false" customHeight="false" outlineLevel="0" collapsed="false">
      <c r="A25" s="6" t="s">
        <v>161</v>
      </c>
      <c r="B25" s="11" t="n">
        <f aca="false">B23/B21</f>
        <v>16005.319862543</v>
      </c>
      <c r="C25" s="11" t="n">
        <f aca="false">C23/C21</f>
        <v>16951.2309847716</v>
      </c>
      <c r="D25" s="11" t="n">
        <f aca="false">D23/D21</f>
        <v>17743.605715</v>
      </c>
      <c r="E25" s="11" t="n">
        <f aca="false">E23/E21</f>
        <v>18535.2057001868</v>
      </c>
      <c r="F25" s="11" t="n">
        <f aca="false">F23/F21</f>
        <v>19292.8221986396</v>
      </c>
    </row>
    <row r="27" customFormat="false" ht="15" hidden="false" customHeight="false" outlineLevel="0" collapsed="false">
      <c r="A27" s="12" t="s">
        <v>162</v>
      </c>
    </row>
    <row r="28" customFormat="false" ht="15" hidden="false" customHeight="false" outlineLevel="0" collapsed="false">
      <c r="A28" s="4" t="s">
        <v>140</v>
      </c>
      <c r="B28" s="5" t="str">
        <f aca="false">Inputs!C$4</f>
        <v>FY27</v>
      </c>
      <c r="C28" s="5" t="str">
        <f aca="false">Inputs!D$4</f>
        <v>FY28</v>
      </c>
      <c r="D28" s="5" t="str">
        <f aca="false">Inputs!E$4</f>
        <v>FY29</v>
      </c>
      <c r="E28" s="5" t="str">
        <f aca="false">Inputs!F$4</f>
        <v>FY30</v>
      </c>
      <c r="F28" s="5" t="str">
        <f aca="false">Inputs!G$4</f>
        <v>FY31</v>
      </c>
    </row>
    <row r="29" customFormat="false" ht="15" hidden="false" customHeight="false" outlineLevel="0" collapsed="false">
      <c r="A29" s="6" t="s">
        <v>141</v>
      </c>
      <c r="B29" s="22" t="n">
        <v>8958.56</v>
      </c>
      <c r="C29" s="11" t="n">
        <f aca="false">B29*(1+Inputs!D$9)</f>
        <v>9406.488</v>
      </c>
      <c r="D29" s="11" t="n">
        <f aca="false">C29*(1+Inputs!E$9)</f>
        <v>9829.77996</v>
      </c>
      <c r="E29" s="11" t="n">
        <f aca="false">D29*(1+Inputs!F$9)</f>
        <v>10272.1200582</v>
      </c>
      <c r="F29" s="11" t="n">
        <f aca="false">E29*(1+Inputs!G$9)</f>
        <v>10683.004860528</v>
      </c>
    </row>
    <row r="30" customFormat="false" ht="15" hidden="false" customHeight="false" outlineLevel="0" collapsed="false">
      <c r="A30" s="6" t="s">
        <v>163</v>
      </c>
      <c r="B30" s="22" t="n">
        <v>5400</v>
      </c>
      <c r="C30" s="11" t="n">
        <f aca="false">B30*(1+Inputs!D$9)</f>
        <v>5670</v>
      </c>
      <c r="D30" s="11" t="n">
        <f aca="false">C30*(1+Inputs!E$9)</f>
        <v>5925.15</v>
      </c>
      <c r="E30" s="11" t="n">
        <f aca="false">D30*(1+Inputs!F$9)</f>
        <v>6191.78175</v>
      </c>
      <c r="F30" s="11" t="n">
        <f aca="false">E30*(1+Inputs!G$9)</f>
        <v>6439.45302</v>
      </c>
    </row>
    <row r="31" customFormat="false" ht="15" hidden="false" customHeight="false" outlineLevel="0" collapsed="false">
      <c r="A31" s="6" t="s">
        <v>143</v>
      </c>
      <c r="B31" s="22" t="n">
        <v>10510.24</v>
      </c>
      <c r="C31" s="11" t="n">
        <f aca="false">B31*(1+Inputs!D$9)</f>
        <v>11035.752</v>
      </c>
      <c r="D31" s="11" t="n">
        <f aca="false">C31*(1+Inputs!E$9)</f>
        <v>11532.36084</v>
      </c>
      <c r="E31" s="11" t="n">
        <f aca="false">D31*(1+Inputs!F$9)</f>
        <v>12051.3170778</v>
      </c>
      <c r="F31" s="11" t="n">
        <f aca="false">E31*(1+Inputs!G$9)</f>
        <v>12533.369760912</v>
      </c>
    </row>
    <row r="32" customFormat="false" ht="15" hidden="false" customHeight="false" outlineLevel="0" collapsed="false">
      <c r="A32" s="6" t="s">
        <v>144</v>
      </c>
      <c r="B32" s="22" t="n">
        <v>13198.64</v>
      </c>
      <c r="C32" s="11" t="n">
        <f aca="false">B32*(1+Inputs!D$9)</f>
        <v>13858.572</v>
      </c>
      <c r="D32" s="11" t="n">
        <f aca="false">C32*(1+Inputs!E$9)</f>
        <v>14482.20774</v>
      </c>
      <c r="E32" s="11" t="n">
        <f aca="false">D32*(1+Inputs!F$9)</f>
        <v>15133.9070883</v>
      </c>
      <c r="F32" s="11" t="n">
        <f aca="false">E32*(1+Inputs!G$9)</f>
        <v>15739.263371832</v>
      </c>
    </row>
    <row r="33" customFormat="false" ht="15" hidden="false" customHeight="false" outlineLevel="0" collapsed="false">
      <c r="A33" s="6" t="s">
        <v>145</v>
      </c>
      <c r="B33" s="22" t="n">
        <v>15895.36</v>
      </c>
      <c r="C33" s="11" t="n">
        <f aca="false">B33*(1+Inputs!D$9)</f>
        <v>16690.128</v>
      </c>
      <c r="D33" s="11" t="n">
        <f aca="false">C33*(1+Inputs!E$9)</f>
        <v>17441.18376</v>
      </c>
      <c r="E33" s="11" t="n">
        <f aca="false">D33*(1+Inputs!F$9)</f>
        <v>18226.0370292</v>
      </c>
      <c r="F33" s="11" t="n">
        <f aca="false">E33*(1+Inputs!G$9)</f>
        <v>18955.078510368</v>
      </c>
    </row>
    <row r="34" customFormat="false" ht="15" hidden="false" customHeight="false" outlineLevel="0" collapsed="false">
      <c r="A34" s="6" t="s">
        <v>146</v>
      </c>
      <c r="B34" s="22" t="n">
        <v>15895.36</v>
      </c>
      <c r="C34" s="11" t="n">
        <f aca="false">B34*(1+Inputs!D$9)</f>
        <v>16690.128</v>
      </c>
      <c r="D34" s="11" t="n">
        <f aca="false">C34*(1+Inputs!E$9)</f>
        <v>17441.18376</v>
      </c>
      <c r="E34" s="11" t="n">
        <f aca="false">D34*(1+Inputs!F$9)</f>
        <v>18226.0370292</v>
      </c>
      <c r="F34" s="11" t="n">
        <f aca="false">E34*(1+Inputs!G$9)</f>
        <v>18955.078510368</v>
      </c>
    </row>
    <row r="35" customFormat="false" ht="15" hidden="false" customHeight="false" outlineLevel="0" collapsed="false">
      <c r="A35" s="6" t="s">
        <v>147</v>
      </c>
      <c r="B35" s="22" t="n">
        <v>15895.36</v>
      </c>
      <c r="C35" s="11" t="n">
        <f aca="false">B35*(1+Inputs!D$9)</f>
        <v>16690.128</v>
      </c>
      <c r="D35" s="11" t="n">
        <f aca="false">C35*(1+Inputs!E$9)</f>
        <v>17441.18376</v>
      </c>
      <c r="E35" s="11" t="n">
        <f aca="false">D35*(1+Inputs!F$9)</f>
        <v>18226.0370292</v>
      </c>
      <c r="F35" s="11" t="n">
        <f aca="false">E35*(1+Inputs!G$9)</f>
        <v>18955.078510368</v>
      </c>
    </row>
    <row r="36" customFormat="false" ht="15" hidden="false" customHeight="false" outlineLevel="0" collapsed="false">
      <c r="A36" s="6" t="s">
        <v>148</v>
      </c>
      <c r="B36" s="22" t="n">
        <v>16672.24</v>
      </c>
      <c r="C36" s="11" t="n">
        <f aca="false">B36*(1+Inputs!D$9)</f>
        <v>17505.852</v>
      </c>
      <c r="D36" s="11" t="n">
        <f aca="false">C36*(1+Inputs!E$9)</f>
        <v>18293.61534</v>
      </c>
      <c r="E36" s="11" t="n">
        <f aca="false">D36*(1+Inputs!F$9)</f>
        <v>19116.8280303</v>
      </c>
      <c r="F36" s="11" t="n">
        <f aca="false">E36*(1+Inputs!G$9)</f>
        <v>19881.501151512</v>
      </c>
    </row>
    <row r="37" customFormat="false" ht="15" hidden="false" customHeight="false" outlineLevel="0" collapsed="false">
      <c r="A37" s="6" t="s">
        <v>149</v>
      </c>
      <c r="B37" s="22" t="n">
        <v>16672.24</v>
      </c>
      <c r="C37" s="11" t="n">
        <f aca="false">B37*(1+Inputs!D$9)</f>
        <v>17505.852</v>
      </c>
      <c r="D37" s="11" t="n">
        <f aca="false">C37*(1+Inputs!E$9)</f>
        <v>18293.61534</v>
      </c>
      <c r="E37" s="11" t="n">
        <f aca="false">D37*(1+Inputs!F$9)</f>
        <v>19116.8280303</v>
      </c>
      <c r="F37" s="11" t="n">
        <f aca="false">E37*(1+Inputs!G$9)</f>
        <v>19881.501151512</v>
      </c>
    </row>
    <row r="38" customFormat="false" ht="15" hidden="false" customHeight="false" outlineLevel="0" collapsed="false">
      <c r="A38" s="6" t="s">
        <v>150</v>
      </c>
      <c r="B38" s="22" t="n">
        <v>17899.44</v>
      </c>
      <c r="C38" s="11" t="n">
        <f aca="false">B38*(1+Inputs!D$9)</f>
        <v>18794.412</v>
      </c>
      <c r="D38" s="11" t="n">
        <f aca="false">C38*(1+Inputs!E$9)</f>
        <v>19640.16054</v>
      </c>
      <c r="E38" s="11" t="n">
        <f aca="false">D38*(1+Inputs!F$9)</f>
        <v>20523.9677643</v>
      </c>
      <c r="F38" s="11" t="n">
        <f aca="false">E38*(1+Inputs!G$9)</f>
        <v>21344.926474872</v>
      </c>
    </row>
    <row r="39" customFormat="false" ht="15" hidden="false" customHeight="false" outlineLevel="0" collapsed="false">
      <c r="A39" s="6" t="s">
        <v>151</v>
      </c>
      <c r="B39" s="22" t="n">
        <v>17899.44</v>
      </c>
      <c r="C39" s="11" t="n">
        <f aca="false">B39*(1+Inputs!D$9)</f>
        <v>18794.412</v>
      </c>
      <c r="D39" s="11" t="n">
        <f aca="false">C39*(1+Inputs!E$9)</f>
        <v>19640.16054</v>
      </c>
      <c r="E39" s="11" t="n">
        <f aca="false">D39*(1+Inputs!F$9)</f>
        <v>20523.9677643</v>
      </c>
      <c r="F39" s="11" t="n">
        <f aca="false">E39*(1+Inputs!G$9)</f>
        <v>21344.926474872</v>
      </c>
    </row>
    <row r="40" customFormat="false" ht="15" hidden="false" customHeight="false" outlineLevel="0" collapsed="false">
      <c r="A40" s="6" t="s">
        <v>152</v>
      </c>
      <c r="B40" s="22" t="n">
        <v>17899.44</v>
      </c>
      <c r="C40" s="11" t="n">
        <f aca="false">B40*(1+Inputs!D$9)</f>
        <v>18794.412</v>
      </c>
      <c r="D40" s="11" t="n">
        <f aca="false">C40*(1+Inputs!E$9)</f>
        <v>19640.16054</v>
      </c>
      <c r="E40" s="11" t="n">
        <f aca="false">D40*(1+Inputs!F$9)</f>
        <v>20523.9677643</v>
      </c>
      <c r="F40" s="11" t="n">
        <f aca="false">E40*(1+Inputs!G$9)</f>
        <v>21344.926474872</v>
      </c>
    </row>
    <row r="41" customFormat="false" ht="15" hidden="false" customHeight="false" outlineLevel="0" collapsed="false">
      <c r="A41" s="6" t="s">
        <v>153</v>
      </c>
      <c r="B41" s="22" t="n">
        <v>18075.2</v>
      </c>
      <c r="C41" s="11" t="n">
        <f aca="false">B41*(1+Inputs!D$9)</f>
        <v>18978.96</v>
      </c>
      <c r="D41" s="11" t="n">
        <f aca="false">C41*(1+Inputs!E$9)</f>
        <v>19833.0132</v>
      </c>
      <c r="E41" s="11" t="n">
        <f aca="false">D41*(1+Inputs!F$9)</f>
        <v>20725.498794</v>
      </c>
      <c r="F41" s="11" t="n">
        <f aca="false">E41*(1+Inputs!G$9)</f>
        <v>21554.51874576</v>
      </c>
    </row>
    <row r="42" customFormat="false" ht="15" hidden="false" customHeight="false" outlineLevel="0" collapsed="false">
      <c r="A42" s="6" t="s">
        <v>154</v>
      </c>
      <c r="B42" s="22" t="n">
        <v>18075.2</v>
      </c>
      <c r="C42" s="11" t="n">
        <f aca="false">B42*(1+Inputs!D$9)</f>
        <v>18978.96</v>
      </c>
      <c r="D42" s="11" t="n">
        <f aca="false">C42*(1+Inputs!E$9)</f>
        <v>19833.0132</v>
      </c>
      <c r="E42" s="11" t="n">
        <f aca="false">D42*(1+Inputs!F$9)</f>
        <v>20725.498794</v>
      </c>
      <c r="F42" s="11" t="n">
        <f aca="false">E42*(1+Inputs!G$9)</f>
        <v>21554.51874576</v>
      </c>
    </row>
    <row r="43" customFormat="false" ht="15" hidden="false" customHeight="false" outlineLevel="0" collapsed="false">
      <c r="A43" s="6" t="s">
        <v>155</v>
      </c>
      <c r="B43" s="22" t="n">
        <v>18075.2</v>
      </c>
      <c r="C43" s="11" t="n">
        <f aca="false">B43*(1+Inputs!D$9)</f>
        <v>18978.96</v>
      </c>
      <c r="D43" s="11" t="n">
        <f aca="false">C43*(1+Inputs!E$9)</f>
        <v>19833.0132</v>
      </c>
      <c r="E43" s="11" t="n">
        <f aca="false">D43*(1+Inputs!F$9)</f>
        <v>20725.498794</v>
      </c>
      <c r="F43" s="11" t="n">
        <f aca="false">E43*(1+Inputs!G$9)</f>
        <v>21554.51874576</v>
      </c>
    </row>
    <row r="44" customFormat="false" ht="15" hidden="false" customHeight="false" outlineLevel="0" collapsed="false">
      <c r="A44" s="6" t="s">
        <v>156</v>
      </c>
      <c r="B44" s="22" t="n">
        <v>18075.2</v>
      </c>
      <c r="C44" s="11" t="n">
        <f aca="false">B44*(1+Inputs!D$9)</f>
        <v>18978.96</v>
      </c>
      <c r="D44" s="11" t="n">
        <f aca="false">C44*(1+Inputs!E$9)</f>
        <v>19833.0132</v>
      </c>
      <c r="E44" s="11" t="n">
        <f aca="false">D44*(1+Inputs!F$9)</f>
        <v>20725.498794</v>
      </c>
      <c r="F44" s="11" t="n">
        <f aca="false">E44*(1+Inputs!G$9)</f>
        <v>21554.51874576</v>
      </c>
    </row>
    <row r="47" customFormat="false" ht="15" hidden="false" customHeight="false" outlineLevel="0" collapsed="false">
      <c r="A47" s="12" t="s">
        <v>164</v>
      </c>
    </row>
    <row r="48" customFormat="false" ht="39.75" hidden="false" customHeight="true" outlineLevel="0" collapsed="false">
      <c r="A48" s="4" t="s">
        <v>140</v>
      </c>
      <c r="B48" s="5" t="s">
        <v>165</v>
      </c>
      <c r="C48" s="5" t="str">
        <f aca="false">"New students "&amp;Inputs!D$4</f>
        <v>New students FY28</v>
      </c>
      <c r="D48" s="5" t="str">
        <f aca="false">"New students "&amp;Inputs!E$4</f>
        <v>New students FY29</v>
      </c>
      <c r="E48" s="5" t="str">
        <f aca="false">"New students "&amp;Inputs!F$4</f>
        <v>New students FY30</v>
      </c>
      <c r="F48" s="5" t="str">
        <f aca="false">"New students "&amp;Inputs!G$4</f>
        <v>New students FY31</v>
      </c>
    </row>
    <row r="49" customFormat="false" ht="15" hidden="false" customHeight="false" outlineLevel="0" collapsed="false">
      <c r="A49" s="6" t="s">
        <v>141</v>
      </c>
      <c r="B49" s="28" t="s">
        <v>166</v>
      </c>
      <c r="C49" s="21" t="n">
        <v>20</v>
      </c>
      <c r="D49" s="21" t="n">
        <v>20</v>
      </c>
      <c r="E49" s="21" t="n">
        <v>20</v>
      </c>
      <c r="F49" s="21" t="n">
        <v>20</v>
      </c>
    </row>
    <row r="50" customFormat="false" ht="15" hidden="false" customHeight="false" outlineLevel="0" collapsed="false">
      <c r="A50" s="6" t="s">
        <v>142</v>
      </c>
      <c r="B50" s="28" t="s">
        <v>166</v>
      </c>
      <c r="C50" s="21" t="n">
        <v>4</v>
      </c>
      <c r="D50" s="21" t="n">
        <v>4</v>
      </c>
      <c r="E50" s="21" t="n">
        <v>4</v>
      </c>
      <c r="F50" s="21" t="n">
        <v>4</v>
      </c>
    </row>
    <row r="51" customFormat="false" ht="15" hidden="false" customHeight="false" outlineLevel="0" collapsed="false">
      <c r="A51" s="6" t="s">
        <v>143</v>
      </c>
      <c r="B51" s="19" t="n">
        <v>0.96</v>
      </c>
      <c r="C51" s="21" t="n">
        <v>13</v>
      </c>
      <c r="D51" s="21" t="n">
        <v>13</v>
      </c>
      <c r="E51" s="21" t="n">
        <v>13</v>
      </c>
      <c r="F51" s="21" t="n">
        <v>13</v>
      </c>
    </row>
    <row r="52" customFormat="false" ht="15" hidden="false" customHeight="false" outlineLevel="0" collapsed="false">
      <c r="A52" s="6" t="s">
        <v>144</v>
      </c>
      <c r="B52" s="19" t="n">
        <v>0.96</v>
      </c>
      <c r="C52" s="21" t="n">
        <v>3</v>
      </c>
      <c r="D52" s="21" t="n">
        <v>3</v>
      </c>
      <c r="E52" s="21" t="n">
        <v>3</v>
      </c>
      <c r="F52" s="21" t="n">
        <v>3</v>
      </c>
    </row>
    <row r="53" customFormat="false" ht="15" hidden="false" customHeight="false" outlineLevel="0" collapsed="false">
      <c r="A53" s="6" t="s">
        <v>145</v>
      </c>
      <c r="B53" s="19" t="n">
        <v>0.96</v>
      </c>
      <c r="C53" s="21" t="n">
        <v>2</v>
      </c>
      <c r="D53" s="21" t="n">
        <v>2</v>
      </c>
      <c r="E53" s="21" t="n">
        <v>2</v>
      </c>
      <c r="F53" s="21" t="n">
        <v>2</v>
      </c>
    </row>
    <row r="54" customFormat="false" ht="15" hidden="false" customHeight="false" outlineLevel="0" collapsed="false">
      <c r="A54" s="6" t="s">
        <v>146</v>
      </c>
      <c r="B54" s="19" t="n">
        <v>0.96</v>
      </c>
      <c r="C54" s="21" t="n">
        <v>1</v>
      </c>
      <c r="D54" s="21" t="n">
        <v>1</v>
      </c>
      <c r="E54" s="21" t="n">
        <v>1</v>
      </c>
      <c r="F54" s="21" t="n">
        <v>1</v>
      </c>
    </row>
    <row r="55" customFormat="false" ht="15" hidden="false" customHeight="false" outlineLevel="0" collapsed="false">
      <c r="A55" s="6" t="s">
        <v>147</v>
      </c>
      <c r="B55" s="19" t="n">
        <v>0.96</v>
      </c>
      <c r="C55" s="21" t="n">
        <v>1</v>
      </c>
      <c r="D55" s="21" t="n">
        <v>1</v>
      </c>
      <c r="E55" s="21" t="n">
        <v>1</v>
      </c>
      <c r="F55" s="21" t="n">
        <v>1</v>
      </c>
    </row>
    <row r="56" customFormat="false" ht="15" hidden="false" customHeight="false" outlineLevel="0" collapsed="false">
      <c r="A56" s="6" t="s">
        <v>148</v>
      </c>
      <c r="B56" s="19" t="n">
        <v>0.96</v>
      </c>
      <c r="C56" s="21" t="n">
        <v>1</v>
      </c>
      <c r="D56" s="21" t="n">
        <v>1</v>
      </c>
      <c r="E56" s="21" t="n">
        <v>1</v>
      </c>
      <c r="F56" s="21" t="n">
        <v>1</v>
      </c>
    </row>
    <row r="57" customFormat="false" ht="15" hidden="false" customHeight="false" outlineLevel="0" collapsed="false">
      <c r="A57" s="6" t="s">
        <v>149</v>
      </c>
      <c r="B57" s="19" t="n">
        <v>0.96</v>
      </c>
      <c r="C57" s="21" t="n">
        <v>1</v>
      </c>
      <c r="D57" s="21" t="n">
        <v>1</v>
      </c>
      <c r="E57" s="21" t="n">
        <v>1</v>
      </c>
      <c r="F57" s="21" t="n">
        <v>1</v>
      </c>
    </row>
    <row r="58" customFormat="false" ht="15" hidden="false" customHeight="false" outlineLevel="0" collapsed="false">
      <c r="A58" s="6" t="s">
        <v>150</v>
      </c>
      <c r="B58" s="19" t="n">
        <v>0.96</v>
      </c>
      <c r="C58" s="21" t="n">
        <v>4</v>
      </c>
      <c r="D58" s="21" t="n">
        <v>4</v>
      </c>
      <c r="E58" s="21" t="n">
        <v>4</v>
      </c>
      <c r="F58" s="21" t="n">
        <v>4</v>
      </c>
    </row>
    <row r="59" customFormat="false" ht="15" hidden="false" customHeight="false" outlineLevel="0" collapsed="false">
      <c r="A59" s="6" t="s">
        <v>151</v>
      </c>
      <c r="B59" s="19" t="n">
        <v>0.96</v>
      </c>
      <c r="C59" s="21" t="n">
        <v>2</v>
      </c>
      <c r="D59" s="21" t="n">
        <v>2</v>
      </c>
      <c r="E59" s="21" t="n">
        <v>2</v>
      </c>
      <c r="F59" s="21" t="n">
        <v>2</v>
      </c>
    </row>
    <row r="60" customFormat="false" ht="15" hidden="false" customHeight="false" outlineLevel="0" collapsed="false">
      <c r="A60" s="6" t="s">
        <v>152</v>
      </c>
      <c r="B60" s="19" t="n">
        <v>0.96</v>
      </c>
      <c r="C60" s="21" t="n">
        <v>2</v>
      </c>
      <c r="D60" s="21" t="n">
        <v>2</v>
      </c>
      <c r="E60" s="21" t="n">
        <v>2</v>
      </c>
      <c r="F60" s="21" t="n">
        <v>2</v>
      </c>
    </row>
    <row r="61" customFormat="false" ht="15" hidden="false" customHeight="false" outlineLevel="0" collapsed="false">
      <c r="A61" s="6" t="s">
        <v>153</v>
      </c>
      <c r="B61" s="19" t="n">
        <v>0.96</v>
      </c>
      <c r="C61" s="21" t="n">
        <v>4</v>
      </c>
      <c r="D61" s="21" t="n">
        <v>4</v>
      </c>
      <c r="E61" s="21" t="n">
        <v>4</v>
      </c>
      <c r="F61" s="21" t="n">
        <v>4</v>
      </c>
    </row>
    <row r="62" customFormat="false" ht="15" hidden="false" customHeight="false" outlineLevel="0" collapsed="false">
      <c r="A62" s="6" t="s">
        <v>154</v>
      </c>
      <c r="B62" s="19" t="n">
        <v>0.96</v>
      </c>
      <c r="C62" s="21" t="n">
        <v>1</v>
      </c>
      <c r="D62" s="21" t="n">
        <v>1</v>
      </c>
      <c r="E62" s="21" t="n">
        <v>1</v>
      </c>
      <c r="F62" s="21" t="n">
        <v>1</v>
      </c>
    </row>
    <row r="63" customFormat="false" ht="15" hidden="false" customHeight="false" outlineLevel="0" collapsed="false">
      <c r="A63" s="6" t="s">
        <v>155</v>
      </c>
      <c r="B63" s="19" t="n">
        <v>0.96</v>
      </c>
      <c r="C63" s="21" t="n">
        <v>1</v>
      </c>
      <c r="D63" s="21" t="n">
        <v>1</v>
      </c>
      <c r="E63" s="21" t="n">
        <v>1</v>
      </c>
      <c r="F63" s="21" t="n">
        <v>1</v>
      </c>
    </row>
    <row r="64" customFormat="false" ht="15" hidden="false" customHeight="false" outlineLevel="0" collapsed="false">
      <c r="A64" s="6" t="s">
        <v>156</v>
      </c>
      <c r="B64" s="19" t="n">
        <v>0.96</v>
      </c>
      <c r="C64" s="21" t="n">
        <v>0</v>
      </c>
      <c r="D64" s="21" t="n">
        <v>0</v>
      </c>
      <c r="E64" s="21" t="n">
        <v>0</v>
      </c>
      <c r="F64" s="21" t="n">
        <v>0</v>
      </c>
    </row>
    <row r="66" customFormat="false" ht="15" hidden="false" customHeight="false" outlineLevel="0" collapsed="false">
      <c r="A66" s="3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15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3" t="s">
        <v>169</v>
      </c>
    </row>
    <row r="4" customFormat="false" ht="15" hidden="false" customHeight="false" outlineLevel="0" collapsed="false">
      <c r="D4" s="12" t="s">
        <v>157</v>
      </c>
      <c r="G4" s="7" t="n">
        <f aca="false">Enrollment!B21</f>
        <v>582</v>
      </c>
      <c r="H4" s="7" t="n">
        <f aca="false">Enrollment!C21</f>
        <v>591</v>
      </c>
      <c r="I4" s="7" t="n">
        <f aca="false">Enrollment!D21</f>
        <v>588</v>
      </c>
      <c r="J4" s="7" t="n">
        <f aca="false">Enrollment!E21</f>
        <v>583</v>
      </c>
      <c r="K4" s="7" t="n">
        <f aca="false">Enrollment!F21</f>
        <v>579</v>
      </c>
    </row>
    <row r="5" customFormat="false" ht="15" hidden="false" customHeight="false" outlineLevel="0" collapsed="false">
      <c r="D5" s="12" t="s">
        <v>170</v>
      </c>
      <c r="G5" s="29" t="n">
        <f aca="false">Enrollment!B24</f>
        <v>1</v>
      </c>
      <c r="H5" s="29" t="n">
        <f aca="false">Enrollment!C24</f>
        <v>1.0754776268461</v>
      </c>
      <c r="I5" s="29" t="n">
        <f aca="false">Enrollment!D24</f>
        <v>1.12003569058379</v>
      </c>
      <c r="J5" s="29" t="n">
        <f aca="false">Enrollment!E24</f>
        <v>1.16005511243256</v>
      </c>
      <c r="K5" s="29" t="n">
        <f aca="false">Enrollment!F24</f>
        <v>1.19918719690515</v>
      </c>
    </row>
    <row r="6" customFormat="false" ht="15" hidden="false" customHeight="false" outlineLevel="0" collapsed="false">
      <c r="D6" s="12" t="s">
        <v>171</v>
      </c>
      <c r="G6" s="11" t="n">
        <f aca="false">SUMIF($E$8:$E$400,"Salary",G$8:G$400)</f>
        <v>5098000</v>
      </c>
      <c r="H6" s="11" t="n">
        <f aca="false">G6*(1+Inputs!D$10)</f>
        <v>5250940</v>
      </c>
      <c r="I6" s="11" t="n">
        <f aca="false">H6*(1+Inputs!E$10)</f>
        <v>5408468.2</v>
      </c>
      <c r="J6" s="11" t="n">
        <f aca="false">I6*(1+Inputs!F$10)</f>
        <v>5570722.246</v>
      </c>
      <c r="K6" s="11" t="n">
        <f aca="false">J6*(1+Inputs!G$10)</f>
        <v>5737843.91338</v>
      </c>
    </row>
    <row r="7" customFormat="false" ht="30" hidden="false" customHeight="true" outlineLevel="0" collapsed="false">
      <c r="A7" s="4" t="s">
        <v>66</v>
      </c>
      <c r="B7" s="5" t="s">
        <v>172</v>
      </c>
      <c r="C7" s="5" t="s">
        <v>173</v>
      </c>
      <c r="D7" s="5" t="s">
        <v>174</v>
      </c>
      <c r="E7" s="5" t="s">
        <v>175</v>
      </c>
      <c r="F7" s="5" t="s">
        <v>176</v>
      </c>
      <c r="G7" s="5" t="str">
        <f aca="false">Inputs!C$4</f>
        <v>FY27</v>
      </c>
      <c r="H7" s="5" t="str">
        <f aca="false">Inputs!D$4</f>
        <v>FY28</v>
      </c>
      <c r="I7" s="5" t="str">
        <f aca="false">Inputs!E$4</f>
        <v>FY29</v>
      </c>
      <c r="J7" s="5" t="str">
        <f aca="false">Inputs!F$4</f>
        <v>FY30</v>
      </c>
      <c r="K7" s="5" t="str">
        <f aca="false">Inputs!G$4</f>
        <v>FY31</v>
      </c>
      <c r="L7" s="5" t="str">
        <f aca="false">"Manual "&amp;Inputs!D$4</f>
        <v>Manual FY28</v>
      </c>
      <c r="M7" s="5" t="str">
        <f aca="false">"Manual "&amp;Inputs!E$4</f>
        <v>Manual FY29</v>
      </c>
      <c r="N7" s="5" t="str">
        <f aca="false">"Manual "&amp;Inputs!F$4</f>
        <v>Manual FY30</v>
      </c>
      <c r="O7" s="5" t="str">
        <f aca="false">"Manual "&amp;Inputs!G$4</f>
        <v>Manual FY31</v>
      </c>
    </row>
    <row r="8" customFormat="false" ht="15" hidden="false" customHeight="false" outlineLevel="0" collapsed="false">
      <c r="A8" s="6" t="s">
        <v>177</v>
      </c>
      <c r="B8" s="6" t="s">
        <v>8</v>
      </c>
      <c r="C8" s="30" t="s">
        <v>178</v>
      </c>
      <c r="D8" s="6" t="s">
        <v>179</v>
      </c>
      <c r="E8" s="20" t="s">
        <v>180</v>
      </c>
      <c r="F8" s="20" t="s">
        <v>131</v>
      </c>
      <c r="G8" s="31" t="n">
        <f aca="false">SUMIFS('QB Import'!$B$1:$B$600,'QB Import'!$H$1:$H$600,$C8,'QB Import'!$G$1:$G$600,1)</f>
        <v>7858980</v>
      </c>
      <c r="H8" s="11" t="n">
        <f aca="false">IF($E8="Manual",L8,IF($E8="Flat",G8,IF($E8="Inflation",G8*(1+Inputs!D$12),IF($E8="Salary",G8*(1+Inputs!D$10),IF($E8="Benefits",G8*(1+Inputs!D$11),IF($E8="Per Student",G8*H$4/G$4*(1+Inputs!D$12),IF($E8="Enrollment",G8*H$4/G$4,IF($E8="Tuition Index",G8*H$5/G$5,IF($E8="% of Salaries",IF($G$6=0,0,$G8/$G$6*H$6),IF($E8="Debt",$G8*Inputs!D$15/12,IF($E8="Reserve Yield",Inputs!D$13*Inputs!D$16,G8)))))))))))</f>
        <v>8452157.15983095</v>
      </c>
      <c r="I8" s="11" t="n">
        <f aca="false">IF($E8="Manual",M8,IF($E8="Flat",H8,IF($E8="Inflation",H8*(1+Inputs!E$12),IF($E8="Salary",H8*(1+Inputs!E$10),IF($E8="Benefits",H8*(1+Inputs!E$11),IF($E8="Per Student",H8*I$4/H$4*(1+Inputs!E$12),IF($E8="Enrollment",H8*I$4/H$4,IF($E8="Tuition Index",H8*I$5/H$5,IF($E8="% of Salaries",IF($G$6=0,0,$G8/$G$6*I$6),IF($E8="Debt",$G8*Inputs!E$15/12,IF($E8="Reserve Yield",Inputs!E$13*Inputs!E$16,H8)))))))))))</f>
        <v>8802338.09158419</v>
      </c>
      <c r="J8" s="11" t="n">
        <f aca="false">IF($E8="Manual",N8,IF($E8="Flat",I8,IF($E8="Inflation",I8*(1+Inputs!F$12),IF($E8="Salary",I8*(1+Inputs!F$10),IF($E8="Benefits",I8*(1+Inputs!F$11),IF($E8="Per Student",I8*J$4/I$4*(1+Inputs!F$12),IF($E8="Enrollment",I8*J$4/I$4,IF($E8="Tuition Index",I8*J$5/I$5,IF($E8="% of Salaries",IF($G$6=0,0,$G8/$G$6*J$6),IF($E8="Debt",$G8*Inputs!F$15/12,IF($E8="Reserve Yield",Inputs!F$13*Inputs!F$16,I8)))))))))))</f>
        <v>9116849.92750523</v>
      </c>
      <c r="K8" s="11" t="n">
        <f aca="false">IF($E8="Manual",O8,IF($E8="Flat",J8,IF($E8="Inflation",J8*(1+Inputs!G$12),IF($E8="Salary",J8*(1+Inputs!G$10),IF($E8="Benefits",J8*(1+Inputs!G$11),IF($E8="Per Student",J8*K$4/J$4*(1+Inputs!G$12),IF($E8="Enrollment",J8*K$4/J$4,IF($E8="Tuition Index",J8*K$5/J$5,IF($E8="% of Salaries",IF($G$6=0,0,$G8/$G$6*K$6),IF($E8="Debt",$G8*Inputs!G$15/12,IF($E8="Reserve Yield",Inputs!G$13*Inputs!G$16,J8)))))))))))</f>
        <v>9424388.19673365</v>
      </c>
      <c r="L8" s="22"/>
      <c r="M8" s="22"/>
      <c r="N8" s="22"/>
      <c r="O8" s="22"/>
    </row>
    <row r="9" customFormat="false" ht="15" hidden="false" customHeight="false" outlineLevel="0" collapsed="false">
      <c r="A9" s="6" t="s">
        <v>177</v>
      </c>
      <c r="B9" s="6" t="s">
        <v>8</v>
      </c>
      <c r="C9" s="30" t="s">
        <v>181</v>
      </c>
      <c r="D9" s="6" t="s">
        <v>182</v>
      </c>
      <c r="E9" s="20" t="s">
        <v>183</v>
      </c>
      <c r="F9" s="20" t="s">
        <v>131</v>
      </c>
      <c r="G9" s="31" t="n">
        <f aca="false">SUMIFS('QB Import'!$B$1:$B$600,'QB Import'!$H$1:$H$600,$C9,'QB Import'!$G$1:$G$600,1)</f>
        <v>410000</v>
      </c>
      <c r="H9" s="11" t="n">
        <f aca="false">IF($E9="Manual",L9,IF($E9="Flat",G9,IF($E9="Inflation",G9*(1+Inputs!D$12),IF($E9="Salary",G9*(1+Inputs!D$10),IF($E9="Benefits",G9*(1+Inputs!D$11),IF($E9="Per Student",G9*H$4/G$4*(1+Inputs!D$12),IF($E9="Enrollment",G9*H$4/G$4,IF($E9="Tuition Index",G9*H$5/G$5,IF($E9="% of Salaries",IF($G$6=0,0,$G9/$G$6*H$6),IF($E9="Debt",$G9*Inputs!D$15/12,IF($E9="Reserve Yield",Inputs!D$13*Inputs!D$16,G9)))))))))))</f>
        <v>380000</v>
      </c>
      <c r="I9" s="11" t="n">
        <f aca="false">IF($E9="Manual",M9,IF($E9="Flat",H9,IF($E9="Inflation",H9*(1+Inputs!E$12),IF($E9="Salary",H9*(1+Inputs!E$10),IF($E9="Benefits",H9*(1+Inputs!E$11),IF($E9="Per Student",H9*I$4/H$4*(1+Inputs!E$12),IF($E9="Enrollment",H9*I$4/H$4,IF($E9="Tuition Index",H9*I$5/H$5,IF($E9="% of Salaries",IF($G$6=0,0,$G9/$G$6*I$6),IF($E9="Debt",$G9*Inputs!E$15/12,IF($E9="Reserve Yield",Inputs!E$13*Inputs!E$16,H9)))))))))))</f>
        <v>360000</v>
      </c>
      <c r="J9" s="11" t="n">
        <f aca="false">IF($E9="Manual",N9,IF($E9="Flat",I9,IF($E9="Inflation",I9*(1+Inputs!F$12),IF($E9="Salary",I9*(1+Inputs!F$10),IF($E9="Benefits",I9*(1+Inputs!F$11),IF($E9="Per Student",I9*J$4/I$4*(1+Inputs!F$12),IF($E9="Enrollment",I9*J$4/I$4,IF($E9="Tuition Index",I9*J$5/I$5,IF($E9="% of Salaries",IF($G$6=0,0,$G9/$G$6*J$6),IF($E9="Debt",$G9*Inputs!F$15/12,IF($E9="Reserve Yield",Inputs!F$13*Inputs!F$16,I9)))))))))))</f>
        <v>360000</v>
      </c>
      <c r="K9" s="11" t="n">
        <f aca="false">IF($E9="Manual",O9,IF($E9="Flat",J9,IF($E9="Inflation",J9*(1+Inputs!G$12),IF($E9="Salary",J9*(1+Inputs!G$10),IF($E9="Benefits",J9*(1+Inputs!G$11),IF($E9="Per Student",J9*K$4/J$4*(1+Inputs!G$12),IF($E9="Enrollment",J9*K$4/J$4,IF($E9="Tuition Index",J9*K$5/J$5,IF($E9="% of Salaries",IF($G$6=0,0,$G9/$G$6*K$6),IF($E9="Debt",$G9*Inputs!G$15/12,IF($E9="Reserve Yield",Inputs!G$13*Inputs!G$16,J9)))))))))))</f>
        <v>360000</v>
      </c>
      <c r="L9" s="22" t="n">
        <v>380000</v>
      </c>
      <c r="M9" s="22" t="n">
        <v>360000</v>
      </c>
      <c r="N9" s="22" t="n">
        <v>360000</v>
      </c>
      <c r="O9" s="22" t="n">
        <v>360000</v>
      </c>
    </row>
    <row r="10" customFormat="false" ht="15" hidden="false" customHeight="false" outlineLevel="0" collapsed="false">
      <c r="A10" s="6" t="s">
        <v>177</v>
      </c>
      <c r="B10" s="6" t="s">
        <v>8</v>
      </c>
      <c r="C10" s="30" t="s">
        <v>184</v>
      </c>
      <c r="D10" s="6" t="s">
        <v>185</v>
      </c>
      <c r="E10" s="20" t="s">
        <v>186</v>
      </c>
      <c r="F10" s="20" t="s">
        <v>131</v>
      </c>
      <c r="G10" s="31" t="n">
        <f aca="false">SUMIFS('QB Import'!$B$1:$B$600,'QB Import'!$H$1:$H$600,$C10,'QB Import'!$G$1:$G$600,1)</f>
        <v>616000</v>
      </c>
      <c r="H10" s="11" t="n">
        <f aca="false">IF($E10="Manual",L10,IF($E10="Flat",G10,IF($E10="Inflation",G10*(1+Inputs!D$12),IF($E10="Salary",G10*(1+Inputs!D$10),IF($E10="Benefits",G10*(1+Inputs!D$11),IF($E10="Per Student",G10*H$4/G$4*(1+Inputs!D$12),IF($E10="Enrollment",G10*H$4/G$4,IF($E10="Tuition Index",G10*H$5/G$5,IF($E10="% of Salaries",IF($G$6=0,0,$G10/$G$6*H$6),IF($E10="Debt",$G10*Inputs!D$15/12,IF($E10="Reserve Yield",Inputs!D$13*Inputs!D$16,G10)))))))))))</f>
        <v>616000</v>
      </c>
      <c r="I10" s="11" t="n">
        <f aca="false">IF($E10="Manual",M10,IF($E10="Flat",H10,IF($E10="Inflation",H10*(1+Inputs!E$12),IF($E10="Salary",H10*(1+Inputs!E$10),IF($E10="Benefits",H10*(1+Inputs!E$11),IF($E10="Per Student",H10*I$4/H$4*(1+Inputs!E$12),IF($E10="Enrollment",H10*I$4/H$4,IF($E10="Tuition Index",H10*I$5/H$5,IF($E10="% of Salaries",IF($G$6=0,0,$G10/$G$6*I$6),IF($E10="Debt",$G10*Inputs!E$15/12,IF($E10="Reserve Yield",Inputs!E$13*Inputs!E$16,H10)))))))))))</f>
        <v>616000</v>
      </c>
      <c r="J10" s="11" t="n">
        <f aca="false">IF($E10="Manual",N10,IF($E10="Flat",I10,IF($E10="Inflation",I10*(1+Inputs!F$12),IF($E10="Salary",I10*(1+Inputs!F$10),IF($E10="Benefits",I10*(1+Inputs!F$11),IF($E10="Per Student",I10*J$4/I$4*(1+Inputs!F$12),IF($E10="Enrollment",I10*J$4/I$4,IF($E10="Tuition Index",I10*J$5/I$5,IF($E10="% of Salaries",IF($G$6=0,0,$G10/$G$6*J$6),IF($E10="Debt",$G10*Inputs!F$15/12,IF($E10="Reserve Yield",Inputs!F$13*Inputs!F$16,I10)))))))))))</f>
        <v>616000</v>
      </c>
      <c r="K10" s="11" t="n">
        <f aca="false">IF($E10="Manual",O10,IF($E10="Flat",J10,IF($E10="Inflation",J10*(1+Inputs!G$12),IF($E10="Salary",J10*(1+Inputs!G$10),IF($E10="Benefits",J10*(1+Inputs!G$11),IF($E10="Per Student",J10*K$4/J$4*(1+Inputs!G$12),IF($E10="Enrollment",J10*K$4/J$4,IF($E10="Tuition Index",J10*K$5/J$5,IF($E10="% of Salaries",IF($G$6=0,0,$G10/$G$6*K$6),IF($E10="Debt",$G10*Inputs!G$15/12,IF($E10="Reserve Yield",Inputs!G$13*Inputs!G$16,J10)))))))))))</f>
        <v>616000</v>
      </c>
      <c r="L10" s="22"/>
      <c r="M10" s="22"/>
      <c r="N10" s="22"/>
      <c r="O10" s="22"/>
    </row>
    <row r="11" customFormat="false" ht="15" hidden="false" customHeight="false" outlineLevel="0" collapsed="false">
      <c r="A11" s="6" t="s">
        <v>177</v>
      </c>
      <c r="B11" s="6" t="s">
        <v>8</v>
      </c>
      <c r="C11" s="30" t="s">
        <v>187</v>
      </c>
      <c r="D11" s="6" t="s">
        <v>188</v>
      </c>
      <c r="E11" s="20" t="s">
        <v>186</v>
      </c>
      <c r="F11" s="20" t="s">
        <v>131</v>
      </c>
      <c r="G11" s="31" t="n">
        <f aca="false">SUMIFS('QB Import'!$B$1:$B$600,'QB Import'!$H$1:$H$600,$C11,'QB Import'!$G$1:$G$600,1)</f>
        <v>0</v>
      </c>
      <c r="H11" s="11" t="n">
        <f aca="false">IF($E11="Manual",L11,IF($E11="Flat",G11,IF($E11="Inflation",G11*(1+Inputs!D$12),IF($E11="Salary",G11*(1+Inputs!D$10),IF($E11="Benefits",G11*(1+Inputs!D$11),IF($E11="Per Student",G11*H$4/G$4*(1+Inputs!D$12),IF($E11="Enrollment",G11*H$4/G$4,IF($E11="Tuition Index",G11*H$5/G$5,IF($E11="% of Salaries",IF($G$6=0,0,$G11/$G$6*H$6),IF($E11="Debt",$G11*Inputs!D$15/12,IF($E11="Reserve Yield",Inputs!D$13*Inputs!D$16,G11)))))))))))</f>
        <v>0</v>
      </c>
      <c r="I11" s="11" t="n">
        <f aca="false">IF($E11="Manual",M11,IF($E11="Flat",H11,IF($E11="Inflation",H11*(1+Inputs!E$12),IF($E11="Salary",H11*(1+Inputs!E$10),IF($E11="Benefits",H11*(1+Inputs!E$11),IF($E11="Per Student",H11*I$4/H$4*(1+Inputs!E$12),IF($E11="Enrollment",H11*I$4/H$4,IF($E11="Tuition Index",H11*I$5/H$5,IF($E11="% of Salaries",IF($G$6=0,0,$G11/$G$6*I$6),IF($E11="Debt",$G11*Inputs!E$15/12,IF($E11="Reserve Yield",Inputs!E$13*Inputs!E$16,H11)))))))))))</f>
        <v>0</v>
      </c>
      <c r="J11" s="11" t="n">
        <f aca="false">IF($E11="Manual",N11,IF($E11="Flat",I11,IF($E11="Inflation",I11*(1+Inputs!F$12),IF($E11="Salary",I11*(1+Inputs!F$10),IF($E11="Benefits",I11*(1+Inputs!F$11),IF($E11="Per Student",I11*J$4/I$4*(1+Inputs!F$12),IF($E11="Enrollment",I11*J$4/I$4,IF($E11="Tuition Index",I11*J$5/I$5,IF($E11="% of Salaries",IF($G$6=0,0,$G11/$G$6*J$6),IF($E11="Debt",$G11*Inputs!F$15/12,IF($E11="Reserve Yield",Inputs!F$13*Inputs!F$16,I11)))))))))))</f>
        <v>0</v>
      </c>
      <c r="K11" s="11" t="n">
        <f aca="false">IF($E11="Manual",O11,IF($E11="Flat",J11,IF($E11="Inflation",J11*(1+Inputs!G$12),IF($E11="Salary",J11*(1+Inputs!G$10),IF($E11="Benefits",J11*(1+Inputs!G$11),IF($E11="Per Student",J11*K$4/J$4*(1+Inputs!G$12),IF($E11="Enrollment",J11*K$4/J$4,IF($E11="Tuition Index",J11*K$5/J$5,IF($E11="% of Salaries",IF($G$6=0,0,$G11/$G$6*K$6),IF($E11="Debt",$G11*Inputs!G$15/12,IF($E11="Reserve Yield",Inputs!G$13*Inputs!G$16,J11)))))))))))</f>
        <v>0</v>
      </c>
      <c r="L11" s="22"/>
      <c r="M11" s="22"/>
      <c r="N11" s="22"/>
      <c r="O11" s="22"/>
    </row>
    <row r="12" customFormat="false" ht="15" hidden="false" customHeight="false" outlineLevel="0" collapsed="false">
      <c r="A12" s="6" t="s">
        <v>177</v>
      </c>
      <c r="B12" s="6" t="s">
        <v>8</v>
      </c>
      <c r="C12" s="30" t="s">
        <v>189</v>
      </c>
      <c r="D12" s="6" t="s">
        <v>190</v>
      </c>
      <c r="E12" s="20" t="s">
        <v>183</v>
      </c>
      <c r="F12" s="20" t="s">
        <v>133</v>
      </c>
      <c r="G12" s="31" t="n">
        <f aca="false">SUMIFS('QB Import'!$B$1:$B$600,'QB Import'!$H$1:$H$600,$C12,'QB Import'!$G$1:$G$600,1)</f>
        <v>35000</v>
      </c>
      <c r="H12" s="11" t="n">
        <f aca="false">IF($E12="Manual",L12,IF($E12="Flat",G12,IF($E12="Inflation",G12*(1+Inputs!D$12),IF($E12="Salary",G12*(1+Inputs!D$10),IF($E12="Benefits",G12*(1+Inputs!D$11),IF($E12="Per Student",G12*H$4/G$4*(1+Inputs!D$12),IF($E12="Enrollment",G12*H$4/G$4,IF($E12="Tuition Index",G12*H$5/G$5,IF($E12="% of Salaries",IF($G$6=0,0,$G12/$G$6*H$6),IF($E12="Debt",$G12*Inputs!D$15/12,IF($E12="Reserve Yield",Inputs!D$13*Inputs!D$16,G12)))))))))))</f>
        <v>0</v>
      </c>
      <c r="I12" s="11" t="n">
        <f aca="false">IF($E12="Manual",M12,IF($E12="Flat",H12,IF($E12="Inflation",H12*(1+Inputs!E$12),IF($E12="Salary",H12*(1+Inputs!E$10),IF($E12="Benefits",H12*(1+Inputs!E$11),IF($E12="Per Student",H12*I$4/H$4*(1+Inputs!E$12),IF($E12="Enrollment",H12*I$4/H$4,IF($E12="Tuition Index",H12*I$5/H$5,IF($E12="% of Salaries",IF($G$6=0,0,$G12/$G$6*I$6),IF($E12="Debt",$G12*Inputs!E$15/12,IF($E12="Reserve Yield",Inputs!E$13*Inputs!E$16,H12)))))))))))</f>
        <v>0</v>
      </c>
      <c r="J12" s="11" t="n">
        <f aca="false">IF($E12="Manual",N12,IF($E12="Flat",I12,IF($E12="Inflation",I12*(1+Inputs!F$12),IF($E12="Salary",I12*(1+Inputs!F$10),IF($E12="Benefits",I12*(1+Inputs!F$11),IF($E12="Per Student",I12*J$4/I$4*(1+Inputs!F$12),IF($E12="Enrollment",I12*J$4/I$4,IF($E12="Tuition Index",I12*J$5/I$5,IF($E12="% of Salaries",IF($G$6=0,0,$G12/$G$6*J$6),IF($E12="Debt",$G12*Inputs!F$15/12,IF($E12="Reserve Yield",Inputs!F$13*Inputs!F$16,I12)))))))))))</f>
        <v>0</v>
      </c>
      <c r="K12" s="11" t="n">
        <f aca="false">IF($E12="Manual",O12,IF($E12="Flat",J12,IF($E12="Inflation",J12*(1+Inputs!G$12),IF($E12="Salary",J12*(1+Inputs!G$10),IF($E12="Benefits",J12*(1+Inputs!G$11),IF($E12="Per Student",J12*K$4/J$4*(1+Inputs!G$12),IF($E12="Enrollment",J12*K$4/J$4,IF($E12="Tuition Index",J12*K$5/J$5,IF($E12="% of Salaries",IF($G$6=0,0,$G12/$G$6*K$6),IF($E12="Debt",$G12*Inputs!G$15/12,IF($E12="Reserve Yield",Inputs!G$13*Inputs!G$16,J12)))))))))))</f>
        <v>0</v>
      </c>
      <c r="L12" s="22" t="n">
        <v>0</v>
      </c>
      <c r="M12" s="22" t="n">
        <v>0</v>
      </c>
      <c r="N12" s="22" t="n">
        <v>0</v>
      </c>
      <c r="O12" s="22" t="n">
        <v>0</v>
      </c>
    </row>
    <row r="13" customFormat="false" ht="15" hidden="false" customHeight="false" outlineLevel="0" collapsed="false">
      <c r="A13" s="6" t="s">
        <v>177</v>
      </c>
      <c r="B13" s="6" t="s">
        <v>8</v>
      </c>
      <c r="C13" s="30" t="s">
        <v>191</v>
      </c>
      <c r="D13" s="6" t="s">
        <v>192</v>
      </c>
      <c r="E13" s="20" t="s">
        <v>193</v>
      </c>
      <c r="F13" s="20" t="s">
        <v>133</v>
      </c>
      <c r="G13" s="31" t="n">
        <f aca="false">SUMIFS('QB Import'!$B$1:$B$600,'QB Import'!$H$1:$H$600,$C13,'QB Import'!$G$1:$G$600,1)</f>
        <v>162300</v>
      </c>
      <c r="H13" s="11" t="n">
        <f aca="false">IF($E13="Manual",L13,IF($E13="Flat",G13,IF($E13="Inflation",G13*(1+Inputs!D$12),IF($E13="Salary",G13*(1+Inputs!D$10),IF($E13="Benefits",G13*(1+Inputs!D$11),IF($E13="Per Student",G13*H$4/G$4*(1+Inputs!D$12),IF($E13="Enrollment",G13*H$4/G$4,IF($E13="Tuition Index",G13*H$5/G$5,IF($E13="% of Salaries",IF($G$6=0,0,$G13/$G$6*H$6),IF($E13="Debt",$G13*Inputs!D$15/12,IF($E13="Reserve Yield",Inputs!D$13*Inputs!D$16,G13)))))))))))</f>
        <v>164809.793814433</v>
      </c>
      <c r="I13" s="11" t="n">
        <f aca="false">IF($E13="Manual",M13,IF($E13="Flat",H13,IF($E13="Inflation",H13*(1+Inputs!E$12),IF($E13="Salary",H13*(1+Inputs!E$10),IF($E13="Benefits",H13*(1+Inputs!E$11),IF($E13="Per Student",H13*I$4/H$4*(1+Inputs!E$12),IF($E13="Enrollment",H13*I$4/H$4,IF($E13="Tuition Index",H13*I$5/H$5,IF($E13="% of Salaries",IF($G$6=0,0,$G13/$G$6*I$6),IF($E13="Debt",$G13*Inputs!E$15/12,IF($E13="Reserve Yield",Inputs!E$13*Inputs!E$16,H13)))))))))))</f>
        <v>163973.195876289</v>
      </c>
      <c r="J13" s="11" t="n">
        <f aca="false">IF($E13="Manual",N13,IF($E13="Flat",I13,IF($E13="Inflation",I13*(1+Inputs!F$12),IF($E13="Salary",I13*(1+Inputs!F$10),IF($E13="Benefits",I13*(1+Inputs!F$11),IF($E13="Per Student",I13*J$4/I$4*(1+Inputs!F$12),IF($E13="Enrollment",I13*J$4/I$4,IF($E13="Tuition Index",I13*J$5/I$5,IF($E13="% of Salaries",IF($G$6=0,0,$G13/$G$6*J$6),IF($E13="Debt",$G13*Inputs!F$15/12,IF($E13="Reserve Yield",Inputs!F$13*Inputs!F$16,I13)))))))))))</f>
        <v>162578.865979381</v>
      </c>
      <c r="K13" s="11" t="n">
        <f aca="false">IF($E13="Manual",O13,IF($E13="Flat",J13,IF($E13="Inflation",J13*(1+Inputs!G$12),IF($E13="Salary",J13*(1+Inputs!G$10),IF($E13="Benefits",J13*(1+Inputs!G$11),IF($E13="Per Student",J13*K$4/J$4*(1+Inputs!G$12),IF($E13="Enrollment",J13*K$4/J$4,IF($E13="Tuition Index",J13*K$5/J$5,IF($E13="% of Salaries",IF($G$6=0,0,$G13/$G$6*K$6),IF($E13="Debt",$G13*Inputs!G$15/12,IF($E13="Reserve Yield",Inputs!G$13*Inputs!G$16,J13)))))))))))</f>
        <v>161463.402061856</v>
      </c>
      <c r="L13" s="22"/>
      <c r="M13" s="22"/>
      <c r="N13" s="22"/>
      <c r="O13" s="22"/>
    </row>
    <row r="14" customFormat="false" ht="15" hidden="false" customHeight="false" outlineLevel="0" collapsed="false">
      <c r="A14" s="6" t="s">
        <v>177</v>
      </c>
      <c r="B14" s="6" t="s">
        <v>8</v>
      </c>
      <c r="C14" s="30" t="s">
        <v>194</v>
      </c>
      <c r="D14" s="6" t="s">
        <v>195</v>
      </c>
      <c r="E14" s="20" t="s">
        <v>193</v>
      </c>
      <c r="F14" s="20" t="s">
        <v>131</v>
      </c>
      <c r="G14" s="31" t="n">
        <f aca="false">SUMIFS('QB Import'!$B$1:$B$600,'QB Import'!$H$1:$H$600,$C14,'QB Import'!$G$1:$G$600,1)</f>
        <v>139000</v>
      </c>
      <c r="H14" s="11" t="n">
        <f aca="false">IF($E14="Manual",L14,IF($E14="Flat",G14,IF($E14="Inflation",G14*(1+Inputs!D$12),IF($E14="Salary",G14*(1+Inputs!D$10),IF($E14="Benefits",G14*(1+Inputs!D$11),IF($E14="Per Student",G14*H$4/G$4*(1+Inputs!D$12),IF($E14="Enrollment",G14*H$4/G$4,IF($E14="Tuition Index",G14*H$5/G$5,IF($E14="% of Salaries",IF($G$6=0,0,$G14/$G$6*H$6),IF($E14="Debt",$G14*Inputs!D$15/12,IF($E14="Reserve Yield",Inputs!D$13*Inputs!D$16,G14)))))))))))</f>
        <v>141149.484536082</v>
      </c>
      <c r="I14" s="11" t="n">
        <f aca="false">IF($E14="Manual",M14,IF($E14="Flat",H14,IF($E14="Inflation",H14*(1+Inputs!E$12),IF($E14="Salary",H14*(1+Inputs!E$10),IF($E14="Benefits",H14*(1+Inputs!E$11),IF($E14="Per Student",H14*I$4/H$4*(1+Inputs!E$12),IF($E14="Enrollment",H14*I$4/H$4,IF($E14="Tuition Index",H14*I$5/H$5,IF($E14="% of Salaries",IF($G$6=0,0,$G14/$G$6*I$6),IF($E14="Debt",$G14*Inputs!E$15/12,IF($E14="Reserve Yield",Inputs!E$13*Inputs!E$16,H14)))))))))))</f>
        <v>140432.989690722</v>
      </c>
      <c r="J14" s="11" t="n">
        <f aca="false">IF($E14="Manual",N14,IF($E14="Flat",I14,IF($E14="Inflation",I14*(1+Inputs!F$12),IF($E14="Salary",I14*(1+Inputs!F$10),IF($E14="Benefits",I14*(1+Inputs!F$11),IF($E14="Per Student",I14*J$4/I$4*(1+Inputs!F$12),IF($E14="Enrollment",I14*J$4/I$4,IF($E14="Tuition Index",I14*J$5/I$5,IF($E14="% of Salaries",IF($G$6=0,0,$G14/$G$6*J$6),IF($E14="Debt",$G14*Inputs!F$15/12,IF($E14="Reserve Yield",Inputs!F$13*Inputs!F$16,I14)))))))))))</f>
        <v>139238.83161512</v>
      </c>
      <c r="K14" s="11" t="n">
        <f aca="false">IF($E14="Manual",O14,IF($E14="Flat",J14,IF($E14="Inflation",J14*(1+Inputs!G$12),IF($E14="Salary",J14*(1+Inputs!G$10),IF($E14="Benefits",J14*(1+Inputs!G$11),IF($E14="Per Student",J14*K$4/J$4*(1+Inputs!G$12),IF($E14="Enrollment",J14*K$4/J$4,IF($E14="Tuition Index",J14*K$5/J$5,IF($E14="% of Salaries",IF($G$6=0,0,$G14/$G$6*K$6),IF($E14="Debt",$G14*Inputs!G$15/12,IF($E14="Reserve Yield",Inputs!G$13*Inputs!G$16,J14)))))))))))</f>
        <v>138283.505154639</v>
      </c>
      <c r="L14" s="22"/>
      <c r="M14" s="22"/>
      <c r="N14" s="22"/>
      <c r="O14" s="22"/>
    </row>
    <row r="15" customFormat="false" ht="15" hidden="false" customHeight="false" outlineLevel="0" collapsed="false">
      <c r="A15" s="6" t="s">
        <v>177</v>
      </c>
      <c r="B15" s="6" t="s">
        <v>8</v>
      </c>
      <c r="C15" s="30" t="s">
        <v>196</v>
      </c>
      <c r="D15" s="6" t="s">
        <v>197</v>
      </c>
      <c r="E15" s="20" t="s">
        <v>186</v>
      </c>
      <c r="F15" s="20" t="s">
        <v>133</v>
      </c>
      <c r="G15" s="31" t="n">
        <f aca="false">SUMIFS('QB Import'!$B$1:$B$600,'QB Import'!$H$1:$H$600,$C15,'QB Import'!$G$1:$G$600,1)</f>
        <v>0</v>
      </c>
      <c r="H15" s="11" t="n">
        <f aca="false">IF($E15="Manual",L15,IF($E15="Flat",G15,IF($E15="Inflation",G15*(1+Inputs!D$12),IF($E15="Salary",G15*(1+Inputs!D$10),IF($E15="Benefits",G15*(1+Inputs!D$11),IF($E15="Per Student",G15*H$4/G$4*(1+Inputs!D$12),IF($E15="Enrollment",G15*H$4/G$4,IF($E15="Tuition Index",G15*H$5/G$5,IF($E15="% of Salaries",IF($G$6=0,0,$G15/$G$6*H$6),IF($E15="Debt",$G15*Inputs!D$15/12,IF($E15="Reserve Yield",Inputs!D$13*Inputs!D$16,G15)))))))))))</f>
        <v>0</v>
      </c>
      <c r="I15" s="11" t="n">
        <f aca="false">IF($E15="Manual",M15,IF($E15="Flat",H15,IF($E15="Inflation",H15*(1+Inputs!E$12),IF($E15="Salary",H15*(1+Inputs!E$10),IF($E15="Benefits",H15*(1+Inputs!E$11),IF($E15="Per Student",H15*I$4/H$4*(1+Inputs!E$12),IF($E15="Enrollment",H15*I$4/H$4,IF($E15="Tuition Index",H15*I$5/H$5,IF($E15="% of Salaries",IF($G$6=0,0,$G15/$G$6*I$6),IF($E15="Debt",$G15*Inputs!E$15/12,IF($E15="Reserve Yield",Inputs!E$13*Inputs!E$16,H15)))))))))))</f>
        <v>0</v>
      </c>
      <c r="J15" s="11" t="n">
        <f aca="false">IF($E15="Manual",N15,IF($E15="Flat",I15,IF($E15="Inflation",I15*(1+Inputs!F$12),IF($E15="Salary",I15*(1+Inputs!F$10),IF($E15="Benefits",I15*(1+Inputs!F$11),IF($E15="Per Student",I15*J$4/I$4*(1+Inputs!F$12),IF($E15="Enrollment",I15*J$4/I$4,IF($E15="Tuition Index",I15*J$5/I$5,IF($E15="% of Salaries",IF($G$6=0,0,$G15/$G$6*J$6),IF($E15="Debt",$G15*Inputs!F$15/12,IF($E15="Reserve Yield",Inputs!F$13*Inputs!F$16,I15)))))))))))</f>
        <v>0</v>
      </c>
      <c r="K15" s="11" t="n">
        <f aca="false">IF($E15="Manual",O15,IF($E15="Flat",J15,IF($E15="Inflation",J15*(1+Inputs!G$12),IF($E15="Salary",J15*(1+Inputs!G$10),IF($E15="Benefits",J15*(1+Inputs!G$11),IF($E15="Per Student",J15*K$4/J$4*(1+Inputs!G$12),IF($E15="Enrollment",J15*K$4/J$4,IF($E15="Tuition Index",J15*K$5/J$5,IF($E15="% of Salaries",IF($G$6=0,0,$G15/$G$6*K$6),IF($E15="Debt",$G15*Inputs!G$15/12,IF($E15="Reserve Yield",Inputs!G$13*Inputs!G$16,J15)))))))))))</f>
        <v>0</v>
      </c>
      <c r="L15" s="22"/>
      <c r="M15" s="22"/>
      <c r="N15" s="22"/>
      <c r="O15" s="22"/>
    </row>
    <row r="16" customFormat="false" ht="15" hidden="false" customHeight="false" outlineLevel="0" collapsed="false">
      <c r="A16" s="6" t="s">
        <v>177</v>
      </c>
      <c r="B16" s="6" t="s">
        <v>8</v>
      </c>
      <c r="C16" s="30" t="s">
        <v>198</v>
      </c>
      <c r="D16" s="6" t="s">
        <v>199</v>
      </c>
      <c r="E16" s="20" t="s">
        <v>186</v>
      </c>
      <c r="F16" s="20" t="s">
        <v>133</v>
      </c>
      <c r="G16" s="31" t="n">
        <f aca="false">SUMIFS('QB Import'!$B$1:$B$600,'QB Import'!$H$1:$H$600,$C16,'QB Import'!$G$1:$G$600,1)</f>
        <v>0</v>
      </c>
      <c r="H16" s="11" t="n">
        <f aca="false">IF($E16="Manual",L16,IF($E16="Flat",G16,IF($E16="Inflation",G16*(1+Inputs!D$12),IF($E16="Salary",G16*(1+Inputs!D$10),IF($E16="Benefits",G16*(1+Inputs!D$11),IF($E16="Per Student",G16*H$4/G$4*(1+Inputs!D$12),IF($E16="Enrollment",G16*H$4/G$4,IF($E16="Tuition Index",G16*H$5/G$5,IF($E16="% of Salaries",IF($G$6=0,0,$G16/$G$6*H$6),IF($E16="Debt",$G16*Inputs!D$15/12,IF($E16="Reserve Yield",Inputs!D$13*Inputs!D$16,G16)))))))))))</f>
        <v>0</v>
      </c>
      <c r="I16" s="11" t="n">
        <f aca="false">IF($E16="Manual",M16,IF($E16="Flat",H16,IF($E16="Inflation",H16*(1+Inputs!E$12),IF($E16="Salary",H16*(1+Inputs!E$10),IF($E16="Benefits",H16*(1+Inputs!E$11),IF($E16="Per Student",H16*I$4/H$4*(1+Inputs!E$12),IF($E16="Enrollment",H16*I$4/H$4,IF($E16="Tuition Index",H16*I$5/H$5,IF($E16="% of Salaries",IF($G$6=0,0,$G16/$G$6*I$6),IF($E16="Debt",$G16*Inputs!E$15/12,IF($E16="Reserve Yield",Inputs!E$13*Inputs!E$16,H16)))))))))))</f>
        <v>0</v>
      </c>
      <c r="J16" s="11" t="n">
        <f aca="false">IF($E16="Manual",N16,IF($E16="Flat",I16,IF($E16="Inflation",I16*(1+Inputs!F$12),IF($E16="Salary",I16*(1+Inputs!F$10),IF($E16="Benefits",I16*(1+Inputs!F$11),IF($E16="Per Student",I16*J$4/I$4*(1+Inputs!F$12),IF($E16="Enrollment",I16*J$4/I$4,IF($E16="Tuition Index",I16*J$5/I$5,IF($E16="% of Salaries",IF($G$6=0,0,$G16/$G$6*J$6),IF($E16="Debt",$G16*Inputs!F$15/12,IF($E16="Reserve Yield",Inputs!F$13*Inputs!F$16,I16)))))))))))</f>
        <v>0</v>
      </c>
      <c r="K16" s="11" t="n">
        <f aca="false">IF($E16="Manual",O16,IF($E16="Flat",J16,IF($E16="Inflation",J16*(1+Inputs!G$12),IF($E16="Salary",J16*(1+Inputs!G$10),IF($E16="Benefits",J16*(1+Inputs!G$11),IF($E16="Per Student",J16*K$4/J$4*(1+Inputs!G$12),IF($E16="Enrollment",J16*K$4/J$4,IF($E16="Tuition Index",J16*K$5/J$5,IF($E16="% of Salaries",IF($G$6=0,0,$G16/$G$6*K$6),IF($E16="Debt",$G16*Inputs!G$15/12,IF($E16="Reserve Yield",Inputs!G$13*Inputs!G$16,J16)))))))))))</f>
        <v>0</v>
      </c>
      <c r="L16" s="22"/>
      <c r="M16" s="22"/>
      <c r="N16" s="22"/>
      <c r="O16" s="22"/>
    </row>
    <row r="17" customFormat="false" ht="15" hidden="false" customHeight="false" outlineLevel="0" collapsed="false">
      <c r="A17" s="6" t="s">
        <v>177</v>
      </c>
      <c r="B17" s="6" t="s">
        <v>8</v>
      </c>
      <c r="C17" s="30" t="s">
        <v>200</v>
      </c>
      <c r="D17" s="6" t="s">
        <v>201</v>
      </c>
      <c r="E17" s="20" t="s">
        <v>186</v>
      </c>
      <c r="F17" s="20" t="s">
        <v>133</v>
      </c>
      <c r="G17" s="31" t="n">
        <f aca="false">SUMIFS('QB Import'!$B$1:$B$600,'QB Import'!$H$1:$H$600,$C17,'QB Import'!$G$1:$G$600,1)</f>
        <v>0</v>
      </c>
      <c r="H17" s="11" t="n">
        <f aca="false">IF($E17="Manual",L17,IF($E17="Flat",G17,IF($E17="Inflation",G17*(1+Inputs!D$12),IF($E17="Salary",G17*(1+Inputs!D$10),IF($E17="Benefits",G17*(1+Inputs!D$11),IF($E17="Per Student",G17*H$4/G$4*(1+Inputs!D$12),IF($E17="Enrollment",G17*H$4/G$4,IF($E17="Tuition Index",G17*H$5/G$5,IF($E17="% of Salaries",IF($G$6=0,0,$G17/$G$6*H$6),IF($E17="Debt",$G17*Inputs!D$15/12,IF($E17="Reserve Yield",Inputs!D$13*Inputs!D$16,G17)))))))))))</f>
        <v>0</v>
      </c>
      <c r="I17" s="11" t="n">
        <f aca="false">IF($E17="Manual",M17,IF($E17="Flat",H17,IF($E17="Inflation",H17*(1+Inputs!E$12),IF($E17="Salary",H17*(1+Inputs!E$10),IF($E17="Benefits",H17*(1+Inputs!E$11),IF($E17="Per Student",H17*I$4/H$4*(1+Inputs!E$12),IF($E17="Enrollment",H17*I$4/H$4,IF($E17="Tuition Index",H17*I$5/H$5,IF($E17="% of Salaries",IF($G$6=0,0,$G17/$G$6*I$6),IF($E17="Debt",$G17*Inputs!E$15/12,IF($E17="Reserve Yield",Inputs!E$13*Inputs!E$16,H17)))))))))))</f>
        <v>0</v>
      </c>
      <c r="J17" s="11" t="n">
        <f aca="false">IF($E17="Manual",N17,IF($E17="Flat",I17,IF($E17="Inflation",I17*(1+Inputs!F$12),IF($E17="Salary",I17*(1+Inputs!F$10),IF($E17="Benefits",I17*(1+Inputs!F$11),IF($E17="Per Student",I17*J$4/I$4*(1+Inputs!F$12),IF($E17="Enrollment",I17*J$4/I$4,IF($E17="Tuition Index",I17*J$5/I$5,IF($E17="% of Salaries",IF($G$6=0,0,$G17/$G$6*J$6),IF($E17="Debt",$G17*Inputs!F$15/12,IF($E17="Reserve Yield",Inputs!F$13*Inputs!F$16,I17)))))))))))</f>
        <v>0</v>
      </c>
      <c r="K17" s="11" t="n">
        <f aca="false">IF($E17="Manual",O17,IF($E17="Flat",J17,IF($E17="Inflation",J17*(1+Inputs!G$12),IF($E17="Salary",J17*(1+Inputs!G$10),IF($E17="Benefits",J17*(1+Inputs!G$11),IF($E17="Per Student",J17*K$4/J$4*(1+Inputs!G$12),IF($E17="Enrollment",J17*K$4/J$4,IF($E17="Tuition Index",J17*K$5/J$5,IF($E17="% of Salaries",IF($G$6=0,0,$G17/$G$6*K$6),IF($E17="Debt",$G17*Inputs!G$15/12,IF($E17="Reserve Yield",Inputs!G$13*Inputs!G$16,J17)))))))))))</f>
        <v>0</v>
      </c>
      <c r="L17" s="22"/>
      <c r="M17" s="22"/>
      <c r="N17" s="22"/>
      <c r="O17" s="22"/>
    </row>
    <row r="18" customFormat="false" ht="15" hidden="false" customHeight="false" outlineLevel="0" collapsed="false">
      <c r="A18" s="6" t="s">
        <v>177</v>
      </c>
      <c r="B18" s="6" t="s">
        <v>8</v>
      </c>
      <c r="C18" s="30" t="s">
        <v>202</v>
      </c>
      <c r="D18" s="6" t="s">
        <v>203</v>
      </c>
      <c r="E18" s="20" t="s">
        <v>186</v>
      </c>
      <c r="F18" s="20" t="s">
        <v>133</v>
      </c>
      <c r="G18" s="31" t="n">
        <f aca="false">SUMIFS('QB Import'!$B$1:$B$600,'QB Import'!$H$1:$H$600,$C18,'QB Import'!$G$1:$G$600,1)</f>
        <v>0</v>
      </c>
      <c r="H18" s="11" t="n">
        <f aca="false">IF($E18="Manual",L18,IF($E18="Flat",G18,IF($E18="Inflation",G18*(1+Inputs!D$12),IF($E18="Salary",G18*(1+Inputs!D$10),IF($E18="Benefits",G18*(1+Inputs!D$11),IF($E18="Per Student",G18*H$4/G$4*(1+Inputs!D$12),IF($E18="Enrollment",G18*H$4/G$4,IF($E18="Tuition Index",G18*H$5/G$5,IF($E18="% of Salaries",IF($G$6=0,0,$G18/$G$6*H$6),IF($E18="Debt",$G18*Inputs!D$15/12,IF($E18="Reserve Yield",Inputs!D$13*Inputs!D$16,G18)))))))))))</f>
        <v>0</v>
      </c>
      <c r="I18" s="11" t="n">
        <f aca="false">IF($E18="Manual",M18,IF($E18="Flat",H18,IF($E18="Inflation",H18*(1+Inputs!E$12),IF($E18="Salary",H18*(1+Inputs!E$10),IF($E18="Benefits",H18*(1+Inputs!E$11),IF($E18="Per Student",H18*I$4/H$4*(1+Inputs!E$12),IF($E18="Enrollment",H18*I$4/H$4,IF($E18="Tuition Index",H18*I$5/H$5,IF($E18="% of Salaries",IF($G$6=0,0,$G18/$G$6*I$6),IF($E18="Debt",$G18*Inputs!E$15/12,IF($E18="Reserve Yield",Inputs!E$13*Inputs!E$16,H18)))))))))))</f>
        <v>0</v>
      </c>
      <c r="J18" s="11" t="n">
        <f aca="false">IF($E18="Manual",N18,IF($E18="Flat",I18,IF($E18="Inflation",I18*(1+Inputs!F$12),IF($E18="Salary",I18*(1+Inputs!F$10),IF($E18="Benefits",I18*(1+Inputs!F$11),IF($E18="Per Student",I18*J$4/I$4*(1+Inputs!F$12),IF($E18="Enrollment",I18*J$4/I$4,IF($E18="Tuition Index",I18*J$5/I$5,IF($E18="% of Salaries",IF($G$6=0,0,$G18/$G$6*J$6),IF($E18="Debt",$G18*Inputs!F$15/12,IF($E18="Reserve Yield",Inputs!F$13*Inputs!F$16,I18)))))))))))</f>
        <v>0</v>
      </c>
      <c r="K18" s="11" t="n">
        <f aca="false">IF($E18="Manual",O18,IF($E18="Flat",J18,IF($E18="Inflation",J18*(1+Inputs!G$12),IF($E18="Salary",J18*(1+Inputs!G$10),IF($E18="Benefits",J18*(1+Inputs!G$11),IF($E18="Per Student",J18*K$4/J$4*(1+Inputs!G$12),IF($E18="Enrollment",J18*K$4/J$4,IF($E18="Tuition Index",J18*K$5/J$5,IF($E18="% of Salaries",IF($G$6=0,0,$G18/$G$6*K$6),IF($E18="Debt",$G18*Inputs!G$15/12,IF($E18="Reserve Yield",Inputs!G$13*Inputs!G$16,J18)))))))))))</f>
        <v>0</v>
      </c>
      <c r="L18" s="22"/>
      <c r="M18" s="22"/>
      <c r="N18" s="22"/>
      <c r="O18" s="22"/>
    </row>
    <row r="19" customFormat="false" ht="15" hidden="false" customHeight="false" outlineLevel="0" collapsed="false">
      <c r="A19" s="6" t="s">
        <v>177</v>
      </c>
      <c r="B19" s="6" t="s">
        <v>8</v>
      </c>
      <c r="C19" s="30" t="s">
        <v>204</v>
      </c>
      <c r="D19" s="6" t="s">
        <v>205</v>
      </c>
      <c r="E19" s="20" t="s">
        <v>183</v>
      </c>
      <c r="F19" s="20" t="s">
        <v>132</v>
      </c>
      <c r="G19" s="31" t="n">
        <f aca="false">SUMIFS('QB Import'!$B$1:$B$600,'QB Import'!$H$1:$H$600,$C19,'QB Import'!$G$1:$G$600,1)</f>
        <v>9300</v>
      </c>
      <c r="H19" s="11" t="n">
        <f aca="false">IF($E19="Manual",L19,IF($E19="Flat",G19,IF($E19="Inflation",G19*(1+Inputs!D$12),IF($E19="Salary",G19*(1+Inputs!D$10),IF($E19="Benefits",G19*(1+Inputs!D$11),IF($E19="Per Student",G19*H$4/G$4*(1+Inputs!D$12),IF($E19="Enrollment",G19*H$4/G$4,IF($E19="Tuition Index",G19*H$5/G$5,IF($E19="% of Salaries",IF($G$6=0,0,$G19/$G$6*H$6),IF($E19="Debt",$G19*Inputs!D$15/12,IF($E19="Reserve Yield",Inputs!D$13*Inputs!D$16,G19)))))))))))</f>
        <v>3000</v>
      </c>
      <c r="I19" s="11" t="n">
        <f aca="false">IF($E19="Manual",M19,IF($E19="Flat",H19,IF($E19="Inflation",H19*(1+Inputs!E$12),IF($E19="Salary",H19*(1+Inputs!E$10),IF($E19="Benefits",H19*(1+Inputs!E$11),IF($E19="Per Student",H19*I$4/H$4*(1+Inputs!E$12),IF($E19="Enrollment",H19*I$4/H$4,IF($E19="Tuition Index",H19*I$5/H$5,IF($E19="% of Salaries",IF($G$6=0,0,$G19/$G$6*I$6),IF($E19="Debt",$G19*Inputs!E$15/12,IF($E19="Reserve Yield",Inputs!E$13*Inputs!E$16,H19)))))))))))</f>
        <v>3000</v>
      </c>
      <c r="J19" s="11" t="n">
        <f aca="false">IF($E19="Manual",N19,IF($E19="Flat",I19,IF($E19="Inflation",I19*(1+Inputs!F$12),IF($E19="Salary",I19*(1+Inputs!F$10),IF($E19="Benefits",I19*(1+Inputs!F$11),IF($E19="Per Student",I19*J$4/I$4*(1+Inputs!F$12),IF($E19="Enrollment",I19*J$4/I$4,IF($E19="Tuition Index",I19*J$5/I$5,IF($E19="% of Salaries",IF($G$6=0,0,$G19/$G$6*J$6),IF($E19="Debt",$G19*Inputs!F$15/12,IF($E19="Reserve Yield",Inputs!F$13*Inputs!F$16,I19)))))))))))</f>
        <v>3000</v>
      </c>
      <c r="K19" s="11" t="n">
        <f aca="false">IF($E19="Manual",O19,IF($E19="Flat",J19,IF($E19="Inflation",J19*(1+Inputs!G$12),IF($E19="Salary",J19*(1+Inputs!G$10),IF($E19="Benefits",J19*(1+Inputs!G$11),IF($E19="Per Student",J19*K$4/J$4*(1+Inputs!G$12),IF($E19="Enrollment",J19*K$4/J$4,IF($E19="Tuition Index",J19*K$5/J$5,IF($E19="% of Salaries",IF($G$6=0,0,$G19/$G$6*K$6),IF($E19="Debt",$G19*Inputs!G$15/12,IF($E19="Reserve Yield",Inputs!G$13*Inputs!G$16,J19)))))))))))</f>
        <v>3000</v>
      </c>
      <c r="L19" s="22" t="n">
        <v>3000</v>
      </c>
      <c r="M19" s="22" t="n">
        <v>3000</v>
      </c>
      <c r="N19" s="22" t="n">
        <v>3000</v>
      </c>
      <c r="O19" s="22" t="n">
        <v>3000</v>
      </c>
    </row>
    <row r="20" customFormat="false" ht="15" hidden="false" customHeight="false" outlineLevel="0" collapsed="false">
      <c r="A20" s="6" t="s">
        <v>177</v>
      </c>
      <c r="B20" s="6" t="s">
        <v>8</v>
      </c>
      <c r="C20" s="30" t="s">
        <v>206</v>
      </c>
      <c r="D20" s="6" t="s">
        <v>207</v>
      </c>
      <c r="E20" s="20" t="s">
        <v>186</v>
      </c>
      <c r="F20" s="20" t="s">
        <v>132</v>
      </c>
      <c r="G20" s="31" t="n">
        <f aca="false">SUMIFS('QB Import'!$B$1:$B$600,'QB Import'!$H$1:$H$600,$C20,'QB Import'!$G$1:$G$600,1)</f>
        <v>0</v>
      </c>
      <c r="H20" s="11" t="n">
        <f aca="false">IF($E20="Manual",L20,IF($E20="Flat",G20,IF($E20="Inflation",G20*(1+Inputs!D$12),IF($E20="Salary",G20*(1+Inputs!D$10),IF($E20="Benefits",G20*(1+Inputs!D$11),IF($E20="Per Student",G20*H$4/G$4*(1+Inputs!D$12),IF($E20="Enrollment",G20*H$4/G$4,IF($E20="Tuition Index",G20*H$5/G$5,IF($E20="% of Salaries",IF($G$6=0,0,$G20/$G$6*H$6),IF($E20="Debt",$G20*Inputs!D$15/12,IF($E20="Reserve Yield",Inputs!D$13*Inputs!D$16,G20)))))))))))</f>
        <v>0</v>
      </c>
      <c r="I20" s="11" t="n">
        <f aca="false">IF($E20="Manual",M20,IF($E20="Flat",H20,IF($E20="Inflation",H20*(1+Inputs!E$12),IF($E20="Salary",H20*(1+Inputs!E$10),IF($E20="Benefits",H20*(1+Inputs!E$11),IF($E20="Per Student",H20*I$4/H$4*(1+Inputs!E$12),IF($E20="Enrollment",H20*I$4/H$4,IF($E20="Tuition Index",H20*I$5/H$5,IF($E20="% of Salaries",IF($G$6=0,0,$G20/$G$6*I$6),IF($E20="Debt",$G20*Inputs!E$15/12,IF($E20="Reserve Yield",Inputs!E$13*Inputs!E$16,H20)))))))))))</f>
        <v>0</v>
      </c>
      <c r="J20" s="11" t="n">
        <f aca="false">IF($E20="Manual",N20,IF($E20="Flat",I20,IF($E20="Inflation",I20*(1+Inputs!F$12),IF($E20="Salary",I20*(1+Inputs!F$10),IF($E20="Benefits",I20*(1+Inputs!F$11),IF($E20="Per Student",I20*J$4/I$4*(1+Inputs!F$12),IF($E20="Enrollment",I20*J$4/I$4,IF($E20="Tuition Index",I20*J$5/I$5,IF($E20="% of Salaries",IF($G$6=0,0,$G20/$G$6*J$6),IF($E20="Debt",$G20*Inputs!F$15/12,IF($E20="Reserve Yield",Inputs!F$13*Inputs!F$16,I20)))))))))))</f>
        <v>0</v>
      </c>
      <c r="K20" s="11" t="n">
        <f aca="false">IF($E20="Manual",O20,IF($E20="Flat",J20,IF($E20="Inflation",J20*(1+Inputs!G$12),IF($E20="Salary",J20*(1+Inputs!G$10),IF($E20="Benefits",J20*(1+Inputs!G$11),IF($E20="Per Student",J20*K$4/J$4*(1+Inputs!G$12),IF($E20="Enrollment",J20*K$4/J$4,IF($E20="Tuition Index",J20*K$5/J$5,IF($E20="% of Salaries",IF($G$6=0,0,$G20/$G$6*K$6),IF($E20="Debt",$G20*Inputs!G$15/12,IF($E20="Reserve Yield",Inputs!G$13*Inputs!G$16,J20)))))))))))</f>
        <v>0</v>
      </c>
      <c r="L20" s="22"/>
      <c r="M20" s="22"/>
      <c r="N20" s="22"/>
      <c r="O20" s="22"/>
    </row>
    <row r="21" customFormat="false" ht="15" hidden="false" customHeight="false" outlineLevel="0" collapsed="false">
      <c r="A21" s="6" t="s">
        <v>177</v>
      </c>
      <c r="B21" s="6" t="s">
        <v>8</v>
      </c>
      <c r="C21" s="30" t="s">
        <v>208</v>
      </c>
      <c r="D21" s="6" t="s">
        <v>209</v>
      </c>
      <c r="E21" s="20" t="s">
        <v>186</v>
      </c>
      <c r="F21" s="20" t="s">
        <v>132</v>
      </c>
      <c r="G21" s="31" t="n">
        <f aca="false">SUMIFS('QB Import'!$B$1:$B$600,'QB Import'!$H$1:$H$600,$C21,'QB Import'!$G$1:$G$600,1)</f>
        <v>0</v>
      </c>
      <c r="H21" s="11" t="n">
        <f aca="false">IF($E21="Manual",L21,IF($E21="Flat",G21,IF($E21="Inflation",G21*(1+Inputs!D$12),IF($E21="Salary",G21*(1+Inputs!D$10),IF($E21="Benefits",G21*(1+Inputs!D$11),IF($E21="Per Student",G21*H$4/G$4*(1+Inputs!D$12),IF($E21="Enrollment",G21*H$4/G$4,IF($E21="Tuition Index",G21*H$5/G$5,IF($E21="% of Salaries",IF($G$6=0,0,$G21/$G$6*H$6),IF($E21="Debt",$G21*Inputs!D$15/12,IF($E21="Reserve Yield",Inputs!D$13*Inputs!D$16,G21)))))))))))</f>
        <v>0</v>
      </c>
      <c r="I21" s="11" t="n">
        <f aca="false">IF($E21="Manual",M21,IF($E21="Flat",H21,IF($E21="Inflation",H21*(1+Inputs!E$12),IF($E21="Salary",H21*(1+Inputs!E$10),IF($E21="Benefits",H21*(1+Inputs!E$11),IF($E21="Per Student",H21*I$4/H$4*(1+Inputs!E$12),IF($E21="Enrollment",H21*I$4/H$4,IF($E21="Tuition Index",H21*I$5/H$5,IF($E21="% of Salaries",IF($G$6=0,0,$G21/$G$6*I$6),IF($E21="Debt",$G21*Inputs!E$15/12,IF($E21="Reserve Yield",Inputs!E$13*Inputs!E$16,H21)))))))))))</f>
        <v>0</v>
      </c>
      <c r="J21" s="11" t="n">
        <f aca="false">IF($E21="Manual",N21,IF($E21="Flat",I21,IF($E21="Inflation",I21*(1+Inputs!F$12),IF($E21="Salary",I21*(1+Inputs!F$10),IF($E21="Benefits",I21*(1+Inputs!F$11),IF($E21="Per Student",I21*J$4/I$4*(1+Inputs!F$12),IF($E21="Enrollment",I21*J$4/I$4,IF($E21="Tuition Index",I21*J$5/I$5,IF($E21="% of Salaries",IF($G$6=0,0,$G21/$G$6*J$6),IF($E21="Debt",$G21*Inputs!F$15/12,IF($E21="Reserve Yield",Inputs!F$13*Inputs!F$16,I21)))))))))))</f>
        <v>0</v>
      </c>
      <c r="K21" s="11" t="n">
        <f aca="false">IF($E21="Manual",O21,IF($E21="Flat",J21,IF($E21="Inflation",J21*(1+Inputs!G$12),IF($E21="Salary",J21*(1+Inputs!G$10),IF($E21="Benefits",J21*(1+Inputs!G$11),IF($E21="Per Student",J21*K$4/J$4*(1+Inputs!G$12),IF($E21="Enrollment",J21*K$4/J$4,IF($E21="Tuition Index",J21*K$5/J$5,IF($E21="% of Salaries",IF($G$6=0,0,$G21/$G$6*K$6),IF($E21="Debt",$G21*Inputs!G$15/12,IF($E21="Reserve Yield",Inputs!G$13*Inputs!G$16,J21)))))))))))</f>
        <v>0</v>
      </c>
      <c r="L21" s="22"/>
      <c r="M21" s="22"/>
      <c r="N21" s="22"/>
      <c r="O21" s="22"/>
    </row>
    <row r="22" customFormat="false" ht="15" hidden="false" customHeight="false" outlineLevel="0" collapsed="false">
      <c r="A22" s="6" t="s">
        <v>177</v>
      </c>
      <c r="B22" s="6" t="s">
        <v>8</v>
      </c>
      <c r="C22" s="30" t="s">
        <v>210</v>
      </c>
      <c r="D22" s="6" t="s">
        <v>211</v>
      </c>
      <c r="E22" s="20" t="s">
        <v>186</v>
      </c>
      <c r="F22" s="20" t="s">
        <v>131</v>
      </c>
      <c r="G22" s="31" t="n">
        <f aca="false">SUMIFS('QB Import'!$B$1:$B$600,'QB Import'!$H$1:$H$600,$C22,'QB Import'!$G$1:$G$600,1)</f>
        <v>-16070</v>
      </c>
      <c r="H22" s="11" t="n">
        <f aca="false">IF($E22="Manual",L22,IF($E22="Flat",G22,IF($E22="Inflation",G22*(1+Inputs!D$12),IF($E22="Salary",G22*(1+Inputs!D$10),IF($E22="Benefits",G22*(1+Inputs!D$11),IF($E22="Per Student",G22*H$4/G$4*(1+Inputs!D$12),IF($E22="Enrollment",G22*H$4/G$4,IF($E22="Tuition Index",G22*H$5/G$5,IF($E22="% of Salaries",IF($G$6=0,0,$G22/$G$6*H$6),IF($E22="Debt",$G22*Inputs!D$15/12,IF($E22="Reserve Yield",Inputs!D$13*Inputs!D$16,G22)))))))))))</f>
        <v>-16070</v>
      </c>
      <c r="I22" s="11" t="n">
        <f aca="false">IF($E22="Manual",M22,IF($E22="Flat",H22,IF($E22="Inflation",H22*(1+Inputs!E$12),IF($E22="Salary",H22*(1+Inputs!E$10),IF($E22="Benefits",H22*(1+Inputs!E$11),IF($E22="Per Student",H22*I$4/H$4*(1+Inputs!E$12),IF($E22="Enrollment",H22*I$4/H$4,IF($E22="Tuition Index",H22*I$5/H$5,IF($E22="% of Salaries",IF($G$6=0,0,$G22/$G$6*I$6),IF($E22="Debt",$G22*Inputs!E$15/12,IF($E22="Reserve Yield",Inputs!E$13*Inputs!E$16,H22)))))))))))</f>
        <v>-16070</v>
      </c>
      <c r="J22" s="11" t="n">
        <f aca="false">IF($E22="Manual",N22,IF($E22="Flat",I22,IF($E22="Inflation",I22*(1+Inputs!F$12),IF($E22="Salary",I22*(1+Inputs!F$10),IF($E22="Benefits",I22*(1+Inputs!F$11),IF($E22="Per Student",I22*J$4/I$4*(1+Inputs!F$12),IF($E22="Enrollment",I22*J$4/I$4,IF($E22="Tuition Index",I22*J$5/I$5,IF($E22="% of Salaries",IF($G$6=0,0,$G22/$G$6*J$6),IF($E22="Debt",$G22*Inputs!F$15/12,IF($E22="Reserve Yield",Inputs!F$13*Inputs!F$16,I22)))))))))))</f>
        <v>-16070</v>
      </c>
      <c r="K22" s="11" t="n">
        <f aca="false">IF($E22="Manual",O22,IF($E22="Flat",J22,IF($E22="Inflation",J22*(1+Inputs!G$12),IF($E22="Salary",J22*(1+Inputs!G$10),IF($E22="Benefits",J22*(1+Inputs!G$11),IF($E22="Per Student",J22*K$4/J$4*(1+Inputs!G$12),IF($E22="Enrollment",J22*K$4/J$4,IF($E22="Tuition Index",J22*K$5/J$5,IF($E22="% of Salaries",IF($G$6=0,0,$G22/$G$6*K$6),IF($E22="Debt",$G22*Inputs!G$15/12,IF($E22="Reserve Yield",Inputs!G$13*Inputs!G$16,J22)))))))))))</f>
        <v>-16070</v>
      </c>
      <c r="L22" s="22"/>
      <c r="M22" s="22"/>
      <c r="N22" s="22"/>
      <c r="O22" s="22"/>
    </row>
    <row r="23" customFormat="false" ht="15" hidden="false" customHeight="false" outlineLevel="0" collapsed="false">
      <c r="A23" s="6" t="s">
        <v>177</v>
      </c>
      <c r="B23" s="6" t="s">
        <v>8</v>
      </c>
      <c r="C23" s="30" t="s">
        <v>212</v>
      </c>
      <c r="D23" s="6" t="s">
        <v>213</v>
      </c>
      <c r="E23" s="20" t="s">
        <v>183</v>
      </c>
      <c r="F23" s="20" t="s">
        <v>131</v>
      </c>
      <c r="G23" s="31" t="n">
        <f aca="false">SUMIFS('QB Import'!$B$1:$B$600,'QB Import'!$H$1:$H$600,$C23,'QB Import'!$G$1:$G$600,1)</f>
        <v>-300000</v>
      </c>
      <c r="H23" s="11" t="n">
        <f aca="false">IF($E23="Manual",L23,IF($E23="Flat",G23,IF($E23="Inflation",G23*(1+Inputs!D$12),IF($E23="Salary",G23*(1+Inputs!D$10),IF($E23="Benefits",G23*(1+Inputs!D$11),IF($E23="Per Student",G23*H$4/G$4*(1+Inputs!D$12),IF($E23="Enrollment",G23*H$4/G$4,IF($E23="Tuition Index",G23*H$5/G$5,IF($E23="% of Salaries",IF($G$6=0,0,$G23/$G$6*H$6),IF($E23="Debt",$G23*Inputs!D$15/12,IF($E23="Reserve Yield",Inputs!D$13*Inputs!D$16,G23)))))))))))</f>
        <v>-325000</v>
      </c>
      <c r="I23" s="11" t="n">
        <f aca="false">IF($E23="Manual",M23,IF($E23="Flat",H23,IF($E23="Inflation",H23*(1+Inputs!E$12),IF($E23="Salary",H23*(1+Inputs!E$10),IF($E23="Benefits",H23*(1+Inputs!E$11),IF($E23="Per Student",H23*I$4/H$4*(1+Inputs!E$12),IF($E23="Enrollment",H23*I$4/H$4,IF($E23="Tuition Index",H23*I$5/H$5,IF($E23="% of Salaries",IF($G$6=0,0,$G23/$G$6*I$6),IF($E23="Debt",$G23*Inputs!E$15/12,IF($E23="Reserve Yield",Inputs!E$13*Inputs!E$16,H23)))))))))))</f>
        <v>-325000</v>
      </c>
      <c r="J23" s="11" t="n">
        <f aca="false">IF($E23="Manual",N23,IF($E23="Flat",I23,IF($E23="Inflation",I23*(1+Inputs!F$12),IF($E23="Salary",I23*(1+Inputs!F$10),IF($E23="Benefits",I23*(1+Inputs!F$11),IF($E23="Per Student",I23*J$4/I$4*(1+Inputs!F$12),IF($E23="Enrollment",I23*J$4/I$4,IF($E23="Tuition Index",I23*J$5/I$5,IF($E23="% of Salaries",IF($G$6=0,0,$G23/$G$6*J$6),IF($E23="Debt",$G23*Inputs!F$15/12,IF($E23="Reserve Yield",Inputs!F$13*Inputs!F$16,I23)))))))))))</f>
        <v>-325000</v>
      </c>
      <c r="K23" s="11" t="n">
        <f aca="false">IF($E23="Manual",O23,IF($E23="Flat",J23,IF($E23="Inflation",J23*(1+Inputs!G$12),IF($E23="Salary",J23*(1+Inputs!G$10),IF($E23="Benefits",J23*(1+Inputs!G$11),IF($E23="Per Student",J23*K$4/J$4*(1+Inputs!G$12),IF($E23="Enrollment",J23*K$4/J$4,IF($E23="Tuition Index",J23*K$5/J$5,IF($E23="% of Salaries",IF($G$6=0,0,$G23/$G$6*K$6),IF($E23="Debt",$G23*Inputs!G$15/12,IF($E23="Reserve Yield",Inputs!G$13*Inputs!G$16,J23)))))))))))</f>
        <v>-325000</v>
      </c>
      <c r="L23" s="22" t="n">
        <v>-325000</v>
      </c>
      <c r="M23" s="22" t="n">
        <v>-325000</v>
      </c>
      <c r="N23" s="22" t="n">
        <v>-325000</v>
      </c>
      <c r="O23" s="22" t="n">
        <v>-325000</v>
      </c>
    </row>
    <row r="24" customFormat="false" ht="15" hidden="false" customHeight="false" outlineLevel="0" collapsed="false">
      <c r="A24" s="6" t="s">
        <v>177</v>
      </c>
      <c r="B24" s="6" t="s">
        <v>8</v>
      </c>
      <c r="C24" s="30" t="s">
        <v>214</v>
      </c>
      <c r="D24" s="6" t="s">
        <v>215</v>
      </c>
      <c r="E24" s="20" t="s">
        <v>186</v>
      </c>
      <c r="F24" s="20" t="s">
        <v>131</v>
      </c>
      <c r="G24" s="31" t="n">
        <f aca="false">SUMIFS('QB Import'!$B$1:$B$600,'QB Import'!$H$1:$H$600,$C24,'QB Import'!$G$1:$G$600,1)</f>
        <v>-49675</v>
      </c>
      <c r="H24" s="11" t="n">
        <f aca="false">IF($E24="Manual",L24,IF($E24="Flat",G24,IF($E24="Inflation",G24*(1+Inputs!D$12),IF($E24="Salary",G24*(1+Inputs!D$10),IF($E24="Benefits",G24*(1+Inputs!D$11),IF($E24="Per Student",G24*H$4/G$4*(1+Inputs!D$12),IF($E24="Enrollment",G24*H$4/G$4,IF($E24="Tuition Index",G24*H$5/G$5,IF($E24="% of Salaries",IF($G$6=0,0,$G24/$G$6*H$6),IF($E24="Debt",$G24*Inputs!D$15/12,IF($E24="Reserve Yield",Inputs!D$13*Inputs!D$16,G24)))))))))))</f>
        <v>-49675</v>
      </c>
      <c r="I24" s="11" t="n">
        <f aca="false">IF($E24="Manual",M24,IF($E24="Flat",H24,IF($E24="Inflation",H24*(1+Inputs!E$12),IF($E24="Salary",H24*(1+Inputs!E$10),IF($E24="Benefits",H24*(1+Inputs!E$11),IF($E24="Per Student",H24*I$4/H$4*(1+Inputs!E$12),IF($E24="Enrollment",H24*I$4/H$4,IF($E24="Tuition Index",H24*I$5/H$5,IF($E24="% of Salaries",IF($G$6=0,0,$G24/$G$6*I$6),IF($E24="Debt",$G24*Inputs!E$15/12,IF($E24="Reserve Yield",Inputs!E$13*Inputs!E$16,H24)))))))))))</f>
        <v>-49675</v>
      </c>
      <c r="J24" s="11" t="n">
        <f aca="false">IF($E24="Manual",N24,IF($E24="Flat",I24,IF($E24="Inflation",I24*(1+Inputs!F$12),IF($E24="Salary",I24*(1+Inputs!F$10),IF($E24="Benefits",I24*(1+Inputs!F$11),IF($E24="Per Student",I24*J$4/I$4*(1+Inputs!F$12),IF($E24="Enrollment",I24*J$4/I$4,IF($E24="Tuition Index",I24*J$5/I$5,IF($E24="% of Salaries",IF($G$6=0,0,$G24/$G$6*J$6),IF($E24="Debt",$G24*Inputs!F$15/12,IF($E24="Reserve Yield",Inputs!F$13*Inputs!F$16,I24)))))))))))</f>
        <v>-49675</v>
      </c>
      <c r="K24" s="11" t="n">
        <f aca="false">IF($E24="Manual",O24,IF($E24="Flat",J24,IF($E24="Inflation",J24*(1+Inputs!G$12),IF($E24="Salary",J24*(1+Inputs!G$10),IF($E24="Benefits",J24*(1+Inputs!G$11),IF($E24="Per Student",J24*K$4/J$4*(1+Inputs!G$12),IF($E24="Enrollment",J24*K$4/J$4,IF($E24="Tuition Index",J24*K$5/J$5,IF($E24="% of Salaries",IF($G$6=0,0,$G24/$G$6*K$6),IF($E24="Debt",$G24*Inputs!G$15/12,IF($E24="Reserve Yield",Inputs!G$13*Inputs!G$16,J24)))))))))))</f>
        <v>-49675</v>
      </c>
      <c r="L24" s="22"/>
      <c r="M24" s="22"/>
      <c r="N24" s="22"/>
      <c r="O24" s="22"/>
    </row>
    <row r="25" customFormat="false" ht="15" hidden="false" customHeight="false" outlineLevel="0" collapsed="false">
      <c r="A25" s="6" t="s">
        <v>177</v>
      </c>
      <c r="B25" s="6" t="s">
        <v>8</v>
      </c>
      <c r="C25" s="30" t="s">
        <v>216</v>
      </c>
      <c r="D25" s="6" t="s">
        <v>217</v>
      </c>
      <c r="E25" s="20" t="s">
        <v>186</v>
      </c>
      <c r="F25" s="20" t="s">
        <v>131</v>
      </c>
      <c r="G25" s="31" t="n">
        <f aca="false">SUMIFS('QB Import'!$B$1:$B$600,'QB Import'!$H$1:$H$600,$C25,'QB Import'!$G$1:$G$600,1)</f>
        <v>-65453</v>
      </c>
      <c r="H25" s="11" t="n">
        <f aca="false">IF($E25="Manual",L25,IF($E25="Flat",G25,IF($E25="Inflation",G25*(1+Inputs!D$12),IF($E25="Salary",G25*(1+Inputs!D$10),IF($E25="Benefits",G25*(1+Inputs!D$11),IF($E25="Per Student",G25*H$4/G$4*(1+Inputs!D$12),IF($E25="Enrollment",G25*H$4/G$4,IF($E25="Tuition Index",G25*H$5/G$5,IF($E25="% of Salaries",IF($G$6=0,0,$G25/$G$6*H$6),IF($E25="Debt",$G25*Inputs!D$15/12,IF($E25="Reserve Yield",Inputs!D$13*Inputs!D$16,G25)))))))))))</f>
        <v>-65453</v>
      </c>
      <c r="I25" s="11" t="n">
        <f aca="false">IF($E25="Manual",M25,IF($E25="Flat",H25,IF($E25="Inflation",H25*(1+Inputs!E$12),IF($E25="Salary",H25*(1+Inputs!E$10),IF($E25="Benefits",H25*(1+Inputs!E$11),IF($E25="Per Student",H25*I$4/H$4*(1+Inputs!E$12),IF($E25="Enrollment",H25*I$4/H$4,IF($E25="Tuition Index",H25*I$5/H$5,IF($E25="% of Salaries",IF($G$6=0,0,$G25/$G$6*I$6),IF($E25="Debt",$G25*Inputs!E$15/12,IF($E25="Reserve Yield",Inputs!E$13*Inputs!E$16,H25)))))))))))</f>
        <v>-65453</v>
      </c>
      <c r="J25" s="11" t="n">
        <f aca="false">IF($E25="Manual",N25,IF($E25="Flat",I25,IF($E25="Inflation",I25*(1+Inputs!F$12),IF($E25="Salary",I25*(1+Inputs!F$10),IF($E25="Benefits",I25*(1+Inputs!F$11),IF($E25="Per Student",I25*J$4/I$4*(1+Inputs!F$12),IF($E25="Enrollment",I25*J$4/I$4,IF($E25="Tuition Index",I25*J$5/I$5,IF($E25="% of Salaries",IF($G$6=0,0,$G25/$G$6*J$6),IF($E25="Debt",$G25*Inputs!F$15/12,IF($E25="Reserve Yield",Inputs!F$13*Inputs!F$16,I25)))))))))))</f>
        <v>-65453</v>
      </c>
      <c r="K25" s="11" t="n">
        <f aca="false">IF($E25="Manual",O25,IF($E25="Flat",J25,IF($E25="Inflation",J25*(1+Inputs!G$12),IF($E25="Salary",J25*(1+Inputs!G$10),IF($E25="Benefits",J25*(1+Inputs!G$11),IF($E25="Per Student",J25*K$4/J$4*(1+Inputs!G$12),IF($E25="Enrollment",J25*K$4/J$4,IF($E25="Tuition Index",J25*K$5/J$5,IF($E25="% of Salaries",IF($G$6=0,0,$G25/$G$6*K$6),IF($E25="Debt",$G25*Inputs!G$15/12,IF($E25="Reserve Yield",Inputs!G$13*Inputs!G$16,J25)))))))))))</f>
        <v>-65453</v>
      </c>
      <c r="L25" s="22"/>
      <c r="M25" s="22"/>
      <c r="N25" s="22"/>
      <c r="O25" s="22"/>
    </row>
    <row r="26" customFormat="false" ht="15" hidden="false" customHeight="false" outlineLevel="0" collapsed="false">
      <c r="A26" s="6" t="s">
        <v>177</v>
      </c>
      <c r="B26" s="6" t="s">
        <v>9</v>
      </c>
      <c r="C26" s="30" t="s">
        <v>218</v>
      </c>
      <c r="D26" s="6" t="s">
        <v>219</v>
      </c>
      <c r="E26" s="20" t="s">
        <v>186</v>
      </c>
      <c r="F26" s="20" t="s">
        <v>132</v>
      </c>
      <c r="G26" s="31" t="n">
        <f aca="false">SUMIFS('QB Import'!$B$1:$B$600,'QB Import'!$H$1:$H$600,$C26,'QB Import'!$G$1:$G$600,1)</f>
        <v>145000</v>
      </c>
      <c r="H26" s="11" t="n">
        <f aca="false">IF($E26="Manual",L26,IF($E26="Flat",G26,IF($E26="Inflation",G26*(1+Inputs!D$12),IF($E26="Salary",G26*(1+Inputs!D$10),IF($E26="Benefits",G26*(1+Inputs!D$11),IF($E26="Per Student",G26*H$4/G$4*(1+Inputs!D$12),IF($E26="Enrollment",G26*H$4/G$4,IF($E26="Tuition Index",G26*H$5/G$5,IF($E26="% of Salaries",IF($G$6=0,0,$G26/$G$6*H$6),IF($E26="Debt",$G26*Inputs!D$15/12,IF($E26="Reserve Yield",Inputs!D$13*Inputs!D$16,G26)))))))))))</f>
        <v>145000</v>
      </c>
      <c r="I26" s="11" t="n">
        <f aca="false">IF($E26="Manual",M26,IF($E26="Flat",H26,IF($E26="Inflation",H26*(1+Inputs!E$12),IF($E26="Salary",H26*(1+Inputs!E$10),IF($E26="Benefits",H26*(1+Inputs!E$11),IF($E26="Per Student",H26*I$4/H$4*(1+Inputs!E$12),IF($E26="Enrollment",H26*I$4/H$4,IF($E26="Tuition Index",H26*I$5/H$5,IF($E26="% of Salaries",IF($G$6=0,0,$G26/$G$6*I$6),IF($E26="Debt",$G26*Inputs!E$15/12,IF($E26="Reserve Yield",Inputs!E$13*Inputs!E$16,H26)))))))))))</f>
        <v>145000</v>
      </c>
      <c r="J26" s="11" t="n">
        <f aca="false">IF($E26="Manual",N26,IF($E26="Flat",I26,IF($E26="Inflation",I26*(1+Inputs!F$12),IF($E26="Salary",I26*(1+Inputs!F$10),IF($E26="Benefits",I26*(1+Inputs!F$11),IF($E26="Per Student",I26*J$4/I$4*(1+Inputs!F$12),IF($E26="Enrollment",I26*J$4/I$4,IF($E26="Tuition Index",I26*J$5/I$5,IF($E26="% of Salaries",IF($G$6=0,0,$G26/$G$6*J$6),IF($E26="Debt",$G26*Inputs!F$15/12,IF($E26="Reserve Yield",Inputs!F$13*Inputs!F$16,I26)))))))))))</f>
        <v>145000</v>
      </c>
      <c r="K26" s="11" t="n">
        <f aca="false">IF($E26="Manual",O26,IF($E26="Flat",J26,IF($E26="Inflation",J26*(1+Inputs!G$12),IF($E26="Salary",J26*(1+Inputs!G$10),IF($E26="Benefits",J26*(1+Inputs!G$11),IF($E26="Per Student",J26*K$4/J$4*(1+Inputs!G$12),IF($E26="Enrollment",J26*K$4/J$4,IF($E26="Tuition Index",J26*K$5/J$5,IF($E26="% of Salaries",IF($G$6=0,0,$G26/$G$6*K$6),IF($E26="Debt",$G26*Inputs!G$15/12,IF($E26="Reserve Yield",Inputs!G$13*Inputs!G$16,J26)))))))))))</f>
        <v>145000</v>
      </c>
      <c r="L26" s="22"/>
      <c r="M26" s="22"/>
      <c r="N26" s="22"/>
      <c r="O26" s="22"/>
    </row>
    <row r="27" customFormat="false" ht="15" hidden="false" customHeight="false" outlineLevel="0" collapsed="false">
      <c r="A27" s="6" t="s">
        <v>177</v>
      </c>
      <c r="B27" s="6" t="s">
        <v>9</v>
      </c>
      <c r="C27" s="30" t="s">
        <v>220</v>
      </c>
      <c r="D27" s="6" t="s">
        <v>221</v>
      </c>
      <c r="E27" s="20" t="s">
        <v>186</v>
      </c>
      <c r="F27" s="20" t="s">
        <v>132</v>
      </c>
      <c r="G27" s="31" t="n">
        <f aca="false">SUMIFS('QB Import'!$B$1:$B$600,'QB Import'!$H$1:$H$600,$C27,'QB Import'!$G$1:$G$600,1)</f>
        <v>0</v>
      </c>
      <c r="H27" s="11" t="n">
        <f aca="false">IF($E27="Manual",L27,IF($E27="Flat",G27,IF($E27="Inflation",G27*(1+Inputs!D$12),IF($E27="Salary",G27*(1+Inputs!D$10),IF($E27="Benefits",G27*(1+Inputs!D$11),IF($E27="Per Student",G27*H$4/G$4*(1+Inputs!D$12),IF($E27="Enrollment",G27*H$4/G$4,IF($E27="Tuition Index",G27*H$5/G$5,IF($E27="% of Salaries",IF($G$6=0,0,$G27/$G$6*H$6),IF($E27="Debt",$G27*Inputs!D$15/12,IF($E27="Reserve Yield",Inputs!D$13*Inputs!D$16,G27)))))))))))</f>
        <v>0</v>
      </c>
      <c r="I27" s="11" t="n">
        <f aca="false">IF($E27="Manual",M27,IF($E27="Flat",H27,IF($E27="Inflation",H27*(1+Inputs!E$12),IF($E27="Salary",H27*(1+Inputs!E$10),IF($E27="Benefits",H27*(1+Inputs!E$11),IF($E27="Per Student",H27*I$4/H$4*(1+Inputs!E$12),IF($E27="Enrollment",H27*I$4/H$4,IF($E27="Tuition Index",H27*I$5/H$5,IF($E27="% of Salaries",IF($G$6=0,0,$G27/$G$6*I$6),IF($E27="Debt",$G27*Inputs!E$15/12,IF($E27="Reserve Yield",Inputs!E$13*Inputs!E$16,H27)))))))))))</f>
        <v>0</v>
      </c>
      <c r="J27" s="11" t="n">
        <f aca="false">IF($E27="Manual",N27,IF($E27="Flat",I27,IF($E27="Inflation",I27*(1+Inputs!F$12),IF($E27="Salary",I27*(1+Inputs!F$10),IF($E27="Benefits",I27*(1+Inputs!F$11),IF($E27="Per Student",I27*J$4/I$4*(1+Inputs!F$12),IF($E27="Enrollment",I27*J$4/I$4,IF($E27="Tuition Index",I27*J$5/I$5,IF($E27="% of Salaries",IF($G$6=0,0,$G27/$G$6*J$6),IF($E27="Debt",$G27*Inputs!F$15/12,IF($E27="Reserve Yield",Inputs!F$13*Inputs!F$16,I27)))))))))))</f>
        <v>0</v>
      </c>
      <c r="K27" s="11" t="n">
        <f aca="false">IF($E27="Manual",O27,IF($E27="Flat",J27,IF($E27="Inflation",J27*(1+Inputs!G$12),IF($E27="Salary",J27*(1+Inputs!G$10),IF($E27="Benefits",J27*(1+Inputs!G$11),IF($E27="Per Student",J27*K$4/J$4*(1+Inputs!G$12),IF($E27="Enrollment",J27*K$4/J$4,IF($E27="Tuition Index",J27*K$5/J$5,IF($E27="% of Salaries",IF($G$6=0,0,$G27/$G$6*K$6),IF($E27="Debt",$G27*Inputs!G$15/12,IF($E27="Reserve Yield",Inputs!G$13*Inputs!G$16,J27)))))))))))</f>
        <v>0</v>
      </c>
      <c r="L27" s="22"/>
      <c r="M27" s="22"/>
      <c r="N27" s="22"/>
      <c r="O27" s="22"/>
    </row>
    <row r="28" customFormat="false" ht="15" hidden="false" customHeight="false" outlineLevel="0" collapsed="false">
      <c r="A28" s="6" t="s">
        <v>177</v>
      </c>
      <c r="B28" s="6" t="s">
        <v>9</v>
      </c>
      <c r="C28" s="30" t="s">
        <v>222</v>
      </c>
      <c r="D28" s="6" t="s">
        <v>223</v>
      </c>
      <c r="E28" s="20" t="s">
        <v>186</v>
      </c>
      <c r="F28" s="20" t="s">
        <v>132</v>
      </c>
      <c r="G28" s="31" t="n">
        <f aca="false">SUMIFS('QB Import'!$B$1:$B$600,'QB Import'!$H$1:$H$600,$C28,'QB Import'!$G$1:$G$600,1)</f>
        <v>-95000</v>
      </c>
      <c r="H28" s="11" t="n">
        <f aca="false">IF($E28="Manual",L28,IF($E28="Flat",G28,IF($E28="Inflation",G28*(1+Inputs!D$12),IF($E28="Salary",G28*(1+Inputs!D$10),IF($E28="Benefits",G28*(1+Inputs!D$11),IF($E28="Per Student",G28*H$4/G$4*(1+Inputs!D$12),IF($E28="Enrollment",G28*H$4/G$4,IF($E28="Tuition Index",G28*H$5/G$5,IF($E28="% of Salaries",IF($G$6=0,0,$G28/$G$6*H$6),IF($E28="Debt",$G28*Inputs!D$15/12,IF($E28="Reserve Yield",Inputs!D$13*Inputs!D$16,G28)))))))))))</f>
        <v>-95000</v>
      </c>
      <c r="I28" s="11" t="n">
        <f aca="false">IF($E28="Manual",M28,IF($E28="Flat",H28,IF($E28="Inflation",H28*(1+Inputs!E$12),IF($E28="Salary",H28*(1+Inputs!E$10),IF($E28="Benefits",H28*(1+Inputs!E$11),IF($E28="Per Student",H28*I$4/H$4*(1+Inputs!E$12),IF($E28="Enrollment",H28*I$4/H$4,IF($E28="Tuition Index",H28*I$5/H$5,IF($E28="% of Salaries",IF($G$6=0,0,$G28/$G$6*I$6),IF($E28="Debt",$G28*Inputs!E$15/12,IF($E28="Reserve Yield",Inputs!E$13*Inputs!E$16,H28)))))))))))</f>
        <v>-95000</v>
      </c>
      <c r="J28" s="11" t="n">
        <f aca="false">IF($E28="Manual",N28,IF($E28="Flat",I28,IF($E28="Inflation",I28*(1+Inputs!F$12),IF($E28="Salary",I28*(1+Inputs!F$10),IF($E28="Benefits",I28*(1+Inputs!F$11),IF($E28="Per Student",I28*J$4/I$4*(1+Inputs!F$12),IF($E28="Enrollment",I28*J$4/I$4,IF($E28="Tuition Index",I28*J$5/I$5,IF($E28="% of Salaries",IF($G$6=0,0,$G28/$G$6*J$6),IF($E28="Debt",$G28*Inputs!F$15/12,IF($E28="Reserve Yield",Inputs!F$13*Inputs!F$16,I28)))))))))))</f>
        <v>-95000</v>
      </c>
      <c r="K28" s="11" t="n">
        <f aca="false">IF($E28="Manual",O28,IF($E28="Flat",J28,IF($E28="Inflation",J28*(1+Inputs!G$12),IF($E28="Salary",J28*(1+Inputs!G$10),IF($E28="Benefits",J28*(1+Inputs!G$11),IF($E28="Per Student",J28*K$4/J$4*(1+Inputs!G$12),IF($E28="Enrollment",J28*K$4/J$4,IF($E28="Tuition Index",J28*K$5/J$5,IF($E28="% of Salaries",IF($G$6=0,0,$G28/$G$6*K$6),IF($E28="Debt",$G28*Inputs!G$15/12,IF($E28="Reserve Yield",Inputs!G$13*Inputs!G$16,J28)))))))))))</f>
        <v>-95000</v>
      </c>
      <c r="L28" s="22"/>
      <c r="M28" s="22"/>
      <c r="N28" s="22"/>
      <c r="O28" s="22"/>
    </row>
    <row r="29" customFormat="false" ht="15" hidden="false" customHeight="false" outlineLevel="0" collapsed="false">
      <c r="A29" s="6" t="s">
        <v>177</v>
      </c>
      <c r="B29" s="6" t="s">
        <v>9</v>
      </c>
      <c r="C29" s="30" t="s">
        <v>224</v>
      </c>
      <c r="D29" s="6" t="s">
        <v>225</v>
      </c>
      <c r="E29" s="20" t="s">
        <v>186</v>
      </c>
      <c r="F29" s="20" t="s">
        <v>132</v>
      </c>
      <c r="G29" s="31" t="n">
        <f aca="false">SUMIFS('QB Import'!$B$1:$B$600,'QB Import'!$H$1:$H$600,$C29,'QB Import'!$G$1:$G$600,1)</f>
        <v>0</v>
      </c>
      <c r="H29" s="11" t="n">
        <f aca="false">IF($E29="Manual",L29,IF($E29="Flat",G29,IF($E29="Inflation",G29*(1+Inputs!D$12),IF($E29="Salary",G29*(1+Inputs!D$10),IF($E29="Benefits",G29*(1+Inputs!D$11),IF($E29="Per Student",G29*H$4/G$4*(1+Inputs!D$12),IF($E29="Enrollment",G29*H$4/G$4,IF($E29="Tuition Index",G29*H$5/G$5,IF($E29="% of Salaries",IF($G$6=0,0,$G29/$G$6*H$6),IF($E29="Debt",$G29*Inputs!D$15/12,IF($E29="Reserve Yield",Inputs!D$13*Inputs!D$16,G29)))))))))))</f>
        <v>0</v>
      </c>
      <c r="I29" s="11" t="n">
        <f aca="false">IF($E29="Manual",M29,IF($E29="Flat",H29,IF($E29="Inflation",H29*(1+Inputs!E$12),IF($E29="Salary",H29*(1+Inputs!E$10),IF($E29="Benefits",H29*(1+Inputs!E$11),IF($E29="Per Student",H29*I$4/H$4*(1+Inputs!E$12),IF($E29="Enrollment",H29*I$4/H$4,IF($E29="Tuition Index",H29*I$5/H$5,IF($E29="% of Salaries",IF($G$6=0,0,$G29/$G$6*I$6),IF($E29="Debt",$G29*Inputs!E$15/12,IF($E29="Reserve Yield",Inputs!E$13*Inputs!E$16,H29)))))))))))</f>
        <v>0</v>
      </c>
      <c r="J29" s="11" t="n">
        <f aca="false">IF($E29="Manual",N29,IF($E29="Flat",I29,IF($E29="Inflation",I29*(1+Inputs!F$12),IF($E29="Salary",I29*(1+Inputs!F$10),IF($E29="Benefits",I29*(1+Inputs!F$11),IF($E29="Per Student",I29*J$4/I$4*(1+Inputs!F$12),IF($E29="Enrollment",I29*J$4/I$4,IF($E29="Tuition Index",I29*J$5/I$5,IF($E29="% of Salaries",IF($G$6=0,0,$G29/$G$6*J$6),IF($E29="Debt",$G29*Inputs!F$15/12,IF($E29="Reserve Yield",Inputs!F$13*Inputs!F$16,I29)))))))))))</f>
        <v>0</v>
      </c>
      <c r="K29" s="11" t="n">
        <f aca="false">IF($E29="Manual",O29,IF($E29="Flat",J29,IF($E29="Inflation",J29*(1+Inputs!G$12),IF($E29="Salary",J29*(1+Inputs!G$10),IF($E29="Benefits",J29*(1+Inputs!G$11),IF($E29="Per Student",J29*K$4/J$4*(1+Inputs!G$12),IF($E29="Enrollment",J29*K$4/J$4,IF($E29="Tuition Index",J29*K$5/J$5,IF($E29="% of Salaries",IF($G$6=0,0,$G29/$G$6*K$6),IF($E29="Debt",$G29*Inputs!G$15/12,IF($E29="Reserve Yield",Inputs!G$13*Inputs!G$16,J29)))))))))))</f>
        <v>0</v>
      </c>
      <c r="L29" s="22"/>
      <c r="M29" s="22"/>
      <c r="N29" s="22"/>
      <c r="O29" s="22"/>
    </row>
    <row r="30" customFormat="false" ht="15" hidden="false" customHeight="false" outlineLevel="0" collapsed="false">
      <c r="A30" s="6" t="s">
        <v>177</v>
      </c>
      <c r="B30" s="6" t="s">
        <v>9</v>
      </c>
      <c r="C30" s="30" t="s">
        <v>226</v>
      </c>
      <c r="D30" s="6" t="s">
        <v>227</v>
      </c>
      <c r="E30" s="20" t="s">
        <v>186</v>
      </c>
      <c r="F30" s="20" t="s">
        <v>133</v>
      </c>
      <c r="G30" s="31" t="n">
        <f aca="false">SUMIFS('QB Import'!$B$1:$B$600,'QB Import'!$H$1:$H$600,$C30,'QB Import'!$G$1:$G$600,1)</f>
        <v>60000</v>
      </c>
      <c r="H30" s="11" t="n">
        <f aca="false">IF($E30="Manual",L30,IF($E30="Flat",G30,IF($E30="Inflation",G30*(1+Inputs!D$12),IF($E30="Salary",G30*(1+Inputs!D$10),IF($E30="Benefits",G30*(1+Inputs!D$11),IF($E30="Per Student",G30*H$4/G$4*(1+Inputs!D$12),IF($E30="Enrollment",G30*H$4/G$4,IF($E30="Tuition Index",G30*H$5/G$5,IF($E30="% of Salaries",IF($G$6=0,0,$G30/$G$6*H$6),IF($E30="Debt",$G30*Inputs!D$15/12,IF($E30="Reserve Yield",Inputs!D$13*Inputs!D$16,G30)))))))))))</f>
        <v>60000</v>
      </c>
      <c r="I30" s="11" t="n">
        <f aca="false">IF($E30="Manual",M30,IF($E30="Flat",H30,IF($E30="Inflation",H30*(1+Inputs!E$12),IF($E30="Salary",H30*(1+Inputs!E$10),IF($E30="Benefits",H30*(1+Inputs!E$11),IF($E30="Per Student",H30*I$4/H$4*(1+Inputs!E$12),IF($E30="Enrollment",H30*I$4/H$4,IF($E30="Tuition Index",H30*I$5/H$5,IF($E30="% of Salaries",IF($G$6=0,0,$G30/$G$6*I$6),IF($E30="Debt",$G30*Inputs!E$15/12,IF($E30="Reserve Yield",Inputs!E$13*Inputs!E$16,H30)))))))))))</f>
        <v>60000</v>
      </c>
      <c r="J30" s="11" t="n">
        <f aca="false">IF($E30="Manual",N30,IF($E30="Flat",I30,IF($E30="Inflation",I30*(1+Inputs!F$12),IF($E30="Salary",I30*(1+Inputs!F$10),IF($E30="Benefits",I30*(1+Inputs!F$11),IF($E30="Per Student",I30*J$4/I$4*(1+Inputs!F$12),IF($E30="Enrollment",I30*J$4/I$4,IF($E30="Tuition Index",I30*J$5/I$5,IF($E30="% of Salaries",IF($G$6=0,0,$G30/$G$6*J$6),IF($E30="Debt",$G30*Inputs!F$15/12,IF($E30="Reserve Yield",Inputs!F$13*Inputs!F$16,I30)))))))))))</f>
        <v>60000</v>
      </c>
      <c r="K30" s="11" t="n">
        <f aca="false">IF($E30="Manual",O30,IF($E30="Flat",J30,IF($E30="Inflation",J30*(1+Inputs!G$12),IF($E30="Salary",J30*(1+Inputs!G$10),IF($E30="Benefits",J30*(1+Inputs!G$11),IF($E30="Per Student",J30*K$4/J$4*(1+Inputs!G$12),IF($E30="Enrollment",J30*K$4/J$4,IF($E30="Tuition Index",J30*K$5/J$5,IF($E30="% of Salaries",IF($G$6=0,0,$G30/$G$6*K$6),IF($E30="Debt",$G30*Inputs!G$15/12,IF($E30="Reserve Yield",Inputs!G$13*Inputs!G$16,J30)))))))))))</f>
        <v>60000</v>
      </c>
      <c r="L30" s="22"/>
      <c r="M30" s="22"/>
      <c r="N30" s="22"/>
      <c r="O30" s="22"/>
    </row>
    <row r="31" customFormat="false" ht="15" hidden="false" customHeight="false" outlineLevel="0" collapsed="false">
      <c r="A31" s="6" t="s">
        <v>177</v>
      </c>
      <c r="B31" s="6" t="s">
        <v>9</v>
      </c>
      <c r="C31" s="30" t="s">
        <v>228</v>
      </c>
      <c r="D31" s="6" t="s">
        <v>229</v>
      </c>
      <c r="E31" s="20" t="s">
        <v>186</v>
      </c>
      <c r="F31" s="20" t="s">
        <v>133</v>
      </c>
      <c r="G31" s="31" t="n">
        <f aca="false">SUMIFS('QB Import'!$B$1:$B$600,'QB Import'!$H$1:$H$600,$C31,'QB Import'!$G$1:$G$600,1)</f>
        <v>0</v>
      </c>
      <c r="H31" s="11" t="n">
        <f aca="false">IF($E31="Manual",L31,IF($E31="Flat",G31,IF($E31="Inflation",G31*(1+Inputs!D$12),IF($E31="Salary",G31*(1+Inputs!D$10),IF($E31="Benefits",G31*(1+Inputs!D$11),IF($E31="Per Student",G31*H$4/G$4*(1+Inputs!D$12),IF($E31="Enrollment",G31*H$4/G$4,IF($E31="Tuition Index",G31*H$5/G$5,IF($E31="% of Salaries",IF($G$6=0,0,$G31/$G$6*H$6),IF($E31="Debt",$G31*Inputs!D$15/12,IF($E31="Reserve Yield",Inputs!D$13*Inputs!D$16,G31)))))))))))</f>
        <v>0</v>
      </c>
      <c r="I31" s="11" t="n">
        <f aca="false">IF($E31="Manual",M31,IF($E31="Flat",H31,IF($E31="Inflation",H31*(1+Inputs!E$12),IF($E31="Salary",H31*(1+Inputs!E$10),IF($E31="Benefits",H31*(1+Inputs!E$11),IF($E31="Per Student",H31*I$4/H$4*(1+Inputs!E$12),IF($E31="Enrollment",H31*I$4/H$4,IF($E31="Tuition Index",H31*I$5/H$5,IF($E31="% of Salaries",IF($G$6=0,0,$G31/$G$6*I$6),IF($E31="Debt",$G31*Inputs!E$15/12,IF($E31="Reserve Yield",Inputs!E$13*Inputs!E$16,H31)))))))))))</f>
        <v>0</v>
      </c>
      <c r="J31" s="11" t="n">
        <f aca="false">IF($E31="Manual",N31,IF($E31="Flat",I31,IF($E31="Inflation",I31*(1+Inputs!F$12),IF($E31="Salary",I31*(1+Inputs!F$10),IF($E31="Benefits",I31*(1+Inputs!F$11),IF($E31="Per Student",I31*J$4/I$4*(1+Inputs!F$12),IF($E31="Enrollment",I31*J$4/I$4,IF($E31="Tuition Index",I31*J$5/I$5,IF($E31="% of Salaries",IF($G$6=0,0,$G31/$G$6*J$6),IF($E31="Debt",$G31*Inputs!F$15/12,IF($E31="Reserve Yield",Inputs!F$13*Inputs!F$16,I31)))))))))))</f>
        <v>0</v>
      </c>
      <c r="K31" s="11" t="n">
        <f aca="false">IF($E31="Manual",O31,IF($E31="Flat",J31,IF($E31="Inflation",J31*(1+Inputs!G$12),IF($E31="Salary",J31*(1+Inputs!G$10),IF($E31="Benefits",J31*(1+Inputs!G$11),IF($E31="Per Student",J31*K$4/J$4*(1+Inputs!G$12),IF($E31="Enrollment",J31*K$4/J$4,IF($E31="Tuition Index",J31*K$5/J$5,IF($E31="% of Salaries",IF($G$6=0,0,$G31/$G$6*K$6),IF($E31="Debt",$G31*Inputs!G$15/12,IF($E31="Reserve Yield",Inputs!G$13*Inputs!G$16,J31)))))))))))</f>
        <v>0</v>
      </c>
      <c r="L31" s="22"/>
      <c r="M31" s="22"/>
      <c r="N31" s="22"/>
      <c r="O31" s="22"/>
    </row>
    <row r="32" customFormat="false" ht="15" hidden="false" customHeight="false" outlineLevel="0" collapsed="false">
      <c r="A32" s="6" t="s">
        <v>177</v>
      </c>
      <c r="B32" s="6" t="s">
        <v>9</v>
      </c>
      <c r="C32" s="30" t="s">
        <v>230</v>
      </c>
      <c r="D32" s="6" t="s">
        <v>231</v>
      </c>
      <c r="E32" s="20" t="s">
        <v>186</v>
      </c>
      <c r="F32" s="20" t="s">
        <v>133</v>
      </c>
      <c r="G32" s="31" t="n">
        <f aca="false">SUMIFS('QB Import'!$B$1:$B$600,'QB Import'!$H$1:$H$600,$C32,'QB Import'!$G$1:$G$600,1)</f>
        <v>55000</v>
      </c>
      <c r="H32" s="11" t="n">
        <f aca="false">IF($E32="Manual",L32,IF($E32="Flat",G32,IF($E32="Inflation",G32*(1+Inputs!D$12),IF($E32="Salary",G32*(1+Inputs!D$10),IF($E32="Benefits",G32*(1+Inputs!D$11),IF($E32="Per Student",G32*H$4/G$4*(1+Inputs!D$12),IF($E32="Enrollment",G32*H$4/G$4,IF($E32="Tuition Index",G32*H$5/G$5,IF($E32="% of Salaries",IF($G$6=0,0,$G32/$G$6*H$6),IF($E32="Debt",$G32*Inputs!D$15/12,IF($E32="Reserve Yield",Inputs!D$13*Inputs!D$16,G32)))))))))))</f>
        <v>55000</v>
      </c>
      <c r="I32" s="11" t="n">
        <f aca="false">IF($E32="Manual",M32,IF($E32="Flat",H32,IF($E32="Inflation",H32*(1+Inputs!E$12),IF($E32="Salary",H32*(1+Inputs!E$10),IF($E32="Benefits",H32*(1+Inputs!E$11),IF($E32="Per Student",H32*I$4/H$4*(1+Inputs!E$12),IF($E32="Enrollment",H32*I$4/H$4,IF($E32="Tuition Index",H32*I$5/H$5,IF($E32="% of Salaries",IF($G$6=0,0,$G32/$G$6*I$6),IF($E32="Debt",$G32*Inputs!E$15/12,IF($E32="Reserve Yield",Inputs!E$13*Inputs!E$16,H32)))))))))))</f>
        <v>55000</v>
      </c>
      <c r="J32" s="11" t="n">
        <f aca="false">IF($E32="Manual",N32,IF($E32="Flat",I32,IF($E32="Inflation",I32*(1+Inputs!F$12),IF($E32="Salary",I32*(1+Inputs!F$10),IF($E32="Benefits",I32*(1+Inputs!F$11),IF($E32="Per Student",I32*J$4/I$4*(1+Inputs!F$12),IF($E32="Enrollment",I32*J$4/I$4,IF($E32="Tuition Index",I32*J$5/I$5,IF($E32="% of Salaries",IF($G$6=0,0,$G32/$G$6*J$6),IF($E32="Debt",$G32*Inputs!F$15/12,IF($E32="Reserve Yield",Inputs!F$13*Inputs!F$16,I32)))))))))))</f>
        <v>55000</v>
      </c>
      <c r="K32" s="11" t="n">
        <f aca="false">IF($E32="Manual",O32,IF($E32="Flat",J32,IF($E32="Inflation",J32*(1+Inputs!G$12),IF($E32="Salary",J32*(1+Inputs!G$10),IF($E32="Benefits",J32*(1+Inputs!G$11),IF($E32="Per Student",J32*K$4/J$4*(1+Inputs!G$12),IF($E32="Enrollment",J32*K$4/J$4,IF($E32="Tuition Index",J32*K$5/J$5,IF($E32="% of Salaries",IF($G$6=0,0,$G32/$G$6*K$6),IF($E32="Debt",$G32*Inputs!G$15/12,IF($E32="Reserve Yield",Inputs!G$13*Inputs!G$16,J32)))))))))))</f>
        <v>55000</v>
      </c>
      <c r="L32" s="22"/>
      <c r="M32" s="22"/>
      <c r="N32" s="22"/>
      <c r="O32" s="22"/>
    </row>
    <row r="33" customFormat="false" ht="15" hidden="false" customHeight="false" outlineLevel="0" collapsed="false">
      <c r="A33" s="6" t="s">
        <v>177</v>
      </c>
      <c r="B33" s="6" t="s">
        <v>9</v>
      </c>
      <c r="C33" s="30" t="s">
        <v>232</v>
      </c>
      <c r="D33" s="6" t="s">
        <v>233</v>
      </c>
      <c r="E33" s="20" t="s">
        <v>183</v>
      </c>
      <c r="F33" s="20" t="s">
        <v>133</v>
      </c>
      <c r="G33" s="31" t="n">
        <f aca="false">SUMIFS('QB Import'!$B$1:$B$600,'QB Import'!$H$1:$H$600,$C33,'QB Import'!$G$1:$G$600,1)</f>
        <v>100000</v>
      </c>
      <c r="H33" s="11" t="n">
        <f aca="false">IF($E33="Manual",L33,IF($E33="Flat",G33,IF($E33="Inflation",G33*(1+Inputs!D$12),IF($E33="Salary",G33*(1+Inputs!D$10),IF($E33="Benefits",G33*(1+Inputs!D$11),IF($E33="Per Student",G33*H$4/G$4*(1+Inputs!D$12),IF($E33="Enrollment",G33*H$4/G$4,IF($E33="Tuition Index",G33*H$5/G$5,IF($E33="% of Salaries",IF($G$6=0,0,$G33/$G$6*H$6),IF($E33="Debt",$G33*Inputs!D$15/12,IF($E33="Reserve Yield",Inputs!D$13*Inputs!D$16,G33)))))))))))</f>
        <v>50000</v>
      </c>
      <c r="I33" s="11" t="n">
        <f aca="false">IF($E33="Manual",M33,IF($E33="Flat",H33,IF($E33="Inflation",H33*(1+Inputs!E$12),IF($E33="Salary",H33*(1+Inputs!E$10),IF($E33="Benefits",H33*(1+Inputs!E$11),IF($E33="Per Student",H33*I$4/H$4*(1+Inputs!E$12),IF($E33="Enrollment",H33*I$4/H$4,IF($E33="Tuition Index",H33*I$5/H$5,IF($E33="% of Salaries",IF($G$6=0,0,$G33/$G$6*I$6),IF($E33="Debt",$G33*Inputs!E$15/12,IF($E33="Reserve Yield",Inputs!E$13*Inputs!E$16,H33)))))))))))</f>
        <v>0</v>
      </c>
      <c r="J33" s="11" t="n">
        <f aca="false">IF($E33="Manual",N33,IF($E33="Flat",I33,IF($E33="Inflation",I33*(1+Inputs!F$12),IF($E33="Salary",I33*(1+Inputs!F$10),IF($E33="Benefits",I33*(1+Inputs!F$11),IF($E33="Per Student",I33*J$4/I$4*(1+Inputs!F$12),IF($E33="Enrollment",I33*J$4/I$4,IF($E33="Tuition Index",I33*J$5/I$5,IF($E33="% of Salaries",IF($G$6=0,0,$G33/$G$6*J$6),IF($E33="Debt",$G33*Inputs!F$15/12,IF($E33="Reserve Yield",Inputs!F$13*Inputs!F$16,I33)))))))))))</f>
        <v>0</v>
      </c>
      <c r="K33" s="11" t="n">
        <f aca="false">IF($E33="Manual",O33,IF($E33="Flat",J33,IF($E33="Inflation",J33*(1+Inputs!G$12),IF($E33="Salary",J33*(1+Inputs!G$10),IF($E33="Benefits",J33*(1+Inputs!G$11),IF($E33="Per Student",J33*K$4/J$4*(1+Inputs!G$12),IF($E33="Enrollment",J33*K$4/J$4,IF($E33="Tuition Index",J33*K$5/J$5,IF($E33="% of Salaries",IF($G$6=0,0,$G33/$G$6*K$6),IF($E33="Debt",$G33*Inputs!G$15/12,IF($E33="Reserve Yield",Inputs!G$13*Inputs!G$16,J33)))))))))))</f>
        <v>0</v>
      </c>
      <c r="L33" s="22" t="n">
        <v>50000</v>
      </c>
      <c r="M33" s="22" t="n">
        <v>0</v>
      </c>
      <c r="N33" s="22" t="n">
        <v>0</v>
      </c>
      <c r="O33" s="22" t="n">
        <v>0</v>
      </c>
    </row>
    <row r="34" customFormat="false" ht="15" hidden="false" customHeight="false" outlineLevel="0" collapsed="false">
      <c r="A34" s="6" t="s">
        <v>177</v>
      </c>
      <c r="B34" s="6" t="s">
        <v>9</v>
      </c>
      <c r="C34" s="30" t="s">
        <v>234</v>
      </c>
      <c r="D34" s="6" t="s">
        <v>235</v>
      </c>
      <c r="E34" s="20" t="s">
        <v>186</v>
      </c>
      <c r="F34" s="20" t="s">
        <v>133</v>
      </c>
      <c r="G34" s="31" t="n">
        <f aca="false">SUMIFS('QB Import'!$B$1:$B$600,'QB Import'!$H$1:$H$600,$C34,'QB Import'!$G$1:$G$600,1)</f>
        <v>150000</v>
      </c>
      <c r="H34" s="11" t="n">
        <f aca="false">IF($E34="Manual",L34,IF($E34="Flat",G34,IF($E34="Inflation",G34*(1+Inputs!D$12),IF($E34="Salary",G34*(1+Inputs!D$10),IF($E34="Benefits",G34*(1+Inputs!D$11),IF($E34="Per Student",G34*H$4/G$4*(1+Inputs!D$12),IF($E34="Enrollment",G34*H$4/G$4,IF($E34="Tuition Index",G34*H$5/G$5,IF($E34="% of Salaries",IF($G$6=0,0,$G34/$G$6*H$6),IF($E34="Debt",$G34*Inputs!D$15/12,IF($E34="Reserve Yield",Inputs!D$13*Inputs!D$16,G34)))))))))))</f>
        <v>150000</v>
      </c>
      <c r="I34" s="11" t="n">
        <f aca="false">IF($E34="Manual",M34,IF($E34="Flat",H34,IF($E34="Inflation",H34*(1+Inputs!E$12),IF($E34="Salary",H34*(1+Inputs!E$10),IF($E34="Benefits",H34*(1+Inputs!E$11),IF($E34="Per Student",H34*I$4/H$4*(1+Inputs!E$12),IF($E34="Enrollment",H34*I$4/H$4,IF($E34="Tuition Index",H34*I$5/H$5,IF($E34="% of Salaries",IF($G$6=0,0,$G34/$G$6*I$6),IF($E34="Debt",$G34*Inputs!E$15/12,IF($E34="Reserve Yield",Inputs!E$13*Inputs!E$16,H34)))))))))))</f>
        <v>150000</v>
      </c>
      <c r="J34" s="11" t="n">
        <f aca="false">IF($E34="Manual",N34,IF($E34="Flat",I34,IF($E34="Inflation",I34*(1+Inputs!F$12),IF($E34="Salary",I34*(1+Inputs!F$10),IF($E34="Benefits",I34*(1+Inputs!F$11),IF($E34="Per Student",I34*J$4/I$4*(1+Inputs!F$12),IF($E34="Enrollment",I34*J$4/I$4,IF($E34="Tuition Index",I34*J$5/I$5,IF($E34="% of Salaries",IF($G$6=0,0,$G34/$G$6*J$6),IF($E34="Debt",$G34*Inputs!F$15/12,IF($E34="Reserve Yield",Inputs!F$13*Inputs!F$16,I34)))))))))))</f>
        <v>150000</v>
      </c>
      <c r="K34" s="11" t="n">
        <f aca="false">IF($E34="Manual",O34,IF($E34="Flat",J34,IF($E34="Inflation",J34*(1+Inputs!G$12),IF($E34="Salary",J34*(1+Inputs!G$10),IF($E34="Benefits",J34*(1+Inputs!G$11),IF($E34="Per Student",J34*K$4/J$4*(1+Inputs!G$12),IF($E34="Enrollment",J34*K$4/J$4,IF($E34="Tuition Index",J34*K$5/J$5,IF($E34="% of Salaries",IF($G$6=0,0,$G34/$G$6*K$6),IF($E34="Debt",$G34*Inputs!G$15/12,IF($E34="Reserve Yield",Inputs!G$13*Inputs!G$16,J34)))))))))))</f>
        <v>150000</v>
      </c>
      <c r="L34" s="22"/>
      <c r="M34" s="22"/>
      <c r="N34" s="22"/>
      <c r="O34" s="22"/>
    </row>
    <row r="35" customFormat="false" ht="15" hidden="false" customHeight="false" outlineLevel="0" collapsed="false">
      <c r="A35" s="6" t="s">
        <v>177</v>
      </c>
      <c r="B35" s="6" t="s">
        <v>9</v>
      </c>
      <c r="C35" s="30" t="s">
        <v>236</v>
      </c>
      <c r="D35" s="6" t="s">
        <v>237</v>
      </c>
      <c r="E35" s="20" t="s">
        <v>238</v>
      </c>
      <c r="F35" s="20" t="s">
        <v>132</v>
      </c>
      <c r="G35" s="31" t="n">
        <f aca="false">SUMIFS('QB Import'!$B$1:$B$600,'QB Import'!$H$1:$H$600,$C35,'QB Import'!$G$1:$G$600,1)</f>
        <v>30000</v>
      </c>
      <c r="H35" s="11" t="n">
        <f aca="false">IF($E35="Manual",L35,IF($E35="Flat",G35,IF($E35="Inflation",G35*(1+Inputs!D$12),IF($E35="Salary",G35*(1+Inputs!D$10),IF($E35="Benefits",G35*(1+Inputs!D$11),IF($E35="Per Student",G35*H$4/G$4*(1+Inputs!D$12),IF($E35="Enrollment",G35*H$4/G$4,IF($E35="Tuition Index",G35*H$5/G$5,IF($E35="% of Salaries",IF($G$6=0,0,$G35/$G$6*H$6),IF($E35="Debt",$G35*Inputs!D$15/12,IF($E35="Reserve Yield",Inputs!D$13*Inputs!D$16,G35)))))))))))</f>
        <v>29005.03102</v>
      </c>
      <c r="I35" s="11" t="n">
        <f aca="false">IF($E35="Manual",M35,IF($E35="Flat",H35,IF($E35="Inflation",H35*(1+Inputs!E$12),IF($E35="Salary",H35*(1+Inputs!E$10),IF($E35="Benefits",H35*(1+Inputs!E$11),IF($E35="Per Student",H35*I$4/H$4*(1+Inputs!E$12),IF($E35="Enrollment",H35*I$4/H$4,IF($E35="Tuition Index",H35*I$5/H$5,IF($E35="% of Salaries",IF($G$6=0,0,$G35/$G$6*I$6),IF($E35="Debt",$G35*Inputs!E$15/12,IF($E35="Reserve Yield",Inputs!E$13*Inputs!E$16,H35)))))))))))</f>
        <v>29005.03102</v>
      </c>
      <c r="J35" s="11" t="n">
        <f aca="false">IF($E35="Manual",N35,IF($E35="Flat",I35,IF($E35="Inflation",I35*(1+Inputs!F$12),IF($E35="Salary",I35*(1+Inputs!F$10),IF($E35="Benefits",I35*(1+Inputs!F$11),IF($E35="Per Student",I35*J$4/I$4*(1+Inputs!F$12),IF($E35="Enrollment",I35*J$4/I$4,IF($E35="Tuition Index",I35*J$5/I$5,IF($E35="% of Salaries",IF($G$6=0,0,$G35/$G$6*J$6),IF($E35="Debt",$G35*Inputs!F$15/12,IF($E35="Reserve Yield",Inputs!F$13*Inputs!F$16,I35)))))))))))</f>
        <v>29005.03102</v>
      </c>
      <c r="K35" s="11" t="n">
        <f aca="false">IF($E35="Manual",O35,IF($E35="Flat",J35,IF($E35="Inflation",J35*(1+Inputs!G$12),IF($E35="Salary",J35*(1+Inputs!G$10),IF($E35="Benefits",J35*(1+Inputs!G$11),IF($E35="Per Student",J35*K$4/J$4*(1+Inputs!G$12),IF($E35="Enrollment",J35*K$4/J$4,IF($E35="Tuition Index",J35*K$5/J$5,IF($E35="% of Salaries",IF($G$6=0,0,$G35/$G$6*K$6),IF($E35="Debt",$G35*Inputs!G$15/12,IF($E35="Reserve Yield",Inputs!G$13*Inputs!G$16,J35)))))))))))</f>
        <v>29005.03102</v>
      </c>
      <c r="L35" s="22"/>
      <c r="M35" s="22"/>
      <c r="N35" s="22"/>
      <c r="O35" s="22"/>
    </row>
    <row r="36" customFormat="false" ht="15" hidden="false" customHeight="false" outlineLevel="0" collapsed="false">
      <c r="A36" s="6" t="s">
        <v>177</v>
      </c>
      <c r="B36" s="6" t="s">
        <v>9</v>
      </c>
      <c r="C36" s="30" t="s">
        <v>239</v>
      </c>
      <c r="D36" s="6" t="s">
        <v>240</v>
      </c>
      <c r="E36" s="20" t="s">
        <v>186</v>
      </c>
      <c r="F36" s="20" t="s">
        <v>132</v>
      </c>
      <c r="G36" s="31" t="n">
        <f aca="false">SUMIFS('QB Import'!$B$1:$B$600,'QB Import'!$H$1:$H$600,$C36,'QB Import'!$G$1:$G$600,1)</f>
        <v>0</v>
      </c>
      <c r="H36" s="11" t="n">
        <f aca="false">IF($E36="Manual",L36,IF($E36="Flat",G36,IF($E36="Inflation",G36*(1+Inputs!D$12),IF($E36="Salary",G36*(1+Inputs!D$10),IF($E36="Benefits",G36*(1+Inputs!D$11),IF($E36="Per Student",G36*H$4/G$4*(1+Inputs!D$12),IF($E36="Enrollment",G36*H$4/G$4,IF($E36="Tuition Index",G36*H$5/G$5,IF($E36="% of Salaries",IF($G$6=0,0,$G36/$G$6*H$6),IF($E36="Debt",$G36*Inputs!D$15/12,IF($E36="Reserve Yield",Inputs!D$13*Inputs!D$16,G36)))))))))))</f>
        <v>0</v>
      </c>
      <c r="I36" s="11" t="n">
        <f aca="false">IF($E36="Manual",M36,IF($E36="Flat",H36,IF($E36="Inflation",H36*(1+Inputs!E$12),IF($E36="Salary",H36*(1+Inputs!E$10),IF($E36="Benefits",H36*(1+Inputs!E$11),IF($E36="Per Student",H36*I$4/H$4*(1+Inputs!E$12),IF($E36="Enrollment",H36*I$4/H$4,IF($E36="Tuition Index",H36*I$5/H$5,IF($E36="% of Salaries",IF($G$6=0,0,$G36/$G$6*I$6),IF($E36="Debt",$G36*Inputs!E$15/12,IF($E36="Reserve Yield",Inputs!E$13*Inputs!E$16,H36)))))))))))</f>
        <v>0</v>
      </c>
      <c r="J36" s="11" t="n">
        <f aca="false">IF($E36="Manual",N36,IF($E36="Flat",I36,IF($E36="Inflation",I36*(1+Inputs!F$12),IF($E36="Salary",I36*(1+Inputs!F$10),IF($E36="Benefits",I36*(1+Inputs!F$11),IF($E36="Per Student",I36*J$4/I$4*(1+Inputs!F$12),IF($E36="Enrollment",I36*J$4/I$4,IF($E36="Tuition Index",I36*J$5/I$5,IF($E36="% of Salaries",IF($G$6=0,0,$G36/$G$6*J$6),IF($E36="Debt",$G36*Inputs!F$15/12,IF($E36="Reserve Yield",Inputs!F$13*Inputs!F$16,I36)))))))))))</f>
        <v>0</v>
      </c>
      <c r="K36" s="11" t="n">
        <f aca="false">IF($E36="Manual",O36,IF($E36="Flat",J36,IF($E36="Inflation",J36*(1+Inputs!G$12),IF($E36="Salary",J36*(1+Inputs!G$10),IF($E36="Benefits",J36*(1+Inputs!G$11),IF($E36="Per Student",J36*K$4/J$4*(1+Inputs!G$12),IF($E36="Enrollment",J36*K$4/J$4,IF($E36="Tuition Index",J36*K$5/J$5,IF($E36="% of Salaries",IF($G$6=0,0,$G36/$G$6*K$6),IF($E36="Debt",$G36*Inputs!G$15/12,IF($E36="Reserve Yield",Inputs!G$13*Inputs!G$16,J36)))))))))))</f>
        <v>0</v>
      </c>
      <c r="L36" s="22"/>
      <c r="M36" s="22"/>
      <c r="N36" s="22"/>
      <c r="O36" s="22"/>
    </row>
    <row r="37" customFormat="false" ht="15" hidden="false" customHeight="false" outlineLevel="0" collapsed="false">
      <c r="A37" s="6" t="s">
        <v>177</v>
      </c>
      <c r="B37" s="6" t="s">
        <v>9</v>
      </c>
      <c r="C37" s="30" t="s">
        <v>241</v>
      </c>
      <c r="D37" s="6" t="s">
        <v>242</v>
      </c>
      <c r="E37" s="20" t="s">
        <v>186</v>
      </c>
      <c r="F37" s="20" t="s">
        <v>132</v>
      </c>
      <c r="G37" s="31" t="n">
        <f aca="false">SUMIFS('QB Import'!$B$1:$B$600,'QB Import'!$H$1:$H$600,$C37,'QB Import'!$G$1:$G$600,1)</f>
        <v>0</v>
      </c>
      <c r="H37" s="11" t="n">
        <f aca="false">IF($E37="Manual",L37,IF($E37="Flat",G37,IF($E37="Inflation",G37*(1+Inputs!D$12),IF($E37="Salary",G37*(1+Inputs!D$10),IF($E37="Benefits",G37*(1+Inputs!D$11),IF($E37="Per Student",G37*H$4/G$4*(1+Inputs!D$12),IF($E37="Enrollment",G37*H$4/G$4,IF($E37="Tuition Index",G37*H$5/G$5,IF($E37="% of Salaries",IF($G$6=0,0,$G37/$G$6*H$6),IF($E37="Debt",$G37*Inputs!D$15/12,IF($E37="Reserve Yield",Inputs!D$13*Inputs!D$16,G37)))))))))))</f>
        <v>0</v>
      </c>
      <c r="I37" s="11" t="n">
        <f aca="false">IF($E37="Manual",M37,IF($E37="Flat",H37,IF($E37="Inflation",H37*(1+Inputs!E$12),IF($E37="Salary",H37*(1+Inputs!E$10),IF($E37="Benefits",H37*(1+Inputs!E$11),IF($E37="Per Student",H37*I$4/H$4*(1+Inputs!E$12),IF($E37="Enrollment",H37*I$4/H$4,IF($E37="Tuition Index",H37*I$5/H$5,IF($E37="% of Salaries",IF($G$6=0,0,$G37/$G$6*I$6),IF($E37="Debt",$G37*Inputs!E$15/12,IF($E37="Reserve Yield",Inputs!E$13*Inputs!E$16,H37)))))))))))</f>
        <v>0</v>
      </c>
      <c r="J37" s="11" t="n">
        <f aca="false">IF($E37="Manual",N37,IF($E37="Flat",I37,IF($E37="Inflation",I37*(1+Inputs!F$12),IF($E37="Salary",I37*(1+Inputs!F$10),IF($E37="Benefits",I37*(1+Inputs!F$11),IF($E37="Per Student",I37*J$4/I$4*(1+Inputs!F$12),IF($E37="Enrollment",I37*J$4/I$4,IF($E37="Tuition Index",I37*J$5/I$5,IF($E37="% of Salaries",IF($G$6=0,0,$G37/$G$6*J$6),IF($E37="Debt",$G37*Inputs!F$15/12,IF($E37="Reserve Yield",Inputs!F$13*Inputs!F$16,I37)))))))))))</f>
        <v>0</v>
      </c>
      <c r="K37" s="11" t="n">
        <f aca="false">IF($E37="Manual",O37,IF($E37="Flat",J37,IF($E37="Inflation",J37*(1+Inputs!G$12),IF($E37="Salary",J37*(1+Inputs!G$10),IF($E37="Benefits",J37*(1+Inputs!G$11),IF($E37="Per Student",J37*K$4/J$4*(1+Inputs!G$12),IF($E37="Enrollment",J37*K$4/J$4,IF($E37="Tuition Index",J37*K$5/J$5,IF($E37="% of Salaries",IF($G$6=0,0,$G37/$G$6*K$6),IF($E37="Debt",$G37*Inputs!G$15/12,IF($E37="Reserve Yield",Inputs!G$13*Inputs!G$16,J37)))))))))))</f>
        <v>0</v>
      </c>
      <c r="L37" s="22"/>
      <c r="M37" s="22"/>
      <c r="N37" s="22"/>
      <c r="O37" s="22"/>
    </row>
    <row r="38" customFormat="false" ht="15" hidden="false" customHeight="false" outlineLevel="0" collapsed="false">
      <c r="A38" s="6" t="s">
        <v>177</v>
      </c>
      <c r="B38" s="6" t="s">
        <v>10</v>
      </c>
      <c r="C38" s="30" t="s">
        <v>10</v>
      </c>
      <c r="D38" s="6" t="s">
        <v>10</v>
      </c>
      <c r="E38" s="20" t="s">
        <v>186</v>
      </c>
      <c r="F38" s="20" t="s">
        <v>132</v>
      </c>
      <c r="G38" s="31" t="n">
        <f aca="false">SUMIFS('QB Import'!$B$1:$B$600,'QB Import'!$H$1:$H$600,$C38,'QB Import'!$G$1:$G$600,1)</f>
        <v>60000</v>
      </c>
      <c r="H38" s="11" t="n">
        <f aca="false">IF($E38="Manual",L38,IF($E38="Flat",G38,IF($E38="Inflation",G38*(1+Inputs!D$12),IF($E38="Salary",G38*(1+Inputs!D$10),IF($E38="Benefits",G38*(1+Inputs!D$11),IF($E38="Per Student",G38*H$4/G$4*(1+Inputs!D$12),IF($E38="Enrollment",G38*H$4/G$4,IF($E38="Tuition Index",G38*H$5/G$5,IF($E38="% of Salaries",IF($G$6=0,0,$G38/$G$6*H$6),IF($E38="Debt",$G38*Inputs!D$15/12,IF($E38="Reserve Yield",Inputs!D$13*Inputs!D$16,G38)))))))))))</f>
        <v>60000</v>
      </c>
      <c r="I38" s="11" t="n">
        <f aca="false">IF($E38="Manual",M38,IF($E38="Flat",H38,IF($E38="Inflation",H38*(1+Inputs!E$12),IF($E38="Salary",H38*(1+Inputs!E$10),IF($E38="Benefits",H38*(1+Inputs!E$11),IF($E38="Per Student",H38*I$4/H$4*(1+Inputs!E$12),IF($E38="Enrollment",H38*I$4/H$4,IF($E38="Tuition Index",H38*I$5/H$5,IF($E38="% of Salaries",IF($G$6=0,0,$G38/$G$6*I$6),IF($E38="Debt",$G38*Inputs!E$15/12,IF($E38="Reserve Yield",Inputs!E$13*Inputs!E$16,H38)))))))))))</f>
        <v>60000</v>
      </c>
      <c r="J38" s="11" t="n">
        <f aca="false">IF($E38="Manual",N38,IF($E38="Flat",I38,IF($E38="Inflation",I38*(1+Inputs!F$12),IF($E38="Salary",I38*(1+Inputs!F$10),IF($E38="Benefits",I38*(1+Inputs!F$11),IF($E38="Per Student",I38*J$4/I$4*(1+Inputs!F$12),IF($E38="Enrollment",I38*J$4/I$4,IF($E38="Tuition Index",I38*J$5/I$5,IF($E38="% of Salaries",IF($G$6=0,0,$G38/$G$6*J$6),IF($E38="Debt",$G38*Inputs!F$15/12,IF($E38="Reserve Yield",Inputs!F$13*Inputs!F$16,I38)))))))))))</f>
        <v>60000</v>
      </c>
      <c r="K38" s="11" t="n">
        <f aca="false">IF($E38="Manual",O38,IF($E38="Flat",J38,IF($E38="Inflation",J38*(1+Inputs!G$12),IF($E38="Salary",J38*(1+Inputs!G$10),IF($E38="Benefits",J38*(1+Inputs!G$11),IF($E38="Per Student",J38*K$4/J$4*(1+Inputs!G$12),IF($E38="Enrollment",J38*K$4/J$4,IF($E38="Tuition Index",J38*K$5/J$5,IF($E38="% of Salaries",IF($G$6=0,0,$G38/$G$6*K$6),IF($E38="Debt",$G38*Inputs!G$15/12,IF($E38="Reserve Yield",Inputs!G$13*Inputs!G$16,J38)))))))))))</f>
        <v>60000</v>
      </c>
      <c r="L38" s="22"/>
      <c r="M38" s="22"/>
      <c r="N38" s="22"/>
      <c r="O38" s="22"/>
    </row>
    <row r="39" customFormat="false" ht="15" hidden="false" customHeight="false" outlineLevel="0" collapsed="false">
      <c r="A39" s="6" t="s">
        <v>177</v>
      </c>
      <c r="B39" s="6" t="s">
        <v>10</v>
      </c>
      <c r="C39" s="30" t="s">
        <v>243</v>
      </c>
      <c r="D39" s="6" t="s">
        <v>244</v>
      </c>
      <c r="E39" s="20" t="s">
        <v>186</v>
      </c>
      <c r="F39" s="20" t="s">
        <v>132</v>
      </c>
      <c r="G39" s="31" t="n">
        <f aca="false">SUMIFS('QB Import'!$B$1:$B$600,'QB Import'!$H$1:$H$600,$C39,'QB Import'!$G$1:$G$600,1)</f>
        <v>0</v>
      </c>
      <c r="H39" s="11" t="n">
        <f aca="false">IF($E39="Manual",L39,IF($E39="Flat",G39,IF($E39="Inflation",G39*(1+Inputs!D$12),IF($E39="Salary",G39*(1+Inputs!D$10),IF($E39="Benefits",G39*(1+Inputs!D$11),IF($E39="Per Student",G39*H$4/G$4*(1+Inputs!D$12),IF($E39="Enrollment",G39*H$4/G$4,IF($E39="Tuition Index",G39*H$5/G$5,IF($E39="% of Salaries",IF($G$6=0,0,$G39/$G$6*H$6),IF($E39="Debt",$G39*Inputs!D$15/12,IF($E39="Reserve Yield",Inputs!D$13*Inputs!D$16,G39)))))))))))</f>
        <v>0</v>
      </c>
      <c r="I39" s="11" t="n">
        <f aca="false">IF($E39="Manual",M39,IF($E39="Flat",H39,IF($E39="Inflation",H39*(1+Inputs!E$12),IF($E39="Salary",H39*(1+Inputs!E$10),IF($E39="Benefits",H39*(1+Inputs!E$11),IF($E39="Per Student",H39*I$4/H$4*(1+Inputs!E$12),IF($E39="Enrollment",H39*I$4/H$4,IF($E39="Tuition Index",H39*I$5/H$5,IF($E39="% of Salaries",IF($G$6=0,0,$G39/$G$6*I$6),IF($E39="Debt",$G39*Inputs!E$15/12,IF($E39="Reserve Yield",Inputs!E$13*Inputs!E$16,H39)))))))))))</f>
        <v>0</v>
      </c>
      <c r="J39" s="11" t="n">
        <f aca="false">IF($E39="Manual",N39,IF($E39="Flat",I39,IF($E39="Inflation",I39*(1+Inputs!F$12),IF($E39="Salary",I39*(1+Inputs!F$10),IF($E39="Benefits",I39*(1+Inputs!F$11),IF($E39="Per Student",I39*J$4/I$4*(1+Inputs!F$12),IF($E39="Enrollment",I39*J$4/I$4,IF($E39="Tuition Index",I39*J$5/I$5,IF($E39="% of Salaries",IF($G$6=0,0,$G39/$G$6*J$6),IF($E39="Debt",$G39*Inputs!F$15/12,IF($E39="Reserve Yield",Inputs!F$13*Inputs!F$16,I39)))))))))))</f>
        <v>0</v>
      </c>
      <c r="K39" s="11" t="n">
        <f aca="false">IF($E39="Manual",O39,IF($E39="Flat",J39,IF($E39="Inflation",J39*(1+Inputs!G$12),IF($E39="Salary",J39*(1+Inputs!G$10),IF($E39="Benefits",J39*(1+Inputs!G$11),IF($E39="Per Student",J39*K$4/J$4*(1+Inputs!G$12),IF($E39="Enrollment",J39*K$4/J$4,IF($E39="Tuition Index",J39*K$5/J$5,IF($E39="% of Salaries",IF($G$6=0,0,$G39/$G$6*K$6),IF($E39="Debt",$G39*Inputs!G$15/12,IF($E39="Reserve Yield",Inputs!G$13*Inputs!G$16,J39)))))))))))</f>
        <v>0</v>
      </c>
      <c r="L39" s="22"/>
      <c r="M39" s="22"/>
      <c r="N39" s="22"/>
      <c r="O39" s="22"/>
    </row>
    <row r="40" customFormat="false" ht="15" hidden="false" customHeight="false" outlineLevel="0" collapsed="false">
      <c r="A40" s="6" t="s">
        <v>177</v>
      </c>
      <c r="B40" s="6" t="s">
        <v>10</v>
      </c>
      <c r="C40" s="30" t="s">
        <v>245</v>
      </c>
      <c r="D40" s="6" t="s">
        <v>246</v>
      </c>
      <c r="E40" s="20" t="s">
        <v>186</v>
      </c>
      <c r="F40" s="20" t="s">
        <v>132</v>
      </c>
      <c r="G40" s="31" t="n">
        <f aca="false">SUMIFS('QB Import'!$B$1:$B$600,'QB Import'!$H$1:$H$600,$C40,'QB Import'!$G$1:$G$600,1)</f>
        <v>0</v>
      </c>
      <c r="H40" s="11" t="n">
        <f aca="false">IF($E40="Manual",L40,IF($E40="Flat",G40,IF($E40="Inflation",G40*(1+Inputs!D$12),IF($E40="Salary",G40*(1+Inputs!D$10),IF($E40="Benefits",G40*(1+Inputs!D$11),IF($E40="Per Student",G40*H$4/G$4*(1+Inputs!D$12),IF($E40="Enrollment",G40*H$4/G$4,IF($E40="Tuition Index",G40*H$5/G$5,IF($E40="% of Salaries",IF($G$6=0,0,$G40/$G$6*H$6),IF($E40="Debt",$G40*Inputs!D$15/12,IF($E40="Reserve Yield",Inputs!D$13*Inputs!D$16,G40)))))))))))</f>
        <v>0</v>
      </c>
      <c r="I40" s="11" t="n">
        <f aca="false">IF($E40="Manual",M40,IF($E40="Flat",H40,IF($E40="Inflation",H40*(1+Inputs!E$12),IF($E40="Salary",H40*(1+Inputs!E$10),IF($E40="Benefits",H40*(1+Inputs!E$11),IF($E40="Per Student",H40*I$4/H$4*(1+Inputs!E$12),IF($E40="Enrollment",H40*I$4/H$4,IF($E40="Tuition Index",H40*I$5/H$5,IF($E40="% of Salaries",IF($G$6=0,0,$G40/$G$6*I$6),IF($E40="Debt",$G40*Inputs!E$15/12,IF($E40="Reserve Yield",Inputs!E$13*Inputs!E$16,H40)))))))))))</f>
        <v>0</v>
      </c>
      <c r="J40" s="11" t="n">
        <f aca="false">IF($E40="Manual",N40,IF($E40="Flat",I40,IF($E40="Inflation",I40*(1+Inputs!F$12),IF($E40="Salary",I40*(1+Inputs!F$10),IF($E40="Benefits",I40*(1+Inputs!F$11),IF($E40="Per Student",I40*J$4/I$4*(1+Inputs!F$12),IF($E40="Enrollment",I40*J$4/I$4,IF($E40="Tuition Index",I40*J$5/I$5,IF($E40="% of Salaries",IF($G$6=0,0,$G40/$G$6*J$6),IF($E40="Debt",$G40*Inputs!F$15/12,IF($E40="Reserve Yield",Inputs!F$13*Inputs!F$16,I40)))))))))))</f>
        <v>0</v>
      </c>
      <c r="K40" s="11" t="n">
        <f aca="false">IF($E40="Manual",O40,IF($E40="Flat",J40,IF($E40="Inflation",J40*(1+Inputs!G$12),IF($E40="Salary",J40*(1+Inputs!G$10),IF($E40="Benefits",J40*(1+Inputs!G$11),IF($E40="Per Student",J40*K$4/J$4*(1+Inputs!G$12),IF($E40="Enrollment",J40*K$4/J$4,IF($E40="Tuition Index",J40*K$5/J$5,IF($E40="% of Salaries",IF($G$6=0,0,$G40/$G$6*K$6),IF($E40="Debt",$G40*Inputs!G$15/12,IF($E40="Reserve Yield",Inputs!G$13*Inputs!G$16,J40)))))))))))</f>
        <v>0</v>
      </c>
      <c r="L40" s="22"/>
      <c r="M40" s="22"/>
      <c r="N40" s="22"/>
      <c r="O40" s="22"/>
    </row>
    <row r="41" customFormat="false" ht="15" hidden="false" customHeight="false" outlineLevel="0" collapsed="false">
      <c r="A41" s="6" t="s">
        <v>177</v>
      </c>
      <c r="B41" s="6" t="s">
        <v>10</v>
      </c>
      <c r="C41" s="30" t="s">
        <v>247</v>
      </c>
      <c r="D41" s="6" t="s">
        <v>248</v>
      </c>
      <c r="E41" s="20" t="s">
        <v>186</v>
      </c>
      <c r="F41" s="20" t="s">
        <v>132</v>
      </c>
      <c r="G41" s="31" t="n">
        <f aca="false">SUMIFS('QB Import'!$B$1:$B$600,'QB Import'!$H$1:$H$600,$C41,'QB Import'!$G$1:$G$600,1)</f>
        <v>0</v>
      </c>
      <c r="H41" s="11" t="n">
        <f aca="false">IF($E41="Manual",L41,IF($E41="Flat",G41,IF($E41="Inflation",G41*(1+Inputs!D$12),IF($E41="Salary",G41*(1+Inputs!D$10),IF($E41="Benefits",G41*(1+Inputs!D$11),IF($E41="Per Student",G41*H$4/G$4*(1+Inputs!D$12),IF($E41="Enrollment",G41*H$4/G$4,IF($E41="Tuition Index",G41*H$5/G$5,IF($E41="% of Salaries",IF($G$6=0,0,$G41/$G$6*H$6),IF($E41="Debt",$G41*Inputs!D$15/12,IF($E41="Reserve Yield",Inputs!D$13*Inputs!D$16,G41)))))))))))</f>
        <v>0</v>
      </c>
      <c r="I41" s="11" t="n">
        <f aca="false">IF($E41="Manual",M41,IF($E41="Flat",H41,IF($E41="Inflation",H41*(1+Inputs!E$12),IF($E41="Salary",H41*(1+Inputs!E$10),IF($E41="Benefits",H41*(1+Inputs!E$11),IF($E41="Per Student",H41*I$4/H$4*(1+Inputs!E$12),IF($E41="Enrollment",H41*I$4/H$4,IF($E41="Tuition Index",H41*I$5/H$5,IF($E41="% of Salaries",IF($G$6=0,0,$G41/$G$6*I$6),IF($E41="Debt",$G41*Inputs!E$15/12,IF($E41="Reserve Yield",Inputs!E$13*Inputs!E$16,H41)))))))))))</f>
        <v>0</v>
      </c>
      <c r="J41" s="11" t="n">
        <f aca="false">IF($E41="Manual",N41,IF($E41="Flat",I41,IF($E41="Inflation",I41*(1+Inputs!F$12),IF($E41="Salary",I41*(1+Inputs!F$10),IF($E41="Benefits",I41*(1+Inputs!F$11),IF($E41="Per Student",I41*J$4/I$4*(1+Inputs!F$12),IF($E41="Enrollment",I41*J$4/I$4,IF($E41="Tuition Index",I41*J$5/I$5,IF($E41="% of Salaries",IF($G$6=0,0,$G41/$G$6*J$6),IF($E41="Debt",$G41*Inputs!F$15/12,IF($E41="Reserve Yield",Inputs!F$13*Inputs!F$16,I41)))))))))))</f>
        <v>0</v>
      </c>
      <c r="K41" s="11" t="n">
        <f aca="false">IF($E41="Manual",O41,IF($E41="Flat",J41,IF($E41="Inflation",J41*(1+Inputs!G$12),IF($E41="Salary",J41*(1+Inputs!G$10),IF($E41="Benefits",J41*(1+Inputs!G$11),IF($E41="Per Student",J41*K$4/J$4*(1+Inputs!G$12),IF($E41="Enrollment",J41*K$4/J$4,IF($E41="Tuition Index",J41*K$5/J$5,IF($E41="% of Salaries",IF($G$6=0,0,$G41/$G$6*K$6),IF($E41="Debt",$G41*Inputs!G$15/12,IF($E41="Reserve Yield",Inputs!G$13*Inputs!G$16,J41)))))))))))</f>
        <v>0</v>
      </c>
      <c r="L41" s="22"/>
      <c r="M41" s="22"/>
      <c r="N41" s="22"/>
      <c r="O41" s="22"/>
    </row>
    <row r="42" customFormat="false" ht="15" hidden="false" customHeight="false" outlineLevel="0" collapsed="false">
      <c r="A42" s="6" t="s">
        <v>177</v>
      </c>
      <c r="B42" s="6" t="s">
        <v>10</v>
      </c>
      <c r="C42" s="30" t="s">
        <v>249</v>
      </c>
      <c r="D42" s="6" t="s">
        <v>250</v>
      </c>
      <c r="E42" s="20" t="s">
        <v>186</v>
      </c>
      <c r="F42" s="20" t="s">
        <v>132</v>
      </c>
      <c r="G42" s="31" t="n">
        <f aca="false">SUMIFS('QB Import'!$B$1:$B$600,'QB Import'!$H$1:$H$600,$C42,'QB Import'!$G$1:$G$600,1)</f>
        <v>0</v>
      </c>
      <c r="H42" s="11" t="n">
        <f aca="false">IF($E42="Manual",L42,IF($E42="Flat",G42,IF($E42="Inflation",G42*(1+Inputs!D$12),IF($E42="Salary",G42*(1+Inputs!D$10),IF($E42="Benefits",G42*(1+Inputs!D$11),IF($E42="Per Student",G42*H$4/G$4*(1+Inputs!D$12),IF($E42="Enrollment",G42*H$4/G$4,IF($E42="Tuition Index",G42*H$5/G$5,IF($E42="% of Salaries",IF($G$6=0,0,$G42/$G$6*H$6),IF($E42="Debt",$G42*Inputs!D$15/12,IF($E42="Reserve Yield",Inputs!D$13*Inputs!D$16,G42)))))))))))</f>
        <v>0</v>
      </c>
      <c r="I42" s="11" t="n">
        <f aca="false">IF($E42="Manual",M42,IF($E42="Flat",H42,IF($E42="Inflation",H42*(1+Inputs!E$12),IF($E42="Salary",H42*(1+Inputs!E$10),IF($E42="Benefits",H42*(1+Inputs!E$11),IF($E42="Per Student",H42*I$4/H$4*(1+Inputs!E$12),IF($E42="Enrollment",H42*I$4/H$4,IF($E42="Tuition Index",H42*I$5/H$5,IF($E42="% of Salaries",IF($G$6=0,0,$G42/$G$6*I$6),IF($E42="Debt",$G42*Inputs!E$15/12,IF($E42="Reserve Yield",Inputs!E$13*Inputs!E$16,H42)))))))))))</f>
        <v>0</v>
      </c>
      <c r="J42" s="11" t="n">
        <f aca="false">IF($E42="Manual",N42,IF($E42="Flat",I42,IF($E42="Inflation",I42*(1+Inputs!F$12),IF($E42="Salary",I42*(1+Inputs!F$10),IF($E42="Benefits",I42*(1+Inputs!F$11),IF($E42="Per Student",I42*J$4/I$4*(1+Inputs!F$12),IF($E42="Enrollment",I42*J$4/I$4,IF($E42="Tuition Index",I42*J$5/I$5,IF($E42="% of Salaries",IF($G$6=0,0,$G42/$G$6*J$6),IF($E42="Debt",$G42*Inputs!F$15/12,IF($E42="Reserve Yield",Inputs!F$13*Inputs!F$16,I42)))))))))))</f>
        <v>0</v>
      </c>
      <c r="K42" s="11" t="n">
        <f aca="false">IF($E42="Manual",O42,IF($E42="Flat",J42,IF($E42="Inflation",J42*(1+Inputs!G$12),IF($E42="Salary",J42*(1+Inputs!G$10),IF($E42="Benefits",J42*(1+Inputs!G$11),IF($E42="Per Student",J42*K$4/J$4*(1+Inputs!G$12),IF($E42="Enrollment",J42*K$4/J$4,IF($E42="Tuition Index",J42*K$5/J$5,IF($E42="% of Salaries",IF($G$6=0,0,$G42/$G$6*K$6),IF($E42="Debt",$G42*Inputs!G$15/12,IF($E42="Reserve Yield",Inputs!G$13*Inputs!G$16,J42)))))))))))</f>
        <v>0</v>
      </c>
      <c r="L42" s="22"/>
      <c r="M42" s="22"/>
      <c r="N42" s="22"/>
      <c r="O42" s="22"/>
    </row>
    <row r="43" customFormat="false" ht="15" hidden="false" customHeight="false" outlineLevel="0" collapsed="false">
      <c r="A43" s="6" t="s">
        <v>177</v>
      </c>
      <c r="B43" s="6" t="s">
        <v>10</v>
      </c>
      <c r="C43" s="30" t="s">
        <v>251</v>
      </c>
      <c r="D43" s="6" t="s">
        <v>252</v>
      </c>
      <c r="E43" s="20" t="s">
        <v>186</v>
      </c>
      <c r="F43" s="20" t="s">
        <v>132</v>
      </c>
      <c r="G43" s="31" t="n">
        <f aca="false">SUMIFS('QB Import'!$B$1:$B$600,'QB Import'!$H$1:$H$600,$C43,'QB Import'!$G$1:$G$600,1)</f>
        <v>0</v>
      </c>
      <c r="H43" s="11" t="n">
        <f aca="false">IF($E43="Manual",L43,IF($E43="Flat",G43,IF($E43="Inflation",G43*(1+Inputs!D$12),IF($E43="Salary",G43*(1+Inputs!D$10),IF($E43="Benefits",G43*(1+Inputs!D$11),IF($E43="Per Student",G43*H$4/G$4*(1+Inputs!D$12),IF($E43="Enrollment",G43*H$4/G$4,IF($E43="Tuition Index",G43*H$5/G$5,IF($E43="% of Salaries",IF($G$6=0,0,$G43/$G$6*H$6),IF($E43="Debt",$G43*Inputs!D$15/12,IF($E43="Reserve Yield",Inputs!D$13*Inputs!D$16,G43)))))))))))</f>
        <v>0</v>
      </c>
      <c r="I43" s="11" t="n">
        <f aca="false">IF($E43="Manual",M43,IF($E43="Flat",H43,IF($E43="Inflation",H43*(1+Inputs!E$12),IF($E43="Salary",H43*(1+Inputs!E$10),IF($E43="Benefits",H43*(1+Inputs!E$11),IF($E43="Per Student",H43*I$4/H$4*(1+Inputs!E$12),IF($E43="Enrollment",H43*I$4/H$4,IF($E43="Tuition Index",H43*I$5/H$5,IF($E43="% of Salaries",IF($G$6=0,0,$G43/$G$6*I$6),IF($E43="Debt",$G43*Inputs!E$15/12,IF($E43="Reserve Yield",Inputs!E$13*Inputs!E$16,H43)))))))))))</f>
        <v>0</v>
      </c>
      <c r="J43" s="11" t="n">
        <f aca="false">IF($E43="Manual",N43,IF($E43="Flat",I43,IF($E43="Inflation",I43*(1+Inputs!F$12),IF($E43="Salary",I43*(1+Inputs!F$10),IF($E43="Benefits",I43*(1+Inputs!F$11),IF($E43="Per Student",I43*J$4/I$4*(1+Inputs!F$12),IF($E43="Enrollment",I43*J$4/I$4,IF($E43="Tuition Index",I43*J$5/I$5,IF($E43="% of Salaries",IF($G$6=0,0,$G43/$G$6*J$6),IF($E43="Debt",$G43*Inputs!F$15/12,IF($E43="Reserve Yield",Inputs!F$13*Inputs!F$16,I43)))))))))))</f>
        <v>0</v>
      </c>
      <c r="K43" s="11" t="n">
        <f aca="false">IF($E43="Manual",O43,IF($E43="Flat",J43,IF($E43="Inflation",J43*(1+Inputs!G$12),IF($E43="Salary",J43*(1+Inputs!G$10),IF($E43="Benefits",J43*(1+Inputs!G$11),IF($E43="Per Student",J43*K$4/J$4*(1+Inputs!G$12),IF($E43="Enrollment",J43*K$4/J$4,IF($E43="Tuition Index",J43*K$5/J$5,IF($E43="% of Salaries",IF($G$6=0,0,$G43/$G$6*K$6),IF($E43="Debt",$G43*Inputs!G$15/12,IF($E43="Reserve Yield",Inputs!G$13*Inputs!G$16,J43)))))))))))</f>
        <v>0</v>
      </c>
      <c r="L43" s="22"/>
      <c r="M43" s="22"/>
      <c r="N43" s="22"/>
      <c r="O43" s="22"/>
    </row>
    <row r="44" customFormat="false" ht="15" hidden="false" customHeight="false" outlineLevel="0" collapsed="false">
      <c r="A44" s="6" t="s">
        <v>177</v>
      </c>
      <c r="B44" s="6" t="s">
        <v>10</v>
      </c>
      <c r="C44" s="30" t="s">
        <v>253</v>
      </c>
      <c r="D44" s="6" t="s">
        <v>254</v>
      </c>
      <c r="E44" s="20" t="s">
        <v>186</v>
      </c>
      <c r="F44" s="20" t="s">
        <v>132</v>
      </c>
      <c r="G44" s="31" t="n">
        <f aca="false">SUMIFS('QB Import'!$B$1:$B$600,'QB Import'!$H$1:$H$600,$C44,'QB Import'!$G$1:$G$600,1)</f>
        <v>0</v>
      </c>
      <c r="H44" s="11" t="n">
        <f aca="false">IF($E44="Manual",L44,IF($E44="Flat",G44,IF($E44="Inflation",G44*(1+Inputs!D$12),IF($E44="Salary",G44*(1+Inputs!D$10),IF($E44="Benefits",G44*(1+Inputs!D$11),IF($E44="Per Student",G44*H$4/G$4*(1+Inputs!D$12),IF($E44="Enrollment",G44*H$4/G$4,IF($E44="Tuition Index",G44*H$5/G$5,IF($E44="% of Salaries",IF($G$6=0,0,$G44/$G$6*H$6),IF($E44="Debt",$G44*Inputs!D$15/12,IF($E44="Reserve Yield",Inputs!D$13*Inputs!D$16,G44)))))))))))</f>
        <v>0</v>
      </c>
      <c r="I44" s="11" t="n">
        <f aca="false">IF($E44="Manual",M44,IF($E44="Flat",H44,IF($E44="Inflation",H44*(1+Inputs!E$12),IF($E44="Salary",H44*(1+Inputs!E$10),IF($E44="Benefits",H44*(1+Inputs!E$11),IF($E44="Per Student",H44*I$4/H$4*(1+Inputs!E$12),IF($E44="Enrollment",H44*I$4/H$4,IF($E44="Tuition Index",H44*I$5/H$5,IF($E44="% of Salaries",IF($G$6=0,0,$G44/$G$6*I$6),IF($E44="Debt",$G44*Inputs!E$15/12,IF($E44="Reserve Yield",Inputs!E$13*Inputs!E$16,H44)))))))))))</f>
        <v>0</v>
      </c>
      <c r="J44" s="11" t="n">
        <f aca="false">IF($E44="Manual",N44,IF($E44="Flat",I44,IF($E44="Inflation",I44*(1+Inputs!F$12),IF($E44="Salary",I44*(1+Inputs!F$10),IF($E44="Benefits",I44*(1+Inputs!F$11),IF($E44="Per Student",I44*J$4/I$4*(1+Inputs!F$12),IF($E44="Enrollment",I44*J$4/I$4,IF($E44="Tuition Index",I44*J$5/I$5,IF($E44="% of Salaries",IF($G$6=0,0,$G44/$G$6*J$6),IF($E44="Debt",$G44*Inputs!F$15/12,IF($E44="Reserve Yield",Inputs!F$13*Inputs!F$16,I44)))))))))))</f>
        <v>0</v>
      </c>
      <c r="K44" s="11" t="n">
        <f aca="false">IF($E44="Manual",O44,IF($E44="Flat",J44,IF($E44="Inflation",J44*(1+Inputs!G$12),IF($E44="Salary",J44*(1+Inputs!G$10),IF($E44="Benefits",J44*(1+Inputs!G$11),IF($E44="Per Student",J44*K$4/J$4*(1+Inputs!G$12),IF($E44="Enrollment",J44*K$4/J$4,IF($E44="Tuition Index",J44*K$5/J$5,IF($E44="% of Salaries",IF($G$6=0,0,$G44/$G$6*K$6),IF($E44="Debt",$G44*Inputs!G$15/12,IF($E44="Reserve Yield",Inputs!G$13*Inputs!G$16,J44)))))))))))</f>
        <v>0</v>
      </c>
      <c r="L44" s="22"/>
      <c r="M44" s="22"/>
      <c r="N44" s="22"/>
      <c r="O44" s="22"/>
    </row>
    <row r="45" customFormat="false" ht="15" hidden="false" customHeight="false" outlineLevel="0" collapsed="false">
      <c r="A45" s="6" t="s">
        <v>177</v>
      </c>
      <c r="B45" s="6" t="s">
        <v>10</v>
      </c>
      <c r="C45" s="30" t="s">
        <v>255</v>
      </c>
      <c r="D45" s="6" t="s">
        <v>256</v>
      </c>
      <c r="E45" s="20" t="s">
        <v>186</v>
      </c>
      <c r="F45" s="20" t="s">
        <v>132</v>
      </c>
      <c r="G45" s="31" t="n">
        <f aca="false">SUMIFS('QB Import'!$B$1:$B$600,'QB Import'!$H$1:$H$600,$C45,'QB Import'!$G$1:$G$600,1)</f>
        <v>0</v>
      </c>
      <c r="H45" s="11" t="n">
        <f aca="false">IF($E45="Manual",L45,IF($E45="Flat",G45,IF($E45="Inflation",G45*(1+Inputs!D$12),IF($E45="Salary",G45*(1+Inputs!D$10),IF($E45="Benefits",G45*(1+Inputs!D$11),IF($E45="Per Student",G45*H$4/G$4*(1+Inputs!D$12),IF($E45="Enrollment",G45*H$4/G$4,IF($E45="Tuition Index",G45*H$5/G$5,IF($E45="% of Salaries",IF($G$6=0,0,$G45/$G$6*H$6),IF($E45="Debt",$G45*Inputs!D$15/12,IF($E45="Reserve Yield",Inputs!D$13*Inputs!D$16,G45)))))))))))</f>
        <v>0</v>
      </c>
      <c r="I45" s="11" t="n">
        <f aca="false">IF($E45="Manual",M45,IF($E45="Flat",H45,IF($E45="Inflation",H45*(1+Inputs!E$12),IF($E45="Salary",H45*(1+Inputs!E$10),IF($E45="Benefits",H45*(1+Inputs!E$11),IF($E45="Per Student",H45*I$4/H$4*(1+Inputs!E$12),IF($E45="Enrollment",H45*I$4/H$4,IF($E45="Tuition Index",H45*I$5/H$5,IF($E45="% of Salaries",IF($G$6=0,0,$G45/$G$6*I$6),IF($E45="Debt",$G45*Inputs!E$15/12,IF($E45="Reserve Yield",Inputs!E$13*Inputs!E$16,H45)))))))))))</f>
        <v>0</v>
      </c>
      <c r="J45" s="11" t="n">
        <f aca="false">IF($E45="Manual",N45,IF($E45="Flat",I45,IF($E45="Inflation",I45*(1+Inputs!F$12),IF($E45="Salary",I45*(1+Inputs!F$10),IF($E45="Benefits",I45*(1+Inputs!F$11),IF($E45="Per Student",I45*J$4/I$4*(1+Inputs!F$12),IF($E45="Enrollment",I45*J$4/I$4,IF($E45="Tuition Index",I45*J$5/I$5,IF($E45="% of Salaries",IF($G$6=0,0,$G45/$G$6*J$6),IF($E45="Debt",$G45*Inputs!F$15/12,IF($E45="Reserve Yield",Inputs!F$13*Inputs!F$16,I45)))))))))))</f>
        <v>0</v>
      </c>
      <c r="K45" s="11" t="n">
        <f aca="false">IF($E45="Manual",O45,IF($E45="Flat",J45,IF($E45="Inflation",J45*(1+Inputs!G$12),IF($E45="Salary",J45*(1+Inputs!G$10),IF($E45="Benefits",J45*(1+Inputs!G$11),IF($E45="Per Student",J45*K$4/J$4*(1+Inputs!G$12),IF($E45="Enrollment",J45*K$4/J$4,IF($E45="Tuition Index",J45*K$5/J$5,IF($E45="% of Salaries",IF($G$6=0,0,$G45/$G$6*K$6),IF($E45="Debt",$G45*Inputs!G$15/12,IF($E45="Reserve Yield",Inputs!G$13*Inputs!G$16,J45)))))))))))</f>
        <v>0</v>
      </c>
      <c r="L45" s="22"/>
      <c r="M45" s="22"/>
      <c r="N45" s="22"/>
      <c r="O45" s="22"/>
    </row>
    <row r="46" customFormat="false" ht="15" hidden="false" customHeight="false" outlineLevel="0" collapsed="false">
      <c r="A46" s="6" t="s">
        <v>177</v>
      </c>
      <c r="B46" s="6" t="s">
        <v>10</v>
      </c>
      <c r="C46" s="30" t="s">
        <v>257</v>
      </c>
      <c r="D46" s="6" t="s">
        <v>258</v>
      </c>
      <c r="E46" s="20" t="s">
        <v>186</v>
      </c>
      <c r="F46" s="20" t="s">
        <v>132</v>
      </c>
      <c r="G46" s="31" t="n">
        <f aca="false">SUMIFS('QB Import'!$B$1:$B$600,'QB Import'!$H$1:$H$600,$C46,'QB Import'!$G$1:$G$600,1)</f>
        <v>0</v>
      </c>
      <c r="H46" s="11" t="n">
        <f aca="false">IF($E46="Manual",L46,IF($E46="Flat",G46,IF($E46="Inflation",G46*(1+Inputs!D$12),IF($E46="Salary",G46*(1+Inputs!D$10),IF($E46="Benefits",G46*(1+Inputs!D$11),IF($E46="Per Student",G46*H$4/G$4*(1+Inputs!D$12),IF($E46="Enrollment",G46*H$4/G$4,IF($E46="Tuition Index",G46*H$5/G$5,IF($E46="% of Salaries",IF($G$6=0,0,$G46/$G$6*H$6),IF($E46="Debt",$G46*Inputs!D$15/12,IF($E46="Reserve Yield",Inputs!D$13*Inputs!D$16,G46)))))))))))</f>
        <v>0</v>
      </c>
      <c r="I46" s="11" t="n">
        <f aca="false">IF($E46="Manual",M46,IF($E46="Flat",H46,IF($E46="Inflation",H46*(1+Inputs!E$12),IF($E46="Salary",H46*(1+Inputs!E$10),IF($E46="Benefits",H46*(1+Inputs!E$11),IF($E46="Per Student",H46*I$4/H$4*(1+Inputs!E$12),IF($E46="Enrollment",H46*I$4/H$4,IF($E46="Tuition Index",H46*I$5/H$5,IF($E46="% of Salaries",IF($G$6=0,0,$G46/$G$6*I$6),IF($E46="Debt",$G46*Inputs!E$15/12,IF($E46="Reserve Yield",Inputs!E$13*Inputs!E$16,H46)))))))))))</f>
        <v>0</v>
      </c>
      <c r="J46" s="11" t="n">
        <f aca="false">IF($E46="Manual",N46,IF($E46="Flat",I46,IF($E46="Inflation",I46*(1+Inputs!F$12),IF($E46="Salary",I46*(1+Inputs!F$10),IF($E46="Benefits",I46*(1+Inputs!F$11),IF($E46="Per Student",I46*J$4/I$4*(1+Inputs!F$12),IF($E46="Enrollment",I46*J$4/I$4,IF($E46="Tuition Index",I46*J$5/I$5,IF($E46="% of Salaries",IF($G$6=0,0,$G46/$G$6*J$6),IF($E46="Debt",$G46*Inputs!F$15/12,IF($E46="Reserve Yield",Inputs!F$13*Inputs!F$16,I46)))))))))))</f>
        <v>0</v>
      </c>
      <c r="K46" s="11" t="n">
        <f aca="false">IF($E46="Manual",O46,IF($E46="Flat",J46,IF($E46="Inflation",J46*(1+Inputs!G$12),IF($E46="Salary",J46*(1+Inputs!G$10),IF($E46="Benefits",J46*(1+Inputs!G$11),IF($E46="Per Student",J46*K$4/J$4*(1+Inputs!G$12),IF($E46="Enrollment",J46*K$4/J$4,IF($E46="Tuition Index",J46*K$5/J$5,IF($E46="% of Salaries",IF($G$6=0,0,$G46/$G$6*K$6),IF($E46="Debt",$G46*Inputs!G$15/12,IF($E46="Reserve Yield",Inputs!G$13*Inputs!G$16,J46)))))))))))</f>
        <v>0</v>
      </c>
      <c r="L46" s="22"/>
      <c r="M46" s="22"/>
      <c r="N46" s="22"/>
      <c r="O46" s="22"/>
    </row>
    <row r="47" customFormat="false" ht="15" hidden="false" customHeight="false" outlineLevel="0" collapsed="false">
      <c r="A47" s="6" t="s">
        <v>177</v>
      </c>
      <c r="B47" s="6" t="s">
        <v>10</v>
      </c>
      <c r="C47" s="30" t="s">
        <v>259</v>
      </c>
      <c r="D47" s="6" t="s">
        <v>260</v>
      </c>
      <c r="E47" s="20" t="s">
        <v>186</v>
      </c>
      <c r="F47" s="20" t="s">
        <v>132</v>
      </c>
      <c r="G47" s="31" t="n">
        <f aca="false">SUMIFS('QB Import'!$B$1:$B$600,'QB Import'!$H$1:$H$600,$C47,'QB Import'!$G$1:$G$600,1)</f>
        <v>0</v>
      </c>
      <c r="H47" s="11" t="n">
        <f aca="false">IF($E47="Manual",L47,IF($E47="Flat",G47,IF($E47="Inflation",G47*(1+Inputs!D$12),IF($E47="Salary",G47*(1+Inputs!D$10),IF($E47="Benefits",G47*(1+Inputs!D$11),IF($E47="Per Student",G47*H$4/G$4*(1+Inputs!D$12),IF($E47="Enrollment",G47*H$4/G$4,IF($E47="Tuition Index",G47*H$5/G$5,IF($E47="% of Salaries",IF($G$6=0,0,$G47/$G$6*H$6),IF($E47="Debt",$G47*Inputs!D$15/12,IF($E47="Reserve Yield",Inputs!D$13*Inputs!D$16,G47)))))))))))</f>
        <v>0</v>
      </c>
      <c r="I47" s="11" t="n">
        <f aca="false">IF($E47="Manual",M47,IF($E47="Flat",H47,IF($E47="Inflation",H47*(1+Inputs!E$12),IF($E47="Salary",H47*(1+Inputs!E$10),IF($E47="Benefits",H47*(1+Inputs!E$11),IF($E47="Per Student",H47*I$4/H$4*(1+Inputs!E$12),IF($E47="Enrollment",H47*I$4/H$4,IF($E47="Tuition Index",H47*I$5/H$5,IF($E47="% of Salaries",IF($G$6=0,0,$G47/$G$6*I$6),IF($E47="Debt",$G47*Inputs!E$15/12,IF($E47="Reserve Yield",Inputs!E$13*Inputs!E$16,H47)))))))))))</f>
        <v>0</v>
      </c>
      <c r="J47" s="11" t="n">
        <f aca="false">IF($E47="Manual",N47,IF($E47="Flat",I47,IF($E47="Inflation",I47*(1+Inputs!F$12),IF($E47="Salary",I47*(1+Inputs!F$10),IF($E47="Benefits",I47*(1+Inputs!F$11),IF($E47="Per Student",I47*J$4/I$4*(1+Inputs!F$12),IF($E47="Enrollment",I47*J$4/I$4,IF($E47="Tuition Index",I47*J$5/I$5,IF($E47="% of Salaries",IF($G$6=0,0,$G47/$G$6*J$6),IF($E47="Debt",$G47*Inputs!F$15/12,IF($E47="Reserve Yield",Inputs!F$13*Inputs!F$16,I47)))))))))))</f>
        <v>0</v>
      </c>
      <c r="K47" s="11" t="n">
        <f aca="false">IF($E47="Manual",O47,IF($E47="Flat",J47,IF($E47="Inflation",J47*(1+Inputs!G$12),IF($E47="Salary",J47*(1+Inputs!G$10),IF($E47="Benefits",J47*(1+Inputs!G$11),IF($E47="Per Student",J47*K$4/J$4*(1+Inputs!G$12),IF($E47="Enrollment",J47*K$4/J$4,IF($E47="Tuition Index",J47*K$5/J$5,IF($E47="% of Salaries",IF($G$6=0,0,$G47/$G$6*K$6),IF($E47="Debt",$G47*Inputs!G$15/12,IF($E47="Reserve Yield",Inputs!G$13*Inputs!G$16,J47)))))))))))</f>
        <v>0</v>
      </c>
      <c r="L47" s="22"/>
      <c r="M47" s="22"/>
      <c r="N47" s="22"/>
      <c r="O47" s="22"/>
    </row>
    <row r="48" customFormat="false" ht="15" hidden="false" customHeight="false" outlineLevel="0" collapsed="false">
      <c r="A48" s="6" t="s">
        <v>177</v>
      </c>
      <c r="B48" s="6" t="s">
        <v>10</v>
      </c>
      <c r="C48" s="30" t="s">
        <v>261</v>
      </c>
      <c r="D48" s="6" t="s">
        <v>262</v>
      </c>
      <c r="E48" s="20" t="s">
        <v>186</v>
      </c>
      <c r="F48" s="20" t="s">
        <v>132</v>
      </c>
      <c r="G48" s="31" t="n">
        <f aca="false">SUMIFS('QB Import'!$B$1:$B$600,'QB Import'!$H$1:$H$600,$C48,'QB Import'!$G$1:$G$600,1)</f>
        <v>0</v>
      </c>
      <c r="H48" s="11" t="n">
        <f aca="false">IF($E48="Manual",L48,IF($E48="Flat",G48,IF($E48="Inflation",G48*(1+Inputs!D$12),IF($E48="Salary",G48*(1+Inputs!D$10),IF($E48="Benefits",G48*(1+Inputs!D$11),IF($E48="Per Student",G48*H$4/G$4*(1+Inputs!D$12),IF($E48="Enrollment",G48*H$4/G$4,IF($E48="Tuition Index",G48*H$5/G$5,IF($E48="% of Salaries",IF($G$6=0,0,$G48/$G$6*H$6),IF($E48="Debt",$G48*Inputs!D$15/12,IF($E48="Reserve Yield",Inputs!D$13*Inputs!D$16,G48)))))))))))</f>
        <v>0</v>
      </c>
      <c r="I48" s="11" t="n">
        <f aca="false">IF($E48="Manual",M48,IF($E48="Flat",H48,IF($E48="Inflation",H48*(1+Inputs!E$12),IF($E48="Salary",H48*(1+Inputs!E$10),IF($E48="Benefits",H48*(1+Inputs!E$11),IF($E48="Per Student",H48*I$4/H$4*(1+Inputs!E$12),IF($E48="Enrollment",H48*I$4/H$4,IF($E48="Tuition Index",H48*I$5/H$5,IF($E48="% of Salaries",IF($G$6=0,0,$G48/$G$6*I$6),IF($E48="Debt",$G48*Inputs!E$15/12,IF($E48="Reserve Yield",Inputs!E$13*Inputs!E$16,H48)))))))))))</f>
        <v>0</v>
      </c>
      <c r="J48" s="11" t="n">
        <f aca="false">IF($E48="Manual",N48,IF($E48="Flat",I48,IF($E48="Inflation",I48*(1+Inputs!F$12),IF($E48="Salary",I48*(1+Inputs!F$10),IF($E48="Benefits",I48*(1+Inputs!F$11),IF($E48="Per Student",I48*J$4/I$4*(1+Inputs!F$12),IF($E48="Enrollment",I48*J$4/I$4,IF($E48="Tuition Index",I48*J$5/I$5,IF($E48="% of Salaries",IF($G$6=0,0,$G48/$G$6*J$6),IF($E48="Debt",$G48*Inputs!F$15/12,IF($E48="Reserve Yield",Inputs!F$13*Inputs!F$16,I48)))))))))))</f>
        <v>0</v>
      </c>
      <c r="K48" s="11" t="n">
        <f aca="false">IF($E48="Manual",O48,IF($E48="Flat",J48,IF($E48="Inflation",J48*(1+Inputs!G$12),IF($E48="Salary",J48*(1+Inputs!G$10),IF($E48="Benefits",J48*(1+Inputs!G$11),IF($E48="Per Student",J48*K$4/J$4*(1+Inputs!G$12),IF($E48="Enrollment",J48*K$4/J$4,IF($E48="Tuition Index",J48*K$5/J$5,IF($E48="% of Salaries",IF($G$6=0,0,$G48/$G$6*K$6),IF($E48="Debt",$G48*Inputs!G$15/12,IF($E48="Reserve Yield",Inputs!G$13*Inputs!G$16,J48)))))))))))</f>
        <v>0</v>
      </c>
      <c r="L48" s="22"/>
      <c r="M48" s="22"/>
      <c r="N48" s="22"/>
      <c r="O48" s="22"/>
    </row>
    <row r="49" customFormat="false" ht="15" hidden="false" customHeight="false" outlineLevel="0" collapsed="false">
      <c r="A49" s="6" t="s">
        <v>177</v>
      </c>
      <c r="B49" s="6" t="s">
        <v>10</v>
      </c>
      <c r="C49" s="30" t="s">
        <v>263</v>
      </c>
      <c r="D49" s="6" t="s">
        <v>264</v>
      </c>
      <c r="E49" s="20" t="s">
        <v>186</v>
      </c>
      <c r="F49" s="20" t="s">
        <v>132</v>
      </c>
      <c r="G49" s="31" t="n">
        <f aca="false">SUMIFS('QB Import'!$B$1:$B$600,'QB Import'!$H$1:$H$600,$C49,'QB Import'!$G$1:$G$600,1)</f>
        <v>0</v>
      </c>
      <c r="H49" s="11" t="n">
        <f aca="false">IF($E49="Manual",L49,IF($E49="Flat",G49,IF($E49="Inflation",G49*(1+Inputs!D$12),IF($E49="Salary",G49*(1+Inputs!D$10),IF($E49="Benefits",G49*(1+Inputs!D$11),IF($E49="Per Student",G49*H$4/G$4*(1+Inputs!D$12),IF($E49="Enrollment",G49*H$4/G$4,IF($E49="Tuition Index",G49*H$5/G$5,IF($E49="% of Salaries",IF($G$6=0,0,$G49/$G$6*H$6),IF($E49="Debt",$G49*Inputs!D$15/12,IF($E49="Reserve Yield",Inputs!D$13*Inputs!D$16,G49)))))))))))</f>
        <v>0</v>
      </c>
      <c r="I49" s="11" t="n">
        <f aca="false">IF($E49="Manual",M49,IF($E49="Flat",H49,IF($E49="Inflation",H49*(1+Inputs!E$12),IF($E49="Salary",H49*(1+Inputs!E$10),IF($E49="Benefits",H49*(1+Inputs!E$11),IF($E49="Per Student",H49*I$4/H$4*(1+Inputs!E$12),IF($E49="Enrollment",H49*I$4/H$4,IF($E49="Tuition Index",H49*I$5/H$5,IF($E49="% of Salaries",IF($G$6=0,0,$G49/$G$6*I$6),IF($E49="Debt",$G49*Inputs!E$15/12,IF($E49="Reserve Yield",Inputs!E$13*Inputs!E$16,H49)))))))))))</f>
        <v>0</v>
      </c>
      <c r="J49" s="11" t="n">
        <f aca="false">IF($E49="Manual",N49,IF($E49="Flat",I49,IF($E49="Inflation",I49*(1+Inputs!F$12),IF($E49="Salary",I49*(1+Inputs!F$10),IF($E49="Benefits",I49*(1+Inputs!F$11),IF($E49="Per Student",I49*J$4/I$4*(1+Inputs!F$12),IF($E49="Enrollment",I49*J$4/I$4,IF($E49="Tuition Index",I49*J$5/I$5,IF($E49="% of Salaries",IF($G$6=0,0,$G49/$G$6*J$6),IF($E49="Debt",$G49*Inputs!F$15/12,IF($E49="Reserve Yield",Inputs!F$13*Inputs!F$16,I49)))))))))))</f>
        <v>0</v>
      </c>
      <c r="K49" s="11" t="n">
        <f aca="false">IF($E49="Manual",O49,IF($E49="Flat",J49,IF($E49="Inflation",J49*(1+Inputs!G$12),IF($E49="Salary",J49*(1+Inputs!G$10),IF($E49="Benefits",J49*(1+Inputs!G$11),IF($E49="Per Student",J49*K$4/J$4*(1+Inputs!G$12),IF($E49="Enrollment",J49*K$4/J$4,IF($E49="Tuition Index",J49*K$5/J$5,IF($E49="% of Salaries",IF($G$6=0,0,$G49/$G$6*K$6),IF($E49="Debt",$G49*Inputs!G$15/12,IF($E49="Reserve Yield",Inputs!G$13*Inputs!G$16,J49)))))))))))</f>
        <v>0</v>
      </c>
      <c r="L49" s="22"/>
      <c r="M49" s="22"/>
      <c r="N49" s="22"/>
      <c r="O49" s="22"/>
    </row>
    <row r="50" customFormat="false" ht="15" hidden="false" customHeight="false" outlineLevel="0" collapsed="false">
      <c r="A50" s="6" t="s">
        <v>177</v>
      </c>
      <c r="B50" s="6" t="s">
        <v>10</v>
      </c>
      <c r="C50" s="30" t="s">
        <v>265</v>
      </c>
      <c r="D50" s="6" t="s">
        <v>266</v>
      </c>
      <c r="E50" s="20" t="s">
        <v>186</v>
      </c>
      <c r="F50" s="20" t="s">
        <v>132</v>
      </c>
      <c r="G50" s="31" t="n">
        <f aca="false">SUMIFS('QB Import'!$B$1:$B$600,'QB Import'!$H$1:$H$600,$C50,'QB Import'!$G$1:$G$600,1)</f>
        <v>0</v>
      </c>
      <c r="H50" s="11" t="n">
        <f aca="false">IF($E50="Manual",L50,IF($E50="Flat",G50,IF($E50="Inflation",G50*(1+Inputs!D$12),IF($E50="Salary",G50*(1+Inputs!D$10),IF($E50="Benefits",G50*(1+Inputs!D$11),IF($E50="Per Student",G50*H$4/G$4*(1+Inputs!D$12),IF($E50="Enrollment",G50*H$4/G$4,IF($E50="Tuition Index",G50*H$5/G$5,IF($E50="% of Salaries",IF($G$6=0,0,$G50/$G$6*H$6),IF($E50="Debt",$G50*Inputs!D$15/12,IF($E50="Reserve Yield",Inputs!D$13*Inputs!D$16,G50)))))))))))</f>
        <v>0</v>
      </c>
      <c r="I50" s="11" t="n">
        <f aca="false">IF($E50="Manual",M50,IF($E50="Flat",H50,IF($E50="Inflation",H50*(1+Inputs!E$12),IF($E50="Salary",H50*(1+Inputs!E$10),IF($E50="Benefits",H50*(1+Inputs!E$11),IF($E50="Per Student",H50*I$4/H$4*(1+Inputs!E$12),IF($E50="Enrollment",H50*I$4/H$4,IF($E50="Tuition Index",H50*I$5/H$5,IF($E50="% of Salaries",IF($G$6=0,0,$G50/$G$6*I$6),IF($E50="Debt",$G50*Inputs!E$15/12,IF($E50="Reserve Yield",Inputs!E$13*Inputs!E$16,H50)))))))))))</f>
        <v>0</v>
      </c>
      <c r="J50" s="11" t="n">
        <f aca="false">IF($E50="Manual",N50,IF($E50="Flat",I50,IF($E50="Inflation",I50*(1+Inputs!F$12),IF($E50="Salary",I50*(1+Inputs!F$10),IF($E50="Benefits",I50*(1+Inputs!F$11),IF($E50="Per Student",I50*J$4/I$4*(1+Inputs!F$12),IF($E50="Enrollment",I50*J$4/I$4,IF($E50="Tuition Index",I50*J$5/I$5,IF($E50="% of Salaries",IF($G$6=0,0,$G50/$G$6*J$6),IF($E50="Debt",$G50*Inputs!F$15/12,IF($E50="Reserve Yield",Inputs!F$13*Inputs!F$16,I50)))))))))))</f>
        <v>0</v>
      </c>
      <c r="K50" s="11" t="n">
        <f aca="false">IF($E50="Manual",O50,IF($E50="Flat",J50,IF($E50="Inflation",J50*(1+Inputs!G$12),IF($E50="Salary",J50*(1+Inputs!G$10),IF($E50="Benefits",J50*(1+Inputs!G$11),IF($E50="Per Student",J50*K$4/J$4*(1+Inputs!G$12),IF($E50="Enrollment",J50*K$4/J$4,IF($E50="Tuition Index",J50*K$5/J$5,IF($E50="% of Salaries",IF($G$6=0,0,$G50/$G$6*K$6),IF($E50="Debt",$G50*Inputs!G$15/12,IF($E50="Reserve Yield",Inputs!G$13*Inputs!G$16,J50)))))))))))</f>
        <v>0</v>
      </c>
      <c r="L50" s="22"/>
      <c r="M50" s="22"/>
      <c r="N50" s="22"/>
      <c r="O50" s="22"/>
    </row>
    <row r="51" customFormat="false" ht="15" hidden="false" customHeight="false" outlineLevel="0" collapsed="false">
      <c r="A51" s="6" t="s">
        <v>177</v>
      </c>
      <c r="B51" s="6" t="s">
        <v>10</v>
      </c>
      <c r="C51" s="30" t="s">
        <v>267</v>
      </c>
      <c r="D51" s="6" t="s">
        <v>268</v>
      </c>
      <c r="E51" s="20" t="s">
        <v>186</v>
      </c>
      <c r="F51" s="20" t="s">
        <v>132</v>
      </c>
      <c r="G51" s="31" t="n">
        <f aca="false">SUMIFS('QB Import'!$B$1:$B$600,'QB Import'!$H$1:$H$600,$C51,'QB Import'!$G$1:$G$600,1)</f>
        <v>0</v>
      </c>
      <c r="H51" s="11" t="n">
        <f aca="false">IF($E51="Manual",L51,IF($E51="Flat",G51,IF($E51="Inflation",G51*(1+Inputs!D$12),IF($E51="Salary",G51*(1+Inputs!D$10),IF($E51="Benefits",G51*(1+Inputs!D$11),IF($E51="Per Student",G51*H$4/G$4*(1+Inputs!D$12),IF($E51="Enrollment",G51*H$4/G$4,IF($E51="Tuition Index",G51*H$5/G$5,IF($E51="% of Salaries",IF($G$6=0,0,$G51/$G$6*H$6),IF($E51="Debt",$G51*Inputs!D$15/12,IF($E51="Reserve Yield",Inputs!D$13*Inputs!D$16,G51)))))))))))</f>
        <v>0</v>
      </c>
      <c r="I51" s="11" t="n">
        <f aca="false">IF($E51="Manual",M51,IF($E51="Flat",H51,IF($E51="Inflation",H51*(1+Inputs!E$12),IF($E51="Salary",H51*(1+Inputs!E$10),IF($E51="Benefits",H51*(1+Inputs!E$11),IF($E51="Per Student",H51*I$4/H$4*(1+Inputs!E$12),IF($E51="Enrollment",H51*I$4/H$4,IF($E51="Tuition Index",H51*I$5/H$5,IF($E51="% of Salaries",IF($G$6=0,0,$G51/$G$6*I$6),IF($E51="Debt",$G51*Inputs!E$15/12,IF($E51="Reserve Yield",Inputs!E$13*Inputs!E$16,H51)))))))))))</f>
        <v>0</v>
      </c>
      <c r="J51" s="11" t="n">
        <f aca="false">IF($E51="Manual",N51,IF($E51="Flat",I51,IF($E51="Inflation",I51*(1+Inputs!F$12),IF($E51="Salary",I51*(1+Inputs!F$10),IF($E51="Benefits",I51*(1+Inputs!F$11),IF($E51="Per Student",I51*J$4/I$4*(1+Inputs!F$12),IF($E51="Enrollment",I51*J$4/I$4,IF($E51="Tuition Index",I51*J$5/I$5,IF($E51="% of Salaries",IF($G$6=0,0,$G51/$G$6*J$6),IF($E51="Debt",$G51*Inputs!F$15/12,IF($E51="Reserve Yield",Inputs!F$13*Inputs!F$16,I51)))))))))))</f>
        <v>0</v>
      </c>
      <c r="K51" s="11" t="n">
        <f aca="false">IF($E51="Manual",O51,IF($E51="Flat",J51,IF($E51="Inflation",J51*(1+Inputs!G$12),IF($E51="Salary",J51*(1+Inputs!G$10),IF($E51="Benefits",J51*(1+Inputs!G$11),IF($E51="Per Student",J51*K$4/J$4*(1+Inputs!G$12),IF($E51="Enrollment",J51*K$4/J$4,IF($E51="Tuition Index",J51*K$5/J$5,IF($E51="% of Salaries",IF($G$6=0,0,$G51/$G$6*K$6),IF($E51="Debt",$G51*Inputs!G$15/12,IF($E51="Reserve Yield",Inputs!G$13*Inputs!G$16,J51)))))))))))</f>
        <v>0</v>
      </c>
      <c r="L51" s="22"/>
      <c r="M51" s="22"/>
      <c r="N51" s="22"/>
      <c r="O51" s="22"/>
    </row>
    <row r="52" customFormat="false" ht="15" hidden="false" customHeight="false" outlineLevel="0" collapsed="false">
      <c r="A52" s="6" t="s">
        <v>177</v>
      </c>
      <c r="B52" s="6" t="s">
        <v>10</v>
      </c>
      <c r="C52" s="30" t="s">
        <v>269</v>
      </c>
      <c r="D52" s="6" t="s">
        <v>270</v>
      </c>
      <c r="E52" s="20" t="s">
        <v>186</v>
      </c>
      <c r="F52" s="20" t="s">
        <v>132</v>
      </c>
      <c r="G52" s="31" t="n">
        <f aca="false">SUMIFS('QB Import'!$B$1:$B$600,'QB Import'!$H$1:$H$600,$C52,'QB Import'!$G$1:$G$600,1)</f>
        <v>0</v>
      </c>
      <c r="H52" s="11" t="n">
        <f aca="false">IF($E52="Manual",L52,IF($E52="Flat",G52,IF($E52="Inflation",G52*(1+Inputs!D$12),IF($E52="Salary",G52*(1+Inputs!D$10),IF($E52="Benefits",G52*(1+Inputs!D$11),IF($E52="Per Student",G52*H$4/G$4*(1+Inputs!D$12),IF($E52="Enrollment",G52*H$4/G$4,IF($E52="Tuition Index",G52*H$5/G$5,IF($E52="% of Salaries",IF($G$6=0,0,$G52/$G$6*H$6),IF($E52="Debt",$G52*Inputs!D$15/12,IF($E52="Reserve Yield",Inputs!D$13*Inputs!D$16,G52)))))))))))</f>
        <v>0</v>
      </c>
      <c r="I52" s="11" t="n">
        <f aca="false">IF($E52="Manual",M52,IF($E52="Flat",H52,IF($E52="Inflation",H52*(1+Inputs!E$12),IF($E52="Salary",H52*(1+Inputs!E$10),IF($E52="Benefits",H52*(1+Inputs!E$11),IF($E52="Per Student",H52*I$4/H$4*(1+Inputs!E$12),IF($E52="Enrollment",H52*I$4/H$4,IF($E52="Tuition Index",H52*I$5/H$5,IF($E52="% of Salaries",IF($G$6=0,0,$G52/$G$6*I$6),IF($E52="Debt",$G52*Inputs!E$15/12,IF($E52="Reserve Yield",Inputs!E$13*Inputs!E$16,H52)))))))))))</f>
        <v>0</v>
      </c>
      <c r="J52" s="11" t="n">
        <f aca="false">IF($E52="Manual",N52,IF($E52="Flat",I52,IF($E52="Inflation",I52*(1+Inputs!F$12),IF($E52="Salary",I52*(1+Inputs!F$10),IF($E52="Benefits",I52*(1+Inputs!F$11),IF($E52="Per Student",I52*J$4/I$4*(1+Inputs!F$12),IF($E52="Enrollment",I52*J$4/I$4,IF($E52="Tuition Index",I52*J$5/I$5,IF($E52="% of Salaries",IF($G$6=0,0,$G52/$G$6*J$6),IF($E52="Debt",$G52*Inputs!F$15/12,IF($E52="Reserve Yield",Inputs!F$13*Inputs!F$16,I52)))))))))))</f>
        <v>0</v>
      </c>
      <c r="K52" s="11" t="n">
        <f aca="false">IF($E52="Manual",O52,IF($E52="Flat",J52,IF($E52="Inflation",J52*(1+Inputs!G$12),IF($E52="Salary",J52*(1+Inputs!G$10),IF($E52="Benefits",J52*(1+Inputs!G$11),IF($E52="Per Student",J52*K$4/J$4*(1+Inputs!G$12),IF($E52="Enrollment",J52*K$4/J$4,IF($E52="Tuition Index",J52*K$5/J$5,IF($E52="% of Salaries",IF($G$6=0,0,$G52/$G$6*K$6),IF($E52="Debt",$G52*Inputs!G$15/12,IF($E52="Reserve Yield",Inputs!G$13*Inputs!G$16,J52)))))))))))</f>
        <v>0</v>
      </c>
      <c r="L52" s="22"/>
      <c r="M52" s="22"/>
      <c r="N52" s="22"/>
      <c r="O52" s="22"/>
    </row>
    <row r="53" customFormat="false" ht="15" hidden="false" customHeight="false" outlineLevel="0" collapsed="false">
      <c r="A53" s="6" t="s">
        <v>177</v>
      </c>
      <c r="B53" s="6" t="s">
        <v>10</v>
      </c>
      <c r="C53" s="30" t="s">
        <v>271</v>
      </c>
      <c r="D53" s="6" t="s">
        <v>272</v>
      </c>
      <c r="E53" s="20" t="s">
        <v>186</v>
      </c>
      <c r="F53" s="20" t="s">
        <v>132</v>
      </c>
      <c r="G53" s="31" t="n">
        <f aca="false">SUMIFS('QB Import'!$B$1:$B$600,'QB Import'!$H$1:$H$600,$C53,'QB Import'!$G$1:$G$600,1)</f>
        <v>0</v>
      </c>
      <c r="H53" s="11" t="n">
        <f aca="false">IF($E53="Manual",L53,IF($E53="Flat",G53,IF($E53="Inflation",G53*(1+Inputs!D$12),IF($E53="Salary",G53*(1+Inputs!D$10),IF($E53="Benefits",G53*(1+Inputs!D$11),IF($E53="Per Student",G53*H$4/G$4*(1+Inputs!D$12),IF($E53="Enrollment",G53*H$4/G$4,IF($E53="Tuition Index",G53*H$5/G$5,IF($E53="% of Salaries",IF($G$6=0,0,$G53/$G$6*H$6),IF($E53="Debt",$G53*Inputs!D$15/12,IF($E53="Reserve Yield",Inputs!D$13*Inputs!D$16,G53)))))))))))</f>
        <v>0</v>
      </c>
      <c r="I53" s="11" t="n">
        <f aca="false">IF($E53="Manual",M53,IF($E53="Flat",H53,IF($E53="Inflation",H53*(1+Inputs!E$12),IF($E53="Salary",H53*(1+Inputs!E$10),IF($E53="Benefits",H53*(1+Inputs!E$11),IF($E53="Per Student",H53*I$4/H$4*(1+Inputs!E$12),IF($E53="Enrollment",H53*I$4/H$4,IF($E53="Tuition Index",H53*I$5/H$5,IF($E53="% of Salaries",IF($G$6=0,0,$G53/$G$6*I$6),IF($E53="Debt",$G53*Inputs!E$15/12,IF($E53="Reserve Yield",Inputs!E$13*Inputs!E$16,H53)))))))))))</f>
        <v>0</v>
      </c>
      <c r="J53" s="11" t="n">
        <f aca="false">IF($E53="Manual",N53,IF($E53="Flat",I53,IF($E53="Inflation",I53*(1+Inputs!F$12),IF($E53="Salary",I53*(1+Inputs!F$10),IF($E53="Benefits",I53*(1+Inputs!F$11),IF($E53="Per Student",I53*J$4/I$4*(1+Inputs!F$12),IF($E53="Enrollment",I53*J$4/I$4,IF($E53="Tuition Index",I53*J$5/I$5,IF($E53="% of Salaries",IF($G$6=0,0,$G53/$G$6*J$6),IF($E53="Debt",$G53*Inputs!F$15/12,IF($E53="Reserve Yield",Inputs!F$13*Inputs!F$16,I53)))))))))))</f>
        <v>0</v>
      </c>
      <c r="K53" s="11" t="n">
        <f aca="false">IF($E53="Manual",O53,IF($E53="Flat",J53,IF($E53="Inflation",J53*(1+Inputs!G$12),IF($E53="Salary",J53*(1+Inputs!G$10),IF($E53="Benefits",J53*(1+Inputs!G$11),IF($E53="Per Student",J53*K$4/J$4*(1+Inputs!G$12),IF($E53="Enrollment",J53*K$4/J$4,IF($E53="Tuition Index",J53*K$5/J$5,IF($E53="% of Salaries",IF($G$6=0,0,$G53/$G$6*K$6),IF($E53="Debt",$G53*Inputs!G$15/12,IF($E53="Reserve Yield",Inputs!G$13*Inputs!G$16,J53)))))))))))</f>
        <v>0</v>
      </c>
      <c r="L53" s="22"/>
      <c r="M53" s="22"/>
      <c r="N53" s="22"/>
      <c r="O53" s="22"/>
    </row>
    <row r="54" customFormat="false" ht="15" hidden="false" customHeight="false" outlineLevel="0" collapsed="false">
      <c r="A54" s="6" t="s">
        <v>177</v>
      </c>
      <c r="B54" s="6" t="s">
        <v>10</v>
      </c>
      <c r="C54" s="30" t="s">
        <v>273</v>
      </c>
      <c r="D54" s="6" t="s">
        <v>274</v>
      </c>
      <c r="E54" s="20" t="s">
        <v>186</v>
      </c>
      <c r="F54" s="20" t="s">
        <v>132</v>
      </c>
      <c r="G54" s="31" t="n">
        <f aca="false">SUMIFS('QB Import'!$B$1:$B$600,'QB Import'!$H$1:$H$600,$C54,'QB Import'!$G$1:$G$600,1)</f>
        <v>0</v>
      </c>
      <c r="H54" s="11" t="n">
        <f aca="false">IF($E54="Manual",L54,IF($E54="Flat",G54,IF($E54="Inflation",G54*(1+Inputs!D$12),IF($E54="Salary",G54*(1+Inputs!D$10),IF($E54="Benefits",G54*(1+Inputs!D$11),IF($E54="Per Student",G54*H$4/G$4*(1+Inputs!D$12),IF($E54="Enrollment",G54*H$4/G$4,IF($E54="Tuition Index",G54*H$5/G$5,IF($E54="% of Salaries",IF($G$6=0,0,$G54/$G$6*H$6),IF($E54="Debt",$G54*Inputs!D$15/12,IF($E54="Reserve Yield",Inputs!D$13*Inputs!D$16,G54)))))))))))</f>
        <v>0</v>
      </c>
      <c r="I54" s="11" t="n">
        <f aca="false">IF($E54="Manual",M54,IF($E54="Flat",H54,IF($E54="Inflation",H54*(1+Inputs!E$12),IF($E54="Salary",H54*(1+Inputs!E$10),IF($E54="Benefits",H54*(1+Inputs!E$11),IF($E54="Per Student",H54*I$4/H$4*(1+Inputs!E$12),IF($E54="Enrollment",H54*I$4/H$4,IF($E54="Tuition Index",H54*I$5/H$5,IF($E54="% of Salaries",IF($G$6=0,0,$G54/$G$6*I$6),IF($E54="Debt",$G54*Inputs!E$15/12,IF($E54="Reserve Yield",Inputs!E$13*Inputs!E$16,H54)))))))))))</f>
        <v>0</v>
      </c>
      <c r="J54" s="11" t="n">
        <f aca="false">IF($E54="Manual",N54,IF($E54="Flat",I54,IF($E54="Inflation",I54*(1+Inputs!F$12),IF($E54="Salary",I54*(1+Inputs!F$10),IF($E54="Benefits",I54*(1+Inputs!F$11),IF($E54="Per Student",I54*J$4/I$4*(1+Inputs!F$12),IF($E54="Enrollment",I54*J$4/I$4,IF($E54="Tuition Index",I54*J$5/I$5,IF($E54="% of Salaries",IF($G$6=0,0,$G54/$G$6*J$6),IF($E54="Debt",$G54*Inputs!F$15/12,IF($E54="Reserve Yield",Inputs!F$13*Inputs!F$16,I54)))))))))))</f>
        <v>0</v>
      </c>
      <c r="K54" s="11" t="n">
        <f aca="false">IF($E54="Manual",O54,IF($E54="Flat",J54,IF($E54="Inflation",J54*(1+Inputs!G$12),IF($E54="Salary",J54*(1+Inputs!G$10),IF($E54="Benefits",J54*(1+Inputs!G$11),IF($E54="Per Student",J54*K$4/J$4*(1+Inputs!G$12),IF($E54="Enrollment",J54*K$4/J$4,IF($E54="Tuition Index",J54*K$5/J$5,IF($E54="% of Salaries",IF($G$6=0,0,$G54/$G$6*K$6),IF($E54="Debt",$G54*Inputs!G$15/12,IF($E54="Reserve Yield",Inputs!G$13*Inputs!G$16,J54)))))))))))</f>
        <v>0</v>
      </c>
      <c r="L54" s="22"/>
      <c r="M54" s="22"/>
      <c r="N54" s="22"/>
      <c r="O54" s="22"/>
    </row>
    <row r="55" customFormat="false" ht="15" hidden="false" customHeight="false" outlineLevel="0" collapsed="false">
      <c r="A55" s="6" t="s">
        <v>177</v>
      </c>
      <c r="B55" s="6" t="s">
        <v>10</v>
      </c>
      <c r="C55" s="30" t="s">
        <v>275</v>
      </c>
      <c r="D55" s="6" t="s">
        <v>276</v>
      </c>
      <c r="E55" s="20" t="s">
        <v>186</v>
      </c>
      <c r="F55" s="20" t="s">
        <v>132</v>
      </c>
      <c r="G55" s="31" t="n">
        <f aca="false">SUMIFS('QB Import'!$B$1:$B$600,'QB Import'!$H$1:$H$600,$C55,'QB Import'!$G$1:$G$600,1)</f>
        <v>0</v>
      </c>
      <c r="H55" s="11" t="n">
        <f aca="false">IF($E55="Manual",L55,IF($E55="Flat",G55,IF($E55="Inflation",G55*(1+Inputs!D$12),IF($E55="Salary",G55*(1+Inputs!D$10),IF($E55="Benefits",G55*(1+Inputs!D$11),IF($E55="Per Student",G55*H$4/G$4*(1+Inputs!D$12),IF($E55="Enrollment",G55*H$4/G$4,IF($E55="Tuition Index",G55*H$5/G$5,IF($E55="% of Salaries",IF($G$6=0,0,$G55/$G$6*H$6),IF($E55="Debt",$G55*Inputs!D$15/12,IF($E55="Reserve Yield",Inputs!D$13*Inputs!D$16,G55)))))))))))</f>
        <v>0</v>
      </c>
      <c r="I55" s="11" t="n">
        <f aca="false">IF($E55="Manual",M55,IF($E55="Flat",H55,IF($E55="Inflation",H55*(1+Inputs!E$12),IF($E55="Salary",H55*(1+Inputs!E$10),IF($E55="Benefits",H55*(1+Inputs!E$11),IF($E55="Per Student",H55*I$4/H$4*(1+Inputs!E$12),IF($E55="Enrollment",H55*I$4/H$4,IF($E55="Tuition Index",H55*I$5/H$5,IF($E55="% of Salaries",IF($G$6=0,0,$G55/$G$6*I$6),IF($E55="Debt",$G55*Inputs!E$15/12,IF($E55="Reserve Yield",Inputs!E$13*Inputs!E$16,H55)))))))))))</f>
        <v>0</v>
      </c>
      <c r="J55" s="11" t="n">
        <f aca="false">IF($E55="Manual",N55,IF($E55="Flat",I55,IF($E55="Inflation",I55*(1+Inputs!F$12),IF($E55="Salary",I55*(1+Inputs!F$10),IF($E55="Benefits",I55*(1+Inputs!F$11),IF($E55="Per Student",I55*J$4/I$4*(1+Inputs!F$12),IF($E55="Enrollment",I55*J$4/I$4,IF($E55="Tuition Index",I55*J$5/I$5,IF($E55="% of Salaries",IF($G$6=0,0,$G55/$G$6*J$6),IF($E55="Debt",$G55*Inputs!F$15/12,IF($E55="Reserve Yield",Inputs!F$13*Inputs!F$16,I55)))))))))))</f>
        <v>0</v>
      </c>
      <c r="K55" s="11" t="n">
        <f aca="false">IF($E55="Manual",O55,IF($E55="Flat",J55,IF($E55="Inflation",J55*(1+Inputs!G$12),IF($E55="Salary",J55*(1+Inputs!G$10),IF($E55="Benefits",J55*(1+Inputs!G$11),IF($E55="Per Student",J55*K$4/J$4*(1+Inputs!G$12),IF($E55="Enrollment",J55*K$4/J$4,IF($E55="Tuition Index",J55*K$5/J$5,IF($E55="% of Salaries",IF($G$6=0,0,$G55/$G$6*K$6),IF($E55="Debt",$G55*Inputs!G$15/12,IF($E55="Reserve Yield",Inputs!G$13*Inputs!G$16,J55)))))))))))</f>
        <v>0</v>
      </c>
      <c r="L55" s="22"/>
      <c r="M55" s="22"/>
      <c r="N55" s="22"/>
      <c r="O55" s="22"/>
    </row>
    <row r="56" customFormat="false" ht="15" hidden="false" customHeight="false" outlineLevel="0" collapsed="false">
      <c r="A56" s="6" t="s">
        <v>177</v>
      </c>
      <c r="B56" s="6" t="s">
        <v>10</v>
      </c>
      <c r="C56" s="30" t="s">
        <v>277</v>
      </c>
      <c r="D56" s="6" t="s">
        <v>278</v>
      </c>
      <c r="E56" s="20" t="s">
        <v>186</v>
      </c>
      <c r="F56" s="20" t="s">
        <v>132</v>
      </c>
      <c r="G56" s="31" t="n">
        <f aca="false">SUMIFS('QB Import'!$B$1:$B$600,'QB Import'!$H$1:$H$600,$C56,'QB Import'!$G$1:$G$600,1)</f>
        <v>0</v>
      </c>
      <c r="H56" s="11" t="n">
        <f aca="false">IF($E56="Manual",L56,IF($E56="Flat",G56,IF($E56="Inflation",G56*(1+Inputs!D$12),IF($E56="Salary",G56*(1+Inputs!D$10),IF($E56="Benefits",G56*(1+Inputs!D$11),IF($E56="Per Student",G56*H$4/G$4*(1+Inputs!D$12),IF($E56="Enrollment",G56*H$4/G$4,IF($E56="Tuition Index",G56*H$5/G$5,IF($E56="% of Salaries",IF($G$6=0,0,$G56/$G$6*H$6),IF($E56="Debt",$G56*Inputs!D$15/12,IF($E56="Reserve Yield",Inputs!D$13*Inputs!D$16,G56)))))))))))</f>
        <v>0</v>
      </c>
      <c r="I56" s="11" t="n">
        <f aca="false">IF($E56="Manual",M56,IF($E56="Flat",H56,IF($E56="Inflation",H56*(1+Inputs!E$12),IF($E56="Salary",H56*(1+Inputs!E$10),IF($E56="Benefits",H56*(1+Inputs!E$11),IF($E56="Per Student",H56*I$4/H$4*(1+Inputs!E$12),IF($E56="Enrollment",H56*I$4/H$4,IF($E56="Tuition Index",H56*I$5/H$5,IF($E56="% of Salaries",IF($G$6=0,0,$G56/$G$6*I$6),IF($E56="Debt",$G56*Inputs!E$15/12,IF($E56="Reserve Yield",Inputs!E$13*Inputs!E$16,H56)))))))))))</f>
        <v>0</v>
      </c>
      <c r="J56" s="11" t="n">
        <f aca="false">IF($E56="Manual",N56,IF($E56="Flat",I56,IF($E56="Inflation",I56*(1+Inputs!F$12),IF($E56="Salary",I56*(1+Inputs!F$10),IF($E56="Benefits",I56*(1+Inputs!F$11),IF($E56="Per Student",I56*J$4/I$4*(1+Inputs!F$12),IF($E56="Enrollment",I56*J$4/I$4,IF($E56="Tuition Index",I56*J$5/I$5,IF($E56="% of Salaries",IF($G$6=0,0,$G56/$G$6*J$6),IF($E56="Debt",$G56*Inputs!F$15/12,IF($E56="Reserve Yield",Inputs!F$13*Inputs!F$16,I56)))))))))))</f>
        <v>0</v>
      </c>
      <c r="K56" s="11" t="n">
        <f aca="false">IF($E56="Manual",O56,IF($E56="Flat",J56,IF($E56="Inflation",J56*(1+Inputs!G$12),IF($E56="Salary",J56*(1+Inputs!G$10),IF($E56="Benefits",J56*(1+Inputs!G$11),IF($E56="Per Student",J56*K$4/J$4*(1+Inputs!G$12),IF($E56="Enrollment",J56*K$4/J$4,IF($E56="Tuition Index",J56*K$5/J$5,IF($E56="% of Salaries",IF($G$6=0,0,$G56/$G$6*K$6),IF($E56="Debt",$G56*Inputs!G$15/12,IF($E56="Reserve Yield",Inputs!G$13*Inputs!G$16,J56)))))))))))</f>
        <v>0</v>
      </c>
      <c r="L56" s="22"/>
      <c r="M56" s="22"/>
      <c r="N56" s="22"/>
      <c r="O56" s="22"/>
    </row>
    <row r="57" customFormat="false" ht="15" hidden="false" customHeight="false" outlineLevel="0" collapsed="false">
      <c r="A57" s="6" t="s">
        <v>177</v>
      </c>
      <c r="B57" s="6" t="s">
        <v>10</v>
      </c>
      <c r="C57" s="30" t="s">
        <v>279</v>
      </c>
      <c r="D57" s="6" t="s">
        <v>280</v>
      </c>
      <c r="E57" s="20" t="s">
        <v>186</v>
      </c>
      <c r="F57" s="20" t="s">
        <v>132</v>
      </c>
      <c r="G57" s="31" t="n">
        <f aca="false">SUMIFS('QB Import'!$B$1:$B$600,'QB Import'!$H$1:$H$600,$C57,'QB Import'!$G$1:$G$600,1)</f>
        <v>0</v>
      </c>
      <c r="H57" s="11" t="n">
        <f aca="false">IF($E57="Manual",L57,IF($E57="Flat",G57,IF($E57="Inflation",G57*(1+Inputs!D$12),IF($E57="Salary",G57*(1+Inputs!D$10),IF($E57="Benefits",G57*(1+Inputs!D$11),IF($E57="Per Student",G57*H$4/G$4*(1+Inputs!D$12),IF($E57="Enrollment",G57*H$4/G$4,IF($E57="Tuition Index",G57*H$5/G$5,IF($E57="% of Salaries",IF($G$6=0,0,$G57/$G$6*H$6),IF($E57="Debt",$G57*Inputs!D$15/12,IF($E57="Reserve Yield",Inputs!D$13*Inputs!D$16,G57)))))))))))</f>
        <v>0</v>
      </c>
      <c r="I57" s="11" t="n">
        <f aca="false">IF($E57="Manual",M57,IF($E57="Flat",H57,IF($E57="Inflation",H57*(1+Inputs!E$12),IF($E57="Salary",H57*(1+Inputs!E$10),IF($E57="Benefits",H57*(1+Inputs!E$11),IF($E57="Per Student",H57*I$4/H$4*(1+Inputs!E$12),IF($E57="Enrollment",H57*I$4/H$4,IF($E57="Tuition Index",H57*I$5/H$5,IF($E57="% of Salaries",IF($G$6=0,0,$G57/$G$6*I$6),IF($E57="Debt",$G57*Inputs!E$15/12,IF($E57="Reserve Yield",Inputs!E$13*Inputs!E$16,H57)))))))))))</f>
        <v>0</v>
      </c>
      <c r="J57" s="11" t="n">
        <f aca="false">IF($E57="Manual",N57,IF($E57="Flat",I57,IF($E57="Inflation",I57*(1+Inputs!F$12),IF($E57="Salary",I57*(1+Inputs!F$10),IF($E57="Benefits",I57*(1+Inputs!F$11),IF($E57="Per Student",I57*J$4/I$4*(1+Inputs!F$12),IF($E57="Enrollment",I57*J$4/I$4,IF($E57="Tuition Index",I57*J$5/I$5,IF($E57="% of Salaries",IF($G$6=0,0,$G57/$G$6*J$6),IF($E57="Debt",$G57*Inputs!F$15/12,IF($E57="Reserve Yield",Inputs!F$13*Inputs!F$16,I57)))))))))))</f>
        <v>0</v>
      </c>
      <c r="K57" s="11" t="n">
        <f aca="false">IF($E57="Manual",O57,IF($E57="Flat",J57,IF($E57="Inflation",J57*(1+Inputs!G$12),IF($E57="Salary",J57*(1+Inputs!G$10),IF($E57="Benefits",J57*(1+Inputs!G$11),IF($E57="Per Student",J57*K$4/J$4*(1+Inputs!G$12),IF($E57="Enrollment",J57*K$4/J$4,IF($E57="Tuition Index",J57*K$5/J$5,IF($E57="% of Salaries",IF($G$6=0,0,$G57/$G$6*K$6),IF($E57="Debt",$G57*Inputs!G$15/12,IF($E57="Reserve Yield",Inputs!G$13*Inputs!G$16,J57)))))))))))</f>
        <v>0</v>
      </c>
      <c r="L57" s="22"/>
      <c r="M57" s="22"/>
      <c r="N57" s="22"/>
      <c r="O57" s="22"/>
    </row>
    <row r="58" customFormat="false" ht="15" hidden="false" customHeight="false" outlineLevel="0" collapsed="false">
      <c r="A58" s="6" t="s">
        <v>177</v>
      </c>
      <c r="B58" s="6" t="s">
        <v>11</v>
      </c>
      <c r="C58" s="30" t="s">
        <v>11</v>
      </c>
      <c r="D58" s="6" t="s">
        <v>11</v>
      </c>
      <c r="E58" s="20" t="s">
        <v>186</v>
      </c>
      <c r="F58" s="20" t="s">
        <v>132</v>
      </c>
      <c r="G58" s="31" t="n">
        <f aca="false">SUMIFS('QB Import'!$B$1:$B$600,'QB Import'!$H$1:$H$600,$C58,'QB Import'!$G$1:$G$600,1)</f>
        <v>0</v>
      </c>
      <c r="H58" s="11" t="n">
        <f aca="false">IF($E58="Manual",L58,IF($E58="Flat",G58,IF($E58="Inflation",G58*(1+Inputs!D$12),IF($E58="Salary",G58*(1+Inputs!D$10),IF($E58="Benefits",G58*(1+Inputs!D$11),IF($E58="Per Student",G58*H$4/G$4*(1+Inputs!D$12),IF($E58="Enrollment",G58*H$4/G$4,IF($E58="Tuition Index",G58*H$5/G$5,IF($E58="% of Salaries",IF($G$6=0,0,$G58/$G$6*H$6),IF($E58="Debt",$G58*Inputs!D$15/12,IF($E58="Reserve Yield",Inputs!D$13*Inputs!D$16,G58)))))))))))</f>
        <v>0</v>
      </c>
      <c r="I58" s="11" t="n">
        <f aca="false">IF($E58="Manual",M58,IF($E58="Flat",H58,IF($E58="Inflation",H58*(1+Inputs!E$12),IF($E58="Salary",H58*(1+Inputs!E$10),IF($E58="Benefits",H58*(1+Inputs!E$11),IF($E58="Per Student",H58*I$4/H$4*(1+Inputs!E$12),IF($E58="Enrollment",H58*I$4/H$4,IF($E58="Tuition Index",H58*I$5/H$5,IF($E58="% of Salaries",IF($G$6=0,0,$G58/$G$6*I$6),IF($E58="Debt",$G58*Inputs!E$15/12,IF($E58="Reserve Yield",Inputs!E$13*Inputs!E$16,H58)))))))))))</f>
        <v>0</v>
      </c>
      <c r="J58" s="11" t="n">
        <f aca="false">IF($E58="Manual",N58,IF($E58="Flat",I58,IF($E58="Inflation",I58*(1+Inputs!F$12),IF($E58="Salary",I58*(1+Inputs!F$10),IF($E58="Benefits",I58*(1+Inputs!F$11),IF($E58="Per Student",I58*J$4/I$4*(1+Inputs!F$12),IF($E58="Enrollment",I58*J$4/I$4,IF($E58="Tuition Index",I58*J$5/I$5,IF($E58="% of Salaries",IF($G$6=0,0,$G58/$G$6*J$6),IF($E58="Debt",$G58*Inputs!F$15/12,IF($E58="Reserve Yield",Inputs!F$13*Inputs!F$16,I58)))))))))))</f>
        <v>0</v>
      </c>
      <c r="K58" s="11" t="n">
        <f aca="false">IF($E58="Manual",O58,IF($E58="Flat",J58,IF($E58="Inflation",J58*(1+Inputs!G$12),IF($E58="Salary",J58*(1+Inputs!G$10),IF($E58="Benefits",J58*(1+Inputs!G$11),IF($E58="Per Student",J58*K$4/J$4*(1+Inputs!G$12),IF($E58="Enrollment",J58*K$4/J$4,IF($E58="Tuition Index",J58*K$5/J$5,IF($E58="% of Salaries",IF($G$6=0,0,$G58/$G$6*K$6),IF($E58="Debt",$G58*Inputs!G$15/12,IF($E58="Reserve Yield",Inputs!G$13*Inputs!G$16,J58)))))))))))</f>
        <v>0</v>
      </c>
      <c r="L58" s="22"/>
      <c r="M58" s="22"/>
      <c r="N58" s="22"/>
      <c r="O58" s="22"/>
    </row>
    <row r="59" customFormat="false" ht="15" hidden="false" customHeight="false" outlineLevel="0" collapsed="false">
      <c r="A59" s="6" t="s">
        <v>281</v>
      </c>
      <c r="B59" s="6" t="s">
        <v>14</v>
      </c>
      <c r="C59" s="30" t="s">
        <v>282</v>
      </c>
      <c r="D59" s="6" t="s">
        <v>283</v>
      </c>
      <c r="E59" s="20" t="s">
        <v>284</v>
      </c>
      <c r="F59" s="20" t="s">
        <v>132</v>
      </c>
      <c r="G59" s="31" t="n">
        <f aca="false">SUMIFS('QB Import'!$B$1:$B$600,'QB Import'!$H$1:$H$600,$C59,'QB Import'!$G$1:$G$600,1)</f>
        <v>138720</v>
      </c>
      <c r="H59" s="11" t="n">
        <f aca="false">IF($E59="Manual",L59,IF($E59="Flat",G59,IF($E59="Inflation",G59*(1+Inputs!D$12),IF($E59="Salary",G59*(1+Inputs!D$10),IF($E59="Benefits",G59*(1+Inputs!D$11),IF($E59="Per Student",G59*H$4/G$4*(1+Inputs!D$12),IF($E59="Enrollment",G59*H$4/G$4,IF($E59="Tuition Index",G59*H$5/G$5,IF($E59="% of Salaries",IF($G$6=0,0,$G59/$G$6*H$6),IF($E59="Debt",$G59*Inputs!D$15/12,IF($E59="Reserve Yield",Inputs!D$13*Inputs!D$16,G59)))))))))))</f>
        <v>142881.6</v>
      </c>
      <c r="I59" s="11" t="n">
        <f aca="false">IF($E59="Manual",M59,IF($E59="Flat",H59,IF($E59="Inflation",H59*(1+Inputs!E$12),IF($E59="Salary",H59*(1+Inputs!E$10),IF($E59="Benefits",H59*(1+Inputs!E$11),IF($E59="Per Student",H59*I$4/H$4*(1+Inputs!E$12),IF($E59="Enrollment",H59*I$4/H$4,IF($E59="Tuition Index",H59*I$5/H$5,IF($E59="% of Salaries",IF($G$6=0,0,$G59/$G$6*I$6),IF($E59="Debt",$G59*Inputs!E$15/12,IF($E59="Reserve Yield",Inputs!E$13*Inputs!E$16,H59)))))))))))</f>
        <v>147168.048</v>
      </c>
      <c r="J59" s="11" t="n">
        <f aca="false">IF($E59="Manual",N59,IF($E59="Flat",I59,IF($E59="Inflation",I59*(1+Inputs!F$12),IF($E59="Salary",I59*(1+Inputs!F$10),IF($E59="Benefits",I59*(1+Inputs!F$11),IF($E59="Per Student",I59*J$4/I$4*(1+Inputs!F$12),IF($E59="Enrollment",I59*J$4/I$4,IF($E59="Tuition Index",I59*J$5/I$5,IF($E59="% of Salaries",IF($G$6=0,0,$G59/$G$6*J$6),IF($E59="Debt",$G59*Inputs!F$15/12,IF($E59="Reserve Yield",Inputs!F$13*Inputs!F$16,I59)))))))))))</f>
        <v>151583.08944</v>
      </c>
      <c r="K59" s="11" t="n">
        <f aca="false">IF($E59="Manual",O59,IF($E59="Flat",J59,IF($E59="Inflation",J59*(1+Inputs!G$12),IF($E59="Salary",J59*(1+Inputs!G$10),IF($E59="Benefits",J59*(1+Inputs!G$11),IF($E59="Per Student",J59*K$4/J$4*(1+Inputs!G$12),IF($E59="Enrollment",J59*K$4/J$4,IF($E59="Tuition Index",J59*K$5/J$5,IF($E59="% of Salaries",IF($G$6=0,0,$G59/$G$6*K$6),IF($E59="Debt",$G59*Inputs!G$15/12,IF($E59="Reserve Yield",Inputs!G$13*Inputs!G$16,J59)))))))))))</f>
        <v>156130.5821232</v>
      </c>
      <c r="L59" s="22"/>
      <c r="M59" s="22"/>
      <c r="N59" s="22"/>
      <c r="O59" s="22"/>
    </row>
    <row r="60" customFormat="false" ht="15" hidden="false" customHeight="false" outlineLevel="0" collapsed="false">
      <c r="A60" s="6" t="s">
        <v>281</v>
      </c>
      <c r="B60" s="6" t="s">
        <v>14</v>
      </c>
      <c r="C60" s="30" t="s">
        <v>285</v>
      </c>
      <c r="D60" s="6" t="s">
        <v>286</v>
      </c>
      <c r="E60" s="20" t="s">
        <v>287</v>
      </c>
      <c r="F60" s="20" t="s">
        <v>132</v>
      </c>
      <c r="G60" s="31" t="n">
        <f aca="false">SUMIFS('QB Import'!$B$1:$B$600,'QB Import'!$H$1:$H$600,$C60,'QB Import'!$G$1:$G$600,1)</f>
        <v>285000</v>
      </c>
      <c r="H60" s="11" t="n">
        <f aca="false">IF($E60="Manual",L60,IF($E60="Flat",G60,IF($E60="Inflation",G60*(1+Inputs!D$12),IF($E60="Salary",G60*(1+Inputs!D$10),IF($E60="Benefits",G60*(1+Inputs!D$11),IF($E60="Per Student",G60*H$4/G$4*(1+Inputs!D$12),IF($E60="Enrollment",G60*H$4/G$4,IF($E60="Tuition Index",G60*H$5/G$5,IF($E60="% of Salaries",IF($G$6=0,0,$G60/$G$6*H$6),IF($E60="Debt",$G60*Inputs!D$15/12,IF($E60="Reserve Yield",Inputs!D$13*Inputs!D$16,G60)))))))))))</f>
        <v>293550</v>
      </c>
      <c r="I60" s="11" t="n">
        <f aca="false">IF($E60="Manual",M60,IF($E60="Flat",H60,IF($E60="Inflation",H60*(1+Inputs!E$12),IF($E60="Salary",H60*(1+Inputs!E$10),IF($E60="Benefits",H60*(1+Inputs!E$11),IF($E60="Per Student",H60*I$4/H$4*(1+Inputs!E$12),IF($E60="Enrollment",H60*I$4/H$4,IF($E60="Tuition Index",H60*I$5/H$5,IF($E60="% of Salaries",IF($G$6=0,0,$G60/$G$6*I$6),IF($E60="Debt",$G60*Inputs!E$15/12,IF($E60="Reserve Yield",Inputs!E$13*Inputs!E$16,H60)))))))))))</f>
        <v>302356.5</v>
      </c>
      <c r="J60" s="11" t="n">
        <f aca="false">IF($E60="Manual",N60,IF($E60="Flat",I60,IF($E60="Inflation",I60*(1+Inputs!F$12),IF($E60="Salary",I60*(1+Inputs!F$10),IF($E60="Benefits",I60*(1+Inputs!F$11),IF($E60="Per Student",I60*J$4/I$4*(1+Inputs!F$12),IF($E60="Enrollment",I60*J$4/I$4,IF($E60="Tuition Index",I60*J$5/I$5,IF($E60="% of Salaries",IF($G$6=0,0,$G60/$G$6*J$6),IF($E60="Debt",$G60*Inputs!F$15/12,IF($E60="Reserve Yield",Inputs!F$13*Inputs!F$16,I60)))))))))))</f>
        <v>311427.195</v>
      </c>
      <c r="K60" s="11" t="n">
        <f aca="false">IF($E60="Manual",O60,IF($E60="Flat",J60,IF($E60="Inflation",J60*(1+Inputs!G$12),IF($E60="Salary",J60*(1+Inputs!G$10),IF($E60="Benefits",J60*(1+Inputs!G$11),IF($E60="Per Student",J60*K$4/J$4*(1+Inputs!G$12),IF($E60="Enrollment",J60*K$4/J$4,IF($E60="Tuition Index",J60*K$5/J$5,IF($E60="% of Salaries",IF($G$6=0,0,$G60/$G$6*K$6),IF($E60="Debt",$G60*Inputs!G$15/12,IF($E60="Reserve Yield",Inputs!G$13*Inputs!G$16,J60)))))))))))</f>
        <v>320770.01085</v>
      </c>
      <c r="L60" s="22"/>
      <c r="M60" s="22"/>
      <c r="N60" s="22"/>
      <c r="O60" s="22"/>
    </row>
    <row r="61" customFormat="false" ht="15" hidden="false" customHeight="false" outlineLevel="0" collapsed="false">
      <c r="A61" s="6" t="s">
        <v>281</v>
      </c>
      <c r="B61" s="6" t="s">
        <v>14</v>
      </c>
      <c r="C61" s="30" t="s">
        <v>288</v>
      </c>
      <c r="D61" s="6" t="s">
        <v>289</v>
      </c>
      <c r="E61" s="20" t="s">
        <v>287</v>
      </c>
      <c r="F61" s="20" t="s">
        <v>132</v>
      </c>
      <c r="G61" s="31" t="n">
        <f aca="false">SUMIFS('QB Import'!$B$1:$B$600,'QB Import'!$H$1:$H$600,$C61,'QB Import'!$G$1:$G$600,1)</f>
        <v>10000</v>
      </c>
      <c r="H61" s="11" t="n">
        <f aca="false">IF($E61="Manual",L61,IF($E61="Flat",G61,IF($E61="Inflation",G61*(1+Inputs!D$12),IF($E61="Salary",G61*(1+Inputs!D$10),IF($E61="Benefits",G61*(1+Inputs!D$11),IF($E61="Per Student",G61*H$4/G$4*(1+Inputs!D$12),IF($E61="Enrollment",G61*H$4/G$4,IF($E61="Tuition Index",G61*H$5/G$5,IF($E61="% of Salaries",IF($G$6=0,0,$G61/$G$6*H$6),IF($E61="Debt",$G61*Inputs!D$15/12,IF($E61="Reserve Yield",Inputs!D$13*Inputs!D$16,G61)))))))))))</f>
        <v>10300</v>
      </c>
      <c r="I61" s="11" t="n">
        <f aca="false">IF($E61="Manual",M61,IF($E61="Flat",H61,IF($E61="Inflation",H61*(1+Inputs!E$12),IF($E61="Salary",H61*(1+Inputs!E$10),IF($E61="Benefits",H61*(1+Inputs!E$11),IF($E61="Per Student",H61*I$4/H$4*(1+Inputs!E$12),IF($E61="Enrollment",H61*I$4/H$4,IF($E61="Tuition Index",H61*I$5/H$5,IF($E61="% of Salaries",IF($G$6=0,0,$G61/$G$6*I$6),IF($E61="Debt",$G61*Inputs!E$15/12,IF($E61="Reserve Yield",Inputs!E$13*Inputs!E$16,H61)))))))))))</f>
        <v>10609</v>
      </c>
      <c r="J61" s="11" t="n">
        <f aca="false">IF($E61="Manual",N61,IF($E61="Flat",I61,IF($E61="Inflation",I61*(1+Inputs!F$12),IF($E61="Salary",I61*(1+Inputs!F$10),IF($E61="Benefits",I61*(1+Inputs!F$11),IF($E61="Per Student",I61*J$4/I$4*(1+Inputs!F$12),IF($E61="Enrollment",I61*J$4/I$4,IF($E61="Tuition Index",I61*J$5/I$5,IF($E61="% of Salaries",IF($G$6=0,0,$G61/$G$6*J$6),IF($E61="Debt",$G61*Inputs!F$15/12,IF($E61="Reserve Yield",Inputs!F$13*Inputs!F$16,I61)))))))))))</f>
        <v>10927.27</v>
      </c>
      <c r="K61" s="11" t="n">
        <f aca="false">IF($E61="Manual",O61,IF($E61="Flat",J61,IF($E61="Inflation",J61*(1+Inputs!G$12),IF($E61="Salary",J61*(1+Inputs!G$10),IF($E61="Benefits",J61*(1+Inputs!G$11),IF($E61="Per Student",J61*K$4/J$4*(1+Inputs!G$12),IF($E61="Enrollment",J61*K$4/J$4,IF($E61="Tuition Index",J61*K$5/J$5,IF($E61="% of Salaries",IF($G$6=0,0,$G61/$G$6*K$6),IF($E61="Debt",$G61*Inputs!G$15/12,IF($E61="Reserve Yield",Inputs!G$13*Inputs!G$16,J61)))))))))))</f>
        <v>11255.0881</v>
      </c>
      <c r="L61" s="22"/>
      <c r="M61" s="22"/>
      <c r="N61" s="22"/>
      <c r="O61" s="22"/>
    </row>
    <row r="62" customFormat="false" ht="15" hidden="false" customHeight="false" outlineLevel="0" collapsed="false">
      <c r="A62" s="6" t="s">
        <v>281</v>
      </c>
      <c r="B62" s="6" t="s">
        <v>14</v>
      </c>
      <c r="C62" s="30" t="s">
        <v>290</v>
      </c>
      <c r="D62" s="6" t="s">
        <v>291</v>
      </c>
      <c r="E62" s="20" t="s">
        <v>180</v>
      </c>
      <c r="F62" s="20" t="s">
        <v>132</v>
      </c>
      <c r="G62" s="31" t="n">
        <f aca="false">SUMIFS('QB Import'!$B$1:$B$600,'QB Import'!$H$1:$H$600,$C62,'QB Import'!$G$1:$G$600,1)</f>
        <v>329889</v>
      </c>
      <c r="H62" s="11" t="n">
        <f aca="false">IF($E62="Manual",L62,IF($E62="Flat",G62,IF($E62="Inflation",G62*(1+Inputs!D$12),IF($E62="Salary",G62*(1+Inputs!D$10),IF($E62="Benefits",G62*(1+Inputs!D$11),IF($E62="Per Student",G62*H$4/G$4*(1+Inputs!D$12),IF($E62="Enrollment",G62*H$4/G$4,IF($E62="Tuition Index",G62*H$5/G$5,IF($E62="% of Salaries",IF($G$6=0,0,$G62/$G$6*H$6),IF($E62="Debt",$G62*Inputs!D$15/12,IF($E62="Reserve Yield",Inputs!D$13*Inputs!D$16,G62)))))))))))</f>
        <v>354788.238842632</v>
      </c>
      <c r="I62" s="11" t="n">
        <f aca="false">IF($E62="Manual",M62,IF($E62="Flat",H62,IF($E62="Inflation",H62*(1+Inputs!E$12),IF($E62="Salary",H62*(1+Inputs!E$10),IF($E62="Benefits",H62*(1+Inputs!E$11),IF($E62="Per Student",H62*I$4/H$4*(1+Inputs!E$12),IF($E62="Enrollment",H62*I$4/H$4,IF($E62="Tuition Index",H62*I$5/H$5,IF($E62="% of Salaries",IF($G$6=0,0,$G62/$G$6*I$6),IF($E62="Debt",$G62*Inputs!E$15/12,IF($E62="Reserve Yield",Inputs!E$13*Inputs!E$16,H62)))))))))))</f>
        <v>369487.453930996</v>
      </c>
      <c r="J62" s="11" t="n">
        <f aca="false">IF($E62="Manual",N62,IF($E62="Flat",I62,IF($E62="Inflation",I62*(1+Inputs!F$12),IF($E62="Salary",I62*(1+Inputs!F$10),IF($E62="Benefits",I62*(1+Inputs!F$11),IF($E62="Per Student",I62*J$4/I$4*(1+Inputs!F$12),IF($E62="Enrollment",I62*J$4/I$4,IF($E62="Tuition Index",I62*J$5/I$5,IF($E62="% of Salaries",IF($G$6=0,0,$G62/$G$6*J$6),IF($E62="Debt",$G62*Inputs!F$15/12,IF($E62="Reserve Yield",Inputs!F$13*Inputs!F$16,I62)))))))))))</f>
        <v>382689.420985264</v>
      </c>
      <c r="K62" s="11" t="n">
        <f aca="false">IF($E62="Manual",O62,IF($E62="Flat",J62,IF($E62="Inflation",J62*(1+Inputs!G$12),IF($E62="Salary",J62*(1+Inputs!G$10),IF($E62="Benefits",J62*(1+Inputs!G$11),IF($E62="Per Student",J62*K$4/J$4*(1+Inputs!G$12),IF($E62="Enrollment",J62*K$4/J$4,IF($E62="Tuition Index",J62*K$5/J$5,IF($E62="% of Salaries",IF($G$6=0,0,$G62/$G$6*K$6),IF($E62="Debt",$G62*Inputs!G$15/12,IF($E62="Reserve Yield",Inputs!G$13*Inputs!G$16,J62)))))))))))</f>
        <v>395598.665199844</v>
      </c>
      <c r="L62" s="22"/>
      <c r="M62" s="22"/>
      <c r="N62" s="22"/>
      <c r="O62" s="22"/>
    </row>
    <row r="63" customFormat="false" ht="15" hidden="false" customHeight="false" outlineLevel="0" collapsed="false">
      <c r="A63" s="6" t="s">
        <v>281</v>
      </c>
      <c r="B63" s="6" t="s">
        <v>14</v>
      </c>
      <c r="C63" s="30" t="s">
        <v>292</v>
      </c>
      <c r="D63" s="6" t="s">
        <v>293</v>
      </c>
      <c r="E63" s="20" t="s">
        <v>186</v>
      </c>
      <c r="F63" s="20" t="s">
        <v>132</v>
      </c>
      <c r="G63" s="31" t="n">
        <f aca="false">SUMIFS('QB Import'!$B$1:$B$600,'QB Import'!$H$1:$H$600,$C63,'QB Import'!$G$1:$G$600,1)</f>
        <v>0</v>
      </c>
      <c r="H63" s="11" t="n">
        <f aca="false">IF($E63="Manual",L63,IF($E63="Flat",G63,IF($E63="Inflation",G63*(1+Inputs!D$12),IF($E63="Salary",G63*(1+Inputs!D$10),IF($E63="Benefits",G63*(1+Inputs!D$11),IF($E63="Per Student",G63*H$4/G$4*(1+Inputs!D$12),IF($E63="Enrollment",G63*H$4/G$4,IF($E63="Tuition Index",G63*H$5/G$5,IF($E63="% of Salaries",IF($G$6=0,0,$G63/$G$6*H$6),IF($E63="Debt",$G63*Inputs!D$15/12,IF($E63="Reserve Yield",Inputs!D$13*Inputs!D$16,G63)))))))))))</f>
        <v>0</v>
      </c>
      <c r="I63" s="11" t="n">
        <f aca="false">IF($E63="Manual",M63,IF($E63="Flat",H63,IF($E63="Inflation",H63*(1+Inputs!E$12),IF($E63="Salary",H63*(1+Inputs!E$10),IF($E63="Benefits",H63*(1+Inputs!E$11),IF($E63="Per Student",H63*I$4/H$4*(1+Inputs!E$12),IF($E63="Enrollment",H63*I$4/H$4,IF($E63="Tuition Index",H63*I$5/H$5,IF($E63="% of Salaries",IF($G$6=0,0,$G63/$G$6*I$6),IF($E63="Debt",$G63*Inputs!E$15/12,IF($E63="Reserve Yield",Inputs!E$13*Inputs!E$16,H63)))))))))))</f>
        <v>0</v>
      </c>
      <c r="J63" s="11" t="n">
        <f aca="false">IF($E63="Manual",N63,IF($E63="Flat",I63,IF($E63="Inflation",I63*(1+Inputs!F$12),IF($E63="Salary",I63*(1+Inputs!F$10),IF($E63="Benefits",I63*(1+Inputs!F$11),IF($E63="Per Student",I63*J$4/I$4*(1+Inputs!F$12),IF($E63="Enrollment",I63*J$4/I$4,IF($E63="Tuition Index",I63*J$5/I$5,IF($E63="% of Salaries",IF($G$6=0,0,$G63/$G$6*J$6),IF($E63="Debt",$G63*Inputs!F$15/12,IF($E63="Reserve Yield",Inputs!F$13*Inputs!F$16,I63)))))))))))</f>
        <v>0</v>
      </c>
      <c r="K63" s="11" t="n">
        <f aca="false">IF($E63="Manual",O63,IF($E63="Flat",J63,IF($E63="Inflation",J63*(1+Inputs!G$12),IF($E63="Salary",J63*(1+Inputs!G$10),IF($E63="Benefits",J63*(1+Inputs!G$11),IF($E63="Per Student",J63*K$4/J$4*(1+Inputs!G$12),IF($E63="Enrollment",J63*K$4/J$4,IF($E63="Tuition Index",J63*K$5/J$5,IF($E63="% of Salaries",IF($G$6=0,0,$G63/$G$6*K$6),IF($E63="Debt",$G63*Inputs!G$15/12,IF($E63="Reserve Yield",Inputs!G$13*Inputs!G$16,J63)))))))))))</f>
        <v>0</v>
      </c>
      <c r="L63" s="22"/>
      <c r="M63" s="22"/>
      <c r="N63" s="22"/>
      <c r="O63" s="22"/>
    </row>
    <row r="64" customFormat="false" ht="15" hidden="false" customHeight="false" outlineLevel="0" collapsed="false">
      <c r="A64" s="6" t="s">
        <v>281</v>
      </c>
      <c r="B64" s="6" t="s">
        <v>14</v>
      </c>
      <c r="C64" s="30" t="s">
        <v>294</v>
      </c>
      <c r="D64" s="6" t="s">
        <v>295</v>
      </c>
      <c r="E64" s="20" t="s">
        <v>186</v>
      </c>
      <c r="F64" s="20" t="s">
        <v>132</v>
      </c>
      <c r="G64" s="31" t="n">
        <f aca="false">SUMIFS('QB Import'!$B$1:$B$600,'QB Import'!$H$1:$H$600,$C64,'QB Import'!$G$1:$G$600,1)</f>
        <v>6000</v>
      </c>
      <c r="H64" s="11" t="n">
        <f aca="false">IF($E64="Manual",L64,IF($E64="Flat",G64,IF($E64="Inflation",G64*(1+Inputs!D$12),IF($E64="Salary",G64*(1+Inputs!D$10),IF($E64="Benefits",G64*(1+Inputs!D$11),IF($E64="Per Student",G64*H$4/G$4*(1+Inputs!D$12),IF($E64="Enrollment",G64*H$4/G$4,IF($E64="Tuition Index",G64*H$5/G$5,IF($E64="% of Salaries",IF($G$6=0,0,$G64/$G$6*H$6),IF($E64="Debt",$G64*Inputs!D$15/12,IF($E64="Reserve Yield",Inputs!D$13*Inputs!D$16,G64)))))))))))</f>
        <v>6000</v>
      </c>
      <c r="I64" s="11" t="n">
        <f aca="false">IF($E64="Manual",M64,IF($E64="Flat",H64,IF($E64="Inflation",H64*(1+Inputs!E$12),IF($E64="Salary",H64*(1+Inputs!E$10),IF($E64="Benefits",H64*(1+Inputs!E$11),IF($E64="Per Student",H64*I$4/H$4*(1+Inputs!E$12),IF($E64="Enrollment",H64*I$4/H$4,IF($E64="Tuition Index",H64*I$5/H$5,IF($E64="% of Salaries",IF($G$6=0,0,$G64/$G$6*I$6),IF($E64="Debt",$G64*Inputs!E$15/12,IF($E64="Reserve Yield",Inputs!E$13*Inputs!E$16,H64)))))))))))</f>
        <v>6000</v>
      </c>
      <c r="J64" s="11" t="n">
        <f aca="false">IF($E64="Manual",N64,IF($E64="Flat",I64,IF($E64="Inflation",I64*(1+Inputs!F$12),IF($E64="Salary",I64*(1+Inputs!F$10),IF($E64="Benefits",I64*(1+Inputs!F$11),IF($E64="Per Student",I64*J$4/I$4*(1+Inputs!F$12),IF($E64="Enrollment",I64*J$4/I$4,IF($E64="Tuition Index",I64*J$5/I$5,IF($E64="% of Salaries",IF($G$6=0,0,$G64/$G$6*J$6),IF($E64="Debt",$G64*Inputs!F$15/12,IF($E64="Reserve Yield",Inputs!F$13*Inputs!F$16,I64)))))))))))</f>
        <v>6000</v>
      </c>
      <c r="K64" s="11" t="n">
        <f aca="false">IF($E64="Manual",O64,IF($E64="Flat",J64,IF($E64="Inflation",J64*(1+Inputs!G$12),IF($E64="Salary",J64*(1+Inputs!G$10),IF($E64="Benefits",J64*(1+Inputs!G$11),IF($E64="Per Student",J64*K$4/J$4*(1+Inputs!G$12),IF($E64="Enrollment",J64*K$4/J$4,IF($E64="Tuition Index",J64*K$5/J$5,IF($E64="% of Salaries",IF($G$6=0,0,$G64/$G$6*K$6),IF($E64="Debt",$G64*Inputs!G$15/12,IF($E64="Reserve Yield",Inputs!G$13*Inputs!G$16,J64)))))))))))</f>
        <v>6000</v>
      </c>
      <c r="L64" s="22"/>
      <c r="M64" s="22"/>
      <c r="N64" s="22"/>
      <c r="O64" s="22"/>
    </row>
    <row r="65" customFormat="false" ht="15" hidden="false" customHeight="false" outlineLevel="0" collapsed="false">
      <c r="A65" s="6" t="s">
        <v>281</v>
      </c>
      <c r="B65" s="6" t="s">
        <v>14</v>
      </c>
      <c r="C65" s="30" t="s">
        <v>296</v>
      </c>
      <c r="D65" s="6" t="s">
        <v>297</v>
      </c>
      <c r="E65" s="20" t="s">
        <v>284</v>
      </c>
      <c r="F65" s="20" t="s">
        <v>132</v>
      </c>
      <c r="G65" s="31" t="n">
        <f aca="false">SUMIFS('QB Import'!$B$1:$B$600,'QB Import'!$H$1:$H$600,$C65,'QB Import'!$G$1:$G$600,1)</f>
        <v>0</v>
      </c>
      <c r="H65" s="11" t="n">
        <f aca="false">IF($E65="Manual",L65,IF($E65="Flat",G65,IF($E65="Inflation",G65*(1+Inputs!D$12),IF($E65="Salary",G65*(1+Inputs!D$10),IF($E65="Benefits",G65*(1+Inputs!D$11),IF($E65="Per Student",G65*H$4/G$4*(1+Inputs!D$12),IF($E65="Enrollment",G65*H$4/G$4,IF($E65="Tuition Index",G65*H$5/G$5,IF($E65="% of Salaries",IF($G$6=0,0,$G65/$G$6*H$6),IF($E65="Debt",$G65*Inputs!D$15/12,IF($E65="Reserve Yield",Inputs!D$13*Inputs!D$16,G65)))))))))))</f>
        <v>0</v>
      </c>
      <c r="I65" s="11" t="n">
        <f aca="false">IF($E65="Manual",M65,IF($E65="Flat",H65,IF($E65="Inflation",H65*(1+Inputs!E$12),IF($E65="Salary",H65*(1+Inputs!E$10),IF($E65="Benefits",H65*(1+Inputs!E$11),IF($E65="Per Student",H65*I$4/H$4*(1+Inputs!E$12),IF($E65="Enrollment",H65*I$4/H$4,IF($E65="Tuition Index",H65*I$5/H$5,IF($E65="% of Salaries",IF($G$6=0,0,$G65/$G$6*I$6),IF($E65="Debt",$G65*Inputs!E$15/12,IF($E65="Reserve Yield",Inputs!E$13*Inputs!E$16,H65)))))))))))</f>
        <v>0</v>
      </c>
      <c r="J65" s="11" t="n">
        <f aca="false">IF($E65="Manual",N65,IF($E65="Flat",I65,IF($E65="Inflation",I65*(1+Inputs!F$12),IF($E65="Salary",I65*(1+Inputs!F$10),IF($E65="Benefits",I65*(1+Inputs!F$11),IF($E65="Per Student",I65*J$4/I$4*(1+Inputs!F$12),IF($E65="Enrollment",I65*J$4/I$4,IF($E65="Tuition Index",I65*J$5/I$5,IF($E65="% of Salaries",IF($G$6=0,0,$G65/$G$6*J$6),IF($E65="Debt",$G65*Inputs!F$15/12,IF($E65="Reserve Yield",Inputs!F$13*Inputs!F$16,I65)))))))))))</f>
        <v>0</v>
      </c>
      <c r="K65" s="11" t="n">
        <f aca="false">IF($E65="Manual",O65,IF($E65="Flat",J65,IF($E65="Inflation",J65*(1+Inputs!G$12),IF($E65="Salary",J65*(1+Inputs!G$10),IF($E65="Benefits",J65*(1+Inputs!G$11),IF($E65="Per Student",J65*K$4/J$4*(1+Inputs!G$12),IF($E65="Enrollment",J65*K$4/J$4,IF($E65="Tuition Index",J65*K$5/J$5,IF($E65="% of Salaries",IF($G$6=0,0,$G65/$G$6*K$6),IF($E65="Debt",$G65*Inputs!G$15/12,IF($E65="Reserve Yield",Inputs!G$13*Inputs!G$16,J65)))))))))))</f>
        <v>0</v>
      </c>
      <c r="L65" s="22"/>
      <c r="M65" s="22"/>
      <c r="N65" s="22"/>
      <c r="O65" s="22"/>
    </row>
    <row r="66" customFormat="false" ht="15" hidden="false" customHeight="false" outlineLevel="0" collapsed="false">
      <c r="A66" s="6" t="s">
        <v>281</v>
      </c>
      <c r="B66" s="6" t="s">
        <v>14</v>
      </c>
      <c r="C66" s="30" t="s">
        <v>298</v>
      </c>
      <c r="D66" s="6" t="s">
        <v>299</v>
      </c>
      <c r="E66" s="20" t="s">
        <v>284</v>
      </c>
      <c r="F66" s="20" t="s">
        <v>132</v>
      </c>
      <c r="G66" s="31" t="n">
        <f aca="false">SUMIFS('QB Import'!$B$1:$B$600,'QB Import'!$H$1:$H$600,$C66,'QB Import'!$G$1:$G$600,1)</f>
        <v>385500</v>
      </c>
      <c r="H66" s="11" t="n">
        <f aca="false">IF($E66="Manual",L66,IF($E66="Flat",G66,IF($E66="Inflation",G66*(1+Inputs!D$12),IF($E66="Salary",G66*(1+Inputs!D$10),IF($E66="Benefits",G66*(1+Inputs!D$11),IF($E66="Per Student",G66*H$4/G$4*(1+Inputs!D$12),IF($E66="Enrollment",G66*H$4/G$4,IF($E66="Tuition Index",G66*H$5/G$5,IF($E66="% of Salaries",IF($G$6=0,0,$G66/$G$6*H$6),IF($E66="Debt",$G66*Inputs!D$15/12,IF($E66="Reserve Yield",Inputs!D$13*Inputs!D$16,G66)))))))))))</f>
        <v>397065</v>
      </c>
      <c r="I66" s="11" t="n">
        <f aca="false">IF($E66="Manual",M66,IF($E66="Flat",H66,IF($E66="Inflation",H66*(1+Inputs!E$12),IF($E66="Salary",H66*(1+Inputs!E$10),IF($E66="Benefits",H66*(1+Inputs!E$11),IF($E66="Per Student",H66*I$4/H$4*(1+Inputs!E$12),IF($E66="Enrollment",H66*I$4/H$4,IF($E66="Tuition Index",H66*I$5/H$5,IF($E66="% of Salaries",IF($G$6=0,0,$G66/$G$6*I$6),IF($E66="Debt",$G66*Inputs!E$15/12,IF($E66="Reserve Yield",Inputs!E$13*Inputs!E$16,H66)))))))))))</f>
        <v>408976.95</v>
      </c>
      <c r="J66" s="11" t="n">
        <f aca="false">IF($E66="Manual",N66,IF($E66="Flat",I66,IF($E66="Inflation",I66*(1+Inputs!F$12),IF($E66="Salary",I66*(1+Inputs!F$10),IF($E66="Benefits",I66*(1+Inputs!F$11),IF($E66="Per Student",I66*J$4/I$4*(1+Inputs!F$12),IF($E66="Enrollment",I66*J$4/I$4,IF($E66="Tuition Index",I66*J$5/I$5,IF($E66="% of Salaries",IF($G$6=0,0,$G66/$G$6*J$6),IF($E66="Debt",$G66*Inputs!F$15/12,IF($E66="Reserve Yield",Inputs!F$13*Inputs!F$16,I66)))))))))))</f>
        <v>421246.2585</v>
      </c>
      <c r="K66" s="11" t="n">
        <f aca="false">IF($E66="Manual",O66,IF($E66="Flat",J66,IF($E66="Inflation",J66*(1+Inputs!G$12),IF($E66="Salary",J66*(1+Inputs!G$10),IF($E66="Benefits",J66*(1+Inputs!G$11),IF($E66="Per Student",J66*K$4/J$4*(1+Inputs!G$12),IF($E66="Enrollment",J66*K$4/J$4,IF($E66="Tuition Index",J66*K$5/J$5,IF($E66="% of Salaries",IF($G$6=0,0,$G66/$G$6*K$6),IF($E66="Debt",$G66*Inputs!G$15/12,IF($E66="Reserve Yield",Inputs!G$13*Inputs!G$16,J66)))))))))))</f>
        <v>433883.646255</v>
      </c>
      <c r="L66" s="22"/>
      <c r="M66" s="22"/>
      <c r="N66" s="22"/>
      <c r="O66" s="22"/>
    </row>
    <row r="67" customFormat="false" ht="15" hidden="false" customHeight="false" outlineLevel="0" collapsed="false">
      <c r="A67" s="6" t="s">
        <v>281</v>
      </c>
      <c r="B67" s="6" t="s">
        <v>14</v>
      </c>
      <c r="C67" s="30" t="s">
        <v>300</v>
      </c>
      <c r="D67" s="6" t="s">
        <v>301</v>
      </c>
      <c r="E67" s="20" t="s">
        <v>302</v>
      </c>
      <c r="F67" s="20" t="s">
        <v>132</v>
      </c>
      <c r="G67" s="31" t="n">
        <f aca="false">SUMIFS('QB Import'!$B$1:$B$600,'QB Import'!$H$1:$H$600,$C67,'QB Import'!$G$1:$G$600,1)</f>
        <v>1420000</v>
      </c>
      <c r="H67" s="11" t="n">
        <f aca="false">IF($E67="Manual",L67,IF($E67="Flat",G67,IF($E67="Inflation",G67*(1+Inputs!D$12),IF($E67="Salary",G67*(1+Inputs!D$10),IF($E67="Benefits",G67*(1+Inputs!D$11),IF($E67="Per Student",G67*H$4/G$4*(1+Inputs!D$12),IF($E67="Enrollment",G67*H$4/G$4,IF($E67="Tuition Index",G67*H$5/G$5,IF($E67="% of Salaries",IF($G$6=0,0,$G67/$G$6*H$6),IF($E67="Debt",$G67*Inputs!D$15/12,IF($E67="Reserve Yield",Inputs!D$13*Inputs!D$16,G67)))))))))))</f>
        <v>1462600</v>
      </c>
      <c r="I67" s="11" t="n">
        <f aca="false">IF($E67="Manual",M67,IF($E67="Flat",H67,IF($E67="Inflation",H67*(1+Inputs!E$12),IF($E67="Salary",H67*(1+Inputs!E$10),IF($E67="Benefits",H67*(1+Inputs!E$11),IF($E67="Per Student",H67*I$4/H$4*(1+Inputs!E$12),IF($E67="Enrollment",H67*I$4/H$4,IF($E67="Tuition Index",H67*I$5/H$5,IF($E67="% of Salaries",IF($G$6=0,0,$G67/$G$6*I$6),IF($E67="Debt",$G67*Inputs!E$15/12,IF($E67="Reserve Yield",Inputs!E$13*Inputs!E$16,H67)))))))))))</f>
        <v>1506478</v>
      </c>
      <c r="J67" s="11" t="n">
        <f aca="false">IF($E67="Manual",N67,IF($E67="Flat",I67,IF($E67="Inflation",I67*(1+Inputs!F$12),IF($E67="Salary",I67*(1+Inputs!F$10),IF($E67="Benefits",I67*(1+Inputs!F$11),IF($E67="Per Student",I67*J$4/I$4*(1+Inputs!F$12),IF($E67="Enrollment",I67*J$4/I$4,IF($E67="Tuition Index",I67*J$5/I$5,IF($E67="% of Salaries",IF($G$6=0,0,$G67/$G$6*J$6),IF($E67="Debt",$G67*Inputs!F$15/12,IF($E67="Reserve Yield",Inputs!F$13*Inputs!F$16,I67)))))))))))</f>
        <v>1551672.34</v>
      </c>
      <c r="K67" s="11" t="n">
        <f aca="false">IF($E67="Manual",O67,IF($E67="Flat",J67,IF($E67="Inflation",J67*(1+Inputs!G$12),IF($E67="Salary",J67*(1+Inputs!G$10),IF($E67="Benefits",J67*(1+Inputs!G$11),IF($E67="Per Student",J67*K$4/J$4*(1+Inputs!G$12),IF($E67="Enrollment",J67*K$4/J$4,IF($E67="Tuition Index",J67*K$5/J$5,IF($E67="% of Salaries",IF($G$6=0,0,$G67/$G$6*K$6),IF($E67="Debt",$G67*Inputs!G$15/12,IF($E67="Reserve Yield",Inputs!G$13*Inputs!G$16,J67)))))))))))</f>
        <v>1598222.5102</v>
      </c>
      <c r="L67" s="22"/>
      <c r="M67" s="22"/>
      <c r="N67" s="22"/>
      <c r="O67" s="22"/>
    </row>
    <row r="68" customFormat="false" ht="15" hidden="false" customHeight="false" outlineLevel="0" collapsed="false">
      <c r="A68" s="6" t="s">
        <v>281</v>
      </c>
      <c r="B68" s="6" t="s">
        <v>14</v>
      </c>
      <c r="C68" s="30" t="s">
        <v>303</v>
      </c>
      <c r="D68" s="6" t="s">
        <v>304</v>
      </c>
      <c r="E68" s="20" t="s">
        <v>302</v>
      </c>
      <c r="F68" s="20" t="s">
        <v>132</v>
      </c>
      <c r="G68" s="31" t="n">
        <f aca="false">SUMIFS('QB Import'!$B$1:$B$600,'QB Import'!$H$1:$H$600,$C68,'QB Import'!$G$1:$G$600,1)</f>
        <v>3461000</v>
      </c>
      <c r="H68" s="11" t="n">
        <f aca="false">IF($E68="Manual",L68,IF($E68="Flat",G68,IF($E68="Inflation",G68*(1+Inputs!D$12),IF($E68="Salary",G68*(1+Inputs!D$10),IF($E68="Benefits",G68*(1+Inputs!D$11),IF($E68="Per Student",G68*H$4/G$4*(1+Inputs!D$12),IF($E68="Enrollment",G68*H$4/G$4,IF($E68="Tuition Index",G68*H$5/G$5,IF($E68="% of Salaries",IF($G$6=0,0,$G68/$G$6*H$6),IF($E68="Debt",$G68*Inputs!D$15/12,IF($E68="Reserve Yield",Inputs!D$13*Inputs!D$16,G68)))))))))))</f>
        <v>3564830</v>
      </c>
      <c r="I68" s="11" t="n">
        <f aca="false">IF($E68="Manual",M68,IF($E68="Flat",H68,IF($E68="Inflation",H68*(1+Inputs!E$12),IF($E68="Salary",H68*(1+Inputs!E$10),IF($E68="Benefits",H68*(1+Inputs!E$11),IF($E68="Per Student",H68*I$4/H$4*(1+Inputs!E$12),IF($E68="Enrollment",H68*I$4/H$4,IF($E68="Tuition Index",H68*I$5/H$5,IF($E68="% of Salaries",IF($G$6=0,0,$G68/$G$6*I$6),IF($E68="Debt",$G68*Inputs!E$15/12,IF($E68="Reserve Yield",Inputs!E$13*Inputs!E$16,H68)))))))))))</f>
        <v>3671774.9</v>
      </c>
      <c r="J68" s="11" t="n">
        <f aca="false">IF($E68="Manual",N68,IF($E68="Flat",I68,IF($E68="Inflation",I68*(1+Inputs!F$12),IF($E68="Salary",I68*(1+Inputs!F$10),IF($E68="Benefits",I68*(1+Inputs!F$11),IF($E68="Per Student",I68*J$4/I$4*(1+Inputs!F$12),IF($E68="Enrollment",I68*J$4/I$4,IF($E68="Tuition Index",I68*J$5/I$5,IF($E68="% of Salaries",IF($G$6=0,0,$G68/$G$6*J$6),IF($E68="Debt",$G68*Inputs!F$15/12,IF($E68="Reserve Yield",Inputs!F$13*Inputs!F$16,I68)))))))))))</f>
        <v>3781928.147</v>
      </c>
      <c r="K68" s="11" t="n">
        <f aca="false">IF($E68="Manual",O68,IF($E68="Flat",J68,IF($E68="Inflation",J68*(1+Inputs!G$12),IF($E68="Salary",J68*(1+Inputs!G$10),IF($E68="Benefits",J68*(1+Inputs!G$11),IF($E68="Per Student",J68*K$4/J$4*(1+Inputs!G$12),IF($E68="Enrollment",J68*K$4/J$4,IF($E68="Tuition Index",J68*K$5/J$5,IF($E68="% of Salaries",IF($G$6=0,0,$G68/$G$6*K$6),IF($E68="Debt",$G68*Inputs!G$15/12,IF($E68="Reserve Yield",Inputs!G$13*Inputs!G$16,J68)))))))))))</f>
        <v>3895385.99141</v>
      </c>
      <c r="L68" s="22"/>
      <c r="M68" s="22"/>
      <c r="N68" s="22"/>
      <c r="O68" s="22"/>
    </row>
    <row r="69" customFormat="false" ht="15" hidden="false" customHeight="false" outlineLevel="0" collapsed="false">
      <c r="A69" s="6" t="s">
        <v>281</v>
      </c>
      <c r="B69" s="6" t="s">
        <v>14</v>
      </c>
      <c r="C69" s="30" t="s">
        <v>305</v>
      </c>
      <c r="D69" s="6" t="s">
        <v>306</v>
      </c>
      <c r="E69" s="20" t="s">
        <v>302</v>
      </c>
      <c r="F69" s="20" t="s">
        <v>132</v>
      </c>
      <c r="G69" s="31" t="n">
        <f aca="false">SUMIFS('QB Import'!$B$1:$B$600,'QB Import'!$H$1:$H$600,$C69,'QB Import'!$G$1:$G$600,1)</f>
        <v>0</v>
      </c>
      <c r="H69" s="11" t="n">
        <f aca="false">IF($E69="Manual",L69,IF($E69="Flat",G69,IF($E69="Inflation",G69*(1+Inputs!D$12),IF($E69="Salary",G69*(1+Inputs!D$10),IF($E69="Benefits",G69*(1+Inputs!D$11),IF($E69="Per Student",G69*H$4/G$4*(1+Inputs!D$12),IF($E69="Enrollment",G69*H$4/G$4,IF($E69="Tuition Index",G69*H$5/G$5,IF($E69="% of Salaries",IF($G$6=0,0,$G69/$G$6*H$6),IF($E69="Debt",$G69*Inputs!D$15/12,IF($E69="Reserve Yield",Inputs!D$13*Inputs!D$16,G69)))))))))))</f>
        <v>0</v>
      </c>
      <c r="I69" s="11" t="n">
        <f aca="false">IF($E69="Manual",M69,IF($E69="Flat",H69,IF($E69="Inflation",H69*(1+Inputs!E$12),IF($E69="Salary",H69*(1+Inputs!E$10),IF($E69="Benefits",H69*(1+Inputs!E$11),IF($E69="Per Student",H69*I$4/H$4*(1+Inputs!E$12),IF($E69="Enrollment",H69*I$4/H$4,IF($E69="Tuition Index",H69*I$5/H$5,IF($E69="% of Salaries",IF($G$6=0,0,$G69/$G$6*I$6),IF($E69="Debt",$G69*Inputs!E$15/12,IF($E69="Reserve Yield",Inputs!E$13*Inputs!E$16,H69)))))))))))</f>
        <v>0</v>
      </c>
      <c r="J69" s="11" t="n">
        <f aca="false">IF($E69="Manual",N69,IF($E69="Flat",I69,IF($E69="Inflation",I69*(1+Inputs!F$12),IF($E69="Salary",I69*(1+Inputs!F$10),IF($E69="Benefits",I69*(1+Inputs!F$11),IF($E69="Per Student",I69*J$4/I$4*(1+Inputs!F$12),IF($E69="Enrollment",I69*J$4/I$4,IF($E69="Tuition Index",I69*J$5/I$5,IF($E69="% of Salaries",IF($G$6=0,0,$G69/$G$6*J$6),IF($E69="Debt",$G69*Inputs!F$15/12,IF($E69="Reserve Yield",Inputs!F$13*Inputs!F$16,I69)))))))))))</f>
        <v>0</v>
      </c>
      <c r="K69" s="11" t="n">
        <f aca="false">IF($E69="Manual",O69,IF($E69="Flat",J69,IF($E69="Inflation",J69*(1+Inputs!G$12),IF($E69="Salary",J69*(1+Inputs!G$10),IF($E69="Benefits",J69*(1+Inputs!G$11),IF($E69="Per Student",J69*K$4/J$4*(1+Inputs!G$12),IF($E69="Enrollment",J69*K$4/J$4,IF($E69="Tuition Index",J69*K$5/J$5,IF($E69="% of Salaries",IF($G$6=0,0,$G69/$G$6*K$6),IF($E69="Debt",$G69*Inputs!G$15/12,IF($E69="Reserve Yield",Inputs!G$13*Inputs!G$16,J69)))))))))))</f>
        <v>0</v>
      </c>
      <c r="L69" s="22"/>
      <c r="M69" s="22"/>
      <c r="N69" s="22"/>
      <c r="O69" s="22"/>
    </row>
    <row r="70" customFormat="false" ht="15" hidden="false" customHeight="false" outlineLevel="0" collapsed="false">
      <c r="A70" s="6" t="s">
        <v>281</v>
      </c>
      <c r="B70" s="6" t="s">
        <v>14</v>
      </c>
      <c r="C70" s="30" t="s">
        <v>307</v>
      </c>
      <c r="D70" s="6" t="s">
        <v>308</v>
      </c>
      <c r="E70" s="20" t="s">
        <v>302</v>
      </c>
      <c r="F70" s="20" t="s">
        <v>132</v>
      </c>
      <c r="G70" s="31" t="n">
        <f aca="false">SUMIFS('QB Import'!$B$1:$B$600,'QB Import'!$H$1:$H$600,$C70,'QB Import'!$G$1:$G$600,1)</f>
        <v>20000</v>
      </c>
      <c r="H70" s="11" t="n">
        <f aca="false">IF($E70="Manual",L70,IF($E70="Flat",G70,IF($E70="Inflation",G70*(1+Inputs!D$12),IF($E70="Salary",G70*(1+Inputs!D$10),IF($E70="Benefits",G70*(1+Inputs!D$11),IF($E70="Per Student",G70*H$4/G$4*(1+Inputs!D$12),IF($E70="Enrollment",G70*H$4/G$4,IF($E70="Tuition Index",G70*H$5/G$5,IF($E70="% of Salaries",IF($G$6=0,0,$G70/$G$6*H$6),IF($E70="Debt",$G70*Inputs!D$15/12,IF($E70="Reserve Yield",Inputs!D$13*Inputs!D$16,G70)))))))))))</f>
        <v>20600</v>
      </c>
      <c r="I70" s="11" t="n">
        <f aca="false">IF($E70="Manual",M70,IF($E70="Flat",H70,IF($E70="Inflation",H70*(1+Inputs!E$12),IF($E70="Salary",H70*(1+Inputs!E$10),IF($E70="Benefits",H70*(1+Inputs!E$11),IF($E70="Per Student",H70*I$4/H$4*(1+Inputs!E$12),IF($E70="Enrollment",H70*I$4/H$4,IF($E70="Tuition Index",H70*I$5/H$5,IF($E70="% of Salaries",IF($G$6=0,0,$G70/$G$6*I$6),IF($E70="Debt",$G70*Inputs!E$15/12,IF($E70="Reserve Yield",Inputs!E$13*Inputs!E$16,H70)))))))))))</f>
        <v>21218</v>
      </c>
      <c r="J70" s="11" t="n">
        <f aca="false">IF($E70="Manual",N70,IF($E70="Flat",I70,IF($E70="Inflation",I70*(1+Inputs!F$12),IF($E70="Salary",I70*(1+Inputs!F$10),IF($E70="Benefits",I70*(1+Inputs!F$11),IF($E70="Per Student",I70*J$4/I$4*(1+Inputs!F$12),IF($E70="Enrollment",I70*J$4/I$4,IF($E70="Tuition Index",I70*J$5/I$5,IF($E70="% of Salaries",IF($G$6=0,0,$G70/$G$6*J$6),IF($E70="Debt",$G70*Inputs!F$15/12,IF($E70="Reserve Yield",Inputs!F$13*Inputs!F$16,I70)))))))))))</f>
        <v>21854.54</v>
      </c>
      <c r="K70" s="11" t="n">
        <f aca="false">IF($E70="Manual",O70,IF($E70="Flat",J70,IF($E70="Inflation",J70*(1+Inputs!G$12),IF($E70="Salary",J70*(1+Inputs!G$10),IF($E70="Benefits",J70*(1+Inputs!G$11),IF($E70="Per Student",J70*K$4/J$4*(1+Inputs!G$12),IF($E70="Enrollment",J70*K$4/J$4,IF($E70="Tuition Index",J70*K$5/J$5,IF($E70="% of Salaries",IF($G$6=0,0,$G70/$G$6*K$6),IF($E70="Debt",$G70*Inputs!G$15/12,IF($E70="Reserve Yield",Inputs!G$13*Inputs!G$16,J70)))))))))))</f>
        <v>22510.1762</v>
      </c>
      <c r="L70" s="22"/>
      <c r="M70" s="22"/>
      <c r="N70" s="22"/>
      <c r="O70" s="22"/>
    </row>
    <row r="71" customFormat="false" ht="15" hidden="false" customHeight="false" outlineLevel="0" collapsed="false">
      <c r="A71" s="6" t="s">
        <v>281</v>
      </c>
      <c r="B71" s="6" t="s">
        <v>14</v>
      </c>
      <c r="C71" s="30" t="s">
        <v>309</v>
      </c>
      <c r="D71" s="6" t="s">
        <v>310</v>
      </c>
      <c r="E71" s="20" t="s">
        <v>302</v>
      </c>
      <c r="F71" s="20" t="s">
        <v>132</v>
      </c>
      <c r="G71" s="31" t="n">
        <f aca="false">SUMIFS('QB Import'!$B$1:$B$600,'QB Import'!$H$1:$H$600,$C71,'QB Import'!$G$1:$G$600,1)</f>
        <v>15000</v>
      </c>
      <c r="H71" s="11" t="n">
        <f aca="false">IF($E71="Manual",L71,IF($E71="Flat",G71,IF($E71="Inflation",G71*(1+Inputs!D$12),IF($E71="Salary",G71*(1+Inputs!D$10),IF($E71="Benefits",G71*(1+Inputs!D$11),IF($E71="Per Student",G71*H$4/G$4*(1+Inputs!D$12),IF($E71="Enrollment",G71*H$4/G$4,IF($E71="Tuition Index",G71*H$5/G$5,IF($E71="% of Salaries",IF($G$6=0,0,$G71/$G$6*H$6),IF($E71="Debt",$G71*Inputs!D$15/12,IF($E71="Reserve Yield",Inputs!D$13*Inputs!D$16,G71)))))))))))</f>
        <v>15450</v>
      </c>
      <c r="I71" s="11" t="n">
        <f aca="false">IF($E71="Manual",M71,IF($E71="Flat",H71,IF($E71="Inflation",H71*(1+Inputs!E$12),IF($E71="Salary",H71*(1+Inputs!E$10),IF($E71="Benefits",H71*(1+Inputs!E$11),IF($E71="Per Student",H71*I$4/H$4*(1+Inputs!E$12),IF($E71="Enrollment",H71*I$4/H$4,IF($E71="Tuition Index",H71*I$5/H$5,IF($E71="% of Salaries",IF($G$6=0,0,$G71/$G$6*I$6),IF($E71="Debt",$G71*Inputs!E$15/12,IF($E71="Reserve Yield",Inputs!E$13*Inputs!E$16,H71)))))))))))</f>
        <v>15913.5</v>
      </c>
      <c r="J71" s="11" t="n">
        <f aca="false">IF($E71="Manual",N71,IF($E71="Flat",I71,IF($E71="Inflation",I71*(1+Inputs!F$12),IF($E71="Salary",I71*(1+Inputs!F$10),IF($E71="Benefits",I71*(1+Inputs!F$11),IF($E71="Per Student",I71*J$4/I$4*(1+Inputs!F$12),IF($E71="Enrollment",I71*J$4/I$4,IF($E71="Tuition Index",I71*J$5/I$5,IF($E71="% of Salaries",IF($G$6=0,0,$G71/$G$6*J$6),IF($E71="Debt",$G71*Inputs!F$15/12,IF($E71="Reserve Yield",Inputs!F$13*Inputs!F$16,I71)))))))))))</f>
        <v>16390.905</v>
      </c>
      <c r="K71" s="11" t="n">
        <f aca="false">IF($E71="Manual",O71,IF($E71="Flat",J71,IF($E71="Inflation",J71*(1+Inputs!G$12),IF($E71="Salary",J71*(1+Inputs!G$10),IF($E71="Benefits",J71*(1+Inputs!G$11),IF($E71="Per Student",J71*K$4/J$4*(1+Inputs!G$12),IF($E71="Enrollment",J71*K$4/J$4,IF($E71="Tuition Index",J71*K$5/J$5,IF($E71="% of Salaries",IF($G$6=0,0,$G71/$G$6*K$6),IF($E71="Debt",$G71*Inputs!G$15/12,IF($E71="Reserve Yield",Inputs!G$13*Inputs!G$16,J71)))))))))))</f>
        <v>16882.63215</v>
      </c>
      <c r="L71" s="22"/>
      <c r="M71" s="22"/>
      <c r="N71" s="22"/>
      <c r="O71" s="22"/>
    </row>
    <row r="72" customFormat="false" ht="15" hidden="false" customHeight="false" outlineLevel="0" collapsed="false">
      <c r="A72" s="6" t="s">
        <v>281</v>
      </c>
      <c r="B72" s="6" t="s">
        <v>14</v>
      </c>
      <c r="C72" s="30" t="s">
        <v>311</v>
      </c>
      <c r="D72" s="6" t="s">
        <v>312</v>
      </c>
      <c r="E72" s="20" t="s">
        <v>302</v>
      </c>
      <c r="F72" s="20" t="s">
        <v>132</v>
      </c>
      <c r="G72" s="31" t="n">
        <f aca="false">SUMIFS('QB Import'!$B$1:$B$600,'QB Import'!$H$1:$H$600,$C72,'QB Import'!$G$1:$G$600,1)</f>
        <v>182000</v>
      </c>
      <c r="H72" s="11" t="n">
        <f aca="false">IF($E72="Manual",L72,IF($E72="Flat",G72,IF($E72="Inflation",G72*(1+Inputs!D$12),IF($E72="Salary",G72*(1+Inputs!D$10),IF($E72="Benefits",G72*(1+Inputs!D$11),IF($E72="Per Student",G72*H$4/G$4*(1+Inputs!D$12),IF($E72="Enrollment",G72*H$4/G$4,IF($E72="Tuition Index",G72*H$5/G$5,IF($E72="% of Salaries",IF($G$6=0,0,$G72/$G$6*H$6),IF($E72="Debt",$G72*Inputs!D$15/12,IF($E72="Reserve Yield",Inputs!D$13*Inputs!D$16,G72)))))))))))</f>
        <v>187460</v>
      </c>
      <c r="I72" s="11" t="n">
        <f aca="false">IF($E72="Manual",M72,IF($E72="Flat",H72,IF($E72="Inflation",H72*(1+Inputs!E$12),IF($E72="Salary",H72*(1+Inputs!E$10),IF($E72="Benefits",H72*(1+Inputs!E$11),IF($E72="Per Student",H72*I$4/H$4*(1+Inputs!E$12),IF($E72="Enrollment",H72*I$4/H$4,IF($E72="Tuition Index",H72*I$5/H$5,IF($E72="% of Salaries",IF($G$6=0,0,$G72/$G$6*I$6),IF($E72="Debt",$G72*Inputs!E$15/12,IF($E72="Reserve Yield",Inputs!E$13*Inputs!E$16,H72)))))))))))</f>
        <v>193083.8</v>
      </c>
      <c r="J72" s="11" t="n">
        <f aca="false">IF($E72="Manual",N72,IF($E72="Flat",I72,IF($E72="Inflation",I72*(1+Inputs!F$12),IF($E72="Salary",I72*(1+Inputs!F$10),IF($E72="Benefits",I72*(1+Inputs!F$11),IF($E72="Per Student",I72*J$4/I$4*(1+Inputs!F$12),IF($E72="Enrollment",I72*J$4/I$4,IF($E72="Tuition Index",I72*J$5/I$5,IF($E72="% of Salaries",IF($G$6=0,0,$G72/$G$6*J$6),IF($E72="Debt",$G72*Inputs!F$15/12,IF($E72="Reserve Yield",Inputs!F$13*Inputs!F$16,I72)))))))))))</f>
        <v>198876.314</v>
      </c>
      <c r="K72" s="11" t="n">
        <f aca="false">IF($E72="Manual",O72,IF($E72="Flat",J72,IF($E72="Inflation",J72*(1+Inputs!G$12),IF($E72="Salary",J72*(1+Inputs!G$10),IF($E72="Benefits",J72*(1+Inputs!G$11),IF($E72="Per Student",J72*K$4/J$4*(1+Inputs!G$12),IF($E72="Enrollment",J72*K$4/J$4,IF($E72="Tuition Index",J72*K$5/J$5,IF($E72="% of Salaries",IF($G$6=0,0,$G72/$G$6*K$6),IF($E72="Debt",$G72*Inputs!G$15/12,IF($E72="Reserve Yield",Inputs!G$13*Inputs!G$16,J72)))))))))))</f>
        <v>204842.60342</v>
      </c>
      <c r="L72" s="22"/>
      <c r="M72" s="22"/>
      <c r="N72" s="22"/>
      <c r="O72" s="22"/>
    </row>
    <row r="73" customFormat="false" ht="15" hidden="false" customHeight="false" outlineLevel="0" collapsed="false">
      <c r="A73" s="6" t="s">
        <v>281</v>
      </c>
      <c r="B73" s="6" t="s">
        <v>15</v>
      </c>
      <c r="C73" s="30" t="s">
        <v>313</v>
      </c>
      <c r="D73" s="6" t="s">
        <v>314</v>
      </c>
      <c r="E73" s="20" t="s">
        <v>186</v>
      </c>
      <c r="F73" s="20" t="s">
        <v>132</v>
      </c>
      <c r="G73" s="31" t="n">
        <f aca="false">SUMIFS('QB Import'!$B$1:$B$600,'QB Import'!$H$1:$H$600,$C73,'QB Import'!$G$1:$G$600,1)</f>
        <v>0</v>
      </c>
      <c r="H73" s="11" t="n">
        <f aca="false">IF($E73="Manual",L73,IF($E73="Flat",G73,IF($E73="Inflation",G73*(1+Inputs!D$12),IF($E73="Salary",G73*(1+Inputs!D$10),IF($E73="Benefits",G73*(1+Inputs!D$11),IF($E73="Per Student",G73*H$4/G$4*(1+Inputs!D$12),IF($E73="Enrollment",G73*H$4/G$4,IF($E73="Tuition Index",G73*H$5/G$5,IF($E73="% of Salaries",IF($G$6=0,0,$G73/$G$6*H$6),IF($E73="Debt",$G73*Inputs!D$15/12,IF($E73="Reserve Yield",Inputs!D$13*Inputs!D$16,G73)))))))))))</f>
        <v>0</v>
      </c>
      <c r="I73" s="11" t="n">
        <f aca="false">IF($E73="Manual",M73,IF($E73="Flat",H73,IF($E73="Inflation",H73*(1+Inputs!E$12),IF($E73="Salary",H73*(1+Inputs!E$10),IF($E73="Benefits",H73*(1+Inputs!E$11),IF($E73="Per Student",H73*I$4/H$4*(1+Inputs!E$12),IF($E73="Enrollment",H73*I$4/H$4,IF($E73="Tuition Index",H73*I$5/H$5,IF($E73="% of Salaries",IF($G$6=0,0,$G73/$G$6*I$6),IF($E73="Debt",$G73*Inputs!E$15/12,IF($E73="Reserve Yield",Inputs!E$13*Inputs!E$16,H73)))))))))))</f>
        <v>0</v>
      </c>
      <c r="J73" s="11" t="n">
        <f aca="false">IF($E73="Manual",N73,IF($E73="Flat",I73,IF($E73="Inflation",I73*(1+Inputs!F$12),IF($E73="Salary",I73*(1+Inputs!F$10),IF($E73="Benefits",I73*(1+Inputs!F$11),IF($E73="Per Student",I73*J$4/I$4*(1+Inputs!F$12),IF($E73="Enrollment",I73*J$4/I$4,IF($E73="Tuition Index",I73*J$5/I$5,IF($E73="% of Salaries",IF($G$6=0,0,$G73/$G$6*J$6),IF($E73="Debt",$G73*Inputs!F$15/12,IF($E73="Reserve Yield",Inputs!F$13*Inputs!F$16,I73)))))))))))</f>
        <v>0</v>
      </c>
      <c r="K73" s="11" t="n">
        <f aca="false">IF($E73="Manual",O73,IF($E73="Flat",J73,IF($E73="Inflation",J73*(1+Inputs!G$12),IF($E73="Salary",J73*(1+Inputs!G$10),IF($E73="Benefits",J73*(1+Inputs!G$11),IF($E73="Per Student",J73*K$4/J$4*(1+Inputs!G$12),IF($E73="Enrollment",J73*K$4/J$4,IF($E73="Tuition Index",J73*K$5/J$5,IF($E73="% of Salaries",IF($G$6=0,0,$G73/$G$6*K$6),IF($E73="Debt",$G73*Inputs!G$15/12,IF($E73="Reserve Yield",Inputs!G$13*Inputs!G$16,J73)))))))))))</f>
        <v>0</v>
      </c>
      <c r="L73" s="22"/>
      <c r="M73" s="22"/>
      <c r="N73" s="22"/>
      <c r="O73" s="22"/>
    </row>
    <row r="74" customFormat="false" ht="15" hidden="false" customHeight="false" outlineLevel="0" collapsed="false">
      <c r="A74" s="6" t="s">
        <v>281</v>
      </c>
      <c r="B74" s="6" t="s">
        <v>15</v>
      </c>
      <c r="C74" s="30" t="s">
        <v>315</v>
      </c>
      <c r="D74" s="6" t="s">
        <v>315</v>
      </c>
      <c r="E74" s="20" t="s">
        <v>316</v>
      </c>
      <c r="F74" s="20" t="s">
        <v>132</v>
      </c>
      <c r="G74" s="31" t="n">
        <f aca="false">SUMIFS('QB Import'!$B$1:$B$600,'QB Import'!$H$1:$H$600,$C74,'QB Import'!$G$1:$G$600,1)</f>
        <v>25000</v>
      </c>
      <c r="H74" s="11" t="n">
        <f aca="false">IF($E74="Manual",L74,IF($E74="Flat",G74,IF($E74="Inflation",G74*(1+Inputs!D$12),IF($E74="Salary",G74*(1+Inputs!D$10),IF($E74="Benefits",G74*(1+Inputs!D$11),IF($E74="Per Student",G74*H$4/G$4*(1+Inputs!D$12),IF($E74="Enrollment",G74*H$4/G$4,IF($E74="Tuition Index",G74*H$5/G$5,IF($E74="% of Salaries",IF($G$6=0,0,$G74/$G$6*H$6),IF($E74="Debt",$G74*Inputs!D$15/12,IF($E74="Reserve Yield",Inputs!D$13*Inputs!D$16,G74)))))))))))</f>
        <v>25750</v>
      </c>
      <c r="I74" s="11" t="n">
        <f aca="false">IF($E74="Manual",M74,IF($E74="Flat",H74,IF($E74="Inflation",H74*(1+Inputs!E$12),IF($E74="Salary",H74*(1+Inputs!E$10),IF($E74="Benefits",H74*(1+Inputs!E$11),IF($E74="Per Student",H74*I$4/H$4*(1+Inputs!E$12),IF($E74="Enrollment",H74*I$4/H$4,IF($E74="Tuition Index",H74*I$5/H$5,IF($E74="% of Salaries",IF($G$6=0,0,$G74/$G$6*I$6),IF($E74="Debt",$G74*Inputs!E$15/12,IF($E74="Reserve Yield",Inputs!E$13*Inputs!E$16,H74)))))))))))</f>
        <v>26522.5</v>
      </c>
      <c r="J74" s="11" t="n">
        <f aca="false">IF($E74="Manual",N74,IF($E74="Flat",I74,IF($E74="Inflation",I74*(1+Inputs!F$12),IF($E74="Salary",I74*(1+Inputs!F$10),IF($E74="Benefits",I74*(1+Inputs!F$11),IF($E74="Per Student",I74*J$4/I$4*(1+Inputs!F$12),IF($E74="Enrollment",I74*J$4/I$4,IF($E74="Tuition Index",I74*J$5/I$5,IF($E74="% of Salaries",IF($G$6=0,0,$G74/$G$6*J$6),IF($E74="Debt",$G74*Inputs!F$15/12,IF($E74="Reserve Yield",Inputs!F$13*Inputs!F$16,I74)))))))))))</f>
        <v>27318.175</v>
      </c>
      <c r="K74" s="11" t="n">
        <f aca="false">IF($E74="Manual",O74,IF($E74="Flat",J74,IF($E74="Inflation",J74*(1+Inputs!G$12),IF($E74="Salary",J74*(1+Inputs!G$10),IF($E74="Benefits",J74*(1+Inputs!G$11),IF($E74="Per Student",J74*K$4/J$4*(1+Inputs!G$12),IF($E74="Enrollment",J74*K$4/J$4,IF($E74="Tuition Index",J74*K$5/J$5,IF($E74="% of Salaries",IF($G$6=0,0,$G74/$G$6*K$6),IF($E74="Debt",$G74*Inputs!G$15/12,IF($E74="Reserve Yield",Inputs!G$13*Inputs!G$16,J74)))))))))))</f>
        <v>28137.72025</v>
      </c>
      <c r="L74" s="22"/>
      <c r="M74" s="22"/>
      <c r="N74" s="22"/>
      <c r="O74" s="22"/>
    </row>
    <row r="75" customFormat="false" ht="15" hidden="false" customHeight="false" outlineLevel="0" collapsed="false">
      <c r="A75" s="6" t="s">
        <v>281</v>
      </c>
      <c r="B75" s="6" t="s">
        <v>15</v>
      </c>
      <c r="C75" s="30" t="s">
        <v>317</v>
      </c>
      <c r="D75" s="6" t="s">
        <v>318</v>
      </c>
      <c r="E75" s="20" t="s">
        <v>186</v>
      </c>
      <c r="F75" s="20" t="s">
        <v>132</v>
      </c>
      <c r="G75" s="31" t="n">
        <f aca="false">SUMIFS('QB Import'!$B$1:$B$600,'QB Import'!$H$1:$H$600,$C75,'QB Import'!$G$1:$G$600,1)</f>
        <v>0</v>
      </c>
      <c r="H75" s="11" t="n">
        <f aca="false">IF($E75="Manual",L75,IF($E75="Flat",G75,IF($E75="Inflation",G75*(1+Inputs!D$12),IF($E75="Salary",G75*(1+Inputs!D$10),IF($E75="Benefits",G75*(1+Inputs!D$11),IF($E75="Per Student",G75*H$4/G$4*(1+Inputs!D$12),IF($E75="Enrollment",G75*H$4/G$4,IF($E75="Tuition Index",G75*H$5/G$5,IF($E75="% of Salaries",IF($G$6=0,0,$G75/$G$6*H$6),IF($E75="Debt",$G75*Inputs!D$15/12,IF($E75="Reserve Yield",Inputs!D$13*Inputs!D$16,G75)))))))))))</f>
        <v>0</v>
      </c>
      <c r="I75" s="11" t="n">
        <f aca="false">IF($E75="Manual",M75,IF($E75="Flat",H75,IF($E75="Inflation",H75*(1+Inputs!E$12),IF($E75="Salary",H75*(1+Inputs!E$10),IF($E75="Benefits",H75*(1+Inputs!E$11),IF($E75="Per Student",H75*I$4/H$4*(1+Inputs!E$12),IF($E75="Enrollment",H75*I$4/H$4,IF($E75="Tuition Index",H75*I$5/H$5,IF($E75="% of Salaries",IF($G$6=0,0,$G75/$G$6*I$6),IF($E75="Debt",$G75*Inputs!E$15/12,IF($E75="Reserve Yield",Inputs!E$13*Inputs!E$16,H75)))))))))))</f>
        <v>0</v>
      </c>
      <c r="J75" s="11" t="n">
        <f aca="false">IF($E75="Manual",N75,IF($E75="Flat",I75,IF($E75="Inflation",I75*(1+Inputs!F$12),IF($E75="Salary",I75*(1+Inputs!F$10),IF($E75="Benefits",I75*(1+Inputs!F$11),IF($E75="Per Student",I75*J$4/I$4*(1+Inputs!F$12),IF($E75="Enrollment",I75*J$4/I$4,IF($E75="Tuition Index",I75*J$5/I$5,IF($E75="% of Salaries",IF($G$6=0,0,$G75/$G$6*J$6),IF($E75="Debt",$G75*Inputs!F$15/12,IF($E75="Reserve Yield",Inputs!F$13*Inputs!F$16,I75)))))))))))</f>
        <v>0</v>
      </c>
      <c r="K75" s="11" t="n">
        <f aca="false">IF($E75="Manual",O75,IF($E75="Flat",J75,IF($E75="Inflation",J75*(1+Inputs!G$12),IF($E75="Salary",J75*(1+Inputs!G$10),IF($E75="Benefits",J75*(1+Inputs!G$11),IF($E75="Per Student",J75*K$4/J$4*(1+Inputs!G$12),IF($E75="Enrollment",J75*K$4/J$4,IF($E75="Tuition Index",J75*K$5/J$5,IF($E75="% of Salaries",IF($G$6=0,0,$G75/$G$6*K$6),IF($E75="Debt",$G75*Inputs!G$15/12,IF($E75="Reserve Yield",Inputs!G$13*Inputs!G$16,J75)))))))))))</f>
        <v>0</v>
      </c>
      <c r="L75" s="22"/>
      <c r="M75" s="22"/>
      <c r="N75" s="22"/>
      <c r="O75" s="22"/>
    </row>
    <row r="76" customFormat="false" ht="15" hidden="false" customHeight="false" outlineLevel="0" collapsed="false">
      <c r="A76" s="6" t="s">
        <v>281</v>
      </c>
      <c r="B76" s="6" t="s">
        <v>15</v>
      </c>
      <c r="C76" s="30" t="s">
        <v>319</v>
      </c>
      <c r="D76" s="6" t="s">
        <v>320</v>
      </c>
      <c r="E76" s="20" t="s">
        <v>186</v>
      </c>
      <c r="F76" s="20" t="s">
        <v>132</v>
      </c>
      <c r="G76" s="31" t="n">
        <f aca="false">SUMIFS('QB Import'!$B$1:$B$600,'QB Import'!$H$1:$H$600,$C76,'QB Import'!$G$1:$G$600,1)</f>
        <v>0</v>
      </c>
      <c r="H76" s="11" t="n">
        <f aca="false">IF($E76="Manual",L76,IF($E76="Flat",G76,IF($E76="Inflation",G76*(1+Inputs!D$12),IF($E76="Salary",G76*(1+Inputs!D$10),IF($E76="Benefits",G76*(1+Inputs!D$11),IF($E76="Per Student",G76*H$4/G$4*(1+Inputs!D$12),IF($E76="Enrollment",G76*H$4/G$4,IF($E76="Tuition Index",G76*H$5/G$5,IF($E76="% of Salaries",IF($G$6=0,0,$G76/$G$6*H$6),IF($E76="Debt",$G76*Inputs!D$15/12,IF($E76="Reserve Yield",Inputs!D$13*Inputs!D$16,G76)))))))))))</f>
        <v>0</v>
      </c>
      <c r="I76" s="11" t="n">
        <f aca="false">IF($E76="Manual",M76,IF($E76="Flat",H76,IF($E76="Inflation",H76*(1+Inputs!E$12),IF($E76="Salary",H76*(1+Inputs!E$10),IF($E76="Benefits",H76*(1+Inputs!E$11),IF($E76="Per Student",H76*I$4/H$4*(1+Inputs!E$12),IF($E76="Enrollment",H76*I$4/H$4,IF($E76="Tuition Index",H76*I$5/H$5,IF($E76="% of Salaries",IF($G$6=0,0,$G76/$G$6*I$6),IF($E76="Debt",$G76*Inputs!E$15/12,IF($E76="Reserve Yield",Inputs!E$13*Inputs!E$16,H76)))))))))))</f>
        <v>0</v>
      </c>
      <c r="J76" s="11" t="n">
        <f aca="false">IF($E76="Manual",N76,IF($E76="Flat",I76,IF($E76="Inflation",I76*(1+Inputs!F$12),IF($E76="Salary",I76*(1+Inputs!F$10),IF($E76="Benefits",I76*(1+Inputs!F$11),IF($E76="Per Student",I76*J$4/I$4*(1+Inputs!F$12),IF($E76="Enrollment",I76*J$4/I$4,IF($E76="Tuition Index",I76*J$5/I$5,IF($E76="% of Salaries",IF($G$6=0,0,$G76/$G$6*J$6),IF($E76="Debt",$G76*Inputs!F$15/12,IF($E76="Reserve Yield",Inputs!F$13*Inputs!F$16,I76)))))))))))</f>
        <v>0</v>
      </c>
      <c r="K76" s="11" t="n">
        <f aca="false">IF($E76="Manual",O76,IF($E76="Flat",J76,IF($E76="Inflation",J76*(1+Inputs!G$12),IF($E76="Salary",J76*(1+Inputs!G$10),IF($E76="Benefits",J76*(1+Inputs!G$11),IF($E76="Per Student",J76*K$4/J$4*(1+Inputs!G$12),IF($E76="Enrollment",J76*K$4/J$4,IF($E76="Tuition Index",J76*K$5/J$5,IF($E76="% of Salaries",IF($G$6=0,0,$G76/$G$6*K$6),IF($E76="Debt",$G76*Inputs!G$15/12,IF($E76="Reserve Yield",Inputs!G$13*Inputs!G$16,J76)))))))))))</f>
        <v>0</v>
      </c>
      <c r="L76" s="22"/>
      <c r="M76" s="22"/>
      <c r="N76" s="22"/>
      <c r="O76" s="22"/>
    </row>
    <row r="77" customFormat="false" ht="15" hidden="false" customHeight="false" outlineLevel="0" collapsed="false">
      <c r="A77" s="6" t="s">
        <v>281</v>
      </c>
      <c r="B77" s="6" t="s">
        <v>15</v>
      </c>
      <c r="C77" s="30" t="s">
        <v>321</v>
      </c>
      <c r="D77" s="6" t="s">
        <v>322</v>
      </c>
      <c r="E77" s="20" t="s">
        <v>186</v>
      </c>
      <c r="F77" s="20" t="s">
        <v>132</v>
      </c>
      <c r="G77" s="31" t="n">
        <f aca="false">SUMIFS('QB Import'!$B$1:$B$600,'QB Import'!$H$1:$H$600,$C77,'QB Import'!$G$1:$G$600,1)</f>
        <v>0</v>
      </c>
      <c r="H77" s="11" t="n">
        <f aca="false">IF($E77="Manual",L77,IF($E77="Flat",G77,IF($E77="Inflation",G77*(1+Inputs!D$12),IF($E77="Salary",G77*(1+Inputs!D$10),IF($E77="Benefits",G77*(1+Inputs!D$11),IF($E77="Per Student",G77*H$4/G$4*(1+Inputs!D$12),IF($E77="Enrollment",G77*H$4/G$4,IF($E77="Tuition Index",G77*H$5/G$5,IF($E77="% of Salaries",IF($G$6=0,0,$G77/$G$6*H$6),IF($E77="Debt",$G77*Inputs!D$15/12,IF($E77="Reserve Yield",Inputs!D$13*Inputs!D$16,G77)))))))))))</f>
        <v>0</v>
      </c>
      <c r="I77" s="11" t="n">
        <f aca="false">IF($E77="Manual",M77,IF($E77="Flat",H77,IF($E77="Inflation",H77*(1+Inputs!E$12),IF($E77="Salary",H77*(1+Inputs!E$10),IF($E77="Benefits",H77*(1+Inputs!E$11),IF($E77="Per Student",H77*I$4/H$4*(1+Inputs!E$12),IF($E77="Enrollment",H77*I$4/H$4,IF($E77="Tuition Index",H77*I$5/H$5,IF($E77="% of Salaries",IF($G$6=0,0,$G77/$G$6*I$6),IF($E77="Debt",$G77*Inputs!E$15/12,IF($E77="Reserve Yield",Inputs!E$13*Inputs!E$16,H77)))))))))))</f>
        <v>0</v>
      </c>
      <c r="J77" s="11" t="n">
        <f aca="false">IF($E77="Manual",N77,IF($E77="Flat",I77,IF($E77="Inflation",I77*(1+Inputs!F$12),IF($E77="Salary",I77*(1+Inputs!F$10),IF($E77="Benefits",I77*(1+Inputs!F$11),IF($E77="Per Student",I77*J$4/I$4*(1+Inputs!F$12),IF($E77="Enrollment",I77*J$4/I$4,IF($E77="Tuition Index",I77*J$5/I$5,IF($E77="% of Salaries",IF($G$6=0,0,$G77/$G$6*J$6),IF($E77="Debt",$G77*Inputs!F$15/12,IF($E77="Reserve Yield",Inputs!F$13*Inputs!F$16,I77)))))))))))</f>
        <v>0</v>
      </c>
      <c r="K77" s="11" t="n">
        <f aca="false">IF($E77="Manual",O77,IF($E77="Flat",J77,IF($E77="Inflation",J77*(1+Inputs!G$12),IF($E77="Salary",J77*(1+Inputs!G$10),IF($E77="Benefits",J77*(1+Inputs!G$11),IF($E77="Per Student",J77*K$4/J$4*(1+Inputs!G$12),IF($E77="Enrollment",J77*K$4/J$4,IF($E77="Tuition Index",J77*K$5/J$5,IF($E77="% of Salaries",IF($G$6=0,0,$G77/$G$6*K$6),IF($E77="Debt",$G77*Inputs!G$15/12,IF($E77="Reserve Yield",Inputs!G$13*Inputs!G$16,J77)))))))))))</f>
        <v>0</v>
      </c>
      <c r="L77" s="22"/>
      <c r="M77" s="22"/>
      <c r="N77" s="22"/>
      <c r="O77" s="22"/>
    </row>
    <row r="78" customFormat="false" ht="15" hidden="false" customHeight="false" outlineLevel="0" collapsed="false">
      <c r="A78" s="6" t="s">
        <v>281</v>
      </c>
      <c r="B78" s="6" t="s">
        <v>15</v>
      </c>
      <c r="C78" s="30" t="s">
        <v>323</v>
      </c>
      <c r="D78" s="6" t="s">
        <v>324</v>
      </c>
      <c r="E78" s="20" t="s">
        <v>186</v>
      </c>
      <c r="F78" s="20" t="s">
        <v>132</v>
      </c>
      <c r="G78" s="31" t="n">
        <f aca="false">SUMIFS('QB Import'!$B$1:$B$600,'QB Import'!$H$1:$H$600,$C78,'QB Import'!$G$1:$G$600,1)</f>
        <v>0</v>
      </c>
      <c r="H78" s="11" t="n">
        <f aca="false">IF($E78="Manual",L78,IF($E78="Flat",G78,IF($E78="Inflation",G78*(1+Inputs!D$12),IF($E78="Salary",G78*(1+Inputs!D$10),IF($E78="Benefits",G78*(1+Inputs!D$11),IF($E78="Per Student",G78*H$4/G$4*(1+Inputs!D$12),IF($E78="Enrollment",G78*H$4/G$4,IF($E78="Tuition Index",G78*H$5/G$5,IF($E78="% of Salaries",IF($G$6=0,0,$G78/$G$6*H$6),IF($E78="Debt",$G78*Inputs!D$15/12,IF($E78="Reserve Yield",Inputs!D$13*Inputs!D$16,G78)))))))))))</f>
        <v>0</v>
      </c>
      <c r="I78" s="11" t="n">
        <f aca="false">IF($E78="Manual",M78,IF($E78="Flat",H78,IF($E78="Inflation",H78*(1+Inputs!E$12),IF($E78="Salary",H78*(1+Inputs!E$10),IF($E78="Benefits",H78*(1+Inputs!E$11),IF($E78="Per Student",H78*I$4/H$4*(1+Inputs!E$12),IF($E78="Enrollment",H78*I$4/H$4,IF($E78="Tuition Index",H78*I$5/H$5,IF($E78="% of Salaries",IF($G$6=0,0,$G78/$G$6*I$6),IF($E78="Debt",$G78*Inputs!E$15/12,IF($E78="Reserve Yield",Inputs!E$13*Inputs!E$16,H78)))))))))))</f>
        <v>0</v>
      </c>
      <c r="J78" s="11" t="n">
        <f aca="false">IF($E78="Manual",N78,IF($E78="Flat",I78,IF($E78="Inflation",I78*(1+Inputs!F$12),IF($E78="Salary",I78*(1+Inputs!F$10),IF($E78="Benefits",I78*(1+Inputs!F$11),IF($E78="Per Student",I78*J$4/I$4*(1+Inputs!F$12),IF($E78="Enrollment",I78*J$4/I$4,IF($E78="Tuition Index",I78*J$5/I$5,IF($E78="% of Salaries",IF($G$6=0,0,$G78/$G$6*J$6),IF($E78="Debt",$G78*Inputs!F$15/12,IF($E78="Reserve Yield",Inputs!F$13*Inputs!F$16,I78)))))))))))</f>
        <v>0</v>
      </c>
      <c r="K78" s="11" t="n">
        <f aca="false">IF($E78="Manual",O78,IF($E78="Flat",J78,IF($E78="Inflation",J78*(1+Inputs!G$12),IF($E78="Salary",J78*(1+Inputs!G$10),IF($E78="Benefits",J78*(1+Inputs!G$11),IF($E78="Per Student",J78*K$4/J$4*(1+Inputs!G$12),IF($E78="Enrollment",J78*K$4/J$4,IF($E78="Tuition Index",J78*K$5/J$5,IF($E78="% of Salaries",IF($G$6=0,0,$G78/$G$6*K$6),IF($E78="Debt",$G78*Inputs!G$15/12,IF($E78="Reserve Yield",Inputs!G$13*Inputs!G$16,J78)))))))))))</f>
        <v>0</v>
      </c>
      <c r="L78" s="22"/>
      <c r="M78" s="22"/>
      <c r="N78" s="22"/>
      <c r="O78" s="22"/>
    </row>
    <row r="79" customFormat="false" ht="15" hidden="false" customHeight="false" outlineLevel="0" collapsed="false">
      <c r="A79" s="6" t="s">
        <v>281</v>
      </c>
      <c r="B79" s="6" t="s">
        <v>15</v>
      </c>
      <c r="C79" s="30" t="s">
        <v>325</v>
      </c>
      <c r="D79" s="6" t="s">
        <v>325</v>
      </c>
      <c r="E79" s="20" t="s">
        <v>316</v>
      </c>
      <c r="F79" s="20" t="s">
        <v>132</v>
      </c>
      <c r="G79" s="31" t="n">
        <f aca="false">SUMIFS('QB Import'!$B$1:$B$600,'QB Import'!$H$1:$H$600,$C79,'QB Import'!$G$1:$G$600,1)</f>
        <v>3000</v>
      </c>
      <c r="H79" s="11" t="n">
        <f aca="false">IF($E79="Manual",L79,IF($E79="Flat",G79,IF($E79="Inflation",G79*(1+Inputs!D$12),IF($E79="Salary",G79*(1+Inputs!D$10),IF($E79="Benefits",G79*(1+Inputs!D$11),IF($E79="Per Student",G79*H$4/G$4*(1+Inputs!D$12),IF($E79="Enrollment",G79*H$4/G$4,IF($E79="Tuition Index",G79*H$5/G$5,IF($E79="% of Salaries",IF($G$6=0,0,$G79/$G$6*H$6),IF($E79="Debt",$G79*Inputs!D$15/12,IF($E79="Reserve Yield",Inputs!D$13*Inputs!D$16,G79)))))))))))</f>
        <v>3090</v>
      </c>
      <c r="I79" s="11" t="n">
        <f aca="false">IF($E79="Manual",M79,IF($E79="Flat",H79,IF($E79="Inflation",H79*(1+Inputs!E$12),IF($E79="Salary",H79*(1+Inputs!E$10),IF($E79="Benefits",H79*(1+Inputs!E$11),IF($E79="Per Student",H79*I$4/H$4*(1+Inputs!E$12),IF($E79="Enrollment",H79*I$4/H$4,IF($E79="Tuition Index",H79*I$5/H$5,IF($E79="% of Salaries",IF($G$6=0,0,$G79/$G$6*I$6),IF($E79="Debt",$G79*Inputs!E$15/12,IF($E79="Reserve Yield",Inputs!E$13*Inputs!E$16,H79)))))))))))</f>
        <v>3182.7</v>
      </c>
      <c r="J79" s="11" t="n">
        <f aca="false">IF($E79="Manual",N79,IF($E79="Flat",I79,IF($E79="Inflation",I79*(1+Inputs!F$12),IF($E79="Salary",I79*(1+Inputs!F$10),IF($E79="Benefits",I79*(1+Inputs!F$11),IF($E79="Per Student",I79*J$4/I$4*(1+Inputs!F$12),IF($E79="Enrollment",I79*J$4/I$4,IF($E79="Tuition Index",I79*J$5/I$5,IF($E79="% of Salaries",IF($G$6=0,0,$G79/$G$6*J$6),IF($E79="Debt",$G79*Inputs!F$15/12,IF($E79="Reserve Yield",Inputs!F$13*Inputs!F$16,I79)))))))))))</f>
        <v>3278.181</v>
      </c>
      <c r="K79" s="11" t="n">
        <f aca="false">IF($E79="Manual",O79,IF($E79="Flat",J79,IF($E79="Inflation",J79*(1+Inputs!G$12),IF($E79="Salary",J79*(1+Inputs!G$10),IF($E79="Benefits",J79*(1+Inputs!G$11),IF($E79="Per Student",J79*K$4/J$4*(1+Inputs!G$12),IF($E79="Enrollment",J79*K$4/J$4,IF($E79="Tuition Index",J79*K$5/J$5,IF($E79="% of Salaries",IF($G$6=0,0,$G79/$G$6*K$6),IF($E79="Debt",$G79*Inputs!G$15/12,IF($E79="Reserve Yield",Inputs!G$13*Inputs!G$16,J79)))))))))))</f>
        <v>3376.52643</v>
      </c>
      <c r="L79" s="22"/>
      <c r="M79" s="22"/>
      <c r="N79" s="22"/>
      <c r="O79" s="22"/>
    </row>
    <row r="80" customFormat="false" ht="15" hidden="false" customHeight="false" outlineLevel="0" collapsed="false">
      <c r="A80" s="6" t="s">
        <v>281</v>
      </c>
      <c r="B80" s="6" t="s">
        <v>15</v>
      </c>
      <c r="C80" s="30" t="s">
        <v>326</v>
      </c>
      <c r="D80" s="6" t="s">
        <v>326</v>
      </c>
      <c r="E80" s="20" t="s">
        <v>316</v>
      </c>
      <c r="F80" s="20" t="s">
        <v>132</v>
      </c>
      <c r="G80" s="31" t="n">
        <f aca="false">SUMIFS('QB Import'!$B$1:$B$600,'QB Import'!$H$1:$H$600,$C80,'QB Import'!$G$1:$G$600,1)</f>
        <v>2000</v>
      </c>
      <c r="H80" s="11" t="n">
        <f aca="false">IF($E80="Manual",L80,IF($E80="Flat",G80,IF($E80="Inflation",G80*(1+Inputs!D$12),IF($E80="Salary",G80*(1+Inputs!D$10),IF($E80="Benefits",G80*(1+Inputs!D$11),IF($E80="Per Student",G80*H$4/G$4*(1+Inputs!D$12),IF($E80="Enrollment",G80*H$4/G$4,IF($E80="Tuition Index",G80*H$5/G$5,IF($E80="% of Salaries",IF($G$6=0,0,$G80/$G$6*H$6),IF($E80="Debt",$G80*Inputs!D$15/12,IF($E80="Reserve Yield",Inputs!D$13*Inputs!D$16,G80)))))))))))</f>
        <v>2060</v>
      </c>
      <c r="I80" s="11" t="n">
        <f aca="false">IF($E80="Manual",M80,IF($E80="Flat",H80,IF($E80="Inflation",H80*(1+Inputs!E$12),IF($E80="Salary",H80*(1+Inputs!E$10),IF($E80="Benefits",H80*(1+Inputs!E$11),IF($E80="Per Student",H80*I$4/H$4*(1+Inputs!E$12),IF($E80="Enrollment",H80*I$4/H$4,IF($E80="Tuition Index",H80*I$5/H$5,IF($E80="% of Salaries",IF($G$6=0,0,$G80/$G$6*I$6),IF($E80="Debt",$G80*Inputs!E$15/12,IF($E80="Reserve Yield",Inputs!E$13*Inputs!E$16,H80)))))))))))</f>
        <v>2121.8</v>
      </c>
      <c r="J80" s="11" t="n">
        <f aca="false">IF($E80="Manual",N80,IF($E80="Flat",I80,IF($E80="Inflation",I80*(1+Inputs!F$12),IF($E80="Salary",I80*(1+Inputs!F$10),IF($E80="Benefits",I80*(1+Inputs!F$11),IF($E80="Per Student",I80*J$4/I$4*(1+Inputs!F$12),IF($E80="Enrollment",I80*J$4/I$4,IF($E80="Tuition Index",I80*J$5/I$5,IF($E80="% of Salaries",IF($G$6=0,0,$G80/$G$6*J$6),IF($E80="Debt",$G80*Inputs!F$15/12,IF($E80="Reserve Yield",Inputs!F$13*Inputs!F$16,I80)))))))))))</f>
        <v>2185.454</v>
      </c>
      <c r="K80" s="11" t="n">
        <f aca="false">IF($E80="Manual",O80,IF($E80="Flat",J80,IF($E80="Inflation",J80*(1+Inputs!G$12),IF($E80="Salary",J80*(1+Inputs!G$10),IF($E80="Benefits",J80*(1+Inputs!G$11),IF($E80="Per Student",J80*K$4/J$4*(1+Inputs!G$12),IF($E80="Enrollment",J80*K$4/J$4,IF($E80="Tuition Index",J80*K$5/J$5,IF($E80="% of Salaries",IF($G$6=0,0,$G80/$G$6*K$6),IF($E80="Debt",$G80*Inputs!G$15/12,IF($E80="Reserve Yield",Inputs!G$13*Inputs!G$16,J80)))))))))))</f>
        <v>2251.01762</v>
      </c>
      <c r="L80" s="22"/>
      <c r="M80" s="22"/>
      <c r="N80" s="22"/>
      <c r="O80" s="22"/>
    </row>
    <row r="81" customFormat="false" ht="15" hidden="false" customHeight="false" outlineLevel="0" collapsed="false">
      <c r="A81" s="6" t="s">
        <v>281</v>
      </c>
      <c r="B81" s="6" t="s">
        <v>15</v>
      </c>
      <c r="C81" s="30" t="s">
        <v>327</v>
      </c>
      <c r="D81" s="6" t="s">
        <v>327</v>
      </c>
      <c r="E81" s="20" t="s">
        <v>316</v>
      </c>
      <c r="F81" s="20" t="s">
        <v>132</v>
      </c>
      <c r="G81" s="31" t="n">
        <f aca="false">SUMIFS('QB Import'!$B$1:$B$600,'QB Import'!$H$1:$H$600,$C81,'QB Import'!$G$1:$G$600,1)</f>
        <v>35000</v>
      </c>
      <c r="H81" s="11" t="n">
        <f aca="false">IF($E81="Manual",L81,IF($E81="Flat",G81,IF($E81="Inflation",G81*(1+Inputs!D$12),IF($E81="Salary",G81*(1+Inputs!D$10),IF($E81="Benefits",G81*(1+Inputs!D$11),IF($E81="Per Student",G81*H$4/G$4*(1+Inputs!D$12),IF($E81="Enrollment",G81*H$4/G$4,IF($E81="Tuition Index",G81*H$5/G$5,IF($E81="% of Salaries",IF($G$6=0,0,$G81/$G$6*H$6),IF($E81="Debt",$G81*Inputs!D$15/12,IF($E81="Reserve Yield",Inputs!D$13*Inputs!D$16,G81)))))))))))</f>
        <v>36050</v>
      </c>
      <c r="I81" s="11" t="n">
        <f aca="false">IF($E81="Manual",M81,IF($E81="Flat",H81,IF($E81="Inflation",H81*(1+Inputs!E$12),IF($E81="Salary",H81*(1+Inputs!E$10),IF($E81="Benefits",H81*(1+Inputs!E$11),IF($E81="Per Student",H81*I$4/H$4*(1+Inputs!E$12),IF($E81="Enrollment",H81*I$4/H$4,IF($E81="Tuition Index",H81*I$5/H$5,IF($E81="% of Salaries",IF($G$6=0,0,$G81/$G$6*I$6),IF($E81="Debt",$G81*Inputs!E$15/12,IF($E81="Reserve Yield",Inputs!E$13*Inputs!E$16,H81)))))))))))</f>
        <v>37131.5</v>
      </c>
      <c r="J81" s="11" t="n">
        <f aca="false">IF($E81="Manual",N81,IF($E81="Flat",I81,IF($E81="Inflation",I81*(1+Inputs!F$12),IF($E81="Salary",I81*(1+Inputs!F$10),IF($E81="Benefits",I81*(1+Inputs!F$11),IF($E81="Per Student",I81*J$4/I$4*(1+Inputs!F$12),IF($E81="Enrollment",I81*J$4/I$4,IF($E81="Tuition Index",I81*J$5/I$5,IF($E81="% of Salaries",IF($G$6=0,0,$G81/$G$6*J$6),IF($E81="Debt",$G81*Inputs!F$15/12,IF($E81="Reserve Yield",Inputs!F$13*Inputs!F$16,I81)))))))))))</f>
        <v>38245.445</v>
      </c>
      <c r="K81" s="11" t="n">
        <f aca="false">IF($E81="Manual",O81,IF($E81="Flat",J81,IF($E81="Inflation",J81*(1+Inputs!G$12),IF($E81="Salary",J81*(1+Inputs!G$10),IF($E81="Benefits",J81*(1+Inputs!G$11),IF($E81="Per Student",J81*K$4/J$4*(1+Inputs!G$12),IF($E81="Enrollment",J81*K$4/J$4,IF($E81="Tuition Index",J81*K$5/J$5,IF($E81="% of Salaries",IF($G$6=0,0,$G81/$G$6*K$6),IF($E81="Debt",$G81*Inputs!G$15/12,IF($E81="Reserve Yield",Inputs!G$13*Inputs!G$16,J81)))))))))))</f>
        <v>39392.80835</v>
      </c>
      <c r="L81" s="22"/>
      <c r="M81" s="22"/>
      <c r="N81" s="22"/>
      <c r="O81" s="22"/>
    </row>
    <row r="82" customFormat="false" ht="15" hidden="false" customHeight="false" outlineLevel="0" collapsed="false">
      <c r="A82" s="6" t="s">
        <v>281</v>
      </c>
      <c r="B82" s="6" t="s">
        <v>15</v>
      </c>
      <c r="C82" s="30" t="s">
        <v>328</v>
      </c>
      <c r="D82" s="6" t="s">
        <v>328</v>
      </c>
      <c r="E82" s="20" t="s">
        <v>316</v>
      </c>
      <c r="F82" s="20" t="s">
        <v>132</v>
      </c>
      <c r="G82" s="31" t="n">
        <f aca="false">SUMIFS('QB Import'!$B$1:$B$600,'QB Import'!$H$1:$H$600,$C82,'QB Import'!$G$1:$G$600,1)</f>
        <v>1000</v>
      </c>
      <c r="H82" s="11" t="n">
        <f aca="false">IF($E82="Manual",L82,IF($E82="Flat",G82,IF($E82="Inflation",G82*(1+Inputs!D$12),IF($E82="Salary",G82*(1+Inputs!D$10),IF($E82="Benefits",G82*(1+Inputs!D$11),IF($E82="Per Student",G82*H$4/G$4*(1+Inputs!D$12),IF($E82="Enrollment",G82*H$4/G$4,IF($E82="Tuition Index",G82*H$5/G$5,IF($E82="% of Salaries",IF($G$6=0,0,$G82/$G$6*H$6),IF($E82="Debt",$G82*Inputs!D$15/12,IF($E82="Reserve Yield",Inputs!D$13*Inputs!D$16,G82)))))))))))</f>
        <v>1030</v>
      </c>
      <c r="I82" s="11" t="n">
        <f aca="false">IF($E82="Manual",M82,IF($E82="Flat",H82,IF($E82="Inflation",H82*(1+Inputs!E$12),IF($E82="Salary",H82*(1+Inputs!E$10),IF($E82="Benefits",H82*(1+Inputs!E$11),IF($E82="Per Student",H82*I$4/H$4*(1+Inputs!E$12),IF($E82="Enrollment",H82*I$4/H$4,IF($E82="Tuition Index",H82*I$5/H$5,IF($E82="% of Salaries",IF($G$6=0,0,$G82/$G$6*I$6),IF($E82="Debt",$G82*Inputs!E$15/12,IF($E82="Reserve Yield",Inputs!E$13*Inputs!E$16,H82)))))))))))</f>
        <v>1060.9</v>
      </c>
      <c r="J82" s="11" t="n">
        <f aca="false">IF($E82="Manual",N82,IF($E82="Flat",I82,IF($E82="Inflation",I82*(1+Inputs!F$12),IF($E82="Salary",I82*(1+Inputs!F$10),IF($E82="Benefits",I82*(1+Inputs!F$11),IF($E82="Per Student",I82*J$4/I$4*(1+Inputs!F$12),IF($E82="Enrollment",I82*J$4/I$4,IF($E82="Tuition Index",I82*J$5/I$5,IF($E82="% of Salaries",IF($G$6=0,0,$G82/$G$6*J$6),IF($E82="Debt",$G82*Inputs!F$15/12,IF($E82="Reserve Yield",Inputs!F$13*Inputs!F$16,I82)))))))))))</f>
        <v>1092.727</v>
      </c>
      <c r="K82" s="11" t="n">
        <f aca="false">IF($E82="Manual",O82,IF($E82="Flat",J82,IF($E82="Inflation",J82*(1+Inputs!G$12),IF($E82="Salary",J82*(1+Inputs!G$10),IF($E82="Benefits",J82*(1+Inputs!G$11),IF($E82="Per Student",J82*K$4/J$4*(1+Inputs!G$12),IF($E82="Enrollment",J82*K$4/J$4,IF($E82="Tuition Index",J82*K$5/J$5,IF($E82="% of Salaries",IF($G$6=0,0,$G82/$G$6*K$6),IF($E82="Debt",$G82*Inputs!G$15/12,IF($E82="Reserve Yield",Inputs!G$13*Inputs!G$16,J82)))))))))))</f>
        <v>1125.50881</v>
      </c>
      <c r="L82" s="22"/>
      <c r="M82" s="22"/>
      <c r="N82" s="22"/>
      <c r="O82" s="22"/>
    </row>
    <row r="83" customFormat="false" ht="15" hidden="false" customHeight="false" outlineLevel="0" collapsed="false">
      <c r="A83" s="6" t="s">
        <v>281</v>
      </c>
      <c r="B83" s="6" t="s">
        <v>15</v>
      </c>
      <c r="C83" s="30" t="s">
        <v>329</v>
      </c>
      <c r="D83" s="6" t="s">
        <v>329</v>
      </c>
      <c r="E83" s="20" t="s">
        <v>316</v>
      </c>
      <c r="F83" s="20" t="s">
        <v>132</v>
      </c>
      <c r="G83" s="31" t="n">
        <f aca="false">SUMIFS('QB Import'!$B$1:$B$600,'QB Import'!$H$1:$H$600,$C83,'QB Import'!$G$1:$G$600,1)</f>
        <v>15000</v>
      </c>
      <c r="H83" s="11" t="n">
        <f aca="false">IF($E83="Manual",L83,IF($E83="Flat",G83,IF($E83="Inflation",G83*(1+Inputs!D$12),IF($E83="Salary",G83*(1+Inputs!D$10),IF($E83="Benefits",G83*(1+Inputs!D$11),IF($E83="Per Student",G83*H$4/G$4*(1+Inputs!D$12),IF($E83="Enrollment",G83*H$4/G$4,IF($E83="Tuition Index",G83*H$5/G$5,IF($E83="% of Salaries",IF($G$6=0,0,$G83/$G$6*H$6),IF($E83="Debt",$G83*Inputs!D$15/12,IF($E83="Reserve Yield",Inputs!D$13*Inputs!D$16,G83)))))))))))</f>
        <v>15450</v>
      </c>
      <c r="I83" s="11" t="n">
        <f aca="false">IF($E83="Manual",M83,IF($E83="Flat",H83,IF($E83="Inflation",H83*(1+Inputs!E$12),IF($E83="Salary",H83*(1+Inputs!E$10),IF($E83="Benefits",H83*(1+Inputs!E$11),IF($E83="Per Student",H83*I$4/H$4*(1+Inputs!E$12),IF($E83="Enrollment",H83*I$4/H$4,IF($E83="Tuition Index",H83*I$5/H$5,IF($E83="% of Salaries",IF($G$6=0,0,$G83/$G$6*I$6),IF($E83="Debt",$G83*Inputs!E$15/12,IF($E83="Reserve Yield",Inputs!E$13*Inputs!E$16,H83)))))))))))</f>
        <v>15913.5</v>
      </c>
      <c r="J83" s="11" t="n">
        <f aca="false">IF($E83="Manual",N83,IF($E83="Flat",I83,IF($E83="Inflation",I83*(1+Inputs!F$12),IF($E83="Salary",I83*(1+Inputs!F$10),IF($E83="Benefits",I83*(1+Inputs!F$11),IF($E83="Per Student",I83*J$4/I$4*(1+Inputs!F$12),IF($E83="Enrollment",I83*J$4/I$4,IF($E83="Tuition Index",I83*J$5/I$5,IF($E83="% of Salaries",IF($G$6=0,0,$G83/$G$6*J$6),IF($E83="Debt",$G83*Inputs!F$15/12,IF($E83="Reserve Yield",Inputs!F$13*Inputs!F$16,I83)))))))))))</f>
        <v>16390.905</v>
      </c>
      <c r="K83" s="11" t="n">
        <f aca="false">IF($E83="Manual",O83,IF($E83="Flat",J83,IF($E83="Inflation",J83*(1+Inputs!G$12),IF($E83="Salary",J83*(1+Inputs!G$10),IF($E83="Benefits",J83*(1+Inputs!G$11),IF($E83="Per Student",J83*K$4/J$4*(1+Inputs!G$12),IF($E83="Enrollment",J83*K$4/J$4,IF($E83="Tuition Index",J83*K$5/J$5,IF($E83="% of Salaries",IF($G$6=0,0,$G83/$G$6*K$6),IF($E83="Debt",$G83*Inputs!G$15/12,IF($E83="Reserve Yield",Inputs!G$13*Inputs!G$16,J83)))))))))))</f>
        <v>16882.63215</v>
      </c>
      <c r="L83" s="22"/>
      <c r="M83" s="22"/>
      <c r="N83" s="22"/>
      <c r="O83" s="22"/>
    </row>
    <row r="84" customFormat="false" ht="15" hidden="false" customHeight="false" outlineLevel="0" collapsed="false">
      <c r="A84" s="6" t="s">
        <v>281</v>
      </c>
      <c r="B84" s="6" t="s">
        <v>15</v>
      </c>
      <c r="C84" s="30" t="s">
        <v>330</v>
      </c>
      <c r="D84" s="6" t="s">
        <v>331</v>
      </c>
      <c r="E84" s="20" t="s">
        <v>316</v>
      </c>
      <c r="F84" s="20" t="s">
        <v>132</v>
      </c>
      <c r="G84" s="31" t="n">
        <f aca="false">SUMIFS('QB Import'!$B$1:$B$600,'QB Import'!$H$1:$H$600,$C84,'QB Import'!$G$1:$G$600,1)</f>
        <v>5000</v>
      </c>
      <c r="H84" s="11" t="n">
        <f aca="false">IF($E84="Manual",L84,IF($E84="Flat",G84,IF($E84="Inflation",G84*(1+Inputs!D$12),IF($E84="Salary",G84*(1+Inputs!D$10),IF($E84="Benefits",G84*(1+Inputs!D$11),IF($E84="Per Student",G84*H$4/G$4*(1+Inputs!D$12),IF($E84="Enrollment",G84*H$4/G$4,IF($E84="Tuition Index",G84*H$5/G$5,IF($E84="% of Salaries",IF($G$6=0,0,$G84/$G$6*H$6),IF($E84="Debt",$G84*Inputs!D$15/12,IF($E84="Reserve Yield",Inputs!D$13*Inputs!D$16,G84)))))))))))</f>
        <v>5150</v>
      </c>
      <c r="I84" s="11" t="n">
        <f aca="false">IF($E84="Manual",M84,IF($E84="Flat",H84,IF($E84="Inflation",H84*(1+Inputs!E$12),IF($E84="Salary",H84*(1+Inputs!E$10),IF($E84="Benefits",H84*(1+Inputs!E$11),IF($E84="Per Student",H84*I$4/H$4*(1+Inputs!E$12),IF($E84="Enrollment",H84*I$4/H$4,IF($E84="Tuition Index",H84*I$5/H$5,IF($E84="% of Salaries",IF($G$6=0,0,$G84/$G$6*I$6),IF($E84="Debt",$G84*Inputs!E$15/12,IF($E84="Reserve Yield",Inputs!E$13*Inputs!E$16,H84)))))))))))</f>
        <v>5304.5</v>
      </c>
      <c r="J84" s="11" t="n">
        <f aca="false">IF($E84="Manual",N84,IF($E84="Flat",I84,IF($E84="Inflation",I84*(1+Inputs!F$12),IF($E84="Salary",I84*(1+Inputs!F$10),IF($E84="Benefits",I84*(1+Inputs!F$11),IF($E84="Per Student",I84*J$4/I$4*(1+Inputs!F$12),IF($E84="Enrollment",I84*J$4/I$4,IF($E84="Tuition Index",I84*J$5/I$5,IF($E84="% of Salaries",IF($G$6=0,0,$G84/$G$6*J$6),IF($E84="Debt",$G84*Inputs!F$15/12,IF($E84="Reserve Yield",Inputs!F$13*Inputs!F$16,I84)))))))))))</f>
        <v>5463.635</v>
      </c>
      <c r="K84" s="11" t="n">
        <f aca="false">IF($E84="Manual",O84,IF($E84="Flat",J84,IF($E84="Inflation",J84*(1+Inputs!G$12),IF($E84="Salary",J84*(1+Inputs!G$10),IF($E84="Benefits",J84*(1+Inputs!G$11),IF($E84="Per Student",J84*K$4/J$4*(1+Inputs!G$12),IF($E84="Enrollment",J84*K$4/J$4,IF($E84="Tuition Index",J84*K$5/J$5,IF($E84="% of Salaries",IF($G$6=0,0,$G84/$G$6*K$6),IF($E84="Debt",$G84*Inputs!G$15/12,IF($E84="Reserve Yield",Inputs!G$13*Inputs!G$16,J84)))))))))))</f>
        <v>5627.54405</v>
      </c>
      <c r="L84" s="22"/>
      <c r="M84" s="22"/>
      <c r="N84" s="22"/>
      <c r="O84" s="22"/>
    </row>
    <row r="85" customFormat="false" ht="15" hidden="false" customHeight="false" outlineLevel="0" collapsed="false">
      <c r="A85" s="6" t="s">
        <v>281</v>
      </c>
      <c r="B85" s="6" t="s">
        <v>15</v>
      </c>
      <c r="C85" s="30" t="s">
        <v>332</v>
      </c>
      <c r="D85" s="6" t="s">
        <v>333</v>
      </c>
      <c r="E85" s="20" t="s">
        <v>186</v>
      </c>
      <c r="F85" s="20" t="s">
        <v>132</v>
      </c>
      <c r="G85" s="31" t="n">
        <f aca="false">SUMIFS('QB Import'!$B$1:$B$600,'QB Import'!$H$1:$H$600,$C85,'QB Import'!$G$1:$G$600,1)</f>
        <v>0</v>
      </c>
      <c r="H85" s="11" t="n">
        <f aca="false">IF($E85="Manual",L85,IF($E85="Flat",G85,IF($E85="Inflation",G85*(1+Inputs!D$12),IF($E85="Salary",G85*(1+Inputs!D$10),IF($E85="Benefits",G85*(1+Inputs!D$11),IF($E85="Per Student",G85*H$4/G$4*(1+Inputs!D$12),IF($E85="Enrollment",G85*H$4/G$4,IF($E85="Tuition Index",G85*H$5/G$5,IF($E85="% of Salaries",IF($G$6=0,0,$G85/$G$6*H$6),IF($E85="Debt",$G85*Inputs!D$15/12,IF($E85="Reserve Yield",Inputs!D$13*Inputs!D$16,G85)))))))))))</f>
        <v>0</v>
      </c>
      <c r="I85" s="11" t="n">
        <f aca="false">IF($E85="Manual",M85,IF($E85="Flat",H85,IF($E85="Inflation",H85*(1+Inputs!E$12),IF($E85="Salary",H85*(1+Inputs!E$10),IF($E85="Benefits",H85*(1+Inputs!E$11),IF($E85="Per Student",H85*I$4/H$4*(1+Inputs!E$12),IF($E85="Enrollment",H85*I$4/H$4,IF($E85="Tuition Index",H85*I$5/H$5,IF($E85="% of Salaries",IF($G$6=0,0,$G85/$G$6*I$6),IF($E85="Debt",$G85*Inputs!E$15/12,IF($E85="Reserve Yield",Inputs!E$13*Inputs!E$16,H85)))))))))))</f>
        <v>0</v>
      </c>
      <c r="J85" s="11" t="n">
        <f aca="false">IF($E85="Manual",N85,IF($E85="Flat",I85,IF($E85="Inflation",I85*(1+Inputs!F$12),IF($E85="Salary",I85*(1+Inputs!F$10),IF($E85="Benefits",I85*(1+Inputs!F$11),IF($E85="Per Student",I85*J$4/I$4*(1+Inputs!F$12),IF($E85="Enrollment",I85*J$4/I$4,IF($E85="Tuition Index",I85*J$5/I$5,IF($E85="% of Salaries",IF($G$6=0,0,$G85/$G$6*J$6),IF($E85="Debt",$G85*Inputs!F$15/12,IF($E85="Reserve Yield",Inputs!F$13*Inputs!F$16,I85)))))))))))</f>
        <v>0</v>
      </c>
      <c r="K85" s="11" t="n">
        <f aca="false">IF($E85="Manual",O85,IF($E85="Flat",J85,IF($E85="Inflation",J85*(1+Inputs!G$12),IF($E85="Salary",J85*(1+Inputs!G$10),IF($E85="Benefits",J85*(1+Inputs!G$11),IF($E85="Per Student",J85*K$4/J$4*(1+Inputs!G$12),IF($E85="Enrollment",J85*K$4/J$4,IF($E85="Tuition Index",J85*K$5/J$5,IF($E85="% of Salaries",IF($G$6=0,0,$G85/$G$6*K$6),IF($E85="Debt",$G85*Inputs!G$15/12,IF($E85="Reserve Yield",Inputs!G$13*Inputs!G$16,J85)))))))))))</f>
        <v>0</v>
      </c>
      <c r="L85" s="22"/>
      <c r="M85" s="22"/>
      <c r="N85" s="22"/>
      <c r="O85" s="22"/>
    </row>
    <row r="86" customFormat="false" ht="15" hidden="false" customHeight="false" outlineLevel="0" collapsed="false">
      <c r="A86" s="6" t="s">
        <v>281</v>
      </c>
      <c r="B86" s="6" t="s">
        <v>15</v>
      </c>
      <c r="C86" s="30" t="s">
        <v>334</v>
      </c>
      <c r="D86" s="6" t="s">
        <v>335</v>
      </c>
      <c r="E86" s="20" t="s">
        <v>316</v>
      </c>
      <c r="F86" s="20" t="s">
        <v>132</v>
      </c>
      <c r="G86" s="31" t="n">
        <f aca="false">SUMIFS('QB Import'!$B$1:$B$600,'QB Import'!$H$1:$H$600,$C86,'QB Import'!$G$1:$G$600,1)</f>
        <v>1000</v>
      </c>
      <c r="H86" s="11" t="n">
        <f aca="false">IF($E86="Manual",L86,IF($E86="Flat",G86,IF($E86="Inflation",G86*(1+Inputs!D$12),IF($E86="Salary",G86*(1+Inputs!D$10),IF($E86="Benefits",G86*(1+Inputs!D$11),IF($E86="Per Student",G86*H$4/G$4*(1+Inputs!D$12),IF($E86="Enrollment",G86*H$4/G$4,IF($E86="Tuition Index",G86*H$5/G$5,IF($E86="% of Salaries",IF($G$6=0,0,$G86/$G$6*H$6),IF($E86="Debt",$G86*Inputs!D$15/12,IF($E86="Reserve Yield",Inputs!D$13*Inputs!D$16,G86)))))))))))</f>
        <v>1030</v>
      </c>
      <c r="I86" s="11" t="n">
        <f aca="false">IF($E86="Manual",M86,IF($E86="Flat",H86,IF($E86="Inflation",H86*(1+Inputs!E$12),IF($E86="Salary",H86*(1+Inputs!E$10),IF($E86="Benefits",H86*(1+Inputs!E$11),IF($E86="Per Student",H86*I$4/H$4*(1+Inputs!E$12),IF($E86="Enrollment",H86*I$4/H$4,IF($E86="Tuition Index",H86*I$5/H$5,IF($E86="% of Salaries",IF($G$6=0,0,$G86/$G$6*I$6),IF($E86="Debt",$G86*Inputs!E$15/12,IF($E86="Reserve Yield",Inputs!E$13*Inputs!E$16,H86)))))))))))</f>
        <v>1060.9</v>
      </c>
      <c r="J86" s="11" t="n">
        <f aca="false">IF($E86="Manual",N86,IF($E86="Flat",I86,IF($E86="Inflation",I86*(1+Inputs!F$12),IF($E86="Salary",I86*(1+Inputs!F$10),IF($E86="Benefits",I86*(1+Inputs!F$11),IF($E86="Per Student",I86*J$4/I$4*(1+Inputs!F$12),IF($E86="Enrollment",I86*J$4/I$4,IF($E86="Tuition Index",I86*J$5/I$5,IF($E86="% of Salaries",IF($G$6=0,0,$G86/$G$6*J$6),IF($E86="Debt",$G86*Inputs!F$15/12,IF($E86="Reserve Yield",Inputs!F$13*Inputs!F$16,I86)))))))))))</f>
        <v>1092.727</v>
      </c>
      <c r="K86" s="11" t="n">
        <f aca="false">IF($E86="Manual",O86,IF($E86="Flat",J86,IF($E86="Inflation",J86*(1+Inputs!G$12),IF($E86="Salary",J86*(1+Inputs!G$10),IF($E86="Benefits",J86*(1+Inputs!G$11),IF($E86="Per Student",J86*K$4/J$4*(1+Inputs!G$12),IF($E86="Enrollment",J86*K$4/J$4,IF($E86="Tuition Index",J86*K$5/J$5,IF($E86="% of Salaries",IF($G$6=0,0,$G86/$G$6*K$6),IF($E86="Debt",$G86*Inputs!G$15/12,IF($E86="Reserve Yield",Inputs!G$13*Inputs!G$16,J86)))))))))))</f>
        <v>1125.50881</v>
      </c>
      <c r="L86" s="22"/>
      <c r="M86" s="22"/>
      <c r="N86" s="22"/>
      <c r="O86" s="22"/>
    </row>
    <row r="87" customFormat="false" ht="15" hidden="false" customHeight="false" outlineLevel="0" collapsed="false">
      <c r="A87" s="6" t="s">
        <v>281</v>
      </c>
      <c r="B87" s="6" t="s">
        <v>15</v>
      </c>
      <c r="C87" s="30" t="s">
        <v>336</v>
      </c>
      <c r="D87" s="6" t="s">
        <v>336</v>
      </c>
      <c r="E87" s="20" t="s">
        <v>316</v>
      </c>
      <c r="F87" s="20" t="s">
        <v>132</v>
      </c>
      <c r="G87" s="31" t="n">
        <f aca="false">SUMIFS('QB Import'!$B$1:$B$600,'QB Import'!$H$1:$H$600,$C87,'QB Import'!$G$1:$G$600,1)</f>
        <v>55950</v>
      </c>
      <c r="H87" s="11" t="n">
        <f aca="false">IF($E87="Manual",L87,IF($E87="Flat",G87,IF($E87="Inflation",G87*(1+Inputs!D$12),IF($E87="Salary",G87*(1+Inputs!D$10),IF($E87="Benefits",G87*(1+Inputs!D$11),IF($E87="Per Student",G87*H$4/G$4*(1+Inputs!D$12),IF($E87="Enrollment",G87*H$4/G$4,IF($E87="Tuition Index",G87*H$5/G$5,IF($E87="% of Salaries",IF($G$6=0,0,$G87/$G$6*H$6),IF($E87="Debt",$G87*Inputs!D$15/12,IF($E87="Reserve Yield",Inputs!D$13*Inputs!D$16,G87)))))))))))</f>
        <v>57628.5</v>
      </c>
      <c r="I87" s="11" t="n">
        <f aca="false">IF($E87="Manual",M87,IF($E87="Flat",H87,IF($E87="Inflation",H87*(1+Inputs!E$12),IF($E87="Salary",H87*(1+Inputs!E$10),IF($E87="Benefits",H87*(1+Inputs!E$11),IF($E87="Per Student",H87*I$4/H$4*(1+Inputs!E$12),IF($E87="Enrollment",H87*I$4/H$4,IF($E87="Tuition Index",H87*I$5/H$5,IF($E87="% of Salaries",IF($G$6=0,0,$G87/$G$6*I$6),IF($E87="Debt",$G87*Inputs!E$15/12,IF($E87="Reserve Yield",Inputs!E$13*Inputs!E$16,H87)))))))))))</f>
        <v>59357.355</v>
      </c>
      <c r="J87" s="11" t="n">
        <f aca="false">IF($E87="Manual",N87,IF($E87="Flat",I87,IF($E87="Inflation",I87*(1+Inputs!F$12),IF($E87="Salary",I87*(1+Inputs!F$10),IF($E87="Benefits",I87*(1+Inputs!F$11),IF($E87="Per Student",I87*J$4/I$4*(1+Inputs!F$12),IF($E87="Enrollment",I87*J$4/I$4,IF($E87="Tuition Index",I87*J$5/I$5,IF($E87="% of Salaries",IF($G$6=0,0,$G87/$G$6*J$6),IF($E87="Debt",$G87*Inputs!F$15/12,IF($E87="Reserve Yield",Inputs!F$13*Inputs!F$16,I87)))))))))))</f>
        <v>61138.07565</v>
      </c>
      <c r="K87" s="11" t="n">
        <f aca="false">IF($E87="Manual",O87,IF($E87="Flat",J87,IF($E87="Inflation",J87*(1+Inputs!G$12),IF($E87="Salary",J87*(1+Inputs!G$10),IF($E87="Benefits",J87*(1+Inputs!G$11),IF($E87="Per Student",J87*K$4/J$4*(1+Inputs!G$12),IF($E87="Enrollment",J87*K$4/J$4,IF($E87="Tuition Index",J87*K$5/J$5,IF($E87="% of Salaries",IF($G$6=0,0,$G87/$G$6*K$6),IF($E87="Debt",$G87*Inputs!G$15/12,IF($E87="Reserve Yield",Inputs!G$13*Inputs!G$16,J87)))))))))))</f>
        <v>62972.2179195</v>
      </c>
      <c r="L87" s="22"/>
      <c r="M87" s="22"/>
      <c r="N87" s="22"/>
      <c r="O87" s="22"/>
    </row>
    <row r="88" customFormat="false" ht="15" hidden="false" customHeight="false" outlineLevel="0" collapsed="false">
      <c r="A88" s="6" t="s">
        <v>281</v>
      </c>
      <c r="B88" s="6" t="s">
        <v>15</v>
      </c>
      <c r="C88" s="30" t="s">
        <v>337</v>
      </c>
      <c r="D88" s="6" t="s">
        <v>338</v>
      </c>
      <c r="E88" s="20" t="s">
        <v>316</v>
      </c>
      <c r="F88" s="20" t="s">
        <v>132</v>
      </c>
      <c r="G88" s="31" t="n">
        <f aca="false">SUMIFS('QB Import'!$B$1:$B$600,'QB Import'!$H$1:$H$600,$C88,'QB Import'!$G$1:$G$600,1)</f>
        <v>35000</v>
      </c>
      <c r="H88" s="11" t="n">
        <f aca="false">IF($E88="Manual",L88,IF($E88="Flat",G88,IF($E88="Inflation",G88*(1+Inputs!D$12),IF($E88="Salary",G88*(1+Inputs!D$10),IF($E88="Benefits",G88*(1+Inputs!D$11),IF($E88="Per Student",G88*H$4/G$4*(1+Inputs!D$12),IF($E88="Enrollment",G88*H$4/G$4,IF($E88="Tuition Index",G88*H$5/G$5,IF($E88="% of Salaries",IF($G$6=0,0,$G88/$G$6*H$6),IF($E88="Debt",$G88*Inputs!D$15/12,IF($E88="Reserve Yield",Inputs!D$13*Inputs!D$16,G88)))))))))))</f>
        <v>36050</v>
      </c>
      <c r="I88" s="11" t="n">
        <f aca="false">IF($E88="Manual",M88,IF($E88="Flat",H88,IF($E88="Inflation",H88*(1+Inputs!E$12),IF($E88="Salary",H88*(1+Inputs!E$10),IF($E88="Benefits",H88*(1+Inputs!E$11),IF($E88="Per Student",H88*I$4/H$4*(1+Inputs!E$12),IF($E88="Enrollment",H88*I$4/H$4,IF($E88="Tuition Index",H88*I$5/H$5,IF($E88="% of Salaries",IF($G$6=0,0,$G88/$G$6*I$6),IF($E88="Debt",$G88*Inputs!E$15/12,IF($E88="Reserve Yield",Inputs!E$13*Inputs!E$16,H88)))))))))))</f>
        <v>37131.5</v>
      </c>
      <c r="J88" s="11" t="n">
        <f aca="false">IF($E88="Manual",N88,IF($E88="Flat",I88,IF($E88="Inflation",I88*(1+Inputs!F$12),IF($E88="Salary",I88*(1+Inputs!F$10),IF($E88="Benefits",I88*(1+Inputs!F$11),IF($E88="Per Student",I88*J$4/I$4*(1+Inputs!F$12),IF($E88="Enrollment",I88*J$4/I$4,IF($E88="Tuition Index",I88*J$5/I$5,IF($E88="% of Salaries",IF($G$6=0,0,$G88/$G$6*J$6),IF($E88="Debt",$G88*Inputs!F$15/12,IF($E88="Reserve Yield",Inputs!F$13*Inputs!F$16,I88)))))))))))</f>
        <v>38245.445</v>
      </c>
      <c r="K88" s="11" t="n">
        <f aca="false">IF($E88="Manual",O88,IF($E88="Flat",J88,IF($E88="Inflation",J88*(1+Inputs!G$12),IF($E88="Salary",J88*(1+Inputs!G$10),IF($E88="Benefits",J88*(1+Inputs!G$11),IF($E88="Per Student",J88*K$4/J$4*(1+Inputs!G$12),IF($E88="Enrollment",J88*K$4/J$4,IF($E88="Tuition Index",J88*K$5/J$5,IF($E88="% of Salaries",IF($G$6=0,0,$G88/$G$6*K$6),IF($E88="Debt",$G88*Inputs!G$15/12,IF($E88="Reserve Yield",Inputs!G$13*Inputs!G$16,J88)))))))))))</f>
        <v>39392.80835</v>
      </c>
      <c r="L88" s="22"/>
      <c r="M88" s="22"/>
      <c r="N88" s="22"/>
      <c r="O88" s="22"/>
    </row>
    <row r="89" customFormat="false" ht="15" hidden="false" customHeight="false" outlineLevel="0" collapsed="false">
      <c r="A89" s="6" t="s">
        <v>281</v>
      </c>
      <c r="B89" s="6" t="s">
        <v>15</v>
      </c>
      <c r="C89" s="30" t="s">
        <v>339</v>
      </c>
      <c r="D89" s="6" t="s">
        <v>340</v>
      </c>
      <c r="E89" s="20" t="s">
        <v>316</v>
      </c>
      <c r="F89" s="20" t="s">
        <v>132</v>
      </c>
      <c r="G89" s="31" t="n">
        <f aca="false">SUMIFS('QB Import'!$B$1:$B$600,'QB Import'!$H$1:$H$600,$C89,'QB Import'!$G$1:$G$600,1)</f>
        <v>1800</v>
      </c>
      <c r="H89" s="11" t="n">
        <f aca="false">IF($E89="Manual",L89,IF($E89="Flat",G89,IF($E89="Inflation",G89*(1+Inputs!D$12),IF($E89="Salary",G89*(1+Inputs!D$10),IF($E89="Benefits",G89*(1+Inputs!D$11),IF($E89="Per Student",G89*H$4/G$4*(1+Inputs!D$12),IF($E89="Enrollment",G89*H$4/G$4,IF($E89="Tuition Index",G89*H$5/G$5,IF($E89="% of Salaries",IF($G$6=0,0,$G89/$G$6*H$6),IF($E89="Debt",$G89*Inputs!D$15/12,IF($E89="Reserve Yield",Inputs!D$13*Inputs!D$16,G89)))))))))))</f>
        <v>1854</v>
      </c>
      <c r="I89" s="11" t="n">
        <f aca="false">IF($E89="Manual",M89,IF($E89="Flat",H89,IF($E89="Inflation",H89*(1+Inputs!E$12),IF($E89="Salary",H89*(1+Inputs!E$10),IF($E89="Benefits",H89*(1+Inputs!E$11),IF($E89="Per Student",H89*I$4/H$4*(1+Inputs!E$12),IF($E89="Enrollment",H89*I$4/H$4,IF($E89="Tuition Index",H89*I$5/H$5,IF($E89="% of Salaries",IF($G$6=0,0,$G89/$G$6*I$6),IF($E89="Debt",$G89*Inputs!E$15/12,IF($E89="Reserve Yield",Inputs!E$13*Inputs!E$16,H89)))))))))))</f>
        <v>1909.62</v>
      </c>
      <c r="J89" s="11" t="n">
        <f aca="false">IF($E89="Manual",N89,IF($E89="Flat",I89,IF($E89="Inflation",I89*(1+Inputs!F$12),IF($E89="Salary",I89*(1+Inputs!F$10),IF($E89="Benefits",I89*(1+Inputs!F$11),IF($E89="Per Student",I89*J$4/I$4*(1+Inputs!F$12),IF($E89="Enrollment",I89*J$4/I$4,IF($E89="Tuition Index",I89*J$5/I$5,IF($E89="% of Salaries",IF($G$6=0,0,$G89/$G$6*J$6),IF($E89="Debt",$G89*Inputs!F$15/12,IF($E89="Reserve Yield",Inputs!F$13*Inputs!F$16,I89)))))))))))</f>
        <v>1966.9086</v>
      </c>
      <c r="K89" s="11" t="n">
        <f aca="false">IF($E89="Manual",O89,IF($E89="Flat",J89,IF($E89="Inflation",J89*(1+Inputs!G$12),IF($E89="Salary",J89*(1+Inputs!G$10),IF($E89="Benefits",J89*(1+Inputs!G$11),IF($E89="Per Student",J89*K$4/J$4*(1+Inputs!G$12),IF($E89="Enrollment",J89*K$4/J$4,IF($E89="Tuition Index",J89*K$5/J$5,IF($E89="% of Salaries",IF($G$6=0,0,$G89/$G$6*K$6),IF($E89="Debt",$G89*Inputs!G$15/12,IF($E89="Reserve Yield",Inputs!G$13*Inputs!G$16,J89)))))))))))</f>
        <v>2025.915858</v>
      </c>
      <c r="L89" s="22"/>
      <c r="M89" s="22"/>
      <c r="N89" s="22"/>
      <c r="O89" s="22"/>
    </row>
    <row r="90" customFormat="false" ht="15" hidden="false" customHeight="false" outlineLevel="0" collapsed="false">
      <c r="A90" s="6" t="s">
        <v>281</v>
      </c>
      <c r="B90" s="6" t="s">
        <v>15</v>
      </c>
      <c r="C90" s="30" t="s">
        <v>341</v>
      </c>
      <c r="D90" s="6" t="s">
        <v>342</v>
      </c>
      <c r="E90" s="20" t="s">
        <v>316</v>
      </c>
      <c r="F90" s="20" t="s">
        <v>132</v>
      </c>
      <c r="G90" s="31" t="n">
        <f aca="false">SUMIFS('QB Import'!$B$1:$B$600,'QB Import'!$H$1:$H$600,$C90,'QB Import'!$G$1:$G$600,1)</f>
        <v>300</v>
      </c>
      <c r="H90" s="11" t="n">
        <f aca="false">IF($E90="Manual",L90,IF($E90="Flat",G90,IF($E90="Inflation",G90*(1+Inputs!D$12),IF($E90="Salary",G90*(1+Inputs!D$10),IF($E90="Benefits",G90*(1+Inputs!D$11),IF($E90="Per Student",G90*H$4/G$4*(1+Inputs!D$12),IF($E90="Enrollment",G90*H$4/G$4,IF($E90="Tuition Index",G90*H$5/G$5,IF($E90="% of Salaries",IF($G$6=0,0,$G90/$G$6*H$6),IF($E90="Debt",$G90*Inputs!D$15/12,IF($E90="Reserve Yield",Inputs!D$13*Inputs!D$16,G90)))))))))))</f>
        <v>309</v>
      </c>
      <c r="I90" s="11" t="n">
        <f aca="false">IF($E90="Manual",M90,IF($E90="Flat",H90,IF($E90="Inflation",H90*(1+Inputs!E$12),IF($E90="Salary",H90*(1+Inputs!E$10),IF($E90="Benefits",H90*(1+Inputs!E$11),IF($E90="Per Student",H90*I$4/H$4*(1+Inputs!E$12),IF($E90="Enrollment",H90*I$4/H$4,IF($E90="Tuition Index",H90*I$5/H$5,IF($E90="% of Salaries",IF($G$6=0,0,$G90/$G$6*I$6),IF($E90="Debt",$G90*Inputs!E$15/12,IF($E90="Reserve Yield",Inputs!E$13*Inputs!E$16,H90)))))))))))</f>
        <v>318.27</v>
      </c>
      <c r="J90" s="11" t="n">
        <f aca="false">IF($E90="Manual",N90,IF($E90="Flat",I90,IF($E90="Inflation",I90*(1+Inputs!F$12),IF($E90="Salary",I90*(1+Inputs!F$10),IF($E90="Benefits",I90*(1+Inputs!F$11),IF($E90="Per Student",I90*J$4/I$4*(1+Inputs!F$12),IF($E90="Enrollment",I90*J$4/I$4,IF($E90="Tuition Index",I90*J$5/I$5,IF($E90="% of Salaries",IF($G$6=0,0,$G90/$G$6*J$6),IF($E90="Debt",$G90*Inputs!F$15/12,IF($E90="Reserve Yield",Inputs!F$13*Inputs!F$16,I90)))))))))))</f>
        <v>327.8181</v>
      </c>
      <c r="K90" s="11" t="n">
        <f aca="false">IF($E90="Manual",O90,IF($E90="Flat",J90,IF($E90="Inflation",J90*(1+Inputs!G$12),IF($E90="Salary",J90*(1+Inputs!G$10),IF($E90="Benefits",J90*(1+Inputs!G$11),IF($E90="Per Student",J90*K$4/J$4*(1+Inputs!G$12),IF($E90="Enrollment",J90*K$4/J$4,IF($E90="Tuition Index",J90*K$5/J$5,IF($E90="% of Salaries",IF($G$6=0,0,$G90/$G$6*K$6),IF($E90="Debt",$G90*Inputs!G$15/12,IF($E90="Reserve Yield",Inputs!G$13*Inputs!G$16,J90)))))))))))</f>
        <v>337.652643</v>
      </c>
      <c r="L90" s="22"/>
      <c r="M90" s="22"/>
      <c r="N90" s="22"/>
      <c r="O90" s="22"/>
    </row>
    <row r="91" customFormat="false" ht="15" hidden="false" customHeight="false" outlineLevel="0" collapsed="false">
      <c r="A91" s="6" t="s">
        <v>281</v>
      </c>
      <c r="B91" s="6" t="s">
        <v>15</v>
      </c>
      <c r="C91" s="30" t="s">
        <v>343</v>
      </c>
      <c r="D91" s="6" t="s">
        <v>344</v>
      </c>
      <c r="E91" s="20" t="s">
        <v>186</v>
      </c>
      <c r="F91" s="20" t="s">
        <v>132</v>
      </c>
      <c r="G91" s="31" t="n">
        <f aca="false">SUMIFS('QB Import'!$B$1:$B$600,'QB Import'!$H$1:$H$600,$C91,'QB Import'!$G$1:$G$600,1)</f>
        <v>0</v>
      </c>
      <c r="H91" s="11" t="n">
        <f aca="false">IF($E91="Manual",L91,IF($E91="Flat",G91,IF($E91="Inflation",G91*(1+Inputs!D$12),IF($E91="Salary",G91*(1+Inputs!D$10),IF($E91="Benefits",G91*(1+Inputs!D$11),IF($E91="Per Student",G91*H$4/G$4*(1+Inputs!D$12),IF($E91="Enrollment",G91*H$4/G$4,IF($E91="Tuition Index",G91*H$5/G$5,IF($E91="% of Salaries",IF($G$6=0,0,$G91/$G$6*H$6),IF($E91="Debt",$G91*Inputs!D$15/12,IF($E91="Reserve Yield",Inputs!D$13*Inputs!D$16,G91)))))))))))</f>
        <v>0</v>
      </c>
      <c r="I91" s="11" t="n">
        <f aca="false">IF($E91="Manual",M91,IF($E91="Flat",H91,IF($E91="Inflation",H91*(1+Inputs!E$12),IF($E91="Salary",H91*(1+Inputs!E$10),IF($E91="Benefits",H91*(1+Inputs!E$11),IF($E91="Per Student",H91*I$4/H$4*(1+Inputs!E$12),IF($E91="Enrollment",H91*I$4/H$4,IF($E91="Tuition Index",H91*I$5/H$5,IF($E91="% of Salaries",IF($G$6=0,0,$G91/$G$6*I$6),IF($E91="Debt",$G91*Inputs!E$15/12,IF($E91="Reserve Yield",Inputs!E$13*Inputs!E$16,H91)))))))))))</f>
        <v>0</v>
      </c>
      <c r="J91" s="11" t="n">
        <f aca="false">IF($E91="Manual",N91,IF($E91="Flat",I91,IF($E91="Inflation",I91*(1+Inputs!F$12),IF($E91="Salary",I91*(1+Inputs!F$10),IF($E91="Benefits",I91*(1+Inputs!F$11),IF($E91="Per Student",I91*J$4/I$4*(1+Inputs!F$12),IF($E91="Enrollment",I91*J$4/I$4,IF($E91="Tuition Index",I91*J$5/I$5,IF($E91="% of Salaries",IF($G$6=0,0,$G91/$G$6*J$6),IF($E91="Debt",$G91*Inputs!F$15/12,IF($E91="Reserve Yield",Inputs!F$13*Inputs!F$16,I91)))))))))))</f>
        <v>0</v>
      </c>
      <c r="K91" s="11" t="n">
        <f aca="false">IF($E91="Manual",O91,IF($E91="Flat",J91,IF($E91="Inflation",J91*(1+Inputs!G$12),IF($E91="Salary",J91*(1+Inputs!G$10),IF($E91="Benefits",J91*(1+Inputs!G$11),IF($E91="Per Student",J91*K$4/J$4*(1+Inputs!G$12),IF($E91="Enrollment",J91*K$4/J$4,IF($E91="Tuition Index",J91*K$5/J$5,IF($E91="% of Salaries",IF($G$6=0,0,$G91/$G$6*K$6),IF($E91="Debt",$G91*Inputs!G$15/12,IF($E91="Reserve Yield",Inputs!G$13*Inputs!G$16,J91)))))))))))</f>
        <v>0</v>
      </c>
      <c r="L91" s="22"/>
      <c r="M91" s="22"/>
      <c r="N91" s="22"/>
      <c r="O91" s="22"/>
    </row>
    <row r="92" customFormat="false" ht="15" hidden="false" customHeight="false" outlineLevel="0" collapsed="false">
      <c r="A92" s="6" t="s">
        <v>281</v>
      </c>
      <c r="B92" s="6" t="s">
        <v>15</v>
      </c>
      <c r="C92" s="30" t="s">
        <v>345</v>
      </c>
      <c r="D92" s="6" t="s">
        <v>346</v>
      </c>
      <c r="E92" s="20" t="s">
        <v>316</v>
      </c>
      <c r="F92" s="20" t="s">
        <v>132</v>
      </c>
      <c r="G92" s="31" t="n">
        <f aca="false">SUMIFS('QB Import'!$B$1:$B$600,'QB Import'!$H$1:$H$600,$C92,'QB Import'!$G$1:$G$600,1)</f>
        <v>300</v>
      </c>
      <c r="H92" s="11" t="n">
        <f aca="false">IF($E92="Manual",L92,IF($E92="Flat",G92,IF($E92="Inflation",G92*(1+Inputs!D$12),IF($E92="Salary",G92*(1+Inputs!D$10),IF($E92="Benefits",G92*(1+Inputs!D$11),IF($E92="Per Student",G92*H$4/G$4*(1+Inputs!D$12),IF($E92="Enrollment",G92*H$4/G$4,IF($E92="Tuition Index",G92*H$5/G$5,IF($E92="% of Salaries",IF($G$6=0,0,$G92/$G$6*H$6),IF($E92="Debt",$G92*Inputs!D$15/12,IF($E92="Reserve Yield",Inputs!D$13*Inputs!D$16,G92)))))))))))</f>
        <v>309</v>
      </c>
      <c r="I92" s="11" t="n">
        <f aca="false">IF($E92="Manual",M92,IF($E92="Flat",H92,IF($E92="Inflation",H92*(1+Inputs!E$12),IF($E92="Salary",H92*(1+Inputs!E$10),IF($E92="Benefits",H92*(1+Inputs!E$11),IF($E92="Per Student",H92*I$4/H$4*(1+Inputs!E$12),IF($E92="Enrollment",H92*I$4/H$4,IF($E92="Tuition Index",H92*I$5/H$5,IF($E92="% of Salaries",IF($G$6=0,0,$G92/$G$6*I$6),IF($E92="Debt",$G92*Inputs!E$15/12,IF($E92="Reserve Yield",Inputs!E$13*Inputs!E$16,H92)))))))))))</f>
        <v>318.27</v>
      </c>
      <c r="J92" s="11" t="n">
        <f aca="false">IF($E92="Manual",N92,IF($E92="Flat",I92,IF($E92="Inflation",I92*(1+Inputs!F$12),IF($E92="Salary",I92*(1+Inputs!F$10),IF($E92="Benefits",I92*(1+Inputs!F$11),IF($E92="Per Student",I92*J$4/I$4*(1+Inputs!F$12),IF($E92="Enrollment",I92*J$4/I$4,IF($E92="Tuition Index",I92*J$5/I$5,IF($E92="% of Salaries",IF($G$6=0,0,$G92/$G$6*J$6),IF($E92="Debt",$G92*Inputs!F$15/12,IF($E92="Reserve Yield",Inputs!F$13*Inputs!F$16,I92)))))))))))</f>
        <v>327.8181</v>
      </c>
      <c r="K92" s="11" t="n">
        <f aca="false">IF($E92="Manual",O92,IF($E92="Flat",J92,IF($E92="Inflation",J92*(1+Inputs!G$12),IF($E92="Salary",J92*(1+Inputs!G$10),IF($E92="Benefits",J92*(1+Inputs!G$11),IF($E92="Per Student",J92*K$4/J$4*(1+Inputs!G$12),IF($E92="Enrollment",J92*K$4/J$4,IF($E92="Tuition Index",J92*K$5/J$5,IF($E92="% of Salaries",IF($G$6=0,0,$G92/$G$6*K$6),IF($E92="Debt",$G92*Inputs!G$15/12,IF($E92="Reserve Yield",Inputs!G$13*Inputs!G$16,J92)))))))))))</f>
        <v>337.652643</v>
      </c>
      <c r="L92" s="22"/>
      <c r="M92" s="22"/>
      <c r="N92" s="22"/>
      <c r="O92" s="22"/>
    </row>
    <row r="93" customFormat="false" ht="15" hidden="false" customHeight="false" outlineLevel="0" collapsed="false">
      <c r="A93" s="6" t="s">
        <v>281</v>
      </c>
      <c r="B93" s="6" t="s">
        <v>15</v>
      </c>
      <c r="C93" s="30" t="s">
        <v>347</v>
      </c>
      <c r="D93" s="6" t="s">
        <v>348</v>
      </c>
      <c r="E93" s="20" t="s">
        <v>316</v>
      </c>
      <c r="F93" s="20" t="s">
        <v>132</v>
      </c>
      <c r="G93" s="31" t="n">
        <f aca="false">SUMIFS('QB Import'!$B$1:$B$600,'QB Import'!$H$1:$H$600,$C93,'QB Import'!$G$1:$G$600,1)</f>
        <v>2000</v>
      </c>
      <c r="H93" s="11" t="n">
        <f aca="false">IF($E93="Manual",L93,IF($E93="Flat",G93,IF($E93="Inflation",G93*(1+Inputs!D$12),IF($E93="Salary",G93*(1+Inputs!D$10),IF($E93="Benefits",G93*(1+Inputs!D$11),IF($E93="Per Student",G93*H$4/G$4*(1+Inputs!D$12),IF($E93="Enrollment",G93*H$4/G$4,IF($E93="Tuition Index",G93*H$5/G$5,IF($E93="% of Salaries",IF($G$6=0,0,$G93/$G$6*H$6),IF($E93="Debt",$G93*Inputs!D$15/12,IF($E93="Reserve Yield",Inputs!D$13*Inputs!D$16,G93)))))))))))</f>
        <v>2060</v>
      </c>
      <c r="I93" s="11" t="n">
        <f aca="false">IF($E93="Manual",M93,IF($E93="Flat",H93,IF($E93="Inflation",H93*(1+Inputs!E$12),IF($E93="Salary",H93*(1+Inputs!E$10),IF($E93="Benefits",H93*(1+Inputs!E$11),IF($E93="Per Student",H93*I$4/H$4*(1+Inputs!E$12),IF($E93="Enrollment",H93*I$4/H$4,IF($E93="Tuition Index",H93*I$5/H$5,IF($E93="% of Salaries",IF($G$6=0,0,$G93/$G$6*I$6),IF($E93="Debt",$G93*Inputs!E$15/12,IF($E93="Reserve Yield",Inputs!E$13*Inputs!E$16,H93)))))))))))</f>
        <v>2121.8</v>
      </c>
      <c r="J93" s="11" t="n">
        <f aca="false">IF($E93="Manual",N93,IF($E93="Flat",I93,IF($E93="Inflation",I93*(1+Inputs!F$12),IF($E93="Salary",I93*(1+Inputs!F$10),IF($E93="Benefits",I93*(1+Inputs!F$11),IF($E93="Per Student",I93*J$4/I$4*(1+Inputs!F$12),IF($E93="Enrollment",I93*J$4/I$4,IF($E93="Tuition Index",I93*J$5/I$5,IF($E93="% of Salaries",IF($G$6=0,0,$G93/$G$6*J$6),IF($E93="Debt",$G93*Inputs!F$15/12,IF($E93="Reserve Yield",Inputs!F$13*Inputs!F$16,I93)))))))))))</f>
        <v>2185.454</v>
      </c>
      <c r="K93" s="11" t="n">
        <f aca="false">IF($E93="Manual",O93,IF($E93="Flat",J93,IF($E93="Inflation",J93*(1+Inputs!G$12),IF($E93="Salary",J93*(1+Inputs!G$10),IF($E93="Benefits",J93*(1+Inputs!G$11),IF($E93="Per Student",J93*K$4/J$4*(1+Inputs!G$12),IF($E93="Enrollment",J93*K$4/J$4,IF($E93="Tuition Index",J93*K$5/J$5,IF($E93="% of Salaries",IF($G$6=0,0,$G93/$G$6*K$6),IF($E93="Debt",$G93*Inputs!G$15/12,IF($E93="Reserve Yield",Inputs!G$13*Inputs!G$16,J93)))))))))))</f>
        <v>2251.01762</v>
      </c>
      <c r="L93" s="22"/>
      <c r="M93" s="22"/>
      <c r="N93" s="22"/>
      <c r="O93" s="22"/>
    </row>
    <row r="94" customFormat="false" ht="15" hidden="false" customHeight="false" outlineLevel="0" collapsed="false">
      <c r="A94" s="6" t="s">
        <v>281</v>
      </c>
      <c r="B94" s="6" t="s">
        <v>15</v>
      </c>
      <c r="C94" s="30" t="s">
        <v>349</v>
      </c>
      <c r="D94" s="6" t="s">
        <v>350</v>
      </c>
      <c r="E94" s="20" t="s">
        <v>316</v>
      </c>
      <c r="F94" s="20" t="s">
        <v>132</v>
      </c>
      <c r="G94" s="31" t="n">
        <f aca="false">SUMIFS('QB Import'!$B$1:$B$600,'QB Import'!$H$1:$H$600,$C94,'QB Import'!$G$1:$G$600,1)</f>
        <v>500</v>
      </c>
      <c r="H94" s="11" t="n">
        <f aca="false">IF($E94="Manual",L94,IF($E94="Flat",G94,IF($E94="Inflation",G94*(1+Inputs!D$12),IF($E94="Salary",G94*(1+Inputs!D$10),IF($E94="Benefits",G94*(1+Inputs!D$11),IF($E94="Per Student",G94*H$4/G$4*(1+Inputs!D$12),IF($E94="Enrollment",G94*H$4/G$4,IF($E94="Tuition Index",G94*H$5/G$5,IF($E94="% of Salaries",IF($G$6=0,0,$G94/$G$6*H$6),IF($E94="Debt",$G94*Inputs!D$15/12,IF($E94="Reserve Yield",Inputs!D$13*Inputs!D$16,G94)))))))))))</f>
        <v>515</v>
      </c>
      <c r="I94" s="11" t="n">
        <f aca="false">IF($E94="Manual",M94,IF($E94="Flat",H94,IF($E94="Inflation",H94*(1+Inputs!E$12),IF($E94="Salary",H94*(1+Inputs!E$10),IF($E94="Benefits",H94*(1+Inputs!E$11),IF($E94="Per Student",H94*I$4/H$4*(1+Inputs!E$12),IF($E94="Enrollment",H94*I$4/H$4,IF($E94="Tuition Index",H94*I$5/H$5,IF($E94="% of Salaries",IF($G$6=0,0,$G94/$G$6*I$6),IF($E94="Debt",$G94*Inputs!E$15/12,IF($E94="Reserve Yield",Inputs!E$13*Inputs!E$16,H94)))))))))))</f>
        <v>530.45</v>
      </c>
      <c r="J94" s="11" t="n">
        <f aca="false">IF($E94="Manual",N94,IF($E94="Flat",I94,IF($E94="Inflation",I94*(1+Inputs!F$12),IF($E94="Salary",I94*(1+Inputs!F$10),IF($E94="Benefits",I94*(1+Inputs!F$11),IF($E94="Per Student",I94*J$4/I$4*(1+Inputs!F$12),IF($E94="Enrollment",I94*J$4/I$4,IF($E94="Tuition Index",I94*J$5/I$5,IF($E94="% of Salaries",IF($G$6=0,0,$G94/$G$6*J$6),IF($E94="Debt",$G94*Inputs!F$15/12,IF($E94="Reserve Yield",Inputs!F$13*Inputs!F$16,I94)))))))))))</f>
        <v>546.3635</v>
      </c>
      <c r="K94" s="11" t="n">
        <f aca="false">IF($E94="Manual",O94,IF($E94="Flat",J94,IF($E94="Inflation",J94*(1+Inputs!G$12),IF($E94="Salary",J94*(1+Inputs!G$10),IF($E94="Benefits",J94*(1+Inputs!G$11),IF($E94="Per Student",J94*K$4/J$4*(1+Inputs!G$12),IF($E94="Enrollment",J94*K$4/J$4,IF($E94="Tuition Index",J94*K$5/J$5,IF($E94="% of Salaries",IF($G$6=0,0,$G94/$G$6*K$6),IF($E94="Debt",$G94*Inputs!G$15/12,IF($E94="Reserve Yield",Inputs!G$13*Inputs!G$16,J94)))))))))))</f>
        <v>562.754405</v>
      </c>
      <c r="L94" s="22"/>
      <c r="M94" s="22"/>
      <c r="N94" s="22"/>
      <c r="O94" s="22"/>
    </row>
    <row r="95" customFormat="false" ht="15" hidden="false" customHeight="false" outlineLevel="0" collapsed="false">
      <c r="A95" s="6" t="s">
        <v>281</v>
      </c>
      <c r="B95" s="6" t="s">
        <v>15</v>
      </c>
      <c r="C95" s="30" t="s">
        <v>351</v>
      </c>
      <c r="D95" s="6" t="s">
        <v>352</v>
      </c>
      <c r="E95" s="20" t="s">
        <v>316</v>
      </c>
      <c r="F95" s="20" t="s">
        <v>132</v>
      </c>
      <c r="G95" s="31" t="n">
        <f aca="false">SUMIFS('QB Import'!$B$1:$B$600,'QB Import'!$H$1:$H$600,$C95,'QB Import'!$G$1:$G$600,1)</f>
        <v>3000</v>
      </c>
      <c r="H95" s="11" t="n">
        <f aca="false">IF($E95="Manual",L95,IF($E95="Flat",G95,IF($E95="Inflation",G95*(1+Inputs!D$12),IF($E95="Salary",G95*(1+Inputs!D$10),IF($E95="Benefits",G95*(1+Inputs!D$11),IF($E95="Per Student",G95*H$4/G$4*(1+Inputs!D$12),IF($E95="Enrollment",G95*H$4/G$4,IF($E95="Tuition Index",G95*H$5/G$5,IF($E95="% of Salaries",IF($G$6=0,0,$G95/$G$6*H$6),IF($E95="Debt",$G95*Inputs!D$15/12,IF($E95="Reserve Yield",Inputs!D$13*Inputs!D$16,G95)))))))))))</f>
        <v>3090</v>
      </c>
      <c r="I95" s="11" t="n">
        <f aca="false">IF($E95="Manual",M95,IF($E95="Flat",H95,IF($E95="Inflation",H95*(1+Inputs!E$12),IF($E95="Salary",H95*(1+Inputs!E$10),IF($E95="Benefits",H95*(1+Inputs!E$11),IF($E95="Per Student",H95*I$4/H$4*(1+Inputs!E$12),IF($E95="Enrollment",H95*I$4/H$4,IF($E95="Tuition Index",H95*I$5/H$5,IF($E95="% of Salaries",IF($G$6=0,0,$G95/$G$6*I$6),IF($E95="Debt",$G95*Inputs!E$15/12,IF($E95="Reserve Yield",Inputs!E$13*Inputs!E$16,H95)))))))))))</f>
        <v>3182.7</v>
      </c>
      <c r="J95" s="11" t="n">
        <f aca="false">IF($E95="Manual",N95,IF($E95="Flat",I95,IF($E95="Inflation",I95*(1+Inputs!F$12),IF($E95="Salary",I95*(1+Inputs!F$10),IF($E95="Benefits",I95*(1+Inputs!F$11),IF($E95="Per Student",I95*J$4/I$4*(1+Inputs!F$12),IF($E95="Enrollment",I95*J$4/I$4,IF($E95="Tuition Index",I95*J$5/I$5,IF($E95="% of Salaries",IF($G$6=0,0,$G95/$G$6*J$6),IF($E95="Debt",$G95*Inputs!F$15/12,IF($E95="Reserve Yield",Inputs!F$13*Inputs!F$16,I95)))))))))))</f>
        <v>3278.181</v>
      </c>
      <c r="K95" s="11" t="n">
        <f aca="false">IF($E95="Manual",O95,IF($E95="Flat",J95,IF($E95="Inflation",J95*(1+Inputs!G$12),IF($E95="Salary",J95*(1+Inputs!G$10),IF($E95="Benefits",J95*(1+Inputs!G$11),IF($E95="Per Student",J95*K$4/J$4*(1+Inputs!G$12),IF($E95="Enrollment",J95*K$4/J$4,IF($E95="Tuition Index",J95*K$5/J$5,IF($E95="% of Salaries",IF($G$6=0,0,$G95/$G$6*K$6),IF($E95="Debt",$G95*Inputs!G$15/12,IF($E95="Reserve Yield",Inputs!G$13*Inputs!G$16,J95)))))))))))</f>
        <v>3376.52643</v>
      </c>
      <c r="L95" s="22"/>
      <c r="M95" s="22"/>
      <c r="N95" s="22"/>
      <c r="O95" s="22"/>
    </row>
    <row r="96" customFormat="false" ht="15" hidden="false" customHeight="false" outlineLevel="0" collapsed="false">
      <c r="A96" s="6" t="s">
        <v>281</v>
      </c>
      <c r="B96" s="6" t="s">
        <v>15</v>
      </c>
      <c r="C96" s="30" t="s">
        <v>353</v>
      </c>
      <c r="D96" s="6" t="s">
        <v>354</v>
      </c>
      <c r="E96" s="20" t="s">
        <v>316</v>
      </c>
      <c r="F96" s="20" t="s">
        <v>132</v>
      </c>
      <c r="G96" s="31" t="n">
        <f aca="false">SUMIFS('QB Import'!$B$1:$B$600,'QB Import'!$H$1:$H$600,$C96,'QB Import'!$G$1:$G$600,1)</f>
        <v>8700</v>
      </c>
      <c r="H96" s="11" t="n">
        <f aca="false">IF($E96="Manual",L96,IF($E96="Flat",G96,IF($E96="Inflation",G96*(1+Inputs!D$12),IF($E96="Salary",G96*(1+Inputs!D$10),IF($E96="Benefits",G96*(1+Inputs!D$11),IF($E96="Per Student",G96*H$4/G$4*(1+Inputs!D$12),IF($E96="Enrollment",G96*H$4/G$4,IF($E96="Tuition Index",G96*H$5/G$5,IF($E96="% of Salaries",IF($G$6=0,0,$G96/$G$6*H$6),IF($E96="Debt",$G96*Inputs!D$15/12,IF($E96="Reserve Yield",Inputs!D$13*Inputs!D$16,G96)))))))))))</f>
        <v>8961</v>
      </c>
      <c r="I96" s="11" t="n">
        <f aca="false">IF($E96="Manual",M96,IF($E96="Flat",H96,IF($E96="Inflation",H96*(1+Inputs!E$12),IF($E96="Salary",H96*(1+Inputs!E$10),IF($E96="Benefits",H96*(1+Inputs!E$11),IF($E96="Per Student",H96*I$4/H$4*(1+Inputs!E$12),IF($E96="Enrollment",H96*I$4/H$4,IF($E96="Tuition Index",H96*I$5/H$5,IF($E96="% of Salaries",IF($G$6=0,0,$G96/$G$6*I$6),IF($E96="Debt",$G96*Inputs!E$15/12,IF($E96="Reserve Yield",Inputs!E$13*Inputs!E$16,H96)))))))))))</f>
        <v>9229.83</v>
      </c>
      <c r="J96" s="11" t="n">
        <f aca="false">IF($E96="Manual",N96,IF($E96="Flat",I96,IF($E96="Inflation",I96*(1+Inputs!F$12),IF($E96="Salary",I96*(1+Inputs!F$10),IF($E96="Benefits",I96*(1+Inputs!F$11),IF($E96="Per Student",I96*J$4/I$4*(1+Inputs!F$12),IF($E96="Enrollment",I96*J$4/I$4,IF($E96="Tuition Index",I96*J$5/I$5,IF($E96="% of Salaries",IF($G$6=0,0,$G96/$G$6*J$6),IF($E96="Debt",$G96*Inputs!F$15/12,IF($E96="Reserve Yield",Inputs!F$13*Inputs!F$16,I96)))))))))))</f>
        <v>9506.7249</v>
      </c>
      <c r="K96" s="11" t="n">
        <f aca="false">IF($E96="Manual",O96,IF($E96="Flat",J96,IF($E96="Inflation",J96*(1+Inputs!G$12),IF($E96="Salary",J96*(1+Inputs!G$10),IF($E96="Benefits",J96*(1+Inputs!G$11),IF($E96="Per Student",J96*K$4/J$4*(1+Inputs!G$12),IF($E96="Enrollment",J96*K$4/J$4,IF($E96="Tuition Index",J96*K$5/J$5,IF($E96="% of Salaries",IF($G$6=0,0,$G96/$G$6*K$6),IF($E96="Debt",$G96*Inputs!G$15/12,IF($E96="Reserve Yield",Inputs!G$13*Inputs!G$16,J96)))))))))))</f>
        <v>9791.926647</v>
      </c>
      <c r="L96" s="22"/>
      <c r="M96" s="22"/>
      <c r="N96" s="22"/>
      <c r="O96" s="22"/>
    </row>
    <row r="97" customFormat="false" ht="15" hidden="false" customHeight="false" outlineLevel="0" collapsed="false">
      <c r="A97" s="6" t="s">
        <v>281</v>
      </c>
      <c r="B97" s="6" t="s">
        <v>15</v>
      </c>
      <c r="C97" s="30" t="s">
        <v>355</v>
      </c>
      <c r="D97" s="6" t="s">
        <v>356</v>
      </c>
      <c r="E97" s="20" t="s">
        <v>316</v>
      </c>
      <c r="F97" s="20" t="s">
        <v>132</v>
      </c>
      <c r="G97" s="31" t="n">
        <f aca="false">SUMIFS('QB Import'!$B$1:$B$600,'QB Import'!$H$1:$H$600,$C97,'QB Import'!$G$1:$G$600,1)</f>
        <v>2000</v>
      </c>
      <c r="H97" s="11" t="n">
        <f aca="false">IF($E97="Manual",L97,IF($E97="Flat",G97,IF($E97="Inflation",G97*(1+Inputs!D$12),IF($E97="Salary",G97*(1+Inputs!D$10),IF($E97="Benefits",G97*(1+Inputs!D$11),IF($E97="Per Student",G97*H$4/G$4*(1+Inputs!D$12),IF($E97="Enrollment",G97*H$4/G$4,IF($E97="Tuition Index",G97*H$5/G$5,IF($E97="% of Salaries",IF($G$6=0,0,$G97/$G$6*H$6),IF($E97="Debt",$G97*Inputs!D$15/12,IF($E97="Reserve Yield",Inputs!D$13*Inputs!D$16,G97)))))))))))</f>
        <v>2060</v>
      </c>
      <c r="I97" s="11" t="n">
        <f aca="false">IF($E97="Manual",M97,IF($E97="Flat",H97,IF($E97="Inflation",H97*(1+Inputs!E$12),IF($E97="Salary",H97*(1+Inputs!E$10),IF($E97="Benefits",H97*(1+Inputs!E$11),IF($E97="Per Student",H97*I$4/H$4*(1+Inputs!E$12),IF($E97="Enrollment",H97*I$4/H$4,IF($E97="Tuition Index",H97*I$5/H$5,IF($E97="% of Salaries",IF($G$6=0,0,$G97/$G$6*I$6),IF($E97="Debt",$G97*Inputs!E$15/12,IF($E97="Reserve Yield",Inputs!E$13*Inputs!E$16,H97)))))))))))</f>
        <v>2121.8</v>
      </c>
      <c r="J97" s="11" t="n">
        <f aca="false">IF($E97="Manual",N97,IF($E97="Flat",I97,IF($E97="Inflation",I97*(1+Inputs!F$12),IF($E97="Salary",I97*(1+Inputs!F$10),IF($E97="Benefits",I97*(1+Inputs!F$11),IF($E97="Per Student",I97*J$4/I$4*(1+Inputs!F$12),IF($E97="Enrollment",I97*J$4/I$4,IF($E97="Tuition Index",I97*J$5/I$5,IF($E97="% of Salaries",IF($G$6=0,0,$G97/$G$6*J$6),IF($E97="Debt",$G97*Inputs!F$15/12,IF($E97="Reserve Yield",Inputs!F$13*Inputs!F$16,I97)))))))))))</f>
        <v>2185.454</v>
      </c>
      <c r="K97" s="11" t="n">
        <f aca="false">IF($E97="Manual",O97,IF($E97="Flat",J97,IF($E97="Inflation",J97*(1+Inputs!G$12),IF($E97="Salary",J97*(1+Inputs!G$10),IF($E97="Benefits",J97*(1+Inputs!G$11),IF($E97="Per Student",J97*K$4/J$4*(1+Inputs!G$12),IF($E97="Enrollment",J97*K$4/J$4,IF($E97="Tuition Index",J97*K$5/J$5,IF($E97="% of Salaries",IF($G$6=0,0,$G97/$G$6*K$6),IF($E97="Debt",$G97*Inputs!G$15/12,IF($E97="Reserve Yield",Inputs!G$13*Inputs!G$16,J97)))))))))))</f>
        <v>2251.01762</v>
      </c>
      <c r="L97" s="22"/>
      <c r="M97" s="22"/>
      <c r="N97" s="22"/>
      <c r="O97" s="22"/>
    </row>
    <row r="98" customFormat="false" ht="15" hidden="false" customHeight="false" outlineLevel="0" collapsed="false">
      <c r="A98" s="6" t="s">
        <v>281</v>
      </c>
      <c r="B98" s="6" t="s">
        <v>15</v>
      </c>
      <c r="C98" s="30" t="s">
        <v>357</v>
      </c>
      <c r="D98" s="6" t="s">
        <v>358</v>
      </c>
      <c r="E98" s="20" t="s">
        <v>316</v>
      </c>
      <c r="F98" s="20" t="s">
        <v>132</v>
      </c>
      <c r="G98" s="31" t="n">
        <f aca="false">SUMIFS('QB Import'!$B$1:$B$600,'QB Import'!$H$1:$H$600,$C98,'QB Import'!$G$1:$G$600,1)</f>
        <v>2000</v>
      </c>
      <c r="H98" s="11" t="n">
        <f aca="false">IF($E98="Manual",L98,IF($E98="Flat",G98,IF($E98="Inflation",G98*(1+Inputs!D$12),IF($E98="Salary",G98*(1+Inputs!D$10),IF($E98="Benefits",G98*(1+Inputs!D$11),IF($E98="Per Student",G98*H$4/G$4*(1+Inputs!D$12),IF($E98="Enrollment",G98*H$4/G$4,IF($E98="Tuition Index",G98*H$5/G$5,IF($E98="% of Salaries",IF($G$6=0,0,$G98/$G$6*H$6),IF($E98="Debt",$G98*Inputs!D$15/12,IF($E98="Reserve Yield",Inputs!D$13*Inputs!D$16,G98)))))))))))</f>
        <v>2060</v>
      </c>
      <c r="I98" s="11" t="n">
        <f aca="false">IF($E98="Manual",M98,IF($E98="Flat",H98,IF($E98="Inflation",H98*(1+Inputs!E$12),IF($E98="Salary",H98*(1+Inputs!E$10),IF($E98="Benefits",H98*(1+Inputs!E$11),IF($E98="Per Student",H98*I$4/H$4*(1+Inputs!E$12),IF($E98="Enrollment",H98*I$4/H$4,IF($E98="Tuition Index",H98*I$5/H$5,IF($E98="% of Salaries",IF($G$6=0,0,$G98/$G$6*I$6),IF($E98="Debt",$G98*Inputs!E$15/12,IF($E98="Reserve Yield",Inputs!E$13*Inputs!E$16,H98)))))))))))</f>
        <v>2121.8</v>
      </c>
      <c r="J98" s="11" t="n">
        <f aca="false">IF($E98="Manual",N98,IF($E98="Flat",I98,IF($E98="Inflation",I98*(1+Inputs!F$12),IF($E98="Salary",I98*(1+Inputs!F$10),IF($E98="Benefits",I98*(1+Inputs!F$11),IF($E98="Per Student",I98*J$4/I$4*(1+Inputs!F$12),IF($E98="Enrollment",I98*J$4/I$4,IF($E98="Tuition Index",I98*J$5/I$5,IF($E98="% of Salaries",IF($G$6=0,0,$G98/$G$6*J$6),IF($E98="Debt",$G98*Inputs!F$15/12,IF($E98="Reserve Yield",Inputs!F$13*Inputs!F$16,I98)))))))))))</f>
        <v>2185.454</v>
      </c>
      <c r="K98" s="11" t="n">
        <f aca="false">IF($E98="Manual",O98,IF($E98="Flat",J98,IF($E98="Inflation",J98*(1+Inputs!G$12),IF($E98="Salary",J98*(1+Inputs!G$10),IF($E98="Benefits",J98*(1+Inputs!G$11),IF($E98="Per Student",J98*K$4/J$4*(1+Inputs!G$12),IF($E98="Enrollment",J98*K$4/J$4,IF($E98="Tuition Index",J98*K$5/J$5,IF($E98="% of Salaries",IF($G$6=0,0,$G98/$G$6*K$6),IF($E98="Debt",$G98*Inputs!G$15/12,IF($E98="Reserve Yield",Inputs!G$13*Inputs!G$16,J98)))))))))))</f>
        <v>2251.01762</v>
      </c>
      <c r="L98" s="22"/>
      <c r="M98" s="22"/>
      <c r="N98" s="22"/>
      <c r="O98" s="22"/>
    </row>
    <row r="99" customFormat="false" ht="15" hidden="false" customHeight="false" outlineLevel="0" collapsed="false">
      <c r="A99" s="6" t="s">
        <v>281</v>
      </c>
      <c r="B99" s="6" t="s">
        <v>15</v>
      </c>
      <c r="C99" s="30" t="s">
        <v>359</v>
      </c>
      <c r="D99" s="6" t="s">
        <v>360</v>
      </c>
      <c r="E99" s="20" t="s">
        <v>186</v>
      </c>
      <c r="F99" s="20" t="s">
        <v>132</v>
      </c>
      <c r="G99" s="31" t="n">
        <f aca="false">SUMIFS('QB Import'!$B$1:$B$600,'QB Import'!$H$1:$H$600,$C99,'QB Import'!$G$1:$G$600,1)</f>
        <v>0</v>
      </c>
      <c r="H99" s="11" t="n">
        <f aca="false">IF($E99="Manual",L99,IF($E99="Flat",G99,IF($E99="Inflation",G99*(1+Inputs!D$12),IF($E99="Salary",G99*(1+Inputs!D$10),IF($E99="Benefits",G99*(1+Inputs!D$11),IF($E99="Per Student",G99*H$4/G$4*(1+Inputs!D$12),IF($E99="Enrollment",G99*H$4/G$4,IF($E99="Tuition Index",G99*H$5/G$5,IF($E99="% of Salaries",IF($G$6=0,0,$G99/$G$6*H$6),IF($E99="Debt",$G99*Inputs!D$15/12,IF($E99="Reserve Yield",Inputs!D$13*Inputs!D$16,G99)))))))))))</f>
        <v>0</v>
      </c>
      <c r="I99" s="11" t="n">
        <f aca="false">IF($E99="Manual",M99,IF($E99="Flat",H99,IF($E99="Inflation",H99*(1+Inputs!E$12),IF($E99="Salary",H99*(1+Inputs!E$10),IF($E99="Benefits",H99*(1+Inputs!E$11),IF($E99="Per Student",H99*I$4/H$4*(1+Inputs!E$12),IF($E99="Enrollment",H99*I$4/H$4,IF($E99="Tuition Index",H99*I$5/H$5,IF($E99="% of Salaries",IF($G$6=0,0,$G99/$G$6*I$6),IF($E99="Debt",$G99*Inputs!E$15/12,IF($E99="Reserve Yield",Inputs!E$13*Inputs!E$16,H99)))))))))))</f>
        <v>0</v>
      </c>
      <c r="J99" s="11" t="n">
        <f aca="false">IF($E99="Manual",N99,IF($E99="Flat",I99,IF($E99="Inflation",I99*(1+Inputs!F$12),IF($E99="Salary",I99*(1+Inputs!F$10),IF($E99="Benefits",I99*(1+Inputs!F$11),IF($E99="Per Student",I99*J$4/I$4*(1+Inputs!F$12),IF($E99="Enrollment",I99*J$4/I$4,IF($E99="Tuition Index",I99*J$5/I$5,IF($E99="% of Salaries",IF($G$6=0,0,$G99/$G$6*J$6),IF($E99="Debt",$G99*Inputs!F$15/12,IF($E99="Reserve Yield",Inputs!F$13*Inputs!F$16,I99)))))))))))</f>
        <v>0</v>
      </c>
      <c r="K99" s="11" t="n">
        <f aca="false">IF($E99="Manual",O99,IF($E99="Flat",J99,IF($E99="Inflation",J99*(1+Inputs!G$12),IF($E99="Salary",J99*(1+Inputs!G$10),IF($E99="Benefits",J99*(1+Inputs!G$11),IF($E99="Per Student",J99*K$4/J$4*(1+Inputs!G$12),IF($E99="Enrollment",J99*K$4/J$4,IF($E99="Tuition Index",J99*K$5/J$5,IF($E99="% of Salaries",IF($G$6=0,0,$G99/$G$6*K$6),IF($E99="Debt",$G99*Inputs!G$15/12,IF($E99="Reserve Yield",Inputs!G$13*Inputs!G$16,J99)))))))))))</f>
        <v>0</v>
      </c>
      <c r="L99" s="22"/>
      <c r="M99" s="22"/>
      <c r="N99" s="22"/>
      <c r="O99" s="22"/>
    </row>
    <row r="100" customFormat="false" ht="15" hidden="false" customHeight="false" outlineLevel="0" collapsed="false">
      <c r="A100" s="6" t="s">
        <v>281</v>
      </c>
      <c r="B100" s="6" t="s">
        <v>15</v>
      </c>
      <c r="C100" s="30" t="s">
        <v>361</v>
      </c>
      <c r="D100" s="6" t="s">
        <v>362</v>
      </c>
      <c r="E100" s="20" t="s">
        <v>186</v>
      </c>
      <c r="F100" s="20" t="s">
        <v>132</v>
      </c>
      <c r="G100" s="31" t="n">
        <f aca="false">SUMIFS('QB Import'!$B$1:$B$600,'QB Import'!$H$1:$H$600,$C100,'QB Import'!$G$1:$G$600,1)</f>
        <v>0</v>
      </c>
      <c r="H100" s="11" t="n">
        <f aca="false">IF($E100="Manual",L100,IF($E100="Flat",G100,IF($E100="Inflation",G100*(1+Inputs!D$12),IF($E100="Salary",G100*(1+Inputs!D$10),IF($E100="Benefits",G100*(1+Inputs!D$11),IF($E100="Per Student",G100*H$4/G$4*(1+Inputs!D$12),IF($E100="Enrollment",G100*H$4/G$4,IF($E100="Tuition Index",G100*H$5/G$5,IF($E100="% of Salaries",IF($G$6=0,0,$G100/$G$6*H$6),IF($E100="Debt",$G100*Inputs!D$15/12,IF($E100="Reserve Yield",Inputs!D$13*Inputs!D$16,G100)))))))))))</f>
        <v>0</v>
      </c>
      <c r="I100" s="11" t="n">
        <f aca="false">IF($E100="Manual",M100,IF($E100="Flat",H100,IF($E100="Inflation",H100*(1+Inputs!E$12),IF($E100="Salary",H100*(1+Inputs!E$10),IF($E100="Benefits",H100*(1+Inputs!E$11),IF($E100="Per Student",H100*I$4/H$4*(1+Inputs!E$12),IF($E100="Enrollment",H100*I$4/H$4,IF($E100="Tuition Index",H100*I$5/H$5,IF($E100="% of Salaries",IF($G$6=0,0,$G100/$G$6*I$6),IF($E100="Debt",$G100*Inputs!E$15/12,IF($E100="Reserve Yield",Inputs!E$13*Inputs!E$16,H100)))))))))))</f>
        <v>0</v>
      </c>
      <c r="J100" s="11" t="n">
        <f aca="false">IF($E100="Manual",N100,IF($E100="Flat",I100,IF($E100="Inflation",I100*(1+Inputs!F$12),IF($E100="Salary",I100*(1+Inputs!F$10),IF($E100="Benefits",I100*(1+Inputs!F$11),IF($E100="Per Student",I100*J$4/I$4*(1+Inputs!F$12),IF($E100="Enrollment",I100*J$4/I$4,IF($E100="Tuition Index",I100*J$5/I$5,IF($E100="% of Salaries",IF($G$6=0,0,$G100/$G$6*J$6),IF($E100="Debt",$G100*Inputs!F$15/12,IF($E100="Reserve Yield",Inputs!F$13*Inputs!F$16,I100)))))))))))</f>
        <v>0</v>
      </c>
      <c r="K100" s="11" t="n">
        <f aca="false">IF($E100="Manual",O100,IF($E100="Flat",J100,IF($E100="Inflation",J100*(1+Inputs!G$12),IF($E100="Salary",J100*(1+Inputs!G$10),IF($E100="Benefits",J100*(1+Inputs!G$11),IF($E100="Per Student",J100*K$4/J$4*(1+Inputs!G$12),IF($E100="Enrollment",J100*K$4/J$4,IF($E100="Tuition Index",J100*K$5/J$5,IF($E100="% of Salaries",IF($G$6=0,0,$G100/$G$6*K$6),IF($E100="Debt",$G100*Inputs!G$15/12,IF($E100="Reserve Yield",Inputs!G$13*Inputs!G$16,J100)))))))))))</f>
        <v>0</v>
      </c>
      <c r="L100" s="22"/>
      <c r="M100" s="22"/>
      <c r="N100" s="22"/>
      <c r="O100" s="22"/>
    </row>
    <row r="101" customFormat="false" ht="15" hidden="false" customHeight="false" outlineLevel="0" collapsed="false">
      <c r="A101" s="6" t="s">
        <v>281</v>
      </c>
      <c r="B101" s="6" t="s">
        <v>15</v>
      </c>
      <c r="C101" s="30" t="s">
        <v>363</v>
      </c>
      <c r="D101" s="6" t="s">
        <v>364</v>
      </c>
      <c r="E101" s="20" t="s">
        <v>186</v>
      </c>
      <c r="F101" s="20" t="s">
        <v>132</v>
      </c>
      <c r="G101" s="31" t="n">
        <f aca="false">SUMIFS('QB Import'!$B$1:$B$600,'QB Import'!$H$1:$H$600,$C101,'QB Import'!$G$1:$G$600,1)</f>
        <v>0</v>
      </c>
      <c r="H101" s="11" t="n">
        <f aca="false">IF($E101="Manual",L101,IF($E101="Flat",G101,IF($E101="Inflation",G101*(1+Inputs!D$12),IF($E101="Salary",G101*(1+Inputs!D$10),IF($E101="Benefits",G101*(1+Inputs!D$11),IF($E101="Per Student",G101*H$4/G$4*(1+Inputs!D$12),IF($E101="Enrollment",G101*H$4/G$4,IF($E101="Tuition Index",G101*H$5/G$5,IF($E101="% of Salaries",IF($G$6=0,0,$G101/$G$6*H$6),IF($E101="Debt",$G101*Inputs!D$15/12,IF($E101="Reserve Yield",Inputs!D$13*Inputs!D$16,G101)))))))))))</f>
        <v>0</v>
      </c>
      <c r="I101" s="11" t="n">
        <f aca="false">IF($E101="Manual",M101,IF($E101="Flat",H101,IF($E101="Inflation",H101*(1+Inputs!E$12),IF($E101="Salary",H101*(1+Inputs!E$10),IF($E101="Benefits",H101*(1+Inputs!E$11),IF($E101="Per Student",H101*I$4/H$4*(1+Inputs!E$12),IF($E101="Enrollment",H101*I$4/H$4,IF($E101="Tuition Index",H101*I$5/H$5,IF($E101="% of Salaries",IF($G$6=0,0,$G101/$G$6*I$6),IF($E101="Debt",$G101*Inputs!E$15/12,IF($E101="Reserve Yield",Inputs!E$13*Inputs!E$16,H101)))))))))))</f>
        <v>0</v>
      </c>
      <c r="J101" s="11" t="n">
        <f aca="false">IF($E101="Manual",N101,IF($E101="Flat",I101,IF($E101="Inflation",I101*(1+Inputs!F$12),IF($E101="Salary",I101*(1+Inputs!F$10),IF($E101="Benefits",I101*(1+Inputs!F$11),IF($E101="Per Student",I101*J$4/I$4*(1+Inputs!F$12),IF($E101="Enrollment",I101*J$4/I$4,IF($E101="Tuition Index",I101*J$5/I$5,IF($E101="% of Salaries",IF($G$6=0,0,$G101/$G$6*J$6),IF($E101="Debt",$G101*Inputs!F$15/12,IF($E101="Reserve Yield",Inputs!F$13*Inputs!F$16,I101)))))))))))</f>
        <v>0</v>
      </c>
      <c r="K101" s="11" t="n">
        <f aca="false">IF($E101="Manual",O101,IF($E101="Flat",J101,IF($E101="Inflation",J101*(1+Inputs!G$12),IF($E101="Salary",J101*(1+Inputs!G$10),IF($E101="Benefits",J101*(1+Inputs!G$11),IF($E101="Per Student",J101*K$4/J$4*(1+Inputs!G$12),IF($E101="Enrollment",J101*K$4/J$4,IF($E101="Tuition Index",J101*K$5/J$5,IF($E101="% of Salaries",IF($G$6=0,0,$G101/$G$6*K$6),IF($E101="Debt",$G101*Inputs!G$15/12,IF($E101="Reserve Yield",Inputs!G$13*Inputs!G$16,J101)))))))))))</f>
        <v>0</v>
      </c>
      <c r="L101" s="22"/>
      <c r="M101" s="22"/>
      <c r="N101" s="22"/>
      <c r="O101" s="22"/>
    </row>
    <row r="102" customFormat="false" ht="15" hidden="false" customHeight="false" outlineLevel="0" collapsed="false">
      <c r="A102" s="6" t="s">
        <v>281</v>
      </c>
      <c r="B102" s="6" t="s">
        <v>15</v>
      </c>
      <c r="C102" s="30" t="s">
        <v>365</v>
      </c>
      <c r="D102" s="6" t="s">
        <v>366</v>
      </c>
      <c r="E102" s="20" t="s">
        <v>316</v>
      </c>
      <c r="F102" s="20" t="s">
        <v>132</v>
      </c>
      <c r="G102" s="31" t="n">
        <f aca="false">SUMIFS('QB Import'!$B$1:$B$600,'QB Import'!$H$1:$H$600,$C102,'QB Import'!$G$1:$G$600,1)</f>
        <v>1500</v>
      </c>
      <c r="H102" s="11" t="n">
        <f aca="false">IF($E102="Manual",L102,IF($E102="Flat",G102,IF($E102="Inflation",G102*(1+Inputs!D$12),IF($E102="Salary",G102*(1+Inputs!D$10),IF($E102="Benefits",G102*(1+Inputs!D$11),IF($E102="Per Student",G102*H$4/G$4*(1+Inputs!D$12),IF($E102="Enrollment",G102*H$4/G$4,IF($E102="Tuition Index",G102*H$5/G$5,IF($E102="% of Salaries",IF($G$6=0,0,$G102/$G$6*H$6),IF($E102="Debt",$G102*Inputs!D$15/12,IF($E102="Reserve Yield",Inputs!D$13*Inputs!D$16,G102)))))))))))</f>
        <v>1545</v>
      </c>
      <c r="I102" s="11" t="n">
        <f aca="false">IF($E102="Manual",M102,IF($E102="Flat",H102,IF($E102="Inflation",H102*(1+Inputs!E$12),IF($E102="Salary",H102*(1+Inputs!E$10),IF($E102="Benefits",H102*(1+Inputs!E$11),IF($E102="Per Student",H102*I$4/H$4*(1+Inputs!E$12),IF($E102="Enrollment",H102*I$4/H$4,IF($E102="Tuition Index",H102*I$5/H$5,IF($E102="% of Salaries",IF($G$6=0,0,$G102/$G$6*I$6),IF($E102="Debt",$G102*Inputs!E$15/12,IF($E102="Reserve Yield",Inputs!E$13*Inputs!E$16,H102)))))))))))</f>
        <v>1591.35</v>
      </c>
      <c r="J102" s="11" t="n">
        <f aca="false">IF($E102="Manual",N102,IF($E102="Flat",I102,IF($E102="Inflation",I102*(1+Inputs!F$12),IF($E102="Salary",I102*(1+Inputs!F$10),IF($E102="Benefits",I102*(1+Inputs!F$11),IF($E102="Per Student",I102*J$4/I$4*(1+Inputs!F$12),IF($E102="Enrollment",I102*J$4/I$4,IF($E102="Tuition Index",I102*J$5/I$5,IF($E102="% of Salaries",IF($G$6=0,0,$G102/$G$6*J$6),IF($E102="Debt",$G102*Inputs!F$15/12,IF($E102="Reserve Yield",Inputs!F$13*Inputs!F$16,I102)))))))))))</f>
        <v>1639.0905</v>
      </c>
      <c r="K102" s="11" t="n">
        <f aca="false">IF($E102="Manual",O102,IF($E102="Flat",J102,IF($E102="Inflation",J102*(1+Inputs!G$12),IF($E102="Salary",J102*(1+Inputs!G$10),IF($E102="Benefits",J102*(1+Inputs!G$11),IF($E102="Per Student",J102*K$4/J$4*(1+Inputs!G$12),IF($E102="Enrollment",J102*K$4/J$4,IF($E102="Tuition Index",J102*K$5/J$5,IF($E102="% of Salaries",IF($G$6=0,0,$G102/$G$6*K$6),IF($E102="Debt",$G102*Inputs!G$15/12,IF($E102="Reserve Yield",Inputs!G$13*Inputs!G$16,J102)))))))))))</f>
        <v>1688.263215</v>
      </c>
      <c r="L102" s="22"/>
      <c r="M102" s="22"/>
      <c r="N102" s="22"/>
      <c r="O102" s="22"/>
    </row>
    <row r="103" customFormat="false" ht="15" hidden="false" customHeight="false" outlineLevel="0" collapsed="false">
      <c r="A103" s="6" t="s">
        <v>281</v>
      </c>
      <c r="B103" s="6" t="s">
        <v>15</v>
      </c>
      <c r="C103" s="30" t="s">
        <v>367</v>
      </c>
      <c r="D103" s="6" t="s">
        <v>368</v>
      </c>
      <c r="E103" s="20" t="s">
        <v>186</v>
      </c>
      <c r="F103" s="20" t="s">
        <v>132</v>
      </c>
      <c r="G103" s="31" t="n">
        <f aca="false">SUMIFS('QB Import'!$B$1:$B$600,'QB Import'!$H$1:$H$600,$C103,'QB Import'!$G$1:$G$600,1)</f>
        <v>0</v>
      </c>
      <c r="H103" s="11" t="n">
        <f aca="false">IF($E103="Manual",L103,IF($E103="Flat",G103,IF($E103="Inflation",G103*(1+Inputs!D$12),IF($E103="Salary",G103*(1+Inputs!D$10),IF($E103="Benefits",G103*(1+Inputs!D$11),IF($E103="Per Student",G103*H$4/G$4*(1+Inputs!D$12),IF($E103="Enrollment",G103*H$4/G$4,IF($E103="Tuition Index",G103*H$5/G$5,IF($E103="% of Salaries",IF($G$6=0,0,$G103/$G$6*H$6),IF($E103="Debt",$G103*Inputs!D$15/12,IF($E103="Reserve Yield",Inputs!D$13*Inputs!D$16,G103)))))))))))</f>
        <v>0</v>
      </c>
      <c r="I103" s="11" t="n">
        <f aca="false">IF($E103="Manual",M103,IF($E103="Flat",H103,IF($E103="Inflation",H103*(1+Inputs!E$12),IF($E103="Salary",H103*(1+Inputs!E$10),IF($E103="Benefits",H103*(1+Inputs!E$11),IF($E103="Per Student",H103*I$4/H$4*(1+Inputs!E$12),IF($E103="Enrollment",H103*I$4/H$4,IF($E103="Tuition Index",H103*I$5/H$5,IF($E103="% of Salaries",IF($G$6=0,0,$G103/$G$6*I$6),IF($E103="Debt",$G103*Inputs!E$15/12,IF($E103="Reserve Yield",Inputs!E$13*Inputs!E$16,H103)))))))))))</f>
        <v>0</v>
      </c>
      <c r="J103" s="11" t="n">
        <f aca="false">IF($E103="Manual",N103,IF($E103="Flat",I103,IF($E103="Inflation",I103*(1+Inputs!F$12),IF($E103="Salary",I103*(1+Inputs!F$10),IF($E103="Benefits",I103*(1+Inputs!F$11),IF($E103="Per Student",I103*J$4/I$4*(1+Inputs!F$12),IF($E103="Enrollment",I103*J$4/I$4,IF($E103="Tuition Index",I103*J$5/I$5,IF($E103="% of Salaries",IF($G$6=0,0,$G103/$G$6*J$6),IF($E103="Debt",$G103*Inputs!F$15/12,IF($E103="Reserve Yield",Inputs!F$13*Inputs!F$16,I103)))))))))))</f>
        <v>0</v>
      </c>
      <c r="K103" s="11" t="n">
        <f aca="false">IF($E103="Manual",O103,IF($E103="Flat",J103,IF($E103="Inflation",J103*(1+Inputs!G$12),IF($E103="Salary",J103*(1+Inputs!G$10),IF($E103="Benefits",J103*(1+Inputs!G$11),IF($E103="Per Student",J103*K$4/J$4*(1+Inputs!G$12),IF($E103="Enrollment",J103*K$4/J$4,IF($E103="Tuition Index",J103*K$5/J$5,IF($E103="% of Salaries",IF($G$6=0,0,$G103/$G$6*K$6),IF($E103="Debt",$G103*Inputs!G$15/12,IF($E103="Reserve Yield",Inputs!G$13*Inputs!G$16,J103)))))))))))</f>
        <v>0</v>
      </c>
      <c r="L103" s="22"/>
      <c r="M103" s="22"/>
      <c r="N103" s="22"/>
      <c r="O103" s="22"/>
    </row>
    <row r="104" customFormat="false" ht="15" hidden="false" customHeight="false" outlineLevel="0" collapsed="false">
      <c r="A104" s="6" t="s">
        <v>281</v>
      </c>
      <c r="B104" s="6" t="s">
        <v>15</v>
      </c>
      <c r="C104" s="30" t="s">
        <v>369</v>
      </c>
      <c r="D104" s="6" t="s">
        <v>370</v>
      </c>
      <c r="E104" s="20" t="s">
        <v>316</v>
      </c>
      <c r="F104" s="20" t="s">
        <v>132</v>
      </c>
      <c r="G104" s="31" t="n">
        <f aca="false">SUMIFS('QB Import'!$B$1:$B$600,'QB Import'!$H$1:$H$600,$C104,'QB Import'!$G$1:$G$600,1)</f>
        <v>29700</v>
      </c>
      <c r="H104" s="11" t="n">
        <f aca="false">IF($E104="Manual",L104,IF($E104="Flat",G104,IF($E104="Inflation",G104*(1+Inputs!D$12),IF($E104="Salary",G104*(1+Inputs!D$10),IF($E104="Benefits",G104*(1+Inputs!D$11),IF($E104="Per Student",G104*H$4/G$4*(1+Inputs!D$12),IF($E104="Enrollment",G104*H$4/G$4,IF($E104="Tuition Index",G104*H$5/G$5,IF($E104="% of Salaries",IF($G$6=0,0,$G104/$G$6*H$6),IF($E104="Debt",$G104*Inputs!D$15/12,IF($E104="Reserve Yield",Inputs!D$13*Inputs!D$16,G104)))))))))))</f>
        <v>30591</v>
      </c>
      <c r="I104" s="11" t="n">
        <f aca="false">IF($E104="Manual",M104,IF($E104="Flat",H104,IF($E104="Inflation",H104*(1+Inputs!E$12),IF($E104="Salary",H104*(1+Inputs!E$10),IF($E104="Benefits",H104*(1+Inputs!E$11),IF($E104="Per Student",H104*I$4/H$4*(1+Inputs!E$12),IF($E104="Enrollment",H104*I$4/H$4,IF($E104="Tuition Index",H104*I$5/H$5,IF($E104="% of Salaries",IF($G$6=0,0,$G104/$G$6*I$6),IF($E104="Debt",$G104*Inputs!E$15/12,IF($E104="Reserve Yield",Inputs!E$13*Inputs!E$16,H104)))))))))))</f>
        <v>31508.73</v>
      </c>
      <c r="J104" s="11" t="n">
        <f aca="false">IF($E104="Manual",N104,IF($E104="Flat",I104,IF($E104="Inflation",I104*(1+Inputs!F$12),IF($E104="Salary",I104*(1+Inputs!F$10),IF($E104="Benefits",I104*(1+Inputs!F$11),IF($E104="Per Student",I104*J$4/I$4*(1+Inputs!F$12),IF($E104="Enrollment",I104*J$4/I$4,IF($E104="Tuition Index",I104*J$5/I$5,IF($E104="% of Salaries",IF($G$6=0,0,$G104/$G$6*J$6),IF($E104="Debt",$G104*Inputs!F$15/12,IF($E104="Reserve Yield",Inputs!F$13*Inputs!F$16,I104)))))))))))</f>
        <v>32453.9919</v>
      </c>
      <c r="K104" s="11" t="n">
        <f aca="false">IF($E104="Manual",O104,IF($E104="Flat",J104,IF($E104="Inflation",J104*(1+Inputs!G$12),IF($E104="Salary",J104*(1+Inputs!G$10),IF($E104="Benefits",J104*(1+Inputs!G$11),IF($E104="Per Student",J104*K$4/J$4*(1+Inputs!G$12),IF($E104="Enrollment",J104*K$4/J$4,IF($E104="Tuition Index",J104*K$5/J$5,IF($E104="% of Salaries",IF($G$6=0,0,$G104/$G$6*K$6),IF($E104="Debt",$G104*Inputs!G$15/12,IF($E104="Reserve Yield",Inputs!G$13*Inputs!G$16,J104)))))))))))</f>
        <v>33427.611657</v>
      </c>
      <c r="L104" s="22"/>
      <c r="M104" s="22"/>
      <c r="N104" s="22"/>
      <c r="O104" s="22"/>
    </row>
    <row r="105" customFormat="false" ht="15" hidden="false" customHeight="false" outlineLevel="0" collapsed="false">
      <c r="A105" s="6" t="s">
        <v>281</v>
      </c>
      <c r="B105" s="6" t="s">
        <v>15</v>
      </c>
      <c r="C105" s="30" t="s">
        <v>371</v>
      </c>
      <c r="D105" s="6" t="s">
        <v>372</v>
      </c>
      <c r="E105" s="20" t="s">
        <v>186</v>
      </c>
      <c r="F105" s="20" t="s">
        <v>132</v>
      </c>
      <c r="G105" s="31" t="n">
        <f aca="false">SUMIFS('QB Import'!$B$1:$B$600,'QB Import'!$H$1:$H$600,$C105,'QB Import'!$G$1:$G$600,1)</f>
        <v>0</v>
      </c>
      <c r="H105" s="11" t="n">
        <f aca="false">IF($E105="Manual",L105,IF($E105="Flat",G105,IF($E105="Inflation",G105*(1+Inputs!D$12),IF($E105="Salary",G105*(1+Inputs!D$10),IF($E105="Benefits",G105*(1+Inputs!D$11),IF($E105="Per Student",G105*H$4/G$4*(1+Inputs!D$12),IF($E105="Enrollment",G105*H$4/G$4,IF($E105="Tuition Index",G105*H$5/G$5,IF($E105="% of Salaries",IF($G$6=0,0,$G105/$G$6*H$6),IF($E105="Debt",$G105*Inputs!D$15/12,IF($E105="Reserve Yield",Inputs!D$13*Inputs!D$16,G105)))))))))))</f>
        <v>0</v>
      </c>
      <c r="I105" s="11" t="n">
        <f aca="false">IF($E105="Manual",M105,IF($E105="Flat",H105,IF($E105="Inflation",H105*(1+Inputs!E$12),IF($E105="Salary",H105*(1+Inputs!E$10),IF($E105="Benefits",H105*(1+Inputs!E$11),IF($E105="Per Student",H105*I$4/H$4*(1+Inputs!E$12),IF($E105="Enrollment",H105*I$4/H$4,IF($E105="Tuition Index",H105*I$5/H$5,IF($E105="% of Salaries",IF($G$6=0,0,$G105/$G$6*I$6),IF($E105="Debt",$G105*Inputs!E$15/12,IF($E105="Reserve Yield",Inputs!E$13*Inputs!E$16,H105)))))))))))</f>
        <v>0</v>
      </c>
      <c r="J105" s="11" t="n">
        <f aca="false">IF($E105="Manual",N105,IF($E105="Flat",I105,IF($E105="Inflation",I105*(1+Inputs!F$12),IF($E105="Salary",I105*(1+Inputs!F$10),IF($E105="Benefits",I105*(1+Inputs!F$11),IF($E105="Per Student",I105*J$4/I$4*(1+Inputs!F$12),IF($E105="Enrollment",I105*J$4/I$4,IF($E105="Tuition Index",I105*J$5/I$5,IF($E105="% of Salaries",IF($G$6=0,0,$G105/$G$6*J$6),IF($E105="Debt",$G105*Inputs!F$15/12,IF($E105="Reserve Yield",Inputs!F$13*Inputs!F$16,I105)))))))))))</f>
        <v>0</v>
      </c>
      <c r="K105" s="11" t="n">
        <f aca="false">IF($E105="Manual",O105,IF($E105="Flat",J105,IF($E105="Inflation",J105*(1+Inputs!G$12),IF($E105="Salary",J105*(1+Inputs!G$10),IF($E105="Benefits",J105*(1+Inputs!G$11),IF($E105="Per Student",J105*K$4/J$4*(1+Inputs!G$12),IF($E105="Enrollment",J105*K$4/J$4,IF($E105="Tuition Index",J105*K$5/J$5,IF($E105="% of Salaries",IF($G$6=0,0,$G105/$G$6*K$6),IF($E105="Debt",$G105*Inputs!G$15/12,IF($E105="Reserve Yield",Inputs!G$13*Inputs!G$16,J105)))))))))))</f>
        <v>0</v>
      </c>
      <c r="L105" s="22"/>
      <c r="M105" s="22"/>
      <c r="N105" s="22"/>
      <c r="O105" s="22"/>
    </row>
    <row r="106" customFormat="false" ht="15" hidden="false" customHeight="false" outlineLevel="0" collapsed="false">
      <c r="A106" s="6" t="s">
        <v>281</v>
      </c>
      <c r="B106" s="6" t="s">
        <v>15</v>
      </c>
      <c r="C106" s="30" t="s">
        <v>373</v>
      </c>
      <c r="D106" s="6" t="s">
        <v>374</v>
      </c>
      <c r="E106" s="20" t="s">
        <v>186</v>
      </c>
      <c r="F106" s="20" t="s">
        <v>132</v>
      </c>
      <c r="G106" s="31" t="n">
        <f aca="false">SUMIFS('QB Import'!$B$1:$B$600,'QB Import'!$H$1:$H$600,$C106,'QB Import'!$G$1:$G$600,1)</f>
        <v>0</v>
      </c>
      <c r="H106" s="11" t="n">
        <f aca="false">IF($E106="Manual",L106,IF($E106="Flat",G106,IF($E106="Inflation",G106*(1+Inputs!D$12),IF($E106="Salary",G106*(1+Inputs!D$10),IF($E106="Benefits",G106*(1+Inputs!D$11),IF($E106="Per Student",G106*H$4/G$4*(1+Inputs!D$12),IF($E106="Enrollment",G106*H$4/G$4,IF($E106="Tuition Index",G106*H$5/G$5,IF($E106="% of Salaries",IF($G$6=0,0,$G106/$G$6*H$6),IF($E106="Debt",$G106*Inputs!D$15/12,IF($E106="Reserve Yield",Inputs!D$13*Inputs!D$16,G106)))))))))))</f>
        <v>0</v>
      </c>
      <c r="I106" s="11" t="n">
        <f aca="false">IF($E106="Manual",M106,IF($E106="Flat",H106,IF($E106="Inflation",H106*(1+Inputs!E$12),IF($E106="Salary",H106*(1+Inputs!E$10),IF($E106="Benefits",H106*(1+Inputs!E$11),IF($E106="Per Student",H106*I$4/H$4*(1+Inputs!E$12),IF($E106="Enrollment",H106*I$4/H$4,IF($E106="Tuition Index",H106*I$5/H$5,IF($E106="% of Salaries",IF($G$6=0,0,$G106/$G$6*I$6),IF($E106="Debt",$G106*Inputs!E$15/12,IF($E106="Reserve Yield",Inputs!E$13*Inputs!E$16,H106)))))))))))</f>
        <v>0</v>
      </c>
      <c r="J106" s="11" t="n">
        <f aca="false">IF($E106="Manual",N106,IF($E106="Flat",I106,IF($E106="Inflation",I106*(1+Inputs!F$12),IF($E106="Salary",I106*(1+Inputs!F$10),IF($E106="Benefits",I106*(1+Inputs!F$11),IF($E106="Per Student",I106*J$4/I$4*(1+Inputs!F$12),IF($E106="Enrollment",I106*J$4/I$4,IF($E106="Tuition Index",I106*J$5/I$5,IF($E106="% of Salaries",IF($G$6=0,0,$G106/$G$6*J$6),IF($E106="Debt",$G106*Inputs!F$15/12,IF($E106="Reserve Yield",Inputs!F$13*Inputs!F$16,I106)))))))))))</f>
        <v>0</v>
      </c>
      <c r="K106" s="11" t="n">
        <f aca="false">IF($E106="Manual",O106,IF($E106="Flat",J106,IF($E106="Inflation",J106*(1+Inputs!G$12),IF($E106="Salary",J106*(1+Inputs!G$10),IF($E106="Benefits",J106*(1+Inputs!G$11),IF($E106="Per Student",J106*K$4/J$4*(1+Inputs!G$12),IF($E106="Enrollment",J106*K$4/J$4,IF($E106="Tuition Index",J106*K$5/J$5,IF($E106="% of Salaries",IF($G$6=0,0,$G106/$G$6*K$6),IF($E106="Debt",$G106*Inputs!G$15/12,IF($E106="Reserve Yield",Inputs!G$13*Inputs!G$16,J106)))))))))))</f>
        <v>0</v>
      </c>
      <c r="L106" s="22"/>
      <c r="M106" s="22"/>
      <c r="N106" s="22"/>
      <c r="O106" s="22"/>
    </row>
    <row r="107" customFormat="false" ht="15" hidden="false" customHeight="false" outlineLevel="0" collapsed="false">
      <c r="A107" s="6" t="s">
        <v>281</v>
      </c>
      <c r="B107" s="6" t="s">
        <v>15</v>
      </c>
      <c r="C107" s="30" t="s">
        <v>375</v>
      </c>
      <c r="D107" s="6" t="s">
        <v>376</v>
      </c>
      <c r="E107" s="20" t="s">
        <v>316</v>
      </c>
      <c r="F107" s="20" t="s">
        <v>132</v>
      </c>
      <c r="G107" s="31" t="n">
        <f aca="false">SUMIFS('QB Import'!$B$1:$B$600,'QB Import'!$H$1:$H$600,$C107,'QB Import'!$G$1:$G$600,1)</f>
        <v>1000</v>
      </c>
      <c r="H107" s="11" t="n">
        <f aca="false">IF($E107="Manual",L107,IF($E107="Flat",G107,IF($E107="Inflation",G107*(1+Inputs!D$12),IF($E107="Salary",G107*(1+Inputs!D$10),IF($E107="Benefits",G107*(1+Inputs!D$11),IF($E107="Per Student",G107*H$4/G$4*(1+Inputs!D$12),IF($E107="Enrollment",G107*H$4/G$4,IF($E107="Tuition Index",G107*H$5/G$5,IF($E107="% of Salaries",IF($G$6=0,0,$G107/$G$6*H$6),IF($E107="Debt",$G107*Inputs!D$15/12,IF($E107="Reserve Yield",Inputs!D$13*Inputs!D$16,G107)))))))))))</f>
        <v>1030</v>
      </c>
      <c r="I107" s="11" t="n">
        <f aca="false">IF($E107="Manual",M107,IF($E107="Flat",H107,IF($E107="Inflation",H107*(1+Inputs!E$12),IF($E107="Salary",H107*(1+Inputs!E$10),IF($E107="Benefits",H107*(1+Inputs!E$11),IF($E107="Per Student",H107*I$4/H$4*(1+Inputs!E$12),IF($E107="Enrollment",H107*I$4/H$4,IF($E107="Tuition Index",H107*I$5/H$5,IF($E107="% of Salaries",IF($G$6=0,0,$G107/$G$6*I$6),IF($E107="Debt",$G107*Inputs!E$15/12,IF($E107="Reserve Yield",Inputs!E$13*Inputs!E$16,H107)))))))))))</f>
        <v>1060.9</v>
      </c>
      <c r="J107" s="11" t="n">
        <f aca="false">IF($E107="Manual",N107,IF($E107="Flat",I107,IF($E107="Inflation",I107*(1+Inputs!F$12),IF($E107="Salary",I107*(1+Inputs!F$10),IF($E107="Benefits",I107*(1+Inputs!F$11),IF($E107="Per Student",I107*J$4/I$4*(1+Inputs!F$12),IF($E107="Enrollment",I107*J$4/I$4,IF($E107="Tuition Index",I107*J$5/I$5,IF($E107="% of Salaries",IF($G$6=0,0,$G107/$G$6*J$6),IF($E107="Debt",$G107*Inputs!F$15/12,IF($E107="Reserve Yield",Inputs!F$13*Inputs!F$16,I107)))))))))))</f>
        <v>1092.727</v>
      </c>
      <c r="K107" s="11" t="n">
        <f aca="false">IF($E107="Manual",O107,IF($E107="Flat",J107,IF($E107="Inflation",J107*(1+Inputs!G$12),IF($E107="Salary",J107*(1+Inputs!G$10),IF($E107="Benefits",J107*(1+Inputs!G$11),IF($E107="Per Student",J107*K$4/J$4*(1+Inputs!G$12),IF($E107="Enrollment",J107*K$4/J$4,IF($E107="Tuition Index",J107*K$5/J$5,IF($E107="% of Salaries",IF($G$6=0,0,$G107/$G$6*K$6),IF($E107="Debt",$G107*Inputs!G$15/12,IF($E107="Reserve Yield",Inputs!G$13*Inputs!G$16,J107)))))))))))</f>
        <v>1125.50881</v>
      </c>
      <c r="L107" s="22"/>
      <c r="M107" s="22"/>
      <c r="N107" s="22"/>
      <c r="O107" s="22"/>
    </row>
    <row r="108" customFormat="false" ht="15" hidden="false" customHeight="false" outlineLevel="0" collapsed="false">
      <c r="A108" s="6" t="s">
        <v>281</v>
      </c>
      <c r="B108" s="6" t="s">
        <v>15</v>
      </c>
      <c r="C108" s="30" t="s">
        <v>377</v>
      </c>
      <c r="D108" s="6" t="s">
        <v>378</v>
      </c>
      <c r="E108" s="20" t="s">
        <v>316</v>
      </c>
      <c r="F108" s="20" t="s">
        <v>132</v>
      </c>
      <c r="G108" s="31" t="n">
        <f aca="false">SUMIFS('QB Import'!$B$1:$B$600,'QB Import'!$H$1:$H$600,$C108,'QB Import'!$G$1:$G$600,1)</f>
        <v>7000</v>
      </c>
      <c r="H108" s="11" t="n">
        <f aca="false">IF($E108="Manual",L108,IF($E108="Flat",G108,IF($E108="Inflation",G108*(1+Inputs!D$12),IF($E108="Salary",G108*(1+Inputs!D$10),IF($E108="Benefits",G108*(1+Inputs!D$11),IF($E108="Per Student",G108*H$4/G$4*(1+Inputs!D$12),IF($E108="Enrollment",G108*H$4/G$4,IF($E108="Tuition Index",G108*H$5/G$5,IF($E108="% of Salaries",IF($G$6=0,0,$G108/$G$6*H$6),IF($E108="Debt",$G108*Inputs!D$15/12,IF($E108="Reserve Yield",Inputs!D$13*Inputs!D$16,G108)))))))))))</f>
        <v>7210</v>
      </c>
      <c r="I108" s="11" t="n">
        <f aca="false">IF($E108="Manual",M108,IF($E108="Flat",H108,IF($E108="Inflation",H108*(1+Inputs!E$12),IF($E108="Salary",H108*(1+Inputs!E$10),IF($E108="Benefits",H108*(1+Inputs!E$11),IF($E108="Per Student",H108*I$4/H$4*(1+Inputs!E$12),IF($E108="Enrollment",H108*I$4/H$4,IF($E108="Tuition Index",H108*I$5/H$5,IF($E108="% of Salaries",IF($G$6=0,0,$G108/$G$6*I$6),IF($E108="Debt",$G108*Inputs!E$15/12,IF($E108="Reserve Yield",Inputs!E$13*Inputs!E$16,H108)))))))))))</f>
        <v>7426.3</v>
      </c>
      <c r="J108" s="11" t="n">
        <f aca="false">IF($E108="Manual",N108,IF($E108="Flat",I108,IF($E108="Inflation",I108*(1+Inputs!F$12),IF($E108="Salary",I108*(1+Inputs!F$10),IF($E108="Benefits",I108*(1+Inputs!F$11),IF($E108="Per Student",I108*J$4/I$4*(1+Inputs!F$12),IF($E108="Enrollment",I108*J$4/I$4,IF($E108="Tuition Index",I108*J$5/I$5,IF($E108="% of Salaries",IF($G$6=0,0,$G108/$G$6*J$6),IF($E108="Debt",$G108*Inputs!F$15/12,IF($E108="Reserve Yield",Inputs!F$13*Inputs!F$16,I108)))))))))))</f>
        <v>7649.089</v>
      </c>
      <c r="K108" s="11" t="n">
        <f aca="false">IF($E108="Manual",O108,IF($E108="Flat",J108,IF($E108="Inflation",J108*(1+Inputs!G$12),IF($E108="Salary",J108*(1+Inputs!G$10),IF($E108="Benefits",J108*(1+Inputs!G$11),IF($E108="Per Student",J108*K$4/J$4*(1+Inputs!G$12),IF($E108="Enrollment",J108*K$4/J$4,IF($E108="Tuition Index",J108*K$5/J$5,IF($E108="% of Salaries",IF($G$6=0,0,$G108/$G$6*K$6),IF($E108="Debt",$G108*Inputs!G$15/12,IF($E108="Reserve Yield",Inputs!G$13*Inputs!G$16,J108)))))))))))</f>
        <v>7878.56167</v>
      </c>
      <c r="L108" s="22"/>
      <c r="M108" s="22"/>
      <c r="N108" s="22"/>
      <c r="O108" s="22"/>
    </row>
    <row r="109" customFormat="false" ht="15" hidden="false" customHeight="false" outlineLevel="0" collapsed="false">
      <c r="A109" s="6" t="s">
        <v>281</v>
      </c>
      <c r="B109" s="6" t="s">
        <v>15</v>
      </c>
      <c r="C109" s="30" t="s">
        <v>379</v>
      </c>
      <c r="D109" s="6" t="s">
        <v>379</v>
      </c>
      <c r="E109" s="20" t="s">
        <v>316</v>
      </c>
      <c r="F109" s="20" t="s">
        <v>132</v>
      </c>
      <c r="G109" s="31" t="n">
        <f aca="false">SUMIFS('QB Import'!$B$1:$B$600,'QB Import'!$H$1:$H$600,$C109,'QB Import'!$G$1:$G$600,1)</f>
        <v>5000</v>
      </c>
      <c r="H109" s="11" t="n">
        <f aca="false">IF($E109="Manual",L109,IF($E109="Flat",G109,IF($E109="Inflation",G109*(1+Inputs!D$12),IF($E109="Salary",G109*(1+Inputs!D$10),IF($E109="Benefits",G109*(1+Inputs!D$11),IF($E109="Per Student",G109*H$4/G$4*(1+Inputs!D$12),IF($E109="Enrollment",G109*H$4/G$4,IF($E109="Tuition Index",G109*H$5/G$5,IF($E109="% of Salaries",IF($G$6=0,0,$G109/$G$6*H$6),IF($E109="Debt",$G109*Inputs!D$15/12,IF($E109="Reserve Yield",Inputs!D$13*Inputs!D$16,G109)))))))))))</f>
        <v>5150</v>
      </c>
      <c r="I109" s="11" t="n">
        <f aca="false">IF($E109="Manual",M109,IF($E109="Flat",H109,IF($E109="Inflation",H109*(1+Inputs!E$12),IF($E109="Salary",H109*(1+Inputs!E$10),IF($E109="Benefits",H109*(1+Inputs!E$11),IF($E109="Per Student",H109*I$4/H$4*(1+Inputs!E$12),IF($E109="Enrollment",H109*I$4/H$4,IF($E109="Tuition Index",H109*I$5/H$5,IF($E109="% of Salaries",IF($G$6=0,0,$G109/$G$6*I$6),IF($E109="Debt",$G109*Inputs!E$15/12,IF($E109="Reserve Yield",Inputs!E$13*Inputs!E$16,H109)))))))))))</f>
        <v>5304.5</v>
      </c>
      <c r="J109" s="11" t="n">
        <f aca="false">IF($E109="Manual",N109,IF($E109="Flat",I109,IF($E109="Inflation",I109*(1+Inputs!F$12),IF($E109="Salary",I109*(1+Inputs!F$10),IF($E109="Benefits",I109*(1+Inputs!F$11),IF($E109="Per Student",I109*J$4/I$4*(1+Inputs!F$12),IF($E109="Enrollment",I109*J$4/I$4,IF($E109="Tuition Index",I109*J$5/I$5,IF($E109="% of Salaries",IF($G$6=0,0,$G109/$G$6*J$6),IF($E109="Debt",$G109*Inputs!F$15/12,IF($E109="Reserve Yield",Inputs!F$13*Inputs!F$16,I109)))))))))))</f>
        <v>5463.635</v>
      </c>
      <c r="K109" s="11" t="n">
        <f aca="false">IF($E109="Manual",O109,IF($E109="Flat",J109,IF($E109="Inflation",J109*(1+Inputs!G$12),IF($E109="Salary",J109*(1+Inputs!G$10),IF($E109="Benefits",J109*(1+Inputs!G$11),IF($E109="Per Student",J109*K$4/J$4*(1+Inputs!G$12),IF($E109="Enrollment",J109*K$4/J$4,IF($E109="Tuition Index",J109*K$5/J$5,IF($E109="% of Salaries",IF($G$6=0,0,$G109/$G$6*K$6),IF($E109="Debt",$G109*Inputs!G$15/12,IF($E109="Reserve Yield",Inputs!G$13*Inputs!G$16,J109)))))))))))</f>
        <v>5627.54405</v>
      </c>
      <c r="L109" s="22"/>
      <c r="M109" s="22"/>
      <c r="N109" s="22"/>
      <c r="O109" s="22"/>
    </row>
    <row r="110" customFormat="false" ht="15" hidden="false" customHeight="false" outlineLevel="0" collapsed="false">
      <c r="A110" s="6" t="s">
        <v>281</v>
      </c>
      <c r="B110" s="6" t="s">
        <v>15</v>
      </c>
      <c r="C110" s="30" t="s">
        <v>380</v>
      </c>
      <c r="D110" s="6" t="s">
        <v>381</v>
      </c>
      <c r="E110" s="20" t="s">
        <v>186</v>
      </c>
      <c r="F110" s="20" t="s">
        <v>132</v>
      </c>
      <c r="G110" s="31" t="n">
        <f aca="false">SUMIFS('QB Import'!$B$1:$B$600,'QB Import'!$H$1:$H$600,$C110,'QB Import'!$G$1:$G$600,1)</f>
        <v>0</v>
      </c>
      <c r="H110" s="11" t="n">
        <f aca="false">IF($E110="Manual",L110,IF($E110="Flat",G110,IF($E110="Inflation",G110*(1+Inputs!D$12),IF($E110="Salary",G110*(1+Inputs!D$10),IF($E110="Benefits",G110*(1+Inputs!D$11),IF($E110="Per Student",G110*H$4/G$4*(1+Inputs!D$12),IF($E110="Enrollment",G110*H$4/G$4,IF($E110="Tuition Index",G110*H$5/G$5,IF($E110="% of Salaries",IF($G$6=0,0,$G110/$G$6*H$6),IF($E110="Debt",$G110*Inputs!D$15/12,IF($E110="Reserve Yield",Inputs!D$13*Inputs!D$16,G110)))))))))))</f>
        <v>0</v>
      </c>
      <c r="I110" s="11" t="n">
        <f aca="false">IF($E110="Manual",M110,IF($E110="Flat",H110,IF($E110="Inflation",H110*(1+Inputs!E$12),IF($E110="Salary",H110*(1+Inputs!E$10),IF($E110="Benefits",H110*(1+Inputs!E$11),IF($E110="Per Student",H110*I$4/H$4*(1+Inputs!E$12),IF($E110="Enrollment",H110*I$4/H$4,IF($E110="Tuition Index",H110*I$5/H$5,IF($E110="% of Salaries",IF($G$6=0,0,$G110/$G$6*I$6),IF($E110="Debt",$G110*Inputs!E$15/12,IF($E110="Reserve Yield",Inputs!E$13*Inputs!E$16,H110)))))))))))</f>
        <v>0</v>
      </c>
      <c r="J110" s="11" t="n">
        <f aca="false">IF($E110="Manual",N110,IF($E110="Flat",I110,IF($E110="Inflation",I110*(1+Inputs!F$12),IF($E110="Salary",I110*(1+Inputs!F$10),IF($E110="Benefits",I110*(1+Inputs!F$11),IF($E110="Per Student",I110*J$4/I$4*(1+Inputs!F$12),IF($E110="Enrollment",I110*J$4/I$4,IF($E110="Tuition Index",I110*J$5/I$5,IF($E110="% of Salaries",IF($G$6=0,0,$G110/$G$6*J$6),IF($E110="Debt",$G110*Inputs!F$15/12,IF($E110="Reserve Yield",Inputs!F$13*Inputs!F$16,I110)))))))))))</f>
        <v>0</v>
      </c>
      <c r="K110" s="11" t="n">
        <f aca="false">IF($E110="Manual",O110,IF($E110="Flat",J110,IF($E110="Inflation",J110*(1+Inputs!G$12),IF($E110="Salary",J110*(1+Inputs!G$10),IF($E110="Benefits",J110*(1+Inputs!G$11),IF($E110="Per Student",J110*K$4/J$4*(1+Inputs!G$12),IF($E110="Enrollment",J110*K$4/J$4,IF($E110="Tuition Index",J110*K$5/J$5,IF($E110="% of Salaries",IF($G$6=0,0,$G110/$G$6*K$6),IF($E110="Debt",$G110*Inputs!G$15/12,IF($E110="Reserve Yield",Inputs!G$13*Inputs!G$16,J110)))))))))))</f>
        <v>0</v>
      </c>
      <c r="L110" s="22"/>
      <c r="M110" s="22"/>
      <c r="N110" s="22"/>
      <c r="O110" s="22"/>
    </row>
    <row r="111" customFormat="false" ht="15" hidden="false" customHeight="false" outlineLevel="0" collapsed="false">
      <c r="A111" s="6" t="s">
        <v>281</v>
      </c>
      <c r="B111" s="6" t="s">
        <v>15</v>
      </c>
      <c r="C111" s="30" t="s">
        <v>382</v>
      </c>
      <c r="D111" s="6" t="s">
        <v>383</v>
      </c>
      <c r="E111" s="20" t="s">
        <v>316</v>
      </c>
      <c r="F111" s="20" t="s">
        <v>132</v>
      </c>
      <c r="G111" s="31" t="n">
        <f aca="false">SUMIFS('QB Import'!$B$1:$B$600,'QB Import'!$H$1:$H$600,$C111,'QB Import'!$G$1:$G$600,1)</f>
        <v>10000</v>
      </c>
      <c r="H111" s="11" t="n">
        <f aca="false">IF($E111="Manual",L111,IF($E111="Flat",G111,IF($E111="Inflation",G111*(1+Inputs!D$12),IF($E111="Salary",G111*(1+Inputs!D$10),IF($E111="Benefits",G111*(1+Inputs!D$11),IF($E111="Per Student",G111*H$4/G$4*(1+Inputs!D$12),IF($E111="Enrollment",G111*H$4/G$4,IF($E111="Tuition Index",G111*H$5/G$5,IF($E111="% of Salaries",IF($G$6=0,0,$G111/$G$6*H$6),IF($E111="Debt",$G111*Inputs!D$15/12,IF($E111="Reserve Yield",Inputs!D$13*Inputs!D$16,G111)))))))))))</f>
        <v>10300</v>
      </c>
      <c r="I111" s="11" t="n">
        <f aca="false">IF($E111="Manual",M111,IF($E111="Flat",H111,IF($E111="Inflation",H111*(1+Inputs!E$12),IF($E111="Salary",H111*(1+Inputs!E$10),IF($E111="Benefits",H111*(1+Inputs!E$11),IF($E111="Per Student",H111*I$4/H$4*(1+Inputs!E$12),IF($E111="Enrollment",H111*I$4/H$4,IF($E111="Tuition Index",H111*I$5/H$5,IF($E111="% of Salaries",IF($G$6=0,0,$G111/$G$6*I$6),IF($E111="Debt",$G111*Inputs!E$15/12,IF($E111="Reserve Yield",Inputs!E$13*Inputs!E$16,H111)))))))))))</f>
        <v>10609</v>
      </c>
      <c r="J111" s="11" t="n">
        <f aca="false">IF($E111="Manual",N111,IF($E111="Flat",I111,IF($E111="Inflation",I111*(1+Inputs!F$12),IF($E111="Salary",I111*(1+Inputs!F$10),IF($E111="Benefits",I111*(1+Inputs!F$11),IF($E111="Per Student",I111*J$4/I$4*(1+Inputs!F$12),IF($E111="Enrollment",I111*J$4/I$4,IF($E111="Tuition Index",I111*J$5/I$5,IF($E111="% of Salaries",IF($G$6=0,0,$G111/$G$6*J$6),IF($E111="Debt",$G111*Inputs!F$15/12,IF($E111="Reserve Yield",Inputs!F$13*Inputs!F$16,I111)))))))))))</f>
        <v>10927.27</v>
      </c>
      <c r="K111" s="11" t="n">
        <f aca="false">IF($E111="Manual",O111,IF($E111="Flat",J111,IF($E111="Inflation",J111*(1+Inputs!G$12),IF($E111="Salary",J111*(1+Inputs!G$10),IF($E111="Benefits",J111*(1+Inputs!G$11),IF($E111="Per Student",J111*K$4/J$4*(1+Inputs!G$12),IF($E111="Enrollment",J111*K$4/J$4,IF($E111="Tuition Index",J111*K$5/J$5,IF($E111="% of Salaries",IF($G$6=0,0,$G111/$G$6*K$6),IF($E111="Debt",$G111*Inputs!G$15/12,IF($E111="Reserve Yield",Inputs!G$13*Inputs!G$16,J111)))))))))))</f>
        <v>11255.0881</v>
      </c>
      <c r="L111" s="22"/>
      <c r="M111" s="22"/>
      <c r="N111" s="22"/>
      <c r="O111" s="22"/>
    </row>
    <row r="112" customFormat="false" ht="15" hidden="false" customHeight="false" outlineLevel="0" collapsed="false">
      <c r="A112" s="6" t="s">
        <v>281</v>
      </c>
      <c r="B112" s="6" t="s">
        <v>15</v>
      </c>
      <c r="C112" s="30" t="s">
        <v>384</v>
      </c>
      <c r="D112" s="6" t="s">
        <v>385</v>
      </c>
      <c r="E112" s="20" t="s">
        <v>186</v>
      </c>
      <c r="F112" s="20" t="s">
        <v>132</v>
      </c>
      <c r="G112" s="31" t="n">
        <f aca="false">SUMIFS('QB Import'!$B$1:$B$600,'QB Import'!$H$1:$H$600,$C112,'QB Import'!$G$1:$G$600,1)</f>
        <v>0</v>
      </c>
      <c r="H112" s="11" t="n">
        <f aca="false">IF($E112="Manual",L112,IF($E112="Flat",G112,IF($E112="Inflation",G112*(1+Inputs!D$12),IF($E112="Salary",G112*(1+Inputs!D$10),IF($E112="Benefits",G112*(1+Inputs!D$11),IF($E112="Per Student",G112*H$4/G$4*(1+Inputs!D$12),IF($E112="Enrollment",G112*H$4/G$4,IF($E112="Tuition Index",G112*H$5/G$5,IF($E112="% of Salaries",IF($G$6=0,0,$G112/$G$6*H$6),IF($E112="Debt",$G112*Inputs!D$15/12,IF($E112="Reserve Yield",Inputs!D$13*Inputs!D$16,G112)))))))))))</f>
        <v>0</v>
      </c>
      <c r="I112" s="11" t="n">
        <f aca="false">IF($E112="Manual",M112,IF($E112="Flat",H112,IF($E112="Inflation",H112*(1+Inputs!E$12),IF($E112="Salary",H112*(1+Inputs!E$10),IF($E112="Benefits",H112*(1+Inputs!E$11),IF($E112="Per Student",H112*I$4/H$4*(1+Inputs!E$12),IF($E112="Enrollment",H112*I$4/H$4,IF($E112="Tuition Index",H112*I$5/H$5,IF($E112="% of Salaries",IF($G$6=0,0,$G112/$G$6*I$6),IF($E112="Debt",$G112*Inputs!E$15/12,IF($E112="Reserve Yield",Inputs!E$13*Inputs!E$16,H112)))))))))))</f>
        <v>0</v>
      </c>
      <c r="J112" s="11" t="n">
        <f aca="false">IF($E112="Manual",N112,IF($E112="Flat",I112,IF($E112="Inflation",I112*(1+Inputs!F$12),IF($E112="Salary",I112*(1+Inputs!F$10),IF($E112="Benefits",I112*(1+Inputs!F$11),IF($E112="Per Student",I112*J$4/I$4*(1+Inputs!F$12),IF($E112="Enrollment",I112*J$4/I$4,IF($E112="Tuition Index",I112*J$5/I$5,IF($E112="% of Salaries",IF($G$6=0,0,$G112/$G$6*J$6),IF($E112="Debt",$G112*Inputs!F$15/12,IF($E112="Reserve Yield",Inputs!F$13*Inputs!F$16,I112)))))))))))</f>
        <v>0</v>
      </c>
      <c r="K112" s="11" t="n">
        <f aca="false">IF($E112="Manual",O112,IF($E112="Flat",J112,IF($E112="Inflation",J112*(1+Inputs!G$12),IF($E112="Salary",J112*(1+Inputs!G$10),IF($E112="Benefits",J112*(1+Inputs!G$11),IF($E112="Per Student",J112*K$4/J$4*(1+Inputs!G$12),IF($E112="Enrollment",J112*K$4/J$4,IF($E112="Tuition Index",J112*K$5/J$5,IF($E112="% of Salaries",IF($G$6=0,0,$G112/$G$6*K$6),IF($E112="Debt",$G112*Inputs!G$15/12,IF($E112="Reserve Yield",Inputs!G$13*Inputs!G$16,J112)))))))))))</f>
        <v>0</v>
      </c>
      <c r="L112" s="22"/>
      <c r="M112" s="22"/>
      <c r="N112" s="22"/>
      <c r="O112" s="22"/>
    </row>
    <row r="113" customFormat="false" ht="15" hidden="false" customHeight="false" outlineLevel="0" collapsed="false">
      <c r="A113" s="6" t="s">
        <v>281</v>
      </c>
      <c r="B113" s="6" t="s">
        <v>15</v>
      </c>
      <c r="C113" s="30" t="s">
        <v>386</v>
      </c>
      <c r="D113" s="6" t="s">
        <v>387</v>
      </c>
      <c r="E113" s="20" t="s">
        <v>186</v>
      </c>
      <c r="F113" s="20" t="s">
        <v>132</v>
      </c>
      <c r="G113" s="31" t="n">
        <f aca="false">SUMIFS('QB Import'!$B$1:$B$600,'QB Import'!$H$1:$H$600,$C113,'QB Import'!$G$1:$G$600,1)</f>
        <v>0</v>
      </c>
      <c r="H113" s="11" t="n">
        <f aca="false">IF($E113="Manual",L113,IF($E113="Flat",G113,IF($E113="Inflation",G113*(1+Inputs!D$12),IF($E113="Salary",G113*(1+Inputs!D$10),IF($E113="Benefits",G113*(1+Inputs!D$11),IF($E113="Per Student",G113*H$4/G$4*(1+Inputs!D$12),IF($E113="Enrollment",G113*H$4/G$4,IF($E113="Tuition Index",G113*H$5/G$5,IF($E113="% of Salaries",IF($G$6=0,0,$G113/$G$6*H$6),IF($E113="Debt",$G113*Inputs!D$15/12,IF($E113="Reserve Yield",Inputs!D$13*Inputs!D$16,G113)))))))))))</f>
        <v>0</v>
      </c>
      <c r="I113" s="11" t="n">
        <f aca="false">IF($E113="Manual",M113,IF($E113="Flat",H113,IF($E113="Inflation",H113*(1+Inputs!E$12),IF($E113="Salary",H113*(1+Inputs!E$10),IF($E113="Benefits",H113*(1+Inputs!E$11),IF($E113="Per Student",H113*I$4/H$4*(1+Inputs!E$12),IF($E113="Enrollment",H113*I$4/H$4,IF($E113="Tuition Index",H113*I$5/H$5,IF($E113="% of Salaries",IF($G$6=0,0,$G113/$G$6*I$6),IF($E113="Debt",$G113*Inputs!E$15/12,IF($E113="Reserve Yield",Inputs!E$13*Inputs!E$16,H113)))))))))))</f>
        <v>0</v>
      </c>
      <c r="J113" s="11" t="n">
        <f aca="false">IF($E113="Manual",N113,IF($E113="Flat",I113,IF($E113="Inflation",I113*(1+Inputs!F$12),IF($E113="Salary",I113*(1+Inputs!F$10),IF($E113="Benefits",I113*(1+Inputs!F$11),IF($E113="Per Student",I113*J$4/I$4*(1+Inputs!F$12),IF($E113="Enrollment",I113*J$4/I$4,IF($E113="Tuition Index",I113*J$5/I$5,IF($E113="% of Salaries",IF($G$6=0,0,$G113/$G$6*J$6),IF($E113="Debt",$G113*Inputs!F$15/12,IF($E113="Reserve Yield",Inputs!F$13*Inputs!F$16,I113)))))))))))</f>
        <v>0</v>
      </c>
      <c r="K113" s="11" t="n">
        <f aca="false">IF($E113="Manual",O113,IF($E113="Flat",J113,IF($E113="Inflation",J113*(1+Inputs!G$12),IF($E113="Salary",J113*(1+Inputs!G$10),IF($E113="Benefits",J113*(1+Inputs!G$11),IF($E113="Per Student",J113*K$4/J$4*(1+Inputs!G$12),IF($E113="Enrollment",J113*K$4/J$4,IF($E113="Tuition Index",J113*K$5/J$5,IF($E113="% of Salaries",IF($G$6=0,0,$G113/$G$6*K$6),IF($E113="Debt",$G113*Inputs!G$15/12,IF($E113="Reserve Yield",Inputs!G$13*Inputs!G$16,J113)))))))))))</f>
        <v>0</v>
      </c>
      <c r="L113" s="22"/>
      <c r="M113" s="22"/>
      <c r="N113" s="22"/>
      <c r="O113" s="22"/>
    </row>
    <row r="114" customFormat="false" ht="15" hidden="false" customHeight="false" outlineLevel="0" collapsed="false">
      <c r="A114" s="6" t="s">
        <v>281</v>
      </c>
      <c r="B114" s="6" t="s">
        <v>15</v>
      </c>
      <c r="C114" s="30" t="s">
        <v>388</v>
      </c>
      <c r="D114" s="6" t="s">
        <v>389</v>
      </c>
      <c r="E114" s="20" t="s">
        <v>186</v>
      </c>
      <c r="F114" s="20" t="s">
        <v>132</v>
      </c>
      <c r="G114" s="31" t="n">
        <f aca="false">SUMIFS('QB Import'!$B$1:$B$600,'QB Import'!$H$1:$H$600,$C114,'QB Import'!$G$1:$G$600,1)</f>
        <v>0</v>
      </c>
      <c r="H114" s="11" t="n">
        <f aca="false">IF($E114="Manual",L114,IF($E114="Flat",G114,IF($E114="Inflation",G114*(1+Inputs!D$12),IF($E114="Salary",G114*(1+Inputs!D$10),IF($E114="Benefits",G114*(1+Inputs!D$11),IF($E114="Per Student",G114*H$4/G$4*(1+Inputs!D$12),IF($E114="Enrollment",G114*H$4/G$4,IF($E114="Tuition Index",G114*H$5/G$5,IF($E114="% of Salaries",IF($G$6=0,0,$G114/$G$6*H$6),IF($E114="Debt",$G114*Inputs!D$15/12,IF($E114="Reserve Yield",Inputs!D$13*Inputs!D$16,G114)))))))))))</f>
        <v>0</v>
      </c>
      <c r="I114" s="11" t="n">
        <f aca="false">IF($E114="Manual",M114,IF($E114="Flat",H114,IF($E114="Inflation",H114*(1+Inputs!E$12),IF($E114="Salary",H114*(1+Inputs!E$10),IF($E114="Benefits",H114*(1+Inputs!E$11),IF($E114="Per Student",H114*I$4/H$4*(1+Inputs!E$12),IF($E114="Enrollment",H114*I$4/H$4,IF($E114="Tuition Index",H114*I$5/H$5,IF($E114="% of Salaries",IF($G$6=0,0,$G114/$G$6*I$6),IF($E114="Debt",$G114*Inputs!E$15/12,IF($E114="Reserve Yield",Inputs!E$13*Inputs!E$16,H114)))))))))))</f>
        <v>0</v>
      </c>
      <c r="J114" s="11" t="n">
        <f aca="false">IF($E114="Manual",N114,IF($E114="Flat",I114,IF($E114="Inflation",I114*(1+Inputs!F$12),IF($E114="Salary",I114*(1+Inputs!F$10),IF($E114="Benefits",I114*(1+Inputs!F$11),IF($E114="Per Student",I114*J$4/I$4*(1+Inputs!F$12),IF($E114="Enrollment",I114*J$4/I$4,IF($E114="Tuition Index",I114*J$5/I$5,IF($E114="% of Salaries",IF($G$6=0,0,$G114/$G$6*J$6),IF($E114="Debt",$G114*Inputs!F$15/12,IF($E114="Reserve Yield",Inputs!F$13*Inputs!F$16,I114)))))))))))</f>
        <v>0</v>
      </c>
      <c r="K114" s="11" t="n">
        <f aca="false">IF($E114="Manual",O114,IF($E114="Flat",J114,IF($E114="Inflation",J114*(1+Inputs!G$12),IF($E114="Salary",J114*(1+Inputs!G$10),IF($E114="Benefits",J114*(1+Inputs!G$11),IF($E114="Per Student",J114*K$4/J$4*(1+Inputs!G$12),IF($E114="Enrollment",J114*K$4/J$4,IF($E114="Tuition Index",J114*K$5/J$5,IF($E114="% of Salaries",IF($G$6=0,0,$G114/$G$6*K$6),IF($E114="Debt",$G114*Inputs!G$15/12,IF($E114="Reserve Yield",Inputs!G$13*Inputs!G$16,J114)))))))))))</f>
        <v>0</v>
      </c>
      <c r="L114" s="22"/>
      <c r="M114" s="22"/>
      <c r="N114" s="22"/>
      <c r="O114" s="22"/>
    </row>
    <row r="115" customFormat="false" ht="15" hidden="false" customHeight="false" outlineLevel="0" collapsed="false">
      <c r="A115" s="6" t="s">
        <v>281</v>
      </c>
      <c r="B115" s="6" t="s">
        <v>15</v>
      </c>
      <c r="C115" s="30" t="s">
        <v>390</v>
      </c>
      <c r="D115" s="6" t="s">
        <v>391</v>
      </c>
      <c r="E115" s="20" t="s">
        <v>186</v>
      </c>
      <c r="F115" s="20" t="s">
        <v>132</v>
      </c>
      <c r="G115" s="31" t="n">
        <f aca="false">SUMIFS('QB Import'!$B$1:$B$600,'QB Import'!$H$1:$H$600,$C115,'QB Import'!$G$1:$G$600,1)</f>
        <v>0</v>
      </c>
      <c r="H115" s="11" t="n">
        <f aca="false">IF($E115="Manual",L115,IF($E115="Flat",G115,IF($E115="Inflation",G115*(1+Inputs!D$12),IF($E115="Salary",G115*(1+Inputs!D$10),IF($E115="Benefits",G115*(1+Inputs!D$11),IF($E115="Per Student",G115*H$4/G$4*(1+Inputs!D$12),IF($E115="Enrollment",G115*H$4/G$4,IF($E115="Tuition Index",G115*H$5/G$5,IF($E115="% of Salaries",IF($G$6=0,0,$G115/$G$6*H$6),IF($E115="Debt",$G115*Inputs!D$15/12,IF($E115="Reserve Yield",Inputs!D$13*Inputs!D$16,G115)))))))))))</f>
        <v>0</v>
      </c>
      <c r="I115" s="11" t="n">
        <f aca="false">IF($E115="Manual",M115,IF($E115="Flat",H115,IF($E115="Inflation",H115*(1+Inputs!E$12),IF($E115="Salary",H115*(1+Inputs!E$10),IF($E115="Benefits",H115*(1+Inputs!E$11),IF($E115="Per Student",H115*I$4/H$4*(1+Inputs!E$12),IF($E115="Enrollment",H115*I$4/H$4,IF($E115="Tuition Index",H115*I$5/H$5,IF($E115="% of Salaries",IF($G$6=0,0,$G115/$G$6*I$6),IF($E115="Debt",$G115*Inputs!E$15/12,IF($E115="Reserve Yield",Inputs!E$13*Inputs!E$16,H115)))))))))))</f>
        <v>0</v>
      </c>
      <c r="J115" s="11" t="n">
        <f aca="false">IF($E115="Manual",N115,IF($E115="Flat",I115,IF($E115="Inflation",I115*(1+Inputs!F$12),IF($E115="Salary",I115*(1+Inputs!F$10),IF($E115="Benefits",I115*(1+Inputs!F$11),IF($E115="Per Student",I115*J$4/I$4*(1+Inputs!F$12),IF($E115="Enrollment",I115*J$4/I$4,IF($E115="Tuition Index",I115*J$5/I$5,IF($E115="% of Salaries",IF($G$6=0,0,$G115/$G$6*J$6),IF($E115="Debt",$G115*Inputs!F$15/12,IF($E115="Reserve Yield",Inputs!F$13*Inputs!F$16,I115)))))))))))</f>
        <v>0</v>
      </c>
      <c r="K115" s="11" t="n">
        <f aca="false">IF($E115="Manual",O115,IF($E115="Flat",J115,IF($E115="Inflation",J115*(1+Inputs!G$12),IF($E115="Salary",J115*(1+Inputs!G$10),IF($E115="Benefits",J115*(1+Inputs!G$11),IF($E115="Per Student",J115*K$4/J$4*(1+Inputs!G$12),IF($E115="Enrollment",J115*K$4/J$4,IF($E115="Tuition Index",J115*K$5/J$5,IF($E115="% of Salaries",IF($G$6=0,0,$G115/$G$6*K$6),IF($E115="Debt",$G115*Inputs!G$15/12,IF($E115="Reserve Yield",Inputs!G$13*Inputs!G$16,J115)))))))))))</f>
        <v>0</v>
      </c>
      <c r="L115" s="22"/>
      <c r="M115" s="22"/>
      <c r="N115" s="22"/>
      <c r="O115" s="22"/>
    </row>
    <row r="116" customFormat="false" ht="15" hidden="false" customHeight="false" outlineLevel="0" collapsed="false">
      <c r="A116" s="6" t="s">
        <v>281</v>
      </c>
      <c r="B116" s="6" t="s">
        <v>15</v>
      </c>
      <c r="C116" s="30" t="s">
        <v>392</v>
      </c>
      <c r="D116" s="6" t="s">
        <v>393</v>
      </c>
      <c r="E116" s="20" t="s">
        <v>186</v>
      </c>
      <c r="F116" s="20" t="s">
        <v>132</v>
      </c>
      <c r="G116" s="31" t="n">
        <f aca="false">SUMIFS('QB Import'!$B$1:$B$600,'QB Import'!$H$1:$H$600,$C116,'QB Import'!$G$1:$G$600,1)</f>
        <v>0</v>
      </c>
      <c r="H116" s="11" t="n">
        <f aca="false">IF($E116="Manual",L116,IF($E116="Flat",G116,IF($E116="Inflation",G116*(1+Inputs!D$12),IF($E116="Salary",G116*(1+Inputs!D$10),IF($E116="Benefits",G116*(1+Inputs!D$11),IF($E116="Per Student",G116*H$4/G$4*(1+Inputs!D$12),IF($E116="Enrollment",G116*H$4/G$4,IF($E116="Tuition Index",G116*H$5/G$5,IF($E116="% of Salaries",IF($G$6=0,0,$G116/$G$6*H$6),IF($E116="Debt",$G116*Inputs!D$15/12,IF($E116="Reserve Yield",Inputs!D$13*Inputs!D$16,G116)))))))))))</f>
        <v>0</v>
      </c>
      <c r="I116" s="11" t="n">
        <f aca="false">IF($E116="Manual",M116,IF($E116="Flat",H116,IF($E116="Inflation",H116*(1+Inputs!E$12),IF($E116="Salary",H116*(1+Inputs!E$10),IF($E116="Benefits",H116*(1+Inputs!E$11),IF($E116="Per Student",H116*I$4/H$4*(1+Inputs!E$12),IF($E116="Enrollment",H116*I$4/H$4,IF($E116="Tuition Index",H116*I$5/H$5,IF($E116="% of Salaries",IF($G$6=0,0,$G116/$G$6*I$6),IF($E116="Debt",$G116*Inputs!E$15/12,IF($E116="Reserve Yield",Inputs!E$13*Inputs!E$16,H116)))))))))))</f>
        <v>0</v>
      </c>
      <c r="J116" s="11" t="n">
        <f aca="false">IF($E116="Manual",N116,IF($E116="Flat",I116,IF($E116="Inflation",I116*(1+Inputs!F$12),IF($E116="Salary",I116*(1+Inputs!F$10),IF($E116="Benefits",I116*(1+Inputs!F$11),IF($E116="Per Student",I116*J$4/I$4*(1+Inputs!F$12),IF($E116="Enrollment",I116*J$4/I$4,IF($E116="Tuition Index",I116*J$5/I$5,IF($E116="% of Salaries",IF($G$6=0,0,$G116/$G$6*J$6),IF($E116="Debt",$G116*Inputs!F$15/12,IF($E116="Reserve Yield",Inputs!F$13*Inputs!F$16,I116)))))))))))</f>
        <v>0</v>
      </c>
      <c r="K116" s="11" t="n">
        <f aca="false">IF($E116="Manual",O116,IF($E116="Flat",J116,IF($E116="Inflation",J116*(1+Inputs!G$12),IF($E116="Salary",J116*(1+Inputs!G$10),IF($E116="Benefits",J116*(1+Inputs!G$11),IF($E116="Per Student",J116*K$4/J$4*(1+Inputs!G$12),IF($E116="Enrollment",J116*K$4/J$4,IF($E116="Tuition Index",J116*K$5/J$5,IF($E116="% of Salaries",IF($G$6=0,0,$G116/$G$6*K$6),IF($E116="Debt",$G116*Inputs!G$15/12,IF($E116="Reserve Yield",Inputs!G$13*Inputs!G$16,J116)))))))))))</f>
        <v>0</v>
      </c>
      <c r="L116" s="22"/>
      <c r="M116" s="22"/>
      <c r="N116" s="22"/>
      <c r="O116" s="22"/>
    </row>
    <row r="117" customFormat="false" ht="15" hidden="false" customHeight="false" outlineLevel="0" collapsed="false">
      <c r="A117" s="6" t="s">
        <v>281</v>
      </c>
      <c r="B117" s="6" t="s">
        <v>16</v>
      </c>
      <c r="C117" s="30" t="s">
        <v>394</v>
      </c>
      <c r="D117" s="6" t="s">
        <v>394</v>
      </c>
      <c r="E117" s="20" t="s">
        <v>316</v>
      </c>
      <c r="F117" s="20" t="s">
        <v>132</v>
      </c>
      <c r="G117" s="31" t="n">
        <f aca="false">SUMIFS('QB Import'!$B$1:$B$600,'QB Import'!$H$1:$H$600,$C117,'QB Import'!$G$1:$G$600,1)</f>
        <v>45000</v>
      </c>
      <c r="H117" s="11" t="n">
        <f aca="false">IF($E117="Manual",L117,IF($E117="Flat",G117,IF($E117="Inflation",G117*(1+Inputs!D$12),IF($E117="Salary",G117*(1+Inputs!D$10),IF($E117="Benefits",G117*(1+Inputs!D$11),IF($E117="Per Student",G117*H$4/G$4*(1+Inputs!D$12),IF($E117="Enrollment",G117*H$4/G$4,IF($E117="Tuition Index",G117*H$5/G$5,IF($E117="% of Salaries",IF($G$6=0,0,$G117/$G$6*H$6),IF($E117="Debt",$G117*Inputs!D$15/12,IF($E117="Reserve Yield",Inputs!D$13*Inputs!D$16,G117)))))))))))</f>
        <v>46350</v>
      </c>
      <c r="I117" s="11" t="n">
        <f aca="false">IF($E117="Manual",M117,IF($E117="Flat",H117,IF($E117="Inflation",H117*(1+Inputs!E$12),IF($E117="Salary",H117*(1+Inputs!E$10),IF($E117="Benefits",H117*(1+Inputs!E$11),IF($E117="Per Student",H117*I$4/H$4*(1+Inputs!E$12),IF($E117="Enrollment",H117*I$4/H$4,IF($E117="Tuition Index",H117*I$5/H$5,IF($E117="% of Salaries",IF($G$6=0,0,$G117/$G$6*I$6),IF($E117="Debt",$G117*Inputs!E$15/12,IF($E117="Reserve Yield",Inputs!E$13*Inputs!E$16,H117)))))))))))</f>
        <v>47740.5</v>
      </c>
      <c r="J117" s="11" t="n">
        <f aca="false">IF($E117="Manual",N117,IF($E117="Flat",I117,IF($E117="Inflation",I117*(1+Inputs!F$12),IF($E117="Salary",I117*(1+Inputs!F$10),IF($E117="Benefits",I117*(1+Inputs!F$11),IF($E117="Per Student",I117*J$4/I$4*(1+Inputs!F$12),IF($E117="Enrollment",I117*J$4/I$4,IF($E117="Tuition Index",I117*J$5/I$5,IF($E117="% of Salaries",IF($G$6=0,0,$G117/$G$6*J$6),IF($E117="Debt",$G117*Inputs!F$15/12,IF($E117="Reserve Yield",Inputs!F$13*Inputs!F$16,I117)))))))))))</f>
        <v>49172.715</v>
      </c>
      <c r="K117" s="11" t="n">
        <f aca="false">IF($E117="Manual",O117,IF($E117="Flat",J117,IF($E117="Inflation",J117*(1+Inputs!G$12),IF($E117="Salary",J117*(1+Inputs!G$10),IF($E117="Benefits",J117*(1+Inputs!G$11),IF($E117="Per Student",J117*K$4/J$4*(1+Inputs!G$12),IF($E117="Enrollment",J117*K$4/J$4,IF($E117="Tuition Index",J117*K$5/J$5,IF($E117="% of Salaries",IF($G$6=0,0,$G117/$G$6*K$6),IF($E117="Debt",$G117*Inputs!G$15/12,IF($E117="Reserve Yield",Inputs!G$13*Inputs!G$16,J117)))))))))))</f>
        <v>50647.89645</v>
      </c>
      <c r="L117" s="22"/>
      <c r="M117" s="22"/>
      <c r="N117" s="22"/>
      <c r="O117" s="22"/>
    </row>
    <row r="118" customFormat="false" ht="15" hidden="false" customHeight="false" outlineLevel="0" collapsed="false">
      <c r="A118" s="6" t="s">
        <v>281</v>
      </c>
      <c r="B118" s="6" t="s">
        <v>16</v>
      </c>
      <c r="C118" s="30" t="s">
        <v>395</v>
      </c>
      <c r="D118" s="6" t="s">
        <v>396</v>
      </c>
      <c r="E118" s="20" t="s">
        <v>186</v>
      </c>
      <c r="F118" s="20" t="s">
        <v>132</v>
      </c>
      <c r="G118" s="31" t="n">
        <f aca="false">SUMIFS('QB Import'!$B$1:$B$600,'QB Import'!$H$1:$H$600,$C118,'QB Import'!$G$1:$G$600,1)</f>
        <v>0</v>
      </c>
      <c r="H118" s="11" t="n">
        <f aca="false">IF($E118="Manual",L118,IF($E118="Flat",G118,IF($E118="Inflation",G118*(1+Inputs!D$12),IF($E118="Salary",G118*(1+Inputs!D$10),IF($E118="Benefits",G118*(1+Inputs!D$11),IF($E118="Per Student",G118*H$4/G$4*(1+Inputs!D$12),IF($E118="Enrollment",G118*H$4/G$4,IF($E118="Tuition Index",G118*H$5/G$5,IF($E118="% of Salaries",IF($G$6=0,0,$G118/$G$6*H$6),IF($E118="Debt",$G118*Inputs!D$15/12,IF($E118="Reserve Yield",Inputs!D$13*Inputs!D$16,G118)))))))))))</f>
        <v>0</v>
      </c>
      <c r="I118" s="11" t="n">
        <f aca="false">IF($E118="Manual",M118,IF($E118="Flat",H118,IF($E118="Inflation",H118*(1+Inputs!E$12),IF($E118="Salary",H118*(1+Inputs!E$10),IF($E118="Benefits",H118*(1+Inputs!E$11),IF($E118="Per Student",H118*I$4/H$4*(1+Inputs!E$12),IF($E118="Enrollment",H118*I$4/H$4,IF($E118="Tuition Index",H118*I$5/H$5,IF($E118="% of Salaries",IF($G$6=0,0,$G118/$G$6*I$6),IF($E118="Debt",$G118*Inputs!E$15/12,IF($E118="Reserve Yield",Inputs!E$13*Inputs!E$16,H118)))))))))))</f>
        <v>0</v>
      </c>
      <c r="J118" s="11" t="n">
        <f aca="false">IF($E118="Manual",N118,IF($E118="Flat",I118,IF($E118="Inflation",I118*(1+Inputs!F$12),IF($E118="Salary",I118*(1+Inputs!F$10),IF($E118="Benefits",I118*(1+Inputs!F$11),IF($E118="Per Student",I118*J$4/I$4*(1+Inputs!F$12),IF($E118="Enrollment",I118*J$4/I$4,IF($E118="Tuition Index",I118*J$5/I$5,IF($E118="% of Salaries",IF($G$6=0,0,$G118/$G$6*J$6),IF($E118="Debt",$G118*Inputs!F$15/12,IF($E118="Reserve Yield",Inputs!F$13*Inputs!F$16,I118)))))))))))</f>
        <v>0</v>
      </c>
      <c r="K118" s="11" t="n">
        <f aca="false">IF($E118="Manual",O118,IF($E118="Flat",J118,IF($E118="Inflation",J118*(1+Inputs!G$12),IF($E118="Salary",J118*(1+Inputs!G$10),IF($E118="Benefits",J118*(1+Inputs!G$11),IF($E118="Per Student",J118*K$4/J$4*(1+Inputs!G$12),IF($E118="Enrollment",J118*K$4/J$4,IF($E118="Tuition Index",J118*K$5/J$5,IF($E118="% of Salaries",IF($G$6=0,0,$G118/$G$6*K$6),IF($E118="Debt",$G118*Inputs!G$15/12,IF($E118="Reserve Yield",Inputs!G$13*Inputs!G$16,J118)))))))))))</f>
        <v>0</v>
      </c>
      <c r="L118" s="22"/>
      <c r="M118" s="22"/>
      <c r="N118" s="22"/>
      <c r="O118" s="22"/>
    </row>
    <row r="119" customFormat="false" ht="15" hidden="false" customHeight="false" outlineLevel="0" collapsed="false">
      <c r="A119" s="6" t="s">
        <v>281</v>
      </c>
      <c r="B119" s="6" t="s">
        <v>16</v>
      </c>
      <c r="C119" s="30" t="s">
        <v>397</v>
      </c>
      <c r="D119" s="6" t="s">
        <v>398</v>
      </c>
      <c r="E119" s="20" t="s">
        <v>186</v>
      </c>
      <c r="F119" s="20" t="s">
        <v>132</v>
      </c>
      <c r="G119" s="31" t="n">
        <f aca="false">SUMIFS('QB Import'!$B$1:$B$600,'QB Import'!$H$1:$H$600,$C119,'QB Import'!$G$1:$G$600,1)</f>
        <v>0</v>
      </c>
      <c r="H119" s="11" t="n">
        <f aca="false">IF($E119="Manual",L119,IF($E119="Flat",G119,IF($E119="Inflation",G119*(1+Inputs!D$12),IF($E119="Salary",G119*(1+Inputs!D$10),IF($E119="Benefits",G119*(1+Inputs!D$11),IF($E119="Per Student",G119*H$4/G$4*(1+Inputs!D$12),IF($E119="Enrollment",G119*H$4/G$4,IF($E119="Tuition Index",G119*H$5/G$5,IF($E119="% of Salaries",IF($G$6=0,0,$G119/$G$6*H$6),IF($E119="Debt",$G119*Inputs!D$15/12,IF($E119="Reserve Yield",Inputs!D$13*Inputs!D$16,G119)))))))))))</f>
        <v>0</v>
      </c>
      <c r="I119" s="11" t="n">
        <f aca="false">IF($E119="Manual",M119,IF($E119="Flat",H119,IF($E119="Inflation",H119*(1+Inputs!E$12),IF($E119="Salary",H119*(1+Inputs!E$10),IF($E119="Benefits",H119*(1+Inputs!E$11),IF($E119="Per Student",H119*I$4/H$4*(1+Inputs!E$12),IF($E119="Enrollment",H119*I$4/H$4,IF($E119="Tuition Index",H119*I$5/H$5,IF($E119="% of Salaries",IF($G$6=0,0,$G119/$G$6*I$6),IF($E119="Debt",$G119*Inputs!E$15/12,IF($E119="Reserve Yield",Inputs!E$13*Inputs!E$16,H119)))))))))))</f>
        <v>0</v>
      </c>
      <c r="J119" s="11" t="n">
        <f aca="false">IF($E119="Manual",N119,IF($E119="Flat",I119,IF($E119="Inflation",I119*(1+Inputs!F$12),IF($E119="Salary",I119*(1+Inputs!F$10),IF($E119="Benefits",I119*(1+Inputs!F$11),IF($E119="Per Student",I119*J$4/I$4*(1+Inputs!F$12),IF($E119="Enrollment",I119*J$4/I$4,IF($E119="Tuition Index",I119*J$5/I$5,IF($E119="% of Salaries",IF($G$6=0,0,$G119/$G$6*J$6),IF($E119="Debt",$G119*Inputs!F$15/12,IF($E119="Reserve Yield",Inputs!F$13*Inputs!F$16,I119)))))))))))</f>
        <v>0</v>
      </c>
      <c r="K119" s="11" t="n">
        <f aca="false">IF($E119="Manual",O119,IF($E119="Flat",J119,IF($E119="Inflation",J119*(1+Inputs!G$12),IF($E119="Salary",J119*(1+Inputs!G$10),IF($E119="Benefits",J119*(1+Inputs!G$11),IF($E119="Per Student",J119*K$4/J$4*(1+Inputs!G$12),IF($E119="Enrollment",J119*K$4/J$4,IF($E119="Tuition Index",J119*K$5/J$5,IF($E119="% of Salaries",IF($G$6=0,0,$G119/$G$6*K$6),IF($E119="Debt",$G119*Inputs!G$15/12,IF($E119="Reserve Yield",Inputs!G$13*Inputs!G$16,J119)))))))))))</f>
        <v>0</v>
      </c>
      <c r="L119" s="22"/>
      <c r="M119" s="22"/>
      <c r="N119" s="22"/>
      <c r="O119" s="22"/>
    </row>
    <row r="120" customFormat="false" ht="15" hidden="false" customHeight="false" outlineLevel="0" collapsed="false">
      <c r="A120" s="6" t="s">
        <v>281</v>
      </c>
      <c r="B120" s="6" t="s">
        <v>16</v>
      </c>
      <c r="C120" s="30" t="s">
        <v>399</v>
      </c>
      <c r="D120" s="6" t="s">
        <v>400</v>
      </c>
      <c r="E120" s="20" t="s">
        <v>316</v>
      </c>
      <c r="F120" s="20" t="s">
        <v>132</v>
      </c>
      <c r="G120" s="31" t="n">
        <f aca="false">SUMIFS('QB Import'!$B$1:$B$600,'QB Import'!$H$1:$H$600,$C120,'QB Import'!$G$1:$G$600,1)</f>
        <v>7500</v>
      </c>
      <c r="H120" s="11" t="n">
        <f aca="false">IF($E120="Manual",L120,IF($E120="Flat",G120,IF($E120="Inflation",G120*(1+Inputs!D$12),IF($E120="Salary",G120*(1+Inputs!D$10),IF($E120="Benefits",G120*(1+Inputs!D$11),IF($E120="Per Student",G120*H$4/G$4*(1+Inputs!D$12),IF($E120="Enrollment",G120*H$4/G$4,IF($E120="Tuition Index",G120*H$5/G$5,IF($E120="% of Salaries",IF($G$6=0,0,$G120/$G$6*H$6),IF($E120="Debt",$G120*Inputs!D$15/12,IF($E120="Reserve Yield",Inputs!D$13*Inputs!D$16,G120)))))))))))</f>
        <v>7725</v>
      </c>
      <c r="I120" s="11" t="n">
        <f aca="false">IF($E120="Manual",M120,IF($E120="Flat",H120,IF($E120="Inflation",H120*(1+Inputs!E$12),IF($E120="Salary",H120*(1+Inputs!E$10),IF($E120="Benefits",H120*(1+Inputs!E$11),IF($E120="Per Student",H120*I$4/H$4*(1+Inputs!E$12),IF($E120="Enrollment",H120*I$4/H$4,IF($E120="Tuition Index",H120*I$5/H$5,IF($E120="% of Salaries",IF($G$6=0,0,$G120/$G$6*I$6),IF($E120="Debt",$G120*Inputs!E$15/12,IF($E120="Reserve Yield",Inputs!E$13*Inputs!E$16,H120)))))))))))</f>
        <v>7956.75</v>
      </c>
      <c r="J120" s="11" t="n">
        <f aca="false">IF($E120="Manual",N120,IF($E120="Flat",I120,IF($E120="Inflation",I120*(1+Inputs!F$12),IF($E120="Salary",I120*(1+Inputs!F$10),IF($E120="Benefits",I120*(1+Inputs!F$11),IF($E120="Per Student",I120*J$4/I$4*(1+Inputs!F$12),IF($E120="Enrollment",I120*J$4/I$4,IF($E120="Tuition Index",I120*J$5/I$5,IF($E120="% of Salaries",IF($G$6=0,0,$G120/$G$6*J$6),IF($E120="Debt",$G120*Inputs!F$15/12,IF($E120="Reserve Yield",Inputs!F$13*Inputs!F$16,I120)))))))))))</f>
        <v>8195.4525</v>
      </c>
      <c r="K120" s="11" t="n">
        <f aca="false">IF($E120="Manual",O120,IF($E120="Flat",J120,IF($E120="Inflation",J120*(1+Inputs!G$12),IF($E120="Salary",J120*(1+Inputs!G$10),IF($E120="Benefits",J120*(1+Inputs!G$11),IF($E120="Per Student",J120*K$4/J$4*(1+Inputs!G$12),IF($E120="Enrollment",J120*K$4/J$4,IF($E120="Tuition Index",J120*K$5/J$5,IF($E120="% of Salaries",IF($G$6=0,0,$G120/$G$6*K$6),IF($E120="Debt",$G120*Inputs!G$15/12,IF($E120="Reserve Yield",Inputs!G$13*Inputs!G$16,J120)))))))))))</f>
        <v>8441.316075</v>
      </c>
      <c r="L120" s="22"/>
      <c r="M120" s="22"/>
      <c r="N120" s="22"/>
      <c r="O120" s="22"/>
    </row>
    <row r="121" customFormat="false" ht="15" hidden="false" customHeight="false" outlineLevel="0" collapsed="false">
      <c r="A121" s="6" t="s">
        <v>281</v>
      </c>
      <c r="B121" s="6" t="s">
        <v>16</v>
      </c>
      <c r="C121" s="30" t="s">
        <v>401</v>
      </c>
      <c r="D121" s="6" t="s">
        <v>402</v>
      </c>
      <c r="E121" s="20" t="s">
        <v>186</v>
      </c>
      <c r="F121" s="20" t="s">
        <v>132</v>
      </c>
      <c r="G121" s="31" t="n">
        <f aca="false">SUMIFS('QB Import'!$B$1:$B$600,'QB Import'!$H$1:$H$600,$C121,'QB Import'!$G$1:$G$600,1)</f>
        <v>0</v>
      </c>
      <c r="H121" s="11" t="n">
        <f aca="false">IF($E121="Manual",L121,IF($E121="Flat",G121,IF($E121="Inflation",G121*(1+Inputs!D$12),IF($E121="Salary",G121*(1+Inputs!D$10),IF($E121="Benefits",G121*(1+Inputs!D$11),IF($E121="Per Student",G121*H$4/G$4*(1+Inputs!D$12),IF($E121="Enrollment",G121*H$4/G$4,IF($E121="Tuition Index",G121*H$5/G$5,IF($E121="% of Salaries",IF($G$6=0,0,$G121/$G$6*H$6),IF($E121="Debt",$G121*Inputs!D$15/12,IF($E121="Reserve Yield",Inputs!D$13*Inputs!D$16,G121)))))))))))</f>
        <v>0</v>
      </c>
      <c r="I121" s="11" t="n">
        <f aca="false">IF($E121="Manual",M121,IF($E121="Flat",H121,IF($E121="Inflation",H121*(1+Inputs!E$12),IF($E121="Salary",H121*(1+Inputs!E$10),IF($E121="Benefits",H121*(1+Inputs!E$11),IF($E121="Per Student",H121*I$4/H$4*(1+Inputs!E$12),IF($E121="Enrollment",H121*I$4/H$4,IF($E121="Tuition Index",H121*I$5/H$5,IF($E121="% of Salaries",IF($G$6=0,0,$G121/$G$6*I$6),IF($E121="Debt",$G121*Inputs!E$15/12,IF($E121="Reserve Yield",Inputs!E$13*Inputs!E$16,H121)))))))))))</f>
        <v>0</v>
      </c>
      <c r="J121" s="11" t="n">
        <f aca="false">IF($E121="Manual",N121,IF($E121="Flat",I121,IF($E121="Inflation",I121*(1+Inputs!F$12),IF($E121="Salary",I121*(1+Inputs!F$10),IF($E121="Benefits",I121*(1+Inputs!F$11),IF($E121="Per Student",I121*J$4/I$4*(1+Inputs!F$12),IF($E121="Enrollment",I121*J$4/I$4,IF($E121="Tuition Index",I121*J$5/I$5,IF($E121="% of Salaries",IF($G$6=0,0,$G121/$G$6*J$6),IF($E121="Debt",$G121*Inputs!F$15/12,IF($E121="Reserve Yield",Inputs!F$13*Inputs!F$16,I121)))))))))))</f>
        <v>0</v>
      </c>
      <c r="K121" s="11" t="n">
        <f aca="false">IF($E121="Manual",O121,IF($E121="Flat",J121,IF($E121="Inflation",J121*(1+Inputs!G$12),IF($E121="Salary",J121*(1+Inputs!G$10),IF($E121="Benefits",J121*(1+Inputs!G$11),IF($E121="Per Student",J121*K$4/J$4*(1+Inputs!G$12),IF($E121="Enrollment",J121*K$4/J$4,IF($E121="Tuition Index",J121*K$5/J$5,IF($E121="% of Salaries",IF($G$6=0,0,$G121/$G$6*K$6),IF($E121="Debt",$G121*Inputs!G$15/12,IF($E121="Reserve Yield",Inputs!G$13*Inputs!G$16,J121)))))))))))</f>
        <v>0</v>
      </c>
      <c r="L121" s="22"/>
      <c r="M121" s="22"/>
      <c r="N121" s="22"/>
      <c r="O121" s="22"/>
    </row>
    <row r="122" customFormat="false" ht="15" hidden="false" customHeight="false" outlineLevel="0" collapsed="false">
      <c r="A122" s="6" t="s">
        <v>281</v>
      </c>
      <c r="B122" s="6" t="s">
        <v>16</v>
      </c>
      <c r="C122" s="30" t="s">
        <v>403</v>
      </c>
      <c r="D122" s="6" t="s">
        <v>404</v>
      </c>
      <c r="E122" s="20" t="s">
        <v>186</v>
      </c>
      <c r="F122" s="20" t="s">
        <v>132</v>
      </c>
      <c r="G122" s="31" t="n">
        <f aca="false">SUMIFS('QB Import'!$B$1:$B$600,'QB Import'!$H$1:$H$600,$C122,'QB Import'!$G$1:$G$600,1)</f>
        <v>0</v>
      </c>
      <c r="H122" s="11" t="n">
        <f aca="false">IF($E122="Manual",L122,IF($E122="Flat",G122,IF($E122="Inflation",G122*(1+Inputs!D$12),IF($E122="Salary",G122*(1+Inputs!D$10),IF($E122="Benefits",G122*(1+Inputs!D$11),IF($E122="Per Student",G122*H$4/G$4*(1+Inputs!D$12),IF($E122="Enrollment",G122*H$4/G$4,IF($E122="Tuition Index",G122*H$5/G$5,IF($E122="% of Salaries",IF($G$6=0,0,$G122/$G$6*H$6),IF($E122="Debt",$G122*Inputs!D$15/12,IF($E122="Reserve Yield",Inputs!D$13*Inputs!D$16,G122)))))))))))</f>
        <v>0</v>
      </c>
      <c r="I122" s="11" t="n">
        <f aca="false">IF($E122="Manual",M122,IF($E122="Flat",H122,IF($E122="Inflation",H122*(1+Inputs!E$12),IF($E122="Salary",H122*(1+Inputs!E$10),IF($E122="Benefits",H122*(1+Inputs!E$11),IF($E122="Per Student",H122*I$4/H$4*(1+Inputs!E$12),IF($E122="Enrollment",H122*I$4/H$4,IF($E122="Tuition Index",H122*I$5/H$5,IF($E122="% of Salaries",IF($G$6=0,0,$G122/$G$6*I$6),IF($E122="Debt",$G122*Inputs!E$15/12,IF($E122="Reserve Yield",Inputs!E$13*Inputs!E$16,H122)))))))))))</f>
        <v>0</v>
      </c>
      <c r="J122" s="11" t="n">
        <f aca="false">IF($E122="Manual",N122,IF($E122="Flat",I122,IF($E122="Inflation",I122*(1+Inputs!F$12),IF($E122="Salary",I122*(1+Inputs!F$10),IF($E122="Benefits",I122*(1+Inputs!F$11),IF($E122="Per Student",I122*J$4/I$4*(1+Inputs!F$12),IF($E122="Enrollment",I122*J$4/I$4,IF($E122="Tuition Index",I122*J$5/I$5,IF($E122="% of Salaries",IF($G$6=0,0,$G122/$G$6*J$6),IF($E122="Debt",$G122*Inputs!F$15/12,IF($E122="Reserve Yield",Inputs!F$13*Inputs!F$16,I122)))))))))))</f>
        <v>0</v>
      </c>
      <c r="K122" s="11" t="n">
        <f aca="false">IF($E122="Manual",O122,IF($E122="Flat",J122,IF($E122="Inflation",J122*(1+Inputs!G$12),IF($E122="Salary",J122*(1+Inputs!G$10),IF($E122="Benefits",J122*(1+Inputs!G$11),IF($E122="Per Student",J122*K$4/J$4*(1+Inputs!G$12),IF($E122="Enrollment",J122*K$4/J$4,IF($E122="Tuition Index",J122*K$5/J$5,IF($E122="% of Salaries",IF($G$6=0,0,$G122/$G$6*K$6),IF($E122="Debt",$G122*Inputs!G$15/12,IF($E122="Reserve Yield",Inputs!G$13*Inputs!G$16,J122)))))))))))</f>
        <v>0</v>
      </c>
      <c r="L122" s="22"/>
      <c r="M122" s="22"/>
      <c r="N122" s="22"/>
      <c r="O122" s="22"/>
    </row>
    <row r="123" customFormat="false" ht="15" hidden="false" customHeight="false" outlineLevel="0" collapsed="false">
      <c r="A123" s="6" t="s">
        <v>281</v>
      </c>
      <c r="B123" s="6" t="s">
        <v>16</v>
      </c>
      <c r="C123" s="30" t="s">
        <v>405</v>
      </c>
      <c r="D123" s="6" t="s">
        <v>406</v>
      </c>
      <c r="E123" s="20" t="s">
        <v>186</v>
      </c>
      <c r="F123" s="20" t="s">
        <v>132</v>
      </c>
      <c r="G123" s="31" t="n">
        <f aca="false">SUMIFS('QB Import'!$B$1:$B$600,'QB Import'!$H$1:$H$600,$C123,'QB Import'!$G$1:$G$600,1)</f>
        <v>0</v>
      </c>
      <c r="H123" s="11" t="n">
        <f aca="false">IF($E123="Manual",L123,IF($E123="Flat",G123,IF($E123="Inflation",G123*(1+Inputs!D$12),IF($E123="Salary",G123*(1+Inputs!D$10),IF($E123="Benefits",G123*(1+Inputs!D$11),IF($E123="Per Student",G123*H$4/G$4*(1+Inputs!D$12),IF($E123="Enrollment",G123*H$4/G$4,IF($E123="Tuition Index",G123*H$5/G$5,IF($E123="% of Salaries",IF($G$6=0,0,$G123/$G$6*H$6),IF($E123="Debt",$G123*Inputs!D$15/12,IF($E123="Reserve Yield",Inputs!D$13*Inputs!D$16,G123)))))))))))</f>
        <v>0</v>
      </c>
      <c r="I123" s="11" t="n">
        <f aca="false">IF($E123="Manual",M123,IF($E123="Flat",H123,IF($E123="Inflation",H123*(1+Inputs!E$12),IF($E123="Salary",H123*(1+Inputs!E$10),IF($E123="Benefits",H123*(1+Inputs!E$11),IF($E123="Per Student",H123*I$4/H$4*(1+Inputs!E$12),IF($E123="Enrollment",H123*I$4/H$4,IF($E123="Tuition Index",H123*I$5/H$5,IF($E123="% of Salaries",IF($G$6=0,0,$G123/$G$6*I$6),IF($E123="Debt",$G123*Inputs!E$15/12,IF($E123="Reserve Yield",Inputs!E$13*Inputs!E$16,H123)))))))))))</f>
        <v>0</v>
      </c>
      <c r="J123" s="11" t="n">
        <f aca="false">IF($E123="Manual",N123,IF($E123="Flat",I123,IF($E123="Inflation",I123*(1+Inputs!F$12),IF($E123="Salary",I123*(1+Inputs!F$10),IF($E123="Benefits",I123*(1+Inputs!F$11),IF($E123="Per Student",I123*J$4/I$4*(1+Inputs!F$12),IF($E123="Enrollment",I123*J$4/I$4,IF($E123="Tuition Index",I123*J$5/I$5,IF($E123="% of Salaries",IF($G$6=0,0,$G123/$G$6*J$6),IF($E123="Debt",$G123*Inputs!F$15/12,IF($E123="Reserve Yield",Inputs!F$13*Inputs!F$16,I123)))))))))))</f>
        <v>0</v>
      </c>
      <c r="K123" s="11" t="n">
        <f aca="false">IF($E123="Manual",O123,IF($E123="Flat",J123,IF($E123="Inflation",J123*(1+Inputs!G$12),IF($E123="Salary",J123*(1+Inputs!G$10),IF($E123="Benefits",J123*(1+Inputs!G$11),IF($E123="Per Student",J123*K$4/J$4*(1+Inputs!G$12),IF($E123="Enrollment",J123*K$4/J$4,IF($E123="Tuition Index",J123*K$5/J$5,IF($E123="% of Salaries",IF($G$6=0,0,$G123/$G$6*K$6),IF($E123="Debt",$G123*Inputs!G$15/12,IF($E123="Reserve Yield",Inputs!G$13*Inputs!G$16,J123)))))))))))</f>
        <v>0</v>
      </c>
      <c r="L123" s="22"/>
      <c r="M123" s="22"/>
      <c r="N123" s="22"/>
      <c r="O123" s="22"/>
    </row>
    <row r="124" customFormat="false" ht="15" hidden="false" customHeight="false" outlineLevel="0" collapsed="false">
      <c r="A124" s="6" t="s">
        <v>281</v>
      </c>
      <c r="B124" s="6" t="s">
        <v>16</v>
      </c>
      <c r="C124" s="30" t="s">
        <v>407</v>
      </c>
      <c r="D124" s="6" t="s">
        <v>408</v>
      </c>
      <c r="E124" s="20" t="s">
        <v>186</v>
      </c>
      <c r="F124" s="20" t="s">
        <v>132</v>
      </c>
      <c r="G124" s="31" t="n">
        <f aca="false">SUMIFS('QB Import'!$B$1:$B$600,'QB Import'!$H$1:$H$600,$C124,'QB Import'!$G$1:$G$600,1)</f>
        <v>0</v>
      </c>
      <c r="H124" s="11" t="n">
        <f aca="false">IF($E124="Manual",L124,IF($E124="Flat",G124,IF($E124="Inflation",G124*(1+Inputs!D$12),IF($E124="Salary",G124*(1+Inputs!D$10),IF($E124="Benefits",G124*(1+Inputs!D$11),IF($E124="Per Student",G124*H$4/G$4*(1+Inputs!D$12),IF($E124="Enrollment",G124*H$4/G$4,IF($E124="Tuition Index",G124*H$5/G$5,IF($E124="% of Salaries",IF($G$6=0,0,$G124/$G$6*H$6),IF($E124="Debt",$G124*Inputs!D$15/12,IF($E124="Reserve Yield",Inputs!D$13*Inputs!D$16,G124)))))))))))</f>
        <v>0</v>
      </c>
      <c r="I124" s="11" t="n">
        <f aca="false">IF($E124="Manual",M124,IF($E124="Flat",H124,IF($E124="Inflation",H124*(1+Inputs!E$12),IF($E124="Salary",H124*(1+Inputs!E$10),IF($E124="Benefits",H124*(1+Inputs!E$11),IF($E124="Per Student",H124*I$4/H$4*(1+Inputs!E$12),IF($E124="Enrollment",H124*I$4/H$4,IF($E124="Tuition Index",H124*I$5/H$5,IF($E124="% of Salaries",IF($G$6=0,0,$G124/$G$6*I$6),IF($E124="Debt",$G124*Inputs!E$15/12,IF($E124="Reserve Yield",Inputs!E$13*Inputs!E$16,H124)))))))))))</f>
        <v>0</v>
      </c>
      <c r="J124" s="11" t="n">
        <f aca="false">IF($E124="Manual",N124,IF($E124="Flat",I124,IF($E124="Inflation",I124*(1+Inputs!F$12),IF($E124="Salary",I124*(1+Inputs!F$10),IF($E124="Benefits",I124*(1+Inputs!F$11),IF($E124="Per Student",I124*J$4/I$4*(1+Inputs!F$12),IF($E124="Enrollment",I124*J$4/I$4,IF($E124="Tuition Index",I124*J$5/I$5,IF($E124="% of Salaries",IF($G$6=0,0,$G124/$G$6*J$6),IF($E124="Debt",$G124*Inputs!F$15/12,IF($E124="Reserve Yield",Inputs!F$13*Inputs!F$16,I124)))))))))))</f>
        <v>0</v>
      </c>
      <c r="K124" s="11" t="n">
        <f aca="false">IF($E124="Manual",O124,IF($E124="Flat",J124,IF($E124="Inflation",J124*(1+Inputs!G$12),IF($E124="Salary",J124*(1+Inputs!G$10),IF($E124="Benefits",J124*(1+Inputs!G$11),IF($E124="Per Student",J124*K$4/J$4*(1+Inputs!G$12),IF($E124="Enrollment",J124*K$4/J$4,IF($E124="Tuition Index",J124*K$5/J$5,IF($E124="% of Salaries",IF($G$6=0,0,$G124/$G$6*K$6),IF($E124="Debt",$G124*Inputs!G$15/12,IF($E124="Reserve Yield",Inputs!G$13*Inputs!G$16,J124)))))))))))</f>
        <v>0</v>
      </c>
      <c r="L124" s="22"/>
      <c r="M124" s="22"/>
      <c r="N124" s="22"/>
      <c r="O124" s="22"/>
    </row>
    <row r="125" customFormat="false" ht="15" hidden="false" customHeight="false" outlineLevel="0" collapsed="false">
      <c r="A125" s="6" t="s">
        <v>281</v>
      </c>
      <c r="B125" s="6" t="s">
        <v>16</v>
      </c>
      <c r="C125" s="30" t="s">
        <v>409</v>
      </c>
      <c r="D125" s="6" t="s">
        <v>410</v>
      </c>
      <c r="E125" s="20" t="s">
        <v>186</v>
      </c>
      <c r="F125" s="20" t="s">
        <v>132</v>
      </c>
      <c r="G125" s="31" t="n">
        <f aca="false">SUMIFS('QB Import'!$B$1:$B$600,'QB Import'!$H$1:$H$600,$C125,'QB Import'!$G$1:$G$600,1)</f>
        <v>0</v>
      </c>
      <c r="H125" s="11" t="n">
        <f aca="false">IF($E125="Manual",L125,IF($E125="Flat",G125,IF($E125="Inflation",G125*(1+Inputs!D$12),IF($E125="Salary",G125*(1+Inputs!D$10),IF($E125="Benefits",G125*(1+Inputs!D$11),IF($E125="Per Student",G125*H$4/G$4*(1+Inputs!D$12),IF($E125="Enrollment",G125*H$4/G$4,IF($E125="Tuition Index",G125*H$5/G$5,IF($E125="% of Salaries",IF($G$6=0,0,$G125/$G$6*H$6),IF($E125="Debt",$G125*Inputs!D$15/12,IF($E125="Reserve Yield",Inputs!D$13*Inputs!D$16,G125)))))))))))</f>
        <v>0</v>
      </c>
      <c r="I125" s="11" t="n">
        <f aca="false">IF($E125="Manual",M125,IF($E125="Flat",H125,IF($E125="Inflation",H125*(1+Inputs!E$12),IF($E125="Salary",H125*(1+Inputs!E$10),IF($E125="Benefits",H125*(1+Inputs!E$11),IF($E125="Per Student",H125*I$4/H$4*(1+Inputs!E$12),IF($E125="Enrollment",H125*I$4/H$4,IF($E125="Tuition Index",H125*I$5/H$5,IF($E125="% of Salaries",IF($G$6=0,0,$G125/$G$6*I$6),IF($E125="Debt",$G125*Inputs!E$15/12,IF($E125="Reserve Yield",Inputs!E$13*Inputs!E$16,H125)))))))))))</f>
        <v>0</v>
      </c>
      <c r="J125" s="11" t="n">
        <f aca="false">IF($E125="Manual",N125,IF($E125="Flat",I125,IF($E125="Inflation",I125*(1+Inputs!F$12),IF($E125="Salary",I125*(1+Inputs!F$10),IF($E125="Benefits",I125*(1+Inputs!F$11),IF($E125="Per Student",I125*J$4/I$4*(1+Inputs!F$12),IF($E125="Enrollment",I125*J$4/I$4,IF($E125="Tuition Index",I125*J$5/I$5,IF($E125="% of Salaries",IF($G$6=0,0,$G125/$G$6*J$6),IF($E125="Debt",$G125*Inputs!F$15/12,IF($E125="Reserve Yield",Inputs!F$13*Inputs!F$16,I125)))))))))))</f>
        <v>0</v>
      </c>
      <c r="K125" s="11" t="n">
        <f aca="false">IF($E125="Manual",O125,IF($E125="Flat",J125,IF($E125="Inflation",J125*(1+Inputs!G$12),IF($E125="Salary",J125*(1+Inputs!G$10),IF($E125="Benefits",J125*(1+Inputs!G$11),IF($E125="Per Student",J125*K$4/J$4*(1+Inputs!G$12),IF($E125="Enrollment",J125*K$4/J$4,IF($E125="Tuition Index",J125*K$5/J$5,IF($E125="% of Salaries",IF($G$6=0,0,$G125/$G$6*K$6),IF($E125="Debt",$G125*Inputs!G$15/12,IF($E125="Reserve Yield",Inputs!G$13*Inputs!G$16,J125)))))))))))</f>
        <v>0</v>
      </c>
      <c r="L125" s="22"/>
      <c r="M125" s="22"/>
      <c r="N125" s="22"/>
      <c r="O125" s="22"/>
    </row>
    <row r="126" customFormat="false" ht="15" hidden="false" customHeight="false" outlineLevel="0" collapsed="false">
      <c r="A126" s="6" t="s">
        <v>281</v>
      </c>
      <c r="B126" s="6" t="s">
        <v>16</v>
      </c>
      <c r="C126" s="30" t="s">
        <v>411</v>
      </c>
      <c r="D126" s="6" t="s">
        <v>412</v>
      </c>
      <c r="E126" s="20" t="s">
        <v>186</v>
      </c>
      <c r="F126" s="20" t="s">
        <v>132</v>
      </c>
      <c r="G126" s="31" t="n">
        <f aca="false">SUMIFS('QB Import'!$B$1:$B$600,'QB Import'!$H$1:$H$600,$C126,'QB Import'!$G$1:$G$600,1)</f>
        <v>0</v>
      </c>
      <c r="H126" s="11" t="n">
        <f aca="false">IF($E126="Manual",L126,IF($E126="Flat",G126,IF($E126="Inflation",G126*(1+Inputs!D$12),IF($E126="Salary",G126*(1+Inputs!D$10),IF($E126="Benefits",G126*(1+Inputs!D$11),IF($E126="Per Student",G126*H$4/G$4*(1+Inputs!D$12),IF($E126="Enrollment",G126*H$4/G$4,IF($E126="Tuition Index",G126*H$5/G$5,IF($E126="% of Salaries",IF($G$6=0,0,$G126/$G$6*H$6),IF($E126="Debt",$G126*Inputs!D$15/12,IF($E126="Reserve Yield",Inputs!D$13*Inputs!D$16,G126)))))))))))</f>
        <v>0</v>
      </c>
      <c r="I126" s="11" t="n">
        <f aca="false">IF($E126="Manual",M126,IF($E126="Flat",H126,IF($E126="Inflation",H126*(1+Inputs!E$12),IF($E126="Salary",H126*(1+Inputs!E$10),IF($E126="Benefits",H126*(1+Inputs!E$11),IF($E126="Per Student",H126*I$4/H$4*(1+Inputs!E$12),IF($E126="Enrollment",H126*I$4/H$4,IF($E126="Tuition Index",H126*I$5/H$5,IF($E126="% of Salaries",IF($G$6=0,0,$G126/$G$6*I$6),IF($E126="Debt",$G126*Inputs!E$15/12,IF($E126="Reserve Yield",Inputs!E$13*Inputs!E$16,H126)))))))))))</f>
        <v>0</v>
      </c>
      <c r="J126" s="11" t="n">
        <f aca="false">IF($E126="Manual",N126,IF($E126="Flat",I126,IF($E126="Inflation",I126*(1+Inputs!F$12),IF($E126="Salary",I126*(1+Inputs!F$10),IF($E126="Benefits",I126*(1+Inputs!F$11),IF($E126="Per Student",I126*J$4/I$4*(1+Inputs!F$12),IF($E126="Enrollment",I126*J$4/I$4,IF($E126="Tuition Index",I126*J$5/I$5,IF($E126="% of Salaries",IF($G$6=0,0,$G126/$G$6*J$6),IF($E126="Debt",$G126*Inputs!F$15/12,IF($E126="Reserve Yield",Inputs!F$13*Inputs!F$16,I126)))))))))))</f>
        <v>0</v>
      </c>
      <c r="K126" s="11" t="n">
        <f aca="false">IF($E126="Manual",O126,IF($E126="Flat",J126,IF($E126="Inflation",J126*(1+Inputs!G$12),IF($E126="Salary",J126*(1+Inputs!G$10),IF($E126="Benefits",J126*(1+Inputs!G$11),IF($E126="Per Student",J126*K$4/J$4*(1+Inputs!G$12),IF($E126="Enrollment",J126*K$4/J$4,IF($E126="Tuition Index",J126*K$5/J$5,IF($E126="% of Salaries",IF($G$6=0,0,$G126/$G$6*K$6),IF($E126="Debt",$G126*Inputs!G$15/12,IF($E126="Reserve Yield",Inputs!G$13*Inputs!G$16,J126)))))))))))</f>
        <v>0</v>
      </c>
      <c r="L126" s="22"/>
      <c r="M126" s="22"/>
      <c r="N126" s="22"/>
      <c r="O126" s="22"/>
    </row>
    <row r="127" customFormat="false" ht="15" hidden="false" customHeight="false" outlineLevel="0" collapsed="false">
      <c r="A127" s="6" t="s">
        <v>281</v>
      </c>
      <c r="B127" s="6" t="s">
        <v>16</v>
      </c>
      <c r="C127" s="30" t="s">
        <v>413</v>
      </c>
      <c r="D127" s="6" t="s">
        <v>414</v>
      </c>
      <c r="E127" s="20" t="s">
        <v>186</v>
      </c>
      <c r="F127" s="20" t="s">
        <v>132</v>
      </c>
      <c r="G127" s="31" t="n">
        <f aca="false">SUMIFS('QB Import'!$B$1:$B$600,'QB Import'!$H$1:$H$600,$C127,'QB Import'!$G$1:$G$600,1)</f>
        <v>0</v>
      </c>
      <c r="H127" s="11" t="n">
        <f aca="false">IF($E127="Manual",L127,IF($E127="Flat",G127,IF($E127="Inflation",G127*(1+Inputs!D$12),IF($E127="Salary",G127*(1+Inputs!D$10),IF($E127="Benefits",G127*(1+Inputs!D$11),IF($E127="Per Student",G127*H$4/G$4*(1+Inputs!D$12),IF($E127="Enrollment",G127*H$4/G$4,IF($E127="Tuition Index",G127*H$5/G$5,IF($E127="% of Salaries",IF($G$6=0,0,$G127/$G$6*H$6),IF($E127="Debt",$G127*Inputs!D$15/12,IF($E127="Reserve Yield",Inputs!D$13*Inputs!D$16,G127)))))))))))</f>
        <v>0</v>
      </c>
      <c r="I127" s="11" t="n">
        <f aca="false">IF($E127="Manual",M127,IF($E127="Flat",H127,IF($E127="Inflation",H127*(1+Inputs!E$12),IF($E127="Salary",H127*(1+Inputs!E$10),IF($E127="Benefits",H127*(1+Inputs!E$11),IF($E127="Per Student",H127*I$4/H$4*(1+Inputs!E$12),IF($E127="Enrollment",H127*I$4/H$4,IF($E127="Tuition Index",H127*I$5/H$5,IF($E127="% of Salaries",IF($G$6=0,0,$G127/$G$6*I$6),IF($E127="Debt",$G127*Inputs!E$15/12,IF($E127="Reserve Yield",Inputs!E$13*Inputs!E$16,H127)))))))))))</f>
        <v>0</v>
      </c>
      <c r="J127" s="11" t="n">
        <f aca="false">IF($E127="Manual",N127,IF($E127="Flat",I127,IF($E127="Inflation",I127*(1+Inputs!F$12),IF($E127="Salary",I127*(1+Inputs!F$10),IF($E127="Benefits",I127*(1+Inputs!F$11),IF($E127="Per Student",I127*J$4/I$4*(1+Inputs!F$12),IF($E127="Enrollment",I127*J$4/I$4,IF($E127="Tuition Index",I127*J$5/I$5,IF($E127="% of Salaries",IF($G$6=0,0,$G127/$G$6*J$6),IF($E127="Debt",$G127*Inputs!F$15/12,IF($E127="Reserve Yield",Inputs!F$13*Inputs!F$16,I127)))))))))))</f>
        <v>0</v>
      </c>
      <c r="K127" s="11" t="n">
        <f aca="false">IF($E127="Manual",O127,IF($E127="Flat",J127,IF($E127="Inflation",J127*(1+Inputs!G$12),IF($E127="Salary",J127*(1+Inputs!G$10),IF($E127="Benefits",J127*(1+Inputs!G$11),IF($E127="Per Student",J127*K$4/J$4*(1+Inputs!G$12),IF($E127="Enrollment",J127*K$4/J$4,IF($E127="Tuition Index",J127*K$5/J$5,IF($E127="% of Salaries",IF($G$6=0,0,$G127/$G$6*K$6),IF($E127="Debt",$G127*Inputs!G$15/12,IF($E127="Reserve Yield",Inputs!G$13*Inputs!G$16,J127)))))))))))</f>
        <v>0</v>
      </c>
      <c r="L127" s="22"/>
      <c r="M127" s="22"/>
      <c r="N127" s="22"/>
      <c r="O127" s="22"/>
    </row>
    <row r="128" customFormat="false" ht="15" hidden="false" customHeight="false" outlineLevel="0" collapsed="false">
      <c r="A128" s="6" t="s">
        <v>281</v>
      </c>
      <c r="B128" s="6" t="s">
        <v>16</v>
      </c>
      <c r="C128" s="30" t="s">
        <v>415</v>
      </c>
      <c r="D128" s="6" t="s">
        <v>416</v>
      </c>
      <c r="E128" s="20" t="s">
        <v>186</v>
      </c>
      <c r="F128" s="20" t="s">
        <v>132</v>
      </c>
      <c r="G128" s="31" t="n">
        <f aca="false">SUMIFS('QB Import'!$B$1:$B$600,'QB Import'!$H$1:$H$600,$C128,'QB Import'!$G$1:$G$600,1)</f>
        <v>0</v>
      </c>
      <c r="H128" s="11" t="n">
        <f aca="false">IF($E128="Manual",L128,IF($E128="Flat",G128,IF($E128="Inflation",G128*(1+Inputs!D$12),IF($E128="Salary",G128*(1+Inputs!D$10),IF($E128="Benefits",G128*(1+Inputs!D$11),IF($E128="Per Student",G128*H$4/G$4*(1+Inputs!D$12),IF($E128="Enrollment",G128*H$4/G$4,IF($E128="Tuition Index",G128*H$5/G$5,IF($E128="% of Salaries",IF($G$6=0,0,$G128/$G$6*H$6),IF($E128="Debt",$G128*Inputs!D$15/12,IF($E128="Reserve Yield",Inputs!D$13*Inputs!D$16,G128)))))))))))</f>
        <v>0</v>
      </c>
      <c r="I128" s="11" t="n">
        <f aca="false">IF($E128="Manual",M128,IF($E128="Flat",H128,IF($E128="Inflation",H128*(1+Inputs!E$12),IF($E128="Salary",H128*(1+Inputs!E$10),IF($E128="Benefits",H128*(1+Inputs!E$11),IF($E128="Per Student",H128*I$4/H$4*(1+Inputs!E$12),IF($E128="Enrollment",H128*I$4/H$4,IF($E128="Tuition Index",H128*I$5/H$5,IF($E128="% of Salaries",IF($G$6=0,0,$G128/$G$6*I$6),IF($E128="Debt",$G128*Inputs!E$15/12,IF($E128="Reserve Yield",Inputs!E$13*Inputs!E$16,H128)))))))))))</f>
        <v>0</v>
      </c>
      <c r="J128" s="11" t="n">
        <f aca="false">IF($E128="Manual",N128,IF($E128="Flat",I128,IF($E128="Inflation",I128*(1+Inputs!F$12),IF($E128="Salary",I128*(1+Inputs!F$10),IF($E128="Benefits",I128*(1+Inputs!F$11),IF($E128="Per Student",I128*J$4/I$4*(1+Inputs!F$12),IF($E128="Enrollment",I128*J$4/I$4,IF($E128="Tuition Index",I128*J$5/I$5,IF($E128="% of Salaries",IF($G$6=0,0,$G128/$G$6*J$6),IF($E128="Debt",$G128*Inputs!F$15/12,IF($E128="Reserve Yield",Inputs!F$13*Inputs!F$16,I128)))))))))))</f>
        <v>0</v>
      </c>
      <c r="K128" s="11" t="n">
        <f aca="false">IF($E128="Manual",O128,IF($E128="Flat",J128,IF($E128="Inflation",J128*(1+Inputs!G$12),IF($E128="Salary",J128*(1+Inputs!G$10),IF($E128="Benefits",J128*(1+Inputs!G$11),IF($E128="Per Student",J128*K$4/J$4*(1+Inputs!G$12),IF($E128="Enrollment",J128*K$4/J$4,IF($E128="Tuition Index",J128*K$5/J$5,IF($E128="% of Salaries",IF($G$6=0,0,$G128/$G$6*K$6),IF($E128="Debt",$G128*Inputs!G$15/12,IF($E128="Reserve Yield",Inputs!G$13*Inputs!G$16,J128)))))))))))</f>
        <v>0</v>
      </c>
      <c r="L128" s="22"/>
      <c r="M128" s="22"/>
      <c r="N128" s="22"/>
      <c r="O128" s="22"/>
    </row>
    <row r="129" customFormat="false" ht="15" hidden="false" customHeight="false" outlineLevel="0" collapsed="false">
      <c r="A129" s="6" t="s">
        <v>281</v>
      </c>
      <c r="B129" s="6" t="s">
        <v>16</v>
      </c>
      <c r="C129" s="30" t="s">
        <v>417</v>
      </c>
      <c r="D129" s="6" t="s">
        <v>418</v>
      </c>
      <c r="E129" s="20" t="s">
        <v>316</v>
      </c>
      <c r="F129" s="20" t="s">
        <v>132</v>
      </c>
      <c r="G129" s="31" t="n">
        <f aca="false">SUMIFS('QB Import'!$B$1:$B$600,'QB Import'!$H$1:$H$600,$C129,'QB Import'!$G$1:$G$600,1)</f>
        <v>3500</v>
      </c>
      <c r="H129" s="11" t="n">
        <f aca="false">IF($E129="Manual",L129,IF($E129="Flat",G129,IF($E129="Inflation",G129*(1+Inputs!D$12),IF($E129="Salary",G129*(1+Inputs!D$10),IF($E129="Benefits",G129*(1+Inputs!D$11),IF($E129="Per Student",G129*H$4/G$4*(1+Inputs!D$12),IF($E129="Enrollment",G129*H$4/G$4,IF($E129="Tuition Index",G129*H$5/G$5,IF($E129="% of Salaries",IF($G$6=0,0,$G129/$G$6*H$6),IF($E129="Debt",$G129*Inputs!D$15/12,IF($E129="Reserve Yield",Inputs!D$13*Inputs!D$16,G129)))))))))))</f>
        <v>3605</v>
      </c>
      <c r="I129" s="11" t="n">
        <f aca="false">IF($E129="Manual",M129,IF($E129="Flat",H129,IF($E129="Inflation",H129*(1+Inputs!E$12),IF($E129="Salary",H129*(1+Inputs!E$10),IF($E129="Benefits",H129*(1+Inputs!E$11),IF($E129="Per Student",H129*I$4/H$4*(1+Inputs!E$12),IF($E129="Enrollment",H129*I$4/H$4,IF($E129="Tuition Index",H129*I$5/H$5,IF($E129="% of Salaries",IF($G$6=0,0,$G129/$G$6*I$6),IF($E129="Debt",$G129*Inputs!E$15/12,IF($E129="Reserve Yield",Inputs!E$13*Inputs!E$16,H129)))))))))))</f>
        <v>3713.15</v>
      </c>
      <c r="J129" s="11" t="n">
        <f aca="false">IF($E129="Manual",N129,IF($E129="Flat",I129,IF($E129="Inflation",I129*(1+Inputs!F$12),IF($E129="Salary",I129*(1+Inputs!F$10),IF($E129="Benefits",I129*(1+Inputs!F$11),IF($E129="Per Student",I129*J$4/I$4*(1+Inputs!F$12),IF($E129="Enrollment",I129*J$4/I$4,IF($E129="Tuition Index",I129*J$5/I$5,IF($E129="% of Salaries",IF($G$6=0,0,$G129/$G$6*J$6),IF($E129="Debt",$G129*Inputs!F$15/12,IF($E129="Reserve Yield",Inputs!F$13*Inputs!F$16,I129)))))))))))</f>
        <v>3824.5445</v>
      </c>
      <c r="K129" s="11" t="n">
        <f aca="false">IF($E129="Manual",O129,IF($E129="Flat",J129,IF($E129="Inflation",J129*(1+Inputs!G$12),IF($E129="Salary",J129*(1+Inputs!G$10),IF($E129="Benefits",J129*(1+Inputs!G$11),IF($E129="Per Student",J129*K$4/J$4*(1+Inputs!G$12),IF($E129="Enrollment",J129*K$4/J$4,IF($E129="Tuition Index",J129*K$5/J$5,IF($E129="% of Salaries",IF($G$6=0,0,$G129/$G$6*K$6),IF($E129="Debt",$G129*Inputs!G$15/12,IF($E129="Reserve Yield",Inputs!G$13*Inputs!G$16,J129)))))))))))</f>
        <v>3939.280835</v>
      </c>
      <c r="L129" s="22"/>
      <c r="M129" s="22"/>
      <c r="N129" s="22"/>
      <c r="O129" s="22"/>
    </row>
    <row r="130" customFormat="false" ht="15" hidden="false" customHeight="false" outlineLevel="0" collapsed="false">
      <c r="A130" s="6" t="s">
        <v>281</v>
      </c>
      <c r="B130" s="6" t="s">
        <v>16</v>
      </c>
      <c r="C130" s="30" t="s">
        <v>419</v>
      </c>
      <c r="D130" s="6" t="s">
        <v>419</v>
      </c>
      <c r="E130" s="20" t="s">
        <v>420</v>
      </c>
      <c r="F130" s="20" t="s">
        <v>132</v>
      </c>
      <c r="G130" s="31" t="n">
        <f aca="false">SUMIFS('QB Import'!$B$1:$B$600,'QB Import'!$H$1:$H$600,$C130,'QB Import'!$G$1:$G$600,1)</f>
        <v>730000</v>
      </c>
      <c r="H130" s="11" t="n">
        <f aca="false">IF($E130="Manual",L130,IF($E130="Flat",G130,IF($E130="Inflation",G130*(1+Inputs!D$12),IF($E130="Salary",G130*(1+Inputs!D$10),IF($E130="Benefits",G130*(1+Inputs!D$11),IF($E130="Per Student",G130*H$4/G$4*(1+Inputs!D$12),IF($E130="Enrollment",G130*H$4/G$4,IF($E130="Tuition Index",G130*H$5/G$5,IF($E130="% of Salaries",IF($G$6=0,0,$G130/$G$6*H$6),IF($E130="Debt",$G130*Inputs!D$15/12,IF($E130="Reserve Yield",Inputs!D$13*Inputs!D$16,G130)))))))))))</f>
        <v>763527.319587629</v>
      </c>
      <c r="I130" s="11" t="n">
        <f aca="false">IF($E130="Manual",M130,IF($E130="Flat",H130,IF($E130="Inflation",H130*(1+Inputs!E$12),IF($E130="Salary",H130*(1+Inputs!E$10),IF($E130="Benefits",H130*(1+Inputs!E$11),IF($E130="Per Student",H130*I$4/H$4*(1+Inputs!E$12),IF($E130="Enrollment",H130*I$4/H$4,IF($E130="Tuition Index",H130*I$5/H$5,IF($E130="% of Salaries",IF($G$6=0,0,$G130/$G$6*I$6),IF($E130="Debt",$G130*Inputs!E$15/12,IF($E130="Reserve Yield",Inputs!E$13*Inputs!E$16,H130)))))))))))</f>
        <v>782441.092783505</v>
      </c>
      <c r="J130" s="11" t="n">
        <f aca="false">IF($E130="Manual",N130,IF($E130="Flat",I130,IF($E130="Inflation",I130*(1+Inputs!F$12),IF($E130="Salary",I130*(1+Inputs!F$10),IF($E130="Benefits",I130*(1+Inputs!F$11),IF($E130="Per Student",I130*J$4/I$4*(1+Inputs!F$12),IF($E130="Enrollment",I130*J$4/I$4,IF($E130="Tuition Index",I130*J$5/I$5,IF($E130="% of Salaries",IF($G$6=0,0,$G130/$G$6*J$6),IF($E130="Debt",$G130*Inputs!F$15/12,IF($E130="Reserve Yield",Inputs!F$13*Inputs!F$16,I130)))))))))))</f>
        <v>799061.312594502</v>
      </c>
      <c r="K130" s="11" t="n">
        <f aca="false">IF($E130="Manual",O130,IF($E130="Flat",J130,IF($E130="Inflation",J130*(1+Inputs!G$12),IF($E130="Salary",J130*(1+Inputs!G$10),IF($E130="Benefits",J130*(1+Inputs!G$11),IF($E130="Per Student",J130*K$4/J$4*(1+Inputs!G$12),IF($E130="Enrollment",J130*K$4/J$4,IF($E130="Tuition Index",J130*K$5/J$5,IF($E130="% of Salaries",IF($G$6=0,0,$G130/$G$6*K$6),IF($E130="Debt",$G130*Inputs!G$15/12,IF($E130="Reserve Yield",Inputs!G$13*Inputs!G$16,J130)))))))))))</f>
        <v>817386.26928299</v>
      </c>
      <c r="L130" s="22"/>
      <c r="M130" s="22"/>
      <c r="N130" s="22"/>
      <c r="O130" s="22"/>
    </row>
    <row r="131" customFormat="false" ht="15" hidden="false" customHeight="false" outlineLevel="0" collapsed="false">
      <c r="A131" s="6" t="s">
        <v>281</v>
      </c>
      <c r="B131" s="6" t="s">
        <v>16</v>
      </c>
      <c r="C131" s="30" t="s">
        <v>421</v>
      </c>
      <c r="D131" s="6" t="s">
        <v>422</v>
      </c>
      <c r="E131" s="20" t="s">
        <v>316</v>
      </c>
      <c r="F131" s="20" t="s">
        <v>132</v>
      </c>
      <c r="G131" s="31" t="n">
        <f aca="false">SUMIFS('QB Import'!$B$1:$B$600,'QB Import'!$H$1:$H$600,$C131,'QB Import'!$G$1:$G$600,1)</f>
        <v>132000</v>
      </c>
      <c r="H131" s="11" t="n">
        <f aca="false">IF($E131="Manual",L131,IF($E131="Flat",G131,IF($E131="Inflation",G131*(1+Inputs!D$12),IF($E131="Salary",G131*(1+Inputs!D$10),IF($E131="Benefits",G131*(1+Inputs!D$11),IF($E131="Per Student",G131*H$4/G$4*(1+Inputs!D$12),IF($E131="Enrollment",G131*H$4/G$4,IF($E131="Tuition Index",G131*H$5/G$5,IF($E131="% of Salaries",IF($G$6=0,0,$G131/$G$6*H$6),IF($E131="Debt",$G131*Inputs!D$15/12,IF($E131="Reserve Yield",Inputs!D$13*Inputs!D$16,G131)))))))))))</f>
        <v>135960</v>
      </c>
      <c r="I131" s="11" t="n">
        <f aca="false">IF($E131="Manual",M131,IF($E131="Flat",H131,IF($E131="Inflation",H131*(1+Inputs!E$12),IF($E131="Salary",H131*(1+Inputs!E$10),IF($E131="Benefits",H131*(1+Inputs!E$11),IF($E131="Per Student",H131*I$4/H$4*(1+Inputs!E$12),IF($E131="Enrollment",H131*I$4/H$4,IF($E131="Tuition Index",H131*I$5/H$5,IF($E131="% of Salaries",IF($G$6=0,0,$G131/$G$6*I$6),IF($E131="Debt",$G131*Inputs!E$15/12,IF($E131="Reserve Yield",Inputs!E$13*Inputs!E$16,H131)))))))))))</f>
        <v>140038.8</v>
      </c>
      <c r="J131" s="11" t="n">
        <f aca="false">IF($E131="Manual",N131,IF($E131="Flat",I131,IF($E131="Inflation",I131*(1+Inputs!F$12),IF($E131="Salary",I131*(1+Inputs!F$10),IF($E131="Benefits",I131*(1+Inputs!F$11),IF($E131="Per Student",I131*J$4/I$4*(1+Inputs!F$12),IF($E131="Enrollment",I131*J$4/I$4,IF($E131="Tuition Index",I131*J$5/I$5,IF($E131="% of Salaries",IF($G$6=0,0,$G131/$G$6*J$6),IF($E131="Debt",$G131*Inputs!F$15/12,IF($E131="Reserve Yield",Inputs!F$13*Inputs!F$16,I131)))))))))))</f>
        <v>144239.964</v>
      </c>
      <c r="K131" s="11" t="n">
        <f aca="false">IF($E131="Manual",O131,IF($E131="Flat",J131,IF($E131="Inflation",J131*(1+Inputs!G$12),IF($E131="Salary",J131*(1+Inputs!G$10),IF($E131="Benefits",J131*(1+Inputs!G$11),IF($E131="Per Student",J131*K$4/J$4*(1+Inputs!G$12),IF($E131="Enrollment",J131*K$4/J$4,IF($E131="Tuition Index",J131*K$5/J$5,IF($E131="% of Salaries",IF($G$6=0,0,$G131/$G$6*K$6),IF($E131="Debt",$G131*Inputs!G$15/12,IF($E131="Reserve Yield",Inputs!G$13*Inputs!G$16,J131)))))))))))</f>
        <v>148567.16292</v>
      </c>
      <c r="L131" s="22"/>
      <c r="M131" s="22"/>
      <c r="N131" s="22"/>
      <c r="O131" s="22"/>
    </row>
    <row r="132" customFormat="false" ht="15" hidden="false" customHeight="false" outlineLevel="0" collapsed="false">
      <c r="A132" s="6" t="s">
        <v>281</v>
      </c>
      <c r="B132" s="6" t="s">
        <v>16</v>
      </c>
      <c r="C132" s="30" t="s">
        <v>423</v>
      </c>
      <c r="D132" s="6" t="s">
        <v>424</v>
      </c>
      <c r="E132" s="20" t="s">
        <v>316</v>
      </c>
      <c r="F132" s="20" t="s">
        <v>132</v>
      </c>
      <c r="G132" s="31" t="n">
        <f aca="false">SUMIFS('QB Import'!$B$1:$B$600,'QB Import'!$H$1:$H$600,$C132,'QB Import'!$G$1:$G$600,1)</f>
        <v>40000</v>
      </c>
      <c r="H132" s="11" t="n">
        <f aca="false">IF($E132="Manual",L132,IF($E132="Flat",G132,IF($E132="Inflation",G132*(1+Inputs!D$12),IF($E132="Salary",G132*(1+Inputs!D$10),IF($E132="Benefits",G132*(1+Inputs!D$11),IF($E132="Per Student",G132*H$4/G$4*(1+Inputs!D$12),IF($E132="Enrollment",G132*H$4/G$4,IF($E132="Tuition Index",G132*H$5/G$5,IF($E132="% of Salaries",IF($G$6=0,0,$G132/$G$6*H$6),IF($E132="Debt",$G132*Inputs!D$15/12,IF($E132="Reserve Yield",Inputs!D$13*Inputs!D$16,G132)))))))))))</f>
        <v>41200</v>
      </c>
      <c r="I132" s="11" t="n">
        <f aca="false">IF($E132="Manual",M132,IF($E132="Flat",H132,IF($E132="Inflation",H132*(1+Inputs!E$12),IF($E132="Salary",H132*(1+Inputs!E$10),IF($E132="Benefits",H132*(1+Inputs!E$11),IF($E132="Per Student",H132*I$4/H$4*(1+Inputs!E$12),IF($E132="Enrollment",H132*I$4/H$4,IF($E132="Tuition Index",H132*I$5/H$5,IF($E132="% of Salaries",IF($G$6=0,0,$G132/$G$6*I$6),IF($E132="Debt",$G132*Inputs!E$15/12,IF($E132="Reserve Yield",Inputs!E$13*Inputs!E$16,H132)))))))))))</f>
        <v>42436</v>
      </c>
      <c r="J132" s="11" t="n">
        <f aca="false">IF($E132="Manual",N132,IF($E132="Flat",I132,IF($E132="Inflation",I132*(1+Inputs!F$12),IF($E132="Salary",I132*(1+Inputs!F$10),IF($E132="Benefits",I132*(1+Inputs!F$11),IF($E132="Per Student",I132*J$4/I$4*(1+Inputs!F$12),IF($E132="Enrollment",I132*J$4/I$4,IF($E132="Tuition Index",I132*J$5/I$5,IF($E132="% of Salaries",IF($G$6=0,0,$G132/$G$6*J$6),IF($E132="Debt",$G132*Inputs!F$15/12,IF($E132="Reserve Yield",Inputs!F$13*Inputs!F$16,I132)))))))))))</f>
        <v>43709.08</v>
      </c>
      <c r="K132" s="11" t="n">
        <f aca="false">IF($E132="Manual",O132,IF($E132="Flat",J132,IF($E132="Inflation",J132*(1+Inputs!G$12),IF($E132="Salary",J132*(1+Inputs!G$10),IF($E132="Benefits",J132*(1+Inputs!G$11),IF($E132="Per Student",J132*K$4/J$4*(1+Inputs!G$12),IF($E132="Enrollment",J132*K$4/J$4,IF($E132="Tuition Index",J132*K$5/J$5,IF($E132="% of Salaries",IF($G$6=0,0,$G132/$G$6*K$6),IF($E132="Debt",$G132*Inputs!G$15/12,IF($E132="Reserve Yield",Inputs!G$13*Inputs!G$16,J132)))))))))))</f>
        <v>45020.3524</v>
      </c>
      <c r="L132" s="22"/>
      <c r="M132" s="22"/>
      <c r="N132" s="22"/>
      <c r="O132" s="22"/>
    </row>
    <row r="133" customFormat="false" ht="15" hidden="false" customHeight="false" outlineLevel="0" collapsed="false">
      <c r="A133" s="6" t="s">
        <v>281</v>
      </c>
      <c r="B133" s="6" t="s">
        <v>16</v>
      </c>
      <c r="C133" s="30" t="s">
        <v>425</v>
      </c>
      <c r="D133" s="6" t="s">
        <v>426</v>
      </c>
      <c r="E133" s="20" t="s">
        <v>316</v>
      </c>
      <c r="F133" s="20" t="s">
        <v>132</v>
      </c>
      <c r="G133" s="31" t="n">
        <f aca="false">SUMIFS('QB Import'!$B$1:$B$600,'QB Import'!$H$1:$H$600,$C133,'QB Import'!$G$1:$G$600,1)</f>
        <v>60500</v>
      </c>
      <c r="H133" s="11" t="n">
        <f aca="false">IF($E133="Manual",L133,IF($E133="Flat",G133,IF($E133="Inflation",G133*(1+Inputs!D$12),IF($E133="Salary",G133*(1+Inputs!D$10),IF($E133="Benefits",G133*(1+Inputs!D$11),IF($E133="Per Student",G133*H$4/G$4*(1+Inputs!D$12),IF($E133="Enrollment",G133*H$4/G$4,IF($E133="Tuition Index",G133*H$5/G$5,IF($E133="% of Salaries",IF($G$6=0,0,$G133/$G$6*H$6),IF($E133="Debt",$G133*Inputs!D$15/12,IF($E133="Reserve Yield",Inputs!D$13*Inputs!D$16,G133)))))))))))</f>
        <v>62315</v>
      </c>
      <c r="I133" s="11" t="n">
        <f aca="false">IF($E133="Manual",M133,IF($E133="Flat",H133,IF($E133="Inflation",H133*(1+Inputs!E$12),IF($E133="Salary",H133*(1+Inputs!E$10),IF($E133="Benefits",H133*(1+Inputs!E$11),IF($E133="Per Student",H133*I$4/H$4*(1+Inputs!E$12),IF($E133="Enrollment",H133*I$4/H$4,IF($E133="Tuition Index",H133*I$5/H$5,IF($E133="% of Salaries",IF($G$6=0,0,$G133/$G$6*I$6),IF($E133="Debt",$G133*Inputs!E$15/12,IF($E133="Reserve Yield",Inputs!E$13*Inputs!E$16,H133)))))))))))</f>
        <v>64184.45</v>
      </c>
      <c r="J133" s="11" t="n">
        <f aca="false">IF($E133="Manual",N133,IF($E133="Flat",I133,IF($E133="Inflation",I133*(1+Inputs!F$12),IF($E133="Salary",I133*(1+Inputs!F$10),IF($E133="Benefits",I133*(1+Inputs!F$11),IF($E133="Per Student",I133*J$4/I$4*(1+Inputs!F$12),IF($E133="Enrollment",I133*J$4/I$4,IF($E133="Tuition Index",I133*J$5/I$5,IF($E133="% of Salaries",IF($G$6=0,0,$G133/$G$6*J$6),IF($E133="Debt",$G133*Inputs!F$15/12,IF($E133="Reserve Yield",Inputs!F$13*Inputs!F$16,I133)))))))))))</f>
        <v>66109.9835</v>
      </c>
      <c r="K133" s="11" t="n">
        <f aca="false">IF($E133="Manual",O133,IF($E133="Flat",J133,IF($E133="Inflation",J133*(1+Inputs!G$12),IF($E133="Salary",J133*(1+Inputs!G$10),IF($E133="Benefits",J133*(1+Inputs!G$11),IF($E133="Per Student",J133*K$4/J$4*(1+Inputs!G$12),IF($E133="Enrollment",J133*K$4/J$4,IF($E133="Tuition Index",J133*K$5/J$5,IF($E133="% of Salaries",IF($G$6=0,0,$G133/$G$6*K$6),IF($E133="Debt",$G133*Inputs!G$15/12,IF($E133="Reserve Yield",Inputs!G$13*Inputs!G$16,J133)))))))))))</f>
        <v>68093.283005</v>
      </c>
      <c r="L133" s="22"/>
      <c r="M133" s="22"/>
      <c r="N133" s="22"/>
      <c r="O133" s="22"/>
    </row>
    <row r="134" customFormat="false" ht="15" hidden="false" customHeight="false" outlineLevel="0" collapsed="false">
      <c r="A134" s="6" t="s">
        <v>281</v>
      </c>
      <c r="B134" s="6" t="s">
        <v>16</v>
      </c>
      <c r="C134" s="30" t="s">
        <v>427</v>
      </c>
      <c r="D134" s="6" t="s">
        <v>428</v>
      </c>
      <c r="E134" s="20" t="s">
        <v>186</v>
      </c>
      <c r="F134" s="20" t="s">
        <v>132</v>
      </c>
      <c r="G134" s="31" t="n">
        <f aca="false">SUMIFS('QB Import'!$B$1:$B$600,'QB Import'!$H$1:$H$600,$C134,'QB Import'!$G$1:$G$600,1)</f>
        <v>0</v>
      </c>
      <c r="H134" s="11" t="n">
        <f aca="false">IF($E134="Manual",L134,IF($E134="Flat",G134,IF($E134="Inflation",G134*(1+Inputs!D$12),IF($E134="Salary",G134*(1+Inputs!D$10),IF($E134="Benefits",G134*(1+Inputs!D$11),IF($E134="Per Student",G134*H$4/G$4*(1+Inputs!D$12),IF($E134="Enrollment",G134*H$4/G$4,IF($E134="Tuition Index",G134*H$5/G$5,IF($E134="% of Salaries",IF($G$6=0,0,$G134/$G$6*H$6),IF($E134="Debt",$G134*Inputs!D$15/12,IF($E134="Reserve Yield",Inputs!D$13*Inputs!D$16,G134)))))))))))</f>
        <v>0</v>
      </c>
      <c r="I134" s="11" t="n">
        <f aca="false">IF($E134="Manual",M134,IF($E134="Flat",H134,IF($E134="Inflation",H134*(1+Inputs!E$12),IF($E134="Salary",H134*(1+Inputs!E$10),IF($E134="Benefits",H134*(1+Inputs!E$11),IF($E134="Per Student",H134*I$4/H$4*(1+Inputs!E$12),IF($E134="Enrollment",H134*I$4/H$4,IF($E134="Tuition Index",H134*I$5/H$5,IF($E134="% of Salaries",IF($G$6=0,0,$G134/$G$6*I$6),IF($E134="Debt",$G134*Inputs!E$15/12,IF($E134="Reserve Yield",Inputs!E$13*Inputs!E$16,H134)))))))))))</f>
        <v>0</v>
      </c>
      <c r="J134" s="11" t="n">
        <f aca="false">IF($E134="Manual",N134,IF($E134="Flat",I134,IF($E134="Inflation",I134*(1+Inputs!F$12),IF($E134="Salary",I134*(1+Inputs!F$10),IF($E134="Benefits",I134*(1+Inputs!F$11),IF($E134="Per Student",I134*J$4/I$4*(1+Inputs!F$12),IF($E134="Enrollment",I134*J$4/I$4,IF($E134="Tuition Index",I134*J$5/I$5,IF($E134="% of Salaries",IF($G$6=0,0,$G134/$G$6*J$6),IF($E134="Debt",$G134*Inputs!F$15/12,IF($E134="Reserve Yield",Inputs!F$13*Inputs!F$16,I134)))))))))))</f>
        <v>0</v>
      </c>
      <c r="K134" s="11" t="n">
        <f aca="false">IF($E134="Manual",O134,IF($E134="Flat",J134,IF($E134="Inflation",J134*(1+Inputs!G$12),IF($E134="Salary",J134*(1+Inputs!G$10),IF($E134="Benefits",J134*(1+Inputs!G$11),IF($E134="Per Student",J134*K$4/J$4*(1+Inputs!G$12),IF($E134="Enrollment",J134*K$4/J$4,IF($E134="Tuition Index",J134*K$5/J$5,IF($E134="% of Salaries",IF($G$6=0,0,$G134/$G$6*K$6),IF($E134="Debt",$G134*Inputs!G$15/12,IF($E134="Reserve Yield",Inputs!G$13*Inputs!G$16,J134)))))))))))</f>
        <v>0</v>
      </c>
      <c r="L134" s="22"/>
      <c r="M134" s="22"/>
      <c r="N134" s="22"/>
      <c r="O134" s="22"/>
    </row>
    <row r="135" customFormat="false" ht="15" hidden="false" customHeight="false" outlineLevel="0" collapsed="false">
      <c r="A135" s="6" t="s">
        <v>281</v>
      </c>
      <c r="B135" s="6" t="s">
        <v>16</v>
      </c>
      <c r="C135" s="30" t="s">
        <v>429</v>
      </c>
      <c r="D135" s="6" t="s">
        <v>430</v>
      </c>
      <c r="E135" s="20" t="s">
        <v>316</v>
      </c>
      <c r="F135" s="20" t="s">
        <v>132</v>
      </c>
      <c r="G135" s="31" t="n">
        <f aca="false">SUMIFS('QB Import'!$B$1:$B$600,'QB Import'!$H$1:$H$600,$C135,'QB Import'!$G$1:$G$600,1)</f>
        <v>135000</v>
      </c>
      <c r="H135" s="11" t="n">
        <f aca="false">IF($E135="Manual",L135,IF($E135="Flat",G135,IF($E135="Inflation",G135*(1+Inputs!D$12),IF($E135="Salary",G135*(1+Inputs!D$10),IF($E135="Benefits",G135*(1+Inputs!D$11),IF($E135="Per Student",G135*H$4/G$4*(1+Inputs!D$12),IF($E135="Enrollment",G135*H$4/G$4,IF($E135="Tuition Index",G135*H$5/G$5,IF($E135="% of Salaries",IF($G$6=0,0,$G135/$G$6*H$6),IF($E135="Debt",$G135*Inputs!D$15/12,IF($E135="Reserve Yield",Inputs!D$13*Inputs!D$16,G135)))))))))))</f>
        <v>139050</v>
      </c>
      <c r="I135" s="11" t="n">
        <f aca="false">IF($E135="Manual",M135,IF($E135="Flat",H135,IF($E135="Inflation",H135*(1+Inputs!E$12),IF($E135="Salary",H135*(1+Inputs!E$10),IF($E135="Benefits",H135*(1+Inputs!E$11),IF($E135="Per Student",H135*I$4/H$4*(1+Inputs!E$12),IF($E135="Enrollment",H135*I$4/H$4,IF($E135="Tuition Index",H135*I$5/H$5,IF($E135="% of Salaries",IF($G$6=0,0,$G135/$G$6*I$6),IF($E135="Debt",$G135*Inputs!E$15/12,IF($E135="Reserve Yield",Inputs!E$13*Inputs!E$16,H135)))))))))))</f>
        <v>143221.5</v>
      </c>
      <c r="J135" s="11" t="n">
        <f aca="false">IF($E135="Manual",N135,IF($E135="Flat",I135,IF($E135="Inflation",I135*(1+Inputs!F$12),IF($E135="Salary",I135*(1+Inputs!F$10),IF($E135="Benefits",I135*(1+Inputs!F$11),IF($E135="Per Student",I135*J$4/I$4*(1+Inputs!F$12),IF($E135="Enrollment",I135*J$4/I$4,IF($E135="Tuition Index",I135*J$5/I$5,IF($E135="% of Salaries",IF($G$6=0,0,$G135/$G$6*J$6),IF($E135="Debt",$G135*Inputs!F$15/12,IF($E135="Reserve Yield",Inputs!F$13*Inputs!F$16,I135)))))))))))</f>
        <v>147518.145</v>
      </c>
      <c r="K135" s="11" t="n">
        <f aca="false">IF($E135="Manual",O135,IF($E135="Flat",J135,IF($E135="Inflation",J135*(1+Inputs!G$12),IF($E135="Salary",J135*(1+Inputs!G$10),IF($E135="Benefits",J135*(1+Inputs!G$11),IF($E135="Per Student",J135*K$4/J$4*(1+Inputs!G$12),IF($E135="Enrollment",J135*K$4/J$4,IF($E135="Tuition Index",J135*K$5/J$5,IF($E135="% of Salaries",IF($G$6=0,0,$G135/$G$6*K$6),IF($E135="Debt",$G135*Inputs!G$15/12,IF($E135="Reserve Yield",Inputs!G$13*Inputs!G$16,J135)))))))))))</f>
        <v>151943.68935</v>
      </c>
      <c r="L135" s="22"/>
      <c r="M135" s="22"/>
      <c r="N135" s="22"/>
      <c r="O135" s="22"/>
    </row>
    <row r="136" customFormat="false" ht="15" hidden="false" customHeight="false" outlineLevel="0" collapsed="false">
      <c r="A136" s="6" t="s">
        <v>281</v>
      </c>
      <c r="B136" s="6" t="s">
        <v>16</v>
      </c>
      <c r="C136" s="30" t="s">
        <v>431</v>
      </c>
      <c r="D136" s="6" t="s">
        <v>432</v>
      </c>
      <c r="E136" s="20" t="s">
        <v>186</v>
      </c>
      <c r="F136" s="20" t="s">
        <v>132</v>
      </c>
      <c r="G136" s="31" t="n">
        <f aca="false">SUMIFS('QB Import'!$B$1:$B$600,'QB Import'!$H$1:$H$600,$C136,'QB Import'!$G$1:$G$600,1)</f>
        <v>0</v>
      </c>
      <c r="H136" s="11" t="n">
        <f aca="false">IF($E136="Manual",L136,IF($E136="Flat",G136,IF($E136="Inflation",G136*(1+Inputs!D$12),IF($E136="Salary",G136*(1+Inputs!D$10),IF($E136="Benefits",G136*(1+Inputs!D$11),IF($E136="Per Student",G136*H$4/G$4*(1+Inputs!D$12),IF($E136="Enrollment",G136*H$4/G$4,IF($E136="Tuition Index",G136*H$5/G$5,IF($E136="% of Salaries",IF($G$6=0,0,$G136/$G$6*H$6),IF($E136="Debt",$G136*Inputs!D$15/12,IF($E136="Reserve Yield",Inputs!D$13*Inputs!D$16,G136)))))))))))</f>
        <v>0</v>
      </c>
      <c r="I136" s="11" t="n">
        <f aca="false">IF($E136="Manual",M136,IF($E136="Flat",H136,IF($E136="Inflation",H136*(1+Inputs!E$12),IF($E136="Salary",H136*(1+Inputs!E$10),IF($E136="Benefits",H136*(1+Inputs!E$11),IF($E136="Per Student",H136*I$4/H$4*(1+Inputs!E$12),IF($E136="Enrollment",H136*I$4/H$4,IF($E136="Tuition Index",H136*I$5/H$5,IF($E136="% of Salaries",IF($G$6=0,0,$G136/$G$6*I$6),IF($E136="Debt",$G136*Inputs!E$15/12,IF($E136="Reserve Yield",Inputs!E$13*Inputs!E$16,H136)))))))))))</f>
        <v>0</v>
      </c>
      <c r="J136" s="11" t="n">
        <f aca="false">IF($E136="Manual",N136,IF($E136="Flat",I136,IF($E136="Inflation",I136*(1+Inputs!F$12),IF($E136="Salary",I136*(1+Inputs!F$10),IF($E136="Benefits",I136*(1+Inputs!F$11),IF($E136="Per Student",I136*J$4/I$4*(1+Inputs!F$12),IF($E136="Enrollment",I136*J$4/I$4,IF($E136="Tuition Index",I136*J$5/I$5,IF($E136="% of Salaries",IF($G$6=0,0,$G136/$G$6*J$6),IF($E136="Debt",$G136*Inputs!F$15/12,IF($E136="Reserve Yield",Inputs!F$13*Inputs!F$16,I136)))))))))))</f>
        <v>0</v>
      </c>
      <c r="K136" s="11" t="n">
        <f aca="false">IF($E136="Manual",O136,IF($E136="Flat",J136,IF($E136="Inflation",J136*(1+Inputs!G$12),IF($E136="Salary",J136*(1+Inputs!G$10),IF($E136="Benefits",J136*(1+Inputs!G$11),IF($E136="Per Student",J136*K$4/J$4*(1+Inputs!G$12),IF($E136="Enrollment",J136*K$4/J$4,IF($E136="Tuition Index",J136*K$5/J$5,IF($E136="% of Salaries",IF($G$6=0,0,$G136/$G$6*K$6),IF($E136="Debt",$G136*Inputs!G$15/12,IF($E136="Reserve Yield",Inputs!G$13*Inputs!G$16,J136)))))))))))</f>
        <v>0</v>
      </c>
      <c r="L136" s="22"/>
      <c r="M136" s="22"/>
      <c r="N136" s="22"/>
      <c r="O136" s="22"/>
    </row>
    <row r="137" customFormat="false" ht="15" hidden="false" customHeight="false" outlineLevel="0" collapsed="false">
      <c r="A137" s="6" t="s">
        <v>281</v>
      </c>
      <c r="B137" s="6" t="s">
        <v>16</v>
      </c>
      <c r="C137" s="30" t="s">
        <v>433</v>
      </c>
      <c r="D137" s="6" t="s">
        <v>434</v>
      </c>
      <c r="E137" s="20" t="s">
        <v>316</v>
      </c>
      <c r="F137" s="20" t="s">
        <v>132</v>
      </c>
      <c r="G137" s="31" t="n">
        <f aca="false">SUMIFS('QB Import'!$B$1:$B$600,'QB Import'!$H$1:$H$600,$C137,'QB Import'!$G$1:$G$600,1)</f>
        <v>50000</v>
      </c>
      <c r="H137" s="11" t="n">
        <f aca="false">IF($E137="Manual",L137,IF($E137="Flat",G137,IF($E137="Inflation",G137*(1+Inputs!D$12),IF($E137="Salary",G137*(1+Inputs!D$10),IF($E137="Benefits",G137*(1+Inputs!D$11),IF($E137="Per Student",G137*H$4/G$4*(1+Inputs!D$12),IF($E137="Enrollment",G137*H$4/G$4,IF($E137="Tuition Index",G137*H$5/G$5,IF($E137="% of Salaries",IF($G$6=0,0,$G137/$G$6*H$6),IF($E137="Debt",$G137*Inputs!D$15/12,IF($E137="Reserve Yield",Inputs!D$13*Inputs!D$16,G137)))))))))))</f>
        <v>51500</v>
      </c>
      <c r="I137" s="11" t="n">
        <f aca="false">IF($E137="Manual",M137,IF($E137="Flat",H137,IF($E137="Inflation",H137*(1+Inputs!E$12),IF($E137="Salary",H137*(1+Inputs!E$10),IF($E137="Benefits",H137*(1+Inputs!E$11),IF($E137="Per Student",H137*I$4/H$4*(1+Inputs!E$12),IF($E137="Enrollment",H137*I$4/H$4,IF($E137="Tuition Index",H137*I$5/H$5,IF($E137="% of Salaries",IF($G$6=0,0,$G137/$G$6*I$6),IF($E137="Debt",$G137*Inputs!E$15/12,IF($E137="Reserve Yield",Inputs!E$13*Inputs!E$16,H137)))))))))))</f>
        <v>53045</v>
      </c>
      <c r="J137" s="11" t="n">
        <f aca="false">IF($E137="Manual",N137,IF($E137="Flat",I137,IF($E137="Inflation",I137*(1+Inputs!F$12),IF($E137="Salary",I137*(1+Inputs!F$10),IF($E137="Benefits",I137*(1+Inputs!F$11),IF($E137="Per Student",I137*J$4/I$4*(1+Inputs!F$12),IF($E137="Enrollment",I137*J$4/I$4,IF($E137="Tuition Index",I137*J$5/I$5,IF($E137="% of Salaries",IF($G$6=0,0,$G137/$G$6*J$6),IF($E137="Debt",$G137*Inputs!F$15/12,IF($E137="Reserve Yield",Inputs!F$13*Inputs!F$16,I137)))))))))))</f>
        <v>54636.35</v>
      </c>
      <c r="K137" s="11" t="n">
        <f aca="false">IF($E137="Manual",O137,IF($E137="Flat",J137,IF($E137="Inflation",J137*(1+Inputs!G$12),IF($E137="Salary",J137*(1+Inputs!G$10),IF($E137="Benefits",J137*(1+Inputs!G$11),IF($E137="Per Student",J137*K$4/J$4*(1+Inputs!G$12),IF($E137="Enrollment",J137*K$4/J$4,IF($E137="Tuition Index",J137*K$5/J$5,IF($E137="% of Salaries",IF($G$6=0,0,$G137/$G$6*K$6),IF($E137="Debt",$G137*Inputs!G$15/12,IF($E137="Reserve Yield",Inputs!G$13*Inputs!G$16,J137)))))))))))</f>
        <v>56275.4405</v>
      </c>
      <c r="L137" s="22"/>
      <c r="M137" s="22"/>
      <c r="N137" s="22"/>
      <c r="O137" s="22"/>
    </row>
    <row r="138" customFormat="false" ht="15" hidden="false" customHeight="false" outlineLevel="0" collapsed="false">
      <c r="A138" s="6" t="s">
        <v>281</v>
      </c>
      <c r="B138" s="6" t="s">
        <v>16</v>
      </c>
      <c r="C138" s="30" t="s">
        <v>435</v>
      </c>
      <c r="D138" s="6" t="s">
        <v>436</v>
      </c>
      <c r="E138" s="20" t="s">
        <v>186</v>
      </c>
      <c r="F138" s="20" t="s">
        <v>132</v>
      </c>
      <c r="G138" s="31" t="n">
        <f aca="false">SUMIFS('QB Import'!$B$1:$B$600,'QB Import'!$H$1:$H$600,$C138,'QB Import'!$G$1:$G$600,1)</f>
        <v>0</v>
      </c>
      <c r="H138" s="11" t="n">
        <f aca="false">IF($E138="Manual",L138,IF($E138="Flat",G138,IF($E138="Inflation",G138*(1+Inputs!D$12),IF($E138="Salary",G138*(1+Inputs!D$10),IF($E138="Benefits",G138*(1+Inputs!D$11),IF($E138="Per Student",G138*H$4/G$4*(1+Inputs!D$12),IF($E138="Enrollment",G138*H$4/G$4,IF($E138="Tuition Index",G138*H$5/G$5,IF($E138="% of Salaries",IF($G$6=0,0,$G138/$G$6*H$6),IF($E138="Debt",$G138*Inputs!D$15/12,IF($E138="Reserve Yield",Inputs!D$13*Inputs!D$16,G138)))))))))))</f>
        <v>0</v>
      </c>
      <c r="I138" s="11" t="n">
        <f aca="false">IF($E138="Manual",M138,IF($E138="Flat",H138,IF($E138="Inflation",H138*(1+Inputs!E$12),IF($E138="Salary",H138*(1+Inputs!E$10),IF($E138="Benefits",H138*(1+Inputs!E$11),IF($E138="Per Student",H138*I$4/H$4*(1+Inputs!E$12),IF($E138="Enrollment",H138*I$4/H$4,IF($E138="Tuition Index",H138*I$5/H$5,IF($E138="% of Salaries",IF($G$6=0,0,$G138/$G$6*I$6),IF($E138="Debt",$G138*Inputs!E$15/12,IF($E138="Reserve Yield",Inputs!E$13*Inputs!E$16,H138)))))))))))</f>
        <v>0</v>
      </c>
      <c r="J138" s="11" t="n">
        <f aca="false">IF($E138="Manual",N138,IF($E138="Flat",I138,IF($E138="Inflation",I138*(1+Inputs!F$12),IF($E138="Salary",I138*(1+Inputs!F$10),IF($E138="Benefits",I138*(1+Inputs!F$11),IF($E138="Per Student",I138*J$4/I$4*(1+Inputs!F$12),IF($E138="Enrollment",I138*J$4/I$4,IF($E138="Tuition Index",I138*J$5/I$5,IF($E138="% of Salaries",IF($G$6=0,0,$G138/$G$6*J$6),IF($E138="Debt",$G138*Inputs!F$15/12,IF($E138="Reserve Yield",Inputs!F$13*Inputs!F$16,I138)))))))))))</f>
        <v>0</v>
      </c>
      <c r="K138" s="11" t="n">
        <f aca="false">IF($E138="Manual",O138,IF($E138="Flat",J138,IF($E138="Inflation",J138*(1+Inputs!G$12),IF($E138="Salary",J138*(1+Inputs!G$10),IF($E138="Benefits",J138*(1+Inputs!G$11),IF($E138="Per Student",J138*K$4/J$4*(1+Inputs!G$12),IF($E138="Enrollment",J138*K$4/J$4,IF($E138="Tuition Index",J138*K$5/J$5,IF($E138="% of Salaries",IF($G$6=0,0,$G138/$G$6*K$6),IF($E138="Debt",$G138*Inputs!G$15/12,IF($E138="Reserve Yield",Inputs!G$13*Inputs!G$16,J138)))))))))))</f>
        <v>0</v>
      </c>
      <c r="L138" s="22"/>
      <c r="M138" s="22"/>
      <c r="N138" s="22"/>
      <c r="O138" s="22"/>
    </row>
    <row r="139" customFormat="false" ht="15" hidden="false" customHeight="false" outlineLevel="0" collapsed="false">
      <c r="A139" s="6" t="s">
        <v>281</v>
      </c>
      <c r="B139" s="6" t="s">
        <v>16</v>
      </c>
      <c r="C139" s="30" t="s">
        <v>437</v>
      </c>
      <c r="D139" s="6" t="s">
        <v>438</v>
      </c>
      <c r="E139" s="20" t="s">
        <v>186</v>
      </c>
      <c r="F139" s="20" t="s">
        <v>132</v>
      </c>
      <c r="G139" s="31" t="n">
        <f aca="false">SUMIFS('QB Import'!$B$1:$B$600,'QB Import'!$H$1:$H$600,$C139,'QB Import'!$G$1:$G$600,1)</f>
        <v>0</v>
      </c>
      <c r="H139" s="11" t="n">
        <f aca="false">IF($E139="Manual",L139,IF($E139="Flat",G139,IF($E139="Inflation",G139*(1+Inputs!D$12),IF($E139="Salary",G139*(1+Inputs!D$10),IF($E139="Benefits",G139*(1+Inputs!D$11),IF($E139="Per Student",G139*H$4/G$4*(1+Inputs!D$12),IF($E139="Enrollment",G139*H$4/G$4,IF($E139="Tuition Index",G139*H$5/G$5,IF($E139="% of Salaries",IF($G$6=0,0,$G139/$G$6*H$6),IF($E139="Debt",$G139*Inputs!D$15/12,IF($E139="Reserve Yield",Inputs!D$13*Inputs!D$16,G139)))))))))))</f>
        <v>0</v>
      </c>
      <c r="I139" s="11" t="n">
        <f aca="false">IF($E139="Manual",M139,IF($E139="Flat",H139,IF($E139="Inflation",H139*(1+Inputs!E$12),IF($E139="Salary",H139*(1+Inputs!E$10),IF($E139="Benefits",H139*(1+Inputs!E$11),IF($E139="Per Student",H139*I$4/H$4*(1+Inputs!E$12),IF($E139="Enrollment",H139*I$4/H$4,IF($E139="Tuition Index",H139*I$5/H$5,IF($E139="% of Salaries",IF($G$6=0,0,$G139/$G$6*I$6),IF($E139="Debt",$G139*Inputs!E$15/12,IF($E139="Reserve Yield",Inputs!E$13*Inputs!E$16,H139)))))))))))</f>
        <v>0</v>
      </c>
      <c r="J139" s="11" t="n">
        <f aca="false">IF($E139="Manual",N139,IF($E139="Flat",I139,IF($E139="Inflation",I139*(1+Inputs!F$12),IF($E139="Salary",I139*(1+Inputs!F$10),IF($E139="Benefits",I139*(1+Inputs!F$11),IF($E139="Per Student",I139*J$4/I$4*(1+Inputs!F$12),IF($E139="Enrollment",I139*J$4/I$4,IF($E139="Tuition Index",I139*J$5/I$5,IF($E139="% of Salaries",IF($G$6=0,0,$G139/$G$6*J$6),IF($E139="Debt",$G139*Inputs!F$15/12,IF($E139="Reserve Yield",Inputs!F$13*Inputs!F$16,I139)))))))))))</f>
        <v>0</v>
      </c>
      <c r="K139" s="11" t="n">
        <f aca="false">IF($E139="Manual",O139,IF($E139="Flat",J139,IF($E139="Inflation",J139*(1+Inputs!G$12),IF($E139="Salary",J139*(1+Inputs!G$10),IF($E139="Benefits",J139*(1+Inputs!G$11),IF($E139="Per Student",J139*K$4/J$4*(1+Inputs!G$12),IF($E139="Enrollment",J139*K$4/J$4,IF($E139="Tuition Index",J139*K$5/J$5,IF($E139="% of Salaries",IF($G$6=0,0,$G139/$G$6*K$6),IF($E139="Debt",$G139*Inputs!G$15/12,IF($E139="Reserve Yield",Inputs!G$13*Inputs!G$16,J139)))))))))))</f>
        <v>0</v>
      </c>
      <c r="L139" s="22"/>
      <c r="M139" s="22"/>
      <c r="N139" s="22"/>
      <c r="O139" s="22"/>
    </row>
    <row r="140" customFormat="false" ht="15" hidden="false" customHeight="false" outlineLevel="0" collapsed="false">
      <c r="A140" s="6" t="s">
        <v>281</v>
      </c>
      <c r="B140" s="6" t="s">
        <v>16</v>
      </c>
      <c r="C140" s="30" t="s">
        <v>439</v>
      </c>
      <c r="D140" s="6" t="s">
        <v>440</v>
      </c>
      <c r="E140" s="20" t="s">
        <v>186</v>
      </c>
      <c r="F140" s="20" t="s">
        <v>132</v>
      </c>
      <c r="G140" s="31" t="n">
        <f aca="false">SUMIFS('QB Import'!$B$1:$B$600,'QB Import'!$H$1:$H$600,$C140,'QB Import'!$G$1:$G$600,1)</f>
        <v>0</v>
      </c>
      <c r="H140" s="11" t="n">
        <f aca="false">IF($E140="Manual",L140,IF($E140="Flat",G140,IF($E140="Inflation",G140*(1+Inputs!D$12),IF($E140="Salary",G140*(1+Inputs!D$10),IF($E140="Benefits",G140*(1+Inputs!D$11),IF($E140="Per Student",G140*H$4/G$4*(1+Inputs!D$12),IF($E140="Enrollment",G140*H$4/G$4,IF($E140="Tuition Index",G140*H$5/G$5,IF($E140="% of Salaries",IF($G$6=0,0,$G140/$G$6*H$6),IF($E140="Debt",$G140*Inputs!D$15/12,IF($E140="Reserve Yield",Inputs!D$13*Inputs!D$16,G140)))))))))))</f>
        <v>0</v>
      </c>
      <c r="I140" s="11" t="n">
        <f aca="false">IF($E140="Manual",M140,IF($E140="Flat",H140,IF($E140="Inflation",H140*(1+Inputs!E$12),IF($E140="Salary",H140*(1+Inputs!E$10),IF($E140="Benefits",H140*(1+Inputs!E$11),IF($E140="Per Student",H140*I$4/H$4*(1+Inputs!E$12),IF($E140="Enrollment",H140*I$4/H$4,IF($E140="Tuition Index",H140*I$5/H$5,IF($E140="% of Salaries",IF($G$6=0,0,$G140/$G$6*I$6),IF($E140="Debt",$G140*Inputs!E$15/12,IF($E140="Reserve Yield",Inputs!E$13*Inputs!E$16,H140)))))))))))</f>
        <v>0</v>
      </c>
      <c r="J140" s="11" t="n">
        <f aca="false">IF($E140="Manual",N140,IF($E140="Flat",I140,IF($E140="Inflation",I140*(1+Inputs!F$12),IF($E140="Salary",I140*(1+Inputs!F$10),IF($E140="Benefits",I140*(1+Inputs!F$11),IF($E140="Per Student",I140*J$4/I$4*(1+Inputs!F$12),IF($E140="Enrollment",I140*J$4/I$4,IF($E140="Tuition Index",I140*J$5/I$5,IF($E140="% of Salaries",IF($G$6=0,0,$G140/$G$6*J$6),IF($E140="Debt",$G140*Inputs!F$15/12,IF($E140="Reserve Yield",Inputs!F$13*Inputs!F$16,I140)))))))))))</f>
        <v>0</v>
      </c>
      <c r="K140" s="11" t="n">
        <f aca="false">IF($E140="Manual",O140,IF($E140="Flat",J140,IF($E140="Inflation",J140*(1+Inputs!G$12),IF($E140="Salary",J140*(1+Inputs!G$10),IF($E140="Benefits",J140*(1+Inputs!G$11),IF($E140="Per Student",J140*K$4/J$4*(1+Inputs!G$12),IF($E140="Enrollment",J140*K$4/J$4,IF($E140="Tuition Index",J140*K$5/J$5,IF($E140="% of Salaries",IF($G$6=0,0,$G140/$G$6*K$6),IF($E140="Debt",$G140*Inputs!G$15/12,IF($E140="Reserve Yield",Inputs!G$13*Inputs!G$16,J140)))))))))))</f>
        <v>0</v>
      </c>
      <c r="L140" s="22"/>
      <c r="M140" s="22"/>
      <c r="N140" s="22"/>
      <c r="O140" s="22"/>
    </row>
    <row r="141" customFormat="false" ht="15" hidden="false" customHeight="false" outlineLevel="0" collapsed="false">
      <c r="A141" s="6" t="s">
        <v>281</v>
      </c>
      <c r="B141" s="6" t="s">
        <v>16</v>
      </c>
      <c r="C141" s="30" t="s">
        <v>441</v>
      </c>
      <c r="D141" s="6" t="s">
        <v>442</v>
      </c>
      <c r="E141" s="20" t="s">
        <v>186</v>
      </c>
      <c r="F141" s="20" t="s">
        <v>132</v>
      </c>
      <c r="G141" s="31" t="n">
        <f aca="false">SUMIFS('QB Import'!$B$1:$B$600,'QB Import'!$H$1:$H$600,$C141,'QB Import'!$G$1:$G$600,1)</f>
        <v>0</v>
      </c>
      <c r="H141" s="11" t="n">
        <f aca="false">IF($E141="Manual",L141,IF($E141="Flat",G141,IF($E141="Inflation",G141*(1+Inputs!D$12),IF($E141="Salary",G141*(1+Inputs!D$10),IF($E141="Benefits",G141*(1+Inputs!D$11),IF($E141="Per Student",G141*H$4/G$4*(1+Inputs!D$12),IF($E141="Enrollment",G141*H$4/G$4,IF($E141="Tuition Index",G141*H$5/G$5,IF($E141="% of Salaries",IF($G$6=0,0,$G141/$G$6*H$6),IF($E141="Debt",$G141*Inputs!D$15/12,IF($E141="Reserve Yield",Inputs!D$13*Inputs!D$16,G141)))))))))))</f>
        <v>0</v>
      </c>
      <c r="I141" s="11" t="n">
        <f aca="false">IF($E141="Manual",M141,IF($E141="Flat",H141,IF($E141="Inflation",H141*(1+Inputs!E$12),IF($E141="Salary",H141*(1+Inputs!E$10),IF($E141="Benefits",H141*(1+Inputs!E$11),IF($E141="Per Student",H141*I$4/H$4*(1+Inputs!E$12),IF($E141="Enrollment",H141*I$4/H$4,IF($E141="Tuition Index",H141*I$5/H$5,IF($E141="% of Salaries",IF($G$6=0,0,$G141/$G$6*I$6),IF($E141="Debt",$G141*Inputs!E$15/12,IF($E141="Reserve Yield",Inputs!E$13*Inputs!E$16,H141)))))))))))</f>
        <v>0</v>
      </c>
      <c r="J141" s="11" t="n">
        <f aca="false">IF($E141="Manual",N141,IF($E141="Flat",I141,IF($E141="Inflation",I141*(1+Inputs!F$12),IF($E141="Salary",I141*(1+Inputs!F$10),IF($E141="Benefits",I141*(1+Inputs!F$11),IF($E141="Per Student",I141*J$4/I$4*(1+Inputs!F$12),IF($E141="Enrollment",I141*J$4/I$4,IF($E141="Tuition Index",I141*J$5/I$5,IF($E141="% of Salaries",IF($G$6=0,0,$G141/$G$6*J$6),IF($E141="Debt",$G141*Inputs!F$15/12,IF($E141="Reserve Yield",Inputs!F$13*Inputs!F$16,I141)))))))))))</f>
        <v>0</v>
      </c>
      <c r="K141" s="11" t="n">
        <f aca="false">IF($E141="Manual",O141,IF($E141="Flat",J141,IF($E141="Inflation",J141*(1+Inputs!G$12),IF($E141="Salary",J141*(1+Inputs!G$10),IF($E141="Benefits",J141*(1+Inputs!G$11),IF($E141="Per Student",J141*K$4/J$4*(1+Inputs!G$12),IF($E141="Enrollment",J141*K$4/J$4,IF($E141="Tuition Index",J141*K$5/J$5,IF($E141="% of Salaries",IF($G$6=0,0,$G141/$G$6*K$6),IF($E141="Debt",$G141*Inputs!G$15/12,IF($E141="Reserve Yield",Inputs!G$13*Inputs!G$16,J141)))))))))))</f>
        <v>0</v>
      </c>
      <c r="L141" s="22"/>
      <c r="M141" s="22"/>
      <c r="N141" s="22"/>
      <c r="O141" s="22"/>
    </row>
    <row r="142" customFormat="false" ht="15" hidden="false" customHeight="false" outlineLevel="0" collapsed="false">
      <c r="A142" s="6" t="s">
        <v>281</v>
      </c>
      <c r="B142" s="6" t="s">
        <v>16</v>
      </c>
      <c r="C142" s="30" t="s">
        <v>443</v>
      </c>
      <c r="D142" s="6" t="s">
        <v>444</v>
      </c>
      <c r="E142" s="20" t="s">
        <v>186</v>
      </c>
      <c r="F142" s="20" t="s">
        <v>132</v>
      </c>
      <c r="G142" s="31" t="n">
        <f aca="false">SUMIFS('QB Import'!$B$1:$B$600,'QB Import'!$H$1:$H$600,$C142,'QB Import'!$G$1:$G$600,1)</f>
        <v>0</v>
      </c>
      <c r="H142" s="11" t="n">
        <f aca="false">IF($E142="Manual",L142,IF($E142="Flat",G142,IF($E142="Inflation",G142*(1+Inputs!D$12),IF($E142="Salary",G142*(1+Inputs!D$10),IF($E142="Benefits",G142*(1+Inputs!D$11),IF($E142="Per Student",G142*H$4/G$4*(1+Inputs!D$12),IF($E142="Enrollment",G142*H$4/G$4,IF($E142="Tuition Index",G142*H$5/G$5,IF($E142="% of Salaries",IF($G$6=0,0,$G142/$G$6*H$6),IF($E142="Debt",$G142*Inputs!D$15/12,IF($E142="Reserve Yield",Inputs!D$13*Inputs!D$16,G142)))))))))))</f>
        <v>0</v>
      </c>
      <c r="I142" s="11" t="n">
        <f aca="false">IF($E142="Manual",M142,IF($E142="Flat",H142,IF($E142="Inflation",H142*(1+Inputs!E$12),IF($E142="Salary",H142*(1+Inputs!E$10),IF($E142="Benefits",H142*(1+Inputs!E$11),IF($E142="Per Student",H142*I$4/H$4*(1+Inputs!E$12),IF($E142="Enrollment",H142*I$4/H$4,IF($E142="Tuition Index",H142*I$5/H$5,IF($E142="% of Salaries",IF($G$6=0,0,$G142/$G$6*I$6),IF($E142="Debt",$G142*Inputs!E$15/12,IF($E142="Reserve Yield",Inputs!E$13*Inputs!E$16,H142)))))))))))</f>
        <v>0</v>
      </c>
      <c r="J142" s="11" t="n">
        <f aca="false">IF($E142="Manual",N142,IF($E142="Flat",I142,IF($E142="Inflation",I142*(1+Inputs!F$12),IF($E142="Salary",I142*(1+Inputs!F$10),IF($E142="Benefits",I142*(1+Inputs!F$11),IF($E142="Per Student",I142*J$4/I$4*(1+Inputs!F$12),IF($E142="Enrollment",I142*J$4/I$4,IF($E142="Tuition Index",I142*J$5/I$5,IF($E142="% of Salaries",IF($G$6=0,0,$G142/$G$6*J$6),IF($E142="Debt",$G142*Inputs!F$15/12,IF($E142="Reserve Yield",Inputs!F$13*Inputs!F$16,I142)))))))))))</f>
        <v>0</v>
      </c>
      <c r="K142" s="11" t="n">
        <f aca="false">IF($E142="Manual",O142,IF($E142="Flat",J142,IF($E142="Inflation",J142*(1+Inputs!G$12),IF($E142="Salary",J142*(1+Inputs!G$10),IF($E142="Benefits",J142*(1+Inputs!G$11),IF($E142="Per Student",J142*K$4/J$4*(1+Inputs!G$12),IF($E142="Enrollment",J142*K$4/J$4,IF($E142="Tuition Index",J142*K$5/J$5,IF($E142="% of Salaries",IF($G$6=0,0,$G142/$G$6*K$6),IF($E142="Debt",$G142*Inputs!G$15/12,IF($E142="Reserve Yield",Inputs!G$13*Inputs!G$16,J142)))))))))))</f>
        <v>0</v>
      </c>
      <c r="L142" s="22"/>
      <c r="M142" s="22"/>
      <c r="N142" s="22"/>
      <c r="O142" s="22"/>
    </row>
    <row r="143" customFormat="false" ht="15" hidden="false" customHeight="false" outlineLevel="0" collapsed="false">
      <c r="A143" s="6" t="s">
        <v>281</v>
      </c>
      <c r="B143" s="6" t="s">
        <v>16</v>
      </c>
      <c r="C143" s="30" t="s">
        <v>445</v>
      </c>
      <c r="D143" s="6" t="s">
        <v>446</v>
      </c>
      <c r="E143" s="20" t="s">
        <v>186</v>
      </c>
      <c r="F143" s="20" t="s">
        <v>132</v>
      </c>
      <c r="G143" s="31" t="n">
        <f aca="false">SUMIFS('QB Import'!$B$1:$B$600,'QB Import'!$H$1:$H$600,$C143,'QB Import'!$G$1:$G$600,1)</f>
        <v>0</v>
      </c>
      <c r="H143" s="11" t="n">
        <f aca="false">IF($E143="Manual",L143,IF($E143="Flat",G143,IF($E143="Inflation",G143*(1+Inputs!D$12),IF($E143="Salary",G143*(1+Inputs!D$10),IF($E143="Benefits",G143*(1+Inputs!D$11),IF($E143="Per Student",G143*H$4/G$4*(1+Inputs!D$12),IF($E143="Enrollment",G143*H$4/G$4,IF($E143="Tuition Index",G143*H$5/G$5,IF($E143="% of Salaries",IF($G$6=0,0,$G143/$G$6*H$6),IF($E143="Debt",$G143*Inputs!D$15/12,IF($E143="Reserve Yield",Inputs!D$13*Inputs!D$16,G143)))))))))))</f>
        <v>0</v>
      </c>
      <c r="I143" s="11" t="n">
        <f aca="false">IF($E143="Manual",M143,IF($E143="Flat",H143,IF($E143="Inflation",H143*(1+Inputs!E$12),IF($E143="Salary",H143*(1+Inputs!E$10),IF($E143="Benefits",H143*(1+Inputs!E$11),IF($E143="Per Student",H143*I$4/H$4*(1+Inputs!E$12),IF($E143="Enrollment",H143*I$4/H$4,IF($E143="Tuition Index",H143*I$5/H$5,IF($E143="% of Salaries",IF($G$6=0,0,$G143/$G$6*I$6),IF($E143="Debt",$G143*Inputs!E$15/12,IF($E143="Reserve Yield",Inputs!E$13*Inputs!E$16,H143)))))))))))</f>
        <v>0</v>
      </c>
      <c r="J143" s="11" t="n">
        <f aca="false">IF($E143="Manual",N143,IF($E143="Flat",I143,IF($E143="Inflation",I143*(1+Inputs!F$12),IF($E143="Salary",I143*(1+Inputs!F$10),IF($E143="Benefits",I143*(1+Inputs!F$11),IF($E143="Per Student",I143*J$4/I$4*(1+Inputs!F$12),IF($E143="Enrollment",I143*J$4/I$4,IF($E143="Tuition Index",I143*J$5/I$5,IF($E143="% of Salaries",IF($G$6=0,0,$G143/$G$6*J$6),IF($E143="Debt",$G143*Inputs!F$15/12,IF($E143="Reserve Yield",Inputs!F$13*Inputs!F$16,I143)))))))))))</f>
        <v>0</v>
      </c>
      <c r="K143" s="11" t="n">
        <f aca="false">IF($E143="Manual",O143,IF($E143="Flat",J143,IF($E143="Inflation",J143*(1+Inputs!G$12),IF($E143="Salary",J143*(1+Inputs!G$10),IF($E143="Benefits",J143*(1+Inputs!G$11),IF($E143="Per Student",J143*K$4/J$4*(1+Inputs!G$12),IF($E143="Enrollment",J143*K$4/J$4,IF($E143="Tuition Index",J143*K$5/J$5,IF($E143="% of Salaries",IF($G$6=0,0,$G143/$G$6*K$6),IF($E143="Debt",$G143*Inputs!G$15/12,IF($E143="Reserve Yield",Inputs!G$13*Inputs!G$16,J143)))))))))))</f>
        <v>0</v>
      </c>
      <c r="L143" s="22"/>
      <c r="M143" s="22"/>
      <c r="N143" s="22"/>
      <c r="O143" s="22"/>
    </row>
    <row r="144" customFormat="false" ht="15" hidden="false" customHeight="false" outlineLevel="0" collapsed="false">
      <c r="A144" s="6" t="s">
        <v>281</v>
      </c>
      <c r="B144" s="6" t="s">
        <v>16</v>
      </c>
      <c r="C144" s="30" t="s">
        <v>447</v>
      </c>
      <c r="D144" s="6" t="s">
        <v>447</v>
      </c>
      <c r="E144" s="20" t="s">
        <v>316</v>
      </c>
      <c r="F144" s="20" t="s">
        <v>132</v>
      </c>
      <c r="G144" s="31" t="n">
        <f aca="false">SUMIFS('QB Import'!$B$1:$B$600,'QB Import'!$H$1:$H$600,$C144,'QB Import'!$G$1:$G$600,1)</f>
        <v>643750</v>
      </c>
      <c r="H144" s="11" t="n">
        <f aca="false">IF($E144="Manual",L144,IF($E144="Flat",G144,IF($E144="Inflation",G144*(1+Inputs!D$12),IF($E144="Salary",G144*(1+Inputs!D$10),IF($E144="Benefits",G144*(1+Inputs!D$11),IF($E144="Per Student",G144*H$4/G$4*(1+Inputs!D$12),IF($E144="Enrollment",G144*H$4/G$4,IF($E144="Tuition Index",G144*H$5/G$5,IF($E144="% of Salaries",IF($G$6=0,0,$G144/$G$6*H$6),IF($E144="Debt",$G144*Inputs!D$15/12,IF($E144="Reserve Yield",Inputs!D$13*Inputs!D$16,G144)))))))))))</f>
        <v>663062.5</v>
      </c>
      <c r="I144" s="11" t="n">
        <f aca="false">IF($E144="Manual",M144,IF($E144="Flat",H144,IF($E144="Inflation",H144*(1+Inputs!E$12),IF($E144="Salary",H144*(1+Inputs!E$10),IF($E144="Benefits",H144*(1+Inputs!E$11),IF($E144="Per Student",H144*I$4/H$4*(1+Inputs!E$12),IF($E144="Enrollment",H144*I$4/H$4,IF($E144="Tuition Index",H144*I$5/H$5,IF($E144="% of Salaries",IF($G$6=0,0,$G144/$G$6*I$6),IF($E144="Debt",$G144*Inputs!E$15/12,IF($E144="Reserve Yield",Inputs!E$13*Inputs!E$16,H144)))))))))))</f>
        <v>682954.375</v>
      </c>
      <c r="J144" s="11" t="n">
        <f aca="false">IF($E144="Manual",N144,IF($E144="Flat",I144,IF($E144="Inflation",I144*(1+Inputs!F$12),IF($E144="Salary",I144*(1+Inputs!F$10),IF($E144="Benefits",I144*(1+Inputs!F$11),IF($E144="Per Student",I144*J$4/I$4*(1+Inputs!F$12),IF($E144="Enrollment",I144*J$4/I$4,IF($E144="Tuition Index",I144*J$5/I$5,IF($E144="% of Salaries",IF($G$6=0,0,$G144/$G$6*J$6),IF($E144="Debt",$G144*Inputs!F$15/12,IF($E144="Reserve Yield",Inputs!F$13*Inputs!F$16,I144)))))))))))</f>
        <v>703443.00625</v>
      </c>
      <c r="K144" s="11" t="n">
        <f aca="false">IF($E144="Manual",O144,IF($E144="Flat",J144,IF($E144="Inflation",J144*(1+Inputs!G$12),IF($E144="Salary",J144*(1+Inputs!G$10),IF($E144="Benefits",J144*(1+Inputs!G$11),IF($E144="Per Student",J144*K$4/J$4*(1+Inputs!G$12),IF($E144="Enrollment",J144*K$4/J$4,IF($E144="Tuition Index",J144*K$5/J$5,IF($E144="% of Salaries",IF($G$6=0,0,$G144/$G$6*K$6),IF($E144="Debt",$G144*Inputs!G$15/12,IF($E144="Reserve Yield",Inputs!G$13*Inputs!G$16,J144)))))))))))</f>
        <v>724546.2964375</v>
      </c>
      <c r="L144" s="22"/>
      <c r="M144" s="22"/>
      <c r="N144" s="22"/>
      <c r="O144" s="22"/>
    </row>
    <row r="145" customFormat="false" ht="15" hidden="false" customHeight="false" outlineLevel="0" collapsed="false">
      <c r="A145" s="6" t="s">
        <v>281</v>
      </c>
      <c r="B145" s="6" t="s">
        <v>16</v>
      </c>
      <c r="C145" s="30" t="s">
        <v>448</v>
      </c>
      <c r="D145" s="6" t="s">
        <v>449</v>
      </c>
      <c r="E145" s="20" t="s">
        <v>186</v>
      </c>
      <c r="F145" s="20" t="s">
        <v>132</v>
      </c>
      <c r="G145" s="31" t="n">
        <f aca="false">SUMIFS('QB Import'!$B$1:$B$600,'QB Import'!$H$1:$H$600,$C145,'QB Import'!$G$1:$G$600,1)</f>
        <v>0</v>
      </c>
      <c r="H145" s="11" t="n">
        <f aca="false">IF($E145="Manual",L145,IF($E145="Flat",G145,IF($E145="Inflation",G145*(1+Inputs!D$12),IF($E145="Salary",G145*(1+Inputs!D$10),IF($E145="Benefits",G145*(1+Inputs!D$11),IF($E145="Per Student",G145*H$4/G$4*(1+Inputs!D$12),IF($E145="Enrollment",G145*H$4/G$4,IF($E145="Tuition Index",G145*H$5/G$5,IF($E145="% of Salaries",IF($G$6=0,0,$G145/$G$6*H$6),IF($E145="Debt",$G145*Inputs!D$15/12,IF($E145="Reserve Yield",Inputs!D$13*Inputs!D$16,G145)))))))))))</f>
        <v>0</v>
      </c>
      <c r="I145" s="11" t="n">
        <f aca="false">IF($E145="Manual",M145,IF($E145="Flat",H145,IF($E145="Inflation",H145*(1+Inputs!E$12),IF($E145="Salary",H145*(1+Inputs!E$10),IF($E145="Benefits",H145*(1+Inputs!E$11),IF($E145="Per Student",H145*I$4/H$4*(1+Inputs!E$12),IF($E145="Enrollment",H145*I$4/H$4,IF($E145="Tuition Index",H145*I$5/H$5,IF($E145="% of Salaries",IF($G$6=0,0,$G145/$G$6*I$6),IF($E145="Debt",$G145*Inputs!E$15/12,IF($E145="Reserve Yield",Inputs!E$13*Inputs!E$16,H145)))))))))))</f>
        <v>0</v>
      </c>
      <c r="J145" s="11" t="n">
        <f aca="false">IF($E145="Manual",N145,IF($E145="Flat",I145,IF($E145="Inflation",I145*(1+Inputs!F$12),IF($E145="Salary",I145*(1+Inputs!F$10),IF($E145="Benefits",I145*(1+Inputs!F$11),IF($E145="Per Student",I145*J$4/I$4*(1+Inputs!F$12),IF($E145="Enrollment",I145*J$4/I$4,IF($E145="Tuition Index",I145*J$5/I$5,IF($E145="% of Salaries",IF($G$6=0,0,$G145/$G$6*J$6),IF($E145="Debt",$G145*Inputs!F$15/12,IF($E145="Reserve Yield",Inputs!F$13*Inputs!F$16,I145)))))))))))</f>
        <v>0</v>
      </c>
      <c r="K145" s="11" t="n">
        <f aca="false">IF($E145="Manual",O145,IF($E145="Flat",J145,IF($E145="Inflation",J145*(1+Inputs!G$12),IF($E145="Salary",J145*(1+Inputs!G$10),IF($E145="Benefits",J145*(1+Inputs!G$11),IF($E145="Per Student",J145*K$4/J$4*(1+Inputs!G$12),IF($E145="Enrollment",J145*K$4/J$4,IF($E145="Tuition Index",J145*K$5/J$5,IF($E145="% of Salaries",IF($G$6=0,0,$G145/$G$6*K$6),IF($E145="Debt",$G145*Inputs!G$15/12,IF($E145="Reserve Yield",Inputs!G$13*Inputs!G$16,J145)))))))))))</f>
        <v>0</v>
      </c>
      <c r="L145" s="22"/>
      <c r="M145" s="22"/>
      <c r="N145" s="22"/>
      <c r="O145" s="22"/>
    </row>
    <row r="146" customFormat="false" ht="15" hidden="false" customHeight="false" outlineLevel="0" collapsed="false">
      <c r="A146" s="6" t="s">
        <v>281</v>
      </c>
      <c r="B146" s="6" t="s">
        <v>16</v>
      </c>
      <c r="C146" s="30" t="s">
        <v>450</v>
      </c>
      <c r="D146" s="6" t="s">
        <v>451</v>
      </c>
      <c r="E146" s="20" t="s">
        <v>186</v>
      </c>
      <c r="F146" s="20" t="s">
        <v>132</v>
      </c>
      <c r="G146" s="31" t="n">
        <f aca="false">SUMIFS('QB Import'!$B$1:$B$600,'QB Import'!$H$1:$H$600,$C146,'QB Import'!$G$1:$G$600,1)</f>
        <v>0</v>
      </c>
      <c r="H146" s="11" t="n">
        <f aca="false">IF($E146="Manual",L146,IF($E146="Flat",G146,IF($E146="Inflation",G146*(1+Inputs!D$12),IF($E146="Salary",G146*(1+Inputs!D$10),IF($E146="Benefits",G146*(1+Inputs!D$11),IF($E146="Per Student",G146*H$4/G$4*(1+Inputs!D$12),IF($E146="Enrollment",G146*H$4/G$4,IF($E146="Tuition Index",G146*H$5/G$5,IF($E146="% of Salaries",IF($G$6=0,0,$G146/$G$6*H$6),IF($E146="Debt",$G146*Inputs!D$15/12,IF($E146="Reserve Yield",Inputs!D$13*Inputs!D$16,G146)))))))))))</f>
        <v>0</v>
      </c>
      <c r="I146" s="11" t="n">
        <f aca="false">IF($E146="Manual",M146,IF($E146="Flat",H146,IF($E146="Inflation",H146*(1+Inputs!E$12),IF($E146="Salary",H146*(1+Inputs!E$10),IF($E146="Benefits",H146*(1+Inputs!E$11),IF($E146="Per Student",H146*I$4/H$4*(1+Inputs!E$12),IF($E146="Enrollment",H146*I$4/H$4,IF($E146="Tuition Index",H146*I$5/H$5,IF($E146="% of Salaries",IF($G$6=0,0,$G146/$G$6*I$6),IF($E146="Debt",$G146*Inputs!E$15/12,IF($E146="Reserve Yield",Inputs!E$13*Inputs!E$16,H146)))))))))))</f>
        <v>0</v>
      </c>
      <c r="J146" s="11" t="n">
        <f aca="false">IF($E146="Manual",N146,IF($E146="Flat",I146,IF($E146="Inflation",I146*(1+Inputs!F$12),IF($E146="Salary",I146*(1+Inputs!F$10),IF($E146="Benefits",I146*(1+Inputs!F$11),IF($E146="Per Student",I146*J$4/I$4*(1+Inputs!F$12),IF($E146="Enrollment",I146*J$4/I$4,IF($E146="Tuition Index",I146*J$5/I$5,IF($E146="% of Salaries",IF($G$6=0,0,$G146/$G$6*J$6),IF($E146="Debt",$G146*Inputs!F$15/12,IF($E146="Reserve Yield",Inputs!F$13*Inputs!F$16,I146)))))))))))</f>
        <v>0</v>
      </c>
      <c r="K146" s="11" t="n">
        <f aca="false">IF($E146="Manual",O146,IF($E146="Flat",J146,IF($E146="Inflation",J146*(1+Inputs!G$12),IF($E146="Salary",J146*(1+Inputs!G$10),IF($E146="Benefits",J146*(1+Inputs!G$11),IF($E146="Per Student",J146*K$4/J$4*(1+Inputs!G$12),IF($E146="Enrollment",J146*K$4/J$4,IF($E146="Tuition Index",J146*K$5/J$5,IF($E146="% of Salaries",IF($G$6=0,0,$G146/$G$6*K$6),IF($E146="Debt",$G146*Inputs!G$15/12,IF($E146="Reserve Yield",Inputs!G$13*Inputs!G$16,J146)))))))))))</f>
        <v>0</v>
      </c>
      <c r="L146" s="22"/>
      <c r="M146" s="22"/>
      <c r="N146" s="22"/>
      <c r="O146" s="22"/>
    </row>
    <row r="147" customFormat="false" ht="15" hidden="false" customHeight="false" outlineLevel="0" collapsed="false">
      <c r="A147" s="6" t="s">
        <v>281</v>
      </c>
      <c r="B147" s="6" t="s">
        <v>16</v>
      </c>
      <c r="C147" s="30" t="s">
        <v>452</v>
      </c>
      <c r="D147" s="6" t="s">
        <v>453</v>
      </c>
      <c r="E147" s="20" t="s">
        <v>186</v>
      </c>
      <c r="F147" s="20" t="s">
        <v>132</v>
      </c>
      <c r="G147" s="31" t="n">
        <f aca="false">SUMIFS('QB Import'!$B$1:$B$600,'QB Import'!$H$1:$H$600,$C147,'QB Import'!$G$1:$G$600,1)</f>
        <v>0</v>
      </c>
      <c r="H147" s="11" t="n">
        <f aca="false">IF($E147="Manual",L147,IF($E147="Flat",G147,IF($E147="Inflation",G147*(1+Inputs!D$12),IF($E147="Salary",G147*(1+Inputs!D$10),IF($E147="Benefits",G147*(1+Inputs!D$11),IF($E147="Per Student",G147*H$4/G$4*(1+Inputs!D$12),IF($E147="Enrollment",G147*H$4/G$4,IF($E147="Tuition Index",G147*H$5/G$5,IF($E147="% of Salaries",IF($G$6=0,0,$G147/$G$6*H$6),IF($E147="Debt",$G147*Inputs!D$15/12,IF($E147="Reserve Yield",Inputs!D$13*Inputs!D$16,G147)))))))))))</f>
        <v>0</v>
      </c>
      <c r="I147" s="11" t="n">
        <f aca="false">IF($E147="Manual",M147,IF($E147="Flat",H147,IF($E147="Inflation",H147*(1+Inputs!E$12),IF($E147="Salary",H147*(1+Inputs!E$10),IF($E147="Benefits",H147*(1+Inputs!E$11),IF($E147="Per Student",H147*I$4/H$4*(1+Inputs!E$12),IF($E147="Enrollment",H147*I$4/H$4,IF($E147="Tuition Index",H147*I$5/H$5,IF($E147="% of Salaries",IF($G$6=0,0,$G147/$G$6*I$6),IF($E147="Debt",$G147*Inputs!E$15/12,IF($E147="Reserve Yield",Inputs!E$13*Inputs!E$16,H147)))))))))))</f>
        <v>0</v>
      </c>
      <c r="J147" s="11" t="n">
        <f aca="false">IF($E147="Manual",N147,IF($E147="Flat",I147,IF($E147="Inflation",I147*(1+Inputs!F$12),IF($E147="Salary",I147*(1+Inputs!F$10),IF($E147="Benefits",I147*(1+Inputs!F$11),IF($E147="Per Student",I147*J$4/I$4*(1+Inputs!F$12),IF($E147="Enrollment",I147*J$4/I$4,IF($E147="Tuition Index",I147*J$5/I$5,IF($E147="% of Salaries",IF($G$6=0,0,$G147/$G$6*J$6),IF($E147="Debt",$G147*Inputs!F$15/12,IF($E147="Reserve Yield",Inputs!F$13*Inputs!F$16,I147)))))))))))</f>
        <v>0</v>
      </c>
      <c r="K147" s="11" t="n">
        <f aca="false">IF($E147="Manual",O147,IF($E147="Flat",J147,IF($E147="Inflation",J147*(1+Inputs!G$12),IF($E147="Salary",J147*(1+Inputs!G$10),IF($E147="Benefits",J147*(1+Inputs!G$11),IF($E147="Per Student",J147*K$4/J$4*(1+Inputs!G$12),IF($E147="Enrollment",J147*K$4/J$4,IF($E147="Tuition Index",J147*K$5/J$5,IF($E147="% of Salaries",IF($G$6=0,0,$G147/$G$6*K$6),IF($E147="Debt",$G147*Inputs!G$15/12,IF($E147="Reserve Yield",Inputs!G$13*Inputs!G$16,J147)))))))))))</f>
        <v>0</v>
      </c>
      <c r="L147" s="22"/>
      <c r="M147" s="22"/>
      <c r="N147" s="22"/>
      <c r="O147" s="22"/>
    </row>
    <row r="148" customFormat="false" ht="15" hidden="false" customHeight="false" outlineLevel="0" collapsed="false">
      <c r="A148" s="6" t="s">
        <v>281</v>
      </c>
      <c r="B148" s="6" t="s">
        <v>16</v>
      </c>
      <c r="C148" s="30" t="s">
        <v>454</v>
      </c>
      <c r="D148" s="6" t="s">
        <v>455</v>
      </c>
      <c r="E148" s="20" t="s">
        <v>186</v>
      </c>
      <c r="F148" s="20" t="s">
        <v>132</v>
      </c>
      <c r="G148" s="31" t="n">
        <f aca="false">SUMIFS('QB Import'!$B$1:$B$600,'QB Import'!$H$1:$H$600,$C148,'QB Import'!$G$1:$G$600,1)</f>
        <v>0</v>
      </c>
      <c r="H148" s="11" t="n">
        <f aca="false">IF($E148="Manual",L148,IF($E148="Flat",G148,IF($E148="Inflation",G148*(1+Inputs!D$12),IF($E148="Salary",G148*(1+Inputs!D$10),IF($E148="Benefits",G148*(1+Inputs!D$11),IF($E148="Per Student",G148*H$4/G$4*(1+Inputs!D$12),IF($E148="Enrollment",G148*H$4/G$4,IF($E148="Tuition Index",G148*H$5/G$5,IF($E148="% of Salaries",IF($G$6=0,0,$G148/$G$6*H$6),IF($E148="Debt",$G148*Inputs!D$15/12,IF($E148="Reserve Yield",Inputs!D$13*Inputs!D$16,G148)))))))))))</f>
        <v>0</v>
      </c>
      <c r="I148" s="11" t="n">
        <f aca="false">IF($E148="Manual",M148,IF($E148="Flat",H148,IF($E148="Inflation",H148*(1+Inputs!E$12),IF($E148="Salary",H148*(1+Inputs!E$10),IF($E148="Benefits",H148*(1+Inputs!E$11),IF($E148="Per Student",H148*I$4/H$4*(1+Inputs!E$12),IF($E148="Enrollment",H148*I$4/H$4,IF($E148="Tuition Index",H148*I$5/H$5,IF($E148="% of Salaries",IF($G$6=0,0,$G148/$G$6*I$6),IF($E148="Debt",$G148*Inputs!E$15/12,IF($E148="Reserve Yield",Inputs!E$13*Inputs!E$16,H148)))))))))))</f>
        <v>0</v>
      </c>
      <c r="J148" s="11" t="n">
        <f aca="false">IF($E148="Manual",N148,IF($E148="Flat",I148,IF($E148="Inflation",I148*(1+Inputs!F$12),IF($E148="Salary",I148*(1+Inputs!F$10),IF($E148="Benefits",I148*(1+Inputs!F$11),IF($E148="Per Student",I148*J$4/I$4*(1+Inputs!F$12),IF($E148="Enrollment",I148*J$4/I$4,IF($E148="Tuition Index",I148*J$5/I$5,IF($E148="% of Salaries",IF($G$6=0,0,$G148/$G$6*J$6),IF($E148="Debt",$G148*Inputs!F$15/12,IF($E148="Reserve Yield",Inputs!F$13*Inputs!F$16,I148)))))))))))</f>
        <v>0</v>
      </c>
      <c r="K148" s="11" t="n">
        <f aca="false">IF($E148="Manual",O148,IF($E148="Flat",J148,IF($E148="Inflation",J148*(1+Inputs!G$12),IF($E148="Salary",J148*(1+Inputs!G$10),IF($E148="Benefits",J148*(1+Inputs!G$11),IF($E148="Per Student",J148*K$4/J$4*(1+Inputs!G$12),IF($E148="Enrollment",J148*K$4/J$4,IF($E148="Tuition Index",J148*K$5/J$5,IF($E148="% of Salaries",IF($G$6=0,0,$G148/$G$6*K$6),IF($E148="Debt",$G148*Inputs!G$15/12,IF($E148="Reserve Yield",Inputs!G$13*Inputs!G$16,J148)))))))))))</f>
        <v>0</v>
      </c>
      <c r="L148" s="22"/>
      <c r="M148" s="22"/>
      <c r="N148" s="22"/>
      <c r="O148" s="22"/>
    </row>
    <row r="149" customFormat="false" ht="15" hidden="false" customHeight="false" outlineLevel="0" collapsed="false">
      <c r="A149" s="6" t="s">
        <v>281</v>
      </c>
      <c r="B149" s="6" t="s">
        <v>17</v>
      </c>
      <c r="C149" s="30" t="s">
        <v>456</v>
      </c>
      <c r="D149" s="6" t="s">
        <v>457</v>
      </c>
      <c r="E149" s="20" t="s">
        <v>316</v>
      </c>
      <c r="F149" s="20" t="s">
        <v>132</v>
      </c>
      <c r="G149" s="31" t="n">
        <f aca="false">SUMIFS('QB Import'!$B$1:$B$600,'QB Import'!$H$1:$H$600,$C149,'QB Import'!$G$1:$G$600,1)</f>
        <v>30000</v>
      </c>
      <c r="H149" s="11" t="n">
        <f aca="false">IF($E149="Manual",L149,IF($E149="Flat",G149,IF($E149="Inflation",G149*(1+Inputs!D$12),IF($E149="Salary",G149*(1+Inputs!D$10),IF($E149="Benefits",G149*(1+Inputs!D$11),IF($E149="Per Student",G149*H$4/G$4*(1+Inputs!D$12),IF($E149="Enrollment",G149*H$4/G$4,IF($E149="Tuition Index",G149*H$5/G$5,IF($E149="% of Salaries",IF($G$6=0,0,$G149/$G$6*H$6),IF($E149="Debt",$G149*Inputs!D$15/12,IF($E149="Reserve Yield",Inputs!D$13*Inputs!D$16,G149)))))))))))</f>
        <v>30900</v>
      </c>
      <c r="I149" s="11" t="n">
        <f aca="false">IF($E149="Manual",M149,IF($E149="Flat",H149,IF($E149="Inflation",H149*(1+Inputs!E$12),IF($E149="Salary",H149*(1+Inputs!E$10),IF($E149="Benefits",H149*(1+Inputs!E$11),IF($E149="Per Student",H149*I$4/H$4*(1+Inputs!E$12),IF($E149="Enrollment",H149*I$4/H$4,IF($E149="Tuition Index",H149*I$5/H$5,IF($E149="% of Salaries",IF($G$6=0,0,$G149/$G$6*I$6),IF($E149="Debt",$G149*Inputs!E$15/12,IF($E149="Reserve Yield",Inputs!E$13*Inputs!E$16,H149)))))))))))</f>
        <v>31827</v>
      </c>
      <c r="J149" s="11" t="n">
        <f aca="false">IF($E149="Manual",N149,IF($E149="Flat",I149,IF($E149="Inflation",I149*(1+Inputs!F$12),IF($E149="Salary",I149*(1+Inputs!F$10),IF($E149="Benefits",I149*(1+Inputs!F$11),IF($E149="Per Student",I149*J$4/I$4*(1+Inputs!F$12),IF($E149="Enrollment",I149*J$4/I$4,IF($E149="Tuition Index",I149*J$5/I$5,IF($E149="% of Salaries",IF($G$6=0,0,$G149/$G$6*J$6),IF($E149="Debt",$G149*Inputs!F$15/12,IF($E149="Reserve Yield",Inputs!F$13*Inputs!F$16,I149)))))))))))</f>
        <v>32781.81</v>
      </c>
      <c r="K149" s="11" t="n">
        <f aca="false">IF($E149="Manual",O149,IF($E149="Flat",J149,IF($E149="Inflation",J149*(1+Inputs!G$12),IF($E149="Salary",J149*(1+Inputs!G$10),IF($E149="Benefits",J149*(1+Inputs!G$11),IF($E149="Per Student",J149*K$4/J$4*(1+Inputs!G$12),IF($E149="Enrollment",J149*K$4/J$4,IF($E149="Tuition Index",J149*K$5/J$5,IF($E149="% of Salaries",IF($G$6=0,0,$G149/$G$6*K$6),IF($E149="Debt",$G149*Inputs!G$15/12,IF($E149="Reserve Yield",Inputs!G$13*Inputs!G$16,J149)))))))))))</f>
        <v>33765.2643</v>
      </c>
      <c r="L149" s="22"/>
      <c r="M149" s="22"/>
      <c r="N149" s="22"/>
      <c r="O149" s="22"/>
    </row>
    <row r="150" customFormat="false" ht="15" hidden="false" customHeight="false" outlineLevel="0" collapsed="false">
      <c r="A150" s="6" t="s">
        <v>281</v>
      </c>
      <c r="B150" s="6" t="s">
        <v>17</v>
      </c>
      <c r="C150" s="30" t="s">
        <v>458</v>
      </c>
      <c r="D150" s="6" t="s">
        <v>459</v>
      </c>
      <c r="E150" s="20" t="s">
        <v>316</v>
      </c>
      <c r="F150" s="20" t="s">
        <v>132</v>
      </c>
      <c r="G150" s="31" t="n">
        <f aca="false">SUMIFS('QB Import'!$B$1:$B$600,'QB Import'!$H$1:$H$600,$C150,'QB Import'!$G$1:$G$600,1)</f>
        <v>7700</v>
      </c>
      <c r="H150" s="11" t="n">
        <f aca="false">IF($E150="Manual",L150,IF($E150="Flat",G150,IF($E150="Inflation",G150*(1+Inputs!D$12),IF($E150="Salary",G150*(1+Inputs!D$10),IF($E150="Benefits",G150*(1+Inputs!D$11),IF($E150="Per Student",G150*H$4/G$4*(1+Inputs!D$12),IF($E150="Enrollment",G150*H$4/G$4,IF($E150="Tuition Index",G150*H$5/G$5,IF($E150="% of Salaries",IF($G$6=0,0,$G150/$G$6*H$6),IF($E150="Debt",$G150*Inputs!D$15/12,IF($E150="Reserve Yield",Inputs!D$13*Inputs!D$16,G150)))))))))))</f>
        <v>7931</v>
      </c>
      <c r="I150" s="11" t="n">
        <f aca="false">IF($E150="Manual",M150,IF($E150="Flat",H150,IF($E150="Inflation",H150*(1+Inputs!E$12),IF($E150="Salary",H150*(1+Inputs!E$10),IF($E150="Benefits",H150*(1+Inputs!E$11),IF($E150="Per Student",H150*I$4/H$4*(1+Inputs!E$12),IF($E150="Enrollment",H150*I$4/H$4,IF($E150="Tuition Index",H150*I$5/H$5,IF($E150="% of Salaries",IF($G$6=0,0,$G150/$G$6*I$6),IF($E150="Debt",$G150*Inputs!E$15/12,IF($E150="Reserve Yield",Inputs!E$13*Inputs!E$16,H150)))))))))))</f>
        <v>8168.93</v>
      </c>
      <c r="J150" s="11" t="n">
        <f aca="false">IF($E150="Manual",N150,IF($E150="Flat",I150,IF($E150="Inflation",I150*(1+Inputs!F$12),IF($E150="Salary",I150*(1+Inputs!F$10),IF($E150="Benefits",I150*(1+Inputs!F$11),IF($E150="Per Student",I150*J$4/I$4*(1+Inputs!F$12),IF($E150="Enrollment",I150*J$4/I$4,IF($E150="Tuition Index",I150*J$5/I$5,IF($E150="% of Salaries",IF($G$6=0,0,$G150/$G$6*J$6),IF($E150="Debt",$G150*Inputs!F$15/12,IF($E150="Reserve Yield",Inputs!F$13*Inputs!F$16,I150)))))))))))</f>
        <v>8413.9979</v>
      </c>
      <c r="K150" s="11" t="n">
        <f aca="false">IF($E150="Manual",O150,IF($E150="Flat",J150,IF($E150="Inflation",J150*(1+Inputs!G$12),IF($E150="Salary",J150*(1+Inputs!G$10),IF($E150="Benefits",J150*(1+Inputs!G$11),IF($E150="Per Student",J150*K$4/J$4*(1+Inputs!G$12),IF($E150="Enrollment",J150*K$4/J$4,IF($E150="Tuition Index",J150*K$5/J$5,IF($E150="% of Salaries",IF($G$6=0,0,$G150/$G$6*K$6),IF($E150="Debt",$G150*Inputs!G$15/12,IF($E150="Reserve Yield",Inputs!G$13*Inputs!G$16,J150)))))))))))</f>
        <v>8666.417837</v>
      </c>
      <c r="L150" s="22"/>
      <c r="M150" s="22"/>
      <c r="N150" s="22"/>
      <c r="O150" s="22"/>
    </row>
    <row r="151" customFormat="false" ht="15" hidden="false" customHeight="false" outlineLevel="0" collapsed="false">
      <c r="A151" s="6" t="s">
        <v>281</v>
      </c>
      <c r="B151" s="6" t="s">
        <v>17</v>
      </c>
      <c r="C151" s="30" t="s">
        <v>460</v>
      </c>
      <c r="D151" s="6" t="s">
        <v>461</v>
      </c>
      <c r="E151" s="20" t="s">
        <v>316</v>
      </c>
      <c r="F151" s="20" t="s">
        <v>132</v>
      </c>
      <c r="G151" s="31" t="n">
        <f aca="false">SUMIFS('QB Import'!$B$1:$B$600,'QB Import'!$H$1:$H$600,$C151,'QB Import'!$G$1:$G$600,1)</f>
        <v>20000</v>
      </c>
      <c r="H151" s="11" t="n">
        <f aca="false">IF($E151="Manual",L151,IF($E151="Flat",G151,IF($E151="Inflation",G151*(1+Inputs!D$12),IF($E151="Salary",G151*(1+Inputs!D$10),IF($E151="Benefits",G151*(1+Inputs!D$11),IF($E151="Per Student",G151*H$4/G$4*(1+Inputs!D$12),IF($E151="Enrollment",G151*H$4/G$4,IF($E151="Tuition Index",G151*H$5/G$5,IF($E151="% of Salaries",IF($G$6=0,0,$G151/$G$6*H$6),IF($E151="Debt",$G151*Inputs!D$15/12,IF($E151="Reserve Yield",Inputs!D$13*Inputs!D$16,G151)))))))))))</f>
        <v>20600</v>
      </c>
      <c r="I151" s="11" t="n">
        <f aca="false">IF($E151="Manual",M151,IF($E151="Flat",H151,IF($E151="Inflation",H151*(1+Inputs!E$12),IF($E151="Salary",H151*(1+Inputs!E$10),IF($E151="Benefits",H151*(1+Inputs!E$11),IF($E151="Per Student",H151*I$4/H$4*(1+Inputs!E$12),IF($E151="Enrollment",H151*I$4/H$4,IF($E151="Tuition Index",H151*I$5/H$5,IF($E151="% of Salaries",IF($G$6=0,0,$G151/$G$6*I$6),IF($E151="Debt",$G151*Inputs!E$15/12,IF($E151="Reserve Yield",Inputs!E$13*Inputs!E$16,H151)))))))))))</f>
        <v>21218</v>
      </c>
      <c r="J151" s="11" t="n">
        <f aca="false">IF($E151="Manual",N151,IF($E151="Flat",I151,IF($E151="Inflation",I151*(1+Inputs!F$12),IF($E151="Salary",I151*(1+Inputs!F$10),IF($E151="Benefits",I151*(1+Inputs!F$11),IF($E151="Per Student",I151*J$4/I$4*(1+Inputs!F$12),IF($E151="Enrollment",I151*J$4/I$4,IF($E151="Tuition Index",I151*J$5/I$5,IF($E151="% of Salaries",IF($G$6=0,0,$G151/$G$6*J$6),IF($E151="Debt",$G151*Inputs!F$15/12,IF($E151="Reserve Yield",Inputs!F$13*Inputs!F$16,I151)))))))))))</f>
        <v>21854.54</v>
      </c>
      <c r="K151" s="11" t="n">
        <f aca="false">IF($E151="Manual",O151,IF($E151="Flat",J151,IF($E151="Inflation",J151*(1+Inputs!G$12),IF($E151="Salary",J151*(1+Inputs!G$10),IF($E151="Benefits",J151*(1+Inputs!G$11),IF($E151="Per Student",J151*K$4/J$4*(1+Inputs!G$12),IF($E151="Enrollment",J151*K$4/J$4,IF($E151="Tuition Index",J151*K$5/J$5,IF($E151="% of Salaries",IF($G$6=0,0,$G151/$G$6*K$6),IF($E151="Debt",$G151*Inputs!G$15/12,IF($E151="Reserve Yield",Inputs!G$13*Inputs!G$16,J151)))))))))))</f>
        <v>22510.1762</v>
      </c>
      <c r="L151" s="22"/>
      <c r="M151" s="22"/>
      <c r="N151" s="22"/>
      <c r="O151" s="22"/>
    </row>
    <row r="152" customFormat="false" ht="15" hidden="false" customHeight="false" outlineLevel="0" collapsed="false">
      <c r="A152" s="6" t="s">
        <v>281</v>
      </c>
      <c r="B152" s="6" t="s">
        <v>17</v>
      </c>
      <c r="C152" s="30" t="s">
        <v>462</v>
      </c>
      <c r="D152" s="6" t="s">
        <v>463</v>
      </c>
      <c r="E152" s="20" t="s">
        <v>316</v>
      </c>
      <c r="F152" s="20" t="s">
        <v>132</v>
      </c>
      <c r="G152" s="31" t="n">
        <f aca="false">SUMIFS('QB Import'!$B$1:$B$600,'QB Import'!$H$1:$H$600,$C152,'QB Import'!$G$1:$G$600,1)</f>
        <v>6000</v>
      </c>
      <c r="H152" s="11" t="n">
        <f aca="false">IF($E152="Manual",L152,IF($E152="Flat",G152,IF($E152="Inflation",G152*(1+Inputs!D$12),IF($E152="Salary",G152*(1+Inputs!D$10),IF($E152="Benefits",G152*(1+Inputs!D$11),IF($E152="Per Student",G152*H$4/G$4*(1+Inputs!D$12),IF($E152="Enrollment",G152*H$4/G$4,IF($E152="Tuition Index",G152*H$5/G$5,IF($E152="% of Salaries",IF($G$6=0,0,$G152/$G$6*H$6),IF($E152="Debt",$G152*Inputs!D$15/12,IF($E152="Reserve Yield",Inputs!D$13*Inputs!D$16,G152)))))))))))</f>
        <v>6180</v>
      </c>
      <c r="I152" s="11" t="n">
        <f aca="false">IF($E152="Manual",M152,IF($E152="Flat",H152,IF($E152="Inflation",H152*(1+Inputs!E$12),IF($E152="Salary",H152*(1+Inputs!E$10),IF($E152="Benefits",H152*(1+Inputs!E$11),IF($E152="Per Student",H152*I$4/H$4*(1+Inputs!E$12),IF($E152="Enrollment",H152*I$4/H$4,IF($E152="Tuition Index",H152*I$5/H$5,IF($E152="% of Salaries",IF($G$6=0,0,$G152/$G$6*I$6),IF($E152="Debt",$G152*Inputs!E$15/12,IF($E152="Reserve Yield",Inputs!E$13*Inputs!E$16,H152)))))))))))</f>
        <v>6365.4</v>
      </c>
      <c r="J152" s="11" t="n">
        <f aca="false">IF($E152="Manual",N152,IF($E152="Flat",I152,IF($E152="Inflation",I152*(1+Inputs!F$12),IF($E152="Salary",I152*(1+Inputs!F$10),IF($E152="Benefits",I152*(1+Inputs!F$11),IF($E152="Per Student",I152*J$4/I$4*(1+Inputs!F$12),IF($E152="Enrollment",I152*J$4/I$4,IF($E152="Tuition Index",I152*J$5/I$5,IF($E152="% of Salaries",IF($G$6=0,0,$G152/$G$6*J$6),IF($E152="Debt",$G152*Inputs!F$15/12,IF($E152="Reserve Yield",Inputs!F$13*Inputs!F$16,I152)))))))))))</f>
        <v>6556.362</v>
      </c>
      <c r="K152" s="11" t="n">
        <f aca="false">IF($E152="Manual",O152,IF($E152="Flat",J152,IF($E152="Inflation",J152*(1+Inputs!G$12),IF($E152="Salary",J152*(1+Inputs!G$10),IF($E152="Benefits",J152*(1+Inputs!G$11),IF($E152="Per Student",J152*K$4/J$4*(1+Inputs!G$12),IF($E152="Enrollment",J152*K$4/J$4,IF($E152="Tuition Index",J152*K$5/J$5,IF($E152="% of Salaries",IF($G$6=0,0,$G152/$G$6*K$6),IF($E152="Debt",$G152*Inputs!G$15/12,IF($E152="Reserve Yield",Inputs!G$13*Inputs!G$16,J152)))))))))))</f>
        <v>6753.05286</v>
      </c>
      <c r="L152" s="22"/>
      <c r="M152" s="22"/>
      <c r="N152" s="22"/>
      <c r="O152" s="22"/>
    </row>
    <row r="153" customFormat="false" ht="15" hidden="false" customHeight="false" outlineLevel="0" collapsed="false">
      <c r="A153" s="6" t="s">
        <v>281</v>
      </c>
      <c r="B153" s="6" t="s">
        <v>17</v>
      </c>
      <c r="C153" s="30" t="s">
        <v>464</v>
      </c>
      <c r="D153" s="6" t="s">
        <v>465</v>
      </c>
      <c r="E153" s="20" t="s">
        <v>316</v>
      </c>
      <c r="F153" s="20" t="s">
        <v>132</v>
      </c>
      <c r="G153" s="31" t="n">
        <f aca="false">SUMIFS('QB Import'!$B$1:$B$600,'QB Import'!$H$1:$H$600,$C153,'QB Import'!$G$1:$G$600,1)</f>
        <v>4000</v>
      </c>
      <c r="H153" s="11" t="n">
        <f aca="false">IF($E153="Manual",L153,IF($E153="Flat",G153,IF($E153="Inflation",G153*(1+Inputs!D$12),IF($E153="Salary",G153*(1+Inputs!D$10),IF($E153="Benefits",G153*(1+Inputs!D$11),IF($E153="Per Student",G153*H$4/G$4*(1+Inputs!D$12),IF($E153="Enrollment",G153*H$4/G$4,IF($E153="Tuition Index",G153*H$5/G$5,IF($E153="% of Salaries",IF($G$6=0,0,$G153/$G$6*H$6),IF($E153="Debt",$G153*Inputs!D$15/12,IF($E153="Reserve Yield",Inputs!D$13*Inputs!D$16,G153)))))))))))</f>
        <v>4120</v>
      </c>
      <c r="I153" s="11" t="n">
        <f aca="false">IF($E153="Manual",M153,IF($E153="Flat",H153,IF($E153="Inflation",H153*(1+Inputs!E$12),IF($E153="Salary",H153*(1+Inputs!E$10),IF($E153="Benefits",H153*(1+Inputs!E$11),IF($E153="Per Student",H153*I$4/H$4*(1+Inputs!E$12),IF($E153="Enrollment",H153*I$4/H$4,IF($E153="Tuition Index",H153*I$5/H$5,IF($E153="% of Salaries",IF($G$6=0,0,$G153/$G$6*I$6),IF($E153="Debt",$G153*Inputs!E$15/12,IF($E153="Reserve Yield",Inputs!E$13*Inputs!E$16,H153)))))))))))</f>
        <v>4243.6</v>
      </c>
      <c r="J153" s="11" t="n">
        <f aca="false">IF($E153="Manual",N153,IF($E153="Flat",I153,IF($E153="Inflation",I153*(1+Inputs!F$12),IF($E153="Salary",I153*(1+Inputs!F$10),IF($E153="Benefits",I153*(1+Inputs!F$11),IF($E153="Per Student",I153*J$4/I$4*(1+Inputs!F$12),IF($E153="Enrollment",I153*J$4/I$4,IF($E153="Tuition Index",I153*J$5/I$5,IF($E153="% of Salaries",IF($G$6=0,0,$G153/$G$6*J$6),IF($E153="Debt",$G153*Inputs!F$15/12,IF($E153="Reserve Yield",Inputs!F$13*Inputs!F$16,I153)))))))))))</f>
        <v>4370.908</v>
      </c>
      <c r="K153" s="11" t="n">
        <f aca="false">IF($E153="Manual",O153,IF($E153="Flat",J153,IF($E153="Inflation",J153*(1+Inputs!G$12),IF($E153="Salary",J153*(1+Inputs!G$10),IF($E153="Benefits",J153*(1+Inputs!G$11),IF($E153="Per Student",J153*K$4/J$4*(1+Inputs!G$12),IF($E153="Enrollment",J153*K$4/J$4,IF($E153="Tuition Index",J153*K$5/J$5,IF($E153="% of Salaries",IF($G$6=0,0,$G153/$G$6*K$6),IF($E153="Debt",$G153*Inputs!G$15/12,IF($E153="Reserve Yield",Inputs!G$13*Inputs!G$16,J153)))))))))))</f>
        <v>4502.03524</v>
      </c>
      <c r="L153" s="22"/>
      <c r="M153" s="22"/>
      <c r="N153" s="22"/>
      <c r="O153" s="22"/>
    </row>
    <row r="154" customFormat="false" ht="15" hidden="false" customHeight="false" outlineLevel="0" collapsed="false">
      <c r="A154" s="6" t="s">
        <v>281</v>
      </c>
      <c r="B154" s="6" t="s">
        <v>17</v>
      </c>
      <c r="C154" s="30" t="s">
        <v>466</v>
      </c>
      <c r="D154" s="6" t="s">
        <v>467</v>
      </c>
      <c r="E154" s="20" t="s">
        <v>316</v>
      </c>
      <c r="F154" s="20" t="s">
        <v>132</v>
      </c>
      <c r="G154" s="31" t="n">
        <f aca="false">SUMIFS('QB Import'!$B$1:$B$600,'QB Import'!$H$1:$H$600,$C154,'QB Import'!$G$1:$G$600,1)</f>
        <v>3000</v>
      </c>
      <c r="H154" s="11" t="n">
        <f aca="false">IF($E154="Manual",L154,IF($E154="Flat",G154,IF($E154="Inflation",G154*(1+Inputs!D$12),IF($E154="Salary",G154*(1+Inputs!D$10),IF($E154="Benefits",G154*(1+Inputs!D$11),IF($E154="Per Student",G154*H$4/G$4*(1+Inputs!D$12),IF($E154="Enrollment",G154*H$4/G$4,IF($E154="Tuition Index",G154*H$5/G$5,IF($E154="% of Salaries",IF($G$6=0,0,$G154/$G$6*H$6),IF($E154="Debt",$G154*Inputs!D$15/12,IF($E154="Reserve Yield",Inputs!D$13*Inputs!D$16,G154)))))))))))</f>
        <v>3090</v>
      </c>
      <c r="I154" s="11" t="n">
        <f aca="false">IF($E154="Manual",M154,IF($E154="Flat",H154,IF($E154="Inflation",H154*(1+Inputs!E$12),IF($E154="Salary",H154*(1+Inputs!E$10),IF($E154="Benefits",H154*(1+Inputs!E$11),IF($E154="Per Student",H154*I$4/H$4*(1+Inputs!E$12),IF($E154="Enrollment",H154*I$4/H$4,IF($E154="Tuition Index",H154*I$5/H$5,IF($E154="% of Salaries",IF($G$6=0,0,$G154/$G$6*I$6),IF($E154="Debt",$G154*Inputs!E$15/12,IF($E154="Reserve Yield",Inputs!E$13*Inputs!E$16,H154)))))))))))</f>
        <v>3182.7</v>
      </c>
      <c r="J154" s="11" t="n">
        <f aca="false">IF($E154="Manual",N154,IF($E154="Flat",I154,IF($E154="Inflation",I154*(1+Inputs!F$12),IF($E154="Salary",I154*(1+Inputs!F$10),IF($E154="Benefits",I154*(1+Inputs!F$11),IF($E154="Per Student",I154*J$4/I$4*(1+Inputs!F$12),IF($E154="Enrollment",I154*J$4/I$4,IF($E154="Tuition Index",I154*J$5/I$5,IF($E154="% of Salaries",IF($G$6=0,0,$G154/$G$6*J$6),IF($E154="Debt",$G154*Inputs!F$15/12,IF($E154="Reserve Yield",Inputs!F$13*Inputs!F$16,I154)))))))))))</f>
        <v>3278.181</v>
      </c>
      <c r="K154" s="11" t="n">
        <f aca="false">IF($E154="Manual",O154,IF($E154="Flat",J154,IF($E154="Inflation",J154*(1+Inputs!G$12),IF($E154="Salary",J154*(1+Inputs!G$10),IF($E154="Benefits",J154*(1+Inputs!G$11),IF($E154="Per Student",J154*K$4/J$4*(1+Inputs!G$12),IF($E154="Enrollment",J154*K$4/J$4,IF($E154="Tuition Index",J154*K$5/J$5,IF($E154="% of Salaries",IF($G$6=0,0,$G154/$G$6*K$6),IF($E154="Debt",$G154*Inputs!G$15/12,IF($E154="Reserve Yield",Inputs!G$13*Inputs!G$16,J154)))))))))))</f>
        <v>3376.52643</v>
      </c>
      <c r="L154" s="22"/>
      <c r="M154" s="22"/>
      <c r="N154" s="22"/>
      <c r="O154" s="22"/>
    </row>
    <row r="155" customFormat="false" ht="15" hidden="false" customHeight="false" outlineLevel="0" collapsed="false">
      <c r="A155" s="6" t="s">
        <v>281</v>
      </c>
      <c r="B155" s="6" t="s">
        <v>17</v>
      </c>
      <c r="C155" s="30" t="s">
        <v>468</v>
      </c>
      <c r="D155" s="6" t="s">
        <v>469</v>
      </c>
      <c r="E155" s="20" t="s">
        <v>316</v>
      </c>
      <c r="F155" s="20" t="s">
        <v>132</v>
      </c>
      <c r="G155" s="31" t="n">
        <f aca="false">SUMIFS('QB Import'!$B$1:$B$600,'QB Import'!$H$1:$H$600,$C155,'QB Import'!$G$1:$G$600,1)</f>
        <v>25000</v>
      </c>
      <c r="H155" s="11" t="n">
        <f aca="false">IF($E155="Manual",L155,IF($E155="Flat",G155,IF($E155="Inflation",G155*(1+Inputs!D$12),IF($E155="Salary",G155*(1+Inputs!D$10),IF($E155="Benefits",G155*(1+Inputs!D$11),IF($E155="Per Student",G155*H$4/G$4*(1+Inputs!D$12),IF($E155="Enrollment",G155*H$4/G$4,IF($E155="Tuition Index",G155*H$5/G$5,IF($E155="% of Salaries",IF($G$6=0,0,$G155/$G$6*H$6),IF($E155="Debt",$G155*Inputs!D$15/12,IF($E155="Reserve Yield",Inputs!D$13*Inputs!D$16,G155)))))))))))</f>
        <v>25750</v>
      </c>
      <c r="I155" s="11" t="n">
        <f aca="false">IF($E155="Manual",M155,IF($E155="Flat",H155,IF($E155="Inflation",H155*(1+Inputs!E$12),IF($E155="Salary",H155*(1+Inputs!E$10),IF($E155="Benefits",H155*(1+Inputs!E$11),IF($E155="Per Student",H155*I$4/H$4*(1+Inputs!E$12),IF($E155="Enrollment",H155*I$4/H$4,IF($E155="Tuition Index",H155*I$5/H$5,IF($E155="% of Salaries",IF($G$6=0,0,$G155/$G$6*I$6),IF($E155="Debt",$G155*Inputs!E$15/12,IF($E155="Reserve Yield",Inputs!E$13*Inputs!E$16,H155)))))))))))</f>
        <v>26522.5</v>
      </c>
      <c r="J155" s="11" t="n">
        <f aca="false">IF($E155="Manual",N155,IF($E155="Flat",I155,IF($E155="Inflation",I155*(1+Inputs!F$12),IF($E155="Salary",I155*(1+Inputs!F$10),IF($E155="Benefits",I155*(1+Inputs!F$11),IF($E155="Per Student",I155*J$4/I$4*(1+Inputs!F$12),IF($E155="Enrollment",I155*J$4/I$4,IF($E155="Tuition Index",I155*J$5/I$5,IF($E155="% of Salaries",IF($G$6=0,0,$G155/$G$6*J$6),IF($E155="Debt",$G155*Inputs!F$15/12,IF($E155="Reserve Yield",Inputs!F$13*Inputs!F$16,I155)))))))))))</f>
        <v>27318.175</v>
      </c>
      <c r="K155" s="11" t="n">
        <f aca="false">IF($E155="Manual",O155,IF($E155="Flat",J155,IF($E155="Inflation",J155*(1+Inputs!G$12),IF($E155="Salary",J155*(1+Inputs!G$10),IF($E155="Benefits",J155*(1+Inputs!G$11),IF($E155="Per Student",J155*K$4/J$4*(1+Inputs!G$12),IF($E155="Enrollment",J155*K$4/J$4,IF($E155="Tuition Index",J155*K$5/J$5,IF($E155="% of Salaries",IF($G$6=0,0,$G155/$G$6*K$6),IF($E155="Debt",$G155*Inputs!G$15/12,IF($E155="Reserve Yield",Inputs!G$13*Inputs!G$16,J155)))))))))))</f>
        <v>28137.72025</v>
      </c>
      <c r="L155" s="22"/>
      <c r="M155" s="22"/>
      <c r="N155" s="22"/>
      <c r="O155" s="22"/>
    </row>
    <row r="156" customFormat="false" ht="15" hidden="false" customHeight="false" outlineLevel="0" collapsed="false">
      <c r="A156" s="6" t="s">
        <v>281</v>
      </c>
      <c r="B156" s="6" t="s">
        <v>17</v>
      </c>
      <c r="C156" s="30" t="s">
        <v>470</v>
      </c>
      <c r="D156" s="6" t="s">
        <v>471</v>
      </c>
      <c r="E156" s="20" t="s">
        <v>316</v>
      </c>
      <c r="F156" s="20" t="s">
        <v>132</v>
      </c>
      <c r="G156" s="31" t="n">
        <f aca="false">SUMIFS('QB Import'!$B$1:$B$600,'QB Import'!$H$1:$H$600,$C156,'QB Import'!$G$1:$G$600,1)</f>
        <v>6000</v>
      </c>
      <c r="H156" s="11" t="n">
        <f aca="false">IF($E156="Manual",L156,IF($E156="Flat",G156,IF($E156="Inflation",G156*(1+Inputs!D$12),IF($E156="Salary",G156*(1+Inputs!D$10),IF($E156="Benefits",G156*(1+Inputs!D$11),IF($E156="Per Student",G156*H$4/G$4*(1+Inputs!D$12),IF($E156="Enrollment",G156*H$4/G$4,IF($E156="Tuition Index",G156*H$5/G$5,IF($E156="% of Salaries",IF($G$6=0,0,$G156/$G$6*H$6),IF($E156="Debt",$G156*Inputs!D$15/12,IF($E156="Reserve Yield",Inputs!D$13*Inputs!D$16,G156)))))))))))</f>
        <v>6180</v>
      </c>
      <c r="I156" s="11" t="n">
        <f aca="false">IF($E156="Manual",M156,IF($E156="Flat",H156,IF($E156="Inflation",H156*(1+Inputs!E$12),IF($E156="Salary",H156*(1+Inputs!E$10),IF($E156="Benefits",H156*(1+Inputs!E$11),IF($E156="Per Student",H156*I$4/H$4*(1+Inputs!E$12),IF($E156="Enrollment",H156*I$4/H$4,IF($E156="Tuition Index",H156*I$5/H$5,IF($E156="% of Salaries",IF($G$6=0,0,$G156/$G$6*I$6),IF($E156="Debt",$G156*Inputs!E$15/12,IF($E156="Reserve Yield",Inputs!E$13*Inputs!E$16,H156)))))))))))</f>
        <v>6365.4</v>
      </c>
      <c r="J156" s="11" t="n">
        <f aca="false">IF($E156="Manual",N156,IF($E156="Flat",I156,IF($E156="Inflation",I156*(1+Inputs!F$12),IF($E156="Salary",I156*(1+Inputs!F$10),IF($E156="Benefits",I156*(1+Inputs!F$11),IF($E156="Per Student",I156*J$4/I$4*(1+Inputs!F$12),IF($E156="Enrollment",I156*J$4/I$4,IF($E156="Tuition Index",I156*J$5/I$5,IF($E156="% of Salaries",IF($G$6=0,0,$G156/$G$6*J$6),IF($E156="Debt",$G156*Inputs!F$15/12,IF($E156="Reserve Yield",Inputs!F$13*Inputs!F$16,I156)))))))))))</f>
        <v>6556.362</v>
      </c>
      <c r="K156" s="11" t="n">
        <f aca="false">IF($E156="Manual",O156,IF($E156="Flat",J156,IF($E156="Inflation",J156*(1+Inputs!G$12),IF($E156="Salary",J156*(1+Inputs!G$10),IF($E156="Benefits",J156*(1+Inputs!G$11),IF($E156="Per Student",J156*K$4/J$4*(1+Inputs!G$12),IF($E156="Enrollment",J156*K$4/J$4,IF($E156="Tuition Index",J156*K$5/J$5,IF($E156="% of Salaries",IF($G$6=0,0,$G156/$G$6*K$6),IF($E156="Debt",$G156*Inputs!G$15/12,IF($E156="Reserve Yield",Inputs!G$13*Inputs!G$16,J156)))))))))))</f>
        <v>6753.05286</v>
      </c>
      <c r="L156" s="22"/>
      <c r="M156" s="22"/>
      <c r="N156" s="22"/>
      <c r="O156" s="22"/>
    </row>
    <row r="157" customFormat="false" ht="15" hidden="false" customHeight="false" outlineLevel="0" collapsed="false">
      <c r="A157" s="6" t="s">
        <v>281</v>
      </c>
      <c r="B157" s="6" t="s">
        <v>17</v>
      </c>
      <c r="C157" s="30" t="s">
        <v>472</v>
      </c>
      <c r="D157" s="6" t="s">
        <v>473</v>
      </c>
      <c r="E157" s="20" t="s">
        <v>316</v>
      </c>
      <c r="F157" s="20" t="s">
        <v>132</v>
      </c>
      <c r="G157" s="31" t="n">
        <f aca="false">SUMIFS('QB Import'!$B$1:$B$600,'QB Import'!$H$1:$H$600,$C157,'QB Import'!$G$1:$G$600,1)</f>
        <v>50000</v>
      </c>
      <c r="H157" s="11" t="n">
        <f aca="false">IF($E157="Manual",L157,IF($E157="Flat",G157,IF($E157="Inflation",G157*(1+Inputs!D$12),IF($E157="Salary",G157*(1+Inputs!D$10),IF($E157="Benefits",G157*(1+Inputs!D$11),IF($E157="Per Student",G157*H$4/G$4*(1+Inputs!D$12),IF($E157="Enrollment",G157*H$4/G$4,IF($E157="Tuition Index",G157*H$5/G$5,IF($E157="% of Salaries",IF($G$6=0,0,$G157/$G$6*H$6),IF($E157="Debt",$G157*Inputs!D$15/12,IF($E157="Reserve Yield",Inputs!D$13*Inputs!D$16,G157)))))))))))</f>
        <v>51500</v>
      </c>
      <c r="I157" s="11" t="n">
        <f aca="false">IF($E157="Manual",M157,IF($E157="Flat",H157,IF($E157="Inflation",H157*(1+Inputs!E$12),IF($E157="Salary",H157*(1+Inputs!E$10),IF($E157="Benefits",H157*(1+Inputs!E$11),IF($E157="Per Student",H157*I$4/H$4*(1+Inputs!E$12),IF($E157="Enrollment",H157*I$4/H$4,IF($E157="Tuition Index",H157*I$5/H$5,IF($E157="% of Salaries",IF($G$6=0,0,$G157/$G$6*I$6),IF($E157="Debt",$G157*Inputs!E$15/12,IF($E157="Reserve Yield",Inputs!E$13*Inputs!E$16,H157)))))))))))</f>
        <v>53045</v>
      </c>
      <c r="J157" s="11" t="n">
        <f aca="false">IF($E157="Manual",N157,IF($E157="Flat",I157,IF($E157="Inflation",I157*(1+Inputs!F$12),IF($E157="Salary",I157*(1+Inputs!F$10),IF($E157="Benefits",I157*(1+Inputs!F$11),IF($E157="Per Student",I157*J$4/I$4*(1+Inputs!F$12),IF($E157="Enrollment",I157*J$4/I$4,IF($E157="Tuition Index",I157*J$5/I$5,IF($E157="% of Salaries",IF($G$6=0,0,$G157/$G$6*J$6),IF($E157="Debt",$G157*Inputs!F$15/12,IF($E157="Reserve Yield",Inputs!F$13*Inputs!F$16,I157)))))))))))</f>
        <v>54636.35</v>
      </c>
      <c r="K157" s="11" t="n">
        <f aca="false">IF($E157="Manual",O157,IF($E157="Flat",J157,IF($E157="Inflation",J157*(1+Inputs!G$12),IF($E157="Salary",J157*(1+Inputs!G$10),IF($E157="Benefits",J157*(1+Inputs!G$11),IF($E157="Per Student",J157*K$4/J$4*(1+Inputs!G$12),IF($E157="Enrollment",J157*K$4/J$4,IF($E157="Tuition Index",J157*K$5/J$5,IF($E157="% of Salaries",IF($G$6=0,0,$G157/$G$6*K$6),IF($E157="Debt",$G157*Inputs!G$15/12,IF($E157="Reserve Yield",Inputs!G$13*Inputs!G$16,J157)))))))))))</f>
        <v>56275.4405</v>
      </c>
      <c r="L157" s="22"/>
      <c r="M157" s="22"/>
      <c r="N157" s="22"/>
      <c r="O157" s="22"/>
    </row>
    <row r="158" customFormat="false" ht="15" hidden="false" customHeight="false" outlineLevel="0" collapsed="false">
      <c r="A158" s="6" t="s">
        <v>281</v>
      </c>
      <c r="B158" s="6" t="s">
        <v>17</v>
      </c>
      <c r="C158" s="30" t="s">
        <v>474</v>
      </c>
      <c r="D158" s="6" t="s">
        <v>475</v>
      </c>
      <c r="E158" s="20" t="s">
        <v>316</v>
      </c>
      <c r="F158" s="20" t="s">
        <v>132</v>
      </c>
      <c r="G158" s="31" t="n">
        <f aca="false">SUMIFS('QB Import'!$B$1:$B$600,'QB Import'!$H$1:$H$600,$C158,'QB Import'!$G$1:$G$600,1)</f>
        <v>5000</v>
      </c>
      <c r="H158" s="11" t="n">
        <f aca="false">IF($E158="Manual",L158,IF($E158="Flat",G158,IF($E158="Inflation",G158*(1+Inputs!D$12),IF($E158="Salary",G158*(1+Inputs!D$10),IF($E158="Benefits",G158*(1+Inputs!D$11),IF($E158="Per Student",G158*H$4/G$4*(1+Inputs!D$12),IF($E158="Enrollment",G158*H$4/G$4,IF($E158="Tuition Index",G158*H$5/G$5,IF($E158="% of Salaries",IF($G$6=0,0,$G158/$G$6*H$6),IF($E158="Debt",$G158*Inputs!D$15/12,IF($E158="Reserve Yield",Inputs!D$13*Inputs!D$16,G158)))))))))))</f>
        <v>5150</v>
      </c>
      <c r="I158" s="11" t="n">
        <f aca="false">IF($E158="Manual",M158,IF($E158="Flat",H158,IF($E158="Inflation",H158*(1+Inputs!E$12),IF($E158="Salary",H158*(1+Inputs!E$10),IF($E158="Benefits",H158*(1+Inputs!E$11),IF($E158="Per Student",H158*I$4/H$4*(1+Inputs!E$12),IF($E158="Enrollment",H158*I$4/H$4,IF($E158="Tuition Index",H158*I$5/H$5,IF($E158="% of Salaries",IF($G$6=0,0,$G158/$G$6*I$6),IF($E158="Debt",$G158*Inputs!E$15/12,IF($E158="Reserve Yield",Inputs!E$13*Inputs!E$16,H158)))))))))))</f>
        <v>5304.5</v>
      </c>
      <c r="J158" s="11" t="n">
        <f aca="false">IF($E158="Manual",N158,IF($E158="Flat",I158,IF($E158="Inflation",I158*(1+Inputs!F$12),IF($E158="Salary",I158*(1+Inputs!F$10),IF($E158="Benefits",I158*(1+Inputs!F$11),IF($E158="Per Student",I158*J$4/I$4*(1+Inputs!F$12),IF($E158="Enrollment",I158*J$4/I$4,IF($E158="Tuition Index",I158*J$5/I$5,IF($E158="% of Salaries",IF($G$6=0,0,$G158/$G$6*J$6),IF($E158="Debt",$G158*Inputs!F$15/12,IF($E158="Reserve Yield",Inputs!F$13*Inputs!F$16,I158)))))))))))</f>
        <v>5463.635</v>
      </c>
      <c r="K158" s="11" t="n">
        <f aca="false">IF($E158="Manual",O158,IF($E158="Flat",J158,IF($E158="Inflation",J158*(1+Inputs!G$12),IF($E158="Salary",J158*(1+Inputs!G$10),IF($E158="Benefits",J158*(1+Inputs!G$11),IF($E158="Per Student",J158*K$4/J$4*(1+Inputs!G$12),IF($E158="Enrollment",J158*K$4/J$4,IF($E158="Tuition Index",J158*K$5/J$5,IF($E158="% of Salaries",IF($G$6=0,0,$G158/$G$6*K$6),IF($E158="Debt",$G158*Inputs!G$15/12,IF($E158="Reserve Yield",Inputs!G$13*Inputs!G$16,J158)))))))))))</f>
        <v>5627.54405</v>
      </c>
      <c r="L158" s="22"/>
      <c r="M158" s="22"/>
      <c r="N158" s="22"/>
      <c r="O158" s="22"/>
    </row>
    <row r="159" customFormat="false" ht="15" hidden="false" customHeight="false" outlineLevel="0" collapsed="false">
      <c r="A159" s="6" t="s">
        <v>281</v>
      </c>
      <c r="B159" s="6" t="s">
        <v>17</v>
      </c>
      <c r="C159" s="30" t="s">
        <v>476</v>
      </c>
      <c r="D159" s="6" t="s">
        <v>477</v>
      </c>
      <c r="E159" s="20" t="s">
        <v>316</v>
      </c>
      <c r="F159" s="20" t="s">
        <v>132</v>
      </c>
      <c r="G159" s="31" t="n">
        <f aca="false">SUMIFS('QB Import'!$B$1:$B$600,'QB Import'!$H$1:$H$600,$C159,'QB Import'!$G$1:$G$600,1)</f>
        <v>15000</v>
      </c>
      <c r="H159" s="11" t="n">
        <f aca="false">IF($E159="Manual",L159,IF($E159="Flat",G159,IF($E159="Inflation",G159*(1+Inputs!D$12),IF($E159="Salary",G159*(1+Inputs!D$10),IF($E159="Benefits",G159*(1+Inputs!D$11),IF($E159="Per Student",G159*H$4/G$4*(1+Inputs!D$12),IF($E159="Enrollment",G159*H$4/G$4,IF($E159="Tuition Index",G159*H$5/G$5,IF($E159="% of Salaries",IF($G$6=0,0,$G159/$G$6*H$6),IF($E159="Debt",$G159*Inputs!D$15/12,IF($E159="Reserve Yield",Inputs!D$13*Inputs!D$16,G159)))))))))))</f>
        <v>15450</v>
      </c>
      <c r="I159" s="11" t="n">
        <f aca="false">IF($E159="Manual",M159,IF($E159="Flat",H159,IF($E159="Inflation",H159*(1+Inputs!E$12),IF($E159="Salary",H159*(1+Inputs!E$10),IF($E159="Benefits",H159*(1+Inputs!E$11),IF($E159="Per Student",H159*I$4/H$4*(1+Inputs!E$12),IF($E159="Enrollment",H159*I$4/H$4,IF($E159="Tuition Index",H159*I$5/H$5,IF($E159="% of Salaries",IF($G$6=0,0,$G159/$G$6*I$6),IF($E159="Debt",$G159*Inputs!E$15/12,IF($E159="Reserve Yield",Inputs!E$13*Inputs!E$16,H159)))))))))))</f>
        <v>15913.5</v>
      </c>
      <c r="J159" s="11" t="n">
        <f aca="false">IF($E159="Manual",N159,IF($E159="Flat",I159,IF($E159="Inflation",I159*(1+Inputs!F$12),IF($E159="Salary",I159*(1+Inputs!F$10),IF($E159="Benefits",I159*(1+Inputs!F$11),IF($E159="Per Student",I159*J$4/I$4*(1+Inputs!F$12),IF($E159="Enrollment",I159*J$4/I$4,IF($E159="Tuition Index",I159*J$5/I$5,IF($E159="% of Salaries",IF($G$6=0,0,$G159/$G$6*J$6),IF($E159="Debt",$G159*Inputs!F$15/12,IF($E159="Reserve Yield",Inputs!F$13*Inputs!F$16,I159)))))))))))</f>
        <v>16390.905</v>
      </c>
      <c r="K159" s="11" t="n">
        <f aca="false">IF($E159="Manual",O159,IF($E159="Flat",J159,IF($E159="Inflation",J159*(1+Inputs!G$12),IF($E159="Salary",J159*(1+Inputs!G$10),IF($E159="Benefits",J159*(1+Inputs!G$11),IF($E159="Per Student",J159*K$4/J$4*(1+Inputs!G$12),IF($E159="Enrollment",J159*K$4/J$4,IF($E159="Tuition Index",J159*K$5/J$5,IF($E159="% of Salaries",IF($G$6=0,0,$G159/$G$6*K$6),IF($E159="Debt",$G159*Inputs!G$15/12,IF($E159="Reserve Yield",Inputs!G$13*Inputs!G$16,J159)))))))))))</f>
        <v>16882.63215</v>
      </c>
      <c r="L159" s="22"/>
      <c r="M159" s="22"/>
      <c r="N159" s="22"/>
      <c r="O159" s="22"/>
    </row>
    <row r="160" customFormat="false" ht="15" hidden="false" customHeight="false" outlineLevel="0" collapsed="false">
      <c r="A160" s="6" t="s">
        <v>281</v>
      </c>
      <c r="B160" s="6" t="s">
        <v>17</v>
      </c>
      <c r="C160" s="30" t="s">
        <v>478</v>
      </c>
      <c r="D160" s="6" t="s">
        <v>479</v>
      </c>
      <c r="E160" s="20" t="s">
        <v>316</v>
      </c>
      <c r="F160" s="20" t="s">
        <v>132</v>
      </c>
      <c r="G160" s="31" t="n">
        <f aca="false">SUMIFS('QB Import'!$B$1:$B$600,'QB Import'!$H$1:$H$600,$C160,'QB Import'!$G$1:$G$600,1)</f>
        <v>15000</v>
      </c>
      <c r="H160" s="11" t="n">
        <f aca="false">IF($E160="Manual",L160,IF($E160="Flat",G160,IF($E160="Inflation",G160*(1+Inputs!D$12),IF($E160="Salary",G160*(1+Inputs!D$10),IF($E160="Benefits",G160*(1+Inputs!D$11),IF($E160="Per Student",G160*H$4/G$4*(1+Inputs!D$12),IF($E160="Enrollment",G160*H$4/G$4,IF($E160="Tuition Index",G160*H$5/G$5,IF($E160="% of Salaries",IF($G$6=0,0,$G160/$G$6*H$6),IF($E160="Debt",$G160*Inputs!D$15/12,IF($E160="Reserve Yield",Inputs!D$13*Inputs!D$16,G160)))))))))))</f>
        <v>15450</v>
      </c>
      <c r="I160" s="11" t="n">
        <f aca="false">IF($E160="Manual",M160,IF($E160="Flat",H160,IF($E160="Inflation",H160*(1+Inputs!E$12),IF($E160="Salary",H160*(1+Inputs!E$10),IF($E160="Benefits",H160*(1+Inputs!E$11),IF($E160="Per Student",H160*I$4/H$4*(1+Inputs!E$12),IF($E160="Enrollment",H160*I$4/H$4,IF($E160="Tuition Index",H160*I$5/H$5,IF($E160="% of Salaries",IF($G$6=0,0,$G160/$G$6*I$6),IF($E160="Debt",$G160*Inputs!E$15/12,IF($E160="Reserve Yield",Inputs!E$13*Inputs!E$16,H160)))))))))))</f>
        <v>15913.5</v>
      </c>
      <c r="J160" s="11" t="n">
        <f aca="false">IF($E160="Manual",N160,IF($E160="Flat",I160,IF($E160="Inflation",I160*(1+Inputs!F$12),IF($E160="Salary",I160*(1+Inputs!F$10),IF($E160="Benefits",I160*(1+Inputs!F$11),IF($E160="Per Student",I160*J$4/I$4*(1+Inputs!F$12),IF($E160="Enrollment",I160*J$4/I$4,IF($E160="Tuition Index",I160*J$5/I$5,IF($E160="% of Salaries",IF($G$6=0,0,$G160/$G$6*J$6),IF($E160="Debt",$G160*Inputs!F$15/12,IF($E160="Reserve Yield",Inputs!F$13*Inputs!F$16,I160)))))))))))</f>
        <v>16390.905</v>
      </c>
      <c r="K160" s="11" t="n">
        <f aca="false">IF($E160="Manual",O160,IF($E160="Flat",J160,IF($E160="Inflation",J160*(1+Inputs!G$12),IF($E160="Salary",J160*(1+Inputs!G$10),IF($E160="Benefits",J160*(1+Inputs!G$11),IF($E160="Per Student",J160*K$4/J$4*(1+Inputs!G$12),IF($E160="Enrollment",J160*K$4/J$4,IF($E160="Tuition Index",J160*K$5/J$5,IF($E160="% of Salaries",IF($G$6=0,0,$G160/$G$6*K$6),IF($E160="Debt",$G160*Inputs!G$15/12,IF($E160="Reserve Yield",Inputs!G$13*Inputs!G$16,J160)))))))))))</f>
        <v>16882.63215</v>
      </c>
      <c r="L160" s="22"/>
      <c r="M160" s="22"/>
      <c r="N160" s="22"/>
      <c r="O160" s="22"/>
    </row>
    <row r="161" customFormat="false" ht="15" hidden="false" customHeight="false" outlineLevel="0" collapsed="false">
      <c r="A161" s="6" t="s">
        <v>281</v>
      </c>
      <c r="B161" s="6" t="s">
        <v>17</v>
      </c>
      <c r="C161" s="30" t="s">
        <v>480</v>
      </c>
      <c r="D161" s="6" t="s">
        <v>481</v>
      </c>
      <c r="E161" s="20" t="s">
        <v>316</v>
      </c>
      <c r="F161" s="20" t="s">
        <v>132</v>
      </c>
      <c r="G161" s="31" t="n">
        <f aca="false">SUMIFS('QB Import'!$B$1:$B$600,'QB Import'!$H$1:$H$600,$C161,'QB Import'!$G$1:$G$600,1)</f>
        <v>8500</v>
      </c>
      <c r="H161" s="11" t="n">
        <f aca="false">IF($E161="Manual",L161,IF($E161="Flat",G161,IF($E161="Inflation",G161*(1+Inputs!D$12),IF($E161="Salary",G161*(1+Inputs!D$10),IF($E161="Benefits",G161*(1+Inputs!D$11),IF($E161="Per Student",G161*H$4/G$4*(1+Inputs!D$12),IF($E161="Enrollment",G161*H$4/G$4,IF($E161="Tuition Index",G161*H$5/G$5,IF($E161="% of Salaries",IF($G$6=0,0,$G161/$G$6*H$6),IF($E161="Debt",$G161*Inputs!D$15/12,IF($E161="Reserve Yield",Inputs!D$13*Inputs!D$16,G161)))))))))))</f>
        <v>8755</v>
      </c>
      <c r="I161" s="11" t="n">
        <f aca="false">IF($E161="Manual",M161,IF($E161="Flat",H161,IF($E161="Inflation",H161*(1+Inputs!E$12),IF($E161="Salary",H161*(1+Inputs!E$10),IF($E161="Benefits",H161*(1+Inputs!E$11),IF($E161="Per Student",H161*I$4/H$4*(1+Inputs!E$12),IF($E161="Enrollment",H161*I$4/H$4,IF($E161="Tuition Index",H161*I$5/H$5,IF($E161="% of Salaries",IF($G$6=0,0,$G161/$G$6*I$6),IF($E161="Debt",$G161*Inputs!E$15/12,IF($E161="Reserve Yield",Inputs!E$13*Inputs!E$16,H161)))))))))))</f>
        <v>9017.65</v>
      </c>
      <c r="J161" s="11" t="n">
        <f aca="false">IF($E161="Manual",N161,IF($E161="Flat",I161,IF($E161="Inflation",I161*(1+Inputs!F$12),IF($E161="Salary",I161*(1+Inputs!F$10),IF($E161="Benefits",I161*(1+Inputs!F$11),IF($E161="Per Student",I161*J$4/I$4*(1+Inputs!F$12),IF($E161="Enrollment",I161*J$4/I$4,IF($E161="Tuition Index",I161*J$5/I$5,IF($E161="% of Salaries",IF($G$6=0,0,$G161/$G$6*J$6),IF($E161="Debt",$G161*Inputs!F$15/12,IF($E161="Reserve Yield",Inputs!F$13*Inputs!F$16,I161)))))))))))</f>
        <v>9288.1795</v>
      </c>
      <c r="K161" s="11" t="n">
        <f aca="false">IF($E161="Manual",O161,IF($E161="Flat",J161,IF($E161="Inflation",J161*(1+Inputs!G$12),IF($E161="Salary",J161*(1+Inputs!G$10),IF($E161="Benefits",J161*(1+Inputs!G$11),IF($E161="Per Student",J161*K$4/J$4*(1+Inputs!G$12),IF($E161="Enrollment",J161*K$4/J$4,IF($E161="Tuition Index",J161*K$5/J$5,IF($E161="% of Salaries",IF($G$6=0,0,$G161/$G$6*K$6),IF($E161="Debt",$G161*Inputs!G$15/12,IF($E161="Reserve Yield",Inputs!G$13*Inputs!G$16,J161)))))))))))</f>
        <v>9566.824885</v>
      </c>
      <c r="L161" s="22"/>
      <c r="M161" s="22"/>
      <c r="N161" s="22"/>
      <c r="O161" s="22"/>
    </row>
    <row r="162" customFormat="false" ht="15" hidden="false" customHeight="false" outlineLevel="0" collapsed="false">
      <c r="A162" s="6" t="s">
        <v>281</v>
      </c>
      <c r="B162" s="6" t="s">
        <v>17</v>
      </c>
      <c r="C162" s="30" t="s">
        <v>482</v>
      </c>
      <c r="D162" s="6" t="s">
        <v>483</v>
      </c>
      <c r="E162" s="20" t="s">
        <v>193</v>
      </c>
      <c r="F162" s="20" t="s">
        <v>132</v>
      </c>
      <c r="G162" s="31" t="n">
        <f aca="false">SUMIFS('QB Import'!$B$1:$B$600,'QB Import'!$H$1:$H$600,$C162,'QB Import'!$G$1:$G$600,1)</f>
        <v>69500</v>
      </c>
      <c r="H162" s="11" t="n">
        <f aca="false">IF($E162="Manual",L162,IF($E162="Flat",G162,IF($E162="Inflation",G162*(1+Inputs!D$12),IF($E162="Salary",G162*(1+Inputs!D$10),IF($E162="Benefits",G162*(1+Inputs!D$11),IF($E162="Per Student",G162*H$4/G$4*(1+Inputs!D$12),IF($E162="Enrollment",G162*H$4/G$4,IF($E162="Tuition Index",G162*H$5/G$5,IF($E162="% of Salaries",IF($G$6=0,0,$G162/$G$6*H$6),IF($E162="Debt",$G162*Inputs!D$15/12,IF($E162="Reserve Yield",Inputs!D$13*Inputs!D$16,G162)))))))))))</f>
        <v>70574.7422680412</v>
      </c>
      <c r="I162" s="11" t="n">
        <f aca="false">IF($E162="Manual",M162,IF($E162="Flat",H162,IF($E162="Inflation",H162*(1+Inputs!E$12),IF($E162="Salary",H162*(1+Inputs!E$10),IF($E162="Benefits",H162*(1+Inputs!E$11),IF($E162="Per Student",H162*I$4/H$4*(1+Inputs!E$12),IF($E162="Enrollment",H162*I$4/H$4,IF($E162="Tuition Index",H162*I$5/H$5,IF($E162="% of Salaries",IF($G$6=0,0,$G162/$G$6*I$6),IF($E162="Debt",$G162*Inputs!E$15/12,IF($E162="Reserve Yield",Inputs!E$13*Inputs!E$16,H162)))))))))))</f>
        <v>70216.4948453608</v>
      </c>
      <c r="J162" s="11" t="n">
        <f aca="false">IF($E162="Manual",N162,IF($E162="Flat",I162,IF($E162="Inflation",I162*(1+Inputs!F$12),IF($E162="Salary",I162*(1+Inputs!F$10),IF($E162="Benefits",I162*(1+Inputs!F$11),IF($E162="Per Student",I162*J$4/I$4*(1+Inputs!F$12),IF($E162="Enrollment",I162*J$4/I$4,IF($E162="Tuition Index",I162*J$5/I$5,IF($E162="% of Salaries",IF($G$6=0,0,$G162/$G$6*J$6),IF($E162="Debt",$G162*Inputs!F$15/12,IF($E162="Reserve Yield",Inputs!F$13*Inputs!F$16,I162)))))))))))</f>
        <v>69619.4158075601</v>
      </c>
      <c r="K162" s="11" t="n">
        <f aca="false">IF($E162="Manual",O162,IF($E162="Flat",J162,IF($E162="Inflation",J162*(1+Inputs!G$12),IF($E162="Salary",J162*(1+Inputs!G$10),IF($E162="Benefits",J162*(1+Inputs!G$11),IF($E162="Per Student",J162*K$4/J$4*(1+Inputs!G$12),IF($E162="Enrollment",J162*K$4/J$4,IF($E162="Tuition Index",J162*K$5/J$5,IF($E162="% of Salaries",IF($G$6=0,0,$G162/$G$6*K$6),IF($E162="Debt",$G162*Inputs!G$15/12,IF($E162="Reserve Yield",Inputs!G$13*Inputs!G$16,J162)))))))))))</f>
        <v>69141.7525773196</v>
      </c>
      <c r="L162" s="22"/>
      <c r="M162" s="22"/>
      <c r="N162" s="22"/>
      <c r="O162" s="22"/>
    </row>
    <row r="163" customFormat="false" ht="15" hidden="false" customHeight="false" outlineLevel="0" collapsed="false">
      <c r="A163" s="6" t="s">
        <v>281</v>
      </c>
      <c r="B163" s="6" t="s">
        <v>17</v>
      </c>
      <c r="C163" s="30" t="s">
        <v>484</v>
      </c>
      <c r="D163" s="6" t="s">
        <v>484</v>
      </c>
      <c r="E163" s="20" t="s">
        <v>186</v>
      </c>
      <c r="F163" s="20" t="s">
        <v>132</v>
      </c>
      <c r="G163" s="31" t="n">
        <f aca="false">SUMIFS('QB Import'!$B$1:$B$600,'QB Import'!$H$1:$H$600,$C163,'QB Import'!$G$1:$G$600,1)</f>
        <v>0</v>
      </c>
      <c r="H163" s="11" t="n">
        <f aca="false">IF($E163="Manual",L163,IF($E163="Flat",G163,IF($E163="Inflation",G163*(1+Inputs!D$12),IF($E163="Salary",G163*(1+Inputs!D$10),IF($E163="Benefits",G163*(1+Inputs!D$11),IF($E163="Per Student",G163*H$4/G$4*(1+Inputs!D$12),IF($E163="Enrollment",G163*H$4/G$4,IF($E163="Tuition Index",G163*H$5/G$5,IF($E163="% of Salaries",IF($G$6=0,0,$G163/$G$6*H$6),IF($E163="Debt",$G163*Inputs!D$15/12,IF($E163="Reserve Yield",Inputs!D$13*Inputs!D$16,G163)))))))))))</f>
        <v>0</v>
      </c>
      <c r="I163" s="11" t="n">
        <f aca="false">IF($E163="Manual",M163,IF($E163="Flat",H163,IF($E163="Inflation",H163*(1+Inputs!E$12),IF($E163="Salary",H163*(1+Inputs!E$10),IF($E163="Benefits",H163*(1+Inputs!E$11),IF($E163="Per Student",H163*I$4/H$4*(1+Inputs!E$12),IF($E163="Enrollment",H163*I$4/H$4,IF($E163="Tuition Index",H163*I$5/H$5,IF($E163="% of Salaries",IF($G$6=0,0,$G163/$G$6*I$6),IF($E163="Debt",$G163*Inputs!E$15/12,IF($E163="Reserve Yield",Inputs!E$13*Inputs!E$16,H163)))))))))))</f>
        <v>0</v>
      </c>
      <c r="J163" s="11" t="n">
        <f aca="false">IF($E163="Manual",N163,IF($E163="Flat",I163,IF($E163="Inflation",I163*(1+Inputs!F$12),IF($E163="Salary",I163*(1+Inputs!F$10),IF($E163="Benefits",I163*(1+Inputs!F$11),IF($E163="Per Student",I163*J$4/I$4*(1+Inputs!F$12),IF($E163="Enrollment",I163*J$4/I$4,IF($E163="Tuition Index",I163*J$5/I$5,IF($E163="% of Salaries",IF($G$6=0,0,$G163/$G$6*J$6),IF($E163="Debt",$G163*Inputs!F$15/12,IF($E163="Reserve Yield",Inputs!F$13*Inputs!F$16,I163)))))))))))</f>
        <v>0</v>
      </c>
      <c r="K163" s="11" t="n">
        <f aca="false">IF($E163="Manual",O163,IF($E163="Flat",J163,IF($E163="Inflation",J163*(1+Inputs!G$12),IF($E163="Salary",J163*(1+Inputs!G$10),IF($E163="Benefits",J163*(1+Inputs!G$11),IF($E163="Per Student",J163*K$4/J$4*(1+Inputs!G$12),IF($E163="Enrollment",J163*K$4/J$4,IF($E163="Tuition Index",J163*K$5/J$5,IF($E163="% of Salaries",IF($G$6=0,0,$G163/$G$6*K$6),IF($E163="Debt",$G163*Inputs!G$15/12,IF($E163="Reserve Yield",Inputs!G$13*Inputs!G$16,J163)))))))))))</f>
        <v>0</v>
      </c>
      <c r="L163" s="22"/>
      <c r="M163" s="22"/>
      <c r="N163" s="22"/>
      <c r="O163" s="22"/>
    </row>
    <row r="164" customFormat="false" ht="15" hidden="false" customHeight="false" outlineLevel="0" collapsed="false">
      <c r="A164" s="6" t="s">
        <v>281</v>
      </c>
      <c r="B164" s="6" t="s">
        <v>17</v>
      </c>
      <c r="C164" s="30" t="s">
        <v>485</v>
      </c>
      <c r="D164" s="6" t="s">
        <v>485</v>
      </c>
      <c r="E164" s="20" t="s">
        <v>316</v>
      </c>
      <c r="F164" s="20" t="s">
        <v>132</v>
      </c>
      <c r="G164" s="31" t="n">
        <f aca="false">SUMIFS('QB Import'!$B$1:$B$600,'QB Import'!$H$1:$H$600,$C164,'QB Import'!$G$1:$G$600,1)</f>
        <v>80000</v>
      </c>
      <c r="H164" s="11" t="n">
        <f aca="false">IF($E164="Manual",L164,IF($E164="Flat",G164,IF($E164="Inflation",G164*(1+Inputs!D$12),IF($E164="Salary",G164*(1+Inputs!D$10),IF($E164="Benefits",G164*(1+Inputs!D$11),IF($E164="Per Student",G164*H$4/G$4*(1+Inputs!D$12),IF($E164="Enrollment",G164*H$4/G$4,IF($E164="Tuition Index",G164*H$5/G$5,IF($E164="% of Salaries",IF($G$6=0,0,$G164/$G$6*H$6),IF($E164="Debt",$G164*Inputs!D$15/12,IF($E164="Reserve Yield",Inputs!D$13*Inputs!D$16,G164)))))))))))</f>
        <v>82400</v>
      </c>
      <c r="I164" s="11" t="n">
        <f aca="false">IF($E164="Manual",M164,IF($E164="Flat",H164,IF($E164="Inflation",H164*(1+Inputs!E$12),IF($E164="Salary",H164*(1+Inputs!E$10),IF($E164="Benefits",H164*(1+Inputs!E$11),IF($E164="Per Student",H164*I$4/H$4*(1+Inputs!E$12),IF($E164="Enrollment",H164*I$4/H$4,IF($E164="Tuition Index",H164*I$5/H$5,IF($E164="% of Salaries",IF($G$6=0,0,$G164/$G$6*I$6),IF($E164="Debt",$G164*Inputs!E$15/12,IF($E164="Reserve Yield",Inputs!E$13*Inputs!E$16,H164)))))))))))</f>
        <v>84872</v>
      </c>
      <c r="J164" s="11" t="n">
        <f aca="false">IF($E164="Manual",N164,IF($E164="Flat",I164,IF($E164="Inflation",I164*(1+Inputs!F$12),IF($E164="Salary",I164*(1+Inputs!F$10),IF($E164="Benefits",I164*(1+Inputs!F$11),IF($E164="Per Student",I164*J$4/I$4*(1+Inputs!F$12),IF($E164="Enrollment",I164*J$4/I$4,IF($E164="Tuition Index",I164*J$5/I$5,IF($E164="% of Salaries",IF($G$6=0,0,$G164/$G$6*J$6),IF($E164="Debt",$G164*Inputs!F$15/12,IF($E164="Reserve Yield",Inputs!F$13*Inputs!F$16,I164)))))))))))</f>
        <v>87418.16</v>
      </c>
      <c r="K164" s="11" t="n">
        <f aca="false">IF($E164="Manual",O164,IF($E164="Flat",J164,IF($E164="Inflation",J164*(1+Inputs!G$12),IF($E164="Salary",J164*(1+Inputs!G$10),IF($E164="Benefits",J164*(1+Inputs!G$11),IF($E164="Per Student",J164*K$4/J$4*(1+Inputs!G$12),IF($E164="Enrollment",J164*K$4/J$4,IF($E164="Tuition Index",J164*K$5/J$5,IF($E164="% of Salaries",IF($G$6=0,0,$G164/$G$6*K$6),IF($E164="Debt",$G164*Inputs!G$15/12,IF($E164="Reserve Yield",Inputs!G$13*Inputs!G$16,J164)))))))))))</f>
        <v>90040.7048</v>
      </c>
      <c r="L164" s="22"/>
      <c r="M164" s="22"/>
      <c r="N164" s="22"/>
      <c r="O164" s="22"/>
    </row>
    <row r="165" customFormat="false" ht="15" hidden="false" customHeight="false" outlineLevel="0" collapsed="false">
      <c r="A165" s="6" t="s">
        <v>281</v>
      </c>
      <c r="B165" s="6" t="s">
        <v>17</v>
      </c>
      <c r="C165" s="30" t="s">
        <v>486</v>
      </c>
      <c r="D165" s="6" t="s">
        <v>487</v>
      </c>
      <c r="E165" s="20" t="s">
        <v>488</v>
      </c>
      <c r="F165" s="20" t="s">
        <v>132</v>
      </c>
      <c r="G165" s="31" t="n">
        <f aca="false">SUMIFS('QB Import'!$B$1:$B$600,'QB Import'!$H$1:$H$600,$C165,'QB Import'!$G$1:$G$600,1)</f>
        <v>160236</v>
      </c>
      <c r="H165" s="11" t="n">
        <f aca="false">IF($E165="Manual",L165,IF($E165="Flat",G165,IF($E165="Inflation",G165*(1+Inputs!D$12),IF($E165="Salary",G165*(1+Inputs!D$10),IF($E165="Benefits",G165*(1+Inputs!D$11),IF($E165="Per Student",G165*H$4/G$4*(1+Inputs!D$12),IF($E165="Enrollment",G165*H$4/G$4,IF($E165="Tuition Index",G165*H$5/G$5,IF($E165="% of Salaries",IF($G$6=0,0,$G165/$G$6*H$6),IF($E165="Debt",$G165*Inputs!D$15/12,IF($E165="Reserve Yield",Inputs!D$13*Inputs!D$16,G165)))))))))))</f>
        <v>160236</v>
      </c>
      <c r="I165" s="11" t="n">
        <f aca="false">IF($E165="Manual",M165,IF($E165="Flat",H165,IF($E165="Inflation",H165*(1+Inputs!E$12),IF($E165="Salary",H165*(1+Inputs!E$10),IF($E165="Benefits",H165*(1+Inputs!E$11),IF($E165="Per Student",H165*I$4/H$4*(1+Inputs!E$12),IF($E165="Enrollment",H165*I$4/H$4,IF($E165="Tuition Index",H165*I$5/H$5,IF($E165="% of Salaries",IF($G$6=0,0,$G165/$G$6*I$6),IF($E165="Debt",$G165*Inputs!E$15/12,IF($E165="Reserve Yield",Inputs!E$13*Inputs!E$16,H165)))))))))))</f>
        <v>160236</v>
      </c>
      <c r="J165" s="11" t="n">
        <f aca="false">IF($E165="Manual",N165,IF($E165="Flat",I165,IF($E165="Inflation",I165*(1+Inputs!F$12),IF($E165="Salary",I165*(1+Inputs!F$10),IF($E165="Benefits",I165*(1+Inputs!F$11),IF($E165="Per Student",I165*J$4/I$4*(1+Inputs!F$12),IF($E165="Enrollment",I165*J$4/I$4,IF($E165="Tuition Index",I165*J$5/I$5,IF($E165="% of Salaries",IF($G$6=0,0,$G165/$G$6*J$6),IF($E165="Debt",$G165*Inputs!F$15/12,IF($E165="Reserve Yield",Inputs!F$13*Inputs!F$16,I165)))))))))))</f>
        <v>53412</v>
      </c>
      <c r="K165" s="11" t="n">
        <f aca="false">IF($E165="Manual",O165,IF($E165="Flat",J165,IF($E165="Inflation",J165*(1+Inputs!G$12),IF($E165="Salary",J165*(1+Inputs!G$10),IF($E165="Benefits",J165*(1+Inputs!G$11),IF($E165="Per Student",J165*K$4/J$4*(1+Inputs!G$12),IF($E165="Enrollment",J165*K$4/J$4,IF($E165="Tuition Index",J165*K$5/J$5,IF($E165="% of Salaries",IF($G$6=0,0,$G165/$G$6*K$6),IF($E165="Debt",$G165*Inputs!G$15/12,IF($E165="Reserve Yield",Inputs!G$13*Inputs!G$16,J165)))))))))))</f>
        <v>0</v>
      </c>
      <c r="L165" s="22"/>
      <c r="M165" s="22"/>
      <c r="N165" s="22"/>
      <c r="O165" s="22"/>
    </row>
    <row r="166" customFormat="false" ht="15" hidden="false" customHeight="false" outlineLevel="0" collapsed="false">
      <c r="A166" s="6" t="s">
        <v>281</v>
      </c>
      <c r="B166" s="6" t="s">
        <v>17</v>
      </c>
      <c r="C166" s="30" t="s">
        <v>489</v>
      </c>
      <c r="D166" s="6" t="s">
        <v>490</v>
      </c>
      <c r="E166" s="20" t="s">
        <v>488</v>
      </c>
      <c r="F166" s="20" t="s">
        <v>132</v>
      </c>
      <c r="G166" s="31" t="n">
        <f aca="false">SUMIFS('QB Import'!$B$1:$B$600,'QB Import'!$H$1:$H$600,$C166,'QB Import'!$G$1:$G$600,1)</f>
        <v>25432</v>
      </c>
      <c r="H166" s="11" t="n">
        <f aca="false">IF($E166="Manual",L166,IF($E166="Flat",G166,IF($E166="Inflation",G166*(1+Inputs!D$12),IF($E166="Salary",G166*(1+Inputs!D$10),IF($E166="Benefits",G166*(1+Inputs!D$11),IF($E166="Per Student",G166*H$4/G$4*(1+Inputs!D$12),IF($E166="Enrollment",G166*H$4/G$4,IF($E166="Tuition Index",G166*H$5/G$5,IF($E166="% of Salaries",IF($G$6=0,0,$G166/$G$6*H$6),IF($E166="Debt",$G166*Inputs!D$15/12,IF($E166="Reserve Yield",Inputs!D$13*Inputs!D$16,G166)))))))))))</f>
        <v>25432</v>
      </c>
      <c r="I166" s="11" t="n">
        <f aca="false">IF($E166="Manual",M166,IF($E166="Flat",H166,IF($E166="Inflation",H166*(1+Inputs!E$12),IF($E166="Salary",H166*(1+Inputs!E$10),IF($E166="Benefits",H166*(1+Inputs!E$11),IF($E166="Per Student",H166*I$4/H$4*(1+Inputs!E$12),IF($E166="Enrollment",H166*I$4/H$4,IF($E166="Tuition Index",H166*I$5/H$5,IF($E166="% of Salaries",IF($G$6=0,0,$G166/$G$6*I$6),IF($E166="Debt",$G166*Inputs!E$15/12,IF($E166="Reserve Yield",Inputs!E$13*Inputs!E$16,H166)))))))))))</f>
        <v>25432</v>
      </c>
      <c r="J166" s="11" t="n">
        <f aca="false">IF($E166="Manual",N166,IF($E166="Flat",I166,IF($E166="Inflation",I166*(1+Inputs!F$12),IF($E166="Salary",I166*(1+Inputs!F$10),IF($E166="Benefits",I166*(1+Inputs!F$11),IF($E166="Per Student",I166*J$4/I$4*(1+Inputs!F$12),IF($E166="Enrollment",I166*J$4/I$4,IF($E166="Tuition Index",I166*J$5/I$5,IF($E166="% of Salaries",IF($G$6=0,0,$G166/$G$6*J$6),IF($E166="Debt",$G166*Inputs!F$15/12,IF($E166="Reserve Yield",Inputs!F$13*Inputs!F$16,I166)))))))))))</f>
        <v>8477.33333333333</v>
      </c>
      <c r="K166" s="11" t="n">
        <f aca="false">IF($E166="Manual",O166,IF($E166="Flat",J166,IF($E166="Inflation",J166*(1+Inputs!G$12),IF($E166="Salary",J166*(1+Inputs!G$10),IF($E166="Benefits",J166*(1+Inputs!G$11),IF($E166="Per Student",J166*K$4/J$4*(1+Inputs!G$12),IF($E166="Enrollment",J166*K$4/J$4,IF($E166="Tuition Index",J166*K$5/J$5,IF($E166="% of Salaries",IF($G$6=0,0,$G166/$G$6*K$6),IF($E166="Debt",$G166*Inputs!G$15/12,IF($E166="Reserve Yield",Inputs!G$13*Inputs!G$16,J166)))))))))))</f>
        <v>0</v>
      </c>
      <c r="L166" s="22"/>
      <c r="M166" s="22"/>
      <c r="N166" s="22"/>
      <c r="O166" s="22"/>
    </row>
    <row r="167" customFormat="false" ht="15" hidden="false" customHeight="false" outlineLevel="0" collapsed="false">
      <c r="A167" s="6" t="s">
        <v>281</v>
      </c>
      <c r="B167" s="6" t="s">
        <v>17</v>
      </c>
      <c r="C167" s="30" t="s">
        <v>491</v>
      </c>
      <c r="D167" s="6" t="s">
        <v>491</v>
      </c>
      <c r="E167" s="20" t="s">
        <v>186</v>
      </c>
      <c r="F167" s="20" t="s">
        <v>132</v>
      </c>
      <c r="G167" s="31" t="n">
        <f aca="false">SUMIFS('QB Import'!$B$1:$B$600,'QB Import'!$H$1:$H$600,$C167,'QB Import'!$G$1:$G$600,1)</f>
        <v>0</v>
      </c>
      <c r="H167" s="11" t="n">
        <f aca="false">IF($E167="Manual",L167,IF($E167="Flat",G167,IF($E167="Inflation",G167*(1+Inputs!D$12),IF($E167="Salary",G167*(1+Inputs!D$10),IF($E167="Benefits",G167*(1+Inputs!D$11),IF($E167="Per Student",G167*H$4/G$4*(1+Inputs!D$12),IF($E167="Enrollment",G167*H$4/G$4,IF($E167="Tuition Index",G167*H$5/G$5,IF($E167="% of Salaries",IF($G$6=0,0,$G167/$G$6*H$6),IF($E167="Debt",$G167*Inputs!D$15/12,IF($E167="Reserve Yield",Inputs!D$13*Inputs!D$16,G167)))))))))))</f>
        <v>0</v>
      </c>
      <c r="I167" s="11" t="n">
        <f aca="false">IF($E167="Manual",M167,IF($E167="Flat",H167,IF($E167="Inflation",H167*(1+Inputs!E$12),IF($E167="Salary",H167*(1+Inputs!E$10),IF($E167="Benefits",H167*(1+Inputs!E$11),IF($E167="Per Student",H167*I$4/H$4*(1+Inputs!E$12),IF($E167="Enrollment",H167*I$4/H$4,IF($E167="Tuition Index",H167*I$5/H$5,IF($E167="% of Salaries",IF($G$6=0,0,$G167/$G$6*I$6),IF($E167="Debt",$G167*Inputs!E$15/12,IF($E167="Reserve Yield",Inputs!E$13*Inputs!E$16,H167)))))))))))</f>
        <v>0</v>
      </c>
      <c r="J167" s="11" t="n">
        <f aca="false">IF($E167="Manual",N167,IF($E167="Flat",I167,IF($E167="Inflation",I167*(1+Inputs!F$12),IF($E167="Salary",I167*(1+Inputs!F$10),IF($E167="Benefits",I167*(1+Inputs!F$11),IF($E167="Per Student",I167*J$4/I$4*(1+Inputs!F$12),IF($E167="Enrollment",I167*J$4/I$4,IF($E167="Tuition Index",I167*J$5/I$5,IF($E167="% of Salaries",IF($G$6=0,0,$G167/$G$6*J$6),IF($E167="Debt",$G167*Inputs!F$15/12,IF($E167="Reserve Yield",Inputs!F$13*Inputs!F$16,I167)))))))))))</f>
        <v>0</v>
      </c>
      <c r="K167" s="11" t="n">
        <f aca="false">IF($E167="Manual",O167,IF($E167="Flat",J167,IF($E167="Inflation",J167*(1+Inputs!G$12),IF($E167="Salary",J167*(1+Inputs!G$10),IF($E167="Benefits",J167*(1+Inputs!G$11),IF($E167="Per Student",J167*K$4/J$4*(1+Inputs!G$12),IF($E167="Enrollment",J167*K$4/J$4,IF($E167="Tuition Index",J167*K$5/J$5,IF($E167="% of Salaries",IF($G$6=0,0,$G167/$G$6*K$6),IF($E167="Debt",$G167*Inputs!G$15/12,IF($E167="Reserve Yield",Inputs!G$13*Inputs!G$16,J167)))))))))))</f>
        <v>0</v>
      </c>
      <c r="L167" s="22"/>
      <c r="M167" s="22"/>
      <c r="N167" s="22"/>
      <c r="O167" s="22"/>
    </row>
    <row r="168" customFormat="false" ht="15" hidden="false" customHeight="false" outlineLevel="0" collapsed="false">
      <c r="A168" s="6" t="s">
        <v>281</v>
      </c>
      <c r="B168" s="6" t="s">
        <v>17</v>
      </c>
      <c r="C168" s="30" t="s">
        <v>492</v>
      </c>
      <c r="D168" s="6" t="s">
        <v>493</v>
      </c>
      <c r="E168" s="20" t="s">
        <v>316</v>
      </c>
      <c r="F168" s="20" t="s">
        <v>132</v>
      </c>
      <c r="G168" s="31" t="n">
        <f aca="false">SUMIFS('QB Import'!$B$1:$B$600,'QB Import'!$H$1:$H$600,$C168,'QB Import'!$G$1:$G$600,1)</f>
        <v>10000</v>
      </c>
      <c r="H168" s="11" t="n">
        <f aca="false">IF($E168="Manual",L168,IF($E168="Flat",G168,IF($E168="Inflation",G168*(1+Inputs!D$12),IF($E168="Salary",G168*(1+Inputs!D$10),IF($E168="Benefits",G168*(1+Inputs!D$11),IF($E168="Per Student",G168*H$4/G$4*(1+Inputs!D$12),IF($E168="Enrollment",G168*H$4/G$4,IF($E168="Tuition Index",G168*H$5/G$5,IF($E168="% of Salaries",IF($G$6=0,0,$G168/$G$6*H$6),IF($E168="Debt",$G168*Inputs!D$15/12,IF($E168="Reserve Yield",Inputs!D$13*Inputs!D$16,G168)))))))))))</f>
        <v>10300</v>
      </c>
      <c r="I168" s="11" t="n">
        <f aca="false">IF($E168="Manual",M168,IF($E168="Flat",H168,IF($E168="Inflation",H168*(1+Inputs!E$12),IF($E168="Salary",H168*(1+Inputs!E$10),IF($E168="Benefits",H168*(1+Inputs!E$11),IF($E168="Per Student",H168*I$4/H$4*(1+Inputs!E$12),IF($E168="Enrollment",H168*I$4/H$4,IF($E168="Tuition Index",H168*I$5/H$5,IF($E168="% of Salaries",IF($G$6=0,0,$G168/$G$6*I$6),IF($E168="Debt",$G168*Inputs!E$15/12,IF($E168="Reserve Yield",Inputs!E$13*Inputs!E$16,H168)))))))))))</f>
        <v>10609</v>
      </c>
      <c r="J168" s="11" t="n">
        <f aca="false">IF($E168="Manual",N168,IF($E168="Flat",I168,IF($E168="Inflation",I168*(1+Inputs!F$12),IF($E168="Salary",I168*(1+Inputs!F$10),IF($E168="Benefits",I168*(1+Inputs!F$11),IF($E168="Per Student",I168*J$4/I$4*(1+Inputs!F$12),IF($E168="Enrollment",I168*J$4/I$4,IF($E168="Tuition Index",I168*J$5/I$5,IF($E168="% of Salaries",IF($G$6=0,0,$G168/$G$6*J$6),IF($E168="Debt",$G168*Inputs!F$15/12,IF($E168="Reserve Yield",Inputs!F$13*Inputs!F$16,I168)))))))))))</f>
        <v>10927.27</v>
      </c>
      <c r="K168" s="11" t="n">
        <f aca="false">IF($E168="Manual",O168,IF($E168="Flat",J168,IF($E168="Inflation",J168*(1+Inputs!G$12),IF($E168="Salary",J168*(1+Inputs!G$10),IF($E168="Benefits",J168*(1+Inputs!G$11),IF($E168="Per Student",J168*K$4/J$4*(1+Inputs!G$12),IF($E168="Enrollment",J168*K$4/J$4,IF($E168="Tuition Index",J168*K$5/J$5,IF($E168="% of Salaries",IF($G$6=0,0,$G168/$G$6*K$6),IF($E168="Debt",$G168*Inputs!G$15/12,IF($E168="Reserve Yield",Inputs!G$13*Inputs!G$16,J168)))))))))))</f>
        <v>11255.0881</v>
      </c>
      <c r="L168" s="22"/>
      <c r="M168" s="22"/>
      <c r="N168" s="22"/>
      <c r="O168" s="22"/>
    </row>
    <row r="169" customFormat="false" ht="15" hidden="false" customHeight="false" outlineLevel="0" collapsed="false">
      <c r="A169" s="6" t="s">
        <v>281</v>
      </c>
      <c r="B169" s="6" t="s">
        <v>17</v>
      </c>
      <c r="C169" s="30" t="s">
        <v>494</v>
      </c>
      <c r="D169" s="6" t="s">
        <v>495</v>
      </c>
      <c r="E169" s="20" t="s">
        <v>186</v>
      </c>
      <c r="F169" s="20" t="s">
        <v>132</v>
      </c>
      <c r="G169" s="31" t="n">
        <f aca="false">SUMIFS('QB Import'!$B$1:$B$600,'QB Import'!$H$1:$H$600,$C169,'QB Import'!$G$1:$G$600,1)</f>
        <v>0</v>
      </c>
      <c r="H169" s="11" t="n">
        <f aca="false">IF($E169="Manual",L169,IF($E169="Flat",G169,IF($E169="Inflation",G169*(1+Inputs!D$12),IF($E169="Salary",G169*(1+Inputs!D$10),IF($E169="Benefits",G169*(1+Inputs!D$11),IF($E169="Per Student",G169*H$4/G$4*(1+Inputs!D$12),IF($E169="Enrollment",G169*H$4/G$4,IF($E169="Tuition Index",G169*H$5/G$5,IF($E169="% of Salaries",IF($G$6=0,0,$G169/$G$6*H$6),IF($E169="Debt",$G169*Inputs!D$15/12,IF($E169="Reserve Yield",Inputs!D$13*Inputs!D$16,G169)))))))))))</f>
        <v>0</v>
      </c>
      <c r="I169" s="11" t="n">
        <f aca="false">IF($E169="Manual",M169,IF($E169="Flat",H169,IF($E169="Inflation",H169*(1+Inputs!E$12),IF($E169="Salary",H169*(1+Inputs!E$10),IF($E169="Benefits",H169*(1+Inputs!E$11),IF($E169="Per Student",H169*I$4/H$4*(1+Inputs!E$12),IF($E169="Enrollment",H169*I$4/H$4,IF($E169="Tuition Index",H169*I$5/H$5,IF($E169="% of Salaries",IF($G$6=0,0,$G169/$G$6*I$6),IF($E169="Debt",$G169*Inputs!E$15/12,IF($E169="Reserve Yield",Inputs!E$13*Inputs!E$16,H169)))))))))))</f>
        <v>0</v>
      </c>
      <c r="J169" s="11" t="n">
        <f aca="false">IF($E169="Manual",N169,IF($E169="Flat",I169,IF($E169="Inflation",I169*(1+Inputs!F$12),IF($E169="Salary",I169*(1+Inputs!F$10),IF($E169="Benefits",I169*(1+Inputs!F$11),IF($E169="Per Student",I169*J$4/I$4*(1+Inputs!F$12),IF($E169="Enrollment",I169*J$4/I$4,IF($E169="Tuition Index",I169*J$5/I$5,IF($E169="% of Salaries",IF($G$6=0,0,$G169/$G$6*J$6),IF($E169="Debt",$G169*Inputs!F$15/12,IF($E169="Reserve Yield",Inputs!F$13*Inputs!F$16,I169)))))))))))</f>
        <v>0</v>
      </c>
      <c r="K169" s="11" t="n">
        <f aca="false">IF($E169="Manual",O169,IF($E169="Flat",J169,IF($E169="Inflation",J169*(1+Inputs!G$12),IF($E169="Salary",J169*(1+Inputs!G$10),IF($E169="Benefits",J169*(1+Inputs!G$11),IF($E169="Per Student",J169*K$4/J$4*(1+Inputs!G$12),IF($E169="Enrollment",J169*K$4/J$4,IF($E169="Tuition Index",J169*K$5/J$5,IF($E169="% of Salaries",IF($G$6=0,0,$G169/$G$6*K$6),IF($E169="Debt",$G169*Inputs!G$15/12,IF($E169="Reserve Yield",Inputs!G$13*Inputs!G$16,J169)))))))))))</f>
        <v>0</v>
      </c>
      <c r="L169" s="22"/>
      <c r="M169" s="22"/>
      <c r="N169" s="22"/>
      <c r="O169" s="22"/>
    </row>
    <row r="170" customFormat="false" ht="15" hidden="false" customHeight="false" outlineLevel="0" collapsed="false">
      <c r="A170" s="6" t="s">
        <v>281</v>
      </c>
      <c r="B170" s="6" t="s">
        <v>17</v>
      </c>
      <c r="C170" s="30" t="s">
        <v>496</v>
      </c>
      <c r="D170" s="6" t="s">
        <v>497</v>
      </c>
      <c r="E170" s="20" t="s">
        <v>316</v>
      </c>
      <c r="F170" s="20" t="s">
        <v>132</v>
      </c>
      <c r="G170" s="31" t="n">
        <f aca="false">SUMIFS('QB Import'!$B$1:$B$600,'QB Import'!$H$1:$H$600,$C170,'QB Import'!$G$1:$G$600,1)</f>
        <v>38000</v>
      </c>
      <c r="H170" s="11" t="n">
        <f aca="false">IF($E170="Manual",L170,IF($E170="Flat",G170,IF($E170="Inflation",G170*(1+Inputs!D$12),IF($E170="Salary",G170*(1+Inputs!D$10),IF($E170="Benefits",G170*(1+Inputs!D$11),IF($E170="Per Student",G170*H$4/G$4*(1+Inputs!D$12),IF($E170="Enrollment",G170*H$4/G$4,IF($E170="Tuition Index",G170*H$5/G$5,IF($E170="% of Salaries",IF($G$6=0,0,$G170/$G$6*H$6),IF($E170="Debt",$G170*Inputs!D$15/12,IF($E170="Reserve Yield",Inputs!D$13*Inputs!D$16,G170)))))))))))</f>
        <v>39140</v>
      </c>
      <c r="I170" s="11" t="n">
        <f aca="false">IF($E170="Manual",M170,IF($E170="Flat",H170,IF($E170="Inflation",H170*(1+Inputs!E$12),IF($E170="Salary",H170*(1+Inputs!E$10),IF($E170="Benefits",H170*(1+Inputs!E$11),IF($E170="Per Student",H170*I$4/H$4*(1+Inputs!E$12),IF($E170="Enrollment",H170*I$4/H$4,IF($E170="Tuition Index",H170*I$5/H$5,IF($E170="% of Salaries",IF($G$6=0,0,$G170/$G$6*I$6),IF($E170="Debt",$G170*Inputs!E$15/12,IF($E170="Reserve Yield",Inputs!E$13*Inputs!E$16,H170)))))))))))</f>
        <v>40314.2</v>
      </c>
      <c r="J170" s="11" t="n">
        <f aca="false">IF($E170="Manual",N170,IF($E170="Flat",I170,IF($E170="Inflation",I170*(1+Inputs!F$12),IF($E170="Salary",I170*(1+Inputs!F$10),IF($E170="Benefits",I170*(1+Inputs!F$11),IF($E170="Per Student",I170*J$4/I$4*(1+Inputs!F$12),IF($E170="Enrollment",I170*J$4/I$4,IF($E170="Tuition Index",I170*J$5/I$5,IF($E170="% of Salaries",IF($G$6=0,0,$G170/$G$6*J$6),IF($E170="Debt",$G170*Inputs!F$15/12,IF($E170="Reserve Yield",Inputs!F$13*Inputs!F$16,I170)))))))))))</f>
        <v>41523.626</v>
      </c>
      <c r="K170" s="11" t="n">
        <f aca="false">IF($E170="Manual",O170,IF($E170="Flat",J170,IF($E170="Inflation",J170*(1+Inputs!G$12),IF($E170="Salary",J170*(1+Inputs!G$10),IF($E170="Benefits",J170*(1+Inputs!G$11),IF($E170="Per Student",J170*K$4/J$4*(1+Inputs!G$12),IF($E170="Enrollment",J170*K$4/J$4,IF($E170="Tuition Index",J170*K$5/J$5,IF($E170="% of Salaries",IF($G$6=0,0,$G170/$G$6*K$6),IF($E170="Debt",$G170*Inputs!G$15/12,IF($E170="Reserve Yield",Inputs!G$13*Inputs!G$16,J170)))))))))))</f>
        <v>42769.33478</v>
      </c>
      <c r="L170" s="22"/>
      <c r="M170" s="22"/>
      <c r="N170" s="22"/>
      <c r="O170" s="22"/>
    </row>
    <row r="171" customFormat="false" ht="15" hidden="false" customHeight="false" outlineLevel="0" collapsed="false">
      <c r="A171" s="6" t="s">
        <v>281</v>
      </c>
      <c r="B171" s="6" t="s">
        <v>17</v>
      </c>
      <c r="C171" s="30" t="s">
        <v>498</v>
      </c>
      <c r="D171" s="6" t="s">
        <v>499</v>
      </c>
      <c r="E171" s="20" t="s">
        <v>186</v>
      </c>
      <c r="F171" s="20" t="s">
        <v>132</v>
      </c>
      <c r="G171" s="31" t="n">
        <f aca="false">SUMIFS('QB Import'!$B$1:$B$600,'QB Import'!$H$1:$H$600,$C171,'QB Import'!$G$1:$G$600,1)</f>
        <v>0</v>
      </c>
      <c r="H171" s="11" t="n">
        <f aca="false">IF($E171="Manual",L171,IF($E171="Flat",G171,IF($E171="Inflation",G171*(1+Inputs!D$12),IF($E171="Salary",G171*(1+Inputs!D$10),IF($E171="Benefits",G171*(1+Inputs!D$11),IF($E171="Per Student",G171*H$4/G$4*(1+Inputs!D$12),IF($E171="Enrollment",G171*H$4/G$4,IF($E171="Tuition Index",G171*H$5/G$5,IF($E171="% of Salaries",IF($G$6=0,0,$G171/$G$6*H$6),IF($E171="Debt",$G171*Inputs!D$15/12,IF($E171="Reserve Yield",Inputs!D$13*Inputs!D$16,G171)))))))))))</f>
        <v>0</v>
      </c>
      <c r="I171" s="11" t="n">
        <f aca="false">IF($E171="Manual",M171,IF($E171="Flat",H171,IF($E171="Inflation",H171*(1+Inputs!E$12),IF($E171="Salary",H171*(1+Inputs!E$10),IF($E171="Benefits",H171*(1+Inputs!E$11),IF($E171="Per Student",H171*I$4/H$4*(1+Inputs!E$12),IF($E171="Enrollment",H171*I$4/H$4,IF($E171="Tuition Index",H171*I$5/H$5,IF($E171="% of Salaries",IF($G$6=0,0,$G171/$G$6*I$6),IF($E171="Debt",$G171*Inputs!E$15/12,IF($E171="Reserve Yield",Inputs!E$13*Inputs!E$16,H171)))))))))))</f>
        <v>0</v>
      </c>
      <c r="J171" s="11" t="n">
        <f aca="false">IF($E171="Manual",N171,IF($E171="Flat",I171,IF($E171="Inflation",I171*(1+Inputs!F$12),IF($E171="Salary",I171*(1+Inputs!F$10),IF($E171="Benefits",I171*(1+Inputs!F$11),IF($E171="Per Student",I171*J$4/I$4*(1+Inputs!F$12),IF($E171="Enrollment",I171*J$4/I$4,IF($E171="Tuition Index",I171*J$5/I$5,IF($E171="% of Salaries",IF($G$6=0,0,$G171/$G$6*J$6),IF($E171="Debt",$G171*Inputs!F$15/12,IF($E171="Reserve Yield",Inputs!F$13*Inputs!F$16,I171)))))))))))</f>
        <v>0</v>
      </c>
      <c r="K171" s="11" t="n">
        <f aca="false">IF($E171="Manual",O171,IF($E171="Flat",J171,IF($E171="Inflation",J171*(1+Inputs!G$12),IF($E171="Salary",J171*(1+Inputs!G$10),IF($E171="Benefits",J171*(1+Inputs!G$11),IF($E171="Per Student",J171*K$4/J$4*(1+Inputs!G$12),IF($E171="Enrollment",J171*K$4/J$4,IF($E171="Tuition Index",J171*K$5/J$5,IF($E171="% of Salaries",IF($G$6=0,0,$G171/$G$6*K$6),IF($E171="Debt",$G171*Inputs!G$15/12,IF($E171="Reserve Yield",Inputs!G$13*Inputs!G$16,J171)))))))))))</f>
        <v>0</v>
      </c>
      <c r="L171" s="22"/>
      <c r="M171" s="22"/>
      <c r="N171" s="22"/>
      <c r="O171" s="22"/>
    </row>
    <row r="172" customFormat="false" ht="15" hidden="false" customHeight="false" outlineLevel="0" collapsed="false">
      <c r="A172" s="6" t="s">
        <v>281</v>
      </c>
      <c r="B172" s="6" t="s">
        <v>17</v>
      </c>
      <c r="C172" s="30" t="s">
        <v>500</v>
      </c>
      <c r="D172" s="6" t="s">
        <v>501</v>
      </c>
      <c r="E172" s="20" t="s">
        <v>316</v>
      </c>
      <c r="F172" s="20" t="s">
        <v>132</v>
      </c>
      <c r="G172" s="31" t="n">
        <f aca="false">SUMIFS('QB Import'!$B$1:$B$600,'QB Import'!$H$1:$H$600,$C172,'QB Import'!$G$1:$G$600,1)</f>
        <v>145000</v>
      </c>
      <c r="H172" s="11" t="n">
        <f aca="false">IF($E172="Manual",L172,IF($E172="Flat",G172,IF($E172="Inflation",G172*(1+Inputs!D$12),IF($E172="Salary",G172*(1+Inputs!D$10),IF($E172="Benefits",G172*(1+Inputs!D$11),IF($E172="Per Student",G172*H$4/G$4*(1+Inputs!D$12),IF($E172="Enrollment",G172*H$4/G$4,IF($E172="Tuition Index",G172*H$5/G$5,IF($E172="% of Salaries",IF($G$6=0,0,$G172/$G$6*H$6),IF($E172="Debt",$G172*Inputs!D$15/12,IF($E172="Reserve Yield",Inputs!D$13*Inputs!D$16,G172)))))))))))</f>
        <v>149350</v>
      </c>
      <c r="I172" s="11" t="n">
        <f aca="false">IF($E172="Manual",M172,IF($E172="Flat",H172,IF($E172="Inflation",H172*(1+Inputs!E$12),IF($E172="Salary",H172*(1+Inputs!E$10),IF($E172="Benefits",H172*(1+Inputs!E$11),IF($E172="Per Student",H172*I$4/H$4*(1+Inputs!E$12),IF($E172="Enrollment",H172*I$4/H$4,IF($E172="Tuition Index",H172*I$5/H$5,IF($E172="% of Salaries",IF($G$6=0,0,$G172/$G$6*I$6),IF($E172="Debt",$G172*Inputs!E$15/12,IF($E172="Reserve Yield",Inputs!E$13*Inputs!E$16,H172)))))))))))</f>
        <v>153830.5</v>
      </c>
      <c r="J172" s="11" t="n">
        <f aca="false">IF($E172="Manual",N172,IF($E172="Flat",I172,IF($E172="Inflation",I172*(1+Inputs!F$12),IF($E172="Salary",I172*(1+Inputs!F$10),IF($E172="Benefits",I172*(1+Inputs!F$11),IF($E172="Per Student",I172*J$4/I$4*(1+Inputs!F$12),IF($E172="Enrollment",I172*J$4/I$4,IF($E172="Tuition Index",I172*J$5/I$5,IF($E172="% of Salaries",IF($G$6=0,0,$G172/$G$6*J$6),IF($E172="Debt",$G172*Inputs!F$15/12,IF($E172="Reserve Yield",Inputs!F$13*Inputs!F$16,I172)))))))))))</f>
        <v>158445.415</v>
      </c>
      <c r="K172" s="11" t="n">
        <f aca="false">IF($E172="Manual",O172,IF($E172="Flat",J172,IF($E172="Inflation",J172*(1+Inputs!G$12),IF($E172="Salary",J172*(1+Inputs!G$10),IF($E172="Benefits",J172*(1+Inputs!G$11),IF($E172="Per Student",J172*K$4/J$4*(1+Inputs!G$12),IF($E172="Enrollment",J172*K$4/J$4,IF($E172="Tuition Index",J172*K$5/J$5,IF($E172="% of Salaries",IF($G$6=0,0,$G172/$G$6*K$6),IF($E172="Debt",$G172*Inputs!G$15/12,IF($E172="Reserve Yield",Inputs!G$13*Inputs!G$16,J172)))))))))))</f>
        <v>163198.77745</v>
      </c>
      <c r="L172" s="22"/>
      <c r="M172" s="22"/>
      <c r="N172" s="22"/>
      <c r="O172" s="22"/>
    </row>
    <row r="173" customFormat="false" ht="15" hidden="false" customHeight="false" outlineLevel="0" collapsed="false">
      <c r="A173" s="6" t="s">
        <v>281</v>
      </c>
      <c r="B173" s="6" t="s">
        <v>17</v>
      </c>
      <c r="C173" s="30" t="s">
        <v>502</v>
      </c>
      <c r="D173" s="6" t="s">
        <v>503</v>
      </c>
      <c r="E173" s="20" t="s">
        <v>316</v>
      </c>
      <c r="F173" s="20" t="s">
        <v>132</v>
      </c>
      <c r="G173" s="31" t="n">
        <f aca="false">SUMIFS('QB Import'!$B$1:$B$600,'QB Import'!$H$1:$H$600,$C173,'QB Import'!$G$1:$G$600,1)</f>
        <v>55000</v>
      </c>
      <c r="H173" s="11" t="n">
        <f aca="false">IF($E173="Manual",L173,IF($E173="Flat",G173,IF($E173="Inflation",G173*(1+Inputs!D$12),IF($E173="Salary",G173*(1+Inputs!D$10),IF($E173="Benefits",G173*(1+Inputs!D$11),IF($E173="Per Student",G173*H$4/G$4*(1+Inputs!D$12),IF($E173="Enrollment",G173*H$4/G$4,IF($E173="Tuition Index",G173*H$5/G$5,IF($E173="% of Salaries",IF($G$6=0,0,$G173/$G$6*H$6),IF($E173="Debt",$G173*Inputs!D$15/12,IF($E173="Reserve Yield",Inputs!D$13*Inputs!D$16,G173)))))))))))</f>
        <v>56650</v>
      </c>
      <c r="I173" s="11" t="n">
        <f aca="false">IF($E173="Manual",M173,IF($E173="Flat",H173,IF($E173="Inflation",H173*(1+Inputs!E$12),IF($E173="Salary",H173*(1+Inputs!E$10),IF($E173="Benefits",H173*(1+Inputs!E$11),IF($E173="Per Student",H173*I$4/H$4*(1+Inputs!E$12),IF($E173="Enrollment",H173*I$4/H$4,IF($E173="Tuition Index",H173*I$5/H$5,IF($E173="% of Salaries",IF($G$6=0,0,$G173/$G$6*I$6),IF($E173="Debt",$G173*Inputs!E$15/12,IF($E173="Reserve Yield",Inputs!E$13*Inputs!E$16,H173)))))))))))</f>
        <v>58349.5</v>
      </c>
      <c r="J173" s="11" t="n">
        <f aca="false">IF($E173="Manual",N173,IF($E173="Flat",I173,IF($E173="Inflation",I173*(1+Inputs!F$12),IF($E173="Salary",I173*(1+Inputs!F$10),IF($E173="Benefits",I173*(1+Inputs!F$11),IF($E173="Per Student",I173*J$4/I$4*(1+Inputs!F$12),IF($E173="Enrollment",I173*J$4/I$4,IF($E173="Tuition Index",I173*J$5/I$5,IF($E173="% of Salaries",IF($G$6=0,0,$G173/$G$6*J$6),IF($E173="Debt",$G173*Inputs!F$15/12,IF($E173="Reserve Yield",Inputs!F$13*Inputs!F$16,I173)))))))))))</f>
        <v>60099.985</v>
      </c>
      <c r="K173" s="11" t="n">
        <f aca="false">IF($E173="Manual",O173,IF($E173="Flat",J173,IF($E173="Inflation",J173*(1+Inputs!G$12),IF($E173="Salary",J173*(1+Inputs!G$10),IF($E173="Benefits",J173*(1+Inputs!G$11),IF($E173="Per Student",J173*K$4/J$4*(1+Inputs!G$12),IF($E173="Enrollment",J173*K$4/J$4,IF($E173="Tuition Index",J173*K$5/J$5,IF($E173="% of Salaries",IF($G$6=0,0,$G173/$G$6*K$6),IF($E173="Debt",$G173*Inputs!G$15/12,IF($E173="Reserve Yield",Inputs!G$13*Inputs!G$16,J173)))))))))))</f>
        <v>61902.98455</v>
      </c>
      <c r="L173" s="22"/>
      <c r="M173" s="22"/>
      <c r="N173" s="22"/>
      <c r="O173" s="22"/>
    </row>
    <row r="174" customFormat="false" ht="15" hidden="false" customHeight="false" outlineLevel="0" collapsed="false">
      <c r="A174" s="6" t="s">
        <v>281</v>
      </c>
      <c r="B174" s="6" t="s">
        <v>17</v>
      </c>
      <c r="C174" s="30" t="s">
        <v>504</v>
      </c>
      <c r="D174" s="6" t="s">
        <v>505</v>
      </c>
      <c r="E174" s="20" t="s">
        <v>186</v>
      </c>
      <c r="F174" s="20" t="s">
        <v>132</v>
      </c>
      <c r="G174" s="31" t="n">
        <f aca="false">SUMIFS('QB Import'!$B$1:$B$600,'QB Import'!$H$1:$H$600,$C174,'QB Import'!$G$1:$G$600,1)</f>
        <v>0</v>
      </c>
      <c r="H174" s="11" t="n">
        <f aca="false">IF($E174="Manual",L174,IF($E174="Flat",G174,IF($E174="Inflation",G174*(1+Inputs!D$12),IF($E174="Salary",G174*(1+Inputs!D$10),IF($E174="Benefits",G174*(1+Inputs!D$11),IF($E174="Per Student",G174*H$4/G$4*(1+Inputs!D$12),IF($E174="Enrollment",G174*H$4/G$4,IF($E174="Tuition Index",G174*H$5/G$5,IF($E174="% of Salaries",IF($G$6=0,0,$G174/$G$6*H$6),IF($E174="Debt",$G174*Inputs!D$15/12,IF($E174="Reserve Yield",Inputs!D$13*Inputs!D$16,G174)))))))))))</f>
        <v>0</v>
      </c>
      <c r="I174" s="11" t="n">
        <f aca="false">IF($E174="Manual",M174,IF($E174="Flat",H174,IF($E174="Inflation",H174*(1+Inputs!E$12),IF($E174="Salary",H174*(1+Inputs!E$10),IF($E174="Benefits",H174*(1+Inputs!E$11),IF($E174="Per Student",H174*I$4/H$4*(1+Inputs!E$12),IF($E174="Enrollment",H174*I$4/H$4,IF($E174="Tuition Index",H174*I$5/H$5,IF($E174="% of Salaries",IF($G$6=0,0,$G174/$G$6*I$6),IF($E174="Debt",$G174*Inputs!E$15/12,IF($E174="Reserve Yield",Inputs!E$13*Inputs!E$16,H174)))))))))))</f>
        <v>0</v>
      </c>
      <c r="J174" s="11" t="n">
        <f aca="false">IF($E174="Manual",N174,IF($E174="Flat",I174,IF($E174="Inflation",I174*(1+Inputs!F$12),IF($E174="Salary",I174*(1+Inputs!F$10),IF($E174="Benefits",I174*(1+Inputs!F$11),IF($E174="Per Student",I174*J$4/I$4*(1+Inputs!F$12),IF($E174="Enrollment",I174*J$4/I$4,IF($E174="Tuition Index",I174*J$5/I$5,IF($E174="% of Salaries",IF($G$6=0,0,$G174/$G$6*J$6),IF($E174="Debt",$G174*Inputs!F$15/12,IF($E174="Reserve Yield",Inputs!F$13*Inputs!F$16,I174)))))))))))</f>
        <v>0</v>
      </c>
      <c r="K174" s="11" t="n">
        <f aca="false">IF($E174="Manual",O174,IF($E174="Flat",J174,IF($E174="Inflation",J174*(1+Inputs!G$12),IF($E174="Salary",J174*(1+Inputs!G$10),IF($E174="Benefits",J174*(1+Inputs!G$11),IF($E174="Per Student",J174*K$4/J$4*(1+Inputs!G$12),IF($E174="Enrollment",J174*K$4/J$4,IF($E174="Tuition Index",J174*K$5/J$5,IF($E174="% of Salaries",IF($G$6=0,0,$G174/$G$6*K$6),IF($E174="Debt",$G174*Inputs!G$15/12,IF($E174="Reserve Yield",Inputs!G$13*Inputs!G$16,J174)))))))))))</f>
        <v>0</v>
      </c>
      <c r="L174" s="22"/>
      <c r="M174" s="22"/>
      <c r="N174" s="22"/>
      <c r="O174" s="22"/>
    </row>
    <row r="175" customFormat="false" ht="15" hidden="false" customHeight="false" outlineLevel="0" collapsed="false">
      <c r="A175" s="6" t="s">
        <v>281</v>
      </c>
      <c r="B175" s="6" t="s">
        <v>17</v>
      </c>
      <c r="C175" s="30" t="s">
        <v>506</v>
      </c>
      <c r="D175" s="6" t="s">
        <v>507</v>
      </c>
      <c r="E175" s="20" t="s">
        <v>186</v>
      </c>
      <c r="F175" s="20" t="s">
        <v>132</v>
      </c>
      <c r="G175" s="31" t="n">
        <f aca="false">SUMIFS('QB Import'!$B$1:$B$600,'QB Import'!$H$1:$H$600,$C175,'QB Import'!$G$1:$G$600,1)</f>
        <v>0</v>
      </c>
      <c r="H175" s="11" t="n">
        <f aca="false">IF($E175="Manual",L175,IF($E175="Flat",G175,IF($E175="Inflation",G175*(1+Inputs!D$12),IF($E175="Salary",G175*(1+Inputs!D$10),IF($E175="Benefits",G175*(1+Inputs!D$11),IF($E175="Per Student",G175*H$4/G$4*(1+Inputs!D$12),IF($E175="Enrollment",G175*H$4/G$4,IF($E175="Tuition Index",G175*H$5/G$5,IF($E175="% of Salaries",IF($G$6=0,0,$G175/$G$6*H$6),IF($E175="Debt",$G175*Inputs!D$15/12,IF($E175="Reserve Yield",Inputs!D$13*Inputs!D$16,G175)))))))))))</f>
        <v>0</v>
      </c>
      <c r="I175" s="11" t="n">
        <f aca="false">IF($E175="Manual",M175,IF($E175="Flat",H175,IF($E175="Inflation",H175*(1+Inputs!E$12),IF($E175="Salary",H175*(1+Inputs!E$10),IF($E175="Benefits",H175*(1+Inputs!E$11),IF($E175="Per Student",H175*I$4/H$4*(1+Inputs!E$12),IF($E175="Enrollment",H175*I$4/H$4,IF($E175="Tuition Index",H175*I$5/H$5,IF($E175="% of Salaries",IF($G$6=0,0,$G175/$G$6*I$6),IF($E175="Debt",$G175*Inputs!E$15/12,IF($E175="Reserve Yield",Inputs!E$13*Inputs!E$16,H175)))))))))))</f>
        <v>0</v>
      </c>
      <c r="J175" s="11" t="n">
        <f aca="false">IF($E175="Manual",N175,IF($E175="Flat",I175,IF($E175="Inflation",I175*(1+Inputs!F$12),IF($E175="Salary",I175*(1+Inputs!F$10),IF($E175="Benefits",I175*(1+Inputs!F$11),IF($E175="Per Student",I175*J$4/I$4*(1+Inputs!F$12),IF($E175="Enrollment",I175*J$4/I$4,IF($E175="Tuition Index",I175*J$5/I$5,IF($E175="% of Salaries",IF($G$6=0,0,$G175/$G$6*J$6),IF($E175="Debt",$G175*Inputs!F$15/12,IF($E175="Reserve Yield",Inputs!F$13*Inputs!F$16,I175)))))))))))</f>
        <v>0</v>
      </c>
      <c r="K175" s="11" t="n">
        <f aca="false">IF($E175="Manual",O175,IF($E175="Flat",J175,IF($E175="Inflation",J175*(1+Inputs!G$12),IF($E175="Salary",J175*(1+Inputs!G$10),IF($E175="Benefits",J175*(1+Inputs!G$11),IF($E175="Per Student",J175*K$4/J$4*(1+Inputs!G$12),IF($E175="Enrollment",J175*K$4/J$4,IF($E175="Tuition Index",J175*K$5/J$5,IF($E175="% of Salaries",IF($G$6=0,0,$G175/$G$6*K$6),IF($E175="Debt",$G175*Inputs!G$15/12,IF($E175="Reserve Yield",Inputs!G$13*Inputs!G$16,J175)))))))))))</f>
        <v>0</v>
      </c>
      <c r="L175" s="22"/>
      <c r="M175" s="22"/>
      <c r="N175" s="22"/>
      <c r="O175" s="22"/>
    </row>
    <row r="176" customFormat="false" ht="15" hidden="false" customHeight="false" outlineLevel="0" collapsed="false">
      <c r="A176" s="6" t="s">
        <v>281</v>
      </c>
      <c r="B176" s="6" t="s">
        <v>17</v>
      </c>
      <c r="C176" s="30" t="s">
        <v>508</v>
      </c>
      <c r="D176" s="6" t="s">
        <v>509</v>
      </c>
      <c r="E176" s="20" t="s">
        <v>186</v>
      </c>
      <c r="F176" s="20" t="s">
        <v>132</v>
      </c>
      <c r="G176" s="31" t="n">
        <f aca="false">SUMIFS('QB Import'!$B$1:$B$600,'QB Import'!$H$1:$H$600,$C176,'QB Import'!$G$1:$G$600,1)</f>
        <v>0</v>
      </c>
      <c r="H176" s="11" t="n">
        <f aca="false">IF($E176="Manual",L176,IF($E176="Flat",G176,IF($E176="Inflation",G176*(1+Inputs!D$12),IF($E176="Salary",G176*(1+Inputs!D$10),IF($E176="Benefits",G176*(1+Inputs!D$11),IF($E176="Per Student",G176*H$4/G$4*(1+Inputs!D$12),IF($E176="Enrollment",G176*H$4/G$4,IF($E176="Tuition Index",G176*H$5/G$5,IF($E176="% of Salaries",IF($G$6=0,0,$G176/$G$6*H$6),IF($E176="Debt",$G176*Inputs!D$15/12,IF($E176="Reserve Yield",Inputs!D$13*Inputs!D$16,G176)))))))))))</f>
        <v>0</v>
      </c>
      <c r="I176" s="11" t="n">
        <f aca="false">IF($E176="Manual",M176,IF($E176="Flat",H176,IF($E176="Inflation",H176*(1+Inputs!E$12),IF($E176="Salary",H176*(1+Inputs!E$10),IF($E176="Benefits",H176*(1+Inputs!E$11),IF($E176="Per Student",H176*I$4/H$4*(1+Inputs!E$12),IF($E176="Enrollment",H176*I$4/H$4,IF($E176="Tuition Index",H176*I$5/H$5,IF($E176="% of Salaries",IF($G$6=0,0,$G176/$G$6*I$6),IF($E176="Debt",$G176*Inputs!E$15/12,IF($E176="Reserve Yield",Inputs!E$13*Inputs!E$16,H176)))))))))))</f>
        <v>0</v>
      </c>
      <c r="J176" s="11" t="n">
        <f aca="false">IF($E176="Manual",N176,IF($E176="Flat",I176,IF($E176="Inflation",I176*(1+Inputs!F$12),IF($E176="Salary",I176*(1+Inputs!F$10),IF($E176="Benefits",I176*(1+Inputs!F$11),IF($E176="Per Student",I176*J$4/I$4*(1+Inputs!F$12),IF($E176="Enrollment",I176*J$4/I$4,IF($E176="Tuition Index",I176*J$5/I$5,IF($E176="% of Salaries",IF($G$6=0,0,$G176/$G$6*J$6),IF($E176="Debt",$G176*Inputs!F$15/12,IF($E176="Reserve Yield",Inputs!F$13*Inputs!F$16,I176)))))))))))</f>
        <v>0</v>
      </c>
      <c r="K176" s="11" t="n">
        <f aca="false">IF($E176="Manual",O176,IF($E176="Flat",J176,IF($E176="Inflation",J176*(1+Inputs!G$12),IF($E176="Salary",J176*(1+Inputs!G$10),IF($E176="Benefits",J176*(1+Inputs!G$11),IF($E176="Per Student",J176*K$4/J$4*(1+Inputs!G$12),IF($E176="Enrollment",J176*K$4/J$4,IF($E176="Tuition Index",J176*K$5/J$5,IF($E176="% of Salaries",IF($G$6=0,0,$G176/$G$6*K$6),IF($E176="Debt",$G176*Inputs!G$15/12,IF($E176="Reserve Yield",Inputs!G$13*Inputs!G$16,J176)))))))))))</f>
        <v>0</v>
      </c>
      <c r="L176" s="22"/>
      <c r="M176" s="22"/>
      <c r="N176" s="22"/>
      <c r="O176" s="22"/>
    </row>
    <row r="177" customFormat="false" ht="15" hidden="false" customHeight="false" outlineLevel="0" collapsed="false">
      <c r="A177" s="6" t="s">
        <v>281</v>
      </c>
      <c r="B177" s="6" t="s">
        <v>17</v>
      </c>
      <c r="C177" s="30" t="s">
        <v>510</v>
      </c>
      <c r="D177" s="6" t="s">
        <v>511</v>
      </c>
      <c r="E177" s="20" t="s">
        <v>186</v>
      </c>
      <c r="F177" s="20" t="s">
        <v>132</v>
      </c>
      <c r="G177" s="31" t="n">
        <f aca="false">SUMIFS('QB Import'!$B$1:$B$600,'QB Import'!$H$1:$H$600,$C177,'QB Import'!$G$1:$G$600,1)</f>
        <v>0</v>
      </c>
      <c r="H177" s="11" t="n">
        <f aca="false">IF($E177="Manual",L177,IF($E177="Flat",G177,IF($E177="Inflation",G177*(1+Inputs!D$12),IF($E177="Salary",G177*(1+Inputs!D$10),IF($E177="Benefits",G177*(1+Inputs!D$11),IF($E177="Per Student",G177*H$4/G$4*(1+Inputs!D$12),IF($E177="Enrollment",G177*H$4/G$4,IF($E177="Tuition Index",G177*H$5/G$5,IF($E177="% of Salaries",IF($G$6=0,0,$G177/$G$6*H$6),IF($E177="Debt",$G177*Inputs!D$15/12,IF($E177="Reserve Yield",Inputs!D$13*Inputs!D$16,G177)))))))))))</f>
        <v>0</v>
      </c>
      <c r="I177" s="11" t="n">
        <f aca="false">IF($E177="Manual",M177,IF($E177="Flat",H177,IF($E177="Inflation",H177*(1+Inputs!E$12),IF($E177="Salary",H177*(1+Inputs!E$10),IF($E177="Benefits",H177*(1+Inputs!E$11),IF($E177="Per Student",H177*I$4/H$4*(1+Inputs!E$12),IF($E177="Enrollment",H177*I$4/H$4,IF($E177="Tuition Index",H177*I$5/H$5,IF($E177="% of Salaries",IF($G$6=0,0,$G177/$G$6*I$6),IF($E177="Debt",$G177*Inputs!E$15/12,IF($E177="Reserve Yield",Inputs!E$13*Inputs!E$16,H177)))))))))))</f>
        <v>0</v>
      </c>
      <c r="J177" s="11" t="n">
        <f aca="false">IF($E177="Manual",N177,IF($E177="Flat",I177,IF($E177="Inflation",I177*(1+Inputs!F$12),IF($E177="Salary",I177*(1+Inputs!F$10),IF($E177="Benefits",I177*(1+Inputs!F$11),IF($E177="Per Student",I177*J$4/I$4*(1+Inputs!F$12),IF($E177="Enrollment",I177*J$4/I$4,IF($E177="Tuition Index",I177*J$5/I$5,IF($E177="% of Salaries",IF($G$6=0,0,$G177/$G$6*J$6),IF($E177="Debt",$G177*Inputs!F$15/12,IF($E177="Reserve Yield",Inputs!F$13*Inputs!F$16,I177)))))))))))</f>
        <v>0</v>
      </c>
      <c r="K177" s="11" t="n">
        <f aca="false">IF($E177="Manual",O177,IF($E177="Flat",J177,IF($E177="Inflation",J177*(1+Inputs!G$12),IF($E177="Salary",J177*(1+Inputs!G$10),IF($E177="Benefits",J177*(1+Inputs!G$11),IF($E177="Per Student",J177*K$4/J$4*(1+Inputs!G$12),IF($E177="Enrollment",J177*K$4/J$4,IF($E177="Tuition Index",J177*K$5/J$5,IF($E177="% of Salaries",IF($G$6=0,0,$G177/$G$6*K$6),IF($E177="Debt",$G177*Inputs!G$15/12,IF($E177="Reserve Yield",Inputs!G$13*Inputs!G$16,J177)))))))))))</f>
        <v>0</v>
      </c>
      <c r="L177" s="22"/>
      <c r="M177" s="22"/>
      <c r="N177" s="22"/>
      <c r="O177" s="22"/>
    </row>
    <row r="178" customFormat="false" ht="15" hidden="false" customHeight="false" outlineLevel="0" collapsed="false">
      <c r="A178" s="6" t="s">
        <v>281</v>
      </c>
      <c r="B178" s="6" t="s">
        <v>17</v>
      </c>
      <c r="C178" s="30" t="s">
        <v>512</v>
      </c>
      <c r="D178" s="6" t="s">
        <v>513</v>
      </c>
      <c r="E178" s="20" t="s">
        <v>186</v>
      </c>
      <c r="F178" s="20" t="s">
        <v>132</v>
      </c>
      <c r="G178" s="31" t="n">
        <f aca="false">SUMIFS('QB Import'!$B$1:$B$600,'QB Import'!$H$1:$H$600,$C178,'QB Import'!$G$1:$G$600,1)</f>
        <v>0</v>
      </c>
      <c r="H178" s="11" t="n">
        <f aca="false">IF($E178="Manual",L178,IF($E178="Flat",G178,IF($E178="Inflation",G178*(1+Inputs!D$12),IF($E178="Salary",G178*(1+Inputs!D$10),IF($E178="Benefits",G178*(1+Inputs!D$11),IF($E178="Per Student",G178*H$4/G$4*(1+Inputs!D$12),IF($E178="Enrollment",G178*H$4/G$4,IF($E178="Tuition Index",G178*H$5/G$5,IF($E178="% of Salaries",IF($G$6=0,0,$G178/$G$6*H$6),IF($E178="Debt",$G178*Inputs!D$15/12,IF($E178="Reserve Yield",Inputs!D$13*Inputs!D$16,G178)))))))))))</f>
        <v>0</v>
      </c>
      <c r="I178" s="11" t="n">
        <f aca="false">IF($E178="Manual",M178,IF($E178="Flat",H178,IF($E178="Inflation",H178*(1+Inputs!E$12),IF($E178="Salary",H178*(1+Inputs!E$10),IF($E178="Benefits",H178*(1+Inputs!E$11),IF($E178="Per Student",H178*I$4/H$4*(1+Inputs!E$12),IF($E178="Enrollment",H178*I$4/H$4,IF($E178="Tuition Index",H178*I$5/H$5,IF($E178="% of Salaries",IF($G$6=0,0,$G178/$G$6*I$6),IF($E178="Debt",$G178*Inputs!E$15/12,IF($E178="Reserve Yield",Inputs!E$13*Inputs!E$16,H178)))))))))))</f>
        <v>0</v>
      </c>
      <c r="J178" s="11" t="n">
        <f aca="false">IF($E178="Manual",N178,IF($E178="Flat",I178,IF($E178="Inflation",I178*(1+Inputs!F$12),IF($E178="Salary",I178*(1+Inputs!F$10),IF($E178="Benefits",I178*(1+Inputs!F$11),IF($E178="Per Student",I178*J$4/I$4*(1+Inputs!F$12),IF($E178="Enrollment",I178*J$4/I$4,IF($E178="Tuition Index",I178*J$5/I$5,IF($E178="% of Salaries",IF($G$6=0,0,$G178/$G$6*J$6),IF($E178="Debt",$G178*Inputs!F$15/12,IF($E178="Reserve Yield",Inputs!F$13*Inputs!F$16,I178)))))))))))</f>
        <v>0</v>
      </c>
      <c r="K178" s="11" t="n">
        <f aca="false">IF($E178="Manual",O178,IF($E178="Flat",J178,IF($E178="Inflation",J178*(1+Inputs!G$12),IF($E178="Salary",J178*(1+Inputs!G$10),IF($E178="Benefits",J178*(1+Inputs!G$11),IF($E178="Per Student",J178*K$4/J$4*(1+Inputs!G$12),IF($E178="Enrollment",J178*K$4/J$4,IF($E178="Tuition Index",J178*K$5/J$5,IF($E178="% of Salaries",IF($G$6=0,0,$G178/$G$6*K$6),IF($E178="Debt",$G178*Inputs!G$15/12,IF($E178="Reserve Yield",Inputs!G$13*Inputs!G$16,J178)))))))))))</f>
        <v>0</v>
      </c>
      <c r="L178" s="22"/>
      <c r="M178" s="22"/>
      <c r="N178" s="22"/>
      <c r="O178" s="22"/>
    </row>
    <row r="179" customFormat="false" ht="15" hidden="false" customHeight="false" outlineLevel="0" collapsed="false">
      <c r="A179" s="6" t="s">
        <v>281</v>
      </c>
      <c r="B179" s="6" t="s">
        <v>17</v>
      </c>
      <c r="C179" s="30" t="s">
        <v>514</v>
      </c>
      <c r="D179" s="6" t="s">
        <v>515</v>
      </c>
      <c r="E179" s="20" t="s">
        <v>186</v>
      </c>
      <c r="F179" s="20" t="s">
        <v>132</v>
      </c>
      <c r="G179" s="31" t="n">
        <f aca="false">SUMIFS('QB Import'!$B$1:$B$600,'QB Import'!$H$1:$H$600,$C179,'QB Import'!$G$1:$G$600,1)</f>
        <v>0</v>
      </c>
      <c r="H179" s="11" t="n">
        <f aca="false">IF($E179="Manual",L179,IF($E179="Flat",G179,IF($E179="Inflation",G179*(1+Inputs!D$12),IF($E179="Salary",G179*(1+Inputs!D$10),IF($E179="Benefits",G179*(1+Inputs!D$11),IF($E179="Per Student",G179*H$4/G$4*(1+Inputs!D$12),IF($E179="Enrollment",G179*H$4/G$4,IF($E179="Tuition Index",G179*H$5/G$5,IF($E179="% of Salaries",IF($G$6=0,0,$G179/$G$6*H$6),IF($E179="Debt",$G179*Inputs!D$15/12,IF($E179="Reserve Yield",Inputs!D$13*Inputs!D$16,G179)))))))))))</f>
        <v>0</v>
      </c>
      <c r="I179" s="11" t="n">
        <f aca="false">IF($E179="Manual",M179,IF($E179="Flat",H179,IF($E179="Inflation",H179*(1+Inputs!E$12),IF($E179="Salary",H179*(1+Inputs!E$10),IF($E179="Benefits",H179*(1+Inputs!E$11),IF($E179="Per Student",H179*I$4/H$4*(1+Inputs!E$12),IF($E179="Enrollment",H179*I$4/H$4,IF($E179="Tuition Index",H179*I$5/H$5,IF($E179="% of Salaries",IF($G$6=0,0,$G179/$G$6*I$6),IF($E179="Debt",$G179*Inputs!E$15/12,IF($E179="Reserve Yield",Inputs!E$13*Inputs!E$16,H179)))))))))))</f>
        <v>0</v>
      </c>
      <c r="J179" s="11" t="n">
        <f aca="false">IF($E179="Manual",N179,IF($E179="Flat",I179,IF($E179="Inflation",I179*(1+Inputs!F$12),IF($E179="Salary",I179*(1+Inputs!F$10),IF($E179="Benefits",I179*(1+Inputs!F$11),IF($E179="Per Student",I179*J$4/I$4*(1+Inputs!F$12),IF($E179="Enrollment",I179*J$4/I$4,IF($E179="Tuition Index",I179*J$5/I$5,IF($E179="% of Salaries",IF($G$6=0,0,$G179/$G$6*J$6),IF($E179="Debt",$G179*Inputs!F$15/12,IF($E179="Reserve Yield",Inputs!F$13*Inputs!F$16,I179)))))))))))</f>
        <v>0</v>
      </c>
      <c r="K179" s="11" t="n">
        <f aca="false">IF($E179="Manual",O179,IF($E179="Flat",J179,IF($E179="Inflation",J179*(1+Inputs!G$12),IF($E179="Salary",J179*(1+Inputs!G$10),IF($E179="Benefits",J179*(1+Inputs!G$11),IF($E179="Per Student",J179*K$4/J$4*(1+Inputs!G$12),IF($E179="Enrollment",J179*K$4/J$4,IF($E179="Tuition Index",J179*K$5/J$5,IF($E179="% of Salaries",IF($G$6=0,0,$G179/$G$6*K$6),IF($E179="Debt",$G179*Inputs!G$15/12,IF($E179="Reserve Yield",Inputs!G$13*Inputs!G$16,J179)))))))))))</f>
        <v>0</v>
      </c>
      <c r="L179" s="22"/>
      <c r="M179" s="22"/>
      <c r="N179" s="22"/>
      <c r="O179" s="22"/>
    </row>
    <row r="180" customFormat="false" ht="15" hidden="false" customHeight="false" outlineLevel="0" collapsed="false">
      <c r="A180" s="6" t="s">
        <v>281</v>
      </c>
      <c r="B180" s="6" t="s">
        <v>17</v>
      </c>
      <c r="C180" s="30" t="s">
        <v>516</v>
      </c>
      <c r="D180" s="6" t="s">
        <v>517</v>
      </c>
      <c r="E180" s="20" t="s">
        <v>186</v>
      </c>
      <c r="F180" s="20" t="s">
        <v>132</v>
      </c>
      <c r="G180" s="31" t="n">
        <f aca="false">SUMIFS('QB Import'!$B$1:$B$600,'QB Import'!$H$1:$H$600,$C180,'QB Import'!$G$1:$G$600,1)</f>
        <v>0</v>
      </c>
      <c r="H180" s="11" t="n">
        <f aca="false">IF($E180="Manual",L180,IF($E180="Flat",G180,IF($E180="Inflation",G180*(1+Inputs!D$12),IF($E180="Salary",G180*(1+Inputs!D$10),IF($E180="Benefits",G180*(1+Inputs!D$11),IF($E180="Per Student",G180*H$4/G$4*(1+Inputs!D$12),IF($E180="Enrollment",G180*H$4/G$4,IF($E180="Tuition Index",G180*H$5/G$5,IF($E180="% of Salaries",IF($G$6=0,0,$G180/$G$6*H$6),IF($E180="Debt",$G180*Inputs!D$15/12,IF($E180="Reserve Yield",Inputs!D$13*Inputs!D$16,G180)))))))))))</f>
        <v>0</v>
      </c>
      <c r="I180" s="11" t="n">
        <f aca="false">IF($E180="Manual",M180,IF($E180="Flat",H180,IF($E180="Inflation",H180*(1+Inputs!E$12),IF($E180="Salary",H180*(1+Inputs!E$10),IF($E180="Benefits",H180*(1+Inputs!E$11),IF($E180="Per Student",H180*I$4/H$4*(1+Inputs!E$12),IF($E180="Enrollment",H180*I$4/H$4,IF($E180="Tuition Index",H180*I$5/H$5,IF($E180="% of Salaries",IF($G$6=0,0,$G180/$G$6*I$6),IF($E180="Debt",$G180*Inputs!E$15/12,IF($E180="Reserve Yield",Inputs!E$13*Inputs!E$16,H180)))))))))))</f>
        <v>0</v>
      </c>
      <c r="J180" s="11" t="n">
        <f aca="false">IF($E180="Manual",N180,IF($E180="Flat",I180,IF($E180="Inflation",I180*(1+Inputs!F$12),IF($E180="Salary",I180*(1+Inputs!F$10),IF($E180="Benefits",I180*(1+Inputs!F$11),IF($E180="Per Student",I180*J$4/I$4*(1+Inputs!F$12),IF($E180="Enrollment",I180*J$4/I$4,IF($E180="Tuition Index",I180*J$5/I$5,IF($E180="% of Salaries",IF($G$6=0,0,$G180/$G$6*J$6),IF($E180="Debt",$G180*Inputs!F$15/12,IF($E180="Reserve Yield",Inputs!F$13*Inputs!F$16,I180)))))))))))</f>
        <v>0</v>
      </c>
      <c r="K180" s="11" t="n">
        <f aca="false">IF($E180="Manual",O180,IF($E180="Flat",J180,IF($E180="Inflation",J180*(1+Inputs!G$12),IF($E180="Salary",J180*(1+Inputs!G$10),IF($E180="Benefits",J180*(1+Inputs!G$11),IF($E180="Per Student",J180*K$4/J$4*(1+Inputs!G$12),IF($E180="Enrollment",J180*K$4/J$4,IF($E180="Tuition Index",J180*K$5/J$5,IF($E180="% of Salaries",IF($G$6=0,0,$G180/$G$6*K$6),IF($E180="Debt",$G180*Inputs!G$15/12,IF($E180="Reserve Yield",Inputs!G$13*Inputs!G$16,J180)))))))))))</f>
        <v>0</v>
      </c>
      <c r="L180" s="22"/>
      <c r="M180" s="22"/>
      <c r="N180" s="22"/>
      <c r="O180" s="22"/>
    </row>
    <row r="181" customFormat="false" ht="15" hidden="false" customHeight="false" outlineLevel="0" collapsed="false">
      <c r="A181" s="6" t="s">
        <v>281</v>
      </c>
      <c r="B181" s="6" t="s">
        <v>17</v>
      </c>
      <c r="C181" s="30" t="s">
        <v>518</v>
      </c>
      <c r="D181" s="6" t="s">
        <v>519</v>
      </c>
      <c r="E181" s="20" t="s">
        <v>186</v>
      </c>
      <c r="F181" s="20" t="s">
        <v>132</v>
      </c>
      <c r="G181" s="31" t="n">
        <f aca="false">SUMIFS('QB Import'!$B$1:$B$600,'QB Import'!$H$1:$H$600,$C181,'QB Import'!$G$1:$G$600,1)</f>
        <v>0</v>
      </c>
      <c r="H181" s="11" t="n">
        <f aca="false">IF($E181="Manual",L181,IF($E181="Flat",G181,IF($E181="Inflation",G181*(1+Inputs!D$12),IF($E181="Salary",G181*(1+Inputs!D$10),IF($E181="Benefits",G181*(1+Inputs!D$11),IF($E181="Per Student",G181*H$4/G$4*(1+Inputs!D$12),IF($E181="Enrollment",G181*H$4/G$4,IF($E181="Tuition Index",G181*H$5/G$5,IF($E181="% of Salaries",IF($G$6=0,0,$G181/$G$6*H$6),IF($E181="Debt",$G181*Inputs!D$15/12,IF($E181="Reserve Yield",Inputs!D$13*Inputs!D$16,G181)))))))))))</f>
        <v>0</v>
      </c>
      <c r="I181" s="11" t="n">
        <f aca="false">IF($E181="Manual",M181,IF($E181="Flat",H181,IF($E181="Inflation",H181*(1+Inputs!E$12),IF($E181="Salary",H181*(1+Inputs!E$10),IF($E181="Benefits",H181*(1+Inputs!E$11),IF($E181="Per Student",H181*I$4/H$4*(1+Inputs!E$12),IF($E181="Enrollment",H181*I$4/H$4,IF($E181="Tuition Index",H181*I$5/H$5,IF($E181="% of Salaries",IF($G$6=0,0,$G181/$G$6*I$6),IF($E181="Debt",$G181*Inputs!E$15/12,IF($E181="Reserve Yield",Inputs!E$13*Inputs!E$16,H181)))))))))))</f>
        <v>0</v>
      </c>
      <c r="J181" s="11" t="n">
        <f aca="false">IF($E181="Manual",N181,IF($E181="Flat",I181,IF($E181="Inflation",I181*(1+Inputs!F$12),IF($E181="Salary",I181*(1+Inputs!F$10),IF($E181="Benefits",I181*(1+Inputs!F$11),IF($E181="Per Student",I181*J$4/I$4*(1+Inputs!F$12),IF($E181="Enrollment",I181*J$4/I$4,IF($E181="Tuition Index",I181*J$5/I$5,IF($E181="% of Salaries",IF($G$6=0,0,$G181/$G$6*J$6),IF($E181="Debt",$G181*Inputs!F$15/12,IF($E181="Reserve Yield",Inputs!F$13*Inputs!F$16,I181)))))))))))</f>
        <v>0</v>
      </c>
      <c r="K181" s="11" t="n">
        <f aca="false">IF($E181="Manual",O181,IF($E181="Flat",J181,IF($E181="Inflation",J181*(1+Inputs!G$12),IF($E181="Salary",J181*(1+Inputs!G$10),IF($E181="Benefits",J181*(1+Inputs!G$11),IF($E181="Per Student",J181*K$4/J$4*(1+Inputs!G$12),IF($E181="Enrollment",J181*K$4/J$4,IF($E181="Tuition Index",J181*K$5/J$5,IF($E181="% of Salaries",IF($G$6=0,0,$G181/$G$6*K$6),IF($E181="Debt",$G181*Inputs!G$15/12,IF($E181="Reserve Yield",Inputs!G$13*Inputs!G$16,J181)))))))))))</f>
        <v>0</v>
      </c>
      <c r="L181" s="22"/>
      <c r="M181" s="22"/>
      <c r="N181" s="22"/>
      <c r="O181" s="22"/>
    </row>
    <row r="182" customFormat="false" ht="15" hidden="false" customHeight="false" outlineLevel="0" collapsed="false">
      <c r="A182" s="6" t="s">
        <v>281</v>
      </c>
      <c r="B182" s="6" t="s">
        <v>17</v>
      </c>
      <c r="C182" s="30" t="s">
        <v>520</v>
      </c>
      <c r="D182" s="6" t="s">
        <v>521</v>
      </c>
      <c r="E182" s="20" t="s">
        <v>186</v>
      </c>
      <c r="F182" s="20" t="s">
        <v>132</v>
      </c>
      <c r="G182" s="31" t="n">
        <f aca="false">SUMIFS('QB Import'!$B$1:$B$600,'QB Import'!$H$1:$H$600,$C182,'QB Import'!$G$1:$G$600,1)</f>
        <v>0</v>
      </c>
      <c r="H182" s="11" t="n">
        <f aca="false">IF($E182="Manual",L182,IF($E182="Flat",G182,IF($E182="Inflation",G182*(1+Inputs!D$12),IF($E182="Salary",G182*(1+Inputs!D$10),IF($E182="Benefits",G182*(1+Inputs!D$11),IF($E182="Per Student",G182*H$4/G$4*(1+Inputs!D$12),IF($E182="Enrollment",G182*H$4/G$4,IF($E182="Tuition Index",G182*H$5/G$5,IF($E182="% of Salaries",IF($G$6=0,0,$G182/$G$6*H$6),IF($E182="Debt",$G182*Inputs!D$15/12,IF($E182="Reserve Yield",Inputs!D$13*Inputs!D$16,G182)))))))))))</f>
        <v>0</v>
      </c>
      <c r="I182" s="11" t="n">
        <f aca="false">IF($E182="Manual",M182,IF($E182="Flat",H182,IF($E182="Inflation",H182*(1+Inputs!E$12),IF($E182="Salary",H182*(1+Inputs!E$10),IF($E182="Benefits",H182*(1+Inputs!E$11),IF($E182="Per Student",H182*I$4/H$4*(1+Inputs!E$12),IF($E182="Enrollment",H182*I$4/H$4,IF($E182="Tuition Index",H182*I$5/H$5,IF($E182="% of Salaries",IF($G$6=0,0,$G182/$G$6*I$6),IF($E182="Debt",$G182*Inputs!E$15/12,IF($E182="Reserve Yield",Inputs!E$13*Inputs!E$16,H182)))))))))))</f>
        <v>0</v>
      </c>
      <c r="J182" s="11" t="n">
        <f aca="false">IF($E182="Manual",N182,IF($E182="Flat",I182,IF($E182="Inflation",I182*(1+Inputs!F$12),IF($E182="Salary",I182*(1+Inputs!F$10),IF($E182="Benefits",I182*(1+Inputs!F$11),IF($E182="Per Student",I182*J$4/I$4*(1+Inputs!F$12),IF($E182="Enrollment",I182*J$4/I$4,IF($E182="Tuition Index",I182*J$5/I$5,IF($E182="% of Salaries",IF($G$6=0,0,$G182/$G$6*J$6),IF($E182="Debt",$G182*Inputs!F$15/12,IF($E182="Reserve Yield",Inputs!F$13*Inputs!F$16,I182)))))))))))</f>
        <v>0</v>
      </c>
      <c r="K182" s="11" t="n">
        <f aca="false">IF($E182="Manual",O182,IF($E182="Flat",J182,IF($E182="Inflation",J182*(1+Inputs!G$12),IF($E182="Salary",J182*(1+Inputs!G$10),IF($E182="Benefits",J182*(1+Inputs!G$11),IF($E182="Per Student",J182*K$4/J$4*(1+Inputs!G$12),IF($E182="Enrollment",J182*K$4/J$4,IF($E182="Tuition Index",J182*K$5/J$5,IF($E182="% of Salaries",IF($G$6=0,0,$G182/$G$6*K$6),IF($E182="Debt",$G182*Inputs!G$15/12,IF($E182="Reserve Yield",Inputs!G$13*Inputs!G$16,J182)))))))))))</f>
        <v>0</v>
      </c>
      <c r="L182" s="22"/>
      <c r="M182" s="22"/>
      <c r="N182" s="22"/>
      <c r="O182" s="22"/>
    </row>
    <row r="183" customFormat="false" ht="15" hidden="false" customHeight="false" outlineLevel="0" collapsed="false">
      <c r="A183" s="6" t="s">
        <v>281</v>
      </c>
      <c r="B183" s="6" t="s">
        <v>17</v>
      </c>
      <c r="C183" s="30" t="s">
        <v>522</v>
      </c>
      <c r="D183" s="6" t="s">
        <v>523</v>
      </c>
      <c r="E183" s="20" t="s">
        <v>186</v>
      </c>
      <c r="F183" s="20" t="s">
        <v>132</v>
      </c>
      <c r="G183" s="31" t="n">
        <f aca="false">SUMIFS('QB Import'!$B$1:$B$600,'QB Import'!$H$1:$H$600,$C183,'QB Import'!$G$1:$G$600,1)</f>
        <v>0</v>
      </c>
      <c r="H183" s="11" t="n">
        <f aca="false">IF($E183="Manual",L183,IF($E183="Flat",G183,IF($E183="Inflation",G183*(1+Inputs!D$12),IF($E183="Salary",G183*(1+Inputs!D$10),IF($E183="Benefits",G183*(1+Inputs!D$11),IF($E183="Per Student",G183*H$4/G$4*(1+Inputs!D$12),IF($E183="Enrollment",G183*H$4/G$4,IF($E183="Tuition Index",G183*H$5/G$5,IF($E183="% of Salaries",IF($G$6=0,0,$G183/$G$6*H$6),IF($E183="Debt",$G183*Inputs!D$15/12,IF($E183="Reserve Yield",Inputs!D$13*Inputs!D$16,G183)))))))))))</f>
        <v>0</v>
      </c>
      <c r="I183" s="11" t="n">
        <f aca="false">IF($E183="Manual",M183,IF($E183="Flat",H183,IF($E183="Inflation",H183*(1+Inputs!E$12),IF($E183="Salary",H183*(1+Inputs!E$10),IF($E183="Benefits",H183*(1+Inputs!E$11),IF($E183="Per Student",H183*I$4/H$4*(1+Inputs!E$12),IF($E183="Enrollment",H183*I$4/H$4,IF($E183="Tuition Index",H183*I$5/H$5,IF($E183="% of Salaries",IF($G$6=0,0,$G183/$G$6*I$6),IF($E183="Debt",$G183*Inputs!E$15/12,IF($E183="Reserve Yield",Inputs!E$13*Inputs!E$16,H183)))))))))))</f>
        <v>0</v>
      </c>
      <c r="J183" s="11" t="n">
        <f aca="false">IF($E183="Manual",N183,IF($E183="Flat",I183,IF($E183="Inflation",I183*(1+Inputs!F$12),IF($E183="Salary",I183*(1+Inputs!F$10),IF($E183="Benefits",I183*(1+Inputs!F$11),IF($E183="Per Student",I183*J$4/I$4*(1+Inputs!F$12),IF($E183="Enrollment",I183*J$4/I$4,IF($E183="Tuition Index",I183*J$5/I$5,IF($E183="% of Salaries",IF($G$6=0,0,$G183/$G$6*J$6),IF($E183="Debt",$G183*Inputs!F$15/12,IF($E183="Reserve Yield",Inputs!F$13*Inputs!F$16,I183)))))))))))</f>
        <v>0</v>
      </c>
      <c r="K183" s="11" t="n">
        <f aca="false">IF($E183="Manual",O183,IF($E183="Flat",J183,IF($E183="Inflation",J183*(1+Inputs!G$12),IF($E183="Salary",J183*(1+Inputs!G$10),IF($E183="Benefits",J183*(1+Inputs!G$11),IF($E183="Per Student",J183*K$4/J$4*(1+Inputs!G$12),IF($E183="Enrollment",J183*K$4/J$4,IF($E183="Tuition Index",J183*K$5/J$5,IF($E183="% of Salaries",IF($G$6=0,0,$G183/$G$6*K$6),IF($E183="Debt",$G183*Inputs!G$15/12,IF($E183="Reserve Yield",Inputs!G$13*Inputs!G$16,J183)))))))))))</f>
        <v>0</v>
      </c>
      <c r="L183" s="22"/>
      <c r="M183" s="22"/>
      <c r="N183" s="22"/>
      <c r="O183" s="22"/>
    </row>
    <row r="184" customFormat="false" ht="15" hidden="false" customHeight="false" outlineLevel="0" collapsed="false">
      <c r="A184" s="6" t="s">
        <v>281</v>
      </c>
      <c r="B184" s="6" t="s">
        <v>17</v>
      </c>
      <c r="C184" s="30" t="s">
        <v>524</v>
      </c>
      <c r="D184" s="6" t="s">
        <v>525</v>
      </c>
      <c r="E184" s="20" t="s">
        <v>186</v>
      </c>
      <c r="F184" s="20" t="s">
        <v>132</v>
      </c>
      <c r="G184" s="31" t="n">
        <f aca="false">SUMIFS('QB Import'!$B$1:$B$600,'QB Import'!$H$1:$H$600,$C184,'QB Import'!$G$1:$G$600,1)</f>
        <v>0</v>
      </c>
      <c r="H184" s="11" t="n">
        <f aca="false">IF($E184="Manual",L184,IF($E184="Flat",G184,IF($E184="Inflation",G184*(1+Inputs!D$12),IF($E184="Salary",G184*(1+Inputs!D$10),IF($E184="Benefits",G184*(1+Inputs!D$11),IF($E184="Per Student",G184*H$4/G$4*(1+Inputs!D$12),IF($E184="Enrollment",G184*H$4/G$4,IF($E184="Tuition Index",G184*H$5/G$5,IF($E184="% of Salaries",IF($G$6=0,0,$G184/$G$6*H$6),IF($E184="Debt",$G184*Inputs!D$15/12,IF($E184="Reserve Yield",Inputs!D$13*Inputs!D$16,G184)))))))))))</f>
        <v>0</v>
      </c>
      <c r="I184" s="11" t="n">
        <f aca="false">IF($E184="Manual",M184,IF($E184="Flat",H184,IF($E184="Inflation",H184*(1+Inputs!E$12),IF($E184="Salary",H184*(1+Inputs!E$10),IF($E184="Benefits",H184*(1+Inputs!E$11),IF($E184="Per Student",H184*I$4/H$4*(1+Inputs!E$12),IF($E184="Enrollment",H184*I$4/H$4,IF($E184="Tuition Index",H184*I$5/H$5,IF($E184="% of Salaries",IF($G$6=0,0,$G184/$G$6*I$6),IF($E184="Debt",$G184*Inputs!E$15/12,IF($E184="Reserve Yield",Inputs!E$13*Inputs!E$16,H184)))))))))))</f>
        <v>0</v>
      </c>
      <c r="J184" s="11" t="n">
        <f aca="false">IF($E184="Manual",N184,IF($E184="Flat",I184,IF($E184="Inflation",I184*(1+Inputs!F$12),IF($E184="Salary",I184*(1+Inputs!F$10),IF($E184="Benefits",I184*(1+Inputs!F$11),IF($E184="Per Student",I184*J$4/I$4*(1+Inputs!F$12),IF($E184="Enrollment",I184*J$4/I$4,IF($E184="Tuition Index",I184*J$5/I$5,IF($E184="% of Salaries",IF($G$6=0,0,$G184/$G$6*J$6),IF($E184="Debt",$G184*Inputs!F$15/12,IF($E184="Reserve Yield",Inputs!F$13*Inputs!F$16,I184)))))))))))</f>
        <v>0</v>
      </c>
      <c r="K184" s="11" t="n">
        <f aca="false">IF($E184="Manual",O184,IF($E184="Flat",J184,IF($E184="Inflation",J184*(1+Inputs!G$12),IF($E184="Salary",J184*(1+Inputs!G$10),IF($E184="Benefits",J184*(1+Inputs!G$11),IF($E184="Per Student",J184*K$4/J$4*(1+Inputs!G$12),IF($E184="Enrollment",J184*K$4/J$4,IF($E184="Tuition Index",J184*K$5/J$5,IF($E184="% of Salaries",IF($G$6=0,0,$G184/$G$6*K$6),IF($E184="Debt",$G184*Inputs!G$15/12,IF($E184="Reserve Yield",Inputs!G$13*Inputs!G$16,J184)))))))))))</f>
        <v>0</v>
      </c>
      <c r="L184" s="22"/>
      <c r="M184" s="22"/>
      <c r="N184" s="22"/>
      <c r="O184" s="22"/>
    </row>
    <row r="185" customFormat="false" ht="15" hidden="false" customHeight="false" outlineLevel="0" collapsed="false">
      <c r="A185" s="6" t="s">
        <v>281</v>
      </c>
      <c r="B185" s="6" t="s">
        <v>18</v>
      </c>
      <c r="C185" s="30" t="s">
        <v>18</v>
      </c>
      <c r="D185" s="6" t="s">
        <v>18</v>
      </c>
      <c r="E185" s="20" t="s">
        <v>316</v>
      </c>
      <c r="F185" s="20" t="s">
        <v>132</v>
      </c>
      <c r="G185" s="31" t="n">
        <f aca="false">SUMIFS('QB Import'!$B$1:$B$600,'QB Import'!$H$1:$H$600,$C185,'QB Import'!$G$1:$G$600,1)</f>
        <v>171263</v>
      </c>
      <c r="H185" s="11" t="n">
        <f aca="false">IF($E185="Manual",L185,IF($E185="Flat",G185,IF($E185="Inflation",G185*(1+Inputs!D$12),IF($E185="Salary",G185*(1+Inputs!D$10),IF($E185="Benefits",G185*(1+Inputs!D$11),IF($E185="Per Student",G185*H$4/G$4*(1+Inputs!D$12),IF($E185="Enrollment",G185*H$4/G$4,IF($E185="Tuition Index",G185*H$5/G$5,IF($E185="% of Salaries",IF($G$6=0,0,$G185/$G$6*H$6),IF($E185="Debt",$G185*Inputs!D$15/12,IF($E185="Reserve Yield",Inputs!D$13*Inputs!D$16,G185)))))))))))</f>
        <v>176400.89</v>
      </c>
      <c r="I185" s="11" t="n">
        <f aca="false">IF($E185="Manual",M185,IF($E185="Flat",H185,IF($E185="Inflation",H185*(1+Inputs!E$12),IF($E185="Salary",H185*(1+Inputs!E$10),IF($E185="Benefits",H185*(1+Inputs!E$11),IF($E185="Per Student",H185*I$4/H$4*(1+Inputs!E$12),IF($E185="Enrollment",H185*I$4/H$4,IF($E185="Tuition Index",H185*I$5/H$5,IF($E185="% of Salaries",IF($G$6=0,0,$G185/$G$6*I$6),IF($E185="Debt",$G185*Inputs!E$15/12,IF($E185="Reserve Yield",Inputs!E$13*Inputs!E$16,H185)))))))))))</f>
        <v>181692.9167</v>
      </c>
      <c r="J185" s="11" t="n">
        <f aca="false">IF($E185="Manual",N185,IF($E185="Flat",I185,IF($E185="Inflation",I185*(1+Inputs!F$12),IF($E185="Salary",I185*(1+Inputs!F$10),IF($E185="Benefits",I185*(1+Inputs!F$11),IF($E185="Per Student",I185*J$4/I$4*(1+Inputs!F$12),IF($E185="Enrollment",I185*J$4/I$4,IF($E185="Tuition Index",I185*J$5/I$5,IF($E185="% of Salaries",IF($G$6=0,0,$G185/$G$6*J$6),IF($E185="Debt",$G185*Inputs!F$15/12,IF($E185="Reserve Yield",Inputs!F$13*Inputs!F$16,I185)))))))))))</f>
        <v>187143.704201</v>
      </c>
      <c r="K185" s="11" t="n">
        <f aca="false">IF($E185="Manual",O185,IF($E185="Flat",J185,IF($E185="Inflation",J185*(1+Inputs!G$12),IF($E185="Salary",J185*(1+Inputs!G$10),IF($E185="Benefits",J185*(1+Inputs!G$11),IF($E185="Per Student",J185*K$4/J$4*(1+Inputs!G$12),IF($E185="Enrollment",J185*K$4/J$4,IF($E185="Tuition Index",J185*K$5/J$5,IF($E185="% of Salaries",IF($G$6=0,0,$G185/$G$6*K$6),IF($E185="Debt",$G185*Inputs!G$15/12,IF($E185="Reserve Yield",Inputs!G$13*Inputs!G$16,J185)))))))))))</f>
        <v>192758.01532703</v>
      </c>
      <c r="L185" s="22"/>
      <c r="M185" s="22"/>
      <c r="N185" s="22"/>
      <c r="O185" s="22"/>
    </row>
    <row r="186" customFormat="false" ht="15" hidden="false" customHeight="false" outlineLevel="0" collapsed="false">
      <c r="A186" s="6" t="s">
        <v>281</v>
      </c>
      <c r="B186" s="6" t="s">
        <v>18</v>
      </c>
      <c r="C186" s="30" t="s">
        <v>526</v>
      </c>
      <c r="D186" s="6" t="s">
        <v>527</v>
      </c>
      <c r="E186" s="20" t="s">
        <v>186</v>
      </c>
      <c r="F186" s="20" t="s">
        <v>132</v>
      </c>
      <c r="G186" s="31" t="n">
        <f aca="false">SUMIFS('QB Import'!$B$1:$B$600,'QB Import'!$H$1:$H$600,$C186,'QB Import'!$G$1:$G$600,1)</f>
        <v>0</v>
      </c>
      <c r="H186" s="11" t="n">
        <f aca="false">IF($E186="Manual",L186,IF($E186="Flat",G186,IF($E186="Inflation",G186*(1+Inputs!D$12),IF($E186="Salary",G186*(1+Inputs!D$10),IF($E186="Benefits",G186*(1+Inputs!D$11),IF($E186="Per Student",G186*H$4/G$4*(1+Inputs!D$12),IF($E186="Enrollment",G186*H$4/G$4,IF($E186="Tuition Index",G186*H$5/G$5,IF($E186="% of Salaries",IF($G$6=0,0,$G186/$G$6*H$6),IF($E186="Debt",$G186*Inputs!D$15/12,IF($E186="Reserve Yield",Inputs!D$13*Inputs!D$16,G186)))))))))))</f>
        <v>0</v>
      </c>
      <c r="I186" s="11" t="n">
        <f aca="false">IF($E186="Manual",M186,IF($E186="Flat",H186,IF($E186="Inflation",H186*(1+Inputs!E$12),IF($E186="Salary",H186*(1+Inputs!E$10),IF($E186="Benefits",H186*(1+Inputs!E$11),IF($E186="Per Student",H186*I$4/H$4*(1+Inputs!E$12),IF($E186="Enrollment",H186*I$4/H$4,IF($E186="Tuition Index",H186*I$5/H$5,IF($E186="% of Salaries",IF($G$6=0,0,$G186/$G$6*I$6),IF($E186="Debt",$G186*Inputs!E$15/12,IF($E186="Reserve Yield",Inputs!E$13*Inputs!E$16,H186)))))))))))</f>
        <v>0</v>
      </c>
      <c r="J186" s="11" t="n">
        <f aca="false">IF($E186="Manual",N186,IF($E186="Flat",I186,IF($E186="Inflation",I186*(1+Inputs!F$12),IF($E186="Salary",I186*(1+Inputs!F$10),IF($E186="Benefits",I186*(1+Inputs!F$11),IF($E186="Per Student",I186*J$4/I$4*(1+Inputs!F$12),IF($E186="Enrollment",I186*J$4/I$4,IF($E186="Tuition Index",I186*J$5/I$5,IF($E186="% of Salaries",IF($G$6=0,0,$G186/$G$6*J$6),IF($E186="Debt",$G186*Inputs!F$15/12,IF($E186="Reserve Yield",Inputs!F$13*Inputs!F$16,I186)))))))))))</f>
        <v>0</v>
      </c>
      <c r="K186" s="11" t="n">
        <f aca="false">IF($E186="Manual",O186,IF($E186="Flat",J186,IF($E186="Inflation",J186*(1+Inputs!G$12),IF($E186="Salary",J186*(1+Inputs!G$10),IF($E186="Benefits",J186*(1+Inputs!G$11),IF($E186="Per Student",J186*K$4/J$4*(1+Inputs!G$12),IF($E186="Enrollment",J186*K$4/J$4,IF($E186="Tuition Index",J186*K$5/J$5,IF($E186="% of Salaries",IF($G$6=0,0,$G186/$G$6*K$6),IF($E186="Debt",$G186*Inputs!G$15/12,IF($E186="Reserve Yield",Inputs!G$13*Inputs!G$16,J186)))))))))))</f>
        <v>0</v>
      </c>
      <c r="L186" s="22"/>
      <c r="M186" s="22"/>
      <c r="N186" s="22"/>
      <c r="O186" s="22"/>
    </row>
    <row r="187" customFormat="false" ht="15" hidden="false" customHeight="false" outlineLevel="0" collapsed="false">
      <c r="A187" s="6" t="s">
        <v>177</v>
      </c>
      <c r="B187" s="6" t="s">
        <v>528</v>
      </c>
      <c r="C187" s="30" t="s">
        <v>529</v>
      </c>
      <c r="D187" s="6" t="s">
        <v>529</v>
      </c>
      <c r="E187" s="20" t="s">
        <v>186</v>
      </c>
      <c r="F187" s="20" t="s">
        <v>132</v>
      </c>
      <c r="G187" s="31" t="n">
        <f aca="false">SUMIFS('QB Import'!$B$1:$B$600,'QB Import'!$H$1:$H$600,$C187,'QB Import'!$G$1:$G$600,1)</f>
        <v>0</v>
      </c>
      <c r="H187" s="11" t="n">
        <f aca="false">IF($E187="Manual",L187,IF($E187="Flat",G187,IF($E187="Inflation",G187*(1+Inputs!D$12),IF($E187="Salary",G187*(1+Inputs!D$10),IF($E187="Benefits",G187*(1+Inputs!D$11),IF($E187="Per Student",G187*H$4/G$4*(1+Inputs!D$12),IF($E187="Enrollment",G187*H$4/G$4,IF($E187="Tuition Index",G187*H$5/G$5,IF($E187="% of Salaries",IF($G$6=0,0,$G187/$G$6*H$6),IF($E187="Debt",$G187*Inputs!D$15/12,IF($E187="Reserve Yield",Inputs!D$13*Inputs!D$16,G187)))))))))))</f>
        <v>0</v>
      </c>
      <c r="I187" s="11" t="n">
        <f aca="false">IF($E187="Manual",M187,IF($E187="Flat",H187,IF($E187="Inflation",H187*(1+Inputs!E$12),IF($E187="Salary",H187*(1+Inputs!E$10),IF($E187="Benefits",H187*(1+Inputs!E$11),IF($E187="Per Student",H187*I$4/H$4*(1+Inputs!E$12),IF($E187="Enrollment",H187*I$4/H$4,IF($E187="Tuition Index",H187*I$5/H$5,IF($E187="% of Salaries",IF($G$6=0,0,$G187/$G$6*I$6),IF($E187="Debt",$G187*Inputs!E$15/12,IF($E187="Reserve Yield",Inputs!E$13*Inputs!E$16,H187)))))))))))</f>
        <v>0</v>
      </c>
      <c r="J187" s="11" t="n">
        <f aca="false">IF($E187="Manual",N187,IF($E187="Flat",I187,IF($E187="Inflation",I187*(1+Inputs!F$12),IF($E187="Salary",I187*(1+Inputs!F$10),IF($E187="Benefits",I187*(1+Inputs!F$11),IF($E187="Per Student",I187*J$4/I$4*(1+Inputs!F$12),IF($E187="Enrollment",I187*J$4/I$4,IF($E187="Tuition Index",I187*J$5/I$5,IF($E187="% of Salaries",IF($G$6=0,0,$G187/$G$6*J$6),IF($E187="Debt",$G187*Inputs!F$15/12,IF($E187="Reserve Yield",Inputs!F$13*Inputs!F$16,I187)))))))))))</f>
        <v>0</v>
      </c>
      <c r="K187" s="11" t="n">
        <f aca="false">IF($E187="Manual",O187,IF($E187="Flat",J187,IF($E187="Inflation",J187*(1+Inputs!G$12),IF($E187="Salary",J187*(1+Inputs!G$10),IF($E187="Benefits",J187*(1+Inputs!G$11),IF($E187="Per Student",J187*K$4/J$4*(1+Inputs!G$12),IF($E187="Enrollment",J187*K$4/J$4,IF($E187="Tuition Index",J187*K$5/J$5,IF($E187="% of Salaries",IF($G$6=0,0,$G187/$G$6*K$6),IF($E187="Debt",$G187*Inputs!G$15/12,IF($E187="Reserve Yield",Inputs!G$13*Inputs!G$16,J187)))))))))))</f>
        <v>0</v>
      </c>
      <c r="L187" s="22"/>
      <c r="M187" s="22"/>
      <c r="N187" s="22"/>
      <c r="O187" s="22"/>
    </row>
    <row r="188" customFormat="false" ht="15" hidden="false" customHeight="false" outlineLevel="0" collapsed="false">
      <c r="A188" s="6" t="s">
        <v>281</v>
      </c>
      <c r="B188" s="6" t="s">
        <v>530</v>
      </c>
      <c r="C188" s="30" t="s">
        <v>531</v>
      </c>
      <c r="D188" s="6" t="s">
        <v>531</v>
      </c>
      <c r="E188" s="20" t="s">
        <v>186</v>
      </c>
      <c r="F188" s="20" t="s">
        <v>132</v>
      </c>
      <c r="G188" s="31" t="n">
        <f aca="false">SUMIFS('QB Import'!$B$1:$B$600,'QB Import'!$H$1:$H$600,$C188,'QB Import'!$G$1:$G$600,1)</f>
        <v>0</v>
      </c>
      <c r="H188" s="11" t="n">
        <f aca="false">IF($E188="Manual",L188,IF($E188="Flat",G188,IF($E188="Inflation",G188*(1+Inputs!D$12),IF($E188="Salary",G188*(1+Inputs!D$10),IF($E188="Benefits",G188*(1+Inputs!D$11),IF($E188="Per Student",G188*H$4/G$4*(1+Inputs!D$12),IF($E188="Enrollment",G188*H$4/G$4,IF($E188="Tuition Index",G188*H$5/G$5,IF($E188="% of Salaries",IF($G$6=0,0,$G188/$G$6*H$6),IF($E188="Debt",$G188*Inputs!D$15/12,IF($E188="Reserve Yield",Inputs!D$13*Inputs!D$16,G188)))))))))))</f>
        <v>0</v>
      </c>
      <c r="I188" s="11" t="n">
        <f aca="false">IF($E188="Manual",M188,IF($E188="Flat",H188,IF($E188="Inflation",H188*(1+Inputs!E$12),IF($E188="Salary",H188*(1+Inputs!E$10),IF($E188="Benefits",H188*(1+Inputs!E$11),IF($E188="Per Student",H188*I$4/H$4*(1+Inputs!E$12),IF($E188="Enrollment",H188*I$4/H$4,IF($E188="Tuition Index",H188*I$5/H$5,IF($E188="% of Salaries",IF($G$6=0,0,$G188/$G$6*I$6),IF($E188="Debt",$G188*Inputs!E$15/12,IF($E188="Reserve Yield",Inputs!E$13*Inputs!E$16,H188)))))))))))</f>
        <v>0</v>
      </c>
      <c r="J188" s="11" t="n">
        <f aca="false">IF($E188="Manual",N188,IF($E188="Flat",I188,IF($E188="Inflation",I188*(1+Inputs!F$12),IF($E188="Salary",I188*(1+Inputs!F$10),IF($E188="Benefits",I188*(1+Inputs!F$11),IF($E188="Per Student",I188*J$4/I$4*(1+Inputs!F$12),IF($E188="Enrollment",I188*J$4/I$4,IF($E188="Tuition Index",I188*J$5/I$5,IF($E188="% of Salaries",IF($G$6=0,0,$G188/$G$6*J$6),IF($E188="Debt",$G188*Inputs!F$15/12,IF($E188="Reserve Yield",Inputs!F$13*Inputs!F$16,I188)))))))))))</f>
        <v>0</v>
      </c>
      <c r="K188" s="11" t="n">
        <f aca="false">IF($E188="Manual",O188,IF($E188="Flat",J188,IF($E188="Inflation",J188*(1+Inputs!G$12),IF($E188="Salary",J188*(1+Inputs!G$10),IF($E188="Benefits",J188*(1+Inputs!G$11),IF($E188="Per Student",J188*K$4/J$4*(1+Inputs!G$12),IF($E188="Enrollment",J188*K$4/J$4,IF($E188="Tuition Index",J188*K$5/J$5,IF($E188="% of Salaries",IF($G$6=0,0,$G188/$G$6*K$6),IF($E188="Debt",$G188*Inputs!G$15/12,IF($E188="Reserve Yield",Inputs!G$13*Inputs!G$16,J188)))))))))))</f>
        <v>0</v>
      </c>
      <c r="L188" s="22"/>
      <c r="M188" s="22"/>
      <c r="N188" s="22"/>
      <c r="O188" s="22"/>
    </row>
    <row r="190" customFormat="false" ht="15" hidden="false" customHeight="false" outlineLevel="0" collapsed="false">
      <c r="A190" s="3" t="s">
        <v>532</v>
      </c>
    </row>
  </sheetData>
  <autoFilter ref="A7:O188"/>
  <dataValidations count="2">
    <dataValidation allowBlank="true" errorStyle="stop" operator="between" showDropDown="false" showErrorMessage="false" showInputMessage="false" sqref="E8:E400" type="list">
      <formula1>"Flat,Inflation,Salary,Benefits,Per Student,Enrollment,Tuition Index,% of Salaries,Debt,Reserve Yield,Manual"</formula1>
      <formula2>0</formula2>
    </dataValidation>
    <dataValidation allowBlank="true" errorStyle="stop" operator="between" showDropDown="false" showErrorMessage="false" showInputMessage="false" sqref="F8:F400" type="list">
      <formula1>"Tuition Plan,Even,Jul Lump,Custom A,Custom 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1" min="2" style="0" width="11.5"/>
  </cols>
  <sheetData>
    <row r="1" customFormat="false" ht="17.35" hidden="false" customHeight="false" outlineLevel="0" collapsed="false">
      <c r="A1" s="1" t="s">
        <v>533</v>
      </c>
    </row>
    <row r="2" customFormat="false" ht="15" hidden="false" customHeight="false" outlineLevel="0" collapsed="false">
      <c r="A2" s="4" t="s">
        <v>534</v>
      </c>
      <c r="B2" s="32" t="n">
        <f aca="false">EOMONTH(Inputs!$C$6,0)</f>
        <v>46234</v>
      </c>
      <c r="C2" s="32" t="n">
        <f aca="false">EOMONTH(B2,1)</f>
        <v>46265</v>
      </c>
      <c r="D2" s="32" t="n">
        <f aca="false">EOMONTH(C2,1)</f>
        <v>46295</v>
      </c>
      <c r="E2" s="32" t="n">
        <f aca="false">EOMONTH(D2,1)</f>
        <v>46326</v>
      </c>
      <c r="F2" s="32" t="n">
        <f aca="false">EOMONTH(E2,1)</f>
        <v>46356</v>
      </c>
      <c r="G2" s="32" t="n">
        <f aca="false">EOMONTH(F2,1)</f>
        <v>46387</v>
      </c>
      <c r="H2" s="32" t="n">
        <f aca="false">EOMONTH(G2,1)</f>
        <v>46418</v>
      </c>
      <c r="I2" s="32" t="n">
        <f aca="false">EOMONTH(H2,1)</f>
        <v>46446</v>
      </c>
      <c r="J2" s="32" t="n">
        <f aca="false">EOMONTH(I2,1)</f>
        <v>46477</v>
      </c>
      <c r="K2" s="32" t="n">
        <f aca="false">EOMONTH(J2,1)</f>
        <v>46507</v>
      </c>
      <c r="L2" s="32" t="n">
        <f aca="false">EOMONTH(K2,1)</f>
        <v>46538</v>
      </c>
      <c r="M2" s="32" t="n">
        <f aca="false">EOMONTH(L2,1)</f>
        <v>46568</v>
      </c>
      <c r="N2" s="32" t="n">
        <f aca="false">EOMONTH(M2,1)</f>
        <v>46599</v>
      </c>
      <c r="O2" s="32" t="n">
        <f aca="false">EOMONTH(N2,1)</f>
        <v>46630</v>
      </c>
      <c r="P2" s="32" t="n">
        <f aca="false">EOMONTH(O2,1)</f>
        <v>46660</v>
      </c>
      <c r="Q2" s="32" t="n">
        <f aca="false">EOMONTH(P2,1)</f>
        <v>46691</v>
      </c>
      <c r="R2" s="32" t="n">
        <f aca="false">EOMONTH(Q2,1)</f>
        <v>46721</v>
      </c>
      <c r="S2" s="32" t="n">
        <f aca="false">EOMONTH(R2,1)</f>
        <v>46752</v>
      </c>
      <c r="T2" s="32" t="n">
        <f aca="false">EOMONTH(S2,1)</f>
        <v>46783</v>
      </c>
      <c r="U2" s="32" t="n">
        <f aca="false">EOMONTH(T2,1)</f>
        <v>46812</v>
      </c>
      <c r="V2" s="32" t="n">
        <f aca="false">EOMONTH(U2,1)</f>
        <v>46843</v>
      </c>
      <c r="W2" s="32" t="n">
        <f aca="false">EOMONTH(V2,1)</f>
        <v>46873</v>
      </c>
      <c r="X2" s="32" t="n">
        <f aca="false">EOMONTH(W2,1)</f>
        <v>46904</v>
      </c>
      <c r="Y2" s="32" t="n">
        <f aca="false">EOMONTH(X2,1)</f>
        <v>46934</v>
      </c>
      <c r="Z2" s="32" t="n">
        <f aca="false">EOMONTH(Y2,1)</f>
        <v>46965</v>
      </c>
      <c r="AA2" s="32" t="n">
        <f aca="false">EOMONTH(Z2,1)</f>
        <v>46996</v>
      </c>
      <c r="AB2" s="32" t="n">
        <f aca="false">EOMONTH(AA2,1)</f>
        <v>47026</v>
      </c>
      <c r="AC2" s="32" t="n">
        <f aca="false">EOMONTH(AB2,1)</f>
        <v>47057</v>
      </c>
      <c r="AD2" s="32" t="n">
        <f aca="false">EOMONTH(AC2,1)</f>
        <v>47087</v>
      </c>
      <c r="AE2" s="32" t="n">
        <f aca="false">EOMONTH(AD2,1)</f>
        <v>47118</v>
      </c>
      <c r="AF2" s="32" t="n">
        <f aca="false">EOMONTH(AE2,1)</f>
        <v>47149</v>
      </c>
      <c r="AG2" s="32" t="n">
        <f aca="false">EOMONTH(AF2,1)</f>
        <v>47177</v>
      </c>
      <c r="AH2" s="32" t="n">
        <f aca="false">EOMONTH(AG2,1)</f>
        <v>47208</v>
      </c>
      <c r="AI2" s="32" t="n">
        <f aca="false">EOMONTH(AH2,1)</f>
        <v>47238</v>
      </c>
      <c r="AJ2" s="32" t="n">
        <f aca="false">EOMONTH(AI2,1)</f>
        <v>47269</v>
      </c>
      <c r="AK2" s="32" t="n">
        <f aca="false">EOMONTH(AJ2,1)</f>
        <v>47299</v>
      </c>
      <c r="AL2" s="32" t="n">
        <f aca="false">EOMONTH(AK2,1)</f>
        <v>47330</v>
      </c>
      <c r="AM2" s="32" t="n">
        <f aca="false">EOMONTH(AL2,1)</f>
        <v>47361</v>
      </c>
      <c r="AN2" s="32" t="n">
        <f aca="false">EOMONTH(AM2,1)</f>
        <v>47391</v>
      </c>
      <c r="AO2" s="32" t="n">
        <f aca="false">EOMONTH(AN2,1)</f>
        <v>47422</v>
      </c>
      <c r="AP2" s="32" t="n">
        <f aca="false">EOMONTH(AO2,1)</f>
        <v>47452</v>
      </c>
      <c r="AQ2" s="32" t="n">
        <f aca="false">EOMONTH(AP2,1)</f>
        <v>47483</v>
      </c>
      <c r="AR2" s="32" t="n">
        <f aca="false">EOMONTH(AQ2,1)</f>
        <v>47514</v>
      </c>
      <c r="AS2" s="32" t="n">
        <f aca="false">EOMONTH(AR2,1)</f>
        <v>47542</v>
      </c>
      <c r="AT2" s="32" t="n">
        <f aca="false">EOMONTH(AS2,1)</f>
        <v>47573</v>
      </c>
      <c r="AU2" s="32" t="n">
        <f aca="false">EOMONTH(AT2,1)</f>
        <v>47603</v>
      </c>
      <c r="AV2" s="32" t="n">
        <f aca="false">EOMONTH(AU2,1)</f>
        <v>47634</v>
      </c>
      <c r="AW2" s="32" t="n">
        <f aca="false">EOMONTH(AV2,1)</f>
        <v>47664</v>
      </c>
      <c r="AX2" s="32" t="n">
        <f aca="false">EOMONTH(AW2,1)</f>
        <v>47695</v>
      </c>
      <c r="AY2" s="32" t="n">
        <f aca="false">EOMONTH(AX2,1)</f>
        <v>47726</v>
      </c>
      <c r="AZ2" s="32" t="n">
        <f aca="false">EOMONTH(AY2,1)</f>
        <v>47756</v>
      </c>
      <c r="BA2" s="32" t="n">
        <f aca="false">EOMONTH(AZ2,1)</f>
        <v>47787</v>
      </c>
      <c r="BB2" s="32" t="n">
        <f aca="false">EOMONTH(BA2,1)</f>
        <v>47817</v>
      </c>
      <c r="BC2" s="32" t="n">
        <f aca="false">EOMONTH(BB2,1)</f>
        <v>47848</v>
      </c>
      <c r="BD2" s="32" t="n">
        <f aca="false">EOMONTH(BC2,1)</f>
        <v>47879</v>
      </c>
      <c r="BE2" s="32" t="n">
        <f aca="false">EOMONTH(BD2,1)</f>
        <v>47907</v>
      </c>
      <c r="BF2" s="32" t="n">
        <f aca="false">EOMONTH(BE2,1)</f>
        <v>47938</v>
      </c>
      <c r="BG2" s="32" t="n">
        <f aca="false">EOMONTH(BF2,1)</f>
        <v>47968</v>
      </c>
      <c r="BH2" s="32" t="n">
        <f aca="false">EOMONTH(BG2,1)</f>
        <v>47999</v>
      </c>
      <c r="BI2" s="32" t="n">
        <f aca="false">EOMONTH(BH2,1)</f>
        <v>48029</v>
      </c>
    </row>
    <row r="3" customFormat="false" ht="15" hidden="false" customHeight="false" outlineLevel="0" collapsed="false">
      <c r="A3" s="6" t="s">
        <v>535</v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1</v>
      </c>
      <c r="G3" s="6" t="n">
        <v>1</v>
      </c>
      <c r="H3" s="6" t="n">
        <v>1</v>
      </c>
      <c r="I3" s="6" t="n">
        <v>1</v>
      </c>
      <c r="J3" s="6" t="n">
        <v>1</v>
      </c>
      <c r="K3" s="6" t="n">
        <v>1</v>
      </c>
      <c r="L3" s="6" t="n">
        <v>1</v>
      </c>
      <c r="M3" s="6" t="n">
        <v>1</v>
      </c>
      <c r="N3" s="6" t="n">
        <v>2</v>
      </c>
      <c r="O3" s="6" t="n">
        <v>2</v>
      </c>
      <c r="P3" s="6" t="n">
        <v>2</v>
      </c>
      <c r="Q3" s="6" t="n">
        <v>2</v>
      </c>
      <c r="R3" s="6" t="n">
        <v>2</v>
      </c>
      <c r="S3" s="6" t="n">
        <v>2</v>
      </c>
      <c r="T3" s="6" t="n">
        <v>2</v>
      </c>
      <c r="U3" s="6" t="n">
        <v>2</v>
      </c>
      <c r="V3" s="6" t="n">
        <v>2</v>
      </c>
      <c r="W3" s="6" t="n">
        <v>2</v>
      </c>
      <c r="X3" s="6" t="n">
        <v>2</v>
      </c>
      <c r="Y3" s="6" t="n">
        <v>2</v>
      </c>
      <c r="Z3" s="6" t="n">
        <v>3</v>
      </c>
      <c r="AA3" s="6" t="n">
        <v>3</v>
      </c>
      <c r="AB3" s="6" t="n">
        <v>3</v>
      </c>
      <c r="AC3" s="6" t="n">
        <v>3</v>
      </c>
      <c r="AD3" s="6" t="n">
        <v>3</v>
      </c>
      <c r="AE3" s="6" t="n">
        <v>3</v>
      </c>
      <c r="AF3" s="6" t="n">
        <v>3</v>
      </c>
      <c r="AG3" s="6" t="n">
        <v>3</v>
      </c>
      <c r="AH3" s="6" t="n">
        <v>3</v>
      </c>
      <c r="AI3" s="6" t="n">
        <v>3</v>
      </c>
      <c r="AJ3" s="6" t="n">
        <v>3</v>
      </c>
      <c r="AK3" s="6" t="n">
        <v>3</v>
      </c>
      <c r="AL3" s="6" t="n">
        <v>4</v>
      </c>
      <c r="AM3" s="6" t="n">
        <v>4</v>
      </c>
      <c r="AN3" s="6" t="n">
        <v>4</v>
      </c>
      <c r="AO3" s="6" t="n">
        <v>4</v>
      </c>
      <c r="AP3" s="6" t="n">
        <v>4</v>
      </c>
      <c r="AQ3" s="6" t="n">
        <v>4</v>
      </c>
      <c r="AR3" s="6" t="n">
        <v>4</v>
      </c>
      <c r="AS3" s="6" t="n">
        <v>4</v>
      </c>
      <c r="AT3" s="6" t="n">
        <v>4</v>
      </c>
      <c r="AU3" s="6" t="n">
        <v>4</v>
      </c>
      <c r="AV3" s="6" t="n">
        <v>4</v>
      </c>
      <c r="AW3" s="6" t="n">
        <v>4</v>
      </c>
      <c r="AX3" s="6" t="n">
        <v>5</v>
      </c>
      <c r="AY3" s="6" t="n">
        <v>5</v>
      </c>
      <c r="AZ3" s="6" t="n">
        <v>5</v>
      </c>
      <c r="BA3" s="6" t="n">
        <v>5</v>
      </c>
      <c r="BB3" s="6" t="n">
        <v>5</v>
      </c>
      <c r="BC3" s="6" t="n">
        <v>5</v>
      </c>
      <c r="BD3" s="6" t="n">
        <v>5</v>
      </c>
      <c r="BE3" s="6" t="n">
        <v>5</v>
      </c>
      <c r="BF3" s="6" t="n">
        <v>5</v>
      </c>
      <c r="BG3" s="6" t="n">
        <v>5</v>
      </c>
      <c r="BH3" s="6" t="n">
        <v>5</v>
      </c>
      <c r="BI3" s="6" t="n">
        <v>5</v>
      </c>
    </row>
    <row r="4" customFormat="false" ht="15" hidden="false" customHeight="false" outlineLevel="0" collapsed="false">
      <c r="A4" s="6" t="s">
        <v>536</v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  <c r="N4" s="6" t="n">
        <v>1</v>
      </c>
      <c r="O4" s="6" t="n">
        <v>2</v>
      </c>
      <c r="P4" s="6" t="n">
        <v>3</v>
      </c>
      <c r="Q4" s="6" t="n">
        <v>4</v>
      </c>
      <c r="R4" s="6" t="n">
        <v>5</v>
      </c>
      <c r="S4" s="6" t="n">
        <v>6</v>
      </c>
      <c r="T4" s="6" t="n">
        <v>7</v>
      </c>
      <c r="U4" s="6" t="n">
        <v>8</v>
      </c>
      <c r="V4" s="6" t="n">
        <v>9</v>
      </c>
      <c r="W4" s="6" t="n">
        <v>10</v>
      </c>
      <c r="X4" s="6" t="n">
        <v>11</v>
      </c>
      <c r="Y4" s="6" t="n">
        <v>12</v>
      </c>
      <c r="Z4" s="6" t="n">
        <v>1</v>
      </c>
      <c r="AA4" s="6" t="n">
        <v>2</v>
      </c>
      <c r="AB4" s="6" t="n">
        <v>3</v>
      </c>
      <c r="AC4" s="6" t="n">
        <v>4</v>
      </c>
      <c r="AD4" s="6" t="n">
        <v>5</v>
      </c>
      <c r="AE4" s="6" t="n">
        <v>6</v>
      </c>
      <c r="AF4" s="6" t="n">
        <v>7</v>
      </c>
      <c r="AG4" s="6" t="n">
        <v>8</v>
      </c>
      <c r="AH4" s="6" t="n">
        <v>9</v>
      </c>
      <c r="AI4" s="6" t="n">
        <v>10</v>
      </c>
      <c r="AJ4" s="6" t="n">
        <v>11</v>
      </c>
      <c r="AK4" s="6" t="n">
        <v>12</v>
      </c>
      <c r="AL4" s="6" t="n">
        <v>1</v>
      </c>
      <c r="AM4" s="6" t="n">
        <v>2</v>
      </c>
      <c r="AN4" s="6" t="n">
        <v>3</v>
      </c>
      <c r="AO4" s="6" t="n">
        <v>4</v>
      </c>
      <c r="AP4" s="6" t="n">
        <v>5</v>
      </c>
      <c r="AQ4" s="6" t="n">
        <v>6</v>
      </c>
      <c r="AR4" s="6" t="n">
        <v>7</v>
      </c>
      <c r="AS4" s="6" t="n">
        <v>8</v>
      </c>
      <c r="AT4" s="6" t="n">
        <v>9</v>
      </c>
      <c r="AU4" s="6" t="n">
        <v>10</v>
      </c>
      <c r="AV4" s="6" t="n">
        <v>11</v>
      </c>
      <c r="AW4" s="6" t="n">
        <v>12</v>
      </c>
      <c r="AX4" s="6" t="n">
        <v>1</v>
      </c>
      <c r="AY4" s="6" t="n">
        <v>2</v>
      </c>
      <c r="AZ4" s="6" t="n">
        <v>3</v>
      </c>
      <c r="BA4" s="6" t="n">
        <v>4</v>
      </c>
      <c r="BB4" s="6" t="n">
        <v>5</v>
      </c>
      <c r="BC4" s="6" t="n">
        <v>6</v>
      </c>
      <c r="BD4" s="6" t="n">
        <v>7</v>
      </c>
      <c r="BE4" s="6" t="n">
        <v>8</v>
      </c>
      <c r="BF4" s="6" t="n">
        <v>9</v>
      </c>
      <c r="BG4" s="6" t="n">
        <v>10</v>
      </c>
      <c r="BH4" s="6" t="n">
        <v>11</v>
      </c>
      <c r="BI4" s="6" t="n">
        <v>12</v>
      </c>
    </row>
    <row r="5" customFormat="false" ht="15" hidden="false" customHeight="false" outlineLevel="0" collapsed="false">
      <c r="A5" s="12" t="s">
        <v>45</v>
      </c>
      <c r="B5" s="33" t="str">
        <f aca="false">"FY"&amp;TEXT(INDEX(Inputs!$C$5:$G$5,B$3),"yy")</f>
        <v>FY27</v>
      </c>
      <c r="C5" s="33" t="str">
        <f aca="false">"FY"&amp;TEXT(INDEX(Inputs!$C$5:$G$5,C$3),"yy")</f>
        <v>FY27</v>
      </c>
      <c r="D5" s="33" t="str">
        <f aca="false">"FY"&amp;TEXT(INDEX(Inputs!$C$5:$G$5,D$3),"yy")</f>
        <v>FY27</v>
      </c>
      <c r="E5" s="33" t="str">
        <f aca="false">"FY"&amp;TEXT(INDEX(Inputs!$C$5:$G$5,E$3),"yy")</f>
        <v>FY27</v>
      </c>
      <c r="F5" s="33" t="str">
        <f aca="false">"FY"&amp;TEXT(INDEX(Inputs!$C$5:$G$5,F$3),"yy")</f>
        <v>FY27</v>
      </c>
      <c r="G5" s="33" t="str">
        <f aca="false">"FY"&amp;TEXT(INDEX(Inputs!$C$5:$G$5,G$3),"yy")</f>
        <v>FY27</v>
      </c>
      <c r="H5" s="33" t="str">
        <f aca="false">"FY"&amp;TEXT(INDEX(Inputs!$C$5:$G$5,H$3),"yy")</f>
        <v>FY27</v>
      </c>
      <c r="I5" s="33" t="str">
        <f aca="false">"FY"&amp;TEXT(INDEX(Inputs!$C$5:$G$5,I$3),"yy")</f>
        <v>FY27</v>
      </c>
      <c r="J5" s="33" t="str">
        <f aca="false">"FY"&amp;TEXT(INDEX(Inputs!$C$5:$G$5,J$3),"yy")</f>
        <v>FY27</v>
      </c>
      <c r="K5" s="33" t="str">
        <f aca="false">"FY"&amp;TEXT(INDEX(Inputs!$C$5:$G$5,K$3),"yy")</f>
        <v>FY27</v>
      </c>
      <c r="L5" s="33" t="str">
        <f aca="false">"FY"&amp;TEXT(INDEX(Inputs!$C$5:$G$5,L$3),"yy")</f>
        <v>FY27</v>
      </c>
      <c r="M5" s="33" t="str">
        <f aca="false">"FY"&amp;TEXT(INDEX(Inputs!$C$5:$G$5,M$3),"yy")</f>
        <v>FY27</v>
      </c>
      <c r="N5" s="33" t="str">
        <f aca="false">"FY"&amp;TEXT(INDEX(Inputs!$C$5:$G$5,N$3),"yy")</f>
        <v>FY28</v>
      </c>
      <c r="O5" s="33" t="str">
        <f aca="false">"FY"&amp;TEXT(INDEX(Inputs!$C$5:$G$5,O$3),"yy")</f>
        <v>FY28</v>
      </c>
      <c r="P5" s="33" t="str">
        <f aca="false">"FY"&amp;TEXT(INDEX(Inputs!$C$5:$G$5,P$3),"yy")</f>
        <v>FY28</v>
      </c>
      <c r="Q5" s="33" t="str">
        <f aca="false">"FY"&amp;TEXT(INDEX(Inputs!$C$5:$G$5,Q$3),"yy")</f>
        <v>FY28</v>
      </c>
      <c r="R5" s="33" t="str">
        <f aca="false">"FY"&amp;TEXT(INDEX(Inputs!$C$5:$G$5,R$3),"yy")</f>
        <v>FY28</v>
      </c>
      <c r="S5" s="33" t="str">
        <f aca="false">"FY"&amp;TEXT(INDEX(Inputs!$C$5:$G$5,S$3),"yy")</f>
        <v>FY28</v>
      </c>
      <c r="T5" s="33" t="str">
        <f aca="false">"FY"&amp;TEXT(INDEX(Inputs!$C$5:$G$5,T$3),"yy")</f>
        <v>FY28</v>
      </c>
      <c r="U5" s="33" t="str">
        <f aca="false">"FY"&amp;TEXT(INDEX(Inputs!$C$5:$G$5,U$3),"yy")</f>
        <v>FY28</v>
      </c>
      <c r="V5" s="33" t="str">
        <f aca="false">"FY"&amp;TEXT(INDEX(Inputs!$C$5:$G$5,V$3),"yy")</f>
        <v>FY28</v>
      </c>
      <c r="W5" s="33" t="str">
        <f aca="false">"FY"&amp;TEXT(INDEX(Inputs!$C$5:$G$5,W$3),"yy")</f>
        <v>FY28</v>
      </c>
      <c r="X5" s="33" t="str">
        <f aca="false">"FY"&amp;TEXT(INDEX(Inputs!$C$5:$G$5,X$3),"yy")</f>
        <v>FY28</v>
      </c>
      <c r="Y5" s="33" t="str">
        <f aca="false">"FY"&amp;TEXT(INDEX(Inputs!$C$5:$G$5,Y$3),"yy")</f>
        <v>FY28</v>
      </c>
      <c r="Z5" s="33" t="str">
        <f aca="false">"FY"&amp;TEXT(INDEX(Inputs!$C$5:$G$5,Z$3),"yy")</f>
        <v>FY29</v>
      </c>
      <c r="AA5" s="33" t="str">
        <f aca="false">"FY"&amp;TEXT(INDEX(Inputs!$C$5:$G$5,AA$3),"yy")</f>
        <v>FY29</v>
      </c>
      <c r="AB5" s="33" t="str">
        <f aca="false">"FY"&amp;TEXT(INDEX(Inputs!$C$5:$G$5,AB$3),"yy")</f>
        <v>FY29</v>
      </c>
      <c r="AC5" s="33" t="str">
        <f aca="false">"FY"&amp;TEXT(INDEX(Inputs!$C$5:$G$5,AC$3),"yy")</f>
        <v>FY29</v>
      </c>
      <c r="AD5" s="33" t="str">
        <f aca="false">"FY"&amp;TEXT(INDEX(Inputs!$C$5:$G$5,AD$3),"yy")</f>
        <v>FY29</v>
      </c>
      <c r="AE5" s="33" t="str">
        <f aca="false">"FY"&amp;TEXT(INDEX(Inputs!$C$5:$G$5,AE$3),"yy")</f>
        <v>FY29</v>
      </c>
      <c r="AF5" s="33" t="str">
        <f aca="false">"FY"&amp;TEXT(INDEX(Inputs!$C$5:$G$5,AF$3),"yy")</f>
        <v>FY29</v>
      </c>
      <c r="AG5" s="33" t="str">
        <f aca="false">"FY"&amp;TEXT(INDEX(Inputs!$C$5:$G$5,AG$3),"yy")</f>
        <v>FY29</v>
      </c>
      <c r="AH5" s="33" t="str">
        <f aca="false">"FY"&amp;TEXT(INDEX(Inputs!$C$5:$G$5,AH$3),"yy")</f>
        <v>FY29</v>
      </c>
      <c r="AI5" s="33" t="str">
        <f aca="false">"FY"&amp;TEXT(INDEX(Inputs!$C$5:$G$5,AI$3),"yy")</f>
        <v>FY29</v>
      </c>
      <c r="AJ5" s="33" t="str">
        <f aca="false">"FY"&amp;TEXT(INDEX(Inputs!$C$5:$G$5,AJ$3),"yy")</f>
        <v>FY29</v>
      </c>
      <c r="AK5" s="33" t="str">
        <f aca="false">"FY"&amp;TEXT(INDEX(Inputs!$C$5:$G$5,AK$3),"yy")</f>
        <v>FY29</v>
      </c>
      <c r="AL5" s="33" t="str">
        <f aca="false">"FY"&amp;TEXT(INDEX(Inputs!$C$5:$G$5,AL$3),"yy")</f>
        <v>FY30</v>
      </c>
      <c r="AM5" s="33" t="str">
        <f aca="false">"FY"&amp;TEXT(INDEX(Inputs!$C$5:$G$5,AM$3),"yy")</f>
        <v>FY30</v>
      </c>
      <c r="AN5" s="33" t="str">
        <f aca="false">"FY"&amp;TEXT(INDEX(Inputs!$C$5:$G$5,AN$3),"yy")</f>
        <v>FY30</v>
      </c>
      <c r="AO5" s="33" t="str">
        <f aca="false">"FY"&amp;TEXT(INDEX(Inputs!$C$5:$G$5,AO$3),"yy")</f>
        <v>FY30</v>
      </c>
      <c r="AP5" s="33" t="str">
        <f aca="false">"FY"&amp;TEXT(INDEX(Inputs!$C$5:$G$5,AP$3),"yy")</f>
        <v>FY30</v>
      </c>
      <c r="AQ5" s="33" t="str">
        <f aca="false">"FY"&amp;TEXT(INDEX(Inputs!$C$5:$G$5,AQ$3),"yy")</f>
        <v>FY30</v>
      </c>
      <c r="AR5" s="33" t="str">
        <f aca="false">"FY"&amp;TEXT(INDEX(Inputs!$C$5:$G$5,AR$3),"yy")</f>
        <v>FY30</v>
      </c>
      <c r="AS5" s="33" t="str">
        <f aca="false">"FY"&amp;TEXT(INDEX(Inputs!$C$5:$G$5,AS$3),"yy")</f>
        <v>FY30</v>
      </c>
      <c r="AT5" s="33" t="str">
        <f aca="false">"FY"&amp;TEXT(INDEX(Inputs!$C$5:$G$5,AT$3),"yy")</f>
        <v>FY30</v>
      </c>
      <c r="AU5" s="33" t="str">
        <f aca="false">"FY"&amp;TEXT(INDEX(Inputs!$C$5:$G$5,AU$3),"yy")</f>
        <v>FY30</v>
      </c>
      <c r="AV5" s="33" t="str">
        <f aca="false">"FY"&amp;TEXT(INDEX(Inputs!$C$5:$G$5,AV$3),"yy")</f>
        <v>FY30</v>
      </c>
      <c r="AW5" s="33" t="str">
        <f aca="false">"FY"&amp;TEXT(INDEX(Inputs!$C$5:$G$5,AW$3),"yy")</f>
        <v>FY30</v>
      </c>
      <c r="AX5" s="33" t="str">
        <f aca="false">"FY"&amp;TEXT(INDEX(Inputs!$C$5:$G$5,AX$3),"yy")</f>
        <v>FY31</v>
      </c>
      <c r="AY5" s="33" t="str">
        <f aca="false">"FY"&amp;TEXT(INDEX(Inputs!$C$5:$G$5,AY$3),"yy")</f>
        <v>FY31</v>
      </c>
      <c r="AZ5" s="33" t="str">
        <f aca="false">"FY"&amp;TEXT(INDEX(Inputs!$C$5:$G$5,AZ$3),"yy")</f>
        <v>FY31</v>
      </c>
      <c r="BA5" s="33" t="str">
        <f aca="false">"FY"&amp;TEXT(INDEX(Inputs!$C$5:$G$5,BA$3),"yy")</f>
        <v>FY31</v>
      </c>
      <c r="BB5" s="33" t="str">
        <f aca="false">"FY"&amp;TEXT(INDEX(Inputs!$C$5:$G$5,BB$3),"yy")</f>
        <v>FY31</v>
      </c>
      <c r="BC5" s="33" t="str">
        <f aca="false">"FY"&amp;TEXT(INDEX(Inputs!$C$5:$G$5,BC$3),"yy")</f>
        <v>FY31</v>
      </c>
      <c r="BD5" s="33" t="str">
        <f aca="false">"FY"&amp;TEXT(INDEX(Inputs!$C$5:$G$5,BD$3),"yy")</f>
        <v>FY31</v>
      </c>
      <c r="BE5" s="33" t="str">
        <f aca="false">"FY"&amp;TEXT(INDEX(Inputs!$C$5:$G$5,BE$3),"yy")</f>
        <v>FY31</v>
      </c>
      <c r="BF5" s="33" t="str">
        <f aca="false">"FY"&amp;TEXT(INDEX(Inputs!$C$5:$G$5,BF$3),"yy")</f>
        <v>FY31</v>
      </c>
      <c r="BG5" s="33" t="str">
        <f aca="false">"FY"&amp;TEXT(INDEX(Inputs!$C$5:$G$5,BG$3),"yy")</f>
        <v>FY31</v>
      </c>
      <c r="BH5" s="33" t="str">
        <f aca="false">"FY"&amp;TEXT(INDEX(Inputs!$C$5:$G$5,BH$3),"yy")</f>
        <v>FY31</v>
      </c>
      <c r="BI5" s="33" t="str">
        <f aca="false">"FY"&amp;TEXT(INDEX(Inputs!$C$5:$G$5,BI$3),"yy")</f>
        <v>FY31</v>
      </c>
    </row>
    <row r="7" customFormat="false" ht="15" hidden="false" customHeight="false" outlineLevel="0" collapsed="false">
      <c r="A7" s="9" t="s">
        <v>537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</row>
    <row r="8" customFormat="false" ht="15" hidden="false" customHeight="false" outlineLevel="0" collapsed="false">
      <c r="A8" s="6" t="s">
        <v>538</v>
      </c>
      <c r="B8" s="11" t="n">
        <f aca="false">INDEX('CF Summary'!$B$22:$G$22,B$3)*INDEX(Inputs!$B$76:$O$76,B$4+2)+IF(B$4=11,INDEX('CF Summary'!$B$22:$G$22,B$3+1)*INDEX(Inputs!$B$76:$O$76,1),0)+IF(B$4=12,INDEX('CF Summary'!$B$22:$G$22,B$3+1)*INDEX(Inputs!$B$76:$O$76,2),0)</f>
        <v>479452.328985507</v>
      </c>
      <c r="C8" s="11" t="n">
        <f aca="false">INDEX('CF Summary'!$B$22:$G$22,C$3)*INDEX(Inputs!$B$76:$O$76,C$4+2)+IF(C$4=11,INDEX('CF Summary'!$B$22:$G$22,C$3+1)*INDEX(Inputs!$B$76:$O$76,1),0)+IF(C$4=12,INDEX('CF Summary'!$B$22:$G$22,C$3+1)*INDEX(Inputs!$B$76:$O$76,2),0)</f>
        <v>838107.577681159</v>
      </c>
      <c r="D8" s="11" t="n">
        <f aca="false">INDEX('CF Summary'!$B$22:$G$22,D$3)*INDEX(Inputs!$B$76:$O$76,D$4+2)+IF(D$4=11,INDEX('CF Summary'!$B$22:$G$22,D$3+1)*INDEX(Inputs!$B$76:$O$76,1),0)+IF(D$4=12,INDEX('CF Summary'!$B$22:$G$22,D$3+1)*INDEX(Inputs!$B$76:$O$76,2),0)</f>
        <v>479452.328985507</v>
      </c>
      <c r="E8" s="11" t="n">
        <f aca="false">INDEX('CF Summary'!$B$22:$G$22,E$3)*INDEX(Inputs!$B$76:$O$76,E$4+2)+IF(E$4=11,INDEX('CF Summary'!$B$22:$G$22,E$3+1)*INDEX(Inputs!$B$76:$O$76,1),0)+IF(E$4=12,INDEX('CF Summary'!$B$22:$G$22,E$3+1)*INDEX(Inputs!$B$76:$O$76,2),0)</f>
        <v>479452.328985507</v>
      </c>
      <c r="F8" s="11" t="n">
        <f aca="false">INDEX('CF Summary'!$B$22:$G$22,F$3)*INDEX(Inputs!$B$76:$O$76,F$4+2)+IF(F$4=11,INDEX('CF Summary'!$B$22:$G$22,F$3+1)*INDEX(Inputs!$B$76:$O$76,1),0)+IF(F$4=12,INDEX('CF Summary'!$B$22:$G$22,F$3+1)*INDEX(Inputs!$B$76:$O$76,2),0)</f>
        <v>838107.577681159</v>
      </c>
      <c r="G8" s="11" t="n">
        <f aca="false">INDEX('CF Summary'!$B$22:$G$22,G$3)*INDEX(Inputs!$B$76:$O$76,G$4+2)+IF(G$4=11,INDEX('CF Summary'!$B$22:$G$22,G$3+1)*INDEX(Inputs!$B$76:$O$76,1),0)+IF(G$4=12,INDEX('CF Summary'!$B$22:$G$22,G$3+1)*INDEX(Inputs!$B$76:$O$76,2),0)</f>
        <v>479452.328985507</v>
      </c>
      <c r="H8" s="11" t="n">
        <f aca="false">INDEX('CF Summary'!$B$22:$G$22,H$3)*INDEX(Inputs!$B$76:$O$76,H$4+2)+IF(H$4=11,INDEX('CF Summary'!$B$22:$G$22,H$3+1)*INDEX(Inputs!$B$76:$O$76,1),0)+IF(H$4=12,INDEX('CF Summary'!$B$22:$G$22,H$3+1)*INDEX(Inputs!$B$76:$O$76,2),0)</f>
        <v>479452.328985507</v>
      </c>
      <c r="I8" s="11" t="n">
        <f aca="false">INDEX('CF Summary'!$B$22:$G$22,I$3)*INDEX(Inputs!$B$76:$O$76,I$4+2)+IF(I$4=11,INDEX('CF Summary'!$B$22:$G$22,I$3+1)*INDEX(Inputs!$B$76:$O$76,1),0)+IF(I$4=12,INDEX('CF Summary'!$B$22:$G$22,I$3+1)*INDEX(Inputs!$B$76:$O$76,2),0)</f>
        <v>838107.577681159</v>
      </c>
      <c r="J8" s="11" t="n">
        <f aca="false">INDEX('CF Summary'!$B$22:$G$22,J$3)*INDEX(Inputs!$B$76:$O$76,J$4+2)+IF(J$4=11,INDEX('CF Summary'!$B$22:$G$22,J$3+1)*INDEX(Inputs!$B$76:$O$76,1),0)+IF(J$4=12,INDEX('CF Summary'!$B$22:$G$22,J$3+1)*INDEX(Inputs!$B$76:$O$76,2),0)</f>
        <v>479452.328985507</v>
      </c>
      <c r="K8" s="11" t="n">
        <f aca="false">INDEX('CF Summary'!$B$22:$G$22,K$3)*INDEX(Inputs!$B$76:$O$76,K$4+2)+IF(K$4=11,INDEX('CF Summary'!$B$22:$G$22,K$3+1)*INDEX(Inputs!$B$76:$O$76,1),0)+IF(K$4=12,INDEX('CF Summary'!$B$22:$G$22,K$3+1)*INDEX(Inputs!$B$76:$O$76,2),0)</f>
        <v>479452.328985507</v>
      </c>
      <c r="L8" s="11" t="n">
        <f aca="false">INDEX('CF Summary'!$B$22:$G$22,L$3)*INDEX(Inputs!$B$76:$O$76,L$4+2)+IF(L$4=11,INDEX('CF Summary'!$B$22:$G$22,L$3+1)*INDEX(Inputs!$B$76:$O$76,1),0)+IF(L$4=12,INDEX('CF Summary'!$B$22:$G$22,L$3+1)*INDEX(Inputs!$B$76:$O$76,2),0)</f>
        <v>890809.002559277</v>
      </c>
      <c r="M8" s="11" t="n">
        <f aca="false">INDEX('CF Summary'!$B$22:$G$22,M$3)*INDEX(Inputs!$B$76:$O$76,M$4+2)+IF(M$4=11,INDEX('CF Summary'!$B$22:$G$22,M$3+1)*INDEX(Inputs!$B$76:$O$76,1),0)+IF(M$4=12,INDEX('CF Summary'!$B$22:$G$22,M$3+1)*INDEX(Inputs!$B$76:$O$76,2),0)</f>
        <v>2002665.70709092</v>
      </c>
      <c r="N8" s="11" t="n">
        <f aca="false">INDEX('CF Summary'!$B$22:$G$22,N$3)*INDEX(Inputs!$B$76:$O$76,N$4+2)+IF(N$4=11,INDEX('CF Summary'!$B$22:$G$22,N$3+1)*INDEX(Inputs!$B$76:$O$76,1),0)+IF(N$4=12,INDEX('CF Summary'!$B$22:$G$22,N$3+1)*INDEX(Inputs!$B$76:$O$76,2),0)</f>
        <v>509600.989577001</v>
      </c>
      <c r="O8" s="11" t="n">
        <f aca="false">INDEX('CF Summary'!$B$22:$G$22,O$3)*INDEX(Inputs!$B$76:$O$76,O$4+2)+IF(O$4=11,INDEX('CF Summary'!$B$22:$G$22,O$3+1)*INDEX(Inputs!$B$76:$O$76,1),0)+IF(O$4=12,INDEX('CF Summary'!$B$22:$G$22,O$3+1)*INDEX(Inputs!$B$76:$O$76,2),0)</f>
        <v>890809.002559277</v>
      </c>
      <c r="P8" s="11" t="n">
        <f aca="false">INDEX('CF Summary'!$B$22:$G$22,P$3)*INDEX(Inputs!$B$76:$O$76,P$4+2)+IF(P$4=11,INDEX('CF Summary'!$B$22:$G$22,P$3+1)*INDEX(Inputs!$B$76:$O$76,1),0)+IF(P$4=12,INDEX('CF Summary'!$B$22:$G$22,P$3+1)*INDEX(Inputs!$B$76:$O$76,2),0)</f>
        <v>509600.989577001</v>
      </c>
      <c r="Q8" s="11" t="n">
        <f aca="false">INDEX('CF Summary'!$B$22:$G$22,Q$3)*INDEX(Inputs!$B$76:$O$76,Q$4+2)+IF(Q$4=11,INDEX('CF Summary'!$B$22:$G$22,Q$3+1)*INDEX(Inputs!$B$76:$O$76,1),0)+IF(Q$4=12,INDEX('CF Summary'!$B$22:$G$22,Q$3+1)*INDEX(Inputs!$B$76:$O$76,2),0)</f>
        <v>509600.989577001</v>
      </c>
      <c r="R8" s="11" t="n">
        <f aca="false">INDEX('CF Summary'!$B$22:$G$22,R$3)*INDEX(Inputs!$B$76:$O$76,R$4+2)+IF(R$4=11,INDEX('CF Summary'!$B$22:$G$22,R$3+1)*INDEX(Inputs!$B$76:$O$76,1),0)+IF(R$4=12,INDEX('CF Summary'!$B$22:$G$22,R$3+1)*INDEX(Inputs!$B$76:$O$76,2),0)</f>
        <v>890809.002559277</v>
      </c>
      <c r="S8" s="11" t="n">
        <f aca="false">INDEX('CF Summary'!$B$22:$G$22,S$3)*INDEX(Inputs!$B$76:$O$76,S$4+2)+IF(S$4=11,INDEX('CF Summary'!$B$22:$G$22,S$3+1)*INDEX(Inputs!$B$76:$O$76,1),0)+IF(S$4=12,INDEX('CF Summary'!$B$22:$G$22,S$3+1)*INDEX(Inputs!$B$76:$O$76,2),0)</f>
        <v>509600.989577001</v>
      </c>
      <c r="T8" s="11" t="n">
        <f aca="false">INDEX('CF Summary'!$B$22:$G$22,T$3)*INDEX(Inputs!$B$76:$O$76,T$4+2)+IF(T$4=11,INDEX('CF Summary'!$B$22:$G$22,T$3+1)*INDEX(Inputs!$B$76:$O$76,1),0)+IF(T$4=12,INDEX('CF Summary'!$B$22:$G$22,T$3+1)*INDEX(Inputs!$B$76:$O$76,2),0)</f>
        <v>509600.989577001</v>
      </c>
      <c r="U8" s="11" t="n">
        <f aca="false">INDEX('CF Summary'!$B$22:$G$22,U$3)*INDEX(Inputs!$B$76:$O$76,U$4+2)+IF(U$4=11,INDEX('CF Summary'!$B$22:$G$22,U$3+1)*INDEX(Inputs!$B$76:$O$76,1),0)+IF(U$4=12,INDEX('CF Summary'!$B$22:$G$22,U$3+1)*INDEX(Inputs!$B$76:$O$76,2),0)</f>
        <v>890809.002559277</v>
      </c>
      <c r="V8" s="11" t="n">
        <f aca="false">INDEX('CF Summary'!$B$22:$G$22,V$3)*INDEX(Inputs!$B$76:$O$76,V$4+2)+IF(V$4=11,INDEX('CF Summary'!$B$22:$G$22,V$3+1)*INDEX(Inputs!$B$76:$O$76,1),0)+IF(V$4=12,INDEX('CF Summary'!$B$22:$G$22,V$3+1)*INDEX(Inputs!$B$76:$O$76,2),0)</f>
        <v>509600.989577001</v>
      </c>
      <c r="W8" s="11" t="n">
        <f aca="false">INDEX('CF Summary'!$B$22:$G$22,W$3)*INDEX(Inputs!$B$76:$O$76,W$4+2)+IF(W$4=11,INDEX('CF Summary'!$B$22:$G$22,W$3+1)*INDEX(Inputs!$B$76:$O$76,1),0)+IF(W$4=12,INDEX('CF Summary'!$B$22:$G$22,W$3+1)*INDEX(Inputs!$B$76:$O$76,2),0)</f>
        <v>509600.989577001</v>
      </c>
      <c r="X8" s="11" t="n">
        <f aca="false">INDEX('CF Summary'!$B$22:$G$22,X$3)*INDEX(Inputs!$B$76:$O$76,X$4+2)+IF(X$4=11,INDEX('CF Summary'!$B$22:$G$22,X$3+1)*INDEX(Inputs!$B$76:$O$76,1),0)+IF(X$4=12,INDEX('CF Summary'!$B$22:$G$22,X$3+1)*INDEX(Inputs!$B$76:$O$76,2),0)</f>
        <v>922943.722275074</v>
      </c>
      <c r="Y8" s="11" t="n">
        <f aca="false">INDEX('CF Summary'!$B$22:$G$22,Y$3)*INDEX(Inputs!$B$76:$O$76,Y$4+2)+IF(Y$4=11,INDEX('CF Summary'!$B$22:$G$22,Y$3+1)*INDEX(Inputs!$B$76:$O$76,1),0)+IF(Y$4=12,INDEX('CF Summary'!$B$22:$G$22,Y$3+1)*INDEX(Inputs!$B$76:$O$76,2),0)</f>
        <v>2074909.14086506</v>
      </c>
      <c r="Z8" s="11" t="n">
        <f aca="false">INDEX('CF Summary'!$B$22:$G$22,Z$3)*INDEX(Inputs!$B$76:$O$76,Z$4+2)+IF(Z$4=11,INDEX('CF Summary'!$B$22:$G$22,Z$3+1)*INDEX(Inputs!$B$76:$O$76,1),0)+IF(Z$4=12,INDEX('CF Summary'!$B$22:$G$22,Z$3+1)*INDEX(Inputs!$B$76:$O$76,2),0)</f>
        <v>527984.150187078</v>
      </c>
      <c r="AA8" s="11" t="n">
        <f aca="false">INDEX('CF Summary'!$B$22:$G$22,AA$3)*INDEX(Inputs!$B$76:$O$76,AA$4+2)+IF(AA$4=11,INDEX('CF Summary'!$B$22:$G$22,AA$3+1)*INDEX(Inputs!$B$76:$O$76,1),0)+IF(AA$4=12,INDEX('CF Summary'!$B$22:$G$22,AA$3+1)*INDEX(Inputs!$B$76:$O$76,2),0)</f>
        <v>922943.722275074</v>
      </c>
      <c r="AB8" s="11" t="n">
        <f aca="false">INDEX('CF Summary'!$B$22:$G$22,AB$3)*INDEX(Inputs!$B$76:$O$76,AB$4+2)+IF(AB$4=11,INDEX('CF Summary'!$B$22:$G$22,AB$3+1)*INDEX(Inputs!$B$76:$O$76,1),0)+IF(AB$4=12,INDEX('CF Summary'!$B$22:$G$22,AB$3+1)*INDEX(Inputs!$B$76:$O$76,2),0)</f>
        <v>527984.150187078</v>
      </c>
      <c r="AC8" s="11" t="n">
        <f aca="false">INDEX('CF Summary'!$B$22:$G$22,AC$3)*INDEX(Inputs!$B$76:$O$76,AC$4+2)+IF(AC$4=11,INDEX('CF Summary'!$B$22:$G$22,AC$3+1)*INDEX(Inputs!$B$76:$O$76,1),0)+IF(AC$4=12,INDEX('CF Summary'!$B$22:$G$22,AC$3+1)*INDEX(Inputs!$B$76:$O$76,2),0)</f>
        <v>527984.150187078</v>
      </c>
      <c r="AD8" s="11" t="n">
        <f aca="false">INDEX('CF Summary'!$B$22:$G$22,AD$3)*INDEX(Inputs!$B$76:$O$76,AD$4+2)+IF(AD$4=11,INDEX('CF Summary'!$B$22:$G$22,AD$3+1)*INDEX(Inputs!$B$76:$O$76,1),0)+IF(AD$4=12,INDEX('CF Summary'!$B$22:$G$22,AD$3+1)*INDEX(Inputs!$B$76:$O$76,2),0)</f>
        <v>922943.722275074</v>
      </c>
      <c r="AE8" s="11" t="n">
        <f aca="false">INDEX('CF Summary'!$B$22:$G$22,AE$3)*INDEX(Inputs!$B$76:$O$76,AE$4+2)+IF(AE$4=11,INDEX('CF Summary'!$B$22:$G$22,AE$3+1)*INDEX(Inputs!$B$76:$O$76,1),0)+IF(AE$4=12,INDEX('CF Summary'!$B$22:$G$22,AE$3+1)*INDEX(Inputs!$B$76:$O$76,2),0)</f>
        <v>527984.150187078</v>
      </c>
      <c r="AF8" s="11" t="n">
        <f aca="false">INDEX('CF Summary'!$B$22:$G$22,AF$3)*INDEX(Inputs!$B$76:$O$76,AF$4+2)+IF(AF$4=11,INDEX('CF Summary'!$B$22:$G$22,AF$3+1)*INDEX(Inputs!$B$76:$O$76,1),0)+IF(AF$4=12,INDEX('CF Summary'!$B$22:$G$22,AF$3+1)*INDEX(Inputs!$B$76:$O$76,2),0)</f>
        <v>527984.150187078</v>
      </c>
      <c r="AG8" s="11" t="n">
        <f aca="false">INDEX('CF Summary'!$B$22:$G$22,AG$3)*INDEX(Inputs!$B$76:$O$76,AG$4+2)+IF(AG$4=11,INDEX('CF Summary'!$B$22:$G$22,AG$3+1)*INDEX(Inputs!$B$76:$O$76,1),0)+IF(AG$4=12,INDEX('CF Summary'!$B$22:$G$22,AG$3+1)*INDEX(Inputs!$B$76:$O$76,2),0)</f>
        <v>922943.722275074</v>
      </c>
      <c r="AH8" s="11" t="n">
        <f aca="false">INDEX('CF Summary'!$B$22:$G$22,AH$3)*INDEX(Inputs!$B$76:$O$76,AH$4+2)+IF(AH$4=11,INDEX('CF Summary'!$B$22:$G$22,AH$3+1)*INDEX(Inputs!$B$76:$O$76,1),0)+IF(AH$4=12,INDEX('CF Summary'!$B$22:$G$22,AH$3+1)*INDEX(Inputs!$B$76:$O$76,2),0)</f>
        <v>527984.150187078</v>
      </c>
      <c r="AI8" s="11" t="n">
        <f aca="false">INDEX('CF Summary'!$B$22:$G$22,AI$3)*INDEX(Inputs!$B$76:$O$76,AI$4+2)+IF(AI$4=11,INDEX('CF Summary'!$B$22:$G$22,AI$3+1)*INDEX(Inputs!$B$76:$O$76,1),0)+IF(AI$4=12,INDEX('CF Summary'!$B$22:$G$22,AI$3+1)*INDEX(Inputs!$B$76:$O$76,2),0)</f>
        <v>527984.150187078</v>
      </c>
      <c r="AJ8" s="11" t="n">
        <f aca="false">INDEX('CF Summary'!$B$22:$G$22,AJ$3)*INDEX(Inputs!$B$76:$O$76,AJ$4+2)+IF(AJ$4=11,INDEX('CF Summary'!$B$22:$G$22,AJ$3+1)*INDEX(Inputs!$B$76:$O$76,1),0)+IF(AJ$4=12,INDEX('CF Summary'!$B$22:$G$22,AJ$3+1)*INDEX(Inputs!$B$76:$O$76,2),0)</f>
        <v>953503.547954782</v>
      </c>
      <c r="AK8" s="11" t="n">
        <f aca="false">INDEX('CF Summary'!$B$22:$G$22,AK$3)*INDEX(Inputs!$B$76:$O$76,AK$4+2)+IF(AK$4=11,INDEX('CF Summary'!$B$22:$G$22,AK$3+1)*INDEX(Inputs!$B$76:$O$76,1),0)+IF(AK$4=12,INDEX('CF Summary'!$B$22:$G$22,AK$3+1)*INDEX(Inputs!$B$76:$O$76,2),0)</f>
        <v>2143611.98819552</v>
      </c>
      <c r="AL8" s="11" t="n">
        <f aca="false">INDEX('CF Summary'!$B$22:$G$22,AL$3)*INDEX(Inputs!$B$76:$O$76,AL$4+2)+IF(AL$4=11,INDEX('CF Summary'!$B$22:$G$22,AL$3+1)*INDEX(Inputs!$B$76:$O$76,1),0)+IF(AL$4=12,INDEX('CF Summary'!$B$22:$G$22,AL$3+1)*INDEX(Inputs!$B$76:$O$76,2),0)</f>
        <v>545466.368443672</v>
      </c>
      <c r="AM8" s="11" t="n">
        <f aca="false">INDEX('CF Summary'!$B$22:$G$22,AM$3)*INDEX(Inputs!$B$76:$O$76,AM$4+2)+IF(AM$4=11,INDEX('CF Summary'!$B$22:$G$22,AM$3+1)*INDEX(Inputs!$B$76:$O$76,1),0)+IF(AM$4=12,INDEX('CF Summary'!$B$22:$G$22,AM$3+1)*INDEX(Inputs!$B$76:$O$76,2),0)</f>
        <v>953503.547954782</v>
      </c>
      <c r="AN8" s="11" t="n">
        <f aca="false">INDEX('CF Summary'!$B$22:$G$22,AN$3)*INDEX(Inputs!$B$76:$O$76,AN$4+2)+IF(AN$4=11,INDEX('CF Summary'!$B$22:$G$22,AN$3+1)*INDEX(Inputs!$B$76:$O$76,1),0)+IF(AN$4=12,INDEX('CF Summary'!$B$22:$G$22,AN$3+1)*INDEX(Inputs!$B$76:$O$76,2),0)</f>
        <v>545466.368443672</v>
      </c>
      <c r="AO8" s="11" t="n">
        <f aca="false">INDEX('CF Summary'!$B$22:$G$22,AO$3)*INDEX(Inputs!$B$76:$O$76,AO$4+2)+IF(AO$4=11,INDEX('CF Summary'!$B$22:$G$22,AO$3+1)*INDEX(Inputs!$B$76:$O$76,1),0)+IF(AO$4=12,INDEX('CF Summary'!$B$22:$G$22,AO$3+1)*INDEX(Inputs!$B$76:$O$76,2),0)</f>
        <v>545466.368443672</v>
      </c>
      <c r="AP8" s="11" t="n">
        <f aca="false">INDEX('CF Summary'!$B$22:$G$22,AP$3)*INDEX(Inputs!$B$76:$O$76,AP$4+2)+IF(AP$4=11,INDEX('CF Summary'!$B$22:$G$22,AP$3+1)*INDEX(Inputs!$B$76:$O$76,1),0)+IF(AP$4=12,INDEX('CF Summary'!$B$22:$G$22,AP$3+1)*INDEX(Inputs!$B$76:$O$76,2),0)</f>
        <v>953503.547954782</v>
      </c>
      <c r="AQ8" s="11" t="n">
        <f aca="false">INDEX('CF Summary'!$B$22:$G$22,AQ$3)*INDEX(Inputs!$B$76:$O$76,AQ$4+2)+IF(AQ$4=11,INDEX('CF Summary'!$B$22:$G$22,AQ$3+1)*INDEX(Inputs!$B$76:$O$76,1),0)+IF(AQ$4=12,INDEX('CF Summary'!$B$22:$G$22,AQ$3+1)*INDEX(Inputs!$B$76:$O$76,2),0)</f>
        <v>545466.368443672</v>
      </c>
      <c r="AR8" s="11" t="n">
        <f aca="false">INDEX('CF Summary'!$B$22:$G$22,AR$3)*INDEX(Inputs!$B$76:$O$76,AR$4+2)+IF(AR$4=11,INDEX('CF Summary'!$B$22:$G$22,AR$3+1)*INDEX(Inputs!$B$76:$O$76,1),0)+IF(AR$4=12,INDEX('CF Summary'!$B$22:$G$22,AR$3+1)*INDEX(Inputs!$B$76:$O$76,2),0)</f>
        <v>545466.368443672</v>
      </c>
      <c r="AS8" s="11" t="n">
        <f aca="false">INDEX('CF Summary'!$B$22:$G$22,AS$3)*INDEX(Inputs!$B$76:$O$76,AS$4+2)+IF(AS$4=11,INDEX('CF Summary'!$B$22:$G$22,AS$3+1)*INDEX(Inputs!$B$76:$O$76,1),0)+IF(AS$4=12,INDEX('CF Summary'!$B$22:$G$22,AS$3+1)*INDEX(Inputs!$B$76:$O$76,2),0)</f>
        <v>953503.547954782</v>
      </c>
      <c r="AT8" s="11" t="n">
        <f aca="false">INDEX('CF Summary'!$B$22:$G$22,AT$3)*INDEX(Inputs!$B$76:$O$76,AT$4+2)+IF(AT$4=11,INDEX('CF Summary'!$B$22:$G$22,AT$3+1)*INDEX(Inputs!$B$76:$O$76,1),0)+IF(AT$4=12,INDEX('CF Summary'!$B$22:$G$22,AT$3+1)*INDEX(Inputs!$B$76:$O$76,2),0)</f>
        <v>545466.368443672</v>
      </c>
      <c r="AU8" s="11" t="n">
        <f aca="false">INDEX('CF Summary'!$B$22:$G$22,AU$3)*INDEX(Inputs!$B$76:$O$76,AU$4+2)+IF(AU$4=11,INDEX('CF Summary'!$B$22:$G$22,AU$3+1)*INDEX(Inputs!$B$76:$O$76,1),0)+IF(AU$4=12,INDEX('CF Summary'!$B$22:$G$22,AU$3+1)*INDEX(Inputs!$B$76:$O$76,2),0)</f>
        <v>545466.368443672</v>
      </c>
      <c r="AV8" s="11" t="n">
        <f aca="false">INDEX('CF Summary'!$B$22:$G$22,AV$3)*INDEX(Inputs!$B$76:$O$76,AV$4+2)+IF(AV$4=11,INDEX('CF Summary'!$B$22:$G$22,AV$3+1)*INDEX(Inputs!$B$76:$O$76,1),0)+IF(AV$4=12,INDEX('CF Summary'!$B$22:$G$22,AV$3+1)*INDEX(Inputs!$B$76:$O$76,2),0)</f>
        <v>983406.492952292</v>
      </c>
      <c r="AW8" s="11" t="n">
        <f aca="false">INDEX('CF Summary'!$B$22:$G$22,AW$3)*INDEX(Inputs!$B$76:$O$76,AW$4+2)+IF(AW$4=11,INDEX('CF Summary'!$B$22:$G$22,AW$3+1)*INDEX(Inputs!$B$76:$O$76,1),0)+IF(AW$4=12,INDEX('CF Summary'!$B$22:$G$22,AW$3+1)*INDEX(Inputs!$B$76:$O$76,2),0)</f>
        <v>2210838.07405174</v>
      </c>
      <c r="AX8" s="11" t="n">
        <f aca="false">INDEX('CF Summary'!$B$22:$G$22,AX$3)*INDEX(Inputs!$B$76:$O$76,AX$4+2)+IF(AX$4=11,INDEX('CF Summary'!$B$22:$G$22,AX$3+1)*INDEX(Inputs!$B$76:$O$76,1),0)+IF(AX$4=12,INDEX('CF Summary'!$B$22:$G$22,AX$3+1)*INDEX(Inputs!$B$76:$O$76,2),0)</f>
        <v>562572.808003912</v>
      </c>
      <c r="AY8" s="11" t="n">
        <f aca="false">INDEX('CF Summary'!$B$22:$G$22,AY$3)*INDEX(Inputs!$B$76:$O$76,AY$4+2)+IF(AY$4=11,INDEX('CF Summary'!$B$22:$G$22,AY$3+1)*INDEX(Inputs!$B$76:$O$76,1),0)+IF(AY$4=12,INDEX('CF Summary'!$B$22:$G$22,AY$3+1)*INDEX(Inputs!$B$76:$O$76,2),0)</f>
        <v>983406.492952292</v>
      </c>
      <c r="AZ8" s="11" t="n">
        <f aca="false">INDEX('CF Summary'!$B$22:$G$22,AZ$3)*INDEX(Inputs!$B$76:$O$76,AZ$4+2)+IF(AZ$4=11,INDEX('CF Summary'!$B$22:$G$22,AZ$3+1)*INDEX(Inputs!$B$76:$O$76,1),0)+IF(AZ$4=12,INDEX('CF Summary'!$B$22:$G$22,AZ$3+1)*INDEX(Inputs!$B$76:$O$76,2),0)</f>
        <v>562572.808003912</v>
      </c>
      <c r="BA8" s="11" t="n">
        <f aca="false">INDEX('CF Summary'!$B$22:$G$22,BA$3)*INDEX(Inputs!$B$76:$O$76,BA$4+2)+IF(BA$4=11,INDEX('CF Summary'!$B$22:$G$22,BA$3+1)*INDEX(Inputs!$B$76:$O$76,1),0)+IF(BA$4=12,INDEX('CF Summary'!$B$22:$G$22,BA$3+1)*INDEX(Inputs!$B$76:$O$76,2),0)</f>
        <v>562572.808003912</v>
      </c>
      <c r="BB8" s="11" t="n">
        <f aca="false">INDEX('CF Summary'!$B$22:$G$22,BB$3)*INDEX(Inputs!$B$76:$O$76,BB$4+2)+IF(BB$4=11,INDEX('CF Summary'!$B$22:$G$22,BB$3+1)*INDEX(Inputs!$B$76:$O$76,1),0)+IF(BB$4=12,INDEX('CF Summary'!$B$22:$G$22,BB$3+1)*INDEX(Inputs!$B$76:$O$76,2),0)</f>
        <v>983406.492952292</v>
      </c>
      <c r="BC8" s="11" t="n">
        <f aca="false">INDEX('CF Summary'!$B$22:$G$22,BC$3)*INDEX(Inputs!$B$76:$O$76,BC$4+2)+IF(BC$4=11,INDEX('CF Summary'!$B$22:$G$22,BC$3+1)*INDEX(Inputs!$B$76:$O$76,1),0)+IF(BC$4=12,INDEX('CF Summary'!$B$22:$G$22,BC$3+1)*INDEX(Inputs!$B$76:$O$76,2),0)</f>
        <v>562572.808003912</v>
      </c>
      <c r="BD8" s="11" t="n">
        <f aca="false">INDEX('CF Summary'!$B$22:$G$22,BD$3)*INDEX(Inputs!$B$76:$O$76,BD$4+2)+IF(BD$4=11,INDEX('CF Summary'!$B$22:$G$22,BD$3+1)*INDEX(Inputs!$B$76:$O$76,1),0)+IF(BD$4=12,INDEX('CF Summary'!$B$22:$G$22,BD$3+1)*INDEX(Inputs!$B$76:$O$76,2),0)</f>
        <v>562572.808003912</v>
      </c>
      <c r="BE8" s="11" t="n">
        <f aca="false">INDEX('CF Summary'!$B$22:$G$22,BE$3)*INDEX(Inputs!$B$76:$O$76,BE$4+2)+IF(BE$4=11,INDEX('CF Summary'!$B$22:$G$22,BE$3+1)*INDEX(Inputs!$B$76:$O$76,1),0)+IF(BE$4=12,INDEX('CF Summary'!$B$22:$G$22,BE$3+1)*INDEX(Inputs!$B$76:$O$76,2),0)</f>
        <v>983406.492952292</v>
      </c>
      <c r="BF8" s="11" t="n">
        <f aca="false">INDEX('CF Summary'!$B$22:$G$22,BF$3)*INDEX(Inputs!$B$76:$O$76,BF$4+2)+IF(BF$4=11,INDEX('CF Summary'!$B$22:$G$22,BF$3+1)*INDEX(Inputs!$B$76:$O$76,1),0)+IF(BF$4=12,INDEX('CF Summary'!$B$22:$G$22,BF$3+1)*INDEX(Inputs!$B$76:$O$76,2),0)</f>
        <v>562572.808003912</v>
      </c>
      <c r="BG8" s="11" t="n">
        <f aca="false">INDEX('CF Summary'!$B$22:$G$22,BG$3)*INDEX(Inputs!$B$76:$O$76,BG$4+2)+IF(BG$4=11,INDEX('CF Summary'!$B$22:$G$22,BG$3+1)*INDEX(Inputs!$B$76:$O$76,1),0)+IF(BG$4=12,INDEX('CF Summary'!$B$22:$G$22,BG$3+1)*INDEX(Inputs!$B$76:$O$76,2),0)</f>
        <v>562572.808003912</v>
      </c>
      <c r="BH8" s="11" t="n">
        <f aca="false">INDEX('CF Summary'!$B$22:$G$22,BH$3)*INDEX(Inputs!$B$76:$O$76,BH$4+2)+IF(BH$4=11,INDEX('CF Summary'!$B$22:$G$22,BH$3+1)*INDEX(Inputs!$B$76:$O$76,1),0)+IF(BH$4=12,INDEX('CF Summary'!$B$22:$G$22,BH$3+1)*INDEX(Inputs!$B$76:$O$76,2),0)</f>
        <v>1022742.75267038</v>
      </c>
      <c r="BI8" s="11" t="n">
        <f aca="false">INDEX('CF Summary'!$B$22:$G$22,BI$3)*INDEX(Inputs!$B$76:$O$76,BI$4+2)+IF(BI$4=11,INDEX('CF Summary'!$B$22:$G$22,BI$3+1)*INDEX(Inputs!$B$76:$O$76,1),0)+IF(BI$4=12,INDEX('CF Summary'!$B$22:$G$22,BI$3+1)*INDEX(Inputs!$B$76:$O$76,2),0)</f>
        <v>2299271.59701381</v>
      </c>
    </row>
    <row r="9" customFormat="false" ht="15" hidden="false" customHeight="false" outlineLevel="0" collapsed="false">
      <c r="A9" s="6" t="s">
        <v>539</v>
      </c>
      <c r="B9" s="11" t="n">
        <f aca="false">INDEX('CF Summary'!$B$23:$G$23,B$3)*INDEX(Inputs!$B$77:$O$77,B$4+2)+IF(B$4=11,INDEX('CF Summary'!$B$23:$G$23,B$3+1)*INDEX(Inputs!$B$77:$O$77,1),0)+IF(B$4=12,INDEX('CF Summary'!$B$23:$G$23,B$3+1)*INDEX(Inputs!$B$77:$O$77,2),0)</f>
        <v>12441.6666666667</v>
      </c>
      <c r="C9" s="11" t="n">
        <f aca="false">INDEX('CF Summary'!$B$23:$G$23,C$3)*INDEX(Inputs!$B$77:$O$77,C$4+2)+IF(C$4=11,INDEX('CF Summary'!$B$23:$G$23,C$3+1)*INDEX(Inputs!$B$77:$O$77,1),0)+IF(C$4=12,INDEX('CF Summary'!$B$23:$G$23,C$3+1)*INDEX(Inputs!$B$77:$O$77,2),0)</f>
        <v>12441.6666666667</v>
      </c>
      <c r="D9" s="11" t="n">
        <f aca="false">INDEX('CF Summary'!$B$23:$G$23,D$3)*INDEX(Inputs!$B$77:$O$77,D$4+2)+IF(D$4=11,INDEX('CF Summary'!$B$23:$G$23,D$3+1)*INDEX(Inputs!$B$77:$O$77,1),0)+IF(D$4=12,INDEX('CF Summary'!$B$23:$G$23,D$3+1)*INDEX(Inputs!$B$77:$O$77,2),0)</f>
        <v>12441.6666666667</v>
      </c>
      <c r="E9" s="11" t="n">
        <f aca="false">INDEX('CF Summary'!$B$23:$G$23,E$3)*INDEX(Inputs!$B$77:$O$77,E$4+2)+IF(E$4=11,INDEX('CF Summary'!$B$23:$G$23,E$3+1)*INDEX(Inputs!$B$77:$O$77,1),0)+IF(E$4=12,INDEX('CF Summary'!$B$23:$G$23,E$3+1)*INDEX(Inputs!$B$77:$O$77,2),0)</f>
        <v>12441.6666666667</v>
      </c>
      <c r="F9" s="11" t="n">
        <f aca="false">INDEX('CF Summary'!$B$23:$G$23,F$3)*INDEX(Inputs!$B$77:$O$77,F$4+2)+IF(F$4=11,INDEX('CF Summary'!$B$23:$G$23,F$3+1)*INDEX(Inputs!$B$77:$O$77,1),0)+IF(F$4=12,INDEX('CF Summary'!$B$23:$G$23,F$3+1)*INDEX(Inputs!$B$77:$O$77,2),0)</f>
        <v>12441.6666666667</v>
      </c>
      <c r="G9" s="11" t="n">
        <f aca="false">INDEX('CF Summary'!$B$23:$G$23,G$3)*INDEX(Inputs!$B$77:$O$77,G$4+2)+IF(G$4=11,INDEX('CF Summary'!$B$23:$G$23,G$3+1)*INDEX(Inputs!$B$77:$O$77,1),0)+IF(G$4=12,INDEX('CF Summary'!$B$23:$G$23,G$3+1)*INDEX(Inputs!$B$77:$O$77,2),0)</f>
        <v>12441.6666666667</v>
      </c>
      <c r="H9" s="11" t="n">
        <f aca="false">INDEX('CF Summary'!$B$23:$G$23,H$3)*INDEX(Inputs!$B$77:$O$77,H$4+2)+IF(H$4=11,INDEX('CF Summary'!$B$23:$G$23,H$3+1)*INDEX(Inputs!$B$77:$O$77,1),0)+IF(H$4=12,INDEX('CF Summary'!$B$23:$G$23,H$3+1)*INDEX(Inputs!$B$77:$O$77,2),0)</f>
        <v>12441.6666666667</v>
      </c>
      <c r="I9" s="11" t="n">
        <f aca="false">INDEX('CF Summary'!$B$23:$G$23,I$3)*INDEX(Inputs!$B$77:$O$77,I$4+2)+IF(I$4=11,INDEX('CF Summary'!$B$23:$G$23,I$3+1)*INDEX(Inputs!$B$77:$O$77,1),0)+IF(I$4=12,INDEX('CF Summary'!$B$23:$G$23,I$3+1)*INDEX(Inputs!$B$77:$O$77,2),0)</f>
        <v>12441.6666666667</v>
      </c>
      <c r="J9" s="11" t="n">
        <f aca="false">INDEX('CF Summary'!$B$23:$G$23,J$3)*INDEX(Inputs!$B$77:$O$77,J$4+2)+IF(J$4=11,INDEX('CF Summary'!$B$23:$G$23,J$3+1)*INDEX(Inputs!$B$77:$O$77,1),0)+IF(J$4=12,INDEX('CF Summary'!$B$23:$G$23,J$3+1)*INDEX(Inputs!$B$77:$O$77,2),0)</f>
        <v>12441.6666666667</v>
      </c>
      <c r="K9" s="11" t="n">
        <f aca="false">INDEX('CF Summary'!$B$23:$G$23,K$3)*INDEX(Inputs!$B$77:$O$77,K$4+2)+IF(K$4=11,INDEX('CF Summary'!$B$23:$G$23,K$3+1)*INDEX(Inputs!$B$77:$O$77,1),0)+IF(K$4=12,INDEX('CF Summary'!$B$23:$G$23,K$3+1)*INDEX(Inputs!$B$77:$O$77,2),0)</f>
        <v>12441.6666666667</v>
      </c>
      <c r="L9" s="11" t="n">
        <f aca="false">INDEX('CF Summary'!$B$23:$G$23,L$3)*INDEX(Inputs!$B$77:$O$77,L$4+2)+IF(L$4=11,INDEX('CF Summary'!$B$23:$G$23,L$3+1)*INDEX(Inputs!$B$77:$O$77,1),0)+IF(L$4=12,INDEX('CF Summary'!$B$23:$G$23,L$3+1)*INDEX(Inputs!$B$77:$O$77,2),0)</f>
        <v>12441.6666666667</v>
      </c>
      <c r="M9" s="11" t="n">
        <f aca="false">INDEX('CF Summary'!$B$23:$G$23,M$3)*INDEX(Inputs!$B$77:$O$77,M$4+2)+IF(M$4=11,INDEX('CF Summary'!$B$23:$G$23,M$3+1)*INDEX(Inputs!$B$77:$O$77,1),0)+IF(M$4=12,INDEX('CF Summary'!$B$23:$G$23,M$3+1)*INDEX(Inputs!$B$77:$O$77,2),0)</f>
        <v>12441.6666666667</v>
      </c>
      <c r="N9" s="11" t="n">
        <f aca="false">INDEX('CF Summary'!$B$23:$G$23,N$3)*INDEX(Inputs!$B$77:$O$77,N$4+2)+IF(N$4=11,INDEX('CF Summary'!$B$23:$G$23,N$3+1)*INDEX(Inputs!$B$77:$O$77,1),0)+IF(N$4=12,INDEX('CF Summary'!$B$23:$G$23,N$3+1)*INDEX(Inputs!$B$77:$O$77,2),0)</f>
        <v>11833.752585</v>
      </c>
      <c r="O9" s="11" t="n">
        <f aca="false">INDEX('CF Summary'!$B$23:$G$23,O$3)*INDEX(Inputs!$B$77:$O$77,O$4+2)+IF(O$4=11,INDEX('CF Summary'!$B$23:$G$23,O$3+1)*INDEX(Inputs!$B$77:$O$77,1),0)+IF(O$4=12,INDEX('CF Summary'!$B$23:$G$23,O$3+1)*INDEX(Inputs!$B$77:$O$77,2),0)</f>
        <v>11833.752585</v>
      </c>
      <c r="P9" s="11" t="n">
        <f aca="false">INDEX('CF Summary'!$B$23:$G$23,P$3)*INDEX(Inputs!$B$77:$O$77,P$4+2)+IF(P$4=11,INDEX('CF Summary'!$B$23:$G$23,P$3+1)*INDEX(Inputs!$B$77:$O$77,1),0)+IF(P$4=12,INDEX('CF Summary'!$B$23:$G$23,P$3+1)*INDEX(Inputs!$B$77:$O$77,2),0)</f>
        <v>11833.752585</v>
      </c>
      <c r="Q9" s="11" t="n">
        <f aca="false">INDEX('CF Summary'!$B$23:$G$23,Q$3)*INDEX(Inputs!$B$77:$O$77,Q$4+2)+IF(Q$4=11,INDEX('CF Summary'!$B$23:$G$23,Q$3+1)*INDEX(Inputs!$B$77:$O$77,1),0)+IF(Q$4=12,INDEX('CF Summary'!$B$23:$G$23,Q$3+1)*INDEX(Inputs!$B$77:$O$77,2),0)</f>
        <v>11833.752585</v>
      </c>
      <c r="R9" s="11" t="n">
        <f aca="false">INDEX('CF Summary'!$B$23:$G$23,R$3)*INDEX(Inputs!$B$77:$O$77,R$4+2)+IF(R$4=11,INDEX('CF Summary'!$B$23:$G$23,R$3+1)*INDEX(Inputs!$B$77:$O$77,1),0)+IF(R$4=12,INDEX('CF Summary'!$B$23:$G$23,R$3+1)*INDEX(Inputs!$B$77:$O$77,2),0)</f>
        <v>11833.752585</v>
      </c>
      <c r="S9" s="11" t="n">
        <f aca="false">INDEX('CF Summary'!$B$23:$G$23,S$3)*INDEX(Inputs!$B$77:$O$77,S$4+2)+IF(S$4=11,INDEX('CF Summary'!$B$23:$G$23,S$3+1)*INDEX(Inputs!$B$77:$O$77,1),0)+IF(S$4=12,INDEX('CF Summary'!$B$23:$G$23,S$3+1)*INDEX(Inputs!$B$77:$O$77,2),0)</f>
        <v>11833.752585</v>
      </c>
      <c r="T9" s="11" t="n">
        <f aca="false">INDEX('CF Summary'!$B$23:$G$23,T$3)*INDEX(Inputs!$B$77:$O$77,T$4+2)+IF(T$4=11,INDEX('CF Summary'!$B$23:$G$23,T$3+1)*INDEX(Inputs!$B$77:$O$77,1),0)+IF(T$4=12,INDEX('CF Summary'!$B$23:$G$23,T$3+1)*INDEX(Inputs!$B$77:$O$77,2),0)</f>
        <v>11833.752585</v>
      </c>
      <c r="U9" s="11" t="n">
        <f aca="false">INDEX('CF Summary'!$B$23:$G$23,U$3)*INDEX(Inputs!$B$77:$O$77,U$4+2)+IF(U$4=11,INDEX('CF Summary'!$B$23:$G$23,U$3+1)*INDEX(Inputs!$B$77:$O$77,1),0)+IF(U$4=12,INDEX('CF Summary'!$B$23:$G$23,U$3+1)*INDEX(Inputs!$B$77:$O$77,2),0)</f>
        <v>11833.752585</v>
      </c>
      <c r="V9" s="11" t="n">
        <f aca="false">INDEX('CF Summary'!$B$23:$G$23,V$3)*INDEX(Inputs!$B$77:$O$77,V$4+2)+IF(V$4=11,INDEX('CF Summary'!$B$23:$G$23,V$3+1)*INDEX(Inputs!$B$77:$O$77,1),0)+IF(V$4=12,INDEX('CF Summary'!$B$23:$G$23,V$3+1)*INDEX(Inputs!$B$77:$O$77,2),0)</f>
        <v>11833.752585</v>
      </c>
      <c r="W9" s="11" t="n">
        <f aca="false">INDEX('CF Summary'!$B$23:$G$23,W$3)*INDEX(Inputs!$B$77:$O$77,W$4+2)+IF(W$4=11,INDEX('CF Summary'!$B$23:$G$23,W$3+1)*INDEX(Inputs!$B$77:$O$77,1),0)+IF(W$4=12,INDEX('CF Summary'!$B$23:$G$23,W$3+1)*INDEX(Inputs!$B$77:$O$77,2),0)</f>
        <v>11833.752585</v>
      </c>
      <c r="X9" s="11" t="n">
        <f aca="false">INDEX('CF Summary'!$B$23:$G$23,X$3)*INDEX(Inputs!$B$77:$O$77,X$4+2)+IF(X$4=11,INDEX('CF Summary'!$B$23:$G$23,X$3+1)*INDEX(Inputs!$B$77:$O$77,1),0)+IF(X$4=12,INDEX('CF Summary'!$B$23:$G$23,X$3+1)*INDEX(Inputs!$B$77:$O$77,2),0)</f>
        <v>11833.752585</v>
      </c>
      <c r="Y9" s="11" t="n">
        <f aca="false">INDEX('CF Summary'!$B$23:$G$23,Y$3)*INDEX(Inputs!$B$77:$O$77,Y$4+2)+IF(Y$4=11,INDEX('CF Summary'!$B$23:$G$23,Y$3+1)*INDEX(Inputs!$B$77:$O$77,1),0)+IF(Y$4=12,INDEX('CF Summary'!$B$23:$G$23,Y$3+1)*INDEX(Inputs!$B$77:$O$77,2),0)</f>
        <v>11833.752585</v>
      </c>
      <c r="Z9" s="11" t="n">
        <f aca="false">INDEX('CF Summary'!$B$23:$G$23,Z$3)*INDEX(Inputs!$B$77:$O$77,Z$4+2)+IF(Z$4=11,INDEX('CF Summary'!$B$23:$G$23,Z$3+1)*INDEX(Inputs!$B$77:$O$77,1),0)+IF(Z$4=12,INDEX('CF Summary'!$B$23:$G$23,Z$3+1)*INDEX(Inputs!$B$77:$O$77,2),0)</f>
        <v>11833.752585</v>
      </c>
      <c r="AA9" s="11" t="n">
        <f aca="false">INDEX('CF Summary'!$B$23:$G$23,AA$3)*INDEX(Inputs!$B$77:$O$77,AA$4+2)+IF(AA$4=11,INDEX('CF Summary'!$B$23:$G$23,AA$3+1)*INDEX(Inputs!$B$77:$O$77,1),0)+IF(AA$4=12,INDEX('CF Summary'!$B$23:$G$23,AA$3+1)*INDEX(Inputs!$B$77:$O$77,2),0)</f>
        <v>11833.752585</v>
      </c>
      <c r="AB9" s="11" t="n">
        <f aca="false">INDEX('CF Summary'!$B$23:$G$23,AB$3)*INDEX(Inputs!$B$77:$O$77,AB$4+2)+IF(AB$4=11,INDEX('CF Summary'!$B$23:$G$23,AB$3+1)*INDEX(Inputs!$B$77:$O$77,1),0)+IF(AB$4=12,INDEX('CF Summary'!$B$23:$G$23,AB$3+1)*INDEX(Inputs!$B$77:$O$77,2),0)</f>
        <v>11833.752585</v>
      </c>
      <c r="AC9" s="11" t="n">
        <f aca="false">INDEX('CF Summary'!$B$23:$G$23,AC$3)*INDEX(Inputs!$B$77:$O$77,AC$4+2)+IF(AC$4=11,INDEX('CF Summary'!$B$23:$G$23,AC$3+1)*INDEX(Inputs!$B$77:$O$77,1),0)+IF(AC$4=12,INDEX('CF Summary'!$B$23:$G$23,AC$3+1)*INDEX(Inputs!$B$77:$O$77,2),0)</f>
        <v>11833.752585</v>
      </c>
      <c r="AD9" s="11" t="n">
        <f aca="false">INDEX('CF Summary'!$B$23:$G$23,AD$3)*INDEX(Inputs!$B$77:$O$77,AD$4+2)+IF(AD$4=11,INDEX('CF Summary'!$B$23:$G$23,AD$3+1)*INDEX(Inputs!$B$77:$O$77,1),0)+IF(AD$4=12,INDEX('CF Summary'!$B$23:$G$23,AD$3+1)*INDEX(Inputs!$B$77:$O$77,2),0)</f>
        <v>11833.752585</v>
      </c>
      <c r="AE9" s="11" t="n">
        <f aca="false">INDEX('CF Summary'!$B$23:$G$23,AE$3)*INDEX(Inputs!$B$77:$O$77,AE$4+2)+IF(AE$4=11,INDEX('CF Summary'!$B$23:$G$23,AE$3+1)*INDEX(Inputs!$B$77:$O$77,1),0)+IF(AE$4=12,INDEX('CF Summary'!$B$23:$G$23,AE$3+1)*INDEX(Inputs!$B$77:$O$77,2),0)</f>
        <v>11833.752585</v>
      </c>
      <c r="AF9" s="11" t="n">
        <f aca="false">INDEX('CF Summary'!$B$23:$G$23,AF$3)*INDEX(Inputs!$B$77:$O$77,AF$4+2)+IF(AF$4=11,INDEX('CF Summary'!$B$23:$G$23,AF$3+1)*INDEX(Inputs!$B$77:$O$77,1),0)+IF(AF$4=12,INDEX('CF Summary'!$B$23:$G$23,AF$3+1)*INDEX(Inputs!$B$77:$O$77,2),0)</f>
        <v>11833.752585</v>
      </c>
      <c r="AG9" s="11" t="n">
        <f aca="false">INDEX('CF Summary'!$B$23:$G$23,AG$3)*INDEX(Inputs!$B$77:$O$77,AG$4+2)+IF(AG$4=11,INDEX('CF Summary'!$B$23:$G$23,AG$3+1)*INDEX(Inputs!$B$77:$O$77,1),0)+IF(AG$4=12,INDEX('CF Summary'!$B$23:$G$23,AG$3+1)*INDEX(Inputs!$B$77:$O$77,2),0)</f>
        <v>11833.752585</v>
      </c>
      <c r="AH9" s="11" t="n">
        <f aca="false">INDEX('CF Summary'!$B$23:$G$23,AH$3)*INDEX(Inputs!$B$77:$O$77,AH$4+2)+IF(AH$4=11,INDEX('CF Summary'!$B$23:$G$23,AH$3+1)*INDEX(Inputs!$B$77:$O$77,1),0)+IF(AH$4=12,INDEX('CF Summary'!$B$23:$G$23,AH$3+1)*INDEX(Inputs!$B$77:$O$77,2),0)</f>
        <v>11833.752585</v>
      </c>
      <c r="AI9" s="11" t="n">
        <f aca="false">INDEX('CF Summary'!$B$23:$G$23,AI$3)*INDEX(Inputs!$B$77:$O$77,AI$4+2)+IF(AI$4=11,INDEX('CF Summary'!$B$23:$G$23,AI$3+1)*INDEX(Inputs!$B$77:$O$77,1),0)+IF(AI$4=12,INDEX('CF Summary'!$B$23:$G$23,AI$3+1)*INDEX(Inputs!$B$77:$O$77,2),0)</f>
        <v>11833.752585</v>
      </c>
      <c r="AJ9" s="11" t="n">
        <f aca="false">INDEX('CF Summary'!$B$23:$G$23,AJ$3)*INDEX(Inputs!$B$77:$O$77,AJ$4+2)+IF(AJ$4=11,INDEX('CF Summary'!$B$23:$G$23,AJ$3+1)*INDEX(Inputs!$B$77:$O$77,1),0)+IF(AJ$4=12,INDEX('CF Summary'!$B$23:$G$23,AJ$3+1)*INDEX(Inputs!$B$77:$O$77,2),0)</f>
        <v>11833.752585</v>
      </c>
      <c r="AK9" s="11" t="n">
        <f aca="false">INDEX('CF Summary'!$B$23:$G$23,AK$3)*INDEX(Inputs!$B$77:$O$77,AK$4+2)+IF(AK$4=11,INDEX('CF Summary'!$B$23:$G$23,AK$3+1)*INDEX(Inputs!$B$77:$O$77,1),0)+IF(AK$4=12,INDEX('CF Summary'!$B$23:$G$23,AK$3+1)*INDEX(Inputs!$B$77:$O$77,2),0)</f>
        <v>11833.752585</v>
      </c>
      <c r="AL9" s="11" t="n">
        <f aca="false">INDEX('CF Summary'!$B$23:$G$23,AL$3)*INDEX(Inputs!$B$77:$O$77,AL$4+2)+IF(AL$4=11,INDEX('CF Summary'!$B$23:$G$23,AL$3+1)*INDEX(Inputs!$B$77:$O$77,1),0)+IF(AL$4=12,INDEX('CF Summary'!$B$23:$G$23,AL$3+1)*INDEX(Inputs!$B$77:$O$77,2),0)</f>
        <v>11833.752585</v>
      </c>
      <c r="AM9" s="11" t="n">
        <f aca="false">INDEX('CF Summary'!$B$23:$G$23,AM$3)*INDEX(Inputs!$B$77:$O$77,AM$4+2)+IF(AM$4=11,INDEX('CF Summary'!$B$23:$G$23,AM$3+1)*INDEX(Inputs!$B$77:$O$77,1),0)+IF(AM$4=12,INDEX('CF Summary'!$B$23:$G$23,AM$3+1)*INDEX(Inputs!$B$77:$O$77,2),0)</f>
        <v>11833.752585</v>
      </c>
      <c r="AN9" s="11" t="n">
        <f aca="false">INDEX('CF Summary'!$B$23:$G$23,AN$3)*INDEX(Inputs!$B$77:$O$77,AN$4+2)+IF(AN$4=11,INDEX('CF Summary'!$B$23:$G$23,AN$3+1)*INDEX(Inputs!$B$77:$O$77,1),0)+IF(AN$4=12,INDEX('CF Summary'!$B$23:$G$23,AN$3+1)*INDEX(Inputs!$B$77:$O$77,2),0)</f>
        <v>11833.752585</v>
      </c>
      <c r="AO9" s="11" t="n">
        <f aca="false">INDEX('CF Summary'!$B$23:$G$23,AO$3)*INDEX(Inputs!$B$77:$O$77,AO$4+2)+IF(AO$4=11,INDEX('CF Summary'!$B$23:$G$23,AO$3+1)*INDEX(Inputs!$B$77:$O$77,1),0)+IF(AO$4=12,INDEX('CF Summary'!$B$23:$G$23,AO$3+1)*INDEX(Inputs!$B$77:$O$77,2),0)</f>
        <v>11833.752585</v>
      </c>
      <c r="AP9" s="11" t="n">
        <f aca="false">INDEX('CF Summary'!$B$23:$G$23,AP$3)*INDEX(Inputs!$B$77:$O$77,AP$4+2)+IF(AP$4=11,INDEX('CF Summary'!$B$23:$G$23,AP$3+1)*INDEX(Inputs!$B$77:$O$77,1),0)+IF(AP$4=12,INDEX('CF Summary'!$B$23:$G$23,AP$3+1)*INDEX(Inputs!$B$77:$O$77,2),0)</f>
        <v>11833.752585</v>
      </c>
      <c r="AQ9" s="11" t="n">
        <f aca="false">INDEX('CF Summary'!$B$23:$G$23,AQ$3)*INDEX(Inputs!$B$77:$O$77,AQ$4+2)+IF(AQ$4=11,INDEX('CF Summary'!$B$23:$G$23,AQ$3+1)*INDEX(Inputs!$B$77:$O$77,1),0)+IF(AQ$4=12,INDEX('CF Summary'!$B$23:$G$23,AQ$3+1)*INDEX(Inputs!$B$77:$O$77,2),0)</f>
        <v>11833.752585</v>
      </c>
      <c r="AR9" s="11" t="n">
        <f aca="false">INDEX('CF Summary'!$B$23:$G$23,AR$3)*INDEX(Inputs!$B$77:$O$77,AR$4+2)+IF(AR$4=11,INDEX('CF Summary'!$B$23:$G$23,AR$3+1)*INDEX(Inputs!$B$77:$O$77,1),0)+IF(AR$4=12,INDEX('CF Summary'!$B$23:$G$23,AR$3+1)*INDEX(Inputs!$B$77:$O$77,2),0)</f>
        <v>11833.752585</v>
      </c>
      <c r="AS9" s="11" t="n">
        <f aca="false">INDEX('CF Summary'!$B$23:$G$23,AS$3)*INDEX(Inputs!$B$77:$O$77,AS$4+2)+IF(AS$4=11,INDEX('CF Summary'!$B$23:$G$23,AS$3+1)*INDEX(Inputs!$B$77:$O$77,1),0)+IF(AS$4=12,INDEX('CF Summary'!$B$23:$G$23,AS$3+1)*INDEX(Inputs!$B$77:$O$77,2),0)</f>
        <v>11833.752585</v>
      </c>
      <c r="AT9" s="11" t="n">
        <f aca="false">INDEX('CF Summary'!$B$23:$G$23,AT$3)*INDEX(Inputs!$B$77:$O$77,AT$4+2)+IF(AT$4=11,INDEX('CF Summary'!$B$23:$G$23,AT$3+1)*INDEX(Inputs!$B$77:$O$77,1),0)+IF(AT$4=12,INDEX('CF Summary'!$B$23:$G$23,AT$3+1)*INDEX(Inputs!$B$77:$O$77,2),0)</f>
        <v>11833.752585</v>
      </c>
      <c r="AU9" s="11" t="n">
        <f aca="false">INDEX('CF Summary'!$B$23:$G$23,AU$3)*INDEX(Inputs!$B$77:$O$77,AU$4+2)+IF(AU$4=11,INDEX('CF Summary'!$B$23:$G$23,AU$3+1)*INDEX(Inputs!$B$77:$O$77,1),0)+IF(AU$4=12,INDEX('CF Summary'!$B$23:$G$23,AU$3+1)*INDEX(Inputs!$B$77:$O$77,2),0)</f>
        <v>11833.752585</v>
      </c>
      <c r="AV9" s="11" t="n">
        <f aca="false">INDEX('CF Summary'!$B$23:$G$23,AV$3)*INDEX(Inputs!$B$77:$O$77,AV$4+2)+IF(AV$4=11,INDEX('CF Summary'!$B$23:$G$23,AV$3+1)*INDEX(Inputs!$B$77:$O$77,1),0)+IF(AV$4=12,INDEX('CF Summary'!$B$23:$G$23,AV$3+1)*INDEX(Inputs!$B$77:$O$77,2),0)</f>
        <v>11833.752585</v>
      </c>
      <c r="AW9" s="11" t="n">
        <f aca="false">INDEX('CF Summary'!$B$23:$G$23,AW$3)*INDEX(Inputs!$B$77:$O$77,AW$4+2)+IF(AW$4=11,INDEX('CF Summary'!$B$23:$G$23,AW$3+1)*INDEX(Inputs!$B$77:$O$77,1),0)+IF(AW$4=12,INDEX('CF Summary'!$B$23:$G$23,AW$3+1)*INDEX(Inputs!$B$77:$O$77,2),0)</f>
        <v>11833.752585</v>
      </c>
      <c r="AX9" s="11" t="n">
        <f aca="false">INDEX('CF Summary'!$B$23:$G$23,AX$3)*INDEX(Inputs!$B$77:$O$77,AX$4+2)+IF(AX$4=11,INDEX('CF Summary'!$B$23:$G$23,AX$3+1)*INDEX(Inputs!$B$77:$O$77,1),0)+IF(AX$4=12,INDEX('CF Summary'!$B$23:$G$23,AX$3+1)*INDEX(Inputs!$B$77:$O$77,2),0)</f>
        <v>11833.752585</v>
      </c>
      <c r="AY9" s="11" t="n">
        <f aca="false">INDEX('CF Summary'!$B$23:$G$23,AY$3)*INDEX(Inputs!$B$77:$O$77,AY$4+2)+IF(AY$4=11,INDEX('CF Summary'!$B$23:$G$23,AY$3+1)*INDEX(Inputs!$B$77:$O$77,1),0)+IF(AY$4=12,INDEX('CF Summary'!$B$23:$G$23,AY$3+1)*INDEX(Inputs!$B$77:$O$77,2),0)</f>
        <v>11833.752585</v>
      </c>
      <c r="AZ9" s="11" t="n">
        <f aca="false">INDEX('CF Summary'!$B$23:$G$23,AZ$3)*INDEX(Inputs!$B$77:$O$77,AZ$4+2)+IF(AZ$4=11,INDEX('CF Summary'!$B$23:$G$23,AZ$3+1)*INDEX(Inputs!$B$77:$O$77,1),0)+IF(AZ$4=12,INDEX('CF Summary'!$B$23:$G$23,AZ$3+1)*INDEX(Inputs!$B$77:$O$77,2),0)</f>
        <v>11833.752585</v>
      </c>
      <c r="BA9" s="11" t="n">
        <f aca="false">INDEX('CF Summary'!$B$23:$G$23,BA$3)*INDEX(Inputs!$B$77:$O$77,BA$4+2)+IF(BA$4=11,INDEX('CF Summary'!$B$23:$G$23,BA$3+1)*INDEX(Inputs!$B$77:$O$77,1),0)+IF(BA$4=12,INDEX('CF Summary'!$B$23:$G$23,BA$3+1)*INDEX(Inputs!$B$77:$O$77,2),0)</f>
        <v>11833.752585</v>
      </c>
      <c r="BB9" s="11" t="n">
        <f aca="false">INDEX('CF Summary'!$B$23:$G$23,BB$3)*INDEX(Inputs!$B$77:$O$77,BB$4+2)+IF(BB$4=11,INDEX('CF Summary'!$B$23:$G$23,BB$3+1)*INDEX(Inputs!$B$77:$O$77,1),0)+IF(BB$4=12,INDEX('CF Summary'!$B$23:$G$23,BB$3+1)*INDEX(Inputs!$B$77:$O$77,2),0)</f>
        <v>11833.752585</v>
      </c>
      <c r="BC9" s="11" t="n">
        <f aca="false">INDEX('CF Summary'!$B$23:$G$23,BC$3)*INDEX(Inputs!$B$77:$O$77,BC$4+2)+IF(BC$4=11,INDEX('CF Summary'!$B$23:$G$23,BC$3+1)*INDEX(Inputs!$B$77:$O$77,1),0)+IF(BC$4=12,INDEX('CF Summary'!$B$23:$G$23,BC$3+1)*INDEX(Inputs!$B$77:$O$77,2),0)</f>
        <v>11833.752585</v>
      </c>
      <c r="BD9" s="11" t="n">
        <f aca="false">INDEX('CF Summary'!$B$23:$G$23,BD$3)*INDEX(Inputs!$B$77:$O$77,BD$4+2)+IF(BD$4=11,INDEX('CF Summary'!$B$23:$G$23,BD$3+1)*INDEX(Inputs!$B$77:$O$77,1),0)+IF(BD$4=12,INDEX('CF Summary'!$B$23:$G$23,BD$3+1)*INDEX(Inputs!$B$77:$O$77,2),0)</f>
        <v>11833.752585</v>
      </c>
      <c r="BE9" s="11" t="n">
        <f aca="false">INDEX('CF Summary'!$B$23:$G$23,BE$3)*INDEX(Inputs!$B$77:$O$77,BE$4+2)+IF(BE$4=11,INDEX('CF Summary'!$B$23:$G$23,BE$3+1)*INDEX(Inputs!$B$77:$O$77,1),0)+IF(BE$4=12,INDEX('CF Summary'!$B$23:$G$23,BE$3+1)*INDEX(Inputs!$B$77:$O$77,2),0)</f>
        <v>11833.752585</v>
      </c>
      <c r="BF9" s="11" t="n">
        <f aca="false">INDEX('CF Summary'!$B$23:$G$23,BF$3)*INDEX(Inputs!$B$77:$O$77,BF$4+2)+IF(BF$4=11,INDEX('CF Summary'!$B$23:$G$23,BF$3+1)*INDEX(Inputs!$B$77:$O$77,1),0)+IF(BF$4=12,INDEX('CF Summary'!$B$23:$G$23,BF$3+1)*INDEX(Inputs!$B$77:$O$77,2),0)</f>
        <v>11833.752585</v>
      </c>
      <c r="BG9" s="11" t="n">
        <f aca="false">INDEX('CF Summary'!$B$23:$G$23,BG$3)*INDEX(Inputs!$B$77:$O$77,BG$4+2)+IF(BG$4=11,INDEX('CF Summary'!$B$23:$G$23,BG$3+1)*INDEX(Inputs!$B$77:$O$77,1),0)+IF(BG$4=12,INDEX('CF Summary'!$B$23:$G$23,BG$3+1)*INDEX(Inputs!$B$77:$O$77,2),0)</f>
        <v>11833.752585</v>
      </c>
      <c r="BH9" s="11" t="n">
        <f aca="false">INDEX('CF Summary'!$B$23:$G$23,BH$3)*INDEX(Inputs!$B$77:$O$77,BH$4+2)+IF(BH$4=11,INDEX('CF Summary'!$B$23:$G$23,BH$3+1)*INDEX(Inputs!$B$77:$O$77,1),0)+IF(BH$4=12,INDEX('CF Summary'!$B$23:$G$23,BH$3+1)*INDEX(Inputs!$B$77:$O$77,2),0)</f>
        <v>11833.752585</v>
      </c>
      <c r="BI9" s="11" t="n">
        <f aca="false">INDEX('CF Summary'!$B$23:$G$23,BI$3)*INDEX(Inputs!$B$77:$O$77,BI$4+2)+IF(BI$4=11,INDEX('CF Summary'!$B$23:$G$23,BI$3+1)*INDEX(Inputs!$B$77:$O$77,1),0)+IF(BI$4=12,INDEX('CF Summary'!$B$23:$G$23,BI$3+1)*INDEX(Inputs!$B$77:$O$77,2),0)</f>
        <v>11833.752585</v>
      </c>
    </row>
    <row r="10" customFormat="false" ht="15" hidden="false" customHeight="false" outlineLevel="0" collapsed="false">
      <c r="A10" s="6" t="s">
        <v>540</v>
      </c>
      <c r="B10" s="11" t="n">
        <f aca="false">INDEX('CF Summary'!$B$24:$G$24,B$3)*INDEX(Inputs!$B$78:$O$78,B$4+2)+IF(B$4=11,INDEX('CF Summary'!$B$24:$G$24,B$3+1)*INDEX(Inputs!$B$78:$O$78,1),0)+IF(B$4=12,INDEX('CF Summary'!$B$24:$G$24,B$3+1)*INDEX(Inputs!$B$78:$O$78,2),0)</f>
        <v>562300</v>
      </c>
      <c r="C10" s="11" t="n">
        <f aca="false">INDEX('CF Summary'!$B$24:$G$24,C$3)*INDEX(Inputs!$B$78:$O$78,C$4+2)+IF(C$4=11,INDEX('CF Summary'!$B$24:$G$24,C$3+1)*INDEX(Inputs!$B$78:$O$78,1),0)+IF(C$4=12,INDEX('CF Summary'!$B$24:$G$24,C$3+1)*INDEX(Inputs!$B$78:$O$78,2),0)</f>
        <v>0</v>
      </c>
      <c r="D10" s="11" t="n">
        <f aca="false">INDEX('CF Summary'!$B$24:$G$24,D$3)*INDEX(Inputs!$B$78:$O$78,D$4+2)+IF(D$4=11,INDEX('CF Summary'!$B$24:$G$24,D$3+1)*INDEX(Inputs!$B$78:$O$78,1),0)+IF(D$4=12,INDEX('CF Summary'!$B$24:$G$24,D$3+1)*INDEX(Inputs!$B$78:$O$78,2),0)</f>
        <v>0</v>
      </c>
      <c r="E10" s="11" t="n">
        <f aca="false">INDEX('CF Summary'!$B$24:$G$24,E$3)*INDEX(Inputs!$B$78:$O$78,E$4+2)+IF(E$4=11,INDEX('CF Summary'!$B$24:$G$24,E$3+1)*INDEX(Inputs!$B$78:$O$78,1),0)+IF(E$4=12,INDEX('CF Summary'!$B$24:$G$24,E$3+1)*INDEX(Inputs!$B$78:$O$78,2),0)</f>
        <v>0</v>
      </c>
      <c r="F10" s="11" t="n">
        <f aca="false">INDEX('CF Summary'!$B$24:$G$24,F$3)*INDEX(Inputs!$B$78:$O$78,F$4+2)+IF(F$4=11,INDEX('CF Summary'!$B$24:$G$24,F$3+1)*INDEX(Inputs!$B$78:$O$78,1),0)+IF(F$4=12,INDEX('CF Summary'!$B$24:$G$24,F$3+1)*INDEX(Inputs!$B$78:$O$78,2),0)</f>
        <v>0</v>
      </c>
      <c r="G10" s="11" t="n">
        <f aca="false">INDEX('CF Summary'!$B$24:$G$24,G$3)*INDEX(Inputs!$B$78:$O$78,G$4+2)+IF(G$4=11,INDEX('CF Summary'!$B$24:$G$24,G$3+1)*INDEX(Inputs!$B$78:$O$78,1),0)+IF(G$4=12,INDEX('CF Summary'!$B$24:$G$24,G$3+1)*INDEX(Inputs!$B$78:$O$78,2),0)</f>
        <v>0</v>
      </c>
      <c r="H10" s="11" t="n">
        <f aca="false">INDEX('CF Summary'!$B$24:$G$24,H$3)*INDEX(Inputs!$B$78:$O$78,H$4+2)+IF(H$4=11,INDEX('CF Summary'!$B$24:$G$24,H$3+1)*INDEX(Inputs!$B$78:$O$78,1),0)+IF(H$4=12,INDEX('CF Summary'!$B$24:$G$24,H$3+1)*INDEX(Inputs!$B$78:$O$78,2),0)</f>
        <v>0</v>
      </c>
      <c r="I10" s="11" t="n">
        <f aca="false">INDEX('CF Summary'!$B$24:$G$24,I$3)*INDEX(Inputs!$B$78:$O$78,I$4+2)+IF(I$4=11,INDEX('CF Summary'!$B$24:$G$24,I$3+1)*INDEX(Inputs!$B$78:$O$78,1),0)+IF(I$4=12,INDEX('CF Summary'!$B$24:$G$24,I$3+1)*INDEX(Inputs!$B$78:$O$78,2),0)</f>
        <v>0</v>
      </c>
      <c r="J10" s="11" t="n">
        <f aca="false">INDEX('CF Summary'!$B$24:$G$24,J$3)*INDEX(Inputs!$B$78:$O$78,J$4+2)+IF(J$4=11,INDEX('CF Summary'!$B$24:$G$24,J$3+1)*INDEX(Inputs!$B$78:$O$78,1),0)+IF(J$4=12,INDEX('CF Summary'!$B$24:$G$24,J$3+1)*INDEX(Inputs!$B$78:$O$78,2),0)</f>
        <v>0</v>
      </c>
      <c r="K10" s="11" t="n">
        <f aca="false">INDEX('CF Summary'!$B$24:$G$24,K$3)*INDEX(Inputs!$B$78:$O$78,K$4+2)+IF(K$4=11,INDEX('CF Summary'!$B$24:$G$24,K$3+1)*INDEX(Inputs!$B$78:$O$78,1),0)+IF(K$4=12,INDEX('CF Summary'!$B$24:$G$24,K$3+1)*INDEX(Inputs!$B$78:$O$78,2),0)</f>
        <v>0</v>
      </c>
      <c r="L10" s="11" t="n">
        <f aca="false">INDEX('CF Summary'!$B$24:$G$24,L$3)*INDEX(Inputs!$B$78:$O$78,L$4+2)+IF(L$4=11,INDEX('CF Summary'!$B$24:$G$24,L$3+1)*INDEX(Inputs!$B$78:$O$78,1),0)+IF(L$4=12,INDEX('CF Summary'!$B$24:$G$24,L$3+1)*INDEX(Inputs!$B$78:$O$78,2),0)</f>
        <v>0</v>
      </c>
      <c r="M10" s="11" t="n">
        <f aca="false">INDEX('CF Summary'!$B$24:$G$24,M$3)*INDEX(Inputs!$B$78:$O$78,M$4+2)+IF(M$4=11,INDEX('CF Summary'!$B$24:$G$24,M$3+1)*INDEX(Inputs!$B$78:$O$78,1),0)+IF(M$4=12,INDEX('CF Summary'!$B$24:$G$24,M$3+1)*INDEX(Inputs!$B$78:$O$78,2),0)</f>
        <v>0</v>
      </c>
      <c r="N10" s="11" t="n">
        <f aca="false">INDEX('CF Summary'!$B$24:$G$24,N$3)*INDEX(Inputs!$B$78:$O$78,N$4+2)+IF(N$4=11,INDEX('CF Summary'!$B$24:$G$24,N$3+1)*INDEX(Inputs!$B$78:$O$78,1),0)+IF(N$4=12,INDEX('CF Summary'!$B$24:$G$24,N$3+1)*INDEX(Inputs!$B$78:$O$78,2),0)</f>
        <v>479809.793814433</v>
      </c>
      <c r="O10" s="11" t="n">
        <f aca="false">INDEX('CF Summary'!$B$24:$G$24,O$3)*INDEX(Inputs!$B$78:$O$78,O$4+2)+IF(O$4=11,INDEX('CF Summary'!$B$24:$G$24,O$3+1)*INDEX(Inputs!$B$78:$O$78,1),0)+IF(O$4=12,INDEX('CF Summary'!$B$24:$G$24,O$3+1)*INDEX(Inputs!$B$78:$O$78,2),0)</f>
        <v>0</v>
      </c>
      <c r="P10" s="11" t="n">
        <f aca="false">INDEX('CF Summary'!$B$24:$G$24,P$3)*INDEX(Inputs!$B$78:$O$78,P$4+2)+IF(P$4=11,INDEX('CF Summary'!$B$24:$G$24,P$3+1)*INDEX(Inputs!$B$78:$O$78,1),0)+IF(P$4=12,INDEX('CF Summary'!$B$24:$G$24,P$3+1)*INDEX(Inputs!$B$78:$O$78,2),0)</f>
        <v>0</v>
      </c>
      <c r="Q10" s="11" t="n">
        <f aca="false">INDEX('CF Summary'!$B$24:$G$24,Q$3)*INDEX(Inputs!$B$78:$O$78,Q$4+2)+IF(Q$4=11,INDEX('CF Summary'!$B$24:$G$24,Q$3+1)*INDEX(Inputs!$B$78:$O$78,1),0)+IF(Q$4=12,INDEX('CF Summary'!$B$24:$G$24,Q$3+1)*INDEX(Inputs!$B$78:$O$78,2),0)</f>
        <v>0</v>
      </c>
      <c r="R10" s="11" t="n">
        <f aca="false">INDEX('CF Summary'!$B$24:$G$24,R$3)*INDEX(Inputs!$B$78:$O$78,R$4+2)+IF(R$4=11,INDEX('CF Summary'!$B$24:$G$24,R$3+1)*INDEX(Inputs!$B$78:$O$78,1),0)+IF(R$4=12,INDEX('CF Summary'!$B$24:$G$24,R$3+1)*INDEX(Inputs!$B$78:$O$78,2),0)</f>
        <v>0</v>
      </c>
      <c r="S10" s="11" t="n">
        <f aca="false">INDEX('CF Summary'!$B$24:$G$24,S$3)*INDEX(Inputs!$B$78:$O$78,S$4+2)+IF(S$4=11,INDEX('CF Summary'!$B$24:$G$24,S$3+1)*INDEX(Inputs!$B$78:$O$78,1),0)+IF(S$4=12,INDEX('CF Summary'!$B$24:$G$24,S$3+1)*INDEX(Inputs!$B$78:$O$78,2),0)</f>
        <v>0</v>
      </c>
      <c r="T10" s="11" t="n">
        <f aca="false">INDEX('CF Summary'!$B$24:$G$24,T$3)*INDEX(Inputs!$B$78:$O$78,T$4+2)+IF(T$4=11,INDEX('CF Summary'!$B$24:$G$24,T$3+1)*INDEX(Inputs!$B$78:$O$78,1),0)+IF(T$4=12,INDEX('CF Summary'!$B$24:$G$24,T$3+1)*INDEX(Inputs!$B$78:$O$78,2),0)</f>
        <v>0</v>
      </c>
      <c r="U10" s="11" t="n">
        <f aca="false">INDEX('CF Summary'!$B$24:$G$24,U$3)*INDEX(Inputs!$B$78:$O$78,U$4+2)+IF(U$4=11,INDEX('CF Summary'!$B$24:$G$24,U$3+1)*INDEX(Inputs!$B$78:$O$78,1),0)+IF(U$4=12,INDEX('CF Summary'!$B$24:$G$24,U$3+1)*INDEX(Inputs!$B$78:$O$78,2),0)</f>
        <v>0</v>
      </c>
      <c r="V10" s="11" t="n">
        <f aca="false">INDEX('CF Summary'!$B$24:$G$24,V$3)*INDEX(Inputs!$B$78:$O$78,V$4+2)+IF(V$4=11,INDEX('CF Summary'!$B$24:$G$24,V$3+1)*INDEX(Inputs!$B$78:$O$78,1),0)+IF(V$4=12,INDEX('CF Summary'!$B$24:$G$24,V$3+1)*INDEX(Inputs!$B$78:$O$78,2),0)</f>
        <v>0</v>
      </c>
      <c r="W10" s="11" t="n">
        <f aca="false">INDEX('CF Summary'!$B$24:$G$24,W$3)*INDEX(Inputs!$B$78:$O$78,W$4+2)+IF(W$4=11,INDEX('CF Summary'!$B$24:$G$24,W$3+1)*INDEX(Inputs!$B$78:$O$78,1),0)+IF(W$4=12,INDEX('CF Summary'!$B$24:$G$24,W$3+1)*INDEX(Inputs!$B$78:$O$78,2),0)</f>
        <v>0</v>
      </c>
      <c r="X10" s="11" t="n">
        <f aca="false">INDEX('CF Summary'!$B$24:$G$24,X$3)*INDEX(Inputs!$B$78:$O$78,X$4+2)+IF(X$4=11,INDEX('CF Summary'!$B$24:$G$24,X$3+1)*INDEX(Inputs!$B$78:$O$78,1),0)+IF(X$4=12,INDEX('CF Summary'!$B$24:$G$24,X$3+1)*INDEX(Inputs!$B$78:$O$78,2),0)</f>
        <v>0</v>
      </c>
      <c r="Y10" s="11" t="n">
        <f aca="false">INDEX('CF Summary'!$B$24:$G$24,Y$3)*INDEX(Inputs!$B$78:$O$78,Y$4+2)+IF(Y$4=11,INDEX('CF Summary'!$B$24:$G$24,Y$3+1)*INDEX(Inputs!$B$78:$O$78,1),0)+IF(Y$4=12,INDEX('CF Summary'!$B$24:$G$24,Y$3+1)*INDEX(Inputs!$B$78:$O$78,2),0)</f>
        <v>0</v>
      </c>
      <c r="Z10" s="11" t="n">
        <f aca="false">INDEX('CF Summary'!$B$24:$G$24,Z$3)*INDEX(Inputs!$B$78:$O$78,Z$4+2)+IF(Z$4=11,INDEX('CF Summary'!$B$24:$G$24,Z$3+1)*INDEX(Inputs!$B$78:$O$78,1),0)+IF(Z$4=12,INDEX('CF Summary'!$B$24:$G$24,Z$3+1)*INDEX(Inputs!$B$78:$O$78,2),0)</f>
        <v>428973.195876289</v>
      </c>
      <c r="AA10" s="11" t="n">
        <f aca="false">INDEX('CF Summary'!$B$24:$G$24,AA$3)*INDEX(Inputs!$B$78:$O$78,AA$4+2)+IF(AA$4=11,INDEX('CF Summary'!$B$24:$G$24,AA$3+1)*INDEX(Inputs!$B$78:$O$78,1),0)+IF(AA$4=12,INDEX('CF Summary'!$B$24:$G$24,AA$3+1)*INDEX(Inputs!$B$78:$O$78,2),0)</f>
        <v>0</v>
      </c>
      <c r="AB10" s="11" t="n">
        <f aca="false">INDEX('CF Summary'!$B$24:$G$24,AB$3)*INDEX(Inputs!$B$78:$O$78,AB$4+2)+IF(AB$4=11,INDEX('CF Summary'!$B$24:$G$24,AB$3+1)*INDEX(Inputs!$B$78:$O$78,1),0)+IF(AB$4=12,INDEX('CF Summary'!$B$24:$G$24,AB$3+1)*INDEX(Inputs!$B$78:$O$78,2),0)</f>
        <v>0</v>
      </c>
      <c r="AC10" s="11" t="n">
        <f aca="false">INDEX('CF Summary'!$B$24:$G$24,AC$3)*INDEX(Inputs!$B$78:$O$78,AC$4+2)+IF(AC$4=11,INDEX('CF Summary'!$B$24:$G$24,AC$3+1)*INDEX(Inputs!$B$78:$O$78,1),0)+IF(AC$4=12,INDEX('CF Summary'!$B$24:$G$24,AC$3+1)*INDEX(Inputs!$B$78:$O$78,2),0)</f>
        <v>0</v>
      </c>
      <c r="AD10" s="11" t="n">
        <f aca="false">INDEX('CF Summary'!$B$24:$G$24,AD$3)*INDEX(Inputs!$B$78:$O$78,AD$4+2)+IF(AD$4=11,INDEX('CF Summary'!$B$24:$G$24,AD$3+1)*INDEX(Inputs!$B$78:$O$78,1),0)+IF(AD$4=12,INDEX('CF Summary'!$B$24:$G$24,AD$3+1)*INDEX(Inputs!$B$78:$O$78,2),0)</f>
        <v>0</v>
      </c>
      <c r="AE10" s="11" t="n">
        <f aca="false">INDEX('CF Summary'!$B$24:$G$24,AE$3)*INDEX(Inputs!$B$78:$O$78,AE$4+2)+IF(AE$4=11,INDEX('CF Summary'!$B$24:$G$24,AE$3+1)*INDEX(Inputs!$B$78:$O$78,1),0)+IF(AE$4=12,INDEX('CF Summary'!$B$24:$G$24,AE$3+1)*INDEX(Inputs!$B$78:$O$78,2),0)</f>
        <v>0</v>
      </c>
      <c r="AF10" s="11" t="n">
        <f aca="false">INDEX('CF Summary'!$B$24:$G$24,AF$3)*INDEX(Inputs!$B$78:$O$78,AF$4+2)+IF(AF$4=11,INDEX('CF Summary'!$B$24:$G$24,AF$3+1)*INDEX(Inputs!$B$78:$O$78,1),0)+IF(AF$4=12,INDEX('CF Summary'!$B$24:$G$24,AF$3+1)*INDEX(Inputs!$B$78:$O$78,2),0)</f>
        <v>0</v>
      </c>
      <c r="AG10" s="11" t="n">
        <f aca="false">INDEX('CF Summary'!$B$24:$G$24,AG$3)*INDEX(Inputs!$B$78:$O$78,AG$4+2)+IF(AG$4=11,INDEX('CF Summary'!$B$24:$G$24,AG$3+1)*INDEX(Inputs!$B$78:$O$78,1),0)+IF(AG$4=12,INDEX('CF Summary'!$B$24:$G$24,AG$3+1)*INDEX(Inputs!$B$78:$O$78,2),0)</f>
        <v>0</v>
      </c>
      <c r="AH10" s="11" t="n">
        <f aca="false">INDEX('CF Summary'!$B$24:$G$24,AH$3)*INDEX(Inputs!$B$78:$O$78,AH$4+2)+IF(AH$4=11,INDEX('CF Summary'!$B$24:$G$24,AH$3+1)*INDEX(Inputs!$B$78:$O$78,1),0)+IF(AH$4=12,INDEX('CF Summary'!$B$24:$G$24,AH$3+1)*INDEX(Inputs!$B$78:$O$78,2),0)</f>
        <v>0</v>
      </c>
      <c r="AI10" s="11" t="n">
        <f aca="false">INDEX('CF Summary'!$B$24:$G$24,AI$3)*INDEX(Inputs!$B$78:$O$78,AI$4+2)+IF(AI$4=11,INDEX('CF Summary'!$B$24:$G$24,AI$3+1)*INDEX(Inputs!$B$78:$O$78,1),0)+IF(AI$4=12,INDEX('CF Summary'!$B$24:$G$24,AI$3+1)*INDEX(Inputs!$B$78:$O$78,2),0)</f>
        <v>0</v>
      </c>
      <c r="AJ10" s="11" t="n">
        <f aca="false">INDEX('CF Summary'!$B$24:$G$24,AJ$3)*INDEX(Inputs!$B$78:$O$78,AJ$4+2)+IF(AJ$4=11,INDEX('CF Summary'!$B$24:$G$24,AJ$3+1)*INDEX(Inputs!$B$78:$O$78,1),0)+IF(AJ$4=12,INDEX('CF Summary'!$B$24:$G$24,AJ$3+1)*INDEX(Inputs!$B$78:$O$78,2),0)</f>
        <v>0</v>
      </c>
      <c r="AK10" s="11" t="n">
        <f aca="false">INDEX('CF Summary'!$B$24:$G$24,AK$3)*INDEX(Inputs!$B$78:$O$78,AK$4+2)+IF(AK$4=11,INDEX('CF Summary'!$B$24:$G$24,AK$3+1)*INDEX(Inputs!$B$78:$O$78,1),0)+IF(AK$4=12,INDEX('CF Summary'!$B$24:$G$24,AK$3+1)*INDEX(Inputs!$B$78:$O$78,2),0)</f>
        <v>0</v>
      </c>
      <c r="AL10" s="11" t="n">
        <f aca="false">INDEX('CF Summary'!$B$24:$G$24,AL$3)*INDEX(Inputs!$B$78:$O$78,AL$4+2)+IF(AL$4=11,INDEX('CF Summary'!$B$24:$G$24,AL$3+1)*INDEX(Inputs!$B$78:$O$78,1),0)+IF(AL$4=12,INDEX('CF Summary'!$B$24:$G$24,AL$3+1)*INDEX(Inputs!$B$78:$O$78,2),0)</f>
        <v>427578.865979381</v>
      </c>
      <c r="AM10" s="11" t="n">
        <f aca="false">INDEX('CF Summary'!$B$24:$G$24,AM$3)*INDEX(Inputs!$B$78:$O$78,AM$4+2)+IF(AM$4=11,INDEX('CF Summary'!$B$24:$G$24,AM$3+1)*INDEX(Inputs!$B$78:$O$78,1),0)+IF(AM$4=12,INDEX('CF Summary'!$B$24:$G$24,AM$3+1)*INDEX(Inputs!$B$78:$O$78,2),0)</f>
        <v>0</v>
      </c>
      <c r="AN10" s="11" t="n">
        <f aca="false">INDEX('CF Summary'!$B$24:$G$24,AN$3)*INDEX(Inputs!$B$78:$O$78,AN$4+2)+IF(AN$4=11,INDEX('CF Summary'!$B$24:$G$24,AN$3+1)*INDEX(Inputs!$B$78:$O$78,1),0)+IF(AN$4=12,INDEX('CF Summary'!$B$24:$G$24,AN$3+1)*INDEX(Inputs!$B$78:$O$78,2),0)</f>
        <v>0</v>
      </c>
      <c r="AO10" s="11" t="n">
        <f aca="false">INDEX('CF Summary'!$B$24:$G$24,AO$3)*INDEX(Inputs!$B$78:$O$78,AO$4+2)+IF(AO$4=11,INDEX('CF Summary'!$B$24:$G$24,AO$3+1)*INDEX(Inputs!$B$78:$O$78,1),0)+IF(AO$4=12,INDEX('CF Summary'!$B$24:$G$24,AO$3+1)*INDEX(Inputs!$B$78:$O$78,2),0)</f>
        <v>0</v>
      </c>
      <c r="AP10" s="11" t="n">
        <f aca="false">INDEX('CF Summary'!$B$24:$G$24,AP$3)*INDEX(Inputs!$B$78:$O$78,AP$4+2)+IF(AP$4=11,INDEX('CF Summary'!$B$24:$G$24,AP$3+1)*INDEX(Inputs!$B$78:$O$78,1),0)+IF(AP$4=12,INDEX('CF Summary'!$B$24:$G$24,AP$3+1)*INDEX(Inputs!$B$78:$O$78,2),0)</f>
        <v>0</v>
      </c>
      <c r="AQ10" s="11" t="n">
        <f aca="false">INDEX('CF Summary'!$B$24:$G$24,AQ$3)*INDEX(Inputs!$B$78:$O$78,AQ$4+2)+IF(AQ$4=11,INDEX('CF Summary'!$B$24:$G$24,AQ$3+1)*INDEX(Inputs!$B$78:$O$78,1),0)+IF(AQ$4=12,INDEX('CF Summary'!$B$24:$G$24,AQ$3+1)*INDEX(Inputs!$B$78:$O$78,2),0)</f>
        <v>0</v>
      </c>
      <c r="AR10" s="11" t="n">
        <f aca="false">INDEX('CF Summary'!$B$24:$G$24,AR$3)*INDEX(Inputs!$B$78:$O$78,AR$4+2)+IF(AR$4=11,INDEX('CF Summary'!$B$24:$G$24,AR$3+1)*INDEX(Inputs!$B$78:$O$78,1),0)+IF(AR$4=12,INDEX('CF Summary'!$B$24:$G$24,AR$3+1)*INDEX(Inputs!$B$78:$O$78,2),0)</f>
        <v>0</v>
      </c>
      <c r="AS10" s="11" t="n">
        <f aca="false">INDEX('CF Summary'!$B$24:$G$24,AS$3)*INDEX(Inputs!$B$78:$O$78,AS$4+2)+IF(AS$4=11,INDEX('CF Summary'!$B$24:$G$24,AS$3+1)*INDEX(Inputs!$B$78:$O$78,1),0)+IF(AS$4=12,INDEX('CF Summary'!$B$24:$G$24,AS$3+1)*INDEX(Inputs!$B$78:$O$78,2),0)</f>
        <v>0</v>
      </c>
      <c r="AT10" s="11" t="n">
        <f aca="false">INDEX('CF Summary'!$B$24:$G$24,AT$3)*INDEX(Inputs!$B$78:$O$78,AT$4+2)+IF(AT$4=11,INDEX('CF Summary'!$B$24:$G$24,AT$3+1)*INDEX(Inputs!$B$78:$O$78,1),0)+IF(AT$4=12,INDEX('CF Summary'!$B$24:$G$24,AT$3+1)*INDEX(Inputs!$B$78:$O$78,2),0)</f>
        <v>0</v>
      </c>
      <c r="AU10" s="11" t="n">
        <f aca="false">INDEX('CF Summary'!$B$24:$G$24,AU$3)*INDEX(Inputs!$B$78:$O$78,AU$4+2)+IF(AU$4=11,INDEX('CF Summary'!$B$24:$G$24,AU$3+1)*INDEX(Inputs!$B$78:$O$78,1),0)+IF(AU$4=12,INDEX('CF Summary'!$B$24:$G$24,AU$3+1)*INDEX(Inputs!$B$78:$O$78,2),0)</f>
        <v>0</v>
      </c>
      <c r="AV10" s="11" t="n">
        <f aca="false">INDEX('CF Summary'!$B$24:$G$24,AV$3)*INDEX(Inputs!$B$78:$O$78,AV$4+2)+IF(AV$4=11,INDEX('CF Summary'!$B$24:$G$24,AV$3+1)*INDEX(Inputs!$B$78:$O$78,1),0)+IF(AV$4=12,INDEX('CF Summary'!$B$24:$G$24,AV$3+1)*INDEX(Inputs!$B$78:$O$78,2),0)</f>
        <v>0</v>
      </c>
      <c r="AW10" s="11" t="n">
        <f aca="false">INDEX('CF Summary'!$B$24:$G$24,AW$3)*INDEX(Inputs!$B$78:$O$78,AW$4+2)+IF(AW$4=11,INDEX('CF Summary'!$B$24:$G$24,AW$3+1)*INDEX(Inputs!$B$78:$O$78,1),0)+IF(AW$4=12,INDEX('CF Summary'!$B$24:$G$24,AW$3+1)*INDEX(Inputs!$B$78:$O$78,2),0)</f>
        <v>0</v>
      </c>
      <c r="AX10" s="11" t="n">
        <f aca="false">INDEX('CF Summary'!$B$24:$G$24,AX$3)*INDEX(Inputs!$B$78:$O$78,AX$4+2)+IF(AX$4=11,INDEX('CF Summary'!$B$24:$G$24,AX$3+1)*INDEX(Inputs!$B$78:$O$78,1),0)+IF(AX$4=12,INDEX('CF Summary'!$B$24:$G$24,AX$3+1)*INDEX(Inputs!$B$78:$O$78,2),0)</f>
        <v>426463.402061856</v>
      </c>
      <c r="AY10" s="11" t="n">
        <f aca="false">INDEX('CF Summary'!$B$24:$G$24,AY$3)*INDEX(Inputs!$B$78:$O$78,AY$4+2)+IF(AY$4=11,INDEX('CF Summary'!$B$24:$G$24,AY$3+1)*INDEX(Inputs!$B$78:$O$78,1),0)+IF(AY$4=12,INDEX('CF Summary'!$B$24:$G$24,AY$3+1)*INDEX(Inputs!$B$78:$O$78,2),0)</f>
        <v>0</v>
      </c>
      <c r="AZ10" s="11" t="n">
        <f aca="false">INDEX('CF Summary'!$B$24:$G$24,AZ$3)*INDEX(Inputs!$B$78:$O$78,AZ$4+2)+IF(AZ$4=11,INDEX('CF Summary'!$B$24:$G$24,AZ$3+1)*INDEX(Inputs!$B$78:$O$78,1),0)+IF(AZ$4=12,INDEX('CF Summary'!$B$24:$G$24,AZ$3+1)*INDEX(Inputs!$B$78:$O$78,2),0)</f>
        <v>0</v>
      </c>
      <c r="BA10" s="11" t="n">
        <f aca="false">INDEX('CF Summary'!$B$24:$G$24,BA$3)*INDEX(Inputs!$B$78:$O$78,BA$4+2)+IF(BA$4=11,INDEX('CF Summary'!$B$24:$G$24,BA$3+1)*INDEX(Inputs!$B$78:$O$78,1),0)+IF(BA$4=12,INDEX('CF Summary'!$B$24:$G$24,BA$3+1)*INDEX(Inputs!$B$78:$O$78,2),0)</f>
        <v>0</v>
      </c>
      <c r="BB10" s="11" t="n">
        <f aca="false">INDEX('CF Summary'!$B$24:$G$24,BB$3)*INDEX(Inputs!$B$78:$O$78,BB$4+2)+IF(BB$4=11,INDEX('CF Summary'!$B$24:$G$24,BB$3+1)*INDEX(Inputs!$B$78:$O$78,1),0)+IF(BB$4=12,INDEX('CF Summary'!$B$24:$G$24,BB$3+1)*INDEX(Inputs!$B$78:$O$78,2),0)</f>
        <v>0</v>
      </c>
      <c r="BC10" s="11" t="n">
        <f aca="false">INDEX('CF Summary'!$B$24:$G$24,BC$3)*INDEX(Inputs!$B$78:$O$78,BC$4+2)+IF(BC$4=11,INDEX('CF Summary'!$B$24:$G$24,BC$3+1)*INDEX(Inputs!$B$78:$O$78,1),0)+IF(BC$4=12,INDEX('CF Summary'!$B$24:$G$24,BC$3+1)*INDEX(Inputs!$B$78:$O$78,2),0)</f>
        <v>0</v>
      </c>
      <c r="BD10" s="11" t="n">
        <f aca="false">INDEX('CF Summary'!$B$24:$G$24,BD$3)*INDEX(Inputs!$B$78:$O$78,BD$4+2)+IF(BD$4=11,INDEX('CF Summary'!$B$24:$G$24,BD$3+1)*INDEX(Inputs!$B$78:$O$78,1),0)+IF(BD$4=12,INDEX('CF Summary'!$B$24:$G$24,BD$3+1)*INDEX(Inputs!$B$78:$O$78,2),0)</f>
        <v>0</v>
      </c>
      <c r="BE10" s="11" t="n">
        <f aca="false">INDEX('CF Summary'!$B$24:$G$24,BE$3)*INDEX(Inputs!$B$78:$O$78,BE$4+2)+IF(BE$4=11,INDEX('CF Summary'!$B$24:$G$24,BE$3+1)*INDEX(Inputs!$B$78:$O$78,1),0)+IF(BE$4=12,INDEX('CF Summary'!$B$24:$G$24,BE$3+1)*INDEX(Inputs!$B$78:$O$78,2),0)</f>
        <v>0</v>
      </c>
      <c r="BF10" s="11" t="n">
        <f aca="false">INDEX('CF Summary'!$B$24:$G$24,BF$3)*INDEX(Inputs!$B$78:$O$78,BF$4+2)+IF(BF$4=11,INDEX('CF Summary'!$B$24:$G$24,BF$3+1)*INDEX(Inputs!$B$78:$O$78,1),0)+IF(BF$4=12,INDEX('CF Summary'!$B$24:$G$24,BF$3+1)*INDEX(Inputs!$B$78:$O$78,2),0)</f>
        <v>0</v>
      </c>
      <c r="BG10" s="11" t="n">
        <f aca="false">INDEX('CF Summary'!$B$24:$G$24,BG$3)*INDEX(Inputs!$B$78:$O$78,BG$4+2)+IF(BG$4=11,INDEX('CF Summary'!$B$24:$G$24,BG$3+1)*INDEX(Inputs!$B$78:$O$78,1),0)+IF(BG$4=12,INDEX('CF Summary'!$B$24:$G$24,BG$3+1)*INDEX(Inputs!$B$78:$O$78,2),0)</f>
        <v>0</v>
      </c>
      <c r="BH10" s="11" t="n">
        <f aca="false">INDEX('CF Summary'!$B$24:$G$24,BH$3)*INDEX(Inputs!$B$78:$O$78,BH$4+2)+IF(BH$4=11,INDEX('CF Summary'!$B$24:$G$24,BH$3+1)*INDEX(Inputs!$B$78:$O$78,1),0)+IF(BH$4=12,INDEX('CF Summary'!$B$24:$G$24,BH$3+1)*INDEX(Inputs!$B$78:$O$78,2),0)</f>
        <v>0</v>
      </c>
      <c r="BI10" s="11" t="n">
        <f aca="false">INDEX('CF Summary'!$B$24:$G$24,BI$3)*INDEX(Inputs!$B$78:$O$78,BI$4+2)+IF(BI$4=11,INDEX('CF Summary'!$B$24:$G$24,BI$3+1)*INDEX(Inputs!$B$78:$O$78,1),0)+IF(BI$4=12,INDEX('CF Summary'!$B$24:$G$24,BI$3+1)*INDEX(Inputs!$B$78:$O$78,2),0)</f>
        <v>0</v>
      </c>
    </row>
    <row r="11" customFormat="false" ht="15" hidden="false" customHeight="false" outlineLevel="0" collapsed="false">
      <c r="A11" s="6" t="s">
        <v>541</v>
      </c>
      <c r="B11" s="11" t="n">
        <f aca="false">INDEX('CF Summary'!$B$25:$G$25,B$3)*INDEX(Inputs!$B$79:$O$79,B$4+2)+IF(B$4=11,INDEX('CF Summary'!$B$25:$G$25,B$3+1)*INDEX(Inputs!$B$79:$O$79,1),0)+IF(B$4=12,INDEX('CF Summary'!$B$25:$G$25,B$3+1)*INDEX(Inputs!$B$79:$O$79,2),0)</f>
        <v>0</v>
      </c>
      <c r="C11" s="11" t="n">
        <f aca="false">INDEX('CF Summary'!$B$25:$G$25,C$3)*INDEX(Inputs!$B$79:$O$79,C$4+2)+IF(C$4=11,INDEX('CF Summary'!$B$25:$G$25,C$3+1)*INDEX(Inputs!$B$79:$O$79,1),0)+IF(C$4=12,INDEX('CF Summary'!$B$25:$G$25,C$3+1)*INDEX(Inputs!$B$79:$O$79,2),0)</f>
        <v>0</v>
      </c>
      <c r="D11" s="11" t="n">
        <f aca="false">INDEX('CF Summary'!$B$25:$G$25,D$3)*INDEX(Inputs!$B$79:$O$79,D$4+2)+IF(D$4=11,INDEX('CF Summary'!$B$25:$G$25,D$3+1)*INDEX(Inputs!$B$79:$O$79,1),0)+IF(D$4=12,INDEX('CF Summary'!$B$25:$G$25,D$3+1)*INDEX(Inputs!$B$79:$O$79,2),0)</f>
        <v>0</v>
      </c>
      <c r="E11" s="11" t="n">
        <f aca="false">INDEX('CF Summary'!$B$25:$G$25,E$3)*INDEX(Inputs!$B$79:$O$79,E$4+2)+IF(E$4=11,INDEX('CF Summary'!$B$25:$G$25,E$3+1)*INDEX(Inputs!$B$79:$O$79,1),0)+IF(E$4=12,INDEX('CF Summary'!$B$25:$G$25,E$3+1)*INDEX(Inputs!$B$79:$O$79,2),0)</f>
        <v>0</v>
      </c>
      <c r="F11" s="11" t="n">
        <f aca="false">INDEX('CF Summary'!$B$25:$G$25,F$3)*INDEX(Inputs!$B$79:$O$79,F$4+2)+IF(F$4=11,INDEX('CF Summary'!$B$25:$G$25,F$3+1)*INDEX(Inputs!$B$79:$O$79,1),0)+IF(F$4=12,INDEX('CF Summary'!$B$25:$G$25,F$3+1)*INDEX(Inputs!$B$79:$O$79,2),0)</f>
        <v>0</v>
      </c>
      <c r="G11" s="11" t="n">
        <f aca="false">INDEX('CF Summary'!$B$25:$G$25,G$3)*INDEX(Inputs!$B$79:$O$79,G$4+2)+IF(G$4=11,INDEX('CF Summary'!$B$25:$G$25,G$3+1)*INDEX(Inputs!$B$79:$O$79,1),0)+IF(G$4=12,INDEX('CF Summary'!$B$25:$G$25,G$3+1)*INDEX(Inputs!$B$79:$O$79,2),0)</f>
        <v>0</v>
      </c>
      <c r="H11" s="11" t="n">
        <f aca="false">INDEX('CF Summary'!$B$25:$G$25,H$3)*INDEX(Inputs!$B$79:$O$79,H$4+2)+IF(H$4=11,INDEX('CF Summary'!$B$25:$G$25,H$3+1)*INDEX(Inputs!$B$79:$O$79,1),0)+IF(H$4=12,INDEX('CF Summary'!$B$25:$G$25,H$3+1)*INDEX(Inputs!$B$79:$O$79,2),0)</f>
        <v>0</v>
      </c>
      <c r="I11" s="11" t="n">
        <f aca="false">INDEX('CF Summary'!$B$25:$G$25,I$3)*INDEX(Inputs!$B$79:$O$79,I$4+2)+IF(I$4=11,INDEX('CF Summary'!$B$25:$G$25,I$3+1)*INDEX(Inputs!$B$79:$O$79,1),0)+IF(I$4=12,INDEX('CF Summary'!$B$25:$G$25,I$3+1)*INDEX(Inputs!$B$79:$O$79,2),0)</f>
        <v>0</v>
      </c>
      <c r="J11" s="11" t="n">
        <f aca="false">INDEX('CF Summary'!$B$25:$G$25,J$3)*INDEX(Inputs!$B$79:$O$79,J$4+2)+IF(J$4=11,INDEX('CF Summary'!$B$25:$G$25,J$3+1)*INDEX(Inputs!$B$79:$O$79,1),0)+IF(J$4=12,INDEX('CF Summary'!$B$25:$G$25,J$3+1)*INDEX(Inputs!$B$79:$O$79,2),0)</f>
        <v>0</v>
      </c>
      <c r="K11" s="11" t="n">
        <f aca="false">INDEX('CF Summary'!$B$25:$G$25,K$3)*INDEX(Inputs!$B$79:$O$79,K$4+2)+IF(K$4=11,INDEX('CF Summary'!$B$25:$G$25,K$3+1)*INDEX(Inputs!$B$79:$O$79,1),0)+IF(K$4=12,INDEX('CF Summary'!$B$25:$G$25,K$3+1)*INDEX(Inputs!$B$79:$O$79,2),0)</f>
        <v>0</v>
      </c>
      <c r="L11" s="11" t="n">
        <f aca="false">INDEX('CF Summary'!$B$25:$G$25,L$3)*INDEX(Inputs!$B$79:$O$79,L$4+2)+IF(L$4=11,INDEX('CF Summary'!$B$25:$G$25,L$3+1)*INDEX(Inputs!$B$79:$O$79,1),0)+IF(L$4=12,INDEX('CF Summary'!$B$25:$G$25,L$3+1)*INDEX(Inputs!$B$79:$O$79,2),0)</f>
        <v>0</v>
      </c>
      <c r="M11" s="11" t="n">
        <f aca="false">INDEX('CF Summary'!$B$25:$G$25,M$3)*INDEX(Inputs!$B$79:$O$79,M$4+2)+IF(M$4=11,INDEX('CF Summary'!$B$25:$G$25,M$3+1)*INDEX(Inputs!$B$79:$O$79,1),0)+IF(M$4=12,INDEX('CF Summary'!$B$25:$G$25,M$3+1)*INDEX(Inputs!$B$79:$O$79,2),0)</f>
        <v>0</v>
      </c>
      <c r="N11" s="11" t="n">
        <f aca="false">INDEX('CF Summary'!$B$25:$G$25,N$3)*INDEX(Inputs!$B$79:$O$79,N$4+2)+IF(N$4=11,INDEX('CF Summary'!$B$25:$G$25,N$3+1)*INDEX(Inputs!$B$79:$O$79,1),0)+IF(N$4=12,INDEX('CF Summary'!$B$25:$G$25,N$3+1)*INDEX(Inputs!$B$79:$O$79,2),0)</f>
        <v>0</v>
      </c>
      <c r="O11" s="11" t="n">
        <f aca="false">INDEX('CF Summary'!$B$25:$G$25,O$3)*INDEX(Inputs!$B$79:$O$79,O$4+2)+IF(O$4=11,INDEX('CF Summary'!$B$25:$G$25,O$3+1)*INDEX(Inputs!$B$79:$O$79,1),0)+IF(O$4=12,INDEX('CF Summary'!$B$25:$G$25,O$3+1)*INDEX(Inputs!$B$79:$O$79,2),0)</f>
        <v>0</v>
      </c>
      <c r="P11" s="11" t="n">
        <f aca="false">INDEX('CF Summary'!$B$25:$G$25,P$3)*INDEX(Inputs!$B$79:$O$79,P$4+2)+IF(P$4=11,INDEX('CF Summary'!$B$25:$G$25,P$3+1)*INDEX(Inputs!$B$79:$O$79,1),0)+IF(P$4=12,INDEX('CF Summary'!$B$25:$G$25,P$3+1)*INDEX(Inputs!$B$79:$O$79,2),0)</f>
        <v>0</v>
      </c>
      <c r="Q11" s="11" t="n">
        <f aca="false">INDEX('CF Summary'!$B$25:$G$25,Q$3)*INDEX(Inputs!$B$79:$O$79,Q$4+2)+IF(Q$4=11,INDEX('CF Summary'!$B$25:$G$25,Q$3+1)*INDEX(Inputs!$B$79:$O$79,1),0)+IF(Q$4=12,INDEX('CF Summary'!$B$25:$G$25,Q$3+1)*INDEX(Inputs!$B$79:$O$79,2),0)</f>
        <v>0</v>
      </c>
      <c r="R11" s="11" t="n">
        <f aca="false">INDEX('CF Summary'!$B$25:$G$25,R$3)*INDEX(Inputs!$B$79:$O$79,R$4+2)+IF(R$4=11,INDEX('CF Summary'!$B$25:$G$25,R$3+1)*INDEX(Inputs!$B$79:$O$79,1),0)+IF(R$4=12,INDEX('CF Summary'!$B$25:$G$25,R$3+1)*INDEX(Inputs!$B$79:$O$79,2),0)</f>
        <v>0</v>
      </c>
      <c r="S11" s="11" t="n">
        <f aca="false">INDEX('CF Summary'!$B$25:$G$25,S$3)*INDEX(Inputs!$B$79:$O$79,S$4+2)+IF(S$4=11,INDEX('CF Summary'!$B$25:$G$25,S$3+1)*INDEX(Inputs!$B$79:$O$79,1),0)+IF(S$4=12,INDEX('CF Summary'!$B$25:$G$25,S$3+1)*INDEX(Inputs!$B$79:$O$79,2),0)</f>
        <v>0</v>
      </c>
      <c r="T11" s="11" t="n">
        <f aca="false">INDEX('CF Summary'!$B$25:$G$25,T$3)*INDEX(Inputs!$B$79:$O$79,T$4+2)+IF(T$4=11,INDEX('CF Summary'!$B$25:$G$25,T$3+1)*INDEX(Inputs!$B$79:$O$79,1),0)+IF(T$4=12,INDEX('CF Summary'!$B$25:$G$25,T$3+1)*INDEX(Inputs!$B$79:$O$79,2),0)</f>
        <v>0</v>
      </c>
      <c r="U11" s="11" t="n">
        <f aca="false">INDEX('CF Summary'!$B$25:$G$25,U$3)*INDEX(Inputs!$B$79:$O$79,U$4+2)+IF(U$4=11,INDEX('CF Summary'!$B$25:$G$25,U$3+1)*INDEX(Inputs!$B$79:$O$79,1),0)+IF(U$4=12,INDEX('CF Summary'!$B$25:$G$25,U$3+1)*INDEX(Inputs!$B$79:$O$79,2),0)</f>
        <v>0</v>
      </c>
      <c r="V11" s="11" t="n">
        <f aca="false">INDEX('CF Summary'!$B$25:$G$25,V$3)*INDEX(Inputs!$B$79:$O$79,V$4+2)+IF(V$4=11,INDEX('CF Summary'!$B$25:$G$25,V$3+1)*INDEX(Inputs!$B$79:$O$79,1),0)+IF(V$4=12,INDEX('CF Summary'!$B$25:$G$25,V$3+1)*INDEX(Inputs!$B$79:$O$79,2),0)</f>
        <v>0</v>
      </c>
      <c r="W11" s="11" t="n">
        <f aca="false">INDEX('CF Summary'!$B$25:$G$25,W$3)*INDEX(Inputs!$B$79:$O$79,W$4+2)+IF(W$4=11,INDEX('CF Summary'!$B$25:$G$25,W$3+1)*INDEX(Inputs!$B$79:$O$79,1),0)+IF(W$4=12,INDEX('CF Summary'!$B$25:$G$25,W$3+1)*INDEX(Inputs!$B$79:$O$79,2),0)</f>
        <v>0</v>
      </c>
      <c r="X11" s="11" t="n">
        <f aca="false">INDEX('CF Summary'!$B$25:$G$25,X$3)*INDEX(Inputs!$B$79:$O$79,X$4+2)+IF(X$4=11,INDEX('CF Summary'!$B$25:$G$25,X$3+1)*INDEX(Inputs!$B$79:$O$79,1),0)+IF(X$4=12,INDEX('CF Summary'!$B$25:$G$25,X$3+1)*INDEX(Inputs!$B$79:$O$79,2),0)</f>
        <v>0</v>
      </c>
      <c r="Y11" s="11" t="n">
        <f aca="false">INDEX('CF Summary'!$B$25:$G$25,Y$3)*INDEX(Inputs!$B$79:$O$79,Y$4+2)+IF(Y$4=11,INDEX('CF Summary'!$B$25:$G$25,Y$3+1)*INDEX(Inputs!$B$79:$O$79,1),0)+IF(Y$4=12,INDEX('CF Summary'!$B$25:$G$25,Y$3+1)*INDEX(Inputs!$B$79:$O$79,2),0)</f>
        <v>0</v>
      </c>
      <c r="Z11" s="11" t="n">
        <f aca="false">INDEX('CF Summary'!$B$25:$G$25,Z$3)*INDEX(Inputs!$B$79:$O$79,Z$4+2)+IF(Z$4=11,INDEX('CF Summary'!$B$25:$G$25,Z$3+1)*INDEX(Inputs!$B$79:$O$79,1),0)+IF(Z$4=12,INDEX('CF Summary'!$B$25:$G$25,Z$3+1)*INDEX(Inputs!$B$79:$O$79,2),0)</f>
        <v>0</v>
      </c>
      <c r="AA11" s="11" t="n">
        <f aca="false">INDEX('CF Summary'!$B$25:$G$25,AA$3)*INDEX(Inputs!$B$79:$O$79,AA$4+2)+IF(AA$4=11,INDEX('CF Summary'!$B$25:$G$25,AA$3+1)*INDEX(Inputs!$B$79:$O$79,1),0)+IF(AA$4=12,INDEX('CF Summary'!$B$25:$G$25,AA$3+1)*INDEX(Inputs!$B$79:$O$79,2),0)</f>
        <v>0</v>
      </c>
      <c r="AB11" s="11" t="n">
        <f aca="false">INDEX('CF Summary'!$B$25:$G$25,AB$3)*INDEX(Inputs!$B$79:$O$79,AB$4+2)+IF(AB$4=11,INDEX('CF Summary'!$B$25:$G$25,AB$3+1)*INDEX(Inputs!$B$79:$O$79,1),0)+IF(AB$4=12,INDEX('CF Summary'!$B$25:$G$25,AB$3+1)*INDEX(Inputs!$B$79:$O$79,2),0)</f>
        <v>0</v>
      </c>
      <c r="AC11" s="11" t="n">
        <f aca="false">INDEX('CF Summary'!$B$25:$G$25,AC$3)*INDEX(Inputs!$B$79:$O$79,AC$4+2)+IF(AC$4=11,INDEX('CF Summary'!$B$25:$G$25,AC$3+1)*INDEX(Inputs!$B$79:$O$79,1),0)+IF(AC$4=12,INDEX('CF Summary'!$B$25:$G$25,AC$3+1)*INDEX(Inputs!$B$79:$O$79,2),0)</f>
        <v>0</v>
      </c>
      <c r="AD11" s="11" t="n">
        <f aca="false">INDEX('CF Summary'!$B$25:$G$25,AD$3)*INDEX(Inputs!$B$79:$O$79,AD$4+2)+IF(AD$4=11,INDEX('CF Summary'!$B$25:$G$25,AD$3+1)*INDEX(Inputs!$B$79:$O$79,1),0)+IF(AD$4=12,INDEX('CF Summary'!$B$25:$G$25,AD$3+1)*INDEX(Inputs!$B$79:$O$79,2),0)</f>
        <v>0</v>
      </c>
      <c r="AE11" s="11" t="n">
        <f aca="false">INDEX('CF Summary'!$B$25:$G$25,AE$3)*INDEX(Inputs!$B$79:$O$79,AE$4+2)+IF(AE$4=11,INDEX('CF Summary'!$B$25:$G$25,AE$3+1)*INDEX(Inputs!$B$79:$O$79,1),0)+IF(AE$4=12,INDEX('CF Summary'!$B$25:$G$25,AE$3+1)*INDEX(Inputs!$B$79:$O$79,2),0)</f>
        <v>0</v>
      </c>
      <c r="AF11" s="11" t="n">
        <f aca="false">INDEX('CF Summary'!$B$25:$G$25,AF$3)*INDEX(Inputs!$B$79:$O$79,AF$4+2)+IF(AF$4=11,INDEX('CF Summary'!$B$25:$G$25,AF$3+1)*INDEX(Inputs!$B$79:$O$79,1),0)+IF(AF$4=12,INDEX('CF Summary'!$B$25:$G$25,AF$3+1)*INDEX(Inputs!$B$79:$O$79,2),0)</f>
        <v>0</v>
      </c>
      <c r="AG11" s="11" t="n">
        <f aca="false">INDEX('CF Summary'!$B$25:$G$25,AG$3)*INDEX(Inputs!$B$79:$O$79,AG$4+2)+IF(AG$4=11,INDEX('CF Summary'!$B$25:$G$25,AG$3+1)*INDEX(Inputs!$B$79:$O$79,1),0)+IF(AG$4=12,INDEX('CF Summary'!$B$25:$G$25,AG$3+1)*INDEX(Inputs!$B$79:$O$79,2),0)</f>
        <v>0</v>
      </c>
      <c r="AH11" s="11" t="n">
        <f aca="false">INDEX('CF Summary'!$B$25:$G$25,AH$3)*INDEX(Inputs!$B$79:$O$79,AH$4+2)+IF(AH$4=11,INDEX('CF Summary'!$B$25:$G$25,AH$3+1)*INDEX(Inputs!$B$79:$O$79,1),0)+IF(AH$4=12,INDEX('CF Summary'!$B$25:$G$25,AH$3+1)*INDEX(Inputs!$B$79:$O$79,2),0)</f>
        <v>0</v>
      </c>
      <c r="AI11" s="11" t="n">
        <f aca="false">INDEX('CF Summary'!$B$25:$G$25,AI$3)*INDEX(Inputs!$B$79:$O$79,AI$4+2)+IF(AI$4=11,INDEX('CF Summary'!$B$25:$G$25,AI$3+1)*INDEX(Inputs!$B$79:$O$79,1),0)+IF(AI$4=12,INDEX('CF Summary'!$B$25:$G$25,AI$3+1)*INDEX(Inputs!$B$79:$O$79,2),0)</f>
        <v>0</v>
      </c>
      <c r="AJ11" s="11" t="n">
        <f aca="false">INDEX('CF Summary'!$B$25:$G$25,AJ$3)*INDEX(Inputs!$B$79:$O$79,AJ$4+2)+IF(AJ$4=11,INDEX('CF Summary'!$B$25:$G$25,AJ$3+1)*INDEX(Inputs!$B$79:$O$79,1),0)+IF(AJ$4=12,INDEX('CF Summary'!$B$25:$G$25,AJ$3+1)*INDEX(Inputs!$B$79:$O$79,2),0)</f>
        <v>0</v>
      </c>
      <c r="AK11" s="11" t="n">
        <f aca="false">INDEX('CF Summary'!$B$25:$G$25,AK$3)*INDEX(Inputs!$B$79:$O$79,AK$4+2)+IF(AK$4=11,INDEX('CF Summary'!$B$25:$G$25,AK$3+1)*INDEX(Inputs!$B$79:$O$79,1),0)+IF(AK$4=12,INDEX('CF Summary'!$B$25:$G$25,AK$3+1)*INDEX(Inputs!$B$79:$O$79,2),0)</f>
        <v>0</v>
      </c>
      <c r="AL11" s="11" t="n">
        <f aca="false">INDEX('CF Summary'!$B$25:$G$25,AL$3)*INDEX(Inputs!$B$79:$O$79,AL$4+2)+IF(AL$4=11,INDEX('CF Summary'!$B$25:$G$25,AL$3+1)*INDEX(Inputs!$B$79:$O$79,1),0)+IF(AL$4=12,INDEX('CF Summary'!$B$25:$G$25,AL$3+1)*INDEX(Inputs!$B$79:$O$79,2),0)</f>
        <v>0</v>
      </c>
      <c r="AM11" s="11" t="n">
        <f aca="false">INDEX('CF Summary'!$B$25:$G$25,AM$3)*INDEX(Inputs!$B$79:$O$79,AM$4+2)+IF(AM$4=11,INDEX('CF Summary'!$B$25:$G$25,AM$3+1)*INDEX(Inputs!$B$79:$O$79,1),0)+IF(AM$4=12,INDEX('CF Summary'!$B$25:$G$25,AM$3+1)*INDEX(Inputs!$B$79:$O$79,2),0)</f>
        <v>0</v>
      </c>
      <c r="AN11" s="11" t="n">
        <f aca="false">INDEX('CF Summary'!$B$25:$G$25,AN$3)*INDEX(Inputs!$B$79:$O$79,AN$4+2)+IF(AN$4=11,INDEX('CF Summary'!$B$25:$G$25,AN$3+1)*INDEX(Inputs!$B$79:$O$79,1),0)+IF(AN$4=12,INDEX('CF Summary'!$B$25:$G$25,AN$3+1)*INDEX(Inputs!$B$79:$O$79,2),0)</f>
        <v>0</v>
      </c>
      <c r="AO11" s="11" t="n">
        <f aca="false">INDEX('CF Summary'!$B$25:$G$25,AO$3)*INDEX(Inputs!$B$79:$O$79,AO$4+2)+IF(AO$4=11,INDEX('CF Summary'!$B$25:$G$25,AO$3+1)*INDEX(Inputs!$B$79:$O$79,1),0)+IF(AO$4=12,INDEX('CF Summary'!$B$25:$G$25,AO$3+1)*INDEX(Inputs!$B$79:$O$79,2),0)</f>
        <v>0</v>
      </c>
      <c r="AP11" s="11" t="n">
        <f aca="false">INDEX('CF Summary'!$B$25:$G$25,AP$3)*INDEX(Inputs!$B$79:$O$79,AP$4+2)+IF(AP$4=11,INDEX('CF Summary'!$B$25:$G$25,AP$3+1)*INDEX(Inputs!$B$79:$O$79,1),0)+IF(AP$4=12,INDEX('CF Summary'!$B$25:$G$25,AP$3+1)*INDEX(Inputs!$B$79:$O$79,2),0)</f>
        <v>0</v>
      </c>
      <c r="AQ11" s="11" t="n">
        <f aca="false">INDEX('CF Summary'!$B$25:$G$25,AQ$3)*INDEX(Inputs!$B$79:$O$79,AQ$4+2)+IF(AQ$4=11,INDEX('CF Summary'!$B$25:$G$25,AQ$3+1)*INDEX(Inputs!$B$79:$O$79,1),0)+IF(AQ$4=12,INDEX('CF Summary'!$B$25:$G$25,AQ$3+1)*INDEX(Inputs!$B$79:$O$79,2),0)</f>
        <v>0</v>
      </c>
      <c r="AR11" s="11" t="n">
        <f aca="false">INDEX('CF Summary'!$B$25:$G$25,AR$3)*INDEX(Inputs!$B$79:$O$79,AR$4+2)+IF(AR$4=11,INDEX('CF Summary'!$B$25:$G$25,AR$3+1)*INDEX(Inputs!$B$79:$O$79,1),0)+IF(AR$4=12,INDEX('CF Summary'!$B$25:$G$25,AR$3+1)*INDEX(Inputs!$B$79:$O$79,2),0)</f>
        <v>0</v>
      </c>
      <c r="AS11" s="11" t="n">
        <f aca="false">INDEX('CF Summary'!$B$25:$G$25,AS$3)*INDEX(Inputs!$B$79:$O$79,AS$4+2)+IF(AS$4=11,INDEX('CF Summary'!$B$25:$G$25,AS$3+1)*INDEX(Inputs!$B$79:$O$79,1),0)+IF(AS$4=12,INDEX('CF Summary'!$B$25:$G$25,AS$3+1)*INDEX(Inputs!$B$79:$O$79,2),0)</f>
        <v>0</v>
      </c>
      <c r="AT11" s="11" t="n">
        <f aca="false">INDEX('CF Summary'!$B$25:$G$25,AT$3)*INDEX(Inputs!$B$79:$O$79,AT$4+2)+IF(AT$4=11,INDEX('CF Summary'!$B$25:$G$25,AT$3+1)*INDEX(Inputs!$B$79:$O$79,1),0)+IF(AT$4=12,INDEX('CF Summary'!$B$25:$G$25,AT$3+1)*INDEX(Inputs!$B$79:$O$79,2),0)</f>
        <v>0</v>
      </c>
      <c r="AU11" s="11" t="n">
        <f aca="false">INDEX('CF Summary'!$B$25:$G$25,AU$3)*INDEX(Inputs!$B$79:$O$79,AU$4+2)+IF(AU$4=11,INDEX('CF Summary'!$B$25:$G$25,AU$3+1)*INDEX(Inputs!$B$79:$O$79,1),0)+IF(AU$4=12,INDEX('CF Summary'!$B$25:$G$25,AU$3+1)*INDEX(Inputs!$B$79:$O$79,2),0)</f>
        <v>0</v>
      </c>
      <c r="AV11" s="11" t="n">
        <f aca="false">INDEX('CF Summary'!$B$25:$G$25,AV$3)*INDEX(Inputs!$B$79:$O$79,AV$4+2)+IF(AV$4=11,INDEX('CF Summary'!$B$25:$G$25,AV$3+1)*INDEX(Inputs!$B$79:$O$79,1),0)+IF(AV$4=12,INDEX('CF Summary'!$B$25:$G$25,AV$3+1)*INDEX(Inputs!$B$79:$O$79,2),0)</f>
        <v>0</v>
      </c>
      <c r="AW11" s="11" t="n">
        <f aca="false">INDEX('CF Summary'!$B$25:$G$25,AW$3)*INDEX(Inputs!$B$79:$O$79,AW$4+2)+IF(AW$4=11,INDEX('CF Summary'!$B$25:$G$25,AW$3+1)*INDEX(Inputs!$B$79:$O$79,1),0)+IF(AW$4=12,INDEX('CF Summary'!$B$25:$G$25,AW$3+1)*INDEX(Inputs!$B$79:$O$79,2),0)</f>
        <v>0</v>
      </c>
      <c r="AX11" s="11" t="n">
        <f aca="false">INDEX('CF Summary'!$B$25:$G$25,AX$3)*INDEX(Inputs!$B$79:$O$79,AX$4+2)+IF(AX$4=11,INDEX('CF Summary'!$B$25:$G$25,AX$3+1)*INDEX(Inputs!$B$79:$O$79,1),0)+IF(AX$4=12,INDEX('CF Summary'!$B$25:$G$25,AX$3+1)*INDEX(Inputs!$B$79:$O$79,2),0)</f>
        <v>0</v>
      </c>
      <c r="AY11" s="11" t="n">
        <f aca="false">INDEX('CF Summary'!$B$25:$G$25,AY$3)*INDEX(Inputs!$B$79:$O$79,AY$4+2)+IF(AY$4=11,INDEX('CF Summary'!$B$25:$G$25,AY$3+1)*INDEX(Inputs!$B$79:$O$79,1),0)+IF(AY$4=12,INDEX('CF Summary'!$B$25:$G$25,AY$3+1)*INDEX(Inputs!$B$79:$O$79,2),0)</f>
        <v>0</v>
      </c>
      <c r="AZ11" s="11" t="n">
        <f aca="false">INDEX('CF Summary'!$B$25:$G$25,AZ$3)*INDEX(Inputs!$B$79:$O$79,AZ$4+2)+IF(AZ$4=11,INDEX('CF Summary'!$B$25:$G$25,AZ$3+1)*INDEX(Inputs!$B$79:$O$79,1),0)+IF(AZ$4=12,INDEX('CF Summary'!$B$25:$G$25,AZ$3+1)*INDEX(Inputs!$B$79:$O$79,2),0)</f>
        <v>0</v>
      </c>
      <c r="BA11" s="11" t="n">
        <f aca="false">INDEX('CF Summary'!$B$25:$G$25,BA$3)*INDEX(Inputs!$B$79:$O$79,BA$4+2)+IF(BA$4=11,INDEX('CF Summary'!$B$25:$G$25,BA$3+1)*INDEX(Inputs!$B$79:$O$79,1),0)+IF(BA$4=12,INDEX('CF Summary'!$B$25:$G$25,BA$3+1)*INDEX(Inputs!$B$79:$O$79,2),0)</f>
        <v>0</v>
      </c>
      <c r="BB11" s="11" t="n">
        <f aca="false">INDEX('CF Summary'!$B$25:$G$25,BB$3)*INDEX(Inputs!$B$79:$O$79,BB$4+2)+IF(BB$4=11,INDEX('CF Summary'!$B$25:$G$25,BB$3+1)*INDEX(Inputs!$B$79:$O$79,1),0)+IF(BB$4=12,INDEX('CF Summary'!$B$25:$G$25,BB$3+1)*INDEX(Inputs!$B$79:$O$79,2),0)</f>
        <v>0</v>
      </c>
      <c r="BC11" s="11" t="n">
        <f aca="false">INDEX('CF Summary'!$B$25:$G$25,BC$3)*INDEX(Inputs!$B$79:$O$79,BC$4+2)+IF(BC$4=11,INDEX('CF Summary'!$B$25:$G$25,BC$3+1)*INDEX(Inputs!$B$79:$O$79,1),0)+IF(BC$4=12,INDEX('CF Summary'!$B$25:$G$25,BC$3+1)*INDEX(Inputs!$B$79:$O$79,2),0)</f>
        <v>0</v>
      </c>
      <c r="BD11" s="11" t="n">
        <f aca="false">INDEX('CF Summary'!$B$25:$G$25,BD$3)*INDEX(Inputs!$B$79:$O$79,BD$4+2)+IF(BD$4=11,INDEX('CF Summary'!$B$25:$G$25,BD$3+1)*INDEX(Inputs!$B$79:$O$79,1),0)+IF(BD$4=12,INDEX('CF Summary'!$B$25:$G$25,BD$3+1)*INDEX(Inputs!$B$79:$O$79,2),0)</f>
        <v>0</v>
      </c>
      <c r="BE11" s="11" t="n">
        <f aca="false">INDEX('CF Summary'!$B$25:$G$25,BE$3)*INDEX(Inputs!$B$79:$O$79,BE$4+2)+IF(BE$4=11,INDEX('CF Summary'!$B$25:$G$25,BE$3+1)*INDEX(Inputs!$B$79:$O$79,1),0)+IF(BE$4=12,INDEX('CF Summary'!$B$25:$G$25,BE$3+1)*INDEX(Inputs!$B$79:$O$79,2),0)</f>
        <v>0</v>
      </c>
      <c r="BF11" s="11" t="n">
        <f aca="false">INDEX('CF Summary'!$B$25:$G$25,BF$3)*INDEX(Inputs!$B$79:$O$79,BF$4+2)+IF(BF$4=11,INDEX('CF Summary'!$B$25:$G$25,BF$3+1)*INDEX(Inputs!$B$79:$O$79,1),0)+IF(BF$4=12,INDEX('CF Summary'!$B$25:$G$25,BF$3+1)*INDEX(Inputs!$B$79:$O$79,2),0)</f>
        <v>0</v>
      </c>
      <c r="BG11" s="11" t="n">
        <f aca="false">INDEX('CF Summary'!$B$25:$G$25,BG$3)*INDEX(Inputs!$B$79:$O$79,BG$4+2)+IF(BG$4=11,INDEX('CF Summary'!$B$25:$G$25,BG$3+1)*INDEX(Inputs!$B$79:$O$79,1),0)+IF(BG$4=12,INDEX('CF Summary'!$B$25:$G$25,BG$3+1)*INDEX(Inputs!$B$79:$O$79,2),0)</f>
        <v>0</v>
      </c>
      <c r="BH11" s="11" t="n">
        <f aca="false">INDEX('CF Summary'!$B$25:$G$25,BH$3)*INDEX(Inputs!$B$79:$O$79,BH$4+2)+IF(BH$4=11,INDEX('CF Summary'!$B$25:$G$25,BH$3+1)*INDEX(Inputs!$B$79:$O$79,1),0)+IF(BH$4=12,INDEX('CF Summary'!$B$25:$G$25,BH$3+1)*INDEX(Inputs!$B$79:$O$79,2),0)</f>
        <v>0</v>
      </c>
      <c r="BI11" s="11" t="n">
        <f aca="false">INDEX('CF Summary'!$B$25:$G$25,BI$3)*INDEX(Inputs!$B$79:$O$79,BI$4+2)+IF(BI$4=11,INDEX('CF Summary'!$B$25:$G$25,BI$3+1)*INDEX(Inputs!$B$79:$O$79,1),0)+IF(BI$4=12,INDEX('CF Summary'!$B$25:$G$25,BI$3+1)*INDEX(Inputs!$B$79:$O$79,2),0)</f>
        <v>0</v>
      </c>
    </row>
    <row r="12" customFormat="false" ht="15" hidden="false" customHeight="false" outlineLevel="0" collapsed="false">
      <c r="A12" s="6" t="s">
        <v>542</v>
      </c>
      <c r="B12" s="11" t="n">
        <f aca="false">INDEX('CF Summary'!$B$26:$G$26,B$3)*INDEX(Inputs!$B$80:$O$80,B$4+2)+IF(B$4=11,INDEX('CF Summary'!$B$26:$G$26,B$3+1)*INDEX(Inputs!$B$80:$O$80,1),0)+IF(B$4=12,INDEX('CF Summary'!$B$26:$G$26,B$3+1)*INDEX(Inputs!$B$80:$O$80,2),0)</f>
        <v>0</v>
      </c>
      <c r="C12" s="11" t="n">
        <f aca="false">INDEX('CF Summary'!$B$26:$G$26,C$3)*INDEX(Inputs!$B$80:$O$80,C$4+2)+IF(C$4=11,INDEX('CF Summary'!$B$26:$G$26,C$3+1)*INDEX(Inputs!$B$80:$O$80,1),0)+IF(C$4=12,INDEX('CF Summary'!$B$26:$G$26,C$3+1)*INDEX(Inputs!$B$80:$O$80,2),0)</f>
        <v>0</v>
      </c>
      <c r="D12" s="11" t="n">
        <f aca="false">INDEX('CF Summary'!$B$26:$G$26,D$3)*INDEX(Inputs!$B$80:$O$80,D$4+2)+IF(D$4=11,INDEX('CF Summary'!$B$26:$G$26,D$3+1)*INDEX(Inputs!$B$80:$O$80,1),0)+IF(D$4=12,INDEX('CF Summary'!$B$26:$G$26,D$3+1)*INDEX(Inputs!$B$80:$O$80,2),0)</f>
        <v>0</v>
      </c>
      <c r="E12" s="11" t="n">
        <f aca="false">INDEX('CF Summary'!$B$26:$G$26,E$3)*INDEX(Inputs!$B$80:$O$80,E$4+2)+IF(E$4=11,INDEX('CF Summary'!$B$26:$G$26,E$3+1)*INDEX(Inputs!$B$80:$O$80,1),0)+IF(E$4=12,INDEX('CF Summary'!$B$26:$G$26,E$3+1)*INDEX(Inputs!$B$80:$O$80,2),0)</f>
        <v>0</v>
      </c>
      <c r="F12" s="11" t="n">
        <f aca="false">INDEX('CF Summary'!$B$26:$G$26,F$3)*INDEX(Inputs!$B$80:$O$80,F$4+2)+IF(F$4=11,INDEX('CF Summary'!$B$26:$G$26,F$3+1)*INDEX(Inputs!$B$80:$O$80,1),0)+IF(F$4=12,INDEX('CF Summary'!$B$26:$G$26,F$3+1)*INDEX(Inputs!$B$80:$O$80,2),0)</f>
        <v>0</v>
      </c>
      <c r="G12" s="11" t="n">
        <f aca="false">INDEX('CF Summary'!$B$26:$G$26,G$3)*INDEX(Inputs!$B$80:$O$80,G$4+2)+IF(G$4=11,INDEX('CF Summary'!$B$26:$G$26,G$3+1)*INDEX(Inputs!$B$80:$O$80,1),0)+IF(G$4=12,INDEX('CF Summary'!$B$26:$G$26,G$3+1)*INDEX(Inputs!$B$80:$O$80,2),0)</f>
        <v>0</v>
      </c>
      <c r="H12" s="11" t="n">
        <f aca="false">INDEX('CF Summary'!$B$26:$G$26,H$3)*INDEX(Inputs!$B$80:$O$80,H$4+2)+IF(H$4=11,INDEX('CF Summary'!$B$26:$G$26,H$3+1)*INDEX(Inputs!$B$80:$O$80,1),0)+IF(H$4=12,INDEX('CF Summary'!$B$26:$G$26,H$3+1)*INDEX(Inputs!$B$80:$O$80,2),0)</f>
        <v>0</v>
      </c>
      <c r="I12" s="11" t="n">
        <f aca="false">INDEX('CF Summary'!$B$26:$G$26,I$3)*INDEX(Inputs!$B$80:$O$80,I$4+2)+IF(I$4=11,INDEX('CF Summary'!$B$26:$G$26,I$3+1)*INDEX(Inputs!$B$80:$O$80,1),0)+IF(I$4=12,INDEX('CF Summary'!$B$26:$G$26,I$3+1)*INDEX(Inputs!$B$80:$O$80,2),0)</f>
        <v>0</v>
      </c>
      <c r="J12" s="11" t="n">
        <f aca="false">INDEX('CF Summary'!$B$26:$G$26,J$3)*INDEX(Inputs!$B$80:$O$80,J$4+2)+IF(J$4=11,INDEX('CF Summary'!$B$26:$G$26,J$3+1)*INDEX(Inputs!$B$80:$O$80,1),0)+IF(J$4=12,INDEX('CF Summary'!$B$26:$G$26,J$3+1)*INDEX(Inputs!$B$80:$O$80,2),0)</f>
        <v>0</v>
      </c>
      <c r="K12" s="11" t="n">
        <f aca="false">INDEX('CF Summary'!$B$26:$G$26,K$3)*INDEX(Inputs!$B$80:$O$80,K$4+2)+IF(K$4=11,INDEX('CF Summary'!$B$26:$G$26,K$3+1)*INDEX(Inputs!$B$80:$O$80,1),0)+IF(K$4=12,INDEX('CF Summary'!$B$26:$G$26,K$3+1)*INDEX(Inputs!$B$80:$O$80,2),0)</f>
        <v>0</v>
      </c>
      <c r="L12" s="11" t="n">
        <f aca="false">INDEX('CF Summary'!$B$26:$G$26,L$3)*INDEX(Inputs!$B$80:$O$80,L$4+2)+IF(L$4=11,INDEX('CF Summary'!$B$26:$G$26,L$3+1)*INDEX(Inputs!$B$80:$O$80,1),0)+IF(L$4=12,INDEX('CF Summary'!$B$26:$G$26,L$3+1)*INDEX(Inputs!$B$80:$O$80,2),0)</f>
        <v>0</v>
      </c>
      <c r="M12" s="11" t="n">
        <f aca="false">INDEX('CF Summary'!$B$26:$G$26,M$3)*INDEX(Inputs!$B$80:$O$80,M$4+2)+IF(M$4=11,INDEX('CF Summary'!$B$26:$G$26,M$3+1)*INDEX(Inputs!$B$80:$O$80,1),0)+IF(M$4=12,INDEX('CF Summary'!$B$26:$G$26,M$3+1)*INDEX(Inputs!$B$80:$O$80,2),0)</f>
        <v>0</v>
      </c>
      <c r="N12" s="11" t="n">
        <f aca="false">INDEX('CF Summary'!$B$26:$G$26,N$3)*INDEX(Inputs!$B$80:$O$80,N$4+2)+IF(N$4=11,INDEX('CF Summary'!$B$26:$G$26,N$3+1)*INDEX(Inputs!$B$80:$O$80,1),0)+IF(N$4=12,INDEX('CF Summary'!$B$26:$G$26,N$3+1)*INDEX(Inputs!$B$80:$O$80,2),0)</f>
        <v>0</v>
      </c>
      <c r="O12" s="11" t="n">
        <f aca="false">INDEX('CF Summary'!$B$26:$G$26,O$3)*INDEX(Inputs!$B$80:$O$80,O$4+2)+IF(O$4=11,INDEX('CF Summary'!$B$26:$G$26,O$3+1)*INDEX(Inputs!$B$80:$O$80,1),0)+IF(O$4=12,INDEX('CF Summary'!$B$26:$G$26,O$3+1)*INDEX(Inputs!$B$80:$O$80,2),0)</f>
        <v>0</v>
      </c>
      <c r="P12" s="11" t="n">
        <f aca="false">INDEX('CF Summary'!$B$26:$G$26,P$3)*INDEX(Inputs!$B$80:$O$80,P$4+2)+IF(P$4=11,INDEX('CF Summary'!$B$26:$G$26,P$3+1)*INDEX(Inputs!$B$80:$O$80,1),0)+IF(P$4=12,INDEX('CF Summary'!$B$26:$G$26,P$3+1)*INDEX(Inputs!$B$80:$O$80,2),0)</f>
        <v>0</v>
      </c>
      <c r="Q12" s="11" t="n">
        <f aca="false">INDEX('CF Summary'!$B$26:$G$26,Q$3)*INDEX(Inputs!$B$80:$O$80,Q$4+2)+IF(Q$4=11,INDEX('CF Summary'!$B$26:$G$26,Q$3+1)*INDEX(Inputs!$B$80:$O$80,1),0)+IF(Q$4=12,INDEX('CF Summary'!$B$26:$G$26,Q$3+1)*INDEX(Inputs!$B$80:$O$80,2),0)</f>
        <v>0</v>
      </c>
      <c r="R12" s="11" t="n">
        <f aca="false">INDEX('CF Summary'!$B$26:$G$26,R$3)*INDEX(Inputs!$B$80:$O$80,R$4+2)+IF(R$4=11,INDEX('CF Summary'!$B$26:$G$26,R$3+1)*INDEX(Inputs!$B$80:$O$80,1),0)+IF(R$4=12,INDEX('CF Summary'!$B$26:$G$26,R$3+1)*INDEX(Inputs!$B$80:$O$80,2),0)</f>
        <v>0</v>
      </c>
      <c r="S12" s="11" t="n">
        <f aca="false">INDEX('CF Summary'!$B$26:$G$26,S$3)*INDEX(Inputs!$B$80:$O$80,S$4+2)+IF(S$4=11,INDEX('CF Summary'!$B$26:$G$26,S$3+1)*INDEX(Inputs!$B$80:$O$80,1),0)+IF(S$4=12,INDEX('CF Summary'!$B$26:$G$26,S$3+1)*INDEX(Inputs!$B$80:$O$80,2),0)</f>
        <v>0</v>
      </c>
      <c r="T12" s="11" t="n">
        <f aca="false">INDEX('CF Summary'!$B$26:$G$26,T$3)*INDEX(Inputs!$B$80:$O$80,T$4+2)+IF(T$4=11,INDEX('CF Summary'!$B$26:$G$26,T$3+1)*INDEX(Inputs!$B$80:$O$80,1),0)+IF(T$4=12,INDEX('CF Summary'!$B$26:$G$26,T$3+1)*INDEX(Inputs!$B$80:$O$80,2),0)</f>
        <v>0</v>
      </c>
      <c r="U12" s="11" t="n">
        <f aca="false">INDEX('CF Summary'!$B$26:$G$26,U$3)*INDEX(Inputs!$B$80:$O$80,U$4+2)+IF(U$4=11,INDEX('CF Summary'!$B$26:$G$26,U$3+1)*INDEX(Inputs!$B$80:$O$80,1),0)+IF(U$4=12,INDEX('CF Summary'!$B$26:$G$26,U$3+1)*INDEX(Inputs!$B$80:$O$80,2),0)</f>
        <v>0</v>
      </c>
      <c r="V12" s="11" t="n">
        <f aca="false">INDEX('CF Summary'!$B$26:$G$26,V$3)*INDEX(Inputs!$B$80:$O$80,V$4+2)+IF(V$4=11,INDEX('CF Summary'!$B$26:$G$26,V$3+1)*INDEX(Inputs!$B$80:$O$80,1),0)+IF(V$4=12,INDEX('CF Summary'!$B$26:$G$26,V$3+1)*INDEX(Inputs!$B$80:$O$80,2),0)</f>
        <v>0</v>
      </c>
      <c r="W12" s="11" t="n">
        <f aca="false">INDEX('CF Summary'!$B$26:$G$26,W$3)*INDEX(Inputs!$B$80:$O$80,W$4+2)+IF(W$4=11,INDEX('CF Summary'!$B$26:$G$26,W$3+1)*INDEX(Inputs!$B$80:$O$80,1),0)+IF(W$4=12,INDEX('CF Summary'!$B$26:$G$26,W$3+1)*INDEX(Inputs!$B$80:$O$80,2),0)</f>
        <v>0</v>
      </c>
      <c r="X12" s="11" t="n">
        <f aca="false">INDEX('CF Summary'!$B$26:$G$26,X$3)*INDEX(Inputs!$B$80:$O$80,X$4+2)+IF(X$4=11,INDEX('CF Summary'!$B$26:$G$26,X$3+1)*INDEX(Inputs!$B$80:$O$80,1),0)+IF(X$4=12,INDEX('CF Summary'!$B$26:$G$26,X$3+1)*INDEX(Inputs!$B$80:$O$80,2),0)</f>
        <v>0</v>
      </c>
      <c r="Y12" s="11" t="n">
        <f aca="false">INDEX('CF Summary'!$B$26:$G$26,Y$3)*INDEX(Inputs!$B$80:$O$80,Y$4+2)+IF(Y$4=11,INDEX('CF Summary'!$B$26:$G$26,Y$3+1)*INDEX(Inputs!$B$80:$O$80,1),0)+IF(Y$4=12,INDEX('CF Summary'!$B$26:$G$26,Y$3+1)*INDEX(Inputs!$B$80:$O$80,2),0)</f>
        <v>0</v>
      </c>
      <c r="Z12" s="11" t="n">
        <f aca="false">INDEX('CF Summary'!$B$26:$G$26,Z$3)*INDEX(Inputs!$B$80:$O$80,Z$4+2)+IF(Z$4=11,INDEX('CF Summary'!$B$26:$G$26,Z$3+1)*INDEX(Inputs!$B$80:$O$80,1),0)+IF(Z$4=12,INDEX('CF Summary'!$B$26:$G$26,Z$3+1)*INDEX(Inputs!$B$80:$O$80,2),0)</f>
        <v>0</v>
      </c>
      <c r="AA12" s="11" t="n">
        <f aca="false">INDEX('CF Summary'!$B$26:$G$26,AA$3)*INDEX(Inputs!$B$80:$O$80,AA$4+2)+IF(AA$4=11,INDEX('CF Summary'!$B$26:$G$26,AA$3+1)*INDEX(Inputs!$B$80:$O$80,1),0)+IF(AA$4=12,INDEX('CF Summary'!$B$26:$G$26,AA$3+1)*INDEX(Inputs!$B$80:$O$80,2),0)</f>
        <v>0</v>
      </c>
      <c r="AB12" s="11" t="n">
        <f aca="false">INDEX('CF Summary'!$B$26:$G$26,AB$3)*INDEX(Inputs!$B$80:$O$80,AB$4+2)+IF(AB$4=11,INDEX('CF Summary'!$B$26:$G$26,AB$3+1)*INDEX(Inputs!$B$80:$O$80,1),0)+IF(AB$4=12,INDEX('CF Summary'!$B$26:$G$26,AB$3+1)*INDEX(Inputs!$B$80:$O$80,2),0)</f>
        <v>0</v>
      </c>
      <c r="AC12" s="11" t="n">
        <f aca="false">INDEX('CF Summary'!$B$26:$G$26,AC$3)*INDEX(Inputs!$B$80:$O$80,AC$4+2)+IF(AC$4=11,INDEX('CF Summary'!$B$26:$G$26,AC$3+1)*INDEX(Inputs!$B$80:$O$80,1),0)+IF(AC$4=12,INDEX('CF Summary'!$B$26:$G$26,AC$3+1)*INDEX(Inputs!$B$80:$O$80,2),0)</f>
        <v>0</v>
      </c>
      <c r="AD12" s="11" t="n">
        <f aca="false">INDEX('CF Summary'!$B$26:$G$26,AD$3)*INDEX(Inputs!$B$80:$O$80,AD$4+2)+IF(AD$4=11,INDEX('CF Summary'!$B$26:$G$26,AD$3+1)*INDEX(Inputs!$B$80:$O$80,1),0)+IF(AD$4=12,INDEX('CF Summary'!$B$26:$G$26,AD$3+1)*INDEX(Inputs!$B$80:$O$80,2),0)</f>
        <v>0</v>
      </c>
      <c r="AE12" s="11" t="n">
        <f aca="false">INDEX('CF Summary'!$B$26:$G$26,AE$3)*INDEX(Inputs!$B$80:$O$80,AE$4+2)+IF(AE$4=11,INDEX('CF Summary'!$B$26:$G$26,AE$3+1)*INDEX(Inputs!$B$80:$O$80,1),0)+IF(AE$4=12,INDEX('CF Summary'!$B$26:$G$26,AE$3+1)*INDEX(Inputs!$B$80:$O$80,2),0)</f>
        <v>0</v>
      </c>
      <c r="AF12" s="11" t="n">
        <f aca="false">INDEX('CF Summary'!$B$26:$G$26,AF$3)*INDEX(Inputs!$B$80:$O$80,AF$4+2)+IF(AF$4=11,INDEX('CF Summary'!$B$26:$G$26,AF$3+1)*INDEX(Inputs!$B$80:$O$80,1),0)+IF(AF$4=12,INDEX('CF Summary'!$B$26:$G$26,AF$3+1)*INDEX(Inputs!$B$80:$O$80,2),0)</f>
        <v>0</v>
      </c>
      <c r="AG12" s="11" t="n">
        <f aca="false">INDEX('CF Summary'!$B$26:$G$26,AG$3)*INDEX(Inputs!$B$80:$O$80,AG$4+2)+IF(AG$4=11,INDEX('CF Summary'!$B$26:$G$26,AG$3+1)*INDEX(Inputs!$B$80:$O$80,1),0)+IF(AG$4=12,INDEX('CF Summary'!$B$26:$G$26,AG$3+1)*INDEX(Inputs!$B$80:$O$80,2),0)</f>
        <v>0</v>
      </c>
      <c r="AH12" s="11" t="n">
        <f aca="false">INDEX('CF Summary'!$B$26:$G$26,AH$3)*INDEX(Inputs!$B$80:$O$80,AH$4+2)+IF(AH$4=11,INDEX('CF Summary'!$B$26:$G$26,AH$3+1)*INDEX(Inputs!$B$80:$O$80,1),0)+IF(AH$4=12,INDEX('CF Summary'!$B$26:$G$26,AH$3+1)*INDEX(Inputs!$B$80:$O$80,2),0)</f>
        <v>0</v>
      </c>
      <c r="AI12" s="11" t="n">
        <f aca="false">INDEX('CF Summary'!$B$26:$G$26,AI$3)*INDEX(Inputs!$B$80:$O$80,AI$4+2)+IF(AI$4=11,INDEX('CF Summary'!$B$26:$G$26,AI$3+1)*INDEX(Inputs!$B$80:$O$80,1),0)+IF(AI$4=12,INDEX('CF Summary'!$B$26:$G$26,AI$3+1)*INDEX(Inputs!$B$80:$O$80,2),0)</f>
        <v>0</v>
      </c>
      <c r="AJ12" s="11" t="n">
        <f aca="false">INDEX('CF Summary'!$B$26:$G$26,AJ$3)*INDEX(Inputs!$B$80:$O$80,AJ$4+2)+IF(AJ$4=11,INDEX('CF Summary'!$B$26:$G$26,AJ$3+1)*INDEX(Inputs!$B$80:$O$80,1),0)+IF(AJ$4=12,INDEX('CF Summary'!$B$26:$G$26,AJ$3+1)*INDEX(Inputs!$B$80:$O$80,2),0)</f>
        <v>0</v>
      </c>
      <c r="AK12" s="11" t="n">
        <f aca="false">INDEX('CF Summary'!$B$26:$G$26,AK$3)*INDEX(Inputs!$B$80:$O$80,AK$4+2)+IF(AK$4=11,INDEX('CF Summary'!$B$26:$G$26,AK$3+1)*INDEX(Inputs!$B$80:$O$80,1),0)+IF(AK$4=12,INDEX('CF Summary'!$B$26:$G$26,AK$3+1)*INDEX(Inputs!$B$80:$O$80,2),0)</f>
        <v>0</v>
      </c>
      <c r="AL12" s="11" t="n">
        <f aca="false">INDEX('CF Summary'!$B$26:$G$26,AL$3)*INDEX(Inputs!$B$80:$O$80,AL$4+2)+IF(AL$4=11,INDEX('CF Summary'!$B$26:$G$26,AL$3+1)*INDEX(Inputs!$B$80:$O$80,1),0)+IF(AL$4=12,INDEX('CF Summary'!$B$26:$G$26,AL$3+1)*INDEX(Inputs!$B$80:$O$80,2),0)</f>
        <v>0</v>
      </c>
      <c r="AM12" s="11" t="n">
        <f aca="false">INDEX('CF Summary'!$B$26:$G$26,AM$3)*INDEX(Inputs!$B$80:$O$80,AM$4+2)+IF(AM$4=11,INDEX('CF Summary'!$B$26:$G$26,AM$3+1)*INDEX(Inputs!$B$80:$O$80,1),0)+IF(AM$4=12,INDEX('CF Summary'!$B$26:$G$26,AM$3+1)*INDEX(Inputs!$B$80:$O$80,2),0)</f>
        <v>0</v>
      </c>
      <c r="AN12" s="11" t="n">
        <f aca="false">INDEX('CF Summary'!$B$26:$G$26,AN$3)*INDEX(Inputs!$B$80:$O$80,AN$4+2)+IF(AN$4=11,INDEX('CF Summary'!$B$26:$G$26,AN$3+1)*INDEX(Inputs!$B$80:$O$80,1),0)+IF(AN$4=12,INDEX('CF Summary'!$B$26:$G$26,AN$3+1)*INDEX(Inputs!$B$80:$O$80,2),0)</f>
        <v>0</v>
      </c>
      <c r="AO12" s="11" t="n">
        <f aca="false">INDEX('CF Summary'!$B$26:$G$26,AO$3)*INDEX(Inputs!$B$80:$O$80,AO$4+2)+IF(AO$4=11,INDEX('CF Summary'!$B$26:$G$26,AO$3+1)*INDEX(Inputs!$B$80:$O$80,1),0)+IF(AO$4=12,INDEX('CF Summary'!$B$26:$G$26,AO$3+1)*INDEX(Inputs!$B$80:$O$80,2),0)</f>
        <v>0</v>
      </c>
      <c r="AP12" s="11" t="n">
        <f aca="false">INDEX('CF Summary'!$B$26:$G$26,AP$3)*INDEX(Inputs!$B$80:$O$80,AP$4+2)+IF(AP$4=11,INDEX('CF Summary'!$B$26:$G$26,AP$3+1)*INDEX(Inputs!$B$80:$O$80,1),0)+IF(AP$4=12,INDEX('CF Summary'!$B$26:$G$26,AP$3+1)*INDEX(Inputs!$B$80:$O$80,2),0)</f>
        <v>0</v>
      </c>
      <c r="AQ12" s="11" t="n">
        <f aca="false">INDEX('CF Summary'!$B$26:$G$26,AQ$3)*INDEX(Inputs!$B$80:$O$80,AQ$4+2)+IF(AQ$4=11,INDEX('CF Summary'!$B$26:$G$26,AQ$3+1)*INDEX(Inputs!$B$80:$O$80,1),0)+IF(AQ$4=12,INDEX('CF Summary'!$B$26:$G$26,AQ$3+1)*INDEX(Inputs!$B$80:$O$80,2),0)</f>
        <v>0</v>
      </c>
      <c r="AR12" s="11" t="n">
        <f aca="false">INDEX('CF Summary'!$B$26:$G$26,AR$3)*INDEX(Inputs!$B$80:$O$80,AR$4+2)+IF(AR$4=11,INDEX('CF Summary'!$B$26:$G$26,AR$3+1)*INDEX(Inputs!$B$80:$O$80,1),0)+IF(AR$4=12,INDEX('CF Summary'!$B$26:$G$26,AR$3+1)*INDEX(Inputs!$B$80:$O$80,2),0)</f>
        <v>0</v>
      </c>
      <c r="AS12" s="11" t="n">
        <f aca="false">INDEX('CF Summary'!$B$26:$G$26,AS$3)*INDEX(Inputs!$B$80:$O$80,AS$4+2)+IF(AS$4=11,INDEX('CF Summary'!$B$26:$G$26,AS$3+1)*INDEX(Inputs!$B$80:$O$80,1),0)+IF(AS$4=12,INDEX('CF Summary'!$B$26:$G$26,AS$3+1)*INDEX(Inputs!$B$80:$O$80,2),0)</f>
        <v>0</v>
      </c>
      <c r="AT12" s="11" t="n">
        <f aca="false">INDEX('CF Summary'!$B$26:$G$26,AT$3)*INDEX(Inputs!$B$80:$O$80,AT$4+2)+IF(AT$4=11,INDEX('CF Summary'!$B$26:$G$26,AT$3+1)*INDEX(Inputs!$B$80:$O$80,1),0)+IF(AT$4=12,INDEX('CF Summary'!$B$26:$G$26,AT$3+1)*INDEX(Inputs!$B$80:$O$80,2),0)</f>
        <v>0</v>
      </c>
      <c r="AU12" s="11" t="n">
        <f aca="false">INDEX('CF Summary'!$B$26:$G$26,AU$3)*INDEX(Inputs!$B$80:$O$80,AU$4+2)+IF(AU$4=11,INDEX('CF Summary'!$B$26:$G$26,AU$3+1)*INDEX(Inputs!$B$80:$O$80,1),0)+IF(AU$4=12,INDEX('CF Summary'!$B$26:$G$26,AU$3+1)*INDEX(Inputs!$B$80:$O$80,2),0)</f>
        <v>0</v>
      </c>
      <c r="AV12" s="11" t="n">
        <f aca="false">INDEX('CF Summary'!$B$26:$G$26,AV$3)*INDEX(Inputs!$B$80:$O$80,AV$4+2)+IF(AV$4=11,INDEX('CF Summary'!$B$26:$G$26,AV$3+1)*INDEX(Inputs!$B$80:$O$80,1),0)+IF(AV$4=12,INDEX('CF Summary'!$B$26:$G$26,AV$3+1)*INDEX(Inputs!$B$80:$O$80,2),0)</f>
        <v>0</v>
      </c>
      <c r="AW12" s="11" t="n">
        <f aca="false">INDEX('CF Summary'!$B$26:$G$26,AW$3)*INDEX(Inputs!$B$80:$O$80,AW$4+2)+IF(AW$4=11,INDEX('CF Summary'!$B$26:$G$26,AW$3+1)*INDEX(Inputs!$B$80:$O$80,1),0)+IF(AW$4=12,INDEX('CF Summary'!$B$26:$G$26,AW$3+1)*INDEX(Inputs!$B$80:$O$80,2),0)</f>
        <v>0</v>
      </c>
      <c r="AX12" s="11" t="n">
        <f aca="false">INDEX('CF Summary'!$B$26:$G$26,AX$3)*INDEX(Inputs!$B$80:$O$80,AX$4+2)+IF(AX$4=11,INDEX('CF Summary'!$B$26:$G$26,AX$3+1)*INDEX(Inputs!$B$80:$O$80,1),0)+IF(AX$4=12,INDEX('CF Summary'!$B$26:$G$26,AX$3+1)*INDEX(Inputs!$B$80:$O$80,2),0)</f>
        <v>0</v>
      </c>
      <c r="AY12" s="11" t="n">
        <f aca="false">INDEX('CF Summary'!$B$26:$G$26,AY$3)*INDEX(Inputs!$B$80:$O$80,AY$4+2)+IF(AY$4=11,INDEX('CF Summary'!$B$26:$G$26,AY$3+1)*INDEX(Inputs!$B$80:$O$80,1),0)+IF(AY$4=12,INDEX('CF Summary'!$B$26:$G$26,AY$3+1)*INDEX(Inputs!$B$80:$O$80,2),0)</f>
        <v>0</v>
      </c>
      <c r="AZ12" s="11" t="n">
        <f aca="false">INDEX('CF Summary'!$B$26:$G$26,AZ$3)*INDEX(Inputs!$B$80:$O$80,AZ$4+2)+IF(AZ$4=11,INDEX('CF Summary'!$B$26:$G$26,AZ$3+1)*INDEX(Inputs!$B$80:$O$80,1),0)+IF(AZ$4=12,INDEX('CF Summary'!$B$26:$G$26,AZ$3+1)*INDEX(Inputs!$B$80:$O$80,2),0)</f>
        <v>0</v>
      </c>
      <c r="BA12" s="11" t="n">
        <f aca="false">INDEX('CF Summary'!$B$26:$G$26,BA$3)*INDEX(Inputs!$B$80:$O$80,BA$4+2)+IF(BA$4=11,INDEX('CF Summary'!$B$26:$G$26,BA$3+1)*INDEX(Inputs!$B$80:$O$80,1),0)+IF(BA$4=12,INDEX('CF Summary'!$B$26:$G$26,BA$3+1)*INDEX(Inputs!$B$80:$O$80,2),0)</f>
        <v>0</v>
      </c>
      <c r="BB12" s="11" t="n">
        <f aca="false">INDEX('CF Summary'!$B$26:$G$26,BB$3)*INDEX(Inputs!$B$80:$O$80,BB$4+2)+IF(BB$4=11,INDEX('CF Summary'!$B$26:$G$26,BB$3+1)*INDEX(Inputs!$B$80:$O$80,1),0)+IF(BB$4=12,INDEX('CF Summary'!$B$26:$G$26,BB$3+1)*INDEX(Inputs!$B$80:$O$80,2),0)</f>
        <v>0</v>
      </c>
      <c r="BC12" s="11" t="n">
        <f aca="false">INDEX('CF Summary'!$B$26:$G$26,BC$3)*INDEX(Inputs!$B$80:$O$80,BC$4+2)+IF(BC$4=11,INDEX('CF Summary'!$B$26:$G$26,BC$3+1)*INDEX(Inputs!$B$80:$O$80,1),0)+IF(BC$4=12,INDEX('CF Summary'!$B$26:$G$26,BC$3+1)*INDEX(Inputs!$B$80:$O$80,2),0)</f>
        <v>0</v>
      </c>
      <c r="BD12" s="11" t="n">
        <f aca="false">INDEX('CF Summary'!$B$26:$G$26,BD$3)*INDEX(Inputs!$B$80:$O$80,BD$4+2)+IF(BD$4=11,INDEX('CF Summary'!$B$26:$G$26,BD$3+1)*INDEX(Inputs!$B$80:$O$80,1),0)+IF(BD$4=12,INDEX('CF Summary'!$B$26:$G$26,BD$3+1)*INDEX(Inputs!$B$80:$O$80,2),0)</f>
        <v>0</v>
      </c>
      <c r="BE12" s="11" t="n">
        <f aca="false">INDEX('CF Summary'!$B$26:$G$26,BE$3)*INDEX(Inputs!$B$80:$O$80,BE$4+2)+IF(BE$4=11,INDEX('CF Summary'!$B$26:$G$26,BE$3+1)*INDEX(Inputs!$B$80:$O$80,1),0)+IF(BE$4=12,INDEX('CF Summary'!$B$26:$G$26,BE$3+1)*INDEX(Inputs!$B$80:$O$80,2),0)</f>
        <v>0</v>
      </c>
      <c r="BF12" s="11" t="n">
        <f aca="false">INDEX('CF Summary'!$B$26:$G$26,BF$3)*INDEX(Inputs!$B$80:$O$80,BF$4+2)+IF(BF$4=11,INDEX('CF Summary'!$B$26:$G$26,BF$3+1)*INDEX(Inputs!$B$80:$O$80,1),0)+IF(BF$4=12,INDEX('CF Summary'!$B$26:$G$26,BF$3+1)*INDEX(Inputs!$B$80:$O$80,2),0)</f>
        <v>0</v>
      </c>
      <c r="BG12" s="11" t="n">
        <f aca="false">INDEX('CF Summary'!$B$26:$G$26,BG$3)*INDEX(Inputs!$B$80:$O$80,BG$4+2)+IF(BG$4=11,INDEX('CF Summary'!$B$26:$G$26,BG$3+1)*INDEX(Inputs!$B$80:$O$80,1),0)+IF(BG$4=12,INDEX('CF Summary'!$B$26:$G$26,BG$3+1)*INDEX(Inputs!$B$80:$O$80,2),0)</f>
        <v>0</v>
      </c>
      <c r="BH12" s="11" t="n">
        <f aca="false">INDEX('CF Summary'!$B$26:$G$26,BH$3)*INDEX(Inputs!$B$80:$O$80,BH$4+2)+IF(BH$4=11,INDEX('CF Summary'!$B$26:$G$26,BH$3+1)*INDEX(Inputs!$B$80:$O$80,1),0)+IF(BH$4=12,INDEX('CF Summary'!$B$26:$G$26,BH$3+1)*INDEX(Inputs!$B$80:$O$80,2),0)</f>
        <v>0</v>
      </c>
      <c r="BI12" s="11" t="n">
        <f aca="false">INDEX('CF Summary'!$B$26:$G$26,BI$3)*INDEX(Inputs!$B$80:$O$80,BI$4+2)+IF(BI$4=11,INDEX('CF Summary'!$B$26:$G$26,BI$3+1)*INDEX(Inputs!$B$80:$O$80,1),0)+IF(BI$4=12,INDEX('CF Summary'!$B$26:$G$26,BI$3+1)*INDEX(Inputs!$B$80:$O$80,2),0)</f>
        <v>0</v>
      </c>
    </row>
    <row r="13" customFormat="false" ht="15" hidden="false" customHeight="false" outlineLevel="0" collapsed="false">
      <c r="A13" s="12" t="s">
        <v>543</v>
      </c>
      <c r="B13" s="13" t="n">
        <f aca="false">SUM(B8:B12)</f>
        <v>1054193.99565217</v>
      </c>
      <c r="C13" s="13" t="n">
        <f aca="false">SUM(C8:C12)</f>
        <v>850549.244347826</v>
      </c>
      <c r="D13" s="13" t="n">
        <f aca="false">SUM(D8:D12)</f>
        <v>491893.995652174</v>
      </c>
      <c r="E13" s="13" t="n">
        <f aca="false">SUM(E8:E12)</f>
        <v>491893.995652174</v>
      </c>
      <c r="F13" s="13" t="n">
        <f aca="false">SUM(F8:F12)</f>
        <v>850549.244347826</v>
      </c>
      <c r="G13" s="13" t="n">
        <f aca="false">SUM(G8:G12)</f>
        <v>491893.995652174</v>
      </c>
      <c r="H13" s="13" t="n">
        <f aca="false">SUM(H8:H12)</f>
        <v>491893.995652174</v>
      </c>
      <c r="I13" s="13" t="n">
        <f aca="false">SUM(I8:I12)</f>
        <v>850549.244347826</v>
      </c>
      <c r="J13" s="13" t="n">
        <f aca="false">SUM(J8:J12)</f>
        <v>491893.995652174</v>
      </c>
      <c r="K13" s="13" t="n">
        <f aca="false">SUM(K8:K12)</f>
        <v>491893.995652174</v>
      </c>
      <c r="L13" s="13" t="n">
        <f aca="false">SUM(L8:L12)</f>
        <v>903250.669225943</v>
      </c>
      <c r="M13" s="13" t="n">
        <f aca="false">SUM(M8:M12)</f>
        <v>2015107.37375758</v>
      </c>
      <c r="N13" s="13" t="n">
        <f aca="false">SUM(N8:N12)</f>
        <v>1001244.53597643</v>
      </c>
      <c r="O13" s="13" t="n">
        <f aca="false">SUM(O8:O12)</f>
        <v>902642.755144277</v>
      </c>
      <c r="P13" s="13" t="n">
        <f aca="false">SUM(P8:P12)</f>
        <v>521434.742162001</v>
      </c>
      <c r="Q13" s="13" t="n">
        <f aca="false">SUM(Q8:Q12)</f>
        <v>521434.742162001</v>
      </c>
      <c r="R13" s="13" t="n">
        <f aca="false">SUM(R8:R12)</f>
        <v>902642.755144277</v>
      </c>
      <c r="S13" s="13" t="n">
        <f aca="false">SUM(S8:S12)</f>
        <v>521434.742162001</v>
      </c>
      <c r="T13" s="13" t="n">
        <f aca="false">SUM(T8:T12)</f>
        <v>521434.742162001</v>
      </c>
      <c r="U13" s="13" t="n">
        <f aca="false">SUM(U8:U12)</f>
        <v>902642.755144277</v>
      </c>
      <c r="V13" s="13" t="n">
        <f aca="false">SUM(V8:V12)</f>
        <v>521434.742162001</v>
      </c>
      <c r="W13" s="13" t="n">
        <f aca="false">SUM(W8:W12)</f>
        <v>521434.742162001</v>
      </c>
      <c r="X13" s="13" t="n">
        <f aca="false">SUM(X8:X12)</f>
        <v>934777.474860074</v>
      </c>
      <c r="Y13" s="13" t="n">
        <f aca="false">SUM(Y8:Y12)</f>
        <v>2086742.89345006</v>
      </c>
      <c r="Z13" s="13" t="n">
        <f aca="false">SUM(Z8:Z12)</f>
        <v>968791.098648367</v>
      </c>
      <c r="AA13" s="13" t="n">
        <f aca="false">SUM(AA8:AA12)</f>
        <v>934777.474860074</v>
      </c>
      <c r="AB13" s="13" t="n">
        <f aca="false">SUM(AB8:AB12)</f>
        <v>539817.902772078</v>
      </c>
      <c r="AC13" s="13" t="n">
        <f aca="false">SUM(AC8:AC12)</f>
        <v>539817.902772078</v>
      </c>
      <c r="AD13" s="13" t="n">
        <f aca="false">SUM(AD8:AD12)</f>
        <v>934777.474860074</v>
      </c>
      <c r="AE13" s="13" t="n">
        <f aca="false">SUM(AE8:AE12)</f>
        <v>539817.902772078</v>
      </c>
      <c r="AF13" s="13" t="n">
        <f aca="false">SUM(AF8:AF12)</f>
        <v>539817.902772078</v>
      </c>
      <c r="AG13" s="13" t="n">
        <f aca="false">SUM(AG8:AG12)</f>
        <v>934777.474860074</v>
      </c>
      <c r="AH13" s="13" t="n">
        <f aca="false">SUM(AH8:AH12)</f>
        <v>539817.902772078</v>
      </c>
      <c r="AI13" s="13" t="n">
        <f aca="false">SUM(AI8:AI12)</f>
        <v>539817.902772078</v>
      </c>
      <c r="AJ13" s="13" t="n">
        <f aca="false">SUM(AJ8:AJ12)</f>
        <v>965337.300539782</v>
      </c>
      <c r="AK13" s="13" t="n">
        <f aca="false">SUM(AK8:AK12)</f>
        <v>2155445.74078052</v>
      </c>
      <c r="AL13" s="13" t="n">
        <f aca="false">SUM(AL8:AL12)</f>
        <v>984878.987008053</v>
      </c>
      <c r="AM13" s="13" t="n">
        <f aca="false">SUM(AM8:AM12)</f>
        <v>965337.300539782</v>
      </c>
      <c r="AN13" s="13" t="n">
        <f aca="false">SUM(AN8:AN12)</f>
        <v>557300.121028672</v>
      </c>
      <c r="AO13" s="13" t="n">
        <f aca="false">SUM(AO8:AO12)</f>
        <v>557300.121028672</v>
      </c>
      <c r="AP13" s="13" t="n">
        <f aca="false">SUM(AP8:AP12)</f>
        <v>965337.300539782</v>
      </c>
      <c r="AQ13" s="13" t="n">
        <f aca="false">SUM(AQ8:AQ12)</f>
        <v>557300.121028672</v>
      </c>
      <c r="AR13" s="13" t="n">
        <f aca="false">SUM(AR8:AR12)</f>
        <v>557300.121028672</v>
      </c>
      <c r="AS13" s="13" t="n">
        <f aca="false">SUM(AS8:AS12)</f>
        <v>965337.300539782</v>
      </c>
      <c r="AT13" s="13" t="n">
        <f aca="false">SUM(AT8:AT12)</f>
        <v>557300.121028672</v>
      </c>
      <c r="AU13" s="13" t="n">
        <f aca="false">SUM(AU8:AU12)</f>
        <v>557300.121028672</v>
      </c>
      <c r="AV13" s="13" t="n">
        <f aca="false">SUM(AV8:AV12)</f>
        <v>995240.245537292</v>
      </c>
      <c r="AW13" s="13" t="n">
        <f aca="false">SUM(AW8:AW12)</f>
        <v>2222671.82663674</v>
      </c>
      <c r="AX13" s="13" t="n">
        <f aca="false">SUM(AX8:AX12)</f>
        <v>1000869.96265077</v>
      </c>
      <c r="AY13" s="13" t="n">
        <f aca="false">SUM(AY8:AY12)</f>
        <v>995240.245537292</v>
      </c>
      <c r="AZ13" s="13" t="n">
        <f aca="false">SUM(AZ8:AZ12)</f>
        <v>574406.560588912</v>
      </c>
      <c r="BA13" s="13" t="n">
        <f aca="false">SUM(BA8:BA12)</f>
        <v>574406.560588912</v>
      </c>
      <c r="BB13" s="13" t="n">
        <f aca="false">SUM(BB8:BB12)</f>
        <v>995240.245537292</v>
      </c>
      <c r="BC13" s="13" t="n">
        <f aca="false">SUM(BC8:BC12)</f>
        <v>574406.560588912</v>
      </c>
      <c r="BD13" s="13" t="n">
        <f aca="false">SUM(BD8:BD12)</f>
        <v>574406.560588912</v>
      </c>
      <c r="BE13" s="13" t="n">
        <f aca="false">SUM(BE8:BE12)</f>
        <v>995240.245537292</v>
      </c>
      <c r="BF13" s="13" t="n">
        <f aca="false">SUM(BF8:BF12)</f>
        <v>574406.560588912</v>
      </c>
      <c r="BG13" s="13" t="n">
        <f aca="false">SUM(BG8:BG12)</f>
        <v>574406.560588912</v>
      </c>
      <c r="BH13" s="13" t="n">
        <f aca="false">SUM(BH8:BH12)</f>
        <v>1034576.50525538</v>
      </c>
      <c r="BI13" s="13" t="n">
        <f aca="false">SUM(BI8:BI12)</f>
        <v>2311105.34959881</v>
      </c>
    </row>
    <row r="15" customFormat="false" ht="15" hidden="false" customHeight="false" outlineLevel="0" collapsed="false">
      <c r="A15" s="9" t="s">
        <v>544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</row>
    <row r="16" customFormat="false" ht="15" hidden="false" customHeight="false" outlineLevel="0" collapsed="false">
      <c r="A16" s="6" t="s">
        <v>538</v>
      </c>
      <c r="B16" s="11" t="n">
        <f aca="false">-(INDEX('CF Summary'!$B$29:$G$29,B$3)*INDEX(Inputs!$B$76:$O$76,B$4+2)+IF(B$4=11,INDEX('CF Summary'!$B$29:$G$29,B$3+1)*INDEX(Inputs!$B$76:$O$76,1),0)+IF(B$4=12,INDEX('CF Summary'!$B$29:$G$29,B$3+1)*INDEX(Inputs!$B$76:$O$76,2),0))</f>
        <v>-0</v>
      </c>
      <c r="C16" s="11" t="n">
        <f aca="false">-(INDEX('CF Summary'!$B$29:$G$29,C$3)*INDEX(Inputs!$B$76:$O$76,C$4+2)+IF(C$4=11,INDEX('CF Summary'!$B$29:$G$29,C$3+1)*INDEX(Inputs!$B$76:$O$76,1),0)+IF(C$4=12,INDEX('CF Summary'!$B$29:$G$29,C$3+1)*INDEX(Inputs!$B$76:$O$76,2),0))</f>
        <v>-0</v>
      </c>
      <c r="D16" s="11" t="n">
        <f aca="false">-(INDEX('CF Summary'!$B$29:$G$29,D$3)*INDEX(Inputs!$B$76:$O$76,D$4+2)+IF(D$4=11,INDEX('CF Summary'!$B$29:$G$29,D$3+1)*INDEX(Inputs!$B$76:$O$76,1),0)+IF(D$4=12,INDEX('CF Summary'!$B$29:$G$29,D$3+1)*INDEX(Inputs!$B$76:$O$76,2),0))</f>
        <v>-0</v>
      </c>
      <c r="E16" s="11" t="n">
        <f aca="false">-(INDEX('CF Summary'!$B$29:$G$29,E$3)*INDEX(Inputs!$B$76:$O$76,E$4+2)+IF(E$4=11,INDEX('CF Summary'!$B$29:$G$29,E$3+1)*INDEX(Inputs!$B$76:$O$76,1),0)+IF(E$4=12,INDEX('CF Summary'!$B$29:$G$29,E$3+1)*INDEX(Inputs!$B$76:$O$76,2),0))</f>
        <v>-0</v>
      </c>
      <c r="F16" s="11" t="n">
        <f aca="false">-(INDEX('CF Summary'!$B$29:$G$29,F$3)*INDEX(Inputs!$B$76:$O$76,F$4+2)+IF(F$4=11,INDEX('CF Summary'!$B$29:$G$29,F$3+1)*INDEX(Inputs!$B$76:$O$76,1),0)+IF(F$4=12,INDEX('CF Summary'!$B$29:$G$29,F$3+1)*INDEX(Inputs!$B$76:$O$76,2),0))</f>
        <v>-0</v>
      </c>
      <c r="G16" s="11" t="n">
        <f aca="false">-(INDEX('CF Summary'!$B$29:$G$29,G$3)*INDEX(Inputs!$B$76:$O$76,G$4+2)+IF(G$4=11,INDEX('CF Summary'!$B$29:$G$29,G$3+1)*INDEX(Inputs!$B$76:$O$76,1),0)+IF(G$4=12,INDEX('CF Summary'!$B$29:$G$29,G$3+1)*INDEX(Inputs!$B$76:$O$76,2),0))</f>
        <v>-0</v>
      </c>
      <c r="H16" s="11" t="n">
        <f aca="false">-(INDEX('CF Summary'!$B$29:$G$29,H$3)*INDEX(Inputs!$B$76:$O$76,H$4+2)+IF(H$4=11,INDEX('CF Summary'!$B$29:$G$29,H$3+1)*INDEX(Inputs!$B$76:$O$76,1),0)+IF(H$4=12,INDEX('CF Summary'!$B$29:$G$29,H$3+1)*INDEX(Inputs!$B$76:$O$76,2),0))</f>
        <v>-0</v>
      </c>
      <c r="I16" s="11" t="n">
        <f aca="false">-(INDEX('CF Summary'!$B$29:$G$29,I$3)*INDEX(Inputs!$B$76:$O$76,I$4+2)+IF(I$4=11,INDEX('CF Summary'!$B$29:$G$29,I$3+1)*INDEX(Inputs!$B$76:$O$76,1),0)+IF(I$4=12,INDEX('CF Summary'!$B$29:$G$29,I$3+1)*INDEX(Inputs!$B$76:$O$76,2),0))</f>
        <v>-0</v>
      </c>
      <c r="J16" s="11" t="n">
        <f aca="false">-(INDEX('CF Summary'!$B$29:$G$29,J$3)*INDEX(Inputs!$B$76:$O$76,J$4+2)+IF(J$4=11,INDEX('CF Summary'!$B$29:$G$29,J$3+1)*INDEX(Inputs!$B$76:$O$76,1),0)+IF(J$4=12,INDEX('CF Summary'!$B$29:$G$29,J$3+1)*INDEX(Inputs!$B$76:$O$76,2),0))</f>
        <v>-0</v>
      </c>
      <c r="K16" s="11" t="n">
        <f aca="false">-(INDEX('CF Summary'!$B$29:$G$29,K$3)*INDEX(Inputs!$B$76:$O$76,K$4+2)+IF(K$4=11,INDEX('CF Summary'!$B$29:$G$29,K$3+1)*INDEX(Inputs!$B$76:$O$76,1),0)+IF(K$4=12,INDEX('CF Summary'!$B$29:$G$29,K$3+1)*INDEX(Inputs!$B$76:$O$76,2),0))</f>
        <v>-0</v>
      </c>
      <c r="L16" s="11" t="n">
        <f aca="false">-(INDEX('CF Summary'!$B$29:$G$29,L$3)*INDEX(Inputs!$B$76:$O$76,L$4+2)+IF(L$4=11,INDEX('CF Summary'!$B$29:$G$29,L$3+1)*INDEX(Inputs!$B$76:$O$76,1),0)+IF(L$4=12,INDEX('CF Summary'!$B$29:$G$29,L$3+1)*INDEX(Inputs!$B$76:$O$76,2),0))</f>
        <v>-0</v>
      </c>
      <c r="M16" s="11" t="n">
        <f aca="false">-(INDEX('CF Summary'!$B$29:$G$29,M$3)*INDEX(Inputs!$B$76:$O$76,M$4+2)+IF(M$4=11,INDEX('CF Summary'!$B$29:$G$29,M$3+1)*INDEX(Inputs!$B$76:$O$76,1),0)+IF(M$4=12,INDEX('CF Summary'!$B$29:$G$29,M$3+1)*INDEX(Inputs!$B$76:$O$76,2),0))</f>
        <v>-0</v>
      </c>
      <c r="N16" s="11" t="n">
        <f aca="false">-(INDEX('CF Summary'!$B$29:$G$29,N$3)*INDEX(Inputs!$B$76:$O$76,N$4+2)+IF(N$4=11,INDEX('CF Summary'!$B$29:$G$29,N$3+1)*INDEX(Inputs!$B$76:$O$76,1),0)+IF(N$4=12,INDEX('CF Summary'!$B$29:$G$29,N$3+1)*INDEX(Inputs!$B$76:$O$76,2),0))</f>
        <v>-0</v>
      </c>
      <c r="O16" s="11" t="n">
        <f aca="false">-(INDEX('CF Summary'!$B$29:$G$29,O$3)*INDEX(Inputs!$B$76:$O$76,O$4+2)+IF(O$4=11,INDEX('CF Summary'!$B$29:$G$29,O$3+1)*INDEX(Inputs!$B$76:$O$76,1),0)+IF(O$4=12,INDEX('CF Summary'!$B$29:$G$29,O$3+1)*INDEX(Inputs!$B$76:$O$76,2),0))</f>
        <v>-0</v>
      </c>
      <c r="P16" s="11" t="n">
        <f aca="false">-(INDEX('CF Summary'!$B$29:$G$29,P$3)*INDEX(Inputs!$B$76:$O$76,P$4+2)+IF(P$4=11,INDEX('CF Summary'!$B$29:$G$29,P$3+1)*INDEX(Inputs!$B$76:$O$76,1),0)+IF(P$4=12,INDEX('CF Summary'!$B$29:$G$29,P$3+1)*INDEX(Inputs!$B$76:$O$76,2),0))</f>
        <v>-0</v>
      </c>
      <c r="Q16" s="11" t="n">
        <f aca="false">-(INDEX('CF Summary'!$B$29:$G$29,Q$3)*INDEX(Inputs!$B$76:$O$76,Q$4+2)+IF(Q$4=11,INDEX('CF Summary'!$B$29:$G$29,Q$3+1)*INDEX(Inputs!$B$76:$O$76,1),0)+IF(Q$4=12,INDEX('CF Summary'!$B$29:$G$29,Q$3+1)*INDEX(Inputs!$B$76:$O$76,2),0))</f>
        <v>-0</v>
      </c>
      <c r="R16" s="11" t="n">
        <f aca="false">-(INDEX('CF Summary'!$B$29:$G$29,R$3)*INDEX(Inputs!$B$76:$O$76,R$4+2)+IF(R$4=11,INDEX('CF Summary'!$B$29:$G$29,R$3+1)*INDEX(Inputs!$B$76:$O$76,1),0)+IF(R$4=12,INDEX('CF Summary'!$B$29:$G$29,R$3+1)*INDEX(Inputs!$B$76:$O$76,2),0))</f>
        <v>-0</v>
      </c>
      <c r="S16" s="11" t="n">
        <f aca="false">-(INDEX('CF Summary'!$B$29:$G$29,S$3)*INDEX(Inputs!$B$76:$O$76,S$4+2)+IF(S$4=11,INDEX('CF Summary'!$B$29:$G$29,S$3+1)*INDEX(Inputs!$B$76:$O$76,1),0)+IF(S$4=12,INDEX('CF Summary'!$B$29:$G$29,S$3+1)*INDEX(Inputs!$B$76:$O$76,2),0))</f>
        <v>-0</v>
      </c>
      <c r="T16" s="11" t="n">
        <f aca="false">-(INDEX('CF Summary'!$B$29:$G$29,T$3)*INDEX(Inputs!$B$76:$O$76,T$4+2)+IF(T$4=11,INDEX('CF Summary'!$B$29:$G$29,T$3+1)*INDEX(Inputs!$B$76:$O$76,1),0)+IF(T$4=12,INDEX('CF Summary'!$B$29:$G$29,T$3+1)*INDEX(Inputs!$B$76:$O$76,2),0))</f>
        <v>-0</v>
      </c>
      <c r="U16" s="11" t="n">
        <f aca="false">-(INDEX('CF Summary'!$B$29:$G$29,U$3)*INDEX(Inputs!$B$76:$O$76,U$4+2)+IF(U$4=11,INDEX('CF Summary'!$B$29:$G$29,U$3+1)*INDEX(Inputs!$B$76:$O$76,1),0)+IF(U$4=12,INDEX('CF Summary'!$B$29:$G$29,U$3+1)*INDEX(Inputs!$B$76:$O$76,2),0))</f>
        <v>-0</v>
      </c>
      <c r="V16" s="11" t="n">
        <f aca="false">-(INDEX('CF Summary'!$B$29:$G$29,V$3)*INDEX(Inputs!$B$76:$O$76,V$4+2)+IF(V$4=11,INDEX('CF Summary'!$B$29:$G$29,V$3+1)*INDEX(Inputs!$B$76:$O$76,1),0)+IF(V$4=12,INDEX('CF Summary'!$B$29:$G$29,V$3+1)*INDEX(Inputs!$B$76:$O$76,2),0))</f>
        <v>-0</v>
      </c>
      <c r="W16" s="11" t="n">
        <f aca="false">-(INDEX('CF Summary'!$B$29:$G$29,W$3)*INDEX(Inputs!$B$76:$O$76,W$4+2)+IF(W$4=11,INDEX('CF Summary'!$B$29:$G$29,W$3+1)*INDEX(Inputs!$B$76:$O$76,1),0)+IF(W$4=12,INDEX('CF Summary'!$B$29:$G$29,W$3+1)*INDEX(Inputs!$B$76:$O$76,2),0))</f>
        <v>-0</v>
      </c>
      <c r="X16" s="11" t="n">
        <f aca="false">-(INDEX('CF Summary'!$B$29:$G$29,X$3)*INDEX(Inputs!$B$76:$O$76,X$4+2)+IF(X$4=11,INDEX('CF Summary'!$B$29:$G$29,X$3+1)*INDEX(Inputs!$B$76:$O$76,1),0)+IF(X$4=12,INDEX('CF Summary'!$B$29:$G$29,X$3+1)*INDEX(Inputs!$B$76:$O$76,2),0))</f>
        <v>-0</v>
      </c>
      <c r="Y16" s="11" t="n">
        <f aca="false">-(INDEX('CF Summary'!$B$29:$G$29,Y$3)*INDEX(Inputs!$B$76:$O$76,Y$4+2)+IF(Y$4=11,INDEX('CF Summary'!$B$29:$G$29,Y$3+1)*INDEX(Inputs!$B$76:$O$76,1),0)+IF(Y$4=12,INDEX('CF Summary'!$B$29:$G$29,Y$3+1)*INDEX(Inputs!$B$76:$O$76,2),0))</f>
        <v>-0</v>
      </c>
      <c r="Z16" s="11" t="n">
        <f aca="false">-(INDEX('CF Summary'!$B$29:$G$29,Z$3)*INDEX(Inputs!$B$76:$O$76,Z$4+2)+IF(Z$4=11,INDEX('CF Summary'!$B$29:$G$29,Z$3+1)*INDEX(Inputs!$B$76:$O$76,1),0)+IF(Z$4=12,INDEX('CF Summary'!$B$29:$G$29,Z$3+1)*INDEX(Inputs!$B$76:$O$76,2),0))</f>
        <v>-0</v>
      </c>
      <c r="AA16" s="11" t="n">
        <f aca="false">-(INDEX('CF Summary'!$B$29:$G$29,AA$3)*INDEX(Inputs!$B$76:$O$76,AA$4+2)+IF(AA$4=11,INDEX('CF Summary'!$B$29:$G$29,AA$3+1)*INDEX(Inputs!$B$76:$O$76,1),0)+IF(AA$4=12,INDEX('CF Summary'!$B$29:$G$29,AA$3+1)*INDEX(Inputs!$B$76:$O$76,2),0))</f>
        <v>-0</v>
      </c>
      <c r="AB16" s="11" t="n">
        <f aca="false">-(INDEX('CF Summary'!$B$29:$G$29,AB$3)*INDEX(Inputs!$B$76:$O$76,AB$4+2)+IF(AB$4=11,INDEX('CF Summary'!$B$29:$G$29,AB$3+1)*INDEX(Inputs!$B$76:$O$76,1),0)+IF(AB$4=12,INDEX('CF Summary'!$B$29:$G$29,AB$3+1)*INDEX(Inputs!$B$76:$O$76,2),0))</f>
        <v>-0</v>
      </c>
      <c r="AC16" s="11" t="n">
        <f aca="false">-(INDEX('CF Summary'!$B$29:$G$29,AC$3)*INDEX(Inputs!$B$76:$O$76,AC$4+2)+IF(AC$4=11,INDEX('CF Summary'!$B$29:$G$29,AC$3+1)*INDEX(Inputs!$B$76:$O$76,1),0)+IF(AC$4=12,INDEX('CF Summary'!$B$29:$G$29,AC$3+1)*INDEX(Inputs!$B$76:$O$76,2),0))</f>
        <v>-0</v>
      </c>
      <c r="AD16" s="11" t="n">
        <f aca="false">-(INDEX('CF Summary'!$B$29:$G$29,AD$3)*INDEX(Inputs!$B$76:$O$76,AD$4+2)+IF(AD$4=11,INDEX('CF Summary'!$B$29:$G$29,AD$3+1)*INDEX(Inputs!$B$76:$O$76,1),0)+IF(AD$4=12,INDEX('CF Summary'!$B$29:$G$29,AD$3+1)*INDEX(Inputs!$B$76:$O$76,2),0))</f>
        <v>-0</v>
      </c>
      <c r="AE16" s="11" t="n">
        <f aca="false">-(INDEX('CF Summary'!$B$29:$G$29,AE$3)*INDEX(Inputs!$B$76:$O$76,AE$4+2)+IF(AE$4=11,INDEX('CF Summary'!$B$29:$G$29,AE$3+1)*INDEX(Inputs!$B$76:$O$76,1),0)+IF(AE$4=12,INDEX('CF Summary'!$B$29:$G$29,AE$3+1)*INDEX(Inputs!$B$76:$O$76,2),0))</f>
        <v>-0</v>
      </c>
      <c r="AF16" s="11" t="n">
        <f aca="false">-(INDEX('CF Summary'!$B$29:$G$29,AF$3)*INDEX(Inputs!$B$76:$O$76,AF$4+2)+IF(AF$4=11,INDEX('CF Summary'!$B$29:$G$29,AF$3+1)*INDEX(Inputs!$B$76:$O$76,1),0)+IF(AF$4=12,INDEX('CF Summary'!$B$29:$G$29,AF$3+1)*INDEX(Inputs!$B$76:$O$76,2),0))</f>
        <v>-0</v>
      </c>
      <c r="AG16" s="11" t="n">
        <f aca="false">-(INDEX('CF Summary'!$B$29:$G$29,AG$3)*INDEX(Inputs!$B$76:$O$76,AG$4+2)+IF(AG$4=11,INDEX('CF Summary'!$B$29:$G$29,AG$3+1)*INDEX(Inputs!$B$76:$O$76,1),0)+IF(AG$4=12,INDEX('CF Summary'!$B$29:$G$29,AG$3+1)*INDEX(Inputs!$B$76:$O$76,2),0))</f>
        <v>-0</v>
      </c>
      <c r="AH16" s="11" t="n">
        <f aca="false">-(INDEX('CF Summary'!$B$29:$G$29,AH$3)*INDEX(Inputs!$B$76:$O$76,AH$4+2)+IF(AH$4=11,INDEX('CF Summary'!$B$29:$G$29,AH$3+1)*INDEX(Inputs!$B$76:$O$76,1),0)+IF(AH$4=12,INDEX('CF Summary'!$B$29:$G$29,AH$3+1)*INDEX(Inputs!$B$76:$O$76,2),0))</f>
        <v>-0</v>
      </c>
      <c r="AI16" s="11" t="n">
        <f aca="false">-(INDEX('CF Summary'!$B$29:$G$29,AI$3)*INDEX(Inputs!$B$76:$O$76,AI$4+2)+IF(AI$4=11,INDEX('CF Summary'!$B$29:$G$29,AI$3+1)*INDEX(Inputs!$B$76:$O$76,1),0)+IF(AI$4=12,INDEX('CF Summary'!$B$29:$G$29,AI$3+1)*INDEX(Inputs!$B$76:$O$76,2),0))</f>
        <v>-0</v>
      </c>
      <c r="AJ16" s="11" t="n">
        <f aca="false">-(INDEX('CF Summary'!$B$29:$G$29,AJ$3)*INDEX(Inputs!$B$76:$O$76,AJ$4+2)+IF(AJ$4=11,INDEX('CF Summary'!$B$29:$G$29,AJ$3+1)*INDEX(Inputs!$B$76:$O$76,1),0)+IF(AJ$4=12,INDEX('CF Summary'!$B$29:$G$29,AJ$3+1)*INDEX(Inputs!$B$76:$O$76,2),0))</f>
        <v>-0</v>
      </c>
      <c r="AK16" s="11" t="n">
        <f aca="false">-(INDEX('CF Summary'!$B$29:$G$29,AK$3)*INDEX(Inputs!$B$76:$O$76,AK$4+2)+IF(AK$4=11,INDEX('CF Summary'!$B$29:$G$29,AK$3+1)*INDEX(Inputs!$B$76:$O$76,1),0)+IF(AK$4=12,INDEX('CF Summary'!$B$29:$G$29,AK$3+1)*INDEX(Inputs!$B$76:$O$76,2),0))</f>
        <v>-0</v>
      </c>
      <c r="AL16" s="11" t="n">
        <f aca="false">-(INDEX('CF Summary'!$B$29:$G$29,AL$3)*INDEX(Inputs!$B$76:$O$76,AL$4+2)+IF(AL$4=11,INDEX('CF Summary'!$B$29:$G$29,AL$3+1)*INDEX(Inputs!$B$76:$O$76,1),0)+IF(AL$4=12,INDEX('CF Summary'!$B$29:$G$29,AL$3+1)*INDEX(Inputs!$B$76:$O$76,2),0))</f>
        <v>-0</v>
      </c>
      <c r="AM16" s="11" t="n">
        <f aca="false">-(INDEX('CF Summary'!$B$29:$G$29,AM$3)*INDEX(Inputs!$B$76:$O$76,AM$4+2)+IF(AM$4=11,INDEX('CF Summary'!$B$29:$G$29,AM$3+1)*INDEX(Inputs!$B$76:$O$76,1),0)+IF(AM$4=12,INDEX('CF Summary'!$B$29:$G$29,AM$3+1)*INDEX(Inputs!$B$76:$O$76,2),0))</f>
        <v>-0</v>
      </c>
      <c r="AN16" s="11" t="n">
        <f aca="false">-(INDEX('CF Summary'!$B$29:$G$29,AN$3)*INDEX(Inputs!$B$76:$O$76,AN$4+2)+IF(AN$4=11,INDEX('CF Summary'!$B$29:$G$29,AN$3+1)*INDEX(Inputs!$B$76:$O$76,1),0)+IF(AN$4=12,INDEX('CF Summary'!$B$29:$G$29,AN$3+1)*INDEX(Inputs!$B$76:$O$76,2),0))</f>
        <v>-0</v>
      </c>
      <c r="AO16" s="11" t="n">
        <f aca="false">-(INDEX('CF Summary'!$B$29:$G$29,AO$3)*INDEX(Inputs!$B$76:$O$76,AO$4+2)+IF(AO$4=11,INDEX('CF Summary'!$B$29:$G$29,AO$3+1)*INDEX(Inputs!$B$76:$O$76,1),0)+IF(AO$4=12,INDEX('CF Summary'!$B$29:$G$29,AO$3+1)*INDEX(Inputs!$B$76:$O$76,2),0))</f>
        <v>-0</v>
      </c>
      <c r="AP16" s="11" t="n">
        <f aca="false">-(INDEX('CF Summary'!$B$29:$G$29,AP$3)*INDEX(Inputs!$B$76:$O$76,AP$4+2)+IF(AP$4=11,INDEX('CF Summary'!$B$29:$G$29,AP$3+1)*INDEX(Inputs!$B$76:$O$76,1),0)+IF(AP$4=12,INDEX('CF Summary'!$B$29:$G$29,AP$3+1)*INDEX(Inputs!$B$76:$O$76,2),0))</f>
        <v>-0</v>
      </c>
      <c r="AQ16" s="11" t="n">
        <f aca="false">-(INDEX('CF Summary'!$B$29:$G$29,AQ$3)*INDEX(Inputs!$B$76:$O$76,AQ$4+2)+IF(AQ$4=11,INDEX('CF Summary'!$B$29:$G$29,AQ$3+1)*INDEX(Inputs!$B$76:$O$76,1),0)+IF(AQ$4=12,INDEX('CF Summary'!$B$29:$G$29,AQ$3+1)*INDEX(Inputs!$B$76:$O$76,2),0))</f>
        <v>-0</v>
      </c>
      <c r="AR16" s="11" t="n">
        <f aca="false">-(INDEX('CF Summary'!$B$29:$G$29,AR$3)*INDEX(Inputs!$B$76:$O$76,AR$4+2)+IF(AR$4=11,INDEX('CF Summary'!$B$29:$G$29,AR$3+1)*INDEX(Inputs!$B$76:$O$76,1),0)+IF(AR$4=12,INDEX('CF Summary'!$B$29:$G$29,AR$3+1)*INDEX(Inputs!$B$76:$O$76,2),0))</f>
        <v>-0</v>
      </c>
      <c r="AS16" s="11" t="n">
        <f aca="false">-(INDEX('CF Summary'!$B$29:$G$29,AS$3)*INDEX(Inputs!$B$76:$O$76,AS$4+2)+IF(AS$4=11,INDEX('CF Summary'!$B$29:$G$29,AS$3+1)*INDEX(Inputs!$B$76:$O$76,1),0)+IF(AS$4=12,INDEX('CF Summary'!$B$29:$G$29,AS$3+1)*INDEX(Inputs!$B$76:$O$76,2),0))</f>
        <v>-0</v>
      </c>
      <c r="AT16" s="11" t="n">
        <f aca="false">-(INDEX('CF Summary'!$B$29:$G$29,AT$3)*INDEX(Inputs!$B$76:$O$76,AT$4+2)+IF(AT$4=11,INDEX('CF Summary'!$B$29:$G$29,AT$3+1)*INDEX(Inputs!$B$76:$O$76,1),0)+IF(AT$4=12,INDEX('CF Summary'!$B$29:$G$29,AT$3+1)*INDEX(Inputs!$B$76:$O$76,2),0))</f>
        <v>-0</v>
      </c>
      <c r="AU16" s="11" t="n">
        <f aca="false">-(INDEX('CF Summary'!$B$29:$G$29,AU$3)*INDEX(Inputs!$B$76:$O$76,AU$4+2)+IF(AU$4=11,INDEX('CF Summary'!$B$29:$G$29,AU$3+1)*INDEX(Inputs!$B$76:$O$76,1),0)+IF(AU$4=12,INDEX('CF Summary'!$B$29:$G$29,AU$3+1)*INDEX(Inputs!$B$76:$O$76,2),0))</f>
        <v>-0</v>
      </c>
      <c r="AV16" s="11" t="n">
        <f aca="false">-(INDEX('CF Summary'!$B$29:$G$29,AV$3)*INDEX(Inputs!$B$76:$O$76,AV$4+2)+IF(AV$4=11,INDEX('CF Summary'!$B$29:$G$29,AV$3+1)*INDEX(Inputs!$B$76:$O$76,1),0)+IF(AV$4=12,INDEX('CF Summary'!$B$29:$G$29,AV$3+1)*INDEX(Inputs!$B$76:$O$76,2),0))</f>
        <v>-0</v>
      </c>
      <c r="AW16" s="11" t="n">
        <f aca="false">-(INDEX('CF Summary'!$B$29:$G$29,AW$3)*INDEX(Inputs!$B$76:$O$76,AW$4+2)+IF(AW$4=11,INDEX('CF Summary'!$B$29:$G$29,AW$3+1)*INDEX(Inputs!$B$76:$O$76,1),0)+IF(AW$4=12,INDEX('CF Summary'!$B$29:$G$29,AW$3+1)*INDEX(Inputs!$B$76:$O$76,2),0))</f>
        <v>-0</v>
      </c>
      <c r="AX16" s="11" t="n">
        <f aca="false">-(INDEX('CF Summary'!$B$29:$G$29,AX$3)*INDEX(Inputs!$B$76:$O$76,AX$4+2)+IF(AX$4=11,INDEX('CF Summary'!$B$29:$G$29,AX$3+1)*INDEX(Inputs!$B$76:$O$76,1),0)+IF(AX$4=12,INDEX('CF Summary'!$B$29:$G$29,AX$3+1)*INDEX(Inputs!$B$76:$O$76,2),0))</f>
        <v>-0</v>
      </c>
      <c r="AY16" s="11" t="n">
        <f aca="false">-(INDEX('CF Summary'!$B$29:$G$29,AY$3)*INDEX(Inputs!$B$76:$O$76,AY$4+2)+IF(AY$4=11,INDEX('CF Summary'!$B$29:$G$29,AY$3+1)*INDEX(Inputs!$B$76:$O$76,1),0)+IF(AY$4=12,INDEX('CF Summary'!$B$29:$G$29,AY$3+1)*INDEX(Inputs!$B$76:$O$76,2),0))</f>
        <v>-0</v>
      </c>
      <c r="AZ16" s="11" t="n">
        <f aca="false">-(INDEX('CF Summary'!$B$29:$G$29,AZ$3)*INDEX(Inputs!$B$76:$O$76,AZ$4+2)+IF(AZ$4=11,INDEX('CF Summary'!$B$29:$G$29,AZ$3+1)*INDEX(Inputs!$B$76:$O$76,1),0)+IF(AZ$4=12,INDEX('CF Summary'!$B$29:$G$29,AZ$3+1)*INDEX(Inputs!$B$76:$O$76,2),0))</f>
        <v>-0</v>
      </c>
      <c r="BA16" s="11" t="n">
        <f aca="false">-(INDEX('CF Summary'!$B$29:$G$29,BA$3)*INDEX(Inputs!$B$76:$O$76,BA$4+2)+IF(BA$4=11,INDEX('CF Summary'!$B$29:$G$29,BA$3+1)*INDEX(Inputs!$B$76:$O$76,1),0)+IF(BA$4=12,INDEX('CF Summary'!$B$29:$G$29,BA$3+1)*INDEX(Inputs!$B$76:$O$76,2),0))</f>
        <v>-0</v>
      </c>
      <c r="BB16" s="11" t="n">
        <f aca="false">-(INDEX('CF Summary'!$B$29:$G$29,BB$3)*INDEX(Inputs!$B$76:$O$76,BB$4+2)+IF(BB$4=11,INDEX('CF Summary'!$B$29:$G$29,BB$3+1)*INDEX(Inputs!$B$76:$O$76,1),0)+IF(BB$4=12,INDEX('CF Summary'!$B$29:$G$29,BB$3+1)*INDEX(Inputs!$B$76:$O$76,2),0))</f>
        <v>-0</v>
      </c>
      <c r="BC16" s="11" t="n">
        <f aca="false">-(INDEX('CF Summary'!$B$29:$G$29,BC$3)*INDEX(Inputs!$B$76:$O$76,BC$4+2)+IF(BC$4=11,INDEX('CF Summary'!$B$29:$G$29,BC$3+1)*INDEX(Inputs!$B$76:$O$76,1),0)+IF(BC$4=12,INDEX('CF Summary'!$B$29:$G$29,BC$3+1)*INDEX(Inputs!$B$76:$O$76,2),0))</f>
        <v>-0</v>
      </c>
      <c r="BD16" s="11" t="n">
        <f aca="false">-(INDEX('CF Summary'!$B$29:$G$29,BD$3)*INDEX(Inputs!$B$76:$O$76,BD$4+2)+IF(BD$4=11,INDEX('CF Summary'!$B$29:$G$29,BD$3+1)*INDEX(Inputs!$B$76:$O$76,1),0)+IF(BD$4=12,INDEX('CF Summary'!$B$29:$G$29,BD$3+1)*INDEX(Inputs!$B$76:$O$76,2),0))</f>
        <v>-0</v>
      </c>
      <c r="BE16" s="11" t="n">
        <f aca="false">-(INDEX('CF Summary'!$B$29:$G$29,BE$3)*INDEX(Inputs!$B$76:$O$76,BE$4+2)+IF(BE$4=11,INDEX('CF Summary'!$B$29:$G$29,BE$3+1)*INDEX(Inputs!$B$76:$O$76,1),0)+IF(BE$4=12,INDEX('CF Summary'!$B$29:$G$29,BE$3+1)*INDEX(Inputs!$B$76:$O$76,2),0))</f>
        <v>-0</v>
      </c>
      <c r="BF16" s="11" t="n">
        <f aca="false">-(INDEX('CF Summary'!$B$29:$G$29,BF$3)*INDEX(Inputs!$B$76:$O$76,BF$4+2)+IF(BF$4=11,INDEX('CF Summary'!$B$29:$G$29,BF$3+1)*INDEX(Inputs!$B$76:$O$76,1),0)+IF(BF$4=12,INDEX('CF Summary'!$B$29:$G$29,BF$3+1)*INDEX(Inputs!$B$76:$O$76,2),0))</f>
        <v>-0</v>
      </c>
      <c r="BG16" s="11" t="n">
        <f aca="false">-(INDEX('CF Summary'!$B$29:$G$29,BG$3)*INDEX(Inputs!$B$76:$O$76,BG$4+2)+IF(BG$4=11,INDEX('CF Summary'!$B$29:$G$29,BG$3+1)*INDEX(Inputs!$B$76:$O$76,1),0)+IF(BG$4=12,INDEX('CF Summary'!$B$29:$G$29,BG$3+1)*INDEX(Inputs!$B$76:$O$76,2),0))</f>
        <v>-0</v>
      </c>
      <c r="BH16" s="11" t="n">
        <f aca="false">-(INDEX('CF Summary'!$B$29:$G$29,BH$3)*INDEX(Inputs!$B$76:$O$76,BH$4+2)+IF(BH$4=11,INDEX('CF Summary'!$B$29:$G$29,BH$3+1)*INDEX(Inputs!$B$76:$O$76,1),0)+IF(BH$4=12,INDEX('CF Summary'!$B$29:$G$29,BH$3+1)*INDEX(Inputs!$B$76:$O$76,2),0))</f>
        <v>-0</v>
      </c>
      <c r="BI16" s="11" t="n">
        <f aca="false">-(INDEX('CF Summary'!$B$29:$G$29,BI$3)*INDEX(Inputs!$B$76:$O$76,BI$4+2)+IF(BI$4=11,INDEX('CF Summary'!$B$29:$G$29,BI$3+1)*INDEX(Inputs!$B$76:$O$76,1),0)+IF(BI$4=12,INDEX('CF Summary'!$B$29:$G$29,BI$3+1)*INDEX(Inputs!$B$76:$O$76,2),0))</f>
        <v>-0</v>
      </c>
    </row>
    <row r="17" customFormat="false" ht="15" hidden="false" customHeight="false" outlineLevel="0" collapsed="false">
      <c r="A17" s="6" t="s">
        <v>539</v>
      </c>
      <c r="B17" s="11" t="n">
        <f aca="false">-(INDEX('CF Summary'!$B$30:$G$30,B$3)*INDEX(Inputs!$B$77:$O$77,B$4+2)+IF(B$4=11,INDEX('CF Summary'!$B$30:$G$30,B$3+1)*INDEX(Inputs!$B$77:$O$77,1),0)+IF(B$4=12,INDEX('CF Summary'!$B$30:$G$30,B$3+1)*INDEX(Inputs!$B$77:$O$77,2),0))</f>
        <v>-775228.333333333</v>
      </c>
      <c r="C17" s="11" t="n">
        <f aca="false">-(INDEX('CF Summary'!$B$30:$G$30,C$3)*INDEX(Inputs!$B$77:$O$77,C$4+2)+IF(C$4=11,INDEX('CF Summary'!$B$30:$G$30,C$3+1)*INDEX(Inputs!$B$77:$O$77,1),0)+IF(C$4=12,INDEX('CF Summary'!$B$30:$G$30,C$3+1)*INDEX(Inputs!$B$77:$O$77,2),0))</f>
        <v>-775228.333333333</v>
      </c>
      <c r="D17" s="11" t="n">
        <f aca="false">-(INDEX('CF Summary'!$B$30:$G$30,D$3)*INDEX(Inputs!$B$77:$O$77,D$4+2)+IF(D$4=11,INDEX('CF Summary'!$B$30:$G$30,D$3+1)*INDEX(Inputs!$B$77:$O$77,1),0)+IF(D$4=12,INDEX('CF Summary'!$B$30:$G$30,D$3+1)*INDEX(Inputs!$B$77:$O$77,2),0))</f>
        <v>-775228.333333333</v>
      </c>
      <c r="E17" s="11" t="n">
        <f aca="false">-(INDEX('CF Summary'!$B$30:$G$30,E$3)*INDEX(Inputs!$B$77:$O$77,E$4+2)+IF(E$4=11,INDEX('CF Summary'!$B$30:$G$30,E$3+1)*INDEX(Inputs!$B$77:$O$77,1),0)+IF(E$4=12,INDEX('CF Summary'!$B$30:$G$30,E$3+1)*INDEX(Inputs!$B$77:$O$77,2),0))</f>
        <v>-775228.333333333</v>
      </c>
      <c r="F17" s="11" t="n">
        <f aca="false">-(INDEX('CF Summary'!$B$30:$G$30,F$3)*INDEX(Inputs!$B$77:$O$77,F$4+2)+IF(F$4=11,INDEX('CF Summary'!$B$30:$G$30,F$3+1)*INDEX(Inputs!$B$77:$O$77,1),0)+IF(F$4=12,INDEX('CF Summary'!$B$30:$G$30,F$3+1)*INDEX(Inputs!$B$77:$O$77,2),0))</f>
        <v>-775228.333333333</v>
      </c>
      <c r="G17" s="11" t="n">
        <f aca="false">-(INDEX('CF Summary'!$B$30:$G$30,G$3)*INDEX(Inputs!$B$77:$O$77,G$4+2)+IF(G$4=11,INDEX('CF Summary'!$B$30:$G$30,G$3+1)*INDEX(Inputs!$B$77:$O$77,1),0)+IF(G$4=12,INDEX('CF Summary'!$B$30:$G$30,G$3+1)*INDEX(Inputs!$B$77:$O$77,2),0))</f>
        <v>-775228.333333333</v>
      </c>
      <c r="H17" s="11" t="n">
        <f aca="false">-(INDEX('CF Summary'!$B$30:$G$30,H$3)*INDEX(Inputs!$B$77:$O$77,H$4+2)+IF(H$4=11,INDEX('CF Summary'!$B$30:$G$30,H$3+1)*INDEX(Inputs!$B$77:$O$77,1),0)+IF(H$4=12,INDEX('CF Summary'!$B$30:$G$30,H$3+1)*INDEX(Inputs!$B$77:$O$77,2),0))</f>
        <v>-775228.333333333</v>
      </c>
      <c r="I17" s="11" t="n">
        <f aca="false">-(INDEX('CF Summary'!$B$30:$G$30,I$3)*INDEX(Inputs!$B$77:$O$77,I$4+2)+IF(I$4=11,INDEX('CF Summary'!$B$30:$G$30,I$3+1)*INDEX(Inputs!$B$77:$O$77,1),0)+IF(I$4=12,INDEX('CF Summary'!$B$30:$G$30,I$3+1)*INDEX(Inputs!$B$77:$O$77,2),0))</f>
        <v>-775228.333333333</v>
      </c>
      <c r="J17" s="11" t="n">
        <f aca="false">-(INDEX('CF Summary'!$B$30:$G$30,J$3)*INDEX(Inputs!$B$77:$O$77,J$4+2)+IF(J$4=11,INDEX('CF Summary'!$B$30:$G$30,J$3+1)*INDEX(Inputs!$B$77:$O$77,1),0)+IF(J$4=12,INDEX('CF Summary'!$B$30:$G$30,J$3+1)*INDEX(Inputs!$B$77:$O$77,2),0))</f>
        <v>-775228.333333333</v>
      </c>
      <c r="K17" s="11" t="n">
        <f aca="false">-(INDEX('CF Summary'!$B$30:$G$30,K$3)*INDEX(Inputs!$B$77:$O$77,K$4+2)+IF(K$4=11,INDEX('CF Summary'!$B$30:$G$30,K$3+1)*INDEX(Inputs!$B$77:$O$77,1),0)+IF(K$4=12,INDEX('CF Summary'!$B$30:$G$30,K$3+1)*INDEX(Inputs!$B$77:$O$77,2),0))</f>
        <v>-775228.333333333</v>
      </c>
      <c r="L17" s="11" t="n">
        <f aca="false">-(INDEX('CF Summary'!$B$30:$G$30,L$3)*INDEX(Inputs!$B$77:$O$77,L$4+2)+IF(L$4=11,INDEX('CF Summary'!$B$30:$G$30,L$3+1)*INDEX(Inputs!$B$77:$O$77,1),0)+IF(L$4=12,INDEX('CF Summary'!$B$30:$G$30,L$3+1)*INDEX(Inputs!$B$77:$O$77,2),0))</f>
        <v>-775228.333333333</v>
      </c>
      <c r="M17" s="11" t="n">
        <f aca="false">-(INDEX('CF Summary'!$B$30:$G$30,M$3)*INDEX(Inputs!$B$77:$O$77,M$4+2)+IF(M$4=11,INDEX('CF Summary'!$B$30:$G$30,M$3+1)*INDEX(Inputs!$B$77:$O$77,1),0)+IF(M$4=12,INDEX('CF Summary'!$B$30:$G$30,M$3+1)*INDEX(Inputs!$B$77:$O$77,2),0))</f>
        <v>-775228.333333333</v>
      </c>
      <c r="N17" s="11" t="n">
        <f aca="false">-(INDEX('CF Summary'!$B$30:$G$30,N$3)*INDEX(Inputs!$B$77:$O$77,N$4+2)+IF(N$4=11,INDEX('CF Summary'!$B$30:$G$30,N$3+1)*INDEX(Inputs!$B$77:$O$77,1),0)+IF(N$4=12,INDEX('CF Summary'!$B$30:$G$30,N$3+1)*INDEX(Inputs!$B$77:$O$77,2),0))</f>
        <v>-800140.982558192</v>
      </c>
      <c r="O17" s="11" t="n">
        <f aca="false">-(INDEX('CF Summary'!$B$30:$G$30,O$3)*INDEX(Inputs!$B$77:$O$77,O$4+2)+IF(O$4=11,INDEX('CF Summary'!$B$30:$G$30,O$3+1)*INDEX(Inputs!$B$77:$O$77,1),0)+IF(O$4=12,INDEX('CF Summary'!$B$30:$G$30,O$3+1)*INDEX(Inputs!$B$77:$O$77,2),0))</f>
        <v>-800140.982558192</v>
      </c>
      <c r="P17" s="11" t="n">
        <f aca="false">-(INDEX('CF Summary'!$B$30:$G$30,P$3)*INDEX(Inputs!$B$77:$O$77,P$4+2)+IF(P$4=11,INDEX('CF Summary'!$B$30:$G$30,P$3+1)*INDEX(Inputs!$B$77:$O$77,1),0)+IF(P$4=12,INDEX('CF Summary'!$B$30:$G$30,P$3+1)*INDEX(Inputs!$B$77:$O$77,2),0))</f>
        <v>-800140.982558192</v>
      </c>
      <c r="Q17" s="11" t="n">
        <f aca="false">-(INDEX('CF Summary'!$B$30:$G$30,Q$3)*INDEX(Inputs!$B$77:$O$77,Q$4+2)+IF(Q$4=11,INDEX('CF Summary'!$B$30:$G$30,Q$3+1)*INDEX(Inputs!$B$77:$O$77,1),0)+IF(Q$4=12,INDEX('CF Summary'!$B$30:$G$30,Q$3+1)*INDEX(Inputs!$B$77:$O$77,2),0))</f>
        <v>-800140.982558192</v>
      </c>
      <c r="R17" s="11" t="n">
        <f aca="false">-(INDEX('CF Summary'!$B$30:$G$30,R$3)*INDEX(Inputs!$B$77:$O$77,R$4+2)+IF(R$4=11,INDEX('CF Summary'!$B$30:$G$30,R$3+1)*INDEX(Inputs!$B$77:$O$77,1),0)+IF(R$4=12,INDEX('CF Summary'!$B$30:$G$30,R$3+1)*INDEX(Inputs!$B$77:$O$77,2),0))</f>
        <v>-800140.982558192</v>
      </c>
      <c r="S17" s="11" t="n">
        <f aca="false">-(INDEX('CF Summary'!$B$30:$G$30,S$3)*INDEX(Inputs!$B$77:$O$77,S$4+2)+IF(S$4=11,INDEX('CF Summary'!$B$30:$G$30,S$3+1)*INDEX(Inputs!$B$77:$O$77,1),0)+IF(S$4=12,INDEX('CF Summary'!$B$30:$G$30,S$3+1)*INDEX(Inputs!$B$77:$O$77,2),0))</f>
        <v>-800140.982558192</v>
      </c>
      <c r="T17" s="11" t="n">
        <f aca="false">-(INDEX('CF Summary'!$B$30:$G$30,T$3)*INDEX(Inputs!$B$77:$O$77,T$4+2)+IF(T$4=11,INDEX('CF Summary'!$B$30:$G$30,T$3+1)*INDEX(Inputs!$B$77:$O$77,1),0)+IF(T$4=12,INDEX('CF Summary'!$B$30:$G$30,T$3+1)*INDEX(Inputs!$B$77:$O$77,2),0))</f>
        <v>-800140.982558192</v>
      </c>
      <c r="U17" s="11" t="n">
        <f aca="false">-(INDEX('CF Summary'!$B$30:$G$30,U$3)*INDEX(Inputs!$B$77:$O$77,U$4+2)+IF(U$4=11,INDEX('CF Summary'!$B$30:$G$30,U$3+1)*INDEX(Inputs!$B$77:$O$77,1),0)+IF(U$4=12,INDEX('CF Summary'!$B$30:$G$30,U$3+1)*INDEX(Inputs!$B$77:$O$77,2),0))</f>
        <v>-800140.982558192</v>
      </c>
      <c r="V17" s="11" t="n">
        <f aca="false">-(INDEX('CF Summary'!$B$30:$G$30,V$3)*INDEX(Inputs!$B$77:$O$77,V$4+2)+IF(V$4=11,INDEX('CF Summary'!$B$30:$G$30,V$3+1)*INDEX(Inputs!$B$77:$O$77,1),0)+IF(V$4=12,INDEX('CF Summary'!$B$30:$G$30,V$3+1)*INDEX(Inputs!$B$77:$O$77,2),0))</f>
        <v>-800140.982558192</v>
      </c>
      <c r="W17" s="11" t="n">
        <f aca="false">-(INDEX('CF Summary'!$B$30:$G$30,W$3)*INDEX(Inputs!$B$77:$O$77,W$4+2)+IF(W$4=11,INDEX('CF Summary'!$B$30:$G$30,W$3+1)*INDEX(Inputs!$B$77:$O$77,1),0)+IF(W$4=12,INDEX('CF Summary'!$B$30:$G$30,W$3+1)*INDEX(Inputs!$B$77:$O$77,2),0))</f>
        <v>-800140.982558192</v>
      </c>
      <c r="X17" s="11" t="n">
        <f aca="false">-(INDEX('CF Summary'!$B$30:$G$30,X$3)*INDEX(Inputs!$B$77:$O$77,X$4+2)+IF(X$4=11,INDEX('CF Summary'!$B$30:$G$30,X$3+1)*INDEX(Inputs!$B$77:$O$77,1),0)+IF(X$4=12,INDEX('CF Summary'!$B$30:$G$30,X$3+1)*INDEX(Inputs!$B$77:$O$77,2),0))</f>
        <v>-800140.982558192</v>
      </c>
      <c r="Y17" s="11" t="n">
        <f aca="false">-(INDEX('CF Summary'!$B$30:$G$30,Y$3)*INDEX(Inputs!$B$77:$O$77,Y$4+2)+IF(Y$4=11,INDEX('CF Summary'!$B$30:$G$30,Y$3+1)*INDEX(Inputs!$B$77:$O$77,1),0)+IF(Y$4=12,INDEX('CF Summary'!$B$30:$G$30,Y$3+1)*INDEX(Inputs!$B$77:$O$77,2),0))</f>
        <v>-800140.982558192</v>
      </c>
      <c r="Z17" s="11" t="n">
        <f aca="false">-(INDEX('CF Summary'!$B$30:$G$30,Z$3)*INDEX(Inputs!$B$77:$O$77,Z$4+2)+IF(Z$4=11,INDEX('CF Summary'!$B$30:$G$30,Z$3+1)*INDEX(Inputs!$B$77:$O$77,1),0)+IF(Z$4=12,INDEX('CF Summary'!$B$30:$G$30,Z$3+1)*INDEX(Inputs!$B$77:$O$77,2),0))</f>
        <v>-823465.044688322</v>
      </c>
      <c r="AA17" s="11" t="n">
        <f aca="false">-(INDEX('CF Summary'!$B$30:$G$30,AA$3)*INDEX(Inputs!$B$77:$O$77,AA$4+2)+IF(AA$4=11,INDEX('CF Summary'!$B$30:$G$30,AA$3+1)*INDEX(Inputs!$B$77:$O$77,1),0)+IF(AA$4=12,INDEX('CF Summary'!$B$30:$G$30,AA$3+1)*INDEX(Inputs!$B$77:$O$77,2),0))</f>
        <v>-823465.044688322</v>
      </c>
      <c r="AB17" s="11" t="n">
        <f aca="false">-(INDEX('CF Summary'!$B$30:$G$30,AB$3)*INDEX(Inputs!$B$77:$O$77,AB$4+2)+IF(AB$4=11,INDEX('CF Summary'!$B$30:$G$30,AB$3+1)*INDEX(Inputs!$B$77:$O$77,1),0)+IF(AB$4=12,INDEX('CF Summary'!$B$30:$G$30,AB$3+1)*INDEX(Inputs!$B$77:$O$77,2),0))</f>
        <v>-823465.044688322</v>
      </c>
      <c r="AC17" s="11" t="n">
        <f aca="false">-(INDEX('CF Summary'!$B$30:$G$30,AC$3)*INDEX(Inputs!$B$77:$O$77,AC$4+2)+IF(AC$4=11,INDEX('CF Summary'!$B$30:$G$30,AC$3+1)*INDEX(Inputs!$B$77:$O$77,1),0)+IF(AC$4=12,INDEX('CF Summary'!$B$30:$G$30,AC$3+1)*INDEX(Inputs!$B$77:$O$77,2),0))</f>
        <v>-823465.044688322</v>
      </c>
      <c r="AD17" s="11" t="n">
        <f aca="false">-(INDEX('CF Summary'!$B$30:$G$30,AD$3)*INDEX(Inputs!$B$77:$O$77,AD$4+2)+IF(AD$4=11,INDEX('CF Summary'!$B$30:$G$30,AD$3+1)*INDEX(Inputs!$B$77:$O$77,1),0)+IF(AD$4=12,INDEX('CF Summary'!$B$30:$G$30,AD$3+1)*INDEX(Inputs!$B$77:$O$77,2),0))</f>
        <v>-823465.044688322</v>
      </c>
      <c r="AE17" s="11" t="n">
        <f aca="false">-(INDEX('CF Summary'!$B$30:$G$30,AE$3)*INDEX(Inputs!$B$77:$O$77,AE$4+2)+IF(AE$4=11,INDEX('CF Summary'!$B$30:$G$30,AE$3+1)*INDEX(Inputs!$B$77:$O$77,1),0)+IF(AE$4=12,INDEX('CF Summary'!$B$30:$G$30,AE$3+1)*INDEX(Inputs!$B$77:$O$77,2),0))</f>
        <v>-823465.044688322</v>
      </c>
      <c r="AF17" s="11" t="n">
        <f aca="false">-(INDEX('CF Summary'!$B$30:$G$30,AF$3)*INDEX(Inputs!$B$77:$O$77,AF$4+2)+IF(AF$4=11,INDEX('CF Summary'!$B$30:$G$30,AF$3+1)*INDEX(Inputs!$B$77:$O$77,1),0)+IF(AF$4=12,INDEX('CF Summary'!$B$30:$G$30,AF$3+1)*INDEX(Inputs!$B$77:$O$77,2),0))</f>
        <v>-823465.044688322</v>
      </c>
      <c r="AG17" s="11" t="n">
        <f aca="false">-(INDEX('CF Summary'!$B$30:$G$30,AG$3)*INDEX(Inputs!$B$77:$O$77,AG$4+2)+IF(AG$4=11,INDEX('CF Summary'!$B$30:$G$30,AG$3+1)*INDEX(Inputs!$B$77:$O$77,1),0)+IF(AG$4=12,INDEX('CF Summary'!$B$30:$G$30,AG$3+1)*INDEX(Inputs!$B$77:$O$77,2),0))</f>
        <v>-823465.044688322</v>
      </c>
      <c r="AH17" s="11" t="n">
        <f aca="false">-(INDEX('CF Summary'!$B$30:$G$30,AH$3)*INDEX(Inputs!$B$77:$O$77,AH$4+2)+IF(AH$4=11,INDEX('CF Summary'!$B$30:$G$30,AH$3+1)*INDEX(Inputs!$B$77:$O$77,1),0)+IF(AH$4=12,INDEX('CF Summary'!$B$30:$G$30,AH$3+1)*INDEX(Inputs!$B$77:$O$77,2),0))</f>
        <v>-823465.044688322</v>
      </c>
      <c r="AI17" s="11" t="n">
        <f aca="false">-(INDEX('CF Summary'!$B$30:$G$30,AI$3)*INDEX(Inputs!$B$77:$O$77,AI$4+2)+IF(AI$4=11,INDEX('CF Summary'!$B$30:$G$30,AI$3+1)*INDEX(Inputs!$B$77:$O$77,1),0)+IF(AI$4=12,INDEX('CF Summary'!$B$30:$G$30,AI$3+1)*INDEX(Inputs!$B$77:$O$77,2),0))</f>
        <v>-823465.044688322</v>
      </c>
      <c r="AJ17" s="11" t="n">
        <f aca="false">-(INDEX('CF Summary'!$B$30:$G$30,AJ$3)*INDEX(Inputs!$B$77:$O$77,AJ$4+2)+IF(AJ$4=11,INDEX('CF Summary'!$B$30:$G$30,AJ$3+1)*INDEX(Inputs!$B$77:$O$77,1),0)+IF(AJ$4=12,INDEX('CF Summary'!$B$30:$G$30,AJ$3+1)*INDEX(Inputs!$B$77:$O$77,2),0))</f>
        <v>-823465.044688322</v>
      </c>
      <c r="AK17" s="11" t="n">
        <f aca="false">-(INDEX('CF Summary'!$B$30:$G$30,AK$3)*INDEX(Inputs!$B$77:$O$77,AK$4+2)+IF(AK$4=11,INDEX('CF Summary'!$B$30:$G$30,AK$3+1)*INDEX(Inputs!$B$77:$O$77,1),0)+IF(AK$4=12,INDEX('CF Summary'!$B$30:$G$30,AK$3+1)*INDEX(Inputs!$B$77:$O$77,2),0))</f>
        <v>-823465.044688322</v>
      </c>
      <c r="AL17" s="11" t="n">
        <f aca="false">-(INDEX('CF Summary'!$B$30:$G$30,AL$3)*INDEX(Inputs!$B$77:$O$77,AL$4+2)+IF(AL$4=11,INDEX('CF Summary'!$B$30:$G$30,AL$3+1)*INDEX(Inputs!$B$77:$O$77,1),0)+IF(AL$4=12,INDEX('CF Summary'!$B$30:$G$30,AL$3+1)*INDEX(Inputs!$B$77:$O$77,2),0))</f>
        <v>-836755.000188472</v>
      </c>
      <c r="AM17" s="11" t="n">
        <f aca="false">-(INDEX('CF Summary'!$B$30:$G$30,AM$3)*INDEX(Inputs!$B$77:$O$77,AM$4+2)+IF(AM$4=11,INDEX('CF Summary'!$B$30:$G$30,AM$3+1)*INDEX(Inputs!$B$77:$O$77,1),0)+IF(AM$4=12,INDEX('CF Summary'!$B$30:$G$30,AM$3+1)*INDEX(Inputs!$B$77:$O$77,2),0))</f>
        <v>-836755.000188472</v>
      </c>
      <c r="AN17" s="11" t="n">
        <f aca="false">-(INDEX('CF Summary'!$B$30:$G$30,AN$3)*INDEX(Inputs!$B$77:$O$77,AN$4+2)+IF(AN$4=11,INDEX('CF Summary'!$B$30:$G$30,AN$3+1)*INDEX(Inputs!$B$77:$O$77,1),0)+IF(AN$4=12,INDEX('CF Summary'!$B$30:$G$30,AN$3+1)*INDEX(Inputs!$B$77:$O$77,2),0))</f>
        <v>-836755.000188472</v>
      </c>
      <c r="AO17" s="11" t="n">
        <f aca="false">-(INDEX('CF Summary'!$B$30:$G$30,AO$3)*INDEX(Inputs!$B$77:$O$77,AO$4+2)+IF(AO$4=11,INDEX('CF Summary'!$B$30:$G$30,AO$3+1)*INDEX(Inputs!$B$77:$O$77,1),0)+IF(AO$4=12,INDEX('CF Summary'!$B$30:$G$30,AO$3+1)*INDEX(Inputs!$B$77:$O$77,2),0))</f>
        <v>-836755.000188472</v>
      </c>
      <c r="AP17" s="11" t="n">
        <f aca="false">-(INDEX('CF Summary'!$B$30:$G$30,AP$3)*INDEX(Inputs!$B$77:$O$77,AP$4+2)+IF(AP$4=11,INDEX('CF Summary'!$B$30:$G$30,AP$3+1)*INDEX(Inputs!$B$77:$O$77,1),0)+IF(AP$4=12,INDEX('CF Summary'!$B$30:$G$30,AP$3+1)*INDEX(Inputs!$B$77:$O$77,2),0))</f>
        <v>-836755.000188472</v>
      </c>
      <c r="AQ17" s="11" t="n">
        <f aca="false">-(INDEX('CF Summary'!$B$30:$G$30,AQ$3)*INDEX(Inputs!$B$77:$O$77,AQ$4+2)+IF(AQ$4=11,INDEX('CF Summary'!$B$30:$G$30,AQ$3+1)*INDEX(Inputs!$B$77:$O$77,1),0)+IF(AQ$4=12,INDEX('CF Summary'!$B$30:$G$30,AQ$3+1)*INDEX(Inputs!$B$77:$O$77,2),0))</f>
        <v>-836755.000188472</v>
      </c>
      <c r="AR17" s="11" t="n">
        <f aca="false">-(INDEX('CF Summary'!$B$30:$G$30,AR$3)*INDEX(Inputs!$B$77:$O$77,AR$4+2)+IF(AR$4=11,INDEX('CF Summary'!$B$30:$G$30,AR$3+1)*INDEX(Inputs!$B$77:$O$77,1),0)+IF(AR$4=12,INDEX('CF Summary'!$B$30:$G$30,AR$3+1)*INDEX(Inputs!$B$77:$O$77,2),0))</f>
        <v>-836755.000188472</v>
      </c>
      <c r="AS17" s="11" t="n">
        <f aca="false">-(INDEX('CF Summary'!$B$30:$G$30,AS$3)*INDEX(Inputs!$B$77:$O$77,AS$4+2)+IF(AS$4=11,INDEX('CF Summary'!$B$30:$G$30,AS$3+1)*INDEX(Inputs!$B$77:$O$77,1),0)+IF(AS$4=12,INDEX('CF Summary'!$B$30:$G$30,AS$3+1)*INDEX(Inputs!$B$77:$O$77,2),0))</f>
        <v>-836755.000188472</v>
      </c>
      <c r="AT17" s="11" t="n">
        <f aca="false">-(INDEX('CF Summary'!$B$30:$G$30,AT$3)*INDEX(Inputs!$B$77:$O$77,AT$4+2)+IF(AT$4=11,INDEX('CF Summary'!$B$30:$G$30,AT$3+1)*INDEX(Inputs!$B$77:$O$77,1),0)+IF(AT$4=12,INDEX('CF Summary'!$B$30:$G$30,AT$3+1)*INDEX(Inputs!$B$77:$O$77,2),0))</f>
        <v>-836755.000188472</v>
      </c>
      <c r="AU17" s="11" t="n">
        <f aca="false">-(INDEX('CF Summary'!$B$30:$G$30,AU$3)*INDEX(Inputs!$B$77:$O$77,AU$4+2)+IF(AU$4=11,INDEX('CF Summary'!$B$30:$G$30,AU$3+1)*INDEX(Inputs!$B$77:$O$77,1),0)+IF(AU$4=12,INDEX('CF Summary'!$B$30:$G$30,AU$3+1)*INDEX(Inputs!$B$77:$O$77,2),0))</f>
        <v>-836755.000188472</v>
      </c>
      <c r="AV17" s="11" t="n">
        <f aca="false">-(INDEX('CF Summary'!$B$30:$G$30,AV$3)*INDEX(Inputs!$B$77:$O$77,AV$4+2)+IF(AV$4=11,INDEX('CF Summary'!$B$30:$G$30,AV$3+1)*INDEX(Inputs!$B$77:$O$77,1),0)+IF(AV$4=12,INDEX('CF Summary'!$B$30:$G$30,AV$3+1)*INDEX(Inputs!$B$77:$O$77,2),0))</f>
        <v>-836755.000188472</v>
      </c>
      <c r="AW17" s="11" t="n">
        <f aca="false">-(INDEX('CF Summary'!$B$30:$G$30,AW$3)*INDEX(Inputs!$B$77:$O$77,AW$4+2)+IF(AW$4=11,INDEX('CF Summary'!$B$30:$G$30,AW$3+1)*INDEX(Inputs!$B$77:$O$77,1),0)+IF(AW$4=12,INDEX('CF Summary'!$B$30:$G$30,AW$3+1)*INDEX(Inputs!$B$77:$O$77,2),0))</f>
        <v>-836755.000188472</v>
      </c>
      <c r="AX17" s="11" t="n">
        <f aca="false">-(INDEX('CF Summary'!$B$30:$G$30,AX$3)*INDEX(Inputs!$B$77:$O$77,AX$4+2)+IF(AX$4=11,INDEX('CF Summary'!$B$30:$G$30,AX$3+1)*INDEX(Inputs!$B$77:$O$77,1),0)+IF(AX$4=12,INDEX('CF Summary'!$B$30:$G$30,AX$3+1)*INDEX(Inputs!$B$77:$O$77,2),0))</f>
        <v>-855965.101848949</v>
      </c>
      <c r="AY17" s="11" t="n">
        <f aca="false">-(INDEX('CF Summary'!$B$30:$G$30,AY$3)*INDEX(Inputs!$B$77:$O$77,AY$4+2)+IF(AY$4=11,INDEX('CF Summary'!$B$30:$G$30,AY$3+1)*INDEX(Inputs!$B$77:$O$77,1),0)+IF(AY$4=12,INDEX('CF Summary'!$B$30:$G$30,AY$3+1)*INDEX(Inputs!$B$77:$O$77,2),0))</f>
        <v>-855965.101848949</v>
      </c>
      <c r="AZ17" s="11" t="n">
        <f aca="false">-(INDEX('CF Summary'!$B$30:$G$30,AZ$3)*INDEX(Inputs!$B$77:$O$77,AZ$4+2)+IF(AZ$4=11,INDEX('CF Summary'!$B$30:$G$30,AZ$3+1)*INDEX(Inputs!$B$77:$O$77,1),0)+IF(AZ$4=12,INDEX('CF Summary'!$B$30:$G$30,AZ$3+1)*INDEX(Inputs!$B$77:$O$77,2),0))</f>
        <v>-855965.101848949</v>
      </c>
      <c r="BA17" s="11" t="n">
        <f aca="false">-(INDEX('CF Summary'!$B$30:$G$30,BA$3)*INDEX(Inputs!$B$77:$O$77,BA$4+2)+IF(BA$4=11,INDEX('CF Summary'!$B$30:$G$30,BA$3+1)*INDEX(Inputs!$B$77:$O$77,1),0)+IF(BA$4=12,INDEX('CF Summary'!$B$30:$G$30,BA$3+1)*INDEX(Inputs!$B$77:$O$77,2),0))</f>
        <v>-855965.101848949</v>
      </c>
      <c r="BB17" s="11" t="n">
        <f aca="false">-(INDEX('CF Summary'!$B$30:$G$30,BB$3)*INDEX(Inputs!$B$77:$O$77,BB$4+2)+IF(BB$4=11,INDEX('CF Summary'!$B$30:$G$30,BB$3+1)*INDEX(Inputs!$B$77:$O$77,1),0)+IF(BB$4=12,INDEX('CF Summary'!$B$30:$G$30,BB$3+1)*INDEX(Inputs!$B$77:$O$77,2),0))</f>
        <v>-855965.101848949</v>
      </c>
      <c r="BC17" s="11" t="n">
        <f aca="false">-(INDEX('CF Summary'!$B$30:$G$30,BC$3)*INDEX(Inputs!$B$77:$O$77,BC$4+2)+IF(BC$4=11,INDEX('CF Summary'!$B$30:$G$30,BC$3+1)*INDEX(Inputs!$B$77:$O$77,1),0)+IF(BC$4=12,INDEX('CF Summary'!$B$30:$G$30,BC$3+1)*INDEX(Inputs!$B$77:$O$77,2),0))</f>
        <v>-855965.101848949</v>
      </c>
      <c r="BD17" s="11" t="n">
        <f aca="false">-(INDEX('CF Summary'!$B$30:$G$30,BD$3)*INDEX(Inputs!$B$77:$O$77,BD$4+2)+IF(BD$4=11,INDEX('CF Summary'!$B$30:$G$30,BD$3+1)*INDEX(Inputs!$B$77:$O$77,1),0)+IF(BD$4=12,INDEX('CF Summary'!$B$30:$G$30,BD$3+1)*INDEX(Inputs!$B$77:$O$77,2),0))</f>
        <v>-855965.101848949</v>
      </c>
      <c r="BE17" s="11" t="n">
        <f aca="false">-(INDEX('CF Summary'!$B$30:$G$30,BE$3)*INDEX(Inputs!$B$77:$O$77,BE$4+2)+IF(BE$4=11,INDEX('CF Summary'!$B$30:$G$30,BE$3+1)*INDEX(Inputs!$B$77:$O$77,1),0)+IF(BE$4=12,INDEX('CF Summary'!$B$30:$G$30,BE$3+1)*INDEX(Inputs!$B$77:$O$77,2),0))</f>
        <v>-855965.101848949</v>
      </c>
      <c r="BF17" s="11" t="n">
        <f aca="false">-(INDEX('CF Summary'!$B$30:$G$30,BF$3)*INDEX(Inputs!$B$77:$O$77,BF$4+2)+IF(BF$4=11,INDEX('CF Summary'!$B$30:$G$30,BF$3+1)*INDEX(Inputs!$B$77:$O$77,1),0)+IF(BF$4=12,INDEX('CF Summary'!$B$30:$G$30,BF$3+1)*INDEX(Inputs!$B$77:$O$77,2),0))</f>
        <v>-855965.101848949</v>
      </c>
      <c r="BG17" s="11" t="n">
        <f aca="false">-(INDEX('CF Summary'!$B$30:$G$30,BG$3)*INDEX(Inputs!$B$77:$O$77,BG$4+2)+IF(BG$4=11,INDEX('CF Summary'!$B$30:$G$30,BG$3+1)*INDEX(Inputs!$B$77:$O$77,1),0)+IF(BG$4=12,INDEX('CF Summary'!$B$30:$G$30,BG$3+1)*INDEX(Inputs!$B$77:$O$77,2),0))</f>
        <v>-855965.101848949</v>
      </c>
      <c r="BH17" s="11" t="n">
        <f aca="false">-(INDEX('CF Summary'!$B$30:$G$30,BH$3)*INDEX(Inputs!$B$77:$O$77,BH$4+2)+IF(BH$4=11,INDEX('CF Summary'!$B$30:$G$30,BH$3+1)*INDEX(Inputs!$B$77:$O$77,1),0)+IF(BH$4=12,INDEX('CF Summary'!$B$30:$G$30,BH$3+1)*INDEX(Inputs!$B$77:$O$77,2),0))</f>
        <v>-855965.101848949</v>
      </c>
      <c r="BI17" s="11" t="n">
        <f aca="false">-(INDEX('CF Summary'!$B$30:$G$30,BI$3)*INDEX(Inputs!$B$77:$O$77,BI$4+2)+IF(BI$4=11,INDEX('CF Summary'!$B$30:$G$30,BI$3+1)*INDEX(Inputs!$B$77:$O$77,1),0)+IF(BI$4=12,INDEX('CF Summary'!$B$30:$G$30,BI$3+1)*INDEX(Inputs!$B$77:$O$77,2),0))</f>
        <v>-855965.101848949</v>
      </c>
    </row>
    <row r="18" customFormat="false" ht="15" hidden="false" customHeight="false" outlineLevel="0" collapsed="false">
      <c r="A18" s="6" t="s">
        <v>540</v>
      </c>
      <c r="B18" s="11" t="n">
        <f aca="false">-(INDEX('CF Summary'!$B$31:$G$31,B$3)*INDEX(Inputs!$B$78:$O$78,B$4+2)+IF(B$4=11,INDEX('CF Summary'!$B$31:$G$31,B$3+1)*INDEX(Inputs!$B$78:$O$78,1),0)+IF(B$4=12,INDEX('CF Summary'!$B$31:$G$31,B$3+1)*INDEX(Inputs!$B$78:$O$78,2),0))</f>
        <v>-0</v>
      </c>
      <c r="C18" s="11" t="n">
        <f aca="false">-(INDEX('CF Summary'!$B$31:$G$31,C$3)*INDEX(Inputs!$B$78:$O$78,C$4+2)+IF(C$4=11,INDEX('CF Summary'!$B$31:$G$31,C$3+1)*INDEX(Inputs!$B$78:$O$78,1),0)+IF(C$4=12,INDEX('CF Summary'!$B$31:$G$31,C$3+1)*INDEX(Inputs!$B$78:$O$78,2),0))</f>
        <v>-0</v>
      </c>
      <c r="D18" s="11" t="n">
        <f aca="false">-(INDEX('CF Summary'!$B$31:$G$31,D$3)*INDEX(Inputs!$B$78:$O$78,D$4+2)+IF(D$4=11,INDEX('CF Summary'!$B$31:$G$31,D$3+1)*INDEX(Inputs!$B$78:$O$78,1),0)+IF(D$4=12,INDEX('CF Summary'!$B$31:$G$31,D$3+1)*INDEX(Inputs!$B$78:$O$78,2),0))</f>
        <v>-0</v>
      </c>
      <c r="E18" s="11" t="n">
        <f aca="false">-(INDEX('CF Summary'!$B$31:$G$31,E$3)*INDEX(Inputs!$B$78:$O$78,E$4+2)+IF(E$4=11,INDEX('CF Summary'!$B$31:$G$31,E$3+1)*INDEX(Inputs!$B$78:$O$78,1),0)+IF(E$4=12,INDEX('CF Summary'!$B$31:$G$31,E$3+1)*INDEX(Inputs!$B$78:$O$78,2),0))</f>
        <v>-0</v>
      </c>
      <c r="F18" s="11" t="n">
        <f aca="false">-(INDEX('CF Summary'!$B$31:$G$31,F$3)*INDEX(Inputs!$B$78:$O$78,F$4+2)+IF(F$4=11,INDEX('CF Summary'!$B$31:$G$31,F$3+1)*INDEX(Inputs!$B$78:$O$78,1),0)+IF(F$4=12,INDEX('CF Summary'!$B$31:$G$31,F$3+1)*INDEX(Inputs!$B$78:$O$78,2),0))</f>
        <v>-0</v>
      </c>
      <c r="G18" s="11" t="n">
        <f aca="false">-(INDEX('CF Summary'!$B$31:$G$31,G$3)*INDEX(Inputs!$B$78:$O$78,G$4+2)+IF(G$4=11,INDEX('CF Summary'!$B$31:$G$31,G$3+1)*INDEX(Inputs!$B$78:$O$78,1),0)+IF(G$4=12,INDEX('CF Summary'!$B$31:$G$31,G$3+1)*INDEX(Inputs!$B$78:$O$78,2),0))</f>
        <v>-0</v>
      </c>
      <c r="H18" s="11" t="n">
        <f aca="false">-(INDEX('CF Summary'!$B$31:$G$31,H$3)*INDEX(Inputs!$B$78:$O$78,H$4+2)+IF(H$4=11,INDEX('CF Summary'!$B$31:$G$31,H$3+1)*INDEX(Inputs!$B$78:$O$78,1),0)+IF(H$4=12,INDEX('CF Summary'!$B$31:$G$31,H$3+1)*INDEX(Inputs!$B$78:$O$78,2),0))</f>
        <v>-0</v>
      </c>
      <c r="I18" s="11" t="n">
        <f aca="false">-(INDEX('CF Summary'!$B$31:$G$31,I$3)*INDEX(Inputs!$B$78:$O$78,I$4+2)+IF(I$4=11,INDEX('CF Summary'!$B$31:$G$31,I$3+1)*INDEX(Inputs!$B$78:$O$78,1),0)+IF(I$4=12,INDEX('CF Summary'!$B$31:$G$31,I$3+1)*INDEX(Inputs!$B$78:$O$78,2),0))</f>
        <v>-0</v>
      </c>
      <c r="J18" s="11" t="n">
        <f aca="false">-(INDEX('CF Summary'!$B$31:$G$31,J$3)*INDEX(Inputs!$B$78:$O$78,J$4+2)+IF(J$4=11,INDEX('CF Summary'!$B$31:$G$31,J$3+1)*INDEX(Inputs!$B$78:$O$78,1),0)+IF(J$4=12,INDEX('CF Summary'!$B$31:$G$31,J$3+1)*INDEX(Inputs!$B$78:$O$78,2),0))</f>
        <v>-0</v>
      </c>
      <c r="K18" s="11" t="n">
        <f aca="false">-(INDEX('CF Summary'!$B$31:$G$31,K$3)*INDEX(Inputs!$B$78:$O$78,K$4+2)+IF(K$4=11,INDEX('CF Summary'!$B$31:$G$31,K$3+1)*INDEX(Inputs!$B$78:$O$78,1),0)+IF(K$4=12,INDEX('CF Summary'!$B$31:$G$31,K$3+1)*INDEX(Inputs!$B$78:$O$78,2),0))</f>
        <v>-0</v>
      </c>
      <c r="L18" s="11" t="n">
        <f aca="false">-(INDEX('CF Summary'!$B$31:$G$31,L$3)*INDEX(Inputs!$B$78:$O$78,L$4+2)+IF(L$4=11,INDEX('CF Summary'!$B$31:$G$31,L$3+1)*INDEX(Inputs!$B$78:$O$78,1),0)+IF(L$4=12,INDEX('CF Summary'!$B$31:$G$31,L$3+1)*INDEX(Inputs!$B$78:$O$78,2),0))</f>
        <v>-0</v>
      </c>
      <c r="M18" s="11" t="n">
        <f aca="false">-(INDEX('CF Summary'!$B$31:$G$31,M$3)*INDEX(Inputs!$B$78:$O$78,M$4+2)+IF(M$4=11,INDEX('CF Summary'!$B$31:$G$31,M$3+1)*INDEX(Inputs!$B$78:$O$78,1),0)+IF(M$4=12,INDEX('CF Summary'!$B$31:$G$31,M$3+1)*INDEX(Inputs!$B$78:$O$78,2),0))</f>
        <v>-0</v>
      </c>
      <c r="N18" s="11" t="n">
        <f aca="false">-(INDEX('CF Summary'!$B$31:$G$31,N$3)*INDEX(Inputs!$B$78:$O$78,N$4+2)+IF(N$4=11,INDEX('CF Summary'!$B$31:$G$31,N$3+1)*INDEX(Inputs!$B$78:$O$78,1),0)+IF(N$4=12,INDEX('CF Summary'!$B$31:$G$31,N$3+1)*INDEX(Inputs!$B$78:$O$78,2),0))</f>
        <v>-0</v>
      </c>
      <c r="O18" s="11" t="n">
        <f aca="false">-(INDEX('CF Summary'!$B$31:$G$31,O$3)*INDEX(Inputs!$B$78:$O$78,O$4+2)+IF(O$4=11,INDEX('CF Summary'!$B$31:$G$31,O$3+1)*INDEX(Inputs!$B$78:$O$78,1),0)+IF(O$4=12,INDEX('CF Summary'!$B$31:$G$31,O$3+1)*INDEX(Inputs!$B$78:$O$78,2),0))</f>
        <v>-0</v>
      </c>
      <c r="P18" s="11" t="n">
        <f aca="false">-(INDEX('CF Summary'!$B$31:$G$31,P$3)*INDEX(Inputs!$B$78:$O$78,P$4+2)+IF(P$4=11,INDEX('CF Summary'!$B$31:$G$31,P$3+1)*INDEX(Inputs!$B$78:$O$78,1),0)+IF(P$4=12,INDEX('CF Summary'!$B$31:$G$31,P$3+1)*INDEX(Inputs!$B$78:$O$78,2),0))</f>
        <v>-0</v>
      </c>
      <c r="Q18" s="11" t="n">
        <f aca="false">-(INDEX('CF Summary'!$B$31:$G$31,Q$3)*INDEX(Inputs!$B$78:$O$78,Q$4+2)+IF(Q$4=11,INDEX('CF Summary'!$B$31:$G$31,Q$3+1)*INDEX(Inputs!$B$78:$O$78,1),0)+IF(Q$4=12,INDEX('CF Summary'!$B$31:$G$31,Q$3+1)*INDEX(Inputs!$B$78:$O$78,2),0))</f>
        <v>-0</v>
      </c>
      <c r="R18" s="11" t="n">
        <f aca="false">-(INDEX('CF Summary'!$B$31:$G$31,R$3)*INDEX(Inputs!$B$78:$O$78,R$4+2)+IF(R$4=11,INDEX('CF Summary'!$B$31:$G$31,R$3+1)*INDEX(Inputs!$B$78:$O$78,1),0)+IF(R$4=12,INDEX('CF Summary'!$B$31:$G$31,R$3+1)*INDEX(Inputs!$B$78:$O$78,2),0))</f>
        <v>-0</v>
      </c>
      <c r="S18" s="11" t="n">
        <f aca="false">-(INDEX('CF Summary'!$B$31:$G$31,S$3)*INDEX(Inputs!$B$78:$O$78,S$4+2)+IF(S$4=11,INDEX('CF Summary'!$B$31:$G$31,S$3+1)*INDEX(Inputs!$B$78:$O$78,1),0)+IF(S$4=12,INDEX('CF Summary'!$B$31:$G$31,S$3+1)*INDEX(Inputs!$B$78:$O$78,2),0))</f>
        <v>-0</v>
      </c>
      <c r="T18" s="11" t="n">
        <f aca="false">-(INDEX('CF Summary'!$B$31:$G$31,T$3)*INDEX(Inputs!$B$78:$O$78,T$4+2)+IF(T$4=11,INDEX('CF Summary'!$B$31:$G$31,T$3+1)*INDEX(Inputs!$B$78:$O$78,1),0)+IF(T$4=12,INDEX('CF Summary'!$B$31:$G$31,T$3+1)*INDEX(Inputs!$B$78:$O$78,2),0))</f>
        <v>-0</v>
      </c>
      <c r="U18" s="11" t="n">
        <f aca="false">-(INDEX('CF Summary'!$B$31:$G$31,U$3)*INDEX(Inputs!$B$78:$O$78,U$4+2)+IF(U$4=11,INDEX('CF Summary'!$B$31:$G$31,U$3+1)*INDEX(Inputs!$B$78:$O$78,1),0)+IF(U$4=12,INDEX('CF Summary'!$B$31:$G$31,U$3+1)*INDEX(Inputs!$B$78:$O$78,2),0))</f>
        <v>-0</v>
      </c>
      <c r="V18" s="11" t="n">
        <f aca="false">-(INDEX('CF Summary'!$B$31:$G$31,V$3)*INDEX(Inputs!$B$78:$O$78,V$4+2)+IF(V$4=11,INDEX('CF Summary'!$B$31:$G$31,V$3+1)*INDEX(Inputs!$B$78:$O$78,1),0)+IF(V$4=12,INDEX('CF Summary'!$B$31:$G$31,V$3+1)*INDEX(Inputs!$B$78:$O$78,2),0))</f>
        <v>-0</v>
      </c>
      <c r="W18" s="11" t="n">
        <f aca="false">-(INDEX('CF Summary'!$B$31:$G$31,W$3)*INDEX(Inputs!$B$78:$O$78,W$4+2)+IF(W$4=11,INDEX('CF Summary'!$B$31:$G$31,W$3+1)*INDEX(Inputs!$B$78:$O$78,1),0)+IF(W$4=12,INDEX('CF Summary'!$B$31:$G$31,W$3+1)*INDEX(Inputs!$B$78:$O$78,2),0))</f>
        <v>-0</v>
      </c>
      <c r="X18" s="11" t="n">
        <f aca="false">-(INDEX('CF Summary'!$B$31:$G$31,X$3)*INDEX(Inputs!$B$78:$O$78,X$4+2)+IF(X$4=11,INDEX('CF Summary'!$B$31:$G$31,X$3+1)*INDEX(Inputs!$B$78:$O$78,1),0)+IF(X$4=12,INDEX('CF Summary'!$B$31:$G$31,X$3+1)*INDEX(Inputs!$B$78:$O$78,2),0))</f>
        <v>-0</v>
      </c>
      <c r="Y18" s="11" t="n">
        <f aca="false">-(INDEX('CF Summary'!$B$31:$G$31,Y$3)*INDEX(Inputs!$B$78:$O$78,Y$4+2)+IF(Y$4=11,INDEX('CF Summary'!$B$31:$G$31,Y$3+1)*INDEX(Inputs!$B$78:$O$78,1),0)+IF(Y$4=12,INDEX('CF Summary'!$B$31:$G$31,Y$3+1)*INDEX(Inputs!$B$78:$O$78,2),0))</f>
        <v>-0</v>
      </c>
      <c r="Z18" s="11" t="n">
        <f aca="false">-(INDEX('CF Summary'!$B$31:$G$31,Z$3)*INDEX(Inputs!$B$78:$O$78,Z$4+2)+IF(Z$4=11,INDEX('CF Summary'!$B$31:$G$31,Z$3+1)*INDEX(Inputs!$B$78:$O$78,1),0)+IF(Z$4=12,INDEX('CF Summary'!$B$31:$G$31,Z$3+1)*INDEX(Inputs!$B$78:$O$78,2),0))</f>
        <v>-0</v>
      </c>
      <c r="AA18" s="11" t="n">
        <f aca="false">-(INDEX('CF Summary'!$B$31:$G$31,AA$3)*INDEX(Inputs!$B$78:$O$78,AA$4+2)+IF(AA$4=11,INDEX('CF Summary'!$B$31:$G$31,AA$3+1)*INDEX(Inputs!$B$78:$O$78,1),0)+IF(AA$4=12,INDEX('CF Summary'!$B$31:$G$31,AA$3+1)*INDEX(Inputs!$B$78:$O$78,2),0))</f>
        <v>-0</v>
      </c>
      <c r="AB18" s="11" t="n">
        <f aca="false">-(INDEX('CF Summary'!$B$31:$G$31,AB$3)*INDEX(Inputs!$B$78:$O$78,AB$4+2)+IF(AB$4=11,INDEX('CF Summary'!$B$31:$G$31,AB$3+1)*INDEX(Inputs!$B$78:$O$78,1),0)+IF(AB$4=12,INDEX('CF Summary'!$B$31:$G$31,AB$3+1)*INDEX(Inputs!$B$78:$O$78,2),0))</f>
        <v>-0</v>
      </c>
      <c r="AC18" s="11" t="n">
        <f aca="false">-(INDEX('CF Summary'!$B$31:$G$31,AC$3)*INDEX(Inputs!$B$78:$O$78,AC$4+2)+IF(AC$4=11,INDEX('CF Summary'!$B$31:$G$31,AC$3+1)*INDEX(Inputs!$B$78:$O$78,1),0)+IF(AC$4=12,INDEX('CF Summary'!$B$31:$G$31,AC$3+1)*INDEX(Inputs!$B$78:$O$78,2),0))</f>
        <v>-0</v>
      </c>
      <c r="AD18" s="11" t="n">
        <f aca="false">-(INDEX('CF Summary'!$B$31:$G$31,AD$3)*INDEX(Inputs!$B$78:$O$78,AD$4+2)+IF(AD$4=11,INDEX('CF Summary'!$B$31:$G$31,AD$3+1)*INDEX(Inputs!$B$78:$O$78,1),0)+IF(AD$4=12,INDEX('CF Summary'!$B$31:$G$31,AD$3+1)*INDEX(Inputs!$B$78:$O$78,2),0))</f>
        <v>-0</v>
      </c>
      <c r="AE18" s="11" t="n">
        <f aca="false">-(INDEX('CF Summary'!$B$31:$G$31,AE$3)*INDEX(Inputs!$B$78:$O$78,AE$4+2)+IF(AE$4=11,INDEX('CF Summary'!$B$31:$G$31,AE$3+1)*INDEX(Inputs!$B$78:$O$78,1),0)+IF(AE$4=12,INDEX('CF Summary'!$B$31:$G$31,AE$3+1)*INDEX(Inputs!$B$78:$O$78,2),0))</f>
        <v>-0</v>
      </c>
      <c r="AF18" s="11" t="n">
        <f aca="false">-(INDEX('CF Summary'!$B$31:$G$31,AF$3)*INDEX(Inputs!$B$78:$O$78,AF$4+2)+IF(AF$4=11,INDEX('CF Summary'!$B$31:$G$31,AF$3+1)*INDEX(Inputs!$B$78:$O$78,1),0)+IF(AF$4=12,INDEX('CF Summary'!$B$31:$G$31,AF$3+1)*INDEX(Inputs!$B$78:$O$78,2),0))</f>
        <v>-0</v>
      </c>
      <c r="AG18" s="11" t="n">
        <f aca="false">-(INDEX('CF Summary'!$B$31:$G$31,AG$3)*INDEX(Inputs!$B$78:$O$78,AG$4+2)+IF(AG$4=11,INDEX('CF Summary'!$B$31:$G$31,AG$3+1)*INDEX(Inputs!$B$78:$O$78,1),0)+IF(AG$4=12,INDEX('CF Summary'!$B$31:$G$31,AG$3+1)*INDEX(Inputs!$B$78:$O$78,2),0))</f>
        <v>-0</v>
      </c>
      <c r="AH18" s="11" t="n">
        <f aca="false">-(INDEX('CF Summary'!$B$31:$G$31,AH$3)*INDEX(Inputs!$B$78:$O$78,AH$4+2)+IF(AH$4=11,INDEX('CF Summary'!$B$31:$G$31,AH$3+1)*INDEX(Inputs!$B$78:$O$78,1),0)+IF(AH$4=12,INDEX('CF Summary'!$B$31:$G$31,AH$3+1)*INDEX(Inputs!$B$78:$O$78,2),0))</f>
        <v>-0</v>
      </c>
      <c r="AI18" s="11" t="n">
        <f aca="false">-(INDEX('CF Summary'!$B$31:$G$31,AI$3)*INDEX(Inputs!$B$78:$O$78,AI$4+2)+IF(AI$4=11,INDEX('CF Summary'!$B$31:$G$31,AI$3+1)*INDEX(Inputs!$B$78:$O$78,1),0)+IF(AI$4=12,INDEX('CF Summary'!$B$31:$G$31,AI$3+1)*INDEX(Inputs!$B$78:$O$78,2),0))</f>
        <v>-0</v>
      </c>
      <c r="AJ18" s="11" t="n">
        <f aca="false">-(INDEX('CF Summary'!$B$31:$G$31,AJ$3)*INDEX(Inputs!$B$78:$O$78,AJ$4+2)+IF(AJ$4=11,INDEX('CF Summary'!$B$31:$G$31,AJ$3+1)*INDEX(Inputs!$B$78:$O$78,1),0)+IF(AJ$4=12,INDEX('CF Summary'!$B$31:$G$31,AJ$3+1)*INDEX(Inputs!$B$78:$O$78,2),0))</f>
        <v>-0</v>
      </c>
      <c r="AK18" s="11" t="n">
        <f aca="false">-(INDEX('CF Summary'!$B$31:$G$31,AK$3)*INDEX(Inputs!$B$78:$O$78,AK$4+2)+IF(AK$4=11,INDEX('CF Summary'!$B$31:$G$31,AK$3+1)*INDEX(Inputs!$B$78:$O$78,1),0)+IF(AK$4=12,INDEX('CF Summary'!$B$31:$G$31,AK$3+1)*INDEX(Inputs!$B$78:$O$78,2),0))</f>
        <v>-0</v>
      </c>
      <c r="AL18" s="11" t="n">
        <f aca="false">-(INDEX('CF Summary'!$B$31:$G$31,AL$3)*INDEX(Inputs!$B$78:$O$78,AL$4+2)+IF(AL$4=11,INDEX('CF Summary'!$B$31:$G$31,AL$3+1)*INDEX(Inputs!$B$78:$O$78,1),0)+IF(AL$4=12,INDEX('CF Summary'!$B$31:$G$31,AL$3+1)*INDEX(Inputs!$B$78:$O$78,2),0))</f>
        <v>-0</v>
      </c>
      <c r="AM18" s="11" t="n">
        <f aca="false">-(INDEX('CF Summary'!$B$31:$G$31,AM$3)*INDEX(Inputs!$B$78:$O$78,AM$4+2)+IF(AM$4=11,INDEX('CF Summary'!$B$31:$G$31,AM$3+1)*INDEX(Inputs!$B$78:$O$78,1),0)+IF(AM$4=12,INDEX('CF Summary'!$B$31:$G$31,AM$3+1)*INDEX(Inputs!$B$78:$O$78,2),0))</f>
        <v>-0</v>
      </c>
      <c r="AN18" s="11" t="n">
        <f aca="false">-(INDEX('CF Summary'!$B$31:$G$31,AN$3)*INDEX(Inputs!$B$78:$O$78,AN$4+2)+IF(AN$4=11,INDEX('CF Summary'!$B$31:$G$31,AN$3+1)*INDEX(Inputs!$B$78:$O$78,1),0)+IF(AN$4=12,INDEX('CF Summary'!$B$31:$G$31,AN$3+1)*INDEX(Inputs!$B$78:$O$78,2),0))</f>
        <v>-0</v>
      </c>
      <c r="AO18" s="11" t="n">
        <f aca="false">-(INDEX('CF Summary'!$B$31:$G$31,AO$3)*INDEX(Inputs!$B$78:$O$78,AO$4+2)+IF(AO$4=11,INDEX('CF Summary'!$B$31:$G$31,AO$3+1)*INDEX(Inputs!$B$78:$O$78,1),0)+IF(AO$4=12,INDEX('CF Summary'!$B$31:$G$31,AO$3+1)*INDEX(Inputs!$B$78:$O$78,2),0))</f>
        <v>-0</v>
      </c>
      <c r="AP18" s="11" t="n">
        <f aca="false">-(INDEX('CF Summary'!$B$31:$G$31,AP$3)*INDEX(Inputs!$B$78:$O$78,AP$4+2)+IF(AP$4=11,INDEX('CF Summary'!$B$31:$G$31,AP$3+1)*INDEX(Inputs!$B$78:$O$78,1),0)+IF(AP$4=12,INDEX('CF Summary'!$B$31:$G$31,AP$3+1)*INDEX(Inputs!$B$78:$O$78,2),0))</f>
        <v>-0</v>
      </c>
      <c r="AQ18" s="11" t="n">
        <f aca="false">-(INDEX('CF Summary'!$B$31:$G$31,AQ$3)*INDEX(Inputs!$B$78:$O$78,AQ$4+2)+IF(AQ$4=11,INDEX('CF Summary'!$B$31:$G$31,AQ$3+1)*INDEX(Inputs!$B$78:$O$78,1),0)+IF(AQ$4=12,INDEX('CF Summary'!$B$31:$G$31,AQ$3+1)*INDEX(Inputs!$B$78:$O$78,2),0))</f>
        <v>-0</v>
      </c>
      <c r="AR18" s="11" t="n">
        <f aca="false">-(INDEX('CF Summary'!$B$31:$G$31,AR$3)*INDEX(Inputs!$B$78:$O$78,AR$4+2)+IF(AR$4=11,INDEX('CF Summary'!$B$31:$G$31,AR$3+1)*INDEX(Inputs!$B$78:$O$78,1),0)+IF(AR$4=12,INDEX('CF Summary'!$B$31:$G$31,AR$3+1)*INDEX(Inputs!$B$78:$O$78,2),0))</f>
        <v>-0</v>
      </c>
      <c r="AS18" s="11" t="n">
        <f aca="false">-(INDEX('CF Summary'!$B$31:$G$31,AS$3)*INDEX(Inputs!$B$78:$O$78,AS$4+2)+IF(AS$4=11,INDEX('CF Summary'!$B$31:$G$31,AS$3+1)*INDEX(Inputs!$B$78:$O$78,1),0)+IF(AS$4=12,INDEX('CF Summary'!$B$31:$G$31,AS$3+1)*INDEX(Inputs!$B$78:$O$78,2),0))</f>
        <v>-0</v>
      </c>
      <c r="AT18" s="11" t="n">
        <f aca="false">-(INDEX('CF Summary'!$B$31:$G$31,AT$3)*INDEX(Inputs!$B$78:$O$78,AT$4+2)+IF(AT$4=11,INDEX('CF Summary'!$B$31:$G$31,AT$3+1)*INDEX(Inputs!$B$78:$O$78,1),0)+IF(AT$4=12,INDEX('CF Summary'!$B$31:$G$31,AT$3+1)*INDEX(Inputs!$B$78:$O$78,2),0))</f>
        <v>-0</v>
      </c>
      <c r="AU18" s="11" t="n">
        <f aca="false">-(INDEX('CF Summary'!$B$31:$G$31,AU$3)*INDEX(Inputs!$B$78:$O$78,AU$4+2)+IF(AU$4=11,INDEX('CF Summary'!$B$31:$G$31,AU$3+1)*INDEX(Inputs!$B$78:$O$78,1),0)+IF(AU$4=12,INDEX('CF Summary'!$B$31:$G$31,AU$3+1)*INDEX(Inputs!$B$78:$O$78,2),0))</f>
        <v>-0</v>
      </c>
      <c r="AV18" s="11" t="n">
        <f aca="false">-(INDEX('CF Summary'!$B$31:$G$31,AV$3)*INDEX(Inputs!$B$78:$O$78,AV$4+2)+IF(AV$4=11,INDEX('CF Summary'!$B$31:$G$31,AV$3+1)*INDEX(Inputs!$B$78:$O$78,1),0)+IF(AV$4=12,INDEX('CF Summary'!$B$31:$G$31,AV$3+1)*INDEX(Inputs!$B$78:$O$78,2),0))</f>
        <v>-0</v>
      </c>
      <c r="AW18" s="11" t="n">
        <f aca="false">-(INDEX('CF Summary'!$B$31:$G$31,AW$3)*INDEX(Inputs!$B$78:$O$78,AW$4+2)+IF(AW$4=11,INDEX('CF Summary'!$B$31:$G$31,AW$3+1)*INDEX(Inputs!$B$78:$O$78,1),0)+IF(AW$4=12,INDEX('CF Summary'!$B$31:$G$31,AW$3+1)*INDEX(Inputs!$B$78:$O$78,2),0))</f>
        <v>-0</v>
      </c>
      <c r="AX18" s="11" t="n">
        <f aca="false">-(INDEX('CF Summary'!$B$31:$G$31,AX$3)*INDEX(Inputs!$B$78:$O$78,AX$4+2)+IF(AX$4=11,INDEX('CF Summary'!$B$31:$G$31,AX$3+1)*INDEX(Inputs!$B$78:$O$78,1),0)+IF(AX$4=12,INDEX('CF Summary'!$B$31:$G$31,AX$3+1)*INDEX(Inputs!$B$78:$O$78,2),0))</f>
        <v>-0</v>
      </c>
      <c r="AY18" s="11" t="n">
        <f aca="false">-(INDEX('CF Summary'!$B$31:$G$31,AY$3)*INDEX(Inputs!$B$78:$O$78,AY$4+2)+IF(AY$4=11,INDEX('CF Summary'!$B$31:$G$31,AY$3+1)*INDEX(Inputs!$B$78:$O$78,1),0)+IF(AY$4=12,INDEX('CF Summary'!$B$31:$G$31,AY$3+1)*INDEX(Inputs!$B$78:$O$78,2),0))</f>
        <v>-0</v>
      </c>
      <c r="AZ18" s="11" t="n">
        <f aca="false">-(INDEX('CF Summary'!$B$31:$G$31,AZ$3)*INDEX(Inputs!$B$78:$O$78,AZ$4+2)+IF(AZ$4=11,INDEX('CF Summary'!$B$31:$G$31,AZ$3+1)*INDEX(Inputs!$B$78:$O$78,1),0)+IF(AZ$4=12,INDEX('CF Summary'!$B$31:$G$31,AZ$3+1)*INDEX(Inputs!$B$78:$O$78,2),0))</f>
        <v>-0</v>
      </c>
      <c r="BA18" s="11" t="n">
        <f aca="false">-(INDEX('CF Summary'!$B$31:$G$31,BA$3)*INDEX(Inputs!$B$78:$O$78,BA$4+2)+IF(BA$4=11,INDEX('CF Summary'!$B$31:$G$31,BA$3+1)*INDEX(Inputs!$B$78:$O$78,1),0)+IF(BA$4=12,INDEX('CF Summary'!$B$31:$G$31,BA$3+1)*INDEX(Inputs!$B$78:$O$78,2),0))</f>
        <v>-0</v>
      </c>
      <c r="BB18" s="11" t="n">
        <f aca="false">-(INDEX('CF Summary'!$B$31:$G$31,BB$3)*INDEX(Inputs!$B$78:$O$78,BB$4+2)+IF(BB$4=11,INDEX('CF Summary'!$B$31:$G$31,BB$3+1)*INDEX(Inputs!$B$78:$O$78,1),0)+IF(BB$4=12,INDEX('CF Summary'!$B$31:$G$31,BB$3+1)*INDEX(Inputs!$B$78:$O$78,2),0))</f>
        <v>-0</v>
      </c>
      <c r="BC18" s="11" t="n">
        <f aca="false">-(INDEX('CF Summary'!$B$31:$G$31,BC$3)*INDEX(Inputs!$B$78:$O$78,BC$4+2)+IF(BC$4=11,INDEX('CF Summary'!$B$31:$G$31,BC$3+1)*INDEX(Inputs!$B$78:$O$78,1),0)+IF(BC$4=12,INDEX('CF Summary'!$B$31:$G$31,BC$3+1)*INDEX(Inputs!$B$78:$O$78,2),0))</f>
        <v>-0</v>
      </c>
      <c r="BD18" s="11" t="n">
        <f aca="false">-(INDEX('CF Summary'!$B$31:$G$31,BD$3)*INDEX(Inputs!$B$78:$O$78,BD$4+2)+IF(BD$4=11,INDEX('CF Summary'!$B$31:$G$31,BD$3+1)*INDEX(Inputs!$B$78:$O$78,1),0)+IF(BD$4=12,INDEX('CF Summary'!$B$31:$G$31,BD$3+1)*INDEX(Inputs!$B$78:$O$78,2),0))</f>
        <v>-0</v>
      </c>
      <c r="BE18" s="11" t="n">
        <f aca="false">-(INDEX('CF Summary'!$B$31:$G$31,BE$3)*INDEX(Inputs!$B$78:$O$78,BE$4+2)+IF(BE$4=11,INDEX('CF Summary'!$B$31:$G$31,BE$3+1)*INDEX(Inputs!$B$78:$O$78,1),0)+IF(BE$4=12,INDEX('CF Summary'!$B$31:$G$31,BE$3+1)*INDEX(Inputs!$B$78:$O$78,2),0))</f>
        <v>-0</v>
      </c>
      <c r="BF18" s="11" t="n">
        <f aca="false">-(INDEX('CF Summary'!$B$31:$G$31,BF$3)*INDEX(Inputs!$B$78:$O$78,BF$4+2)+IF(BF$4=11,INDEX('CF Summary'!$B$31:$G$31,BF$3+1)*INDEX(Inputs!$B$78:$O$78,1),0)+IF(BF$4=12,INDEX('CF Summary'!$B$31:$G$31,BF$3+1)*INDEX(Inputs!$B$78:$O$78,2),0))</f>
        <v>-0</v>
      </c>
      <c r="BG18" s="11" t="n">
        <f aca="false">-(INDEX('CF Summary'!$B$31:$G$31,BG$3)*INDEX(Inputs!$B$78:$O$78,BG$4+2)+IF(BG$4=11,INDEX('CF Summary'!$B$31:$G$31,BG$3+1)*INDEX(Inputs!$B$78:$O$78,1),0)+IF(BG$4=12,INDEX('CF Summary'!$B$31:$G$31,BG$3+1)*INDEX(Inputs!$B$78:$O$78,2),0))</f>
        <v>-0</v>
      </c>
      <c r="BH18" s="11" t="n">
        <f aca="false">-(INDEX('CF Summary'!$B$31:$G$31,BH$3)*INDEX(Inputs!$B$78:$O$78,BH$4+2)+IF(BH$4=11,INDEX('CF Summary'!$B$31:$G$31,BH$3+1)*INDEX(Inputs!$B$78:$O$78,1),0)+IF(BH$4=12,INDEX('CF Summary'!$B$31:$G$31,BH$3+1)*INDEX(Inputs!$B$78:$O$78,2),0))</f>
        <v>-0</v>
      </c>
      <c r="BI18" s="11" t="n">
        <f aca="false">-(INDEX('CF Summary'!$B$31:$G$31,BI$3)*INDEX(Inputs!$B$78:$O$78,BI$4+2)+IF(BI$4=11,INDEX('CF Summary'!$B$31:$G$31,BI$3+1)*INDEX(Inputs!$B$78:$O$78,1),0)+IF(BI$4=12,INDEX('CF Summary'!$B$31:$G$31,BI$3+1)*INDEX(Inputs!$B$78:$O$78,2),0))</f>
        <v>-0</v>
      </c>
    </row>
    <row r="19" customFormat="false" ht="15" hidden="false" customHeight="false" outlineLevel="0" collapsed="false">
      <c r="A19" s="6" t="s">
        <v>541</v>
      </c>
      <c r="B19" s="11" t="n">
        <f aca="false">-(INDEX('CF Summary'!$B$32:$G$32,B$3)*INDEX(Inputs!$B$79:$O$79,B$4+2)+IF(B$4=11,INDEX('CF Summary'!$B$32:$G$32,B$3+1)*INDEX(Inputs!$B$79:$O$79,1),0)+IF(B$4=12,INDEX('CF Summary'!$B$32:$G$32,B$3+1)*INDEX(Inputs!$B$79:$O$79,2),0))</f>
        <v>-0</v>
      </c>
      <c r="C19" s="11" t="n">
        <f aca="false">-(INDEX('CF Summary'!$B$32:$G$32,C$3)*INDEX(Inputs!$B$79:$O$79,C$4+2)+IF(C$4=11,INDEX('CF Summary'!$B$32:$G$32,C$3+1)*INDEX(Inputs!$B$79:$O$79,1),0)+IF(C$4=12,INDEX('CF Summary'!$B$32:$G$32,C$3+1)*INDEX(Inputs!$B$79:$O$79,2),0))</f>
        <v>-0</v>
      </c>
      <c r="D19" s="11" t="n">
        <f aca="false">-(INDEX('CF Summary'!$B$32:$G$32,D$3)*INDEX(Inputs!$B$79:$O$79,D$4+2)+IF(D$4=11,INDEX('CF Summary'!$B$32:$G$32,D$3+1)*INDEX(Inputs!$B$79:$O$79,1),0)+IF(D$4=12,INDEX('CF Summary'!$B$32:$G$32,D$3+1)*INDEX(Inputs!$B$79:$O$79,2),0))</f>
        <v>-0</v>
      </c>
      <c r="E19" s="11" t="n">
        <f aca="false">-(INDEX('CF Summary'!$B$32:$G$32,E$3)*INDEX(Inputs!$B$79:$O$79,E$4+2)+IF(E$4=11,INDEX('CF Summary'!$B$32:$G$32,E$3+1)*INDEX(Inputs!$B$79:$O$79,1),0)+IF(E$4=12,INDEX('CF Summary'!$B$32:$G$32,E$3+1)*INDEX(Inputs!$B$79:$O$79,2),0))</f>
        <v>-0</v>
      </c>
      <c r="F19" s="11" t="n">
        <f aca="false">-(INDEX('CF Summary'!$B$32:$G$32,F$3)*INDEX(Inputs!$B$79:$O$79,F$4+2)+IF(F$4=11,INDEX('CF Summary'!$B$32:$G$32,F$3+1)*INDEX(Inputs!$B$79:$O$79,1),0)+IF(F$4=12,INDEX('CF Summary'!$B$32:$G$32,F$3+1)*INDEX(Inputs!$B$79:$O$79,2),0))</f>
        <v>-0</v>
      </c>
      <c r="G19" s="11" t="n">
        <f aca="false">-(INDEX('CF Summary'!$B$32:$G$32,G$3)*INDEX(Inputs!$B$79:$O$79,G$4+2)+IF(G$4=11,INDEX('CF Summary'!$B$32:$G$32,G$3+1)*INDEX(Inputs!$B$79:$O$79,1),0)+IF(G$4=12,INDEX('CF Summary'!$B$32:$G$32,G$3+1)*INDEX(Inputs!$B$79:$O$79,2),0))</f>
        <v>-0</v>
      </c>
      <c r="H19" s="11" t="n">
        <f aca="false">-(INDEX('CF Summary'!$B$32:$G$32,H$3)*INDEX(Inputs!$B$79:$O$79,H$4+2)+IF(H$4=11,INDEX('CF Summary'!$B$32:$G$32,H$3+1)*INDEX(Inputs!$B$79:$O$79,1),0)+IF(H$4=12,INDEX('CF Summary'!$B$32:$G$32,H$3+1)*INDEX(Inputs!$B$79:$O$79,2),0))</f>
        <v>-0</v>
      </c>
      <c r="I19" s="11" t="n">
        <f aca="false">-(INDEX('CF Summary'!$B$32:$G$32,I$3)*INDEX(Inputs!$B$79:$O$79,I$4+2)+IF(I$4=11,INDEX('CF Summary'!$B$32:$G$32,I$3+1)*INDEX(Inputs!$B$79:$O$79,1),0)+IF(I$4=12,INDEX('CF Summary'!$B$32:$G$32,I$3+1)*INDEX(Inputs!$B$79:$O$79,2),0))</f>
        <v>-0</v>
      </c>
      <c r="J19" s="11" t="n">
        <f aca="false">-(INDEX('CF Summary'!$B$32:$G$32,J$3)*INDEX(Inputs!$B$79:$O$79,J$4+2)+IF(J$4=11,INDEX('CF Summary'!$B$32:$G$32,J$3+1)*INDEX(Inputs!$B$79:$O$79,1),0)+IF(J$4=12,INDEX('CF Summary'!$B$32:$G$32,J$3+1)*INDEX(Inputs!$B$79:$O$79,2),0))</f>
        <v>-0</v>
      </c>
      <c r="K19" s="11" t="n">
        <f aca="false">-(INDEX('CF Summary'!$B$32:$G$32,K$3)*INDEX(Inputs!$B$79:$O$79,K$4+2)+IF(K$4=11,INDEX('CF Summary'!$B$32:$G$32,K$3+1)*INDEX(Inputs!$B$79:$O$79,1),0)+IF(K$4=12,INDEX('CF Summary'!$B$32:$G$32,K$3+1)*INDEX(Inputs!$B$79:$O$79,2),0))</f>
        <v>-0</v>
      </c>
      <c r="L19" s="11" t="n">
        <f aca="false">-(INDEX('CF Summary'!$B$32:$G$32,L$3)*INDEX(Inputs!$B$79:$O$79,L$4+2)+IF(L$4=11,INDEX('CF Summary'!$B$32:$G$32,L$3+1)*INDEX(Inputs!$B$79:$O$79,1),0)+IF(L$4=12,INDEX('CF Summary'!$B$32:$G$32,L$3+1)*INDEX(Inputs!$B$79:$O$79,2),0))</f>
        <v>-0</v>
      </c>
      <c r="M19" s="11" t="n">
        <f aca="false">-(INDEX('CF Summary'!$B$32:$G$32,M$3)*INDEX(Inputs!$B$79:$O$79,M$4+2)+IF(M$4=11,INDEX('CF Summary'!$B$32:$G$32,M$3+1)*INDEX(Inputs!$B$79:$O$79,1),0)+IF(M$4=12,INDEX('CF Summary'!$B$32:$G$32,M$3+1)*INDEX(Inputs!$B$79:$O$79,2),0))</f>
        <v>-0</v>
      </c>
      <c r="N19" s="11" t="n">
        <f aca="false">-(INDEX('CF Summary'!$B$32:$G$32,N$3)*INDEX(Inputs!$B$79:$O$79,N$4+2)+IF(N$4=11,INDEX('CF Summary'!$B$32:$G$32,N$3+1)*INDEX(Inputs!$B$79:$O$79,1),0)+IF(N$4=12,INDEX('CF Summary'!$B$32:$G$32,N$3+1)*INDEX(Inputs!$B$79:$O$79,2),0))</f>
        <v>-0</v>
      </c>
      <c r="O19" s="11" t="n">
        <f aca="false">-(INDEX('CF Summary'!$B$32:$G$32,O$3)*INDEX(Inputs!$B$79:$O$79,O$4+2)+IF(O$4=11,INDEX('CF Summary'!$B$32:$G$32,O$3+1)*INDEX(Inputs!$B$79:$O$79,1),0)+IF(O$4=12,INDEX('CF Summary'!$B$32:$G$32,O$3+1)*INDEX(Inputs!$B$79:$O$79,2),0))</f>
        <v>-0</v>
      </c>
      <c r="P19" s="11" t="n">
        <f aca="false">-(INDEX('CF Summary'!$B$32:$G$32,P$3)*INDEX(Inputs!$B$79:$O$79,P$4+2)+IF(P$4=11,INDEX('CF Summary'!$B$32:$G$32,P$3+1)*INDEX(Inputs!$B$79:$O$79,1),0)+IF(P$4=12,INDEX('CF Summary'!$B$32:$G$32,P$3+1)*INDEX(Inputs!$B$79:$O$79,2),0))</f>
        <v>-0</v>
      </c>
      <c r="Q19" s="11" t="n">
        <f aca="false">-(INDEX('CF Summary'!$B$32:$G$32,Q$3)*INDEX(Inputs!$B$79:$O$79,Q$4+2)+IF(Q$4=11,INDEX('CF Summary'!$B$32:$G$32,Q$3+1)*INDEX(Inputs!$B$79:$O$79,1),0)+IF(Q$4=12,INDEX('CF Summary'!$B$32:$G$32,Q$3+1)*INDEX(Inputs!$B$79:$O$79,2),0))</f>
        <v>-0</v>
      </c>
      <c r="R19" s="11" t="n">
        <f aca="false">-(INDEX('CF Summary'!$B$32:$G$32,R$3)*INDEX(Inputs!$B$79:$O$79,R$4+2)+IF(R$4=11,INDEX('CF Summary'!$B$32:$G$32,R$3+1)*INDEX(Inputs!$B$79:$O$79,1),0)+IF(R$4=12,INDEX('CF Summary'!$B$32:$G$32,R$3+1)*INDEX(Inputs!$B$79:$O$79,2),0))</f>
        <v>-0</v>
      </c>
      <c r="S19" s="11" t="n">
        <f aca="false">-(INDEX('CF Summary'!$B$32:$G$32,S$3)*INDEX(Inputs!$B$79:$O$79,S$4+2)+IF(S$4=11,INDEX('CF Summary'!$B$32:$G$32,S$3+1)*INDEX(Inputs!$B$79:$O$79,1),0)+IF(S$4=12,INDEX('CF Summary'!$B$32:$G$32,S$3+1)*INDEX(Inputs!$B$79:$O$79,2),0))</f>
        <v>-0</v>
      </c>
      <c r="T19" s="11" t="n">
        <f aca="false">-(INDEX('CF Summary'!$B$32:$G$32,T$3)*INDEX(Inputs!$B$79:$O$79,T$4+2)+IF(T$4=11,INDEX('CF Summary'!$B$32:$G$32,T$3+1)*INDEX(Inputs!$B$79:$O$79,1),0)+IF(T$4=12,INDEX('CF Summary'!$B$32:$G$32,T$3+1)*INDEX(Inputs!$B$79:$O$79,2),0))</f>
        <v>-0</v>
      </c>
      <c r="U19" s="11" t="n">
        <f aca="false">-(INDEX('CF Summary'!$B$32:$G$32,U$3)*INDEX(Inputs!$B$79:$O$79,U$4+2)+IF(U$4=11,INDEX('CF Summary'!$B$32:$G$32,U$3+1)*INDEX(Inputs!$B$79:$O$79,1),0)+IF(U$4=12,INDEX('CF Summary'!$B$32:$G$32,U$3+1)*INDEX(Inputs!$B$79:$O$79,2),0))</f>
        <v>-0</v>
      </c>
      <c r="V19" s="11" t="n">
        <f aca="false">-(INDEX('CF Summary'!$B$32:$G$32,V$3)*INDEX(Inputs!$B$79:$O$79,V$4+2)+IF(V$4=11,INDEX('CF Summary'!$B$32:$G$32,V$3+1)*INDEX(Inputs!$B$79:$O$79,1),0)+IF(V$4=12,INDEX('CF Summary'!$B$32:$G$32,V$3+1)*INDEX(Inputs!$B$79:$O$79,2),0))</f>
        <v>-0</v>
      </c>
      <c r="W19" s="11" t="n">
        <f aca="false">-(INDEX('CF Summary'!$B$32:$G$32,W$3)*INDEX(Inputs!$B$79:$O$79,W$4+2)+IF(W$4=11,INDEX('CF Summary'!$B$32:$G$32,W$3+1)*INDEX(Inputs!$B$79:$O$79,1),0)+IF(W$4=12,INDEX('CF Summary'!$B$32:$G$32,W$3+1)*INDEX(Inputs!$B$79:$O$79,2),0))</f>
        <v>-0</v>
      </c>
      <c r="X19" s="11" t="n">
        <f aca="false">-(INDEX('CF Summary'!$B$32:$G$32,X$3)*INDEX(Inputs!$B$79:$O$79,X$4+2)+IF(X$4=11,INDEX('CF Summary'!$B$32:$G$32,X$3+1)*INDEX(Inputs!$B$79:$O$79,1),0)+IF(X$4=12,INDEX('CF Summary'!$B$32:$G$32,X$3+1)*INDEX(Inputs!$B$79:$O$79,2),0))</f>
        <v>-0</v>
      </c>
      <c r="Y19" s="11" t="n">
        <f aca="false">-(INDEX('CF Summary'!$B$32:$G$32,Y$3)*INDEX(Inputs!$B$79:$O$79,Y$4+2)+IF(Y$4=11,INDEX('CF Summary'!$B$32:$G$32,Y$3+1)*INDEX(Inputs!$B$79:$O$79,1),0)+IF(Y$4=12,INDEX('CF Summary'!$B$32:$G$32,Y$3+1)*INDEX(Inputs!$B$79:$O$79,2),0))</f>
        <v>-0</v>
      </c>
      <c r="Z19" s="11" t="n">
        <f aca="false">-(INDEX('CF Summary'!$B$32:$G$32,Z$3)*INDEX(Inputs!$B$79:$O$79,Z$4+2)+IF(Z$4=11,INDEX('CF Summary'!$B$32:$G$32,Z$3+1)*INDEX(Inputs!$B$79:$O$79,1),0)+IF(Z$4=12,INDEX('CF Summary'!$B$32:$G$32,Z$3+1)*INDEX(Inputs!$B$79:$O$79,2),0))</f>
        <v>-0</v>
      </c>
      <c r="AA19" s="11" t="n">
        <f aca="false">-(INDEX('CF Summary'!$B$32:$G$32,AA$3)*INDEX(Inputs!$B$79:$O$79,AA$4+2)+IF(AA$4=11,INDEX('CF Summary'!$B$32:$G$32,AA$3+1)*INDEX(Inputs!$B$79:$O$79,1),0)+IF(AA$4=12,INDEX('CF Summary'!$B$32:$G$32,AA$3+1)*INDEX(Inputs!$B$79:$O$79,2),0))</f>
        <v>-0</v>
      </c>
      <c r="AB19" s="11" t="n">
        <f aca="false">-(INDEX('CF Summary'!$B$32:$G$32,AB$3)*INDEX(Inputs!$B$79:$O$79,AB$4+2)+IF(AB$4=11,INDEX('CF Summary'!$B$32:$G$32,AB$3+1)*INDEX(Inputs!$B$79:$O$79,1),0)+IF(AB$4=12,INDEX('CF Summary'!$B$32:$G$32,AB$3+1)*INDEX(Inputs!$B$79:$O$79,2),0))</f>
        <v>-0</v>
      </c>
      <c r="AC19" s="11" t="n">
        <f aca="false">-(INDEX('CF Summary'!$B$32:$G$32,AC$3)*INDEX(Inputs!$B$79:$O$79,AC$4+2)+IF(AC$4=11,INDEX('CF Summary'!$B$32:$G$32,AC$3+1)*INDEX(Inputs!$B$79:$O$79,1),0)+IF(AC$4=12,INDEX('CF Summary'!$B$32:$G$32,AC$3+1)*INDEX(Inputs!$B$79:$O$79,2),0))</f>
        <v>-0</v>
      </c>
      <c r="AD19" s="11" t="n">
        <f aca="false">-(INDEX('CF Summary'!$B$32:$G$32,AD$3)*INDEX(Inputs!$B$79:$O$79,AD$4+2)+IF(AD$4=11,INDEX('CF Summary'!$B$32:$G$32,AD$3+1)*INDEX(Inputs!$B$79:$O$79,1),0)+IF(AD$4=12,INDEX('CF Summary'!$B$32:$G$32,AD$3+1)*INDEX(Inputs!$B$79:$O$79,2),0))</f>
        <v>-0</v>
      </c>
      <c r="AE19" s="11" t="n">
        <f aca="false">-(INDEX('CF Summary'!$B$32:$G$32,AE$3)*INDEX(Inputs!$B$79:$O$79,AE$4+2)+IF(AE$4=11,INDEX('CF Summary'!$B$32:$G$32,AE$3+1)*INDEX(Inputs!$B$79:$O$79,1),0)+IF(AE$4=12,INDEX('CF Summary'!$B$32:$G$32,AE$3+1)*INDEX(Inputs!$B$79:$O$79,2),0))</f>
        <v>-0</v>
      </c>
      <c r="AF19" s="11" t="n">
        <f aca="false">-(INDEX('CF Summary'!$B$32:$G$32,AF$3)*INDEX(Inputs!$B$79:$O$79,AF$4+2)+IF(AF$4=11,INDEX('CF Summary'!$B$32:$G$32,AF$3+1)*INDEX(Inputs!$B$79:$O$79,1),0)+IF(AF$4=12,INDEX('CF Summary'!$B$32:$G$32,AF$3+1)*INDEX(Inputs!$B$79:$O$79,2),0))</f>
        <v>-0</v>
      </c>
      <c r="AG19" s="11" t="n">
        <f aca="false">-(INDEX('CF Summary'!$B$32:$G$32,AG$3)*INDEX(Inputs!$B$79:$O$79,AG$4+2)+IF(AG$4=11,INDEX('CF Summary'!$B$32:$G$32,AG$3+1)*INDEX(Inputs!$B$79:$O$79,1),0)+IF(AG$4=12,INDEX('CF Summary'!$B$32:$G$32,AG$3+1)*INDEX(Inputs!$B$79:$O$79,2),0))</f>
        <v>-0</v>
      </c>
      <c r="AH19" s="11" t="n">
        <f aca="false">-(INDEX('CF Summary'!$B$32:$G$32,AH$3)*INDEX(Inputs!$B$79:$O$79,AH$4+2)+IF(AH$4=11,INDEX('CF Summary'!$B$32:$G$32,AH$3+1)*INDEX(Inputs!$B$79:$O$79,1),0)+IF(AH$4=12,INDEX('CF Summary'!$B$32:$G$32,AH$3+1)*INDEX(Inputs!$B$79:$O$79,2),0))</f>
        <v>-0</v>
      </c>
      <c r="AI19" s="11" t="n">
        <f aca="false">-(INDEX('CF Summary'!$B$32:$G$32,AI$3)*INDEX(Inputs!$B$79:$O$79,AI$4+2)+IF(AI$4=11,INDEX('CF Summary'!$B$32:$G$32,AI$3+1)*INDEX(Inputs!$B$79:$O$79,1),0)+IF(AI$4=12,INDEX('CF Summary'!$B$32:$G$32,AI$3+1)*INDEX(Inputs!$B$79:$O$79,2),0))</f>
        <v>-0</v>
      </c>
      <c r="AJ19" s="11" t="n">
        <f aca="false">-(INDEX('CF Summary'!$B$32:$G$32,AJ$3)*INDEX(Inputs!$B$79:$O$79,AJ$4+2)+IF(AJ$4=11,INDEX('CF Summary'!$B$32:$G$32,AJ$3+1)*INDEX(Inputs!$B$79:$O$79,1),0)+IF(AJ$4=12,INDEX('CF Summary'!$B$32:$G$32,AJ$3+1)*INDEX(Inputs!$B$79:$O$79,2),0))</f>
        <v>-0</v>
      </c>
      <c r="AK19" s="11" t="n">
        <f aca="false">-(INDEX('CF Summary'!$B$32:$G$32,AK$3)*INDEX(Inputs!$B$79:$O$79,AK$4+2)+IF(AK$4=11,INDEX('CF Summary'!$B$32:$G$32,AK$3+1)*INDEX(Inputs!$B$79:$O$79,1),0)+IF(AK$4=12,INDEX('CF Summary'!$B$32:$G$32,AK$3+1)*INDEX(Inputs!$B$79:$O$79,2),0))</f>
        <v>-0</v>
      </c>
      <c r="AL19" s="11" t="n">
        <f aca="false">-(INDEX('CF Summary'!$B$32:$G$32,AL$3)*INDEX(Inputs!$B$79:$O$79,AL$4+2)+IF(AL$4=11,INDEX('CF Summary'!$B$32:$G$32,AL$3+1)*INDEX(Inputs!$B$79:$O$79,1),0)+IF(AL$4=12,INDEX('CF Summary'!$B$32:$G$32,AL$3+1)*INDEX(Inputs!$B$79:$O$79,2),0))</f>
        <v>-0</v>
      </c>
      <c r="AM19" s="11" t="n">
        <f aca="false">-(INDEX('CF Summary'!$B$32:$G$32,AM$3)*INDEX(Inputs!$B$79:$O$79,AM$4+2)+IF(AM$4=11,INDEX('CF Summary'!$B$32:$G$32,AM$3+1)*INDEX(Inputs!$B$79:$O$79,1),0)+IF(AM$4=12,INDEX('CF Summary'!$B$32:$G$32,AM$3+1)*INDEX(Inputs!$B$79:$O$79,2),0))</f>
        <v>-0</v>
      </c>
      <c r="AN19" s="11" t="n">
        <f aca="false">-(INDEX('CF Summary'!$B$32:$G$32,AN$3)*INDEX(Inputs!$B$79:$O$79,AN$4+2)+IF(AN$4=11,INDEX('CF Summary'!$B$32:$G$32,AN$3+1)*INDEX(Inputs!$B$79:$O$79,1),0)+IF(AN$4=12,INDEX('CF Summary'!$B$32:$G$32,AN$3+1)*INDEX(Inputs!$B$79:$O$79,2),0))</f>
        <v>-0</v>
      </c>
      <c r="AO19" s="11" t="n">
        <f aca="false">-(INDEX('CF Summary'!$B$32:$G$32,AO$3)*INDEX(Inputs!$B$79:$O$79,AO$4+2)+IF(AO$4=11,INDEX('CF Summary'!$B$32:$G$32,AO$3+1)*INDEX(Inputs!$B$79:$O$79,1),0)+IF(AO$4=12,INDEX('CF Summary'!$B$32:$G$32,AO$3+1)*INDEX(Inputs!$B$79:$O$79,2),0))</f>
        <v>-0</v>
      </c>
      <c r="AP19" s="11" t="n">
        <f aca="false">-(INDEX('CF Summary'!$B$32:$G$32,AP$3)*INDEX(Inputs!$B$79:$O$79,AP$4+2)+IF(AP$4=11,INDEX('CF Summary'!$B$32:$G$32,AP$3+1)*INDEX(Inputs!$B$79:$O$79,1),0)+IF(AP$4=12,INDEX('CF Summary'!$B$32:$G$32,AP$3+1)*INDEX(Inputs!$B$79:$O$79,2),0))</f>
        <v>-0</v>
      </c>
      <c r="AQ19" s="11" t="n">
        <f aca="false">-(INDEX('CF Summary'!$B$32:$G$32,AQ$3)*INDEX(Inputs!$B$79:$O$79,AQ$4+2)+IF(AQ$4=11,INDEX('CF Summary'!$B$32:$G$32,AQ$3+1)*INDEX(Inputs!$B$79:$O$79,1),0)+IF(AQ$4=12,INDEX('CF Summary'!$B$32:$G$32,AQ$3+1)*INDEX(Inputs!$B$79:$O$79,2),0))</f>
        <v>-0</v>
      </c>
      <c r="AR19" s="11" t="n">
        <f aca="false">-(INDEX('CF Summary'!$B$32:$G$32,AR$3)*INDEX(Inputs!$B$79:$O$79,AR$4+2)+IF(AR$4=11,INDEX('CF Summary'!$B$32:$G$32,AR$3+1)*INDEX(Inputs!$B$79:$O$79,1),0)+IF(AR$4=12,INDEX('CF Summary'!$B$32:$G$32,AR$3+1)*INDEX(Inputs!$B$79:$O$79,2),0))</f>
        <v>-0</v>
      </c>
      <c r="AS19" s="11" t="n">
        <f aca="false">-(INDEX('CF Summary'!$B$32:$G$32,AS$3)*INDEX(Inputs!$B$79:$O$79,AS$4+2)+IF(AS$4=11,INDEX('CF Summary'!$B$32:$G$32,AS$3+1)*INDEX(Inputs!$B$79:$O$79,1),0)+IF(AS$4=12,INDEX('CF Summary'!$B$32:$G$32,AS$3+1)*INDEX(Inputs!$B$79:$O$79,2),0))</f>
        <v>-0</v>
      </c>
      <c r="AT19" s="11" t="n">
        <f aca="false">-(INDEX('CF Summary'!$B$32:$G$32,AT$3)*INDEX(Inputs!$B$79:$O$79,AT$4+2)+IF(AT$4=11,INDEX('CF Summary'!$B$32:$G$32,AT$3+1)*INDEX(Inputs!$B$79:$O$79,1),0)+IF(AT$4=12,INDEX('CF Summary'!$B$32:$G$32,AT$3+1)*INDEX(Inputs!$B$79:$O$79,2),0))</f>
        <v>-0</v>
      </c>
      <c r="AU19" s="11" t="n">
        <f aca="false">-(INDEX('CF Summary'!$B$32:$G$32,AU$3)*INDEX(Inputs!$B$79:$O$79,AU$4+2)+IF(AU$4=11,INDEX('CF Summary'!$B$32:$G$32,AU$3+1)*INDEX(Inputs!$B$79:$O$79,1),0)+IF(AU$4=12,INDEX('CF Summary'!$B$32:$G$32,AU$3+1)*INDEX(Inputs!$B$79:$O$79,2),0))</f>
        <v>-0</v>
      </c>
      <c r="AV19" s="11" t="n">
        <f aca="false">-(INDEX('CF Summary'!$B$32:$G$32,AV$3)*INDEX(Inputs!$B$79:$O$79,AV$4+2)+IF(AV$4=11,INDEX('CF Summary'!$B$32:$G$32,AV$3+1)*INDEX(Inputs!$B$79:$O$79,1),0)+IF(AV$4=12,INDEX('CF Summary'!$B$32:$G$32,AV$3+1)*INDEX(Inputs!$B$79:$O$79,2),0))</f>
        <v>-0</v>
      </c>
      <c r="AW19" s="11" t="n">
        <f aca="false">-(INDEX('CF Summary'!$B$32:$G$32,AW$3)*INDEX(Inputs!$B$79:$O$79,AW$4+2)+IF(AW$4=11,INDEX('CF Summary'!$B$32:$G$32,AW$3+1)*INDEX(Inputs!$B$79:$O$79,1),0)+IF(AW$4=12,INDEX('CF Summary'!$B$32:$G$32,AW$3+1)*INDEX(Inputs!$B$79:$O$79,2),0))</f>
        <v>-0</v>
      </c>
      <c r="AX19" s="11" t="n">
        <f aca="false">-(INDEX('CF Summary'!$B$32:$G$32,AX$3)*INDEX(Inputs!$B$79:$O$79,AX$4+2)+IF(AX$4=11,INDEX('CF Summary'!$B$32:$G$32,AX$3+1)*INDEX(Inputs!$B$79:$O$79,1),0)+IF(AX$4=12,INDEX('CF Summary'!$B$32:$G$32,AX$3+1)*INDEX(Inputs!$B$79:$O$79,2),0))</f>
        <v>-0</v>
      </c>
      <c r="AY19" s="11" t="n">
        <f aca="false">-(INDEX('CF Summary'!$B$32:$G$32,AY$3)*INDEX(Inputs!$B$79:$O$79,AY$4+2)+IF(AY$4=11,INDEX('CF Summary'!$B$32:$G$32,AY$3+1)*INDEX(Inputs!$B$79:$O$79,1),0)+IF(AY$4=12,INDEX('CF Summary'!$B$32:$G$32,AY$3+1)*INDEX(Inputs!$B$79:$O$79,2),0))</f>
        <v>-0</v>
      </c>
      <c r="AZ19" s="11" t="n">
        <f aca="false">-(INDEX('CF Summary'!$B$32:$G$32,AZ$3)*INDEX(Inputs!$B$79:$O$79,AZ$4+2)+IF(AZ$4=11,INDEX('CF Summary'!$B$32:$G$32,AZ$3+1)*INDEX(Inputs!$B$79:$O$79,1),0)+IF(AZ$4=12,INDEX('CF Summary'!$B$32:$G$32,AZ$3+1)*INDEX(Inputs!$B$79:$O$79,2),0))</f>
        <v>-0</v>
      </c>
      <c r="BA19" s="11" t="n">
        <f aca="false">-(INDEX('CF Summary'!$B$32:$G$32,BA$3)*INDEX(Inputs!$B$79:$O$79,BA$4+2)+IF(BA$4=11,INDEX('CF Summary'!$B$32:$G$32,BA$3+1)*INDEX(Inputs!$B$79:$O$79,1),0)+IF(BA$4=12,INDEX('CF Summary'!$B$32:$G$32,BA$3+1)*INDEX(Inputs!$B$79:$O$79,2),0))</f>
        <v>-0</v>
      </c>
      <c r="BB19" s="11" t="n">
        <f aca="false">-(INDEX('CF Summary'!$B$32:$G$32,BB$3)*INDEX(Inputs!$B$79:$O$79,BB$4+2)+IF(BB$4=11,INDEX('CF Summary'!$B$32:$G$32,BB$3+1)*INDEX(Inputs!$B$79:$O$79,1),0)+IF(BB$4=12,INDEX('CF Summary'!$B$32:$G$32,BB$3+1)*INDEX(Inputs!$B$79:$O$79,2),0))</f>
        <v>-0</v>
      </c>
      <c r="BC19" s="11" t="n">
        <f aca="false">-(INDEX('CF Summary'!$B$32:$G$32,BC$3)*INDEX(Inputs!$B$79:$O$79,BC$4+2)+IF(BC$4=11,INDEX('CF Summary'!$B$32:$G$32,BC$3+1)*INDEX(Inputs!$B$79:$O$79,1),0)+IF(BC$4=12,INDEX('CF Summary'!$B$32:$G$32,BC$3+1)*INDEX(Inputs!$B$79:$O$79,2),0))</f>
        <v>-0</v>
      </c>
      <c r="BD19" s="11" t="n">
        <f aca="false">-(INDEX('CF Summary'!$B$32:$G$32,BD$3)*INDEX(Inputs!$B$79:$O$79,BD$4+2)+IF(BD$4=11,INDEX('CF Summary'!$B$32:$G$32,BD$3+1)*INDEX(Inputs!$B$79:$O$79,1),0)+IF(BD$4=12,INDEX('CF Summary'!$B$32:$G$32,BD$3+1)*INDEX(Inputs!$B$79:$O$79,2),0))</f>
        <v>-0</v>
      </c>
      <c r="BE19" s="11" t="n">
        <f aca="false">-(INDEX('CF Summary'!$B$32:$G$32,BE$3)*INDEX(Inputs!$B$79:$O$79,BE$4+2)+IF(BE$4=11,INDEX('CF Summary'!$B$32:$G$32,BE$3+1)*INDEX(Inputs!$B$79:$O$79,1),0)+IF(BE$4=12,INDEX('CF Summary'!$B$32:$G$32,BE$3+1)*INDEX(Inputs!$B$79:$O$79,2),0))</f>
        <v>-0</v>
      </c>
      <c r="BF19" s="11" t="n">
        <f aca="false">-(INDEX('CF Summary'!$B$32:$G$32,BF$3)*INDEX(Inputs!$B$79:$O$79,BF$4+2)+IF(BF$4=11,INDEX('CF Summary'!$B$32:$G$32,BF$3+1)*INDEX(Inputs!$B$79:$O$79,1),0)+IF(BF$4=12,INDEX('CF Summary'!$B$32:$G$32,BF$3+1)*INDEX(Inputs!$B$79:$O$79,2),0))</f>
        <v>-0</v>
      </c>
      <c r="BG19" s="11" t="n">
        <f aca="false">-(INDEX('CF Summary'!$B$32:$G$32,BG$3)*INDEX(Inputs!$B$79:$O$79,BG$4+2)+IF(BG$4=11,INDEX('CF Summary'!$B$32:$G$32,BG$3+1)*INDEX(Inputs!$B$79:$O$79,1),0)+IF(BG$4=12,INDEX('CF Summary'!$B$32:$G$32,BG$3+1)*INDEX(Inputs!$B$79:$O$79,2),0))</f>
        <v>-0</v>
      </c>
      <c r="BH19" s="11" t="n">
        <f aca="false">-(INDEX('CF Summary'!$B$32:$G$32,BH$3)*INDEX(Inputs!$B$79:$O$79,BH$4+2)+IF(BH$4=11,INDEX('CF Summary'!$B$32:$G$32,BH$3+1)*INDEX(Inputs!$B$79:$O$79,1),0)+IF(BH$4=12,INDEX('CF Summary'!$B$32:$G$32,BH$3+1)*INDEX(Inputs!$B$79:$O$79,2),0))</f>
        <v>-0</v>
      </c>
      <c r="BI19" s="11" t="n">
        <f aca="false">-(INDEX('CF Summary'!$B$32:$G$32,BI$3)*INDEX(Inputs!$B$79:$O$79,BI$4+2)+IF(BI$4=11,INDEX('CF Summary'!$B$32:$G$32,BI$3+1)*INDEX(Inputs!$B$79:$O$79,1),0)+IF(BI$4=12,INDEX('CF Summary'!$B$32:$G$32,BI$3+1)*INDEX(Inputs!$B$79:$O$79,2),0))</f>
        <v>-0</v>
      </c>
    </row>
    <row r="20" customFormat="false" ht="15" hidden="false" customHeight="false" outlineLevel="0" collapsed="false">
      <c r="A20" s="6" t="s">
        <v>542</v>
      </c>
      <c r="B20" s="11" t="n">
        <f aca="false">-(INDEX('CF Summary'!$B$33:$G$33,B$3)*INDEX(Inputs!$B$80:$O$80,B$4+2)+IF(B$4=11,INDEX('CF Summary'!$B$33:$G$33,B$3+1)*INDEX(Inputs!$B$80:$O$80,1),0)+IF(B$4=12,INDEX('CF Summary'!$B$33:$G$33,B$3+1)*INDEX(Inputs!$B$80:$O$80,2),0))</f>
        <v>-0</v>
      </c>
      <c r="C20" s="11" t="n">
        <f aca="false">-(INDEX('CF Summary'!$B$33:$G$33,C$3)*INDEX(Inputs!$B$80:$O$80,C$4+2)+IF(C$4=11,INDEX('CF Summary'!$B$33:$G$33,C$3+1)*INDEX(Inputs!$B$80:$O$80,1),0)+IF(C$4=12,INDEX('CF Summary'!$B$33:$G$33,C$3+1)*INDEX(Inputs!$B$80:$O$80,2),0))</f>
        <v>-0</v>
      </c>
      <c r="D20" s="11" t="n">
        <f aca="false">-(INDEX('CF Summary'!$B$33:$G$33,D$3)*INDEX(Inputs!$B$80:$O$80,D$4+2)+IF(D$4=11,INDEX('CF Summary'!$B$33:$G$33,D$3+1)*INDEX(Inputs!$B$80:$O$80,1),0)+IF(D$4=12,INDEX('CF Summary'!$B$33:$G$33,D$3+1)*INDEX(Inputs!$B$80:$O$80,2),0))</f>
        <v>-0</v>
      </c>
      <c r="E20" s="11" t="n">
        <f aca="false">-(INDEX('CF Summary'!$B$33:$G$33,E$3)*INDEX(Inputs!$B$80:$O$80,E$4+2)+IF(E$4=11,INDEX('CF Summary'!$B$33:$G$33,E$3+1)*INDEX(Inputs!$B$80:$O$80,1),0)+IF(E$4=12,INDEX('CF Summary'!$B$33:$G$33,E$3+1)*INDEX(Inputs!$B$80:$O$80,2),0))</f>
        <v>-0</v>
      </c>
      <c r="F20" s="11" t="n">
        <f aca="false">-(INDEX('CF Summary'!$B$33:$G$33,F$3)*INDEX(Inputs!$B$80:$O$80,F$4+2)+IF(F$4=11,INDEX('CF Summary'!$B$33:$G$33,F$3+1)*INDEX(Inputs!$B$80:$O$80,1),0)+IF(F$4=12,INDEX('CF Summary'!$B$33:$G$33,F$3+1)*INDEX(Inputs!$B$80:$O$80,2),0))</f>
        <v>-0</v>
      </c>
      <c r="G20" s="11" t="n">
        <f aca="false">-(INDEX('CF Summary'!$B$33:$G$33,G$3)*INDEX(Inputs!$B$80:$O$80,G$4+2)+IF(G$4=11,INDEX('CF Summary'!$B$33:$G$33,G$3+1)*INDEX(Inputs!$B$80:$O$80,1),0)+IF(G$4=12,INDEX('CF Summary'!$B$33:$G$33,G$3+1)*INDEX(Inputs!$B$80:$O$80,2),0))</f>
        <v>-0</v>
      </c>
      <c r="H20" s="11" t="n">
        <f aca="false">-(INDEX('CF Summary'!$B$33:$G$33,H$3)*INDEX(Inputs!$B$80:$O$80,H$4+2)+IF(H$4=11,INDEX('CF Summary'!$B$33:$G$33,H$3+1)*INDEX(Inputs!$B$80:$O$80,1),0)+IF(H$4=12,INDEX('CF Summary'!$B$33:$G$33,H$3+1)*INDEX(Inputs!$B$80:$O$80,2),0))</f>
        <v>-0</v>
      </c>
      <c r="I20" s="11" t="n">
        <f aca="false">-(INDEX('CF Summary'!$B$33:$G$33,I$3)*INDEX(Inputs!$B$80:$O$80,I$4+2)+IF(I$4=11,INDEX('CF Summary'!$B$33:$G$33,I$3+1)*INDEX(Inputs!$B$80:$O$80,1),0)+IF(I$4=12,INDEX('CF Summary'!$B$33:$G$33,I$3+1)*INDEX(Inputs!$B$80:$O$80,2),0))</f>
        <v>-0</v>
      </c>
      <c r="J20" s="11" t="n">
        <f aca="false">-(INDEX('CF Summary'!$B$33:$G$33,J$3)*INDEX(Inputs!$B$80:$O$80,J$4+2)+IF(J$4=11,INDEX('CF Summary'!$B$33:$G$33,J$3+1)*INDEX(Inputs!$B$80:$O$80,1),0)+IF(J$4=12,INDEX('CF Summary'!$B$33:$G$33,J$3+1)*INDEX(Inputs!$B$80:$O$80,2),0))</f>
        <v>-0</v>
      </c>
      <c r="K20" s="11" t="n">
        <f aca="false">-(INDEX('CF Summary'!$B$33:$G$33,K$3)*INDEX(Inputs!$B$80:$O$80,K$4+2)+IF(K$4=11,INDEX('CF Summary'!$B$33:$G$33,K$3+1)*INDEX(Inputs!$B$80:$O$80,1),0)+IF(K$4=12,INDEX('CF Summary'!$B$33:$G$33,K$3+1)*INDEX(Inputs!$B$80:$O$80,2),0))</f>
        <v>-0</v>
      </c>
      <c r="L20" s="11" t="n">
        <f aca="false">-(INDEX('CF Summary'!$B$33:$G$33,L$3)*INDEX(Inputs!$B$80:$O$80,L$4+2)+IF(L$4=11,INDEX('CF Summary'!$B$33:$G$33,L$3+1)*INDEX(Inputs!$B$80:$O$80,1),0)+IF(L$4=12,INDEX('CF Summary'!$B$33:$G$33,L$3+1)*INDEX(Inputs!$B$80:$O$80,2),0))</f>
        <v>-0</v>
      </c>
      <c r="M20" s="11" t="n">
        <f aca="false">-(INDEX('CF Summary'!$B$33:$G$33,M$3)*INDEX(Inputs!$B$80:$O$80,M$4+2)+IF(M$4=11,INDEX('CF Summary'!$B$33:$G$33,M$3+1)*INDEX(Inputs!$B$80:$O$80,1),0)+IF(M$4=12,INDEX('CF Summary'!$B$33:$G$33,M$3+1)*INDEX(Inputs!$B$80:$O$80,2),0))</f>
        <v>-0</v>
      </c>
      <c r="N20" s="11" t="n">
        <f aca="false">-(INDEX('CF Summary'!$B$33:$G$33,N$3)*INDEX(Inputs!$B$80:$O$80,N$4+2)+IF(N$4=11,INDEX('CF Summary'!$B$33:$G$33,N$3+1)*INDEX(Inputs!$B$80:$O$80,1),0)+IF(N$4=12,INDEX('CF Summary'!$B$33:$G$33,N$3+1)*INDEX(Inputs!$B$80:$O$80,2),0))</f>
        <v>-0</v>
      </c>
      <c r="O20" s="11" t="n">
        <f aca="false">-(INDEX('CF Summary'!$B$33:$G$33,O$3)*INDEX(Inputs!$B$80:$O$80,O$4+2)+IF(O$4=11,INDEX('CF Summary'!$B$33:$G$33,O$3+1)*INDEX(Inputs!$B$80:$O$80,1),0)+IF(O$4=12,INDEX('CF Summary'!$B$33:$G$33,O$3+1)*INDEX(Inputs!$B$80:$O$80,2),0))</f>
        <v>-0</v>
      </c>
      <c r="P20" s="11" t="n">
        <f aca="false">-(INDEX('CF Summary'!$B$33:$G$33,P$3)*INDEX(Inputs!$B$80:$O$80,P$4+2)+IF(P$4=11,INDEX('CF Summary'!$B$33:$G$33,P$3+1)*INDEX(Inputs!$B$80:$O$80,1),0)+IF(P$4=12,INDEX('CF Summary'!$B$33:$G$33,P$3+1)*INDEX(Inputs!$B$80:$O$80,2),0))</f>
        <v>-0</v>
      </c>
      <c r="Q20" s="11" t="n">
        <f aca="false">-(INDEX('CF Summary'!$B$33:$G$33,Q$3)*INDEX(Inputs!$B$80:$O$80,Q$4+2)+IF(Q$4=11,INDEX('CF Summary'!$B$33:$G$33,Q$3+1)*INDEX(Inputs!$B$80:$O$80,1),0)+IF(Q$4=12,INDEX('CF Summary'!$B$33:$G$33,Q$3+1)*INDEX(Inputs!$B$80:$O$80,2),0))</f>
        <v>-0</v>
      </c>
      <c r="R20" s="11" t="n">
        <f aca="false">-(INDEX('CF Summary'!$B$33:$G$33,R$3)*INDEX(Inputs!$B$80:$O$80,R$4+2)+IF(R$4=11,INDEX('CF Summary'!$B$33:$G$33,R$3+1)*INDEX(Inputs!$B$80:$O$80,1),0)+IF(R$4=12,INDEX('CF Summary'!$B$33:$G$33,R$3+1)*INDEX(Inputs!$B$80:$O$80,2),0))</f>
        <v>-0</v>
      </c>
      <c r="S20" s="11" t="n">
        <f aca="false">-(INDEX('CF Summary'!$B$33:$G$33,S$3)*INDEX(Inputs!$B$80:$O$80,S$4+2)+IF(S$4=11,INDEX('CF Summary'!$B$33:$G$33,S$3+1)*INDEX(Inputs!$B$80:$O$80,1),0)+IF(S$4=12,INDEX('CF Summary'!$B$33:$G$33,S$3+1)*INDEX(Inputs!$B$80:$O$80,2),0))</f>
        <v>-0</v>
      </c>
      <c r="T20" s="11" t="n">
        <f aca="false">-(INDEX('CF Summary'!$B$33:$G$33,T$3)*INDEX(Inputs!$B$80:$O$80,T$4+2)+IF(T$4=11,INDEX('CF Summary'!$B$33:$G$33,T$3+1)*INDEX(Inputs!$B$80:$O$80,1),0)+IF(T$4=12,INDEX('CF Summary'!$B$33:$G$33,T$3+1)*INDEX(Inputs!$B$80:$O$80,2),0))</f>
        <v>-0</v>
      </c>
      <c r="U20" s="11" t="n">
        <f aca="false">-(INDEX('CF Summary'!$B$33:$G$33,U$3)*INDEX(Inputs!$B$80:$O$80,U$4+2)+IF(U$4=11,INDEX('CF Summary'!$B$33:$G$33,U$3+1)*INDEX(Inputs!$B$80:$O$80,1),0)+IF(U$4=12,INDEX('CF Summary'!$B$33:$G$33,U$3+1)*INDEX(Inputs!$B$80:$O$80,2),0))</f>
        <v>-0</v>
      </c>
      <c r="V20" s="11" t="n">
        <f aca="false">-(INDEX('CF Summary'!$B$33:$G$33,V$3)*INDEX(Inputs!$B$80:$O$80,V$4+2)+IF(V$4=11,INDEX('CF Summary'!$B$33:$G$33,V$3+1)*INDEX(Inputs!$B$80:$O$80,1),0)+IF(V$4=12,INDEX('CF Summary'!$B$33:$G$33,V$3+1)*INDEX(Inputs!$B$80:$O$80,2),0))</f>
        <v>-0</v>
      </c>
      <c r="W20" s="11" t="n">
        <f aca="false">-(INDEX('CF Summary'!$B$33:$G$33,W$3)*INDEX(Inputs!$B$80:$O$80,W$4+2)+IF(W$4=11,INDEX('CF Summary'!$B$33:$G$33,W$3+1)*INDEX(Inputs!$B$80:$O$80,1),0)+IF(W$4=12,INDEX('CF Summary'!$B$33:$G$33,W$3+1)*INDEX(Inputs!$B$80:$O$80,2),0))</f>
        <v>-0</v>
      </c>
      <c r="X20" s="11" t="n">
        <f aca="false">-(INDEX('CF Summary'!$B$33:$G$33,X$3)*INDEX(Inputs!$B$80:$O$80,X$4+2)+IF(X$4=11,INDEX('CF Summary'!$B$33:$G$33,X$3+1)*INDEX(Inputs!$B$80:$O$80,1),0)+IF(X$4=12,INDEX('CF Summary'!$B$33:$G$33,X$3+1)*INDEX(Inputs!$B$80:$O$80,2),0))</f>
        <v>-0</v>
      </c>
      <c r="Y20" s="11" t="n">
        <f aca="false">-(INDEX('CF Summary'!$B$33:$G$33,Y$3)*INDEX(Inputs!$B$80:$O$80,Y$4+2)+IF(Y$4=11,INDEX('CF Summary'!$B$33:$G$33,Y$3+1)*INDEX(Inputs!$B$80:$O$80,1),0)+IF(Y$4=12,INDEX('CF Summary'!$B$33:$G$33,Y$3+1)*INDEX(Inputs!$B$80:$O$80,2),0))</f>
        <v>-0</v>
      </c>
      <c r="Z20" s="11" t="n">
        <f aca="false">-(INDEX('CF Summary'!$B$33:$G$33,Z$3)*INDEX(Inputs!$B$80:$O$80,Z$4+2)+IF(Z$4=11,INDEX('CF Summary'!$B$33:$G$33,Z$3+1)*INDEX(Inputs!$B$80:$O$80,1),0)+IF(Z$4=12,INDEX('CF Summary'!$B$33:$G$33,Z$3+1)*INDEX(Inputs!$B$80:$O$80,2),0))</f>
        <v>-0</v>
      </c>
      <c r="AA20" s="11" t="n">
        <f aca="false">-(INDEX('CF Summary'!$B$33:$G$33,AA$3)*INDEX(Inputs!$B$80:$O$80,AA$4+2)+IF(AA$4=11,INDEX('CF Summary'!$B$33:$G$33,AA$3+1)*INDEX(Inputs!$B$80:$O$80,1),0)+IF(AA$4=12,INDEX('CF Summary'!$B$33:$G$33,AA$3+1)*INDEX(Inputs!$B$80:$O$80,2),0))</f>
        <v>-0</v>
      </c>
      <c r="AB20" s="11" t="n">
        <f aca="false">-(INDEX('CF Summary'!$B$33:$G$33,AB$3)*INDEX(Inputs!$B$80:$O$80,AB$4+2)+IF(AB$4=11,INDEX('CF Summary'!$B$33:$G$33,AB$3+1)*INDEX(Inputs!$B$80:$O$80,1),0)+IF(AB$4=12,INDEX('CF Summary'!$B$33:$G$33,AB$3+1)*INDEX(Inputs!$B$80:$O$80,2),0))</f>
        <v>-0</v>
      </c>
      <c r="AC20" s="11" t="n">
        <f aca="false">-(INDEX('CF Summary'!$B$33:$G$33,AC$3)*INDEX(Inputs!$B$80:$O$80,AC$4+2)+IF(AC$4=11,INDEX('CF Summary'!$B$33:$G$33,AC$3+1)*INDEX(Inputs!$B$80:$O$80,1),0)+IF(AC$4=12,INDEX('CF Summary'!$B$33:$G$33,AC$3+1)*INDEX(Inputs!$B$80:$O$80,2),0))</f>
        <v>-0</v>
      </c>
      <c r="AD20" s="11" t="n">
        <f aca="false">-(INDEX('CF Summary'!$B$33:$G$33,AD$3)*INDEX(Inputs!$B$80:$O$80,AD$4+2)+IF(AD$4=11,INDEX('CF Summary'!$B$33:$G$33,AD$3+1)*INDEX(Inputs!$B$80:$O$80,1),0)+IF(AD$4=12,INDEX('CF Summary'!$B$33:$G$33,AD$3+1)*INDEX(Inputs!$B$80:$O$80,2),0))</f>
        <v>-0</v>
      </c>
      <c r="AE20" s="11" t="n">
        <f aca="false">-(INDEX('CF Summary'!$B$33:$G$33,AE$3)*INDEX(Inputs!$B$80:$O$80,AE$4+2)+IF(AE$4=11,INDEX('CF Summary'!$B$33:$G$33,AE$3+1)*INDEX(Inputs!$B$80:$O$80,1),0)+IF(AE$4=12,INDEX('CF Summary'!$B$33:$G$33,AE$3+1)*INDEX(Inputs!$B$80:$O$80,2),0))</f>
        <v>-0</v>
      </c>
      <c r="AF20" s="11" t="n">
        <f aca="false">-(INDEX('CF Summary'!$B$33:$G$33,AF$3)*INDEX(Inputs!$B$80:$O$80,AF$4+2)+IF(AF$4=11,INDEX('CF Summary'!$B$33:$G$33,AF$3+1)*INDEX(Inputs!$B$80:$O$80,1),0)+IF(AF$4=12,INDEX('CF Summary'!$B$33:$G$33,AF$3+1)*INDEX(Inputs!$B$80:$O$80,2),0))</f>
        <v>-0</v>
      </c>
      <c r="AG20" s="11" t="n">
        <f aca="false">-(INDEX('CF Summary'!$B$33:$G$33,AG$3)*INDEX(Inputs!$B$80:$O$80,AG$4+2)+IF(AG$4=11,INDEX('CF Summary'!$B$33:$G$33,AG$3+1)*INDEX(Inputs!$B$80:$O$80,1),0)+IF(AG$4=12,INDEX('CF Summary'!$B$33:$G$33,AG$3+1)*INDEX(Inputs!$B$80:$O$80,2),0))</f>
        <v>-0</v>
      </c>
      <c r="AH20" s="11" t="n">
        <f aca="false">-(INDEX('CF Summary'!$B$33:$G$33,AH$3)*INDEX(Inputs!$B$80:$O$80,AH$4+2)+IF(AH$4=11,INDEX('CF Summary'!$B$33:$G$33,AH$3+1)*INDEX(Inputs!$B$80:$O$80,1),0)+IF(AH$4=12,INDEX('CF Summary'!$B$33:$G$33,AH$3+1)*INDEX(Inputs!$B$80:$O$80,2),0))</f>
        <v>-0</v>
      </c>
      <c r="AI20" s="11" t="n">
        <f aca="false">-(INDEX('CF Summary'!$B$33:$G$33,AI$3)*INDEX(Inputs!$B$80:$O$80,AI$4+2)+IF(AI$4=11,INDEX('CF Summary'!$B$33:$G$33,AI$3+1)*INDEX(Inputs!$B$80:$O$80,1),0)+IF(AI$4=12,INDEX('CF Summary'!$B$33:$G$33,AI$3+1)*INDEX(Inputs!$B$80:$O$80,2),0))</f>
        <v>-0</v>
      </c>
      <c r="AJ20" s="11" t="n">
        <f aca="false">-(INDEX('CF Summary'!$B$33:$G$33,AJ$3)*INDEX(Inputs!$B$80:$O$80,AJ$4+2)+IF(AJ$4=11,INDEX('CF Summary'!$B$33:$G$33,AJ$3+1)*INDEX(Inputs!$B$80:$O$80,1),0)+IF(AJ$4=12,INDEX('CF Summary'!$B$33:$G$33,AJ$3+1)*INDEX(Inputs!$B$80:$O$80,2),0))</f>
        <v>-0</v>
      </c>
      <c r="AK20" s="11" t="n">
        <f aca="false">-(INDEX('CF Summary'!$B$33:$G$33,AK$3)*INDEX(Inputs!$B$80:$O$80,AK$4+2)+IF(AK$4=11,INDEX('CF Summary'!$B$33:$G$33,AK$3+1)*INDEX(Inputs!$B$80:$O$80,1),0)+IF(AK$4=12,INDEX('CF Summary'!$B$33:$G$33,AK$3+1)*INDEX(Inputs!$B$80:$O$80,2),0))</f>
        <v>-0</v>
      </c>
      <c r="AL20" s="11" t="n">
        <f aca="false">-(INDEX('CF Summary'!$B$33:$G$33,AL$3)*INDEX(Inputs!$B$80:$O$80,AL$4+2)+IF(AL$4=11,INDEX('CF Summary'!$B$33:$G$33,AL$3+1)*INDEX(Inputs!$B$80:$O$80,1),0)+IF(AL$4=12,INDEX('CF Summary'!$B$33:$G$33,AL$3+1)*INDEX(Inputs!$B$80:$O$80,2),0))</f>
        <v>-0</v>
      </c>
      <c r="AM20" s="11" t="n">
        <f aca="false">-(INDEX('CF Summary'!$B$33:$G$33,AM$3)*INDEX(Inputs!$B$80:$O$80,AM$4+2)+IF(AM$4=11,INDEX('CF Summary'!$B$33:$G$33,AM$3+1)*INDEX(Inputs!$B$80:$O$80,1),0)+IF(AM$4=12,INDEX('CF Summary'!$B$33:$G$33,AM$3+1)*INDEX(Inputs!$B$80:$O$80,2),0))</f>
        <v>-0</v>
      </c>
      <c r="AN20" s="11" t="n">
        <f aca="false">-(INDEX('CF Summary'!$B$33:$G$33,AN$3)*INDEX(Inputs!$B$80:$O$80,AN$4+2)+IF(AN$4=11,INDEX('CF Summary'!$B$33:$G$33,AN$3+1)*INDEX(Inputs!$B$80:$O$80,1),0)+IF(AN$4=12,INDEX('CF Summary'!$B$33:$G$33,AN$3+1)*INDEX(Inputs!$B$80:$O$80,2),0))</f>
        <v>-0</v>
      </c>
      <c r="AO20" s="11" t="n">
        <f aca="false">-(INDEX('CF Summary'!$B$33:$G$33,AO$3)*INDEX(Inputs!$B$80:$O$80,AO$4+2)+IF(AO$4=11,INDEX('CF Summary'!$B$33:$G$33,AO$3+1)*INDEX(Inputs!$B$80:$O$80,1),0)+IF(AO$4=12,INDEX('CF Summary'!$B$33:$G$33,AO$3+1)*INDEX(Inputs!$B$80:$O$80,2),0))</f>
        <v>-0</v>
      </c>
      <c r="AP20" s="11" t="n">
        <f aca="false">-(INDEX('CF Summary'!$B$33:$G$33,AP$3)*INDEX(Inputs!$B$80:$O$80,AP$4+2)+IF(AP$4=11,INDEX('CF Summary'!$B$33:$G$33,AP$3+1)*INDEX(Inputs!$B$80:$O$80,1),0)+IF(AP$4=12,INDEX('CF Summary'!$B$33:$G$33,AP$3+1)*INDEX(Inputs!$B$80:$O$80,2),0))</f>
        <v>-0</v>
      </c>
      <c r="AQ20" s="11" t="n">
        <f aca="false">-(INDEX('CF Summary'!$B$33:$G$33,AQ$3)*INDEX(Inputs!$B$80:$O$80,AQ$4+2)+IF(AQ$4=11,INDEX('CF Summary'!$B$33:$G$33,AQ$3+1)*INDEX(Inputs!$B$80:$O$80,1),0)+IF(AQ$4=12,INDEX('CF Summary'!$B$33:$G$33,AQ$3+1)*INDEX(Inputs!$B$80:$O$80,2),0))</f>
        <v>-0</v>
      </c>
      <c r="AR20" s="11" t="n">
        <f aca="false">-(INDEX('CF Summary'!$B$33:$G$33,AR$3)*INDEX(Inputs!$B$80:$O$80,AR$4+2)+IF(AR$4=11,INDEX('CF Summary'!$B$33:$G$33,AR$3+1)*INDEX(Inputs!$B$80:$O$80,1),0)+IF(AR$4=12,INDEX('CF Summary'!$B$33:$G$33,AR$3+1)*INDEX(Inputs!$B$80:$O$80,2),0))</f>
        <v>-0</v>
      </c>
      <c r="AS20" s="11" t="n">
        <f aca="false">-(INDEX('CF Summary'!$B$33:$G$33,AS$3)*INDEX(Inputs!$B$80:$O$80,AS$4+2)+IF(AS$4=11,INDEX('CF Summary'!$B$33:$G$33,AS$3+1)*INDEX(Inputs!$B$80:$O$80,1),0)+IF(AS$4=12,INDEX('CF Summary'!$B$33:$G$33,AS$3+1)*INDEX(Inputs!$B$80:$O$80,2),0))</f>
        <v>-0</v>
      </c>
      <c r="AT20" s="11" t="n">
        <f aca="false">-(INDEX('CF Summary'!$B$33:$G$33,AT$3)*INDEX(Inputs!$B$80:$O$80,AT$4+2)+IF(AT$4=11,INDEX('CF Summary'!$B$33:$G$33,AT$3+1)*INDEX(Inputs!$B$80:$O$80,1),0)+IF(AT$4=12,INDEX('CF Summary'!$B$33:$G$33,AT$3+1)*INDEX(Inputs!$B$80:$O$80,2),0))</f>
        <v>-0</v>
      </c>
      <c r="AU20" s="11" t="n">
        <f aca="false">-(INDEX('CF Summary'!$B$33:$G$33,AU$3)*INDEX(Inputs!$B$80:$O$80,AU$4+2)+IF(AU$4=11,INDEX('CF Summary'!$B$33:$G$33,AU$3+1)*INDEX(Inputs!$B$80:$O$80,1),0)+IF(AU$4=12,INDEX('CF Summary'!$B$33:$G$33,AU$3+1)*INDEX(Inputs!$B$80:$O$80,2),0))</f>
        <v>-0</v>
      </c>
      <c r="AV20" s="11" t="n">
        <f aca="false">-(INDEX('CF Summary'!$B$33:$G$33,AV$3)*INDEX(Inputs!$B$80:$O$80,AV$4+2)+IF(AV$4=11,INDEX('CF Summary'!$B$33:$G$33,AV$3+1)*INDEX(Inputs!$B$80:$O$80,1),0)+IF(AV$4=12,INDEX('CF Summary'!$B$33:$G$33,AV$3+1)*INDEX(Inputs!$B$80:$O$80,2),0))</f>
        <v>-0</v>
      </c>
      <c r="AW20" s="11" t="n">
        <f aca="false">-(INDEX('CF Summary'!$B$33:$G$33,AW$3)*INDEX(Inputs!$B$80:$O$80,AW$4+2)+IF(AW$4=11,INDEX('CF Summary'!$B$33:$G$33,AW$3+1)*INDEX(Inputs!$B$80:$O$80,1),0)+IF(AW$4=12,INDEX('CF Summary'!$B$33:$G$33,AW$3+1)*INDEX(Inputs!$B$80:$O$80,2),0))</f>
        <v>-0</v>
      </c>
      <c r="AX20" s="11" t="n">
        <f aca="false">-(INDEX('CF Summary'!$B$33:$G$33,AX$3)*INDEX(Inputs!$B$80:$O$80,AX$4+2)+IF(AX$4=11,INDEX('CF Summary'!$B$33:$G$33,AX$3+1)*INDEX(Inputs!$B$80:$O$80,1),0)+IF(AX$4=12,INDEX('CF Summary'!$B$33:$G$33,AX$3+1)*INDEX(Inputs!$B$80:$O$80,2),0))</f>
        <v>-0</v>
      </c>
      <c r="AY20" s="11" t="n">
        <f aca="false">-(INDEX('CF Summary'!$B$33:$G$33,AY$3)*INDEX(Inputs!$B$80:$O$80,AY$4+2)+IF(AY$4=11,INDEX('CF Summary'!$B$33:$G$33,AY$3+1)*INDEX(Inputs!$B$80:$O$80,1),0)+IF(AY$4=12,INDEX('CF Summary'!$B$33:$G$33,AY$3+1)*INDEX(Inputs!$B$80:$O$80,2),0))</f>
        <v>-0</v>
      </c>
      <c r="AZ20" s="11" t="n">
        <f aca="false">-(INDEX('CF Summary'!$B$33:$G$33,AZ$3)*INDEX(Inputs!$B$80:$O$80,AZ$4+2)+IF(AZ$4=11,INDEX('CF Summary'!$B$33:$G$33,AZ$3+1)*INDEX(Inputs!$B$80:$O$80,1),0)+IF(AZ$4=12,INDEX('CF Summary'!$B$33:$G$33,AZ$3+1)*INDEX(Inputs!$B$80:$O$80,2),0))</f>
        <v>-0</v>
      </c>
      <c r="BA20" s="11" t="n">
        <f aca="false">-(INDEX('CF Summary'!$B$33:$G$33,BA$3)*INDEX(Inputs!$B$80:$O$80,BA$4+2)+IF(BA$4=11,INDEX('CF Summary'!$B$33:$G$33,BA$3+1)*INDEX(Inputs!$B$80:$O$80,1),0)+IF(BA$4=12,INDEX('CF Summary'!$B$33:$G$33,BA$3+1)*INDEX(Inputs!$B$80:$O$80,2),0))</f>
        <v>-0</v>
      </c>
      <c r="BB20" s="11" t="n">
        <f aca="false">-(INDEX('CF Summary'!$B$33:$G$33,BB$3)*INDEX(Inputs!$B$80:$O$80,BB$4+2)+IF(BB$4=11,INDEX('CF Summary'!$B$33:$G$33,BB$3+1)*INDEX(Inputs!$B$80:$O$80,1),0)+IF(BB$4=12,INDEX('CF Summary'!$B$33:$G$33,BB$3+1)*INDEX(Inputs!$B$80:$O$80,2),0))</f>
        <v>-0</v>
      </c>
      <c r="BC20" s="11" t="n">
        <f aca="false">-(INDEX('CF Summary'!$B$33:$G$33,BC$3)*INDEX(Inputs!$B$80:$O$80,BC$4+2)+IF(BC$4=11,INDEX('CF Summary'!$B$33:$G$33,BC$3+1)*INDEX(Inputs!$B$80:$O$80,1),0)+IF(BC$4=12,INDEX('CF Summary'!$B$33:$G$33,BC$3+1)*INDEX(Inputs!$B$80:$O$80,2),0))</f>
        <v>-0</v>
      </c>
      <c r="BD20" s="11" t="n">
        <f aca="false">-(INDEX('CF Summary'!$B$33:$G$33,BD$3)*INDEX(Inputs!$B$80:$O$80,BD$4+2)+IF(BD$4=11,INDEX('CF Summary'!$B$33:$G$33,BD$3+1)*INDEX(Inputs!$B$80:$O$80,1),0)+IF(BD$4=12,INDEX('CF Summary'!$B$33:$G$33,BD$3+1)*INDEX(Inputs!$B$80:$O$80,2),0))</f>
        <v>-0</v>
      </c>
      <c r="BE20" s="11" t="n">
        <f aca="false">-(INDEX('CF Summary'!$B$33:$G$33,BE$3)*INDEX(Inputs!$B$80:$O$80,BE$4+2)+IF(BE$4=11,INDEX('CF Summary'!$B$33:$G$33,BE$3+1)*INDEX(Inputs!$B$80:$O$80,1),0)+IF(BE$4=12,INDEX('CF Summary'!$B$33:$G$33,BE$3+1)*INDEX(Inputs!$B$80:$O$80,2),0))</f>
        <v>-0</v>
      </c>
      <c r="BF20" s="11" t="n">
        <f aca="false">-(INDEX('CF Summary'!$B$33:$G$33,BF$3)*INDEX(Inputs!$B$80:$O$80,BF$4+2)+IF(BF$4=11,INDEX('CF Summary'!$B$33:$G$33,BF$3+1)*INDEX(Inputs!$B$80:$O$80,1),0)+IF(BF$4=12,INDEX('CF Summary'!$B$33:$G$33,BF$3+1)*INDEX(Inputs!$B$80:$O$80,2),0))</f>
        <v>-0</v>
      </c>
      <c r="BG20" s="11" t="n">
        <f aca="false">-(INDEX('CF Summary'!$B$33:$G$33,BG$3)*INDEX(Inputs!$B$80:$O$80,BG$4+2)+IF(BG$4=11,INDEX('CF Summary'!$B$33:$G$33,BG$3+1)*INDEX(Inputs!$B$80:$O$80,1),0)+IF(BG$4=12,INDEX('CF Summary'!$B$33:$G$33,BG$3+1)*INDEX(Inputs!$B$80:$O$80,2),0))</f>
        <v>-0</v>
      </c>
      <c r="BH20" s="11" t="n">
        <f aca="false">-(INDEX('CF Summary'!$B$33:$G$33,BH$3)*INDEX(Inputs!$B$80:$O$80,BH$4+2)+IF(BH$4=11,INDEX('CF Summary'!$B$33:$G$33,BH$3+1)*INDEX(Inputs!$B$80:$O$80,1),0)+IF(BH$4=12,INDEX('CF Summary'!$B$33:$G$33,BH$3+1)*INDEX(Inputs!$B$80:$O$80,2),0))</f>
        <v>-0</v>
      </c>
      <c r="BI20" s="11" t="n">
        <f aca="false">-(INDEX('CF Summary'!$B$33:$G$33,BI$3)*INDEX(Inputs!$B$80:$O$80,BI$4+2)+IF(BI$4=11,INDEX('CF Summary'!$B$33:$G$33,BI$3+1)*INDEX(Inputs!$B$80:$O$80,1),0)+IF(BI$4=12,INDEX('CF Summary'!$B$33:$G$33,BI$3+1)*INDEX(Inputs!$B$80:$O$80,2),0))</f>
        <v>-0</v>
      </c>
    </row>
    <row r="21" customFormat="false" ht="15" hidden="false" customHeight="false" outlineLevel="0" collapsed="false">
      <c r="A21" s="6" t="s">
        <v>545</v>
      </c>
      <c r="B21" s="11" t="n">
        <f aca="false">-INDEX(Inputs!$E$31:$I$31,B$3)/12</f>
        <v>-0</v>
      </c>
      <c r="C21" s="11" t="n">
        <f aca="false">-INDEX(Inputs!$E$31:$I$31,C$3)/12</f>
        <v>-0</v>
      </c>
      <c r="D21" s="11" t="n">
        <f aca="false">-INDEX(Inputs!$E$31:$I$31,D$3)/12</f>
        <v>-0</v>
      </c>
      <c r="E21" s="11" t="n">
        <f aca="false">-INDEX(Inputs!$E$31:$I$31,E$3)/12</f>
        <v>-0</v>
      </c>
      <c r="F21" s="11" t="n">
        <f aca="false">-INDEX(Inputs!$E$31:$I$31,F$3)/12</f>
        <v>-0</v>
      </c>
      <c r="G21" s="11" t="n">
        <f aca="false">-INDEX(Inputs!$E$31:$I$31,G$3)/12</f>
        <v>-0</v>
      </c>
      <c r="H21" s="11" t="n">
        <f aca="false">-INDEX(Inputs!$E$31:$I$31,H$3)/12</f>
        <v>-0</v>
      </c>
      <c r="I21" s="11" t="n">
        <f aca="false">-INDEX(Inputs!$E$31:$I$31,I$3)/12</f>
        <v>-0</v>
      </c>
      <c r="J21" s="11" t="n">
        <f aca="false">-INDEX(Inputs!$E$31:$I$31,J$3)/12</f>
        <v>-0</v>
      </c>
      <c r="K21" s="11" t="n">
        <f aca="false">-INDEX(Inputs!$E$31:$I$31,K$3)/12</f>
        <v>-0</v>
      </c>
      <c r="L21" s="11" t="n">
        <f aca="false">-INDEX(Inputs!$E$31:$I$31,L$3)/12</f>
        <v>-0</v>
      </c>
      <c r="M21" s="11" t="n">
        <f aca="false">-INDEX(Inputs!$E$31:$I$31,M$3)/12</f>
        <v>-0</v>
      </c>
      <c r="N21" s="11" t="n">
        <f aca="false">-INDEX(Inputs!$E$31:$I$31,N$3)/12</f>
        <v>-4166.66666666667</v>
      </c>
      <c r="O21" s="11" t="n">
        <f aca="false">-INDEX(Inputs!$E$31:$I$31,O$3)/12</f>
        <v>-4166.66666666667</v>
      </c>
      <c r="P21" s="11" t="n">
        <f aca="false">-INDEX(Inputs!$E$31:$I$31,P$3)/12</f>
        <v>-4166.66666666667</v>
      </c>
      <c r="Q21" s="11" t="n">
        <f aca="false">-INDEX(Inputs!$E$31:$I$31,Q$3)/12</f>
        <v>-4166.66666666667</v>
      </c>
      <c r="R21" s="11" t="n">
        <f aca="false">-INDEX(Inputs!$E$31:$I$31,R$3)/12</f>
        <v>-4166.66666666667</v>
      </c>
      <c r="S21" s="11" t="n">
        <f aca="false">-INDEX(Inputs!$E$31:$I$31,S$3)/12</f>
        <v>-4166.66666666667</v>
      </c>
      <c r="T21" s="11" t="n">
        <f aca="false">-INDEX(Inputs!$E$31:$I$31,T$3)/12</f>
        <v>-4166.66666666667</v>
      </c>
      <c r="U21" s="11" t="n">
        <f aca="false">-INDEX(Inputs!$E$31:$I$31,U$3)/12</f>
        <v>-4166.66666666667</v>
      </c>
      <c r="V21" s="11" t="n">
        <f aca="false">-INDEX(Inputs!$E$31:$I$31,V$3)/12</f>
        <v>-4166.66666666667</v>
      </c>
      <c r="W21" s="11" t="n">
        <f aca="false">-INDEX(Inputs!$E$31:$I$31,W$3)/12</f>
        <v>-4166.66666666667</v>
      </c>
      <c r="X21" s="11" t="n">
        <f aca="false">-INDEX(Inputs!$E$31:$I$31,X$3)/12</f>
        <v>-4166.66666666667</v>
      </c>
      <c r="Y21" s="11" t="n">
        <f aca="false">-INDEX(Inputs!$E$31:$I$31,Y$3)/12</f>
        <v>-4166.66666666667</v>
      </c>
      <c r="Z21" s="11" t="n">
        <f aca="false">-INDEX(Inputs!$E$31:$I$31,Z$3)/12</f>
        <v>-8333.33333333333</v>
      </c>
      <c r="AA21" s="11" t="n">
        <f aca="false">-INDEX(Inputs!$E$31:$I$31,AA$3)/12</f>
        <v>-8333.33333333333</v>
      </c>
      <c r="AB21" s="11" t="n">
        <f aca="false">-INDEX(Inputs!$E$31:$I$31,AB$3)/12</f>
        <v>-8333.33333333333</v>
      </c>
      <c r="AC21" s="11" t="n">
        <f aca="false">-INDEX(Inputs!$E$31:$I$31,AC$3)/12</f>
        <v>-8333.33333333333</v>
      </c>
      <c r="AD21" s="11" t="n">
        <f aca="false">-INDEX(Inputs!$E$31:$I$31,AD$3)/12</f>
        <v>-8333.33333333333</v>
      </c>
      <c r="AE21" s="11" t="n">
        <f aca="false">-INDEX(Inputs!$E$31:$I$31,AE$3)/12</f>
        <v>-8333.33333333333</v>
      </c>
      <c r="AF21" s="11" t="n">
        <f aca="false">-INDEX(Inputs!$E$31:$I$31,AF$3)/12</f>
        <v>-8333.33333333333</v>
      </c>
      <c r="AG21" s="11" t="n">
        <f aca="false">-INDEX(Inputs!$E$31:$I$31,AG$3)/12</f>
        <v>-8333.33333333333</v>
      </c>
      <c r="AH21" s="11" t="n">
        <f aca="false">-INDEX(Inputs!$E$31:$I$31,AH$3)/12</f>
        <v>-8333.33333333333</v>
      </c>
      <c r="AI21" s="11" t="n">
        <f aca="false">-INDEX(Inputs!$E$31:$I$31,AI$3)/12</f>
        <v>-8333.33333333333</v>
      </c>
      <c r="AJ21" s="11" t="n">
        <f aca="false">-INDEX(Inputs!$E$31:$I$31,AJ$3)/12</f>
        <v>-8333.33333333333</v>
      </c>
      <c r="AK21" s="11" t="n">
        <f aca="false">-INDEX(Inputs!$E$31:$I$31,AK$3)/12</f>
        <v>-8333.33333333333</v>
      </c>
      <c r="AL21" s="11" t="n">
        <f aca="false">-INDEX(Inputs!$E$31:$I$31,AL$3)/12</f>
        <v>-12500</v>
      </c>
      <c r="AM21" s="11" t="n">
        <f aca="false">-INDEX(Inputs!$E$31:$I$31,AM$3)/12</f>
        <v>-12500</v>
      </c>
      <c r="AN21" s="11" t="n">
        <f aca="false">-INDEX(Inputs!$E$31:$I$31,AN$3)/12</f>
        <v>-12500</v>
      </c>
      <c r="AO21" s="11" t="n">
        <f aca="false">-INDEX(Inputs!$E$31:$I$31,AO$3)/12</f>
        <v>-12500</v>
      </c>
      <c r="AP21" s="11" t="n">
        <f aca="false">-INDEX(Inputs!$E$31:$I$31,AP$3)/12</f>
        <v>-12500</v>
      </c>
      <c r="AQ21" s="11" t="n">
        <f aca="false">-INDEX(Inputs!$E$31:$I$31,AQ$3)/12</f>
        <v>-12500</v>
      </c>
      <c r="AR21" s="11" t="n">
        <f aca="false">-INDEX(Inputs!$E$31:$I$31,AR$3)/12</f>
        <v>-12500</v>
      </c>
      <c r="AS21" s="11" t="n">
        <f aca="false">-INDEX(Inputs!$E$31:$I$31,AS$3)/12</f>
        <v>-12500</v>
      </c>
      <c r="AT21" s="11" t="n">
        <f aca="false">-INDEX(Inputs!$E$31:$I$31,AT$3)/12</f>
        <v>-12500</v>
      </c>
      <c r="AU21" s="11" t="n">
        <f aca="false">-INDEX(Inputs!$E$31:$I$31,AU$3)/12</f>
        <v>-12500</v>
      </c>
      <c r="AV21" s="11" t="n">
        <f aca="false">-INDEX(Inputs!$E$31:$I$31,AV$3)/12</f>
        <v>-12500</v>
      </c>
      <c r="AW21" s="11" t="n">
        <f aca="false">-INDEX(Inputs!$E$31:$I$31,AW$3)/12</f>
        <v>-12500</v>
      </c>
      <c r="AX21" s="11" t="n">
        <f aca="false">-INDEX(Inputs!$E$31:$I$31,AX$3)/12</f>
        <v>-16666.6666666667</v>
      </c>
      <c r="AY21" s="11" t="n">
        <f aca="false">-INDEX(Inputs!$E$31:$I$31,AY$3)/12</f>
        <v>-16666.6666666667</v>
      </c>
      <c r="AZ21" s="11" t="n">
        <f aca="false">-INDEX(Inputs!$E$31:$I$31,AZ$3)/12</f>
        <v>-16666.6666666667</v>
      </c>
      <c r="BA21" s="11" t="n">
        <f aca="false">-INDEX(Inputs!$E$31:$I$31,BA$3)/12</f>
        <v>-16666.6666666667</v>
      </c>
      <c r="BB21" s="11" t="n">
        <f aca="false">-INDEX(Inputs!$E$31:$I$31,BB$3)/12</f>
        <v>-16666.6666666667</v>
      </c>
      <c r="BC21" s="11" t="n">
        <f aca="false">-INDEX(Inputs!$E$31:$I$31,BC$3)/12</f>
        <v>-16666.6666666667</v>
      </c>
      <c r="BD21" s="11" t="n">
        <f aca="false">-INDEX(Inputs!$E$31:$I$31,BD$3)/12</f>
        <v>-16666.6666666667</v>
      </c>
      <c r="BE21" s="11" t="n">
        <f aca="false">-INDEX(Inputs!$E$31:$I$31,BE$3)/12</f>
        <v>-16666.6666666667</v>
      </c>
      <c r="BF21" s="11" t="n">
        <f aca="false">-INDEX(Inputs!$E$31:$I$31,BF$3)/12</f>
        <v>-16666.6666666667</v>
      </c>
      <c r="BG21" s="11" t="n">
        <f aca="false">-INDEX(Inputs!$E$31:$I$31,BG$3)/12</f>
        <v>-16666.6666666667</v>
      </c>
      <c r="BH21" s="11" t="n">
        <f aca="false">-INDEX(Inputs!$E$31:$I$31,BH$3)/12</f>
        <v>-16666.6666666667</v>
      </c>
      <c r="BI21" s="11" t="n">
        <f aca="false">-INDEX(Inputs!$E$31:$I$31,BI$3)/12</f>
        <v>-16666.6666666667</v>
      </c>
    </row>
    <row r="22" customFormat="false" ht="15" hidden="false" customHeight="false" outlineLevel="0" collapsed="false">
      <c r="A22" s="12" t="s">
        <v>546</v>
      </c>
      <c r="B22" s="13" t="n">
        <f aca="false">SUM(B16:B21)</f>
        <v>-775228.333333333</v>
      </c>
      <c r="C22" s="13" t="n">
        <f aca="false">SUM(C16:C21)</f>
        <v>-775228.333333333</v>
      </c>
      <c r="D22" s="13" t="n">
        <f aca="false">SUM(D16:D21)</f>
        <v>-775228.333333333</v>
      </c>
      <c r="E22" s="13" t="n">
        <f aca="false">SUM(E16:E21)</f>
        <v>-775228.333333333</v>
      </c>
      <c r="F22" s="13" t="n">
        <f aca="false">SUM(F16:F21)</f>
        <v>-775228.333333333</v>
      </c>
      <c r="G22" s="13" t="n">
        <f aca="false">SUM(G16:G21)</f>
        <v>-775228.333333333</v>
      </c>
      <c r="H22" s="13" t="n">
        <f aca="false">SUM(H16:H21)</f>
        <v>-775228.333333333</v>
      </c>
      <c r="I22" s="13" t="n">
        <f aca="false">SUM(I16:I21)</f>
        <v>-775228.333333333</v>
      </c>
      <c r="J22" s="13" t="n">
        <f aca="false">SUM(J16:J21)</f>
        <v>-775228.333333333</v>
      </c>
      <c r="K22" s="13" t="n">
        <f aca="false">SUM(K16:K21)</f>
        <v>-775228.333333333</v>
      </c>
      <c r="L22" s="13" t="n">
        <f aca="false">SUM(L16:L21)</f>
        <v>-775228.333333333</v>
      </c>
      <c r="M22" s="13" t="n">
        <f aca="false">SUM(M16:M21)</f>
        <v>-775228.333333333</v>
      </c>
      <c r="N22" s="13" t="n">
        <f aca="false">SUM(N16:N21)</f>
        <v>-804307.649224859</v>
      </c>
      <c r="O22" s="13" t="n">
        <f aca="false">SUM(O16:O21)</f>
        <v>-804307.649224859</v>
      </c>
      <c r="P22" s="13" t="n">
        <f aca="false">SUM(P16:P21)</f>
        <v>-804307.649224859</v>
      </c>
      <c r="Q22" s="13" t="n">
        <f aca="false">SUM(Q16:Q21)</f>
        <v>-804307.649224859</v>
      </c>
      <c r="R22" s="13" t="n">
        <f aca="false">SUM(R16:R21)</f>
        <v>-804307.649224859</v>
      </c>
      <c r="S22" s="13" t="n">
        <f aca="false">SUM(S16:S21)</f>
        <v>-804307.649224859</v>
      </c>
      <c r="T22" s="13" t="n">
        <f aca="false">SUM(T16:T21)</f>
        <v>-804307.649224859</v>
      </c>
      <c r="U22" s="13" t="n">
        <f aca="false">SUM(U16:U21)</f>
        <v>-804307.649224859</v>
      </c>
      <c r="V22" s="13" t="n">
        <f aca="false">SUM(V16:V21)</f>
        <v>-804307.649224859</v>
      </c>
      <c r="W22" s="13" t="n">
        <f aca="false">SUM(W16:W21)</f>
        <v>-804307.649224859</v>
      </c>
      <c r="X22" s="13" t="n">
        <f aca="false">SUM(X16:X21)</f>
        <v>-804307.649224859</v>
      </c>
      <c r="Y22" s="13" t="n">
        <f aca="false">SUM(Y16:Y21)</f>
        <v>-804307.649224859</v>
      </c>
      <c r="Z22" s="13" t="n">
        <f aca="false">SUM(Z16:Z21)</f>
        <v>-831798.378021655</v>
      </c>
      <c r="AA22" s="13" t="n">
        <f aca="false">SUM(AA16:AA21)</f>
        <v>-831798.378021655</v>
      </c>
      <c r="AB22" s="13" t="n">
        <f aca="false">SUM(AB16:AB21)</f>
        <v>-831798.378021655</v>
      </c>
      <c r="AC22" s="13" t="n">
        <f aca="false">SUM(AC16:AC21)</f>
        <v>-831798.378021655</v>
      </c>
      <c r="AD22" s="13" t="n">
        <f aca="false">SUM(AD16:AD21)</f>
        <v>-831798.378021655</v>
      </c>
      <c r="AE22" s="13" t="n">
        <f aca="false">SUM(AE16:AE21)</f>
        <v>-831798.378021655</v>
      </c>
      <c r="AF22" s="13" t="n">
        <f aca="false">SUM(AF16:AF21)</f>
        <v>-831798.378021655</v>
      </c>
      <c r="AG22" s="13" t="n">
        <f aca="false">SUM(AG16:AG21)</f>
        <v>-831798.378021655</v>
      </c>
      <c r="AH22" s="13" t="n">
        <f aca="false">SUM(AH16:AH21)</f>
        <v>-831798.378021655</v>
      </c>
      <c r="AI22" s="13" t="n">
        <f aca="false">SUM(AI16:AI21)</f>
        <v>-831798.378021655</v>
      </c>
      <c r="AJ22" s="13" t="n">
        <f aca="false">SUM(AJ16:AJ21)</f>
        <v>-831798.378021655</v>
      </c>
      <c r="AK22" s="13" t="n">
        <f aca="false">SUM(AK16:AK21)</f>
        <v>-831798.378021655</v>
      </c>
      <c r="AL22" s="13" t="n">
        <f aca="false">SUM(AL16:AL21)</f>
        <v>-849255.000188472</v>
      </c>
      <c r="AM22" s="13" t="n">
        <f aca="false">SUM(AM16:AM21)</f>
        <v>-849255.000188472</v>
      </c>
      <c r="AN22" s="13" t="n">
        <f aca="false">SUM(AN16:AN21)</f>
        <v>-849255.000188472</v>
      </c>
      <c r="AO22" s="13" t="n">
        <f aca="false">SUM(AO16:AO21)</f>
        <v>-849255.000188472</v>
      </c>
      <c r="AP22" s="13" t="n">
        <f aca="false">SUM(AP16:AP21)</f>
        <v>-849255.000188472</v>
      </c>
      <c r="AQ22" s="13" t="n">
        <f aca="false">SUM(AQ16:AQ21)</f>
        <v>-849255.000188472</v>
      </c>
      <c r="AR22" s="13" t="n">
        <f aca="false">SUM(AR16:AR21)</f>
        <v>-849255.000188472</v>
      </c>
      <c r="AS22" s="13" t="n">
        <f aca="false">SUM(AS16:AS21)</f>
        <v>-849255.000188472</v>
      </c>
      <c r="AT22" s="13" t="n">
        <f aca="false">SUM(AT16:AT21)</f>
        <v>-849255.000188472</v>
      </c>
      <c r="AU22" s="13" t="n">
        <f aca="false">SUM(AU16:AU21)</f>
        <v>-849255.000188472</v>
      </c>
      <c r="AV22" s="13" t="n">
        <f aca="false">SUM(AV16:AV21)</f>
        <v>-849255.000188472</v>
      </c>
      <c r="AW22" s="13" t="n">
        <f aca="false">SUM(AW16:AW21)</f>
        <v>-849255.000188472</v>
      </c>
      <c r="AX22" s="13" t="n">
        <f aca="false">SUM(AX16:AX21)</f>
        <v>-872631.768515615</v>
      </c>
      <c r="AY22" s="13" t="n">
        <f aca="false">SUM(AY16:AY21)</f>
        <v>-872631.768515615</v>
      </c>
      <c r="AZ22" s="13" t="n">
        <f aca="false">SUM(AZ16:AZ21)</f>
        <v>-872631.768515615</v>
      </c>
      <c r="BA22" s="13" t="n">
        <f aca="false">SUM(BA16:BA21)</f>
        <v>-872631.768515615</v>
      </c>
      <c r="BB22" s="13" t="n">
        <f aca="false">SUM(BB16:BB21)</f>
        <v>-872631.768515615</v>
      </c>
      <c r="BC22" s="13" t="n">
        <f aca="false">SUM(BC16:BC21)</f>
        <v>-872631.768515615</v>
      </c>
      <c r="BD22" s="13" t="n">
        <f aca="false">SUM(BD16:BD21)</f>
        <v>-872631.768515615</v>
      </c>
      <c r="BE22" s="13" t="n">
        <f aca="false">SUM(BE16:BE21)</f>
        <v>-872631.768515615</v>
      </c>
      <c r="BF22" s="13" t="n">
        <f aca="false">SUM(BF16:BF21)</f>
        <v>-872631.768515615</v>
      </c>
      <c r="BG22" s="13" t="n">
        <f aca="false">SUM(BG16:BG21)</f>
        <v>-872631.768515615</v>
      </c>
      <c r="BH22" s="13" t="n">
        <f aca="false">SUM(BH16:BH21)</f>
        <v>-872631.768515615</v>
      </c>
      <c r="BI22" s="13" t="n">
        <f aca="false">SUM(BI16:BI21)</f>
        <v>-872631.768515615</v>
      </c>
    </row>
    <row r="23" customFormat="false" ht="15" hidden="false" customHeight="false" outlineLevel="0" collapsed="false">
      <c r="A23" s="12" t="s">
        <v>547</v>
      </c>
      <c r="B23" s="23" t="n">
        <f aca="false">B13+B22</f>
        <v>278965.662318841</v>
      </c>
      <c r="C23" s="23" t="n">
        <f aca="false">C13+C22</f>
        <v>75320.9110144927</v>
      </c>
      <c r="D23" s="23" t="n">
        <f aca="false">D13+D22</f>
        <v>-283334.337681159</v>
      </c>
      <c r="E23" s="23" t="n">
        <f aca="false">E13+E22</f>
        <v>-283334.337681159</v>
      </c>
      <c r="F23" s="23" t="n">
        <f aca="false">F13+F22</f>
        <v>75320.9110144927</v>
      </c>
      <c r="G23" s="23" t="n">
        <f aca="false">G13+G22</f>
        <v>-283334.337681159</v>
      </c>
      <c r="H23" s="23" t="n">
        <f aca="false">H13+H22</f>
        <v>-283334.337681159</v>
      </c>
      <c r="I23" s="23" t="n">
        <f aca="false">I13+I22</f>
        <v>75320.9110144927</v>
      </c>
      <c r="J23" s="23" t="n">
        <f aca="false">J13+J22</f>
        <v>-283334.337681159</v>
      </c>
      <c r="K23" s="23" t="n">
        <f aca="false">K13+K22</f>
        <v>-283334.337681159</v>
      </c>
      <c r="L23" s="23" t="n">
        <f aca="false">L13+L22</f>
        <v>128022.33589261</v>
      </c>
      <c r="M23" s="23" t="n">
        <f aca="false">M13+M22</f>
        <v>1239879.04042425</v>
      </c>
      <c r="N23" s="23" t="n">
        <f aca="false">N13+N22</f>
        <v>196936.886751575</v>
      </c>
      <c r="O23" s="23" t="n">
        <f aca="false">O13+O22</f>
        <v>98335.1059194183</v>
      </c>
      <c r="P23" s="23" t="n">
        <f aca="false">P13+P22</f>
        <v>-282872.907062858</v>
      </c>
      <c r="Q23" s="23" t="n">
        <f aca="false">Q13+Q22</f>
        <v>-282872.907062858</v>
      </c>
      <c r="R23" s="23" t="n">
        <f aca="false">R13+R22</f>
        <v>98335.1059194183</v>
      </c>
      <c r="S23" s="23" t="n">
        <f aca="false">S13+S22</f>
        <v>-282872.907062858</v>
      </c>
      <c r="T23" s="23" t="n">
        <f aca="false">T13+T22</f>
        <v>-282872.907062858</v>
      </c>
      <c r="U23" s="23" t="n">
        <f aca="false">U13+U22</f>
        <v>98335.1059194183</v>
      </c>
      <c r="V23" s="23" t="n">
        <f aca="false">V13+V22</f>
        <v>-282872.907062858</v>
      </c>
      <c r="W23" s="23" t="n">
        <f aca="false">W13+W22</f>
        <v>-282872.907062858</v>
      </c>
      <c r="X23" s="23" t="n">
        <f aca="false">X13+X22</f>
        <v>130469.825635216</v>
      </c>
      <c r="Y23" s="23" t="n">
        <f aca="false">Y13+Y22</f>
        <v>1282435.2442252</v>
      </c>
      <c r="Z23" s="23" t="n">
        <f aca="false">Z13+Z22</f>
        <v>136992.720626712</v>
      </c>
      <c r="AA23" s="23" t="n">
        <f aca="false">AA13+AA22</f>
        <v>102979.096838419</v>
      </c>
      <c r="AB23" s="23" t="n">
        <f aca="false">AB13+AB22</f>
        <v>-291980.475249577</v>
      </c>
      <c r="AC23" s="23" t="n">
        <f aca="false">AC13+AC22</f>
        <v>-291980.475249577</v>
      </c>
      <c r="AD23" s="23" t="n">
        <f aca="false">AD13+AD22</f>
        <v>102979.096838419</v>
      </c>
      <c r="AE23" s="23" t="n">
        <f aca="false">AE13+AE22</f>
        <v>-291980.475249577</v>
      </c>
      <c r="AF23" s="23" t="n">
        <f aca="false">AF13+AF22</f>
        <v>-291980.475249577</v>
      </c>
      <c r="AG23" s="23" t="n">
        <f aca="false">AG13+AG22</f>
        <v>102979.096838419</v>
      </c>
      <c r="AH23" s="23" t="n">
        <f aca="false">AH13+AH22</f>
        <v>-291980.475249577</v>
      </c>
      <c r="AI23" s="23" t="n">
        <f aca="false">AI13+AI22</f>
        <v>-291980.475249577</v>
      </c>
      <c r="AJ23" s="23" t="n">
        <f aca="false">AJ13+AJ22</f>
        <v>133538.922518127</v>
      </c>
      <c r="AK23" s="23" t="n">
        <f aca="false">AK13+AK22</f>
        <v>1323647.36275887</v>
      </c>
      <c r="AL23" s="23" t="n">
        <f aca="false">AL13+AL22</f>
        <v>135623.986819582</v>
      </c>
      <c r="AM23" s="23" t="n">
        <f aca="false">AM13+AM22</f>
        <v>116082.300351311</v>
      </c>
      <c r="AN23" s="23" t="n">
        <f aca="false">AN13+AN22</f>
        <v>-291954.8791598</v>
      </c>
      <c r="AO23" s="23" t="n">
        <f aca="false">AO13+AO22</f>
        <v>-291954.8791598</v>
      </c>
      <c r="AP23" s="23" t="n">
        <f aca="false">AP13+AP22</f>
        <v>116082.300351311</v>
      </c>
      <c r="AQ23" s="23" t="n">
        <f aca="false">AQ13+AQ22</f>
        <v>-291954.8791598</v>
      </c>
      <c r="AR23" s="23" t="n">
        <f aca="false">AR13+AR22</f>
        <v>-291954.8791598</v>
      </c>
      <c r="AS23" s="23" t="n">
        <f aca="false">AS13+AS22</f>
        <v>116082.300351311</v>
      </c>
      <c r="AT23" s="23" t="n">
        <f aca="false">AT13+AT22</f>
        <v>-291954.8791598</v>
      </c>
      <c r="AU23" s="23" t="n">
        <f aca="false">AU13+AU22</f>
        <v>-291954.8791598</v>
      </c>
      <c r="AV23" s="23" t="n">
        <f aca="false">AV13+AV22</f>
        <v>145985.245348821</v>
      </c>
      <c r="AW23" s="23" t="n">
        <f aca="false">AW13+AW22</f>
        <v>1373416.82644826</v>
      </c>
      <c r="AX23" s="23" t="n">
        <f aca="false">AX13+AX22</f>
        <v>128238.194135152</v>
      </c>
      <c r="AY23" s="23" t="n">
        <f aca="false">AY13+AY22</f>
        <v>122608.477021677</v>
      </c>
      <c r="AZ23" s="23" t="n">
        <f aca="false">AZ13+AZ22</f>
        <v>-298225.207926704</v>
      </c>
      <c r="BA23" s="23" t="n">
        <f aca="false">BA13+BA22</f>
        <v>-298225.207926704</v>
      </c>
      <c r="BB23" s="23" t="n">
        <f aca="false">BB13+BB22</f>
        <v>122608.477021677</v>
      </c>
      <c r="BC23" s="23" t="n">
        <f aca="false">BC13+BC22</f>
        <v>-298225.207926704</v>
      </c>
      <c r="BD23" s="23" t="n">
        <f aca="false">BD13+BD22</f>
        <v>-298225.207926704</v>
      </c>
      <c r="BE23" s="23" t="n">
        <f aca="false">BE13+BE22</f>
        <v>122608.477021677</v>
      </c>
      <c r="BF23" s="23" t="n">
        <f aca="false">BF13+BF22</f>
        <v>-298225.207926704</v>
      </c>
      <c r="BG23" s="23" t="n">
        <f aca="false">BG13+BG22</f>
        <v>-298225.207926704</v>
      </c>
      <c r="BH23" s="23" t="n">
        <f aca="false">BH13+BH22</f>
        <v>161944.736739769</v>
      </c>
      <c r="BI23" s="23" t="n">
        <f aca="false">BI13+BI22</f>
        <v>1438473.58108319</v>
      </c>
    </row>
    <row r="25" customFormat="false" ht="15" hidden="false" customHeight="false" outlineLevel="0" collapsed="false">
      <c r="A25" s="6" t="s">
        <v>548</v>
      </c>
      <c r="B25" s="11" t="n">
        <f aca="false">-(SUMPRODUCT((Inputs!$B$20:$B$29="Capital")*(Inputs!$C$20:$C$29="Y")*(INDEX(Inputs!$E$20:$I$29,0,B$3)-INDEX(Inputs!$J$20:$N$29,0,B$3))*((Inputs!$D$20:$D$29=B$4)+(Inputs!$D$20:$D$29=0)/12))+SUMPRODUCT(INDEX(Inputs!$C$36:$G$41,0,B$3)*((Inputs!$B$36:$B$41=B$4)+(Inputs!$B$36:$B$41=0)/12)))</f>
        <v>-0</v>
      </c>
      <c r="C25" s="11" t="n">
        <f aca="false">-(SUMPRODUCT((Inputs!$B$20:$B$29="Capital")*(Inputs!$C$20:$C$29="Y")*(INDEX(Inputs!$E$20:$I$29,0,C$3)-INDEX(Inputs!$J$20:$N$29,0,C$3))*((Inputs!$D$20:$D$29=C$4)+(Inputs!$D$20:$D$29=0)/12))+SUMPRODUCT(INDEX(Inputs!$C$36:$G$41,0,C$3)*((Inputs!$B$36:$B$41=C$4)+(Inputs!$B$36:$B$41=0)/12)))</f>
        <v>-0</v>
      </c>
      <c r="D25" s="11" t="n">
        <f aca="false">-(SUMPRODUCT((Inputs!$B$20:$B$29="Capital")*(Inputs!$C$20:$C$29="Y")*(INDEX(Inputs!$E$20:$I$29,0,D$3)-INDEX(Inputs!$J$20:$N$29,0,D$3))*((Inputs!$D$20:$D$29=D$4)+(Inputs!$D$20:$D$29=0)/12))+SUMPRODUCT(INDEX(Inputs!$C$36:$G$41,0,D$3)*((Inputs!$B$36:$B$41=D$4)+(Inputs!$B$36:$B$41=0)/12)))</f>
        <v>-0</v>
      </c>
      <c r="E25" s="11" t="n">
        <f aca="false">-(SUMPRODUCT((Inputs!$B$20:$B$29="Capital")*(Inputs!$C$20:$C$29="Y")*(INDEX(Inputs!$E$20:$I$29,0,E$3)-INDEX(Inputs!$J$20:$N$29,0,E$3))*((Inputs!$D$20:$D$29=E$4)+(Inputs!$D$20:$D$29=0)/12))+SUMPRODUCT(INDEX(Inputs!$C$36:$G$41,0,E$3)*((Inputs!$B$36:$B$41=E$4)+(Inputs!$B$36:$B$41=0)/12)))</f>
        <v>-0</v>
      </c>
      <c r="F25" s="11" t="n">
        <f aca="false">-(SUMPRODUCT((Inputs!$B$20:$B$29="Capital")*(Inputs!$C$20:$C$29="Y")*(INDEX(Inputs!$E$20:$I$29,0,F$3)-INDEX(Inputs!$J$20:$N$29,0,F$3))*((Inputs!$D$20:$D$29=F$4)+(Inputs!$D$20:$D$29=0)/12))+SUMPRODUCT(INDEX(Inputs!$C$36:$G$41,0,F$3)*((Inputs!$B$36:$B$41=F$4)+(Inputs!$B$36:$B$41=0)/12)))</f>
        <v>-0</v>
      </c>
      <c r="G25" s="11" t="n">
        <f aca="false">-(SUMPRODUCT((Inputs!$B$20:$B$29="Capital")*(Inputs!$C$20:$C$29="Y")*(INDEX(Inputs!$E$20:$I$29,0,G$3)-INDEX(Inputs!$J$20:$N$29,0,G$3))*((Inputs!$D$20:$D$29=G$4)+(Inputs!$D$20:$D$29=0)/12))+SUMPRODUCT(INDEX(Inputs!$C$36:$G$41,0,G$3)*((Inputs!$B$36:$B$41=G$4)+(Inputs!$B$36:$B$41=0)/12)))</f>
        <v>-0</v>
      </c>
      <c r="H25" s="11" t="n">
        <f aca="false">-(SUMPRODUCT((Inputs!$B$20:$B$29="Capital")*(Inputs!$C$20:$C$29="Y")*(INDEX(Inputs!$E$20:$I$29,0,H$3)-INDEX(Inputs!$J$20:$N$29,0,H$3))*((Inputs!$D$20:$D$29=H$4)+(Inputs!$D$20:$D$29=0)/12))+SUMPRODUCT(INDEX(Inputs!$C$36:$G$41,0,H$3)*((Inputs!$B$36:$B$41=H$4)+(Inputs!$B$36:$B$41=0)/12)))</f>
        <v>-0</v>
      </c>
      <c r="I25" s="11" t="n">
        <f aca="false">-(SUMPRODUCT((Inputs!$B$20:$B$29="Capital")*(Inputs!$C$20:$C$29="Y")*(INDEX(Inputs!$E$20:$I$29,0,I$3)-INDEX(Inputs!$J$20:$N$29,0,I$3))*((Inputs!$D$20:$D$29=I$4)+(Inputs!$D$20:$D$29=0)/12))+SUMPRODUCT(INDEX(Inputs!$C$36:$G$41,0,I$3)*((Inputs!$B$36:$B$41=I$4)+(Inputs!$B$36:$B$41=0)/12)))</f>
        <v>-0</v>
      </c>
      <c r="J25" s="11" t="n">
        <f aca="false">-(SUMPRODUCT((Inputs!$B$20:$B$29="Capital")*(Inputs!$C$20:$C$29="Y")*(INDEX(Inputs!$E$20:$I$29,0,J$3)-INDEX(Inputs!$J$20:$N$29,0,J$3))*((Inputs!$D$20:$D$29=J$4)+(Inputs!$D$20:$D$29=0)/12))+SUMPRODUCT(INDEX(Inputs!$C$36:$G$41,0,J$3)*((Inputs!$B$36:$B$41=J$4)+(Inputs!$B$36:$B$41=0)/12)))</f>
        <v>-0</v>
      </c>
      <c r="K25" s="11" t="n">
        <f aca="false">-(SUMPRODUCT((Inputs!$B$20:$B$29="Capital")*(Inputs!$C$20:$C$29="Y")*(INDEX(Inputs!$E$20:$I$29,0,K$3)-INDEX(Inputs!$J$20:$N$29,0,K$3))*((Inputs!$D$20:$D$29=K$4)+(Inputs!$D$20:$D$29=0)/12))+SUMPRODUCT(INDEX(Inputs!$C$36:$G$41,0,K$3)*((Inputs!$B$36:$B$41=K$4)+(Inputs!$B$36:$B$41=0)/12)))</f>
        <v>-0</v>
      </c>
      <c r="L25" s="11" t="n">
        <f aca="false">-(SUMPRODUCT((Inputs!$B$20:$B$29="Capital")*(Inputs!$C$20:$C$29="Y")*(INDEX(Inputs!$E$20:$I$29,0,L$3)-INDEX(Inputs!$J$20:$N$29,0,L$3))*((Inputs!$D$20:$D$29=L$4)+(Inputs!$D$20:$D$29=0)/12))+SUMPRODUCT(INDEX(Inputs!$C$36:$G$41,0,L$3)*((Inputs!$B$36:$B$41=L$4)+(Inputs!$B$36:$B$41=0)/12)))</f>
        <v>-0</v>
      </c>
      <c r="M25" s="11" t="n">
        <f aca="false">-(SUMPRODUCT((Inputs!$B$20:$B$29="Capital")*(Inputs!$C$20:$C$29="Y")*(INDEX(Inputs!$E$20:$I$29,0,M$3)-INDEX(Inputs!$J$20:$N$29,0,M$3))*((Inputs!$D$20:$D$29=M$4)+(Inputs!$D$20:$D$29=0)/12))+SUMPRODUCT(INDEX(Inputs!$C$36:$G$41,0,M$3)*((Inputs!$B$36:$B$41=M$4)+(Inputs!$B$36:$B$41=0)/12)))</f>
        <v>-0</v>
      </c>
      <c r="N25" s="11" t="n">
        <f aca="false">-(SUMPRODUCT((Inputs!$B$20:$B$29="Capital")*(Inputs!$C$20:$C$29="Y")*(INDEX(Inputs!$E$20:$I$29,0,N$3)-INDEX(Inputs!$J$20:$N$29,0,N$3))*((Inputs!$D$20:$D$29=N$4)+(Inputs!$D$20:$D$29=0)/12))+SUMPRODUCT(INDEX(Inputs!$C$36:$G$41,0,N$3)*((Inputs!$B$36:$B$41=N$4)+(Inputs!$B$36:$B$41=0)/12)))</f>
        <v>-0</v>
      </c>
      <c r="O25" s="11" t="n">
        <f aca="false">-(SUMPRODUCT((Inputs!$B$20:$B$29="Capital")*(Inputs!$C$20:$C$29="Y")*(INDEX(Inputs!$E$20:$I$29,0,O$3)-INDEX(Inputs!$J$20:$N$29,0,O$3))*((Inputs!$D$20:$D$29=O$4)+(Inputs!$D$20:$D$29=0)/12))+SUMPRODUCT(INDEX(Inputs!$C$36:$G$41,0,O$3)*((Inputs!$B$36:$B$41=O$4)+(Inputs!$B$36:$B$41=0)/12)))</f>
        <v>-0</v>
      </c>
      <c r="P25" s="11" t="n">
        <f aca="false">-(SUMPRODUCT((Inputs!$B$20:$B$29="Capital")*(Inputs!$C$20:$C$29="Y")*(INDEX(Inputs!$E$20:$I$29,0,P$3)-INDEX(Inputs!$J$20:$N$29,0,P$3))*((Inputs!$D$20:$D$29=P$4)+(Inputs!$D$20:$D$29=0)/12))+SUMPRODUCT(INDEX(Inputs!$C$36:$G$41,0,P$3)*((Inputs!$B$36:$B$41=P$4)+(Inputs!$B$36:$B$41=0)/12)))</f>
        <v>-0</v>
      </c>
      <c r="Q25" s="11" t="n">
        <f aca="false">-(SUMPRODUCT((Inputs!$B$20:$B$29="Capital")*(Inputs!$C$20:$C$29="Y")*(INDEX(Inputs!$E$20:$I$29,0,Q$3)-INDEX(Inputs!$J$20:$N$29,0,Q$3))*((Inputs!$D$20:$D$29=Q$4)+(Inputs!$D$20:$D$29=0)/12))+SUMPRODUCT(INDEX(Inputs!$C$36:$G$41,0,Q$3)*((Inputs!$B$36:$B$41=Q$4)+(Inputs!$B$36:$B$41=0)/12)))</f>
        <v>-0</v>
      </c>
      <c r="R25" s="11" t="n">
        <f aca="false">-(SUMPRODUCT((Inputs!$B$20:$B$29="Capital")*(Inputs!$C$20:$C$29="Y")*(INDEX(Inputs!$E$20:$I$29,0,R$3)-INDEX(Inputs!$J$20:$N$29,0,R$3))*((Inputs!$D$20:$D$29=R$4)+(Inputs!$D$20:$D$29=0)/12))+SUMPRODUCT(INDEX(Inputs!$C$36:$G$41,0,R$3)*((Inputs!$B$36:$B$41=R$4)+(Inputs!$B$36:$B$41=0)/12)))</f>
        <v>-0</v>
      </c>
      <c r="S25" s="11" t="n">
        <f aca="false">-(SUMPRODUCT((Inputs!$B$20:$B$29="Capital")*(Inputs!$C$20:$C$29="Y")*(INDEX(Inputs!$E$20:$I$29,0,S$3)-INDEX(Inputs!$J$20:$N$29,0,S$3))*((Inputs!$D$20:$D$29=S$4)+(Inputs!$D$20:$D$29=0)/12))+SUMPRODUCT(INDEX(Inputs!$C$36:$G$41,0,S$3)*((Inputs!$B$36:$B$41=S$4)+(Inputs!$B$36:$B$41=0)/12)))</f>
        <v>-0</v>
      </c>
      <c r="T25" s="11" t="n">
        <f aca="false">-(SUMPRODUCT((Inputs!$B$20:$B$29="Capital")*(Inputs!$C$20:$C$29="Y")*(INDEX(Inputs!$E$20:$I$29,0,T$3)-INDEX(Inputs!$J$20:$N$29,0,T$3))*((Inputs!$D$20:$D$29=T$4)+(Inputs!$D$20:$D$29=0)/12))+SUMPRODUCT(INDEX(Inputs!$C$36:$G$41,0,T$3)*((Inputs!$B$36:$B$41=T$4)+(Inputs!$B$36:$B$41=0)/12)))</f>
        <v>-0</v>
      </c>
      <c r="U25" s="11" t="n">
        <f aca="false">-(SUMPRODUCT((Inputs!$B$20:$B$29="Capital")*(Inputs!$C$20:$C$29="Y")*(INDEX(Inputs!$E$20:$I$29,0,U$3)-INDEX(Inputs!$J$20:$N$29,0,U$3))*((Inputs!$D$20:$D$29=U$4)+(Inputs!$D$20:$D$29=0)/12))+SUMPRODUCT(INDEX(Inputs!$C$36:$G$41,0,U$3)*((Inputs!$B$36:$B$41=U$4)+(Inputs!$B$36:$B$41=0)/12)))</f>
        <v>-0</v>
      </c>
      <c r="V25" s="11" t="n">
        <f aca="false">-(SUMPRODUCT((Inputs!$B$20:$B$29="Capital")*(Inputs!$C$20:$C$29="Y")*(INDEX(Inputs!$E$20:$I$29,0,V$3)-INDEX(Inputs!$J$20:$N$29,0,V$3))*((Inputs!$D$20:$D$29=V$4)+(Inputs!$D$20:$D$29=0)/12))+SUMPRODUCT(INDEX(Inputs!$C$36:$G$41,0,V$3)*((Inputs!$B$36:$B$41=V$4)+(Inputs!$B$36:$B$41=0)/12)))</f>
        <v>-0</v>
      </c>
      <c r="W25" s="11" t="n">
        <f aca="false">-(SUMPRODUCT((Inputs!$B$20:$B$29="Capital")*(Inputs!$C$20:$C$29="Y")*(INDEX(Inputs!$E$20:$I$29,0,W$3)-INDEX(Inputs!$J$20:$N$29,0,W$3))*((Inputs!$D$20:$D$29=W$4)+(Inputs!$D$20:$D$29=0)/12))+SUMPRODUCT(INDEX(Inputs!$C$36:$G$41,0,W$3)*((Inputs!$B$36:$B$41=W$4)+(Inputs!$B$36:$B$41=0)/12)))</f>
        <v>-0</v>
      </c>
      <c r="X25" s="11" t="n">
        <f aca="false">-(SUMPRODUCT((Inputs!$B$20:$B$29="Capital")*(Inputs!$C$20:$C$29="Y")*(INDEX(Inputs!$E$20:$I$29,0,X$3)-INDEX(Inputs!$J$20:$N$29,0,X$3))*((Inputs!$D$20:$D$29=X$4)+(Inputs!$D$20:$D$29=0)/12))+SUMPRODUCT(INDEX(Inputs!$C$36:$G$41,0,X$3)*((Inputs!$B$36:$B$41=X$4)+(Inputs!$B$36:$B$41=0)/12)))</f>
        <v>-0</v>
      </c>
      <c r="Y25" s="11" t="n">
        <f aca="false">-(SUMPRODUCT((Inputs!$B$20:$B$29="Capital")*(Inputs!$C$20:$C$29="Y")*(INDEX(Inputs!$E$20:$I$29,0,Y$3)-INDEX(Inputs!$J$20:$N$29,0,Y$3))*((Inputs!$D$20:$D$29=Y$4)+(Inputs!$D$20:$D$29=0)/12))+SUMPRODUCT(INDEX(Inputs!$C$36:$G$41,0,Y$3)*((Inputs!$B$36:$B$41=Y$4)+(Inputs!$B$36:$B$41=0)/12)))</f>
        <v>-0</v>
      </c>
      <c r="Z25" s="11" t="n">
        <f aca="false">-(SUMPRODUCT((Inputs!$B$20:$B$29="Capital")*(Inputs!$C$20:$C$29="Y")*(INDEX(Inputs!$E$20:$I$29,0,Z$3)-INDEX(Inputs!$J$20:$N$29,0,Z$3))*((Inputs!$D$20:$D$29=Z$4)+(Inputs!$D$20:$D$29=0)/12))+SUMPRODUCT(INDEX(Inputs!$C$36:$G$41,0,Z$3)*((Inputs!$B$36:$B$41=Z$4)+(Inputs!$B$36:$B$41=0)/12)))</f>
        <v>-0</v>
      </c>
      <c r="AA25" s="11" t="n">
        <f aca="false">-(SUMPRODUCT((Inputs!$B$20:$B$29="Capital")*(Inputs!$C$20:$C$29="Y")*(INDEX(Inputs!$E$20:$I$29,0,AA$3)-INDEX(Inputs!$J$20:$N$29,0,AA$3))*((Inputs!$D$20:$D$29=AA$4)+(Inputs!$D$20:$D$29=0)/12))+SUMPRODUCT(INDEX(Inputs!$C$36:$G$41,0,AA$3)*((Inputs!$B$36:$B$41=AA$4)+(Inputs!$B$36:$B$41=0)/12)))</f>
        <v>-0</v>
      </c>
      <c r="AB25" s="11" t="n">
        <f aca="false">-(SUMPRODUCT((Inputs!$B$20:$B$29="Capital")*(Inputs!$C$20:$C$29="Y")*(INDEX(Inputs!$E$20:$I$29,0,AB$3)-INDEX(Inputs!$J$20:$N$29,0,AB$3))*((Inputs!$D$20:$D$29=AB$4)+(Inputs!$D$20:$D$29=0)/12))+SUMPRODUCT(INDEX(Inputs!$C$36:$G$41,0,AB$3)*((Inputs!$B$36:$B$41=AB$4)+(Inputs!$B$36:$B$41=0)/12)))</f>
        <v>-0</v>
      </c>
      <c r="AC25" s="11" t="n">
        <f aca="false">-(SUMPRODUCT((Inputs!$B$20:$B$29="Capital")*(Inputs!$C$20:$C$29="Y")*(INDEX(Inputs!$E$20:$I$29,0,AC$3)-INDEX(Inputs!$J$20:$N$29,0,AC$3))*((Inputs!$D$20:$D$29=AC$4)+(Inputs!$D$20:$D$29=0)/12))+SUMPRODUCT(INDEX(Inputs!$C$36:$G$41,0,AC$3)*((Inputs!$B$36:$B$41=AC$4)+(Inputs!$B$36:$B$41=0)/12)))</f>
        <v>-0</v>
      </c>
      <c r="AD25" s="11" t="n">
        <f aca="false">-(SUMPRODUCT((Inputs!$B$20:$B$29="Capital")*(Inputs!$C$20:$C$29="Y")*(INDEX(Inputs!$E$20:$I$29,0,AD$3)-INDEX(Inputs!$J$20:$N$29,0,AD$3))*((Inputs!$D$20:$D$29=AD$4)+(Inputs!$D$20:$D$29=0)/12))+SUMPRODUCT(INDEX(Inputs!$C$36:$G$41,0,AD$3)*((Inputs!$B$36:$B$41=AD$4)+(Inputs!$B$36:$B$41=0)/12)))</f>
        <v>-0</v>
      </c>
      <c r="AE25" s="11" t="n">
        <f aca="false">-(SUMPRODUCT((Inputs!$B$20:$B$29="Capital")*(Inputs!$C$20:$C$29="Y")*(INDEX(Inputs!$E$20:$I$29,0,AE$3)-INDEX(Inputs!$J$20:$N$29,0,AE$3))*((Inputs!$D$20:$D$29=AE$4)+(Inputs!$D$20:$D$29=0)/12))+SUMPRODUCT(INDEX(Inputs!$C$36:$G$41,0,AE$3)*((Inputs!$B$36:$B$41=AE$4)+(Inputs!$B$36:$B$41=0)/12)))</f>
        <v>-0</v>
      </c>
      <c r="AF25" s="11" t="n">
        <f aca="false">-(SUMPRODUCT((Inputs!$B$20:$B$29="Capital")*(Inputs!$C$20:$C$29="Y")*(INDEX(Inputs!$E$20:$I$29,0,AF$3)-INDEX(Inputs!$J$20:$N$29,0,AF$3))*((Inputs!$D$20:$D$29=AF$4)+(Inputs!$D$20:$D$29=0)/12))+SUMPRODUCT(INDEX(Inputs!$C$36:$G$41,0,AF$3)*((Inputs!$B$36:$B$41=AF$4)+(Inputs!$B$36:$B$41=0)/12)))</f>
        <v>-0</v>
      </c>
      <c r="AG25" s="11" t="n">
        <f aca="false">-(SUMPRODUCT((Inputs!$B$20:$B$29="Capital")*(Inputs!$C$20:$C$29="Y")*(INDEX(Inputs!$E$20:$I$29,0,AG$3)-INDEX(Inputs!$J$20:$N$29,0,AG$3))*((Inputs!$D$20:$D$29=AG$4)+(Inputs!$D$20:$D$29=0)/12))+SUMPRODUCT(INDEX(Inputs!$C$36:$G$41,0,AG$3)*((Inputs!$B$36:$B$41=AG$4)+(Inputs!$B$36:$B$41=0)/12)))</f>
        <v>-0</v>
      </c>
      <c r="AH25" s="11" t="n">
        <f aca="false">-(SUMPRODUCT((Inputs!$B$20:$B$29="Capital")*(Inputs!$C$20:$C$29="Y")*(INDEX(Inputs!$E$20:$I$29,0,AH$3)-INDEX(Inputs!$J$20:$N$29,0,AH$3))*((Inputs!$D$20:$D$29=AH$4)+(Inputs!$D$20:$D$29=0)/12))+SUMPRODUCT(INDEX(Inputs!$C$36:$G$41,0,AH$3)*((Inputs!$B$36:$B$41=AH$4)+(Inputs!$B$36:$B$41=0)/12)))</f>
        <v>-0</v>
      </c>
      <c r="AI25" s="11" t="n">
        <f aca="false">-(SUMPRODUCT((Inputs!$B$20:$B$29="Capital")*(Inputs!$C$20:$C$29="Y")*(INDEX(Inputs!$E$20:$I$29,0,AI$3)-INDEX(Inputs!$J$20:$N$29,0,AI$3))*((Inputs!$D$20:$D$29=AI$4)+(Inputs!$D$20:$D$29=0)/12))+SUMPRODUCT(INDEX(Inputs!$C$36:$G$41,0,AI$3)*((Inputs!$B$36:$B$41=AI$4)+(Inputs!$B$36:$B$41=0)/12)))</f>
        <v>-0</v>
      </c>
      <c r="AJ25" s="11" t="n">
        <f aca="false">-(SUMPRODUCT((Inputs!$B$20:$B$29="Capital")*(Inputs!$C$20:$C$29="Y")*(INDEX(Inputs!$E$20:$I$29,0,AJ$3)-INDEX(Inputs!$J$20:$N$29,0,AJ$3))*((Inputs!$D$20:$D$29=AJ$4)+(Inputs!$D$20:$D$29=0)/12))+SUMPRODUCT(INDEX(Inputs!$C$36:$G$41,0,AJ$3)*((Inputs!$B$36:$B$41=AJ$4)+(Inputs!$B$36:$B$41=0)/12)))</f>
        <v>-0</v>
      </c>
      <c r="AK25" s="11" t="n">
        <f aca="false">-(SUMPRODUCT((Inputs!$B$20:$B$29="Capital")*(Inputs!$C$20:$C$29="Y")*(INDEX(Inputs!$E$20:$I$29,0,AK$3)-INDEX(Inputs!$J$20:$N$29,0,AK$3))*((Inputs!$D$20:$D$29=AK$4)+(Inputs!$D$20:$D$29=0)/12))+SUMPRODUCT(INDEX(Inputs!$C$36:$G$41,0,AK$3)*((Inputs!$B$36:$B$41=AK$4)+(Inputs!$B$36:$B$41=0)/12)))</f>
        <v>-0</v>
      </c>
      <c r="AL25" s="11" t="n">
        <f aca="false">-(SUMPRODUCT((Inputs!$B$20:$B$29="Capital")*(Inputs!$C$20:$C$29="Y")*(INDEX(Inputs!$E$20:$I$29,0,AL$3)-INDEX(Inputs!$J$20:$N$29,0,AL$3))*((Inputs!$D$20:$D$29=AL$4)+(Inputs!$D$20:$D$29=0)/12))+SUMPRODUCT(INDEX(Inputs!$C$36:$G$41,0,AL$3)*((Inputs!$B$36:$B$41=AL$4)+(Inputs!$B$36:$B$41=0)/12)))</f>
        <v>-0</v>
      </c>
      <c r="AM25" s="11" t="n">
        <f aca="false">-(SUMPRODUCT((Inputs!$B$20:$B$29="Capital")*(Inputs!$C$20:$C$29="Y")*(INDEX(Inputs!$E$20:$I$29,0,AM$3)-INDEX(Inputs!$J$20:$N$29,0,AM$3))*((Inputs!$D$20:$D$29=AM$4)+(Inputs!$D$20:$D$29=0)/12))+SUMPRODUCT(INDEX(Inputs!$C$36:$G$41,0,AM$3)*((Inputs!$B$36:$B$41=AM$4)+(Inputs!$B$36:$B$41=0)/12)))</f>
        <v>-0</v>
      </c>
      <c r="AN25" s="11" t="n">
        <f aca="false">-(SUMPRODUCT((Inputs!$B$20:$B$29="Capital")*(Inputs!$C$20:$C$29="Y")*(INDEX(Inputs!$E$20:$I$29,0,AN$3)-INDEX(Inputs!$J$20:$N$29,0,AN$3))*((Inputs!$D$20:$D$29=AN$4)+(Inputs!$D$20:$D$29=0)/12))+SUMPRODUCT(INDEX(Inputs!$C$36:$G$41,0,AN$3)*((Inputs!$B$36:$B$41=AN$4)+(Inputs!$B$36:$B$41=0)/12)))</f>
        <v>-0</v>
      </c>
      <c r="AO25" s="11" t="n">
        <f aca="false">-(SUMPRODUCT((Inputs!$B$20:$B$29="Capital")*(Inputs!$C$20:$C$29="Y")*(INDEX(Inputs!$E$20:$I$29,0,AO$3)-INDEX(Inputs!$J$20:$N$29,0,AO$3))*((Inputs!$D$20:$D$29=AO$4)+(Inputs!$D$20:$D$29=0)/12))+SUMPRODUCT(INDEX(Inputs!$C$36:$G$41,0,AO$3)*((Inputs!$B$36:$B$41=AO$4)+(Inputs!$B$36:$B$41=0)/12)))</f>
        <v>-0</v>
      </c>
      <c r="AP25" s="11" t="n">
        <f aca="false">-(SUMPRODUCT((Inputs!$B$20:$B$29="Capital")*(Inputs!$C$20:$C$29="Y")*(INDEX(Inputs!$E$20:$I$29,0,AP$3)-INDEX(Inputs!$J$20:$N$29,0,AP$3))*((Inputs!$D$20:$D$29=AP$4)+(Inputs!$D$20:$D$29=0)/12))+SUMPRODUCT(INDEX(Inputs!$C$36:$G$41,0,AP$3)*((Inputs!$B$36:$B$41=AP$4)+(Inputs!$B$36:$B$41=0)/12)))</f>
        <v>-0</v>
      </c>
      <c r="AQ25" s="11" t="n">
        <f aca="false">-(SUMPRODUCT((Inputs!$B$20:$B$29="Capital")*(Inputs!$C$20:$C$29="Y")*(INDEX(Inputs!$E$20:$I$29,0,AQ$3)-INDEX(Inputs!$J$20:$N$29,0,AQ$3))*((Inputs!$D$20:$D$29=AQ$4)+(Inputs!$D$20:$D$29=0)/12))+SUMPRODUCT(INDEX(Inputs!$C$36:$G$41,0,AQ$3)*((Inputs!$B$36:$B$41=AQ$4)+(Inputs!$B$36:$B$41=0)/12)))</f>
        <v>-0</v>
      </c>
      <c r="AR25" s="11" t="n">
        <f aca="false">-(SUMPRODUCT((Inputs!$B$20:$B$29="Capital")*(Inputs!$C$20:$C$29="Y")*(INDEX(Inputs!$E$20:$I$29,0,AR$3)-INDEX(Inputs!$J$20:$N$29,0,AR$3))*((Inputs!$D$20:$D$29=AR$4)+(Inputs!$D$20:$D$29=0)/12))+SUMPRODUCT(INDEX(Inputs!$C$36:$G$41,0,AR$3)*((Inputs!$B$36:$B$41=AR$4)+(Inputs!$B$36:$B$41=0)/12)))</f>
        <v>-0</v>
      </c>
      <c r="AS25" s="11" t="n">
        <f aca="false">-(SUMPRODUCT((Inputs!$B$20:$B$29="Capital")*(Inputs!$C$20:$C$29="Y")*(INDEX(Inputs!$E$20:$I$29,0,AS$3)-INDEX(Inputs!$J$20:$N$29,0,AS$3))*((Inputs!$D$20:$D$29=AS$4)+(Inputs!$D$20:$D$29=0)/12))+SUMPRODUCT(INDEX(Inputs!$C$36:$G$41,0,AS$3)*((Inputs!$B$36:$B$41=AS$4)+(Inputs!$B$36:$B$41=0)/12)))</f>
        <v>-0</v>
      </c>
      <c r="AT25" s="11" t="n">
        <f aca="false">-(SUMPRODUCT((Inputs!$B$20:$B$29="Capital")*(Inputs!$C$20:$C$29="Y")*(INDEX(Inputs!$E$20:$I$29,0,AT$3)-INDEX(Inputs!$J$20:$N$29,0,AT$3))*((Inputs!$D$20:$D$29=AT$4)+(Inputs!$D$20:$D$29=0)/12))+SUMPRODUCT(INDEX(Inputs!$C$36:$G$41,0,AT$3)*((Inputs!$B$36:$B$41=AT$4)+(Inputs!$B$36:$B$41=0)/12)))</f>
        <v>-0</v>
      </c>
      <c r="AU25" s="11" t="n">
        <f aca="false">-(SUMPRODUCT((Inputs!$B$20:$B$29="Capital")*(Inputs!$C$20:$C$29="Y")*(INDEX(Inputs!$E$20:$I$29,0,AU$3)-INDEX(Inputs!$J$20:$N$29,0,AU$3))*((Inputs!$D$20:$D$29=AU$4)+(Inputs!$D$20:$D$29=0)/12))+SUMPRODUCT(INDEX(Inputs!$C$36:$G$41,0,AU$3)*((Inputs!$B$36:$B$41=AU$4)+(Inputs!$B$36:$B$41=0)/12)))</f>
        <v>-0</v>
      </c>
      <c r="AV25" s="11" t="n">
        <f aca="false">-(SUMPRODUCT((Inputs!$B$20:$B$29="Capital")*(Inputs!$C$20:$C$29="Y")*(INDEX(Inputs!$E$20:$I$29,0,AV$3)-INDEX(Inputs!$J$20:$N$29,0,AV$3))*((Inputs!$D$20:$D$29=AV$4)+(Inputs!$D$20:$D$29=0)/12))+SUMPRODUCT(INDEX(Inputs!$C$36:$G$41,0,AV$3)*((Inputs!$B$36:$B$41=AV$4)+(Inputs!$B$36:$B$41=0)/12)))</f>
        <v>-0</v>
      </c>
      <c r="AW25" s="11" t="n">
        <f aca="false">-(SUMPRODUCT((Inputs!$B$20:$B$29="Capital")*(Inputs!$C$20:$C$29="Y")*(INDEX(Inputs!$E$20:$I$29,0,AW$3)-INDEX(Inputs!$J$20:$N$29,0,AW$3))*((Inputs!$D$20:$D$29=AW$4)+(Inputs!$D$20:$D$29=0)/12))+SUMPRODUCT(INDEX(Inputs!$C$36:$G$41,0,AW$3)*((Inputs!$B$36:$B$41=AW$4)+(Inputs!$B$36:$B$41=0)/12)))</f>
        <v>-0</v>
      </c>
      <c r="AX25" s="11" t="n">
        <f aca="false">-(SUMPRODUCT((Inputs!$B$20:$B$29="Capital")*(Inputs!$C$20:$C$29="Y")*(INDEX(Inputs!$E$20:$I$29,0,AX$3)-INDEX(Inputs!$J$20:$N$29,0,AX$3))*((Inputs!$D$20:$D$29=AX$4)+(Inputs!$D$20:$D$29=0)/12))+SUMPRODUCT(INDEX(Inputs!$C$36:$G$41,0,AX$3)*((Inputs!$B$36:$B$41=AX$4)+(Inputs!$B$36:$B$41=0)/12)))</f>
        <v>-0</v>
      </c>
      <c r="AY25" s="11" t="n">
        <f aca="false">-(SUMPRODUCT((Inputs!$B$20:$B$29="Capital")*(Inputs!$C$20:$C$29="Y")*(INDEX(Inputs!$E$20:$I$29,0,AY$3)-INDEX(Inputs!$J$20:$N$29,0,AY$3))*((Inputs!$D$20:$D$29=AY$4)+(Inputs!$D$20:$D$29=0)/12))+SUMPRODUCT(INDEX(Inputs!$C$36:$G$41,0,AY$3)*((Inputs!$B$36:$B$41=AY$4)+(Inputs!$B$36:$B$41=0)/12)))</f>
        <v>-0</v>
      </c>
      <c r="AZ25" s="11" t="n">
        <f aca="false">-(SUMPRODUCT((Inputs!$B$20:$B$29="Capital")*(Inputs!$C$20:$C$29="Y")*(INDEX(Inputs!$E$20:$I$29,0,AZ$3)-INDEX(Inputs!$J$20:$N$29,0,AZ$3))*((Inputs!$D$20:$D$29=AZ$4)+(Inputs!$D$20:$D$29=0)/12))+SUMPRODUCT(INDEX(Inputs!$C$36:$G$41,0,AZ$3)*((Inputs!$B$36:$B$41=AZ$4)+(Inputs!$B$36:$B$41=0)/12)))</f>
        <v>-0</v>
      </c>
      <c r="BA25" s="11" t="n">
        <f aca="false">-(SUMPRODUCT((Inputs!$B$20:$B$29="Capital")*(Inputs!$C$20:$C$29="Y")*(INDEX(Inputs!$E$20:$I$29,0,BA$3)-INDEX(Inputs!$J$20:$N$29,0,BA$3))*((Inputs!$D$20:$D$29=BA$4)+(Inputs!$D$20:$D$29=0)/12))+SUMPRODUCT(INDEX(Inputs!$C$36:$G$41,0,BA$3)*((Inputs!$B$36:$B$41=BA$4)+(Inputs!$B$36:$B$41=0)/12)))</f>
        <v>-0</v>
      </c>
      <c r="BB25" s="11" t="n">
        <f aca="false">-(SUMPRODUCT((Inputs!$B$20:$B$29="Capital")*(Inputs!$C$20:$C$29="Y")*(INDEX(Inputs!$E$20:$I$29,0,BB$3)-INDEX(Inputs!$J$20:$N$29,0,BB$3))*((Inputs!$D$20:$D$29=BB$4)+(Inputs!$D$20:$D$29=0)/12))+SUMPRODUCT(INDEX(Inputs!$C$36:$G$41,0,BB$3)*((Inputs!$B$36:$B$41=BB$4)+(Inputs!$B$36:$B$41=0)/12)))</f>
        <v>-0</v>
      </c>
      <c r="BC25" s="11" t="n">
        <f aca="false">-(SUMPRODUCT((Inputs!$B$20:$B$29="Capital")*(Inputs!$C$20:$C$29="Y")*(INDEX(Inputs!$E$20:$I$29,0,BC$3)-INDEX(Inputs!$J$20:$N$29,0,BC$3))*((Inputs!$D$20:$D$29=BC$4)+(Inputs!$D$20:$D$29=0)/12))+SUMPRODUCT(INDEX(Inputs!$C$36:$G$41,0,BC$3)*((Inputs!$B$36:$B$41=BC$4)+(Inputs!$B$36:$B$41=0)/12)))</f>
        <v>-0</v>
      </c>
      <c r="BD25" s="11" t="n">
        <f aca="false">-(SUMPRODUCT((Inputs!$B$20:$B$29="Capital")*(Inputs!$C$20:$C$29="Y")*(INDEX(Inputs!$E$20:$I$29,0,BD$3)-INDEX(Inputs!$J$20:$N$29,0,BD$3))*((Inputs!$D$20:$D$29=BD$4)+(Inputs!$D$20:$D$29=0)/12))+SUMPRODUCT(INDEX(Inputs!$C$36:$G$41,0,BD$3)*((Inputs!$B$36:$B$41=BD$4)+(Inputs!$B$36:$B$41=0)/12)))</f>
        <v>-0</v>
      </c>
      <c r="BE25" s="11" t="n">
        <f aca="false">-(SUMPRODUCT((Inputs!$B$20:$B$29="Capital")*(Inputs!$C$20:$C$29="Y")*(INDEX(Inputs!$E$20:$I$29,0,BE$3)-INDEX(Inputs!$J$20:$N$29,0,BE$3))*((Inputs!$D$20:$D$29=BE$4)+(Inputs!$D$20:$D$29=0)/12))+SUMPRODUCT(INDEX(Inputs!$C$36:$G$41,0,BE$3)*((Inputs!$B$36:$B$41=BE$4)+(Inputs!$B$36:$B$41=0)/12)))</f>
        <v>-0</v>
      </c>
      <c r="BF25" s="11" t="n">
        <f aca="false">-(SUMPRODUCT((Inputs!$B$20:$B$29="Capital")*(Inputs!$C$20:$C$29="Y")*(INDEX(Inputs!$E$20:$I$29,0,BF$3)-INDEX(Inputs!$J$20:$N$29,0,BF$3))*((Inputs!$D$20:$D$29=BF$4)+(Inputs!$D$20:$D$29=0)/12))+SUMPRODUCT(INDEX(Inputs!$C$36:$G$41,0,BF$3)*((Inputs!$B$36:$B$41=BF$4)+(Inputs!$B$36:$B$41=0)/12)))</f>
        <v>-0</v>
      </c>
      <c r="BG25" s="11" t="n">
        <f aca="false">-(SUMPRODUCT((Inputs!$B$20:$B$29="Capital")*(Inputs!$C$20:$C$29="Y")*(INDEX(Inputs!$E$20:$I$29,0,BG$3)-INDEX(Inputs!$J$20:$N$29,0,BG$3))*((Inputs!$D$20:$D$29=BG$4)+(Inputs!$D$20:$D$29=0)/12))+SUMPRODUCT(INDEX(Inputs!$C$36:$G$41,0,BG$3)*((Inputs!$B$36:$B$41=BG$4)+(Inputs!$B$36:$B$41=0)/12)))</f>
        <v>-0</v>
      </c>
      <c r="BH25" s="11" t="n">
        <f aca="false">-(SUMPRODUCT((Inputs!$B$20:$B$29="Capital")*(Inputs!$C$20:$C$29="Y")*(INDEX(Inputs!$E$20:$I$29,0,BH$3)-INDEX(Inputs!$J$20:$N$29,0,BH$3))*((Inputs!$D$20:$D$29=BH$4)+(Inputs!$D$20:$D$29=0)/12))+SUMPRODUCT(INDEX(Inputs!$C$36:$G$41,0,BH$3)*((Inputs!$B$36:$B$41=BH$4)+(Inputs!$B$36:$B$41=0)/12)))</f>
        <v>-0</v>
      </c>
      <c r="BI25" s="11" t="n">
        <f aca="false">-(SUMPRODUCT((Inputs!$B$20:$B$29="Capital")*(Inputs!$C$20:$C$29="Y")*(INDEX(Inputs!$E$20:$I$29,0,BI$3)-INDEX(Inputs!$J$20:$N$29,0,BI$3))*((Inputs!$D$20:$D$29=BI$4)+(Inputs!$D$20:$D$29=0)/12))+SUMPRODUCT(INDEX(Inputs!$C$36:$G$41,0,BI$3)*((Inputs!$B$36:$B$41=BI$4)+(Inputs!$B$36:$B$41=0)/12)))</f>
        <v>-0</v>
      </c>
    </row>
    <row r="26" customFormat="false" ht="15" hidden="false" customHeight="false" outlineLevel="0" collapsed="false">
      <c r="A26" s="6" t="s">
        <v>549</v>
      </c>
      <c r="B26" s="11" t="n">
        <f aca="false">-(INDEX(Inputs!$C$46:$G$46,B$3)*((Inputs!$B$46=B$4)+(Inputs!$B$46=0)/12)+INDEX(Inputs!$C$47:$G$47,B$3)*((Inputs!$B$47=B$4)+(Inputs!$B$47=0)/12))</f>
        <v>-0</v>
      </c>
      <c r="C26" s="11" t="n">
        <f aca="false">-(INDEX(Inputs!$C$46:$G$46,C$3)*((Inputs!$B$46=C$4)+(Inputs!$B$46=0)/12)+INDEX(Inputs!$C$47:$G$47,C$3)*((Inputs!$B$47=C$4)+(Inputs!$B$47=0)/12))</f>
        <v>-0</v>
      </c>
      <c r="D26" s="11" t="n">
        <f aca="false">-(INDEX(Inputs!$C$46:$G$46,D$3)*((Inputs!$B$46=D$4)+(Inputs!$B$46=0)/12)+INDEX(Inputs!$C$47:$G$47,D$3)*((Inputs!$B$47=D$4)+(Inputs!$B$47=0)/12))</f>
        <v>-0</v>
      </c>
      <c r="E26" s="11" t="n">
        <f aca="false">-(INDEX(Inputs!$C$46:$G$46,E$3)*((Inputs!$B$46=E$4)+(Inputs!$B$46=0)/12)+INDEX(Inputs!$C$47:$G$47,E$3)*((Inputs!$B$47=E$4)+(Inputs!$B$47=0)/12))</f>
        <v>-0</v>
      </c>
      <c r="F26" s="11" t="n">
        <f aca="false">-(INDEX(Inputs!$C$46:$G$46,F$3)*((Inputs!$B$46=F$4)+(Inputs!$B$46=0)/12)+INDEX(Inputs!$C$47:$G$47,F$3)*((Inputs!$B$47=F$4)+(Inputs!$B$47=0)/12))</f>
        <v>-0</v>
      </c>
      <c r="G26" s="11" t="n">
        <f aca="false">-(INDEX(Inputs!$C$46:$G$46,G$3)*((Inputs!$B$46=G$4)+(Inputs!$B$46=0)/12)+INDEX(Inputs!$C$47:$G$47,G$3)*((Inputs!$B$47=G$4)+(Inputs!$B$47=0)/12))</f>
        <v>-0</v>
      </c>
      <c r="H26" s="11" t="n">
        <f aca="false">-(INDEX(Inputs!$C$46:$G$46,H$3)*((Inputs!$B$46=H$4)+(Inputs!$B$46=0)/12)+INDEX(Inputs!$C$47:$G$47,H$3)*((Inputs!$B$47=H$4)+(Inputs!$B$47=0)/12))</f>
        <v>-0</v>
      </c>
      <c r="I26" s="11" t="n">
        <f aca="false">-(INDEX(Inputs!$C$46:$G$46,I$3)*((Inputs!$B$46=I$4)+(Inputs!$B$46=0)/12)+INDEX(Inputs!$C$47:$G$47,I$3)*((Inputs!$B$47=I$4)+(Inputs!$B$47=0)/12))</f>
        <v>-0</v>
      </c>
      <c r="J26" s="11" t="n">
        <f aca="false">-(INDEX(Inputs!$C$46:$G$46,J$3)*((Inputs!$B$46=J$4)+(Inputs!$B$46=0)/12)+INDEX(Inputs!$C$47:$G$47,J$3)*((Inputs!$B$47=J$4)+(Inputs!$B$47=0)/12))</f>
        <v>-0</v>
      </c>
      <c r="K26" s="11" t="n">
        <f aca="false">-(INDEX(Inputs!$C$46:$G$46,K$3)*((Inputs!$B$46=K$4)+(Inputs!$B$46=0)/12)+INDEX(Inputs!$C$47:$G$47,K$3)*((Inputs!$B$47=K$4)+(Inputs!$B$47=0)/12))</f>
        <v>-0</v>
      </c>
      <c r="L26" s="11" t="n">
        <f aca="false">-(INDEX(Inputs!$C$46:$G$46,L$3)*((Inputs!$B$46=L$4)+(Inputs!$B$46=0)/12)+INDEX(Inputs!$C$47:$G$47,L$3)*((Inputs!$B$47=L$4)+(Inputs!$B$47=0)/12))</f>
        <v>-0</v>
      </c>
      <c r="M26" s="11" t="n">
        <f aca="false">-(INDEX(Inputs!$C$46:$G$46,M$3)*((Inputs!$B$46=M$4)+(Inputs!$B$46=0)/12)+INDEX(Inputs!$C$47:$G$47,M$3)*((Inputs!$B$47=M$4)+(Inputs!$B$47=0)/12))</f>
        <v>-0</v>
      </c>
      <c r="N26" s="11" t="n">
        <f aca="false">-(INDEX(Inputs!$C$46:$G$46,N$3)*((Inputs!$B$46=N$4)+(Inputs!$B$46=0)/12)+INDEX(Inputs!$C$47:$G$47,N$3)*((Inputs!$B$47=N$4)+(Inputs!$B$47=0)/12))</f>
        <v>-0</v>
      </c>
      <c r="O26" s="11" t="n">
        <f aca="false">-(INDEX(Inputs!$C$46:$G$46,O$3)*((Inputs!$B$46=O$4)+(Inputs!$B$46=0)/12)+INDEX(Inputs!$C$47:$G$47,O$3)*((Inputs!$B$47=O$4)+(Inputs!$B$47=0)/12))</f>
        <v>-0</v>
      </c>
      <c r="P26" s="11" t="n">
        <f aca="false">-(INDEX(Inputs!$C$46:$G$46,P$3)*((Inputs!$B$46=P$4)+(Inputs!$B$46=0)/12)+INDEX(Inputs!$C$47:$G$47,P$3)*((Inputs!$B$47=P$4)+(Inputs!$B$47=0)/12))</f>
        <v>-0</v>
      </c>
      <c r="Q26" s="11" t="n">
        <f aca="false">-(INDEX(Inputs!$C$46:$G$46,Q$3)*((Inputs!$B$46=Q$4)+(Inputs!$B$46=0)/12)+INDEX(Inputs!$C$47:$G$47,Q$3)*((Inputs!$B$47=Q$4)+(Inputs!$B$47=0)/12))</f>
        <v>-0</v>
      </c>
      <c r="R26" s="11" t="n">
        <f aca="false">-(INDEX(Inputs!$C$46:$G$46,R$3)*((Inputs!$B$46=R$4)+(Inputs!$B$46=0)/12)+INDEX(Inputs!$C$47:$G$47,R$3)*((Inputs!$B$47=R$4)+(Inputs!$B$47=0)/12))</f>
        <v>-0</v>
      </c>
      <c r="S26" s="11" t="n">
        <f aca="false">-(INDEX(Inputs!$C$46:$G$46,S$3)*((Inputs!$B$46=S$4)+(Inputs!$B$46=0)/12)+INDEX(Inputs!$C$47:$G$47,S$3)*((Inputs!$B$47=S$4)+(Inputs!$B$47=0)/12))</f>
        <v>-0</v>
      </c>
      <c r="T26" s="11" t="n">
        <f aca="false">-(INDEX(Inputs!$C$46:$G$46,T$3)*((Inputs!$B$46=T$4)+(Inputs!$B$46=0)/12)+INDEX(Inputs!$C$47:$G$47,T$3)*((Inputs!$B$47=T$4)+(Inputs!$B$47=0)/12))</f>
        <v>-0</v>
      </c>
      <c r="U26" s="11" t="n">
        <f aca="false">-(INDEX(Inputs!$C$46:$G$46,U$3)*((Inputs!$B$46=U$4)+(Inputs!$B$46=0)/12)+INDEX(Inputs!$C$47:$G$47,U$3)*((Inputs!$B$47=U$4)+(Inputs!$B$47=0)/12))</f>
        <v>-0</v>
      </c>
      <c r="V26" s="11" t="n">
        <f aca="false">-(INDEX(Inputs!$C$46:$G$46,V$3)*((Inputs!$B$46=V$4)+(Inputs!$B$46=0)/12)+INDEX(Inputs!$C$47:$G$47,V$3)*((Inputs!$B$47=V$4)+(Inputs!$B$47=0)/12))</f>
        <v>-0</v>
      </c>
      <c r="W26" s="11" t="n">
        <f aca="false">-(INDEX(Inputs!$C$46:$G$46,W$3)*((Inputs!$B$46=W$4)+(Inputs!$B$46=0)/12)+INDEX(Inputs!$C$47:$G$47,W$3)*((Inputs!$B$47=W$4)+(Inputs!$B$47=0)/12))</f>
        <v>-0</v>
      </c>
      <c r="X26" s="11" t="n">
        <f aca="false">-(INDEX(Inputs!$C$46:$G$46,X$3)*((Inputs!$B$46=X$4)+(Inputs!$B$46=0)/12)+INDEX(Inputs!$C$47:$G$47,X$3)*((Inputs!$B$47=X$4)+(Inputs!$B$47=0)/12))</f>
        <v>-0</v>
      </c>
      <c r="Y26" s="11" t="n">
        <f aca="false">-(INDEX(Inputs!$C$46:$G$46,Y$3)*((Inputs!$B$46=Y$4)+(Inputs!$B$46=0)/12)+INDEX(Inputs!$C$47:$G$47,Y$3)*((Inputs!$B$47=Y$4)+(Inputs!$B$47=0)/12))</f>
        <v>-0</v>
      </c>
      <c r="Z26" s="11" t="n">
        <f aca="false">-(INDEX(Inputs!$C$46:$G$46,Z$3)*((Inputs!$B$46=Z$4)+(Inputs!$B$46=0)/12)+INDEX(Inputs!$C$47:$G$47,Z$3)*((Inputs!$B$47=Z$4)+(Inputs!$B$47=0)/12))</f>
        <v>-0</v>
      </c>
      <c r="AA26" s="11" t="n">
        <f aca="false">-(INDEX(Inputs!$C$46:$G$46,AA$3)*((Inputs!$B$46=AA$4)+(Inputs!$B$46=0)/12)+INDEX(Inputs!$C$47:$G$47,AA$3)*((Inputs!$B$47=AA$4)+(Inputs!$B$47=0)/12))</f>
        <v>-0</v>
      </c>
      <c r="AB26" s="11" t="n">
        <f aca="false">-(INDEX(Inputs!$C$46:$G$46,AB$3)*((Inputs!$B$46=AB$4)+(Inputs!$B$46=0)/12)+INDEX(Inputs!$C$47:$G$47,AB$3)*((Inputs!$B$47=AB$4)+(Inputs!$B$47=0)/12))</f>
        <v>-0</v>
      </c>
      <c r="AC26" s="11" t="n">
        <f aca="false">-(INDEX(Inputs!$C$46:$G$46,AC$3)*((Inputs!$B$46=AC$4)+(Inputs!$B$46=0)/12)+INDEX(Inputs!$C$47:$G$47,AC$3)*((Inputs!$B$47=AC$4)+(Inputs!$B$47=0)/12))</f>
        <v>-0</v>
      </c>
      <c r="AD26" s="11" t="n">
        <f aca="false">-(INDEX(Inputs!$C$46:$G$46,AD$3)*((Inputs!$B$46=AD$4)+(Inputs!$B$46=0)/12)+INDEX(Inputs!$C$47:$G$47,AD$3)*((Inputs!$B$47=AD$4)+(Inputs!$B$47=0)/12))</f>
        <v>-0</v>
      </c>
      <c r="AE26" s="11" t="n">
        <f aca="false">-(INDEX(Inputs!$C$46:$G$46,AE$3)*((Inputs!$B$46=AE$4)+(Inputs!$B$46=0)/12)+INDEX(Inputs!$C$47:$G$47,AE$3)*((Inputs!$B$47=AE$4)+(Inputs!$B$47=0)/12))</f>
        <v>-0</v>
      </c>
      <c r="AF26" s="11" t="n">
        <f aca="false">-(INDEX(Inputs!$C$46:$G$46,AF$3)*((Inputs!$B$46=AF$4)+(Inputs!$B$46=0)/12)+INDEX(Inputs!$C$47:$G$47,AF$3)*((Inputs!$B$47=AF$4)+(Inputs!$B$47=0)/12))</f>
        <v>-0</v>
      </c>
      <c r="AG26" s="11" t="n">
        <f aca="false">-(INDEX(Inputs!$C$46:$G$46,AG$3)*((Inputs!$B$46=AG$4)+(Inputs!$B$46=0)/12)+INDEX(Inputs!$C$47:$G$47,AG$3)*((Inputs!$B$47=AG$4)+(Inputs!$B$47=0)/12))</f>
        <v>-0</v>
      </c>
      <c r="AH26" s="11" t="n">
        <f aca="false">-(INDEX(Inputs!$C$46:$G$46,AH$3)*((Inputs!$B$46=AH$4)+(Inputs!$B$46=0)/12)+INDEX(Inputs!$C$47:$G$47,AH$3)*((Inputs!$B$47=AH$4)+(Inputs!$B$47=0)/12))</f>
        <v>-0</v>
      </c>
      <c r="AI26" s="11" t="n">
        <f aca="false">-(INDEX(Inputs!$C$46:$G$46,AI$3)*((Inputs!$B$46=AI$4)+(Inputs!$B$46=0)/12)+INDEX(Inputs!$C$47:$G$47,AI$3)*((Inputs!$B$47=AI$4)+(Inputs!$B$47=0)/12))</f>
        <v>-0</v>
      </c>
      <c r="AJ26" s="11" t="n">
        <f aca="false">-(INDEX(Inputs!$C$46:$G$46,AJ$3)*((Inputs!$B$46=AJ$4)+(Inputs!$B$46=0)/12)+INDEX(Inputs!$C$47:$G$47,AJ$3)*((Inputs!$B$47=AJ$4)+(Inputs!$B$47=0)/12))</f>
        <v>-0</v>
      </c>
      <c r="AK26" s="11" t="n">
        <f aca="false">-(INDEX(Inputs!$C$46:$G$46,AK$3)*((Inputs!$B$46=AK$4)+(Inputs!$B$46=0)/12)+INDEX(Inputs!$C$47:$G$47,AK$3)*((Inputs!$B$47=AK$4)+(Inputs!$B$47=0)/12))</f>
        <v>-0</v>
      </c>
      <c r="AL26" s="11" t="n">
        <f aca="false">-(INDEX(Inputs!$C$46:$G$46,AL$3)*((Inputs!$B$46=AL$4)+(Inputs!$B$46=0)/12)+INDEX(Inputs!$C$47:$G$47,AL$3)*((Inputs!$B$47=AL$4)+(Inputs!$B$47=0)/12))</f>
        <v>-0</v>
      </c>
      <c r="AM26" s="11" t="n">
        <f aca="false">-(INDEX(Inputs!$C$46:$G$46,AM$3)*((Inputs!$B$46=AM$4)+(Inputs!$B$46=0)/12)+INDEX(Inputs!$C$47:$G$47,AM$3)*((Inputs!$B$47=AM$4)+(Inputs!$B$47=0)/12))</f>
        <v>-0</v>
      </c>
      <c r="AN26" s="11" t="n">
        <f aca="false">-(INDEX(Inputs!$C$46:$G$46,AN$3)*((Inputs!$B$46=AN$4)+(Inputs!$B$46=0)/12)+INDEX(Inputs!$C$47:$G$47,AN$3)*((Inputs!$B$47=AN$4)+(Inputs!$B$47=0)/12))</f>
        <v>-0</v>
      </c>
      <c r="AO26" s="11" t="n">
        <f aca="false">-(INDEX(Inputs!$C$46:$G$46,AO$3)*((Inputs!$B$46=AO$4)+(Inputs!$B$46=0)/12)+INDEX(Inputs!$C$47:$G$47,AO$3)*((Inputs!$B$47=AO$4)+(Inputs!$B$47=0)/12))</f>
        <v>-0</v>
      </c>
      <c r="AP26" s="11" t="n">
        <f aca="false">-(INDEX(Inputs!$C$46:$G$46,AP$3)*((Inputs!$B$46=AP$4)+(Inputs!$B$46=0)/12)+INDEX(Inputs!$C$47:$G$47,AP$3)*((Inputs!$B$47=AP$4)+(Inputs!$B$47=0)/12))</f>
        <v>-0</v>
      </c>
      <c r="AQ26" s="11" t="n">
        <f aca="false">-(INDEX(Inputs!$C$46:$G$46,AQ$3)*((Inputs!$B$46=AQ$4)+(Inputs!$B$46=0)/12)+INDEX(Inputs!$C$47:$G$47,AQ$3)*((Inputs!$B$47=AQ$4)+(Inputs!$B$47=0)/12))</f>
        <v>-0</v>
      </c>
      <c r="AR26" s="11" t="n">
        <f aca="false">-(INDEX(Inputs!$C$46:$G$46,AR$3)*((Inputs!$B$46=AR$4)+(Inputs!$B$46=0)/12)+INDEX(Inputs!$C$47:$G$47,AR$3)*((Inputs!$B$47=AR$4)+(Inputs!$B$47=0)/12))</f>
        <v>-0</v>
      </c>
      <c r="AS26" s="11" t="n">
        <f aca="false">-(INDEX(Inputs!$C$46:$G$46,AS$3)*((Inputs!$B$46=AS$4)+(Inputs!$B$46=0)/12)+INDEX(Inputs!$C$47:$G$47,AS$3)*((Inputs!$B$47=AS$4)+(Inputs!$B$47=0)/12))</f>
        <v>-0</v>
      </c>
      <c r="AT26" s="11" t="n">
        <f aca="false">-(INDEX(Inputs!$C$46:$G$46,AT$3)*((Inputs!$B$46=AT$4)+(Inputs!$B$46=0)/12)+INDEX(Inputs!$C$47:$G$47,AT$3)*((Inputs!$B$47=AT$4)+(Inputs!$B$47=0)/12))</f>
        <v>-0</v>
      </c>
      <c r="AU26" s="11" t="n">
        <f aca="false">-(INDEX(Inputs!$C$46:$G$46,AU$3)*((Inputs!$B$46=AU$4)+(Inputs!$B$46=0)/12)+INDEX(Inputs!$C$47:$G$47,AU$3)*((Inputs!$B$47=AU$4)+(Inputs!$B$47=0)/12))</f>
        <v>-0</v>
      </c>
      <c r="AV26" s="11" t="n">
        <f aca="false">-(INDEX(Inputs!$C$46:$G$46,AV$3)*((Inputs!$B$46=AV$4)+(Inputs!$B$46=0)/12)+INDEX(Inputs!$C$47:$G$47,AV$3)*((Inputs!$B$47=AV$4)+(Inputs!$B$47=0)/12))</f>
        <v>-0</v>
      </c>
      <c r="AW26" s="11" t="n">
        <f aca="false">-(INDEX(Inputs!$C$46:$G$46,AW$3)*((Inputs!$B$46=AW$4)+(Inputs!$B$46=0)/12)+INDEX(Inputs!$C$47:$G$47,AW$3)*((Inputs!$B$47=AW$4)+(Inputs!$B$47=0)/12))</f>
        <v>-0</v>
      </c>
      <c r="AX26" s="11" t="n">
        <f aca="false">-(INDEX(Inputs!$C$46:$G$46,AX$3)*((Inputs!$B$46=AX$4)+(Inputs!$B$46=0)/12)+INDEX(Inputs!$C$47:$G$47,AX$3)*((Inputs!$B$47=AX$4)+(Inputs!$B$47=0)/12))</f>
        <v>-0</v>
      </c>
      <c r="AY26" s="11" t="n">
        <f aca="false">-(INDEX(Inputs!$C$46:$G$46,AY$3)*((Inputs!$B$46=AY$4)+(Inputs!$B$46=0)/12)+INDEX(Inputs!$C$47:$G$47,AY$3)*((Inputs!$B$47=AY$4)+(Inputs!$B$47=0)/12))</f>
        <v>-0</v>
      </c>
      <c r="AZ26" s="11" t="n">
        <f aca="false">-(INDEX(Inputs!$C$46:$G$46,AZ$3)*((Inputs!$B$46=AZ$4)+(Inputs!$B$46=0)/12)+INDEX(Inputs!$C$47:$G$47,AZ$3)*((Inputs!$B$47=AZ$4)+(Inputs!$B$47=0)/12))</f>
        <v>-0</v>
      </c>
      <c r="BA26" s="11" t="n">
        <f aca="false">-(INDEX(Inputs!$C$46:$G$46,BA$3)*((Inputs!$B$46=BA$4)+(Inputs!$B$46=0)/12)+INDEX(Inputs!$C$47:$G$47,BA$3)*((Inputs!$B$47=BA$4)+(Inputs!$B$47=0)/12))</f>
        <v>-0</v>
      </c>
      <c r="BB26" s="11" t="n">
        <f aca="false">-(INDEX(Inputs!$C$46:$G$46,BB$3)*((Inputs!$B$46=BB$4)+(Inputs!$B$46=0)/12)+INDEX(Inputs!$C$47:$G$47,BB$3)*((Inputs!$B$47=BB$4)+(Inputs!$B$47=0)/12))</f>
        <v>-0</v>
      </c>
      <c r="BC26" s="11" t="n">
        <f aca="false">-(INDEX(Inputs!$C$46:$G$46,BC$3)*((Inputs!$B$46=BC$4)+(Inputs!$B$46=0)/12)+INDEX(Inputs!$C$47:$G$47,BC$3)*((Inputs!$B$47=BC$4)+(Inputs!$B$47=0)/12))</f>
        <v>-0</v>
      </c>
      <c r="BD26" s="11" t="n">
        <f aca="false">-(INDEX(Inputs!$C$46:$G$46,BD$3)*((Inputs!$B$46=BD$4)+(Inputs!$B$46=0)/12)+INDEX(Inputs!$C$47:$G$47,BD$3)*((Inputs!$B$47=BD$4)+(Inputs!$B$47=0)/12))</f>
        <v>-0</v>
      </c>
      <c r="BE26" s="11" t="n">
        <f aca="false">-(INDEX(Inputs!$C$46:$G$46,BE$3)*((Inputs!$B$46=BE$4)+(Inputs!$B$46=0)/12)+INDEX(Inputs!$C$47:$G$47,BE$3)*((Inputs!$B$47=BE$4)+(Inputs!$B$47=0)/12))</f>
        <v>-0</v>
      </c>
      <c r="BF26" s="11" t="n">
        <f aca="false">-(INDEX(Inputs!$C$46:$G$46,BF$3)*((Inputs!$B$46=BF$4)+(Inputs!$B$46=0)/12)+INDEX(Inputs!$C$47:$G$47,BF$3)*((Inputs!$B$47=BF$4)+(Inputs!$B$47=0)/12))</f>
        <v>-0</v>
      </c>
      <c r="BG26" s="11" t="n">
        <f aca="false">-(INDEX(Inputs!$C$46:$G$46,BG$3)*((Inputs!$B$46=BG$4)+(Inputs!$B$46=0)/12)+INDEX(Inputs!$C$47:$G$47,BG$3)*((Inputs!$B$47=BG$4)+(Inputs!$B$47=0)/12))</f>
        <v>-0</v>
      </c>
      <c r="BH26" s="11" t="n">
        <f aca="false">-(INDEX(Inputs!$C$46:$G$46,BH$3)*((Inputs!$B$46=BH$4)+(Inputs!$B$46=0)/12)+INDEX(Inputs!$C$47:$G$47,BH$3)*((Inputs!$B$47=BH$4)+(Inputs!$B$47=0)/12))</f>
        <v>-0</v>
      </c>
      <c r="BI26" s="11" t="n">
        <f aca="false">-(INDEX(Inputs!$C$46:$G$46,BI$3)*((Inputs!$B$46=BI$4)+(Inputs!$B$46=0)/12)+INDEX(Inputs!$C$47:$G$47,BI$3)*((Inputs!$B$47=BI$4)+(Inputs!$B$47=0)/12))</f>
        <v>-0</v>
      </c>
    </row>
    <row r="28" customFormat="false" ht="15" hidden="false" customHeight="false" outlineLevel="0" collapsed="false">
      <c r="A28" s="6" t="s">
        <v>550</v>
      </c>
      <c r="B28" s="11" t="n">
        <f aca="false">Inputs!$D$58</f>
        <v>1163777.81</v>
      </c>
      <c r="C28" s="11" t="n">
        <f aca="false">B31</f>
        <v>1442743.47231884</v>
      </c>
      <c r="D28" s="11" t="n">
        <f aca="false">C31</f>
        <v>1518064.38333333</v>
      </c>
      <c r="E28" s="11" t="n">
        <f aca="false">D31</f>
        <v>1234730.04565217</v>
      </c>
      <c r="F28" s="11" t="n">
        <f aca="false">E31</f>
        <v>951395.707971015</v>
      </c>
      <c r="G28" s="11" t="n">
        <f aca="false">F31</f>
        <v>1026716.61898551</v>
      </c>
      <c r="H28" s="11" t="n">
        <f aca="false">G31</f>
        <v>743382.281304348</v>
      </c>
      <c r="I28" s="11" t="n">
        <f aca="false">H31</f>
        <v>460047.943623189</v>
      </c>
      <c r="J28" s="11" t="n">
        <f aca="false">I31</f>
        <v>535368.854637682</v>
      </c>
      <c r="K28" s="11" t="n">
        <f aca="false">J31</f>
        <v>252034.516956522</v>
      </c>
      <c r="L28" s="11" t="n">
        <f aca="false">K31</f>
        <v>-31299.8207246371</v>
      </c>
      <c r="M28" s="11" t="n">
        <f aca="false">L31</f>
        <v>96722.515167973</v>
      </c>
      <c r="N28" s="11" t="n">
        <f aca="false">M31</f>
        <v>1336601.55559222</v>
      </c>
      <c r="O28" s="11" t="n">
        <f aca="false">N31</f>
        <v>1533538.4423438</v>
      </c>
      <c r="P28" s="11" t="n">
        <f aca="false">O31</f>
        <v>1631873.54826322</v>
      </c>
      <c r="Q28" s="11" t="n">
        <f aca="false">P31</f>
        <v>1349000.64120036</v>
      </c>
      <c r="R28" s="11" t="n">
        <f aca="false">Q31</f>
        <v>1066127.7341375</v>
      </c>
      <c r="S28" s="11" t="n">
        <f aca="false">R31</f>
        <v>1164462.84005692</v>
      </c>
      <c r="T28" s="11" t="n">
        <f aca="false">S31</f>
        <v>881589.932994061</v>
      </c>
      <c r="U28" s="11" t="n">
        <f aca="false">T31</f>
        <v>598717.025931203</v>
      </c>
      <c r="V28" s="11" t="n">
        <f aca="false">U31</f>
        <v>697052.131850621</v>
      </c>
      <c r="W28" s="11" t="n">
        <f aca="false">V31</f>
        <v>414179.224787763</v>
      </c>
      <c r="X28" s="11" t="n">
        <f aca="false">W31</f>
        <v>131306.317724906</v>
      </c>
      <c r="Y28" s="11" t="n">
        <f aca="false">X31</f>
        <v>261776.143360121</v>
      </c>
      <c r="Z28" s="11" t="n">
        <f aca="false">Y31</f>
        <v>1544211.38758533</v>
      </c>
      <c r="AA28" s="11" t="n">
        <f aca="false">Z31</f>
        <v>1681204.10821204</v>
      </c>
      <c r="AB28" s="11" t="n">
        <f aca="false">AA31</f>
        <v>1784183.20505046</v>
      </c>
      <c r="AC28" s="11" t="n">
        <f aca="false">AB31</f>
        <v>1492202.72980088</v>
      </c>
      <c r="AD28" s="11" t="n">
        <f aca="false">AC31</f>
        <v>1200222.2545513</v>
      </c>
      <c r="AE28" s="11" t="n">
        <f aca="false">AD31</f>
        <v>1303201.35138972</v>
      </c>
      <c r="AF28" s="11" t="n">
        <f aca="false">AE31</f>
        <v>1011220.87614014</v>
      </c>
      <c r="AG28" s="11" t="n">
        <f aca="false">AF31</f>
        <v>719240.400890566</v>
      </c>
      <c r="AH28" s="11" t="n">
        <f aca="false">AG31</f>
        <v>822219.497728985</v>
      </c>
      <c r="AI28" s="11" t="n">
        <f aca="false">AH31</f>
        <v>530239.022479408</v>
      </c>
      <c r="AJ28" s="11" t="n">
        <f aca="false">AI31</f>
        <v>238258.547229831</v>
      </c>
      <c r="AK28" s="11" t="n">
        <f aca="false">AJ31</f>
        <v>371797.469747958</v>
      </c>
      <c r="AL28" s="11" t="n">
        <f aca="false">AK31</f>
        <v>1695444.83250682</v>
      </c>
      <c r="AM28" s="11" t="n">
        <f aca="false">AL31</f>
        <v>1831068.81932641</v>
      </c>
      <c r="AN28" s="11" t="n">
        <f aca="false">AM31</f>
        <v>1947151.11967772</v>
      </c>
      <c r="AO28" s="11" t="n">
        <f aca="false">AN31</f>
        <v>1655196.24051792</v>
      </c>
      <c r="AP28" s="11" t="n">
        <f aca="false">AO31</f>
        <v>1363241.36135812</v>
      </c>
      <c r="AQ28" s="11" t="n">
        <f aca="false">AP31</f>
        <v>1479323.66170943</v>
      </c>
      <c r="AR28" s="11" t="n">
        <f aca="false">AQ31</f>
        <v>1187368.78254963</v>
      </c>
      <c r="AS28" s="11" t="n">
        <f aca="false">AR31</f>
        <v>895413.903389827</v>
      </c>
      <c r="AT28" s="11" t="n">
        <f aca="false">AS31</f>
        <v>1011496.20374114</v>
      </c>
      <c r="AU28" s="11" t="n">
        <f aca="false">AT31</f>
        <v>719541.324581338</v>
      </c>
      <c r="AV28" s="11" t="n">
        <f aca="false">AU31</f>
        <v>427586.445421538</v>
      </c>
      <c r="AW28" s="11" t="n">
        <f aca="false">AV31</f>
        <v>573571.690770359</v>
      </c>
      <c r="AX28" s="11" t="n">
        <f aca="false">AW31</f>
        <v>1946988.51721862</v>
      </c>
      <c r="AY28" s="11" t="n">
        <f aca="false">AX31</f>
        <v>2075226.71135378</v>
      </c>
      <c r="AZ28" s="11" t="n">
        <f aca="false">AY31</f>
        <v>2197835.18837545</v>
      </c>
      <c r="BA28" s="11" t="n">
        <f aca="false">AZ31</f>
        <v>1899609.98044875</v>
      </c>
      <c r="BB28" s="11" t="n">
        <f aca="false">BA31</f>
        <v>1601384.77252205</v>
      </c>
      <c r="BC28" s="11" t="n">
        <f aca="false">BB31</f>
        <v>1723993.24954372</v>
      </c>
      <c r="BD28" s="11" t="n">
        <f aca="false">BC31</f>
        <v>1425768.04161702</v>
      </c>
      <c r="BE28" s="11" t="n">
        <f aca="false">BD31</f>
        <v>1127542.83369032</v>
      </c>
      <c r="BF28" s="11" t="n">
        <f aca="false">BE31</f>
        <v>1250151.31071199</v>
      </c>
      <c r="BG28" s="11" t="n">
        <f aca="false">BF31</f>
        <v>951926.102785289</v>
      </c>
      <c r="BH28" s="11" t="n">
        <f aca="false">BG31</f>
        <v>653700.894858586</v>
      </c>
      <c r="BI28" s="11" t="n">
        <f aca="false">BH31</f>
        <v>815645.631598355</v>
      </c>
    </row>
    <row r="29" customFormat="false" ht="15" hidden="false" customHeight="false" outlineLevel="0" collapsed="false">
      <c r="A29" s="6" t="s">
        <v>551</v>
      </c>
      <c r="B29" s="11" t="n">
        <f aca="false">B23</f>
        <v>278965.662318841</v>
      </c>
      <c r="C29" s="11" t="n">
        <f aca="false">C23</f>
        <v>75320.9110144927</v>
      </c>
      <c r="D29" s="11" t="n">
        <f aca="false">D23</f>
        <v>-283334.337681159</v>
      </c>
      <c r="E29" s="11" t="n">
        <f aca="false">E23</f>
        <v>-283334.337681159</v>
      </c>
      <c r="F29" s="11" t="n">
        <f aca="false">F23</f>
        <v>75320.9110144927</v>
      </c>
      <c r="G29" s="11" t="n">
        <f aca="false">G23</f>
        <v>-283334.337681159</v>
      </c>
      <c r="H29" s="11" t="n">
        <f aca="false">H23</f>
        <v>-283334.337681159</v>
      </c>
      <c r="I29" s="11" t="n">
        <f aca="false">I23</f>
        <v>75320.9110144927</v>
      </c>
      <c r="J29" s="11" t="n">
        <f aca="false">J23</f>
        <v>-283334.337681159</v>
      </c>
      <c r="K29" s="11" t="n">
        <f aca="false">K23</f>
        <v>-283334.337681159</v>
      </c>
      <c r="L29" s="11" t="n">
        <f aca="false">L23</f>
        <v>128022.33589261</v>
      </c>
      <c r="M29" s="11" t="n">
        <f aca="false">M23</f>
        <v>1239879.04042425</v>
      </c>
      <c r="N29" s="11" t="n">
        <f aca="false">N23</f>
        <v>196936.886751575</v>
      </c>
      <c r="O29" s="11" t="n">
        <f aca="false">O23</f>
        <v>98335.1059194183</v>
      </c>
      <c r="P29" s="11" t="n">
        <f aca="false">P23</f>
        <v>-282872.907062858</v>
      </c>
      <c r="Q29" s="11" t="n">
        <f aca="false">Q23</f>
        <v>-282872.907062858</v>
      </c>
      <c r="R29" s="11" t="n">
        <f aca="false">R23</f>
        <v>98335.1059194183</v>
      </c>
      <c r="S29" s="11" t="n">
        <f aca="false">S23</f>
        <v>-282872.907062858</v>
      </c>
      <c r="T29" s="11" t="n">
        <f aca="false">T23</f>
        <v>-282872.907062858</v>
      </c>
      <c r="U29" s="11" t="n">
        <f aca="false">U23</f>
        <v>98335.1059194183</v>
      </c>
      <c r="V29" s="11" t="n">
        <f aca="false">V23</f>
        <v>-282872.907062858</v>
      </c>
      <c r="W29" s="11" t="n">
        <f aca="false">W23</f>
        <v>-282872.907062858</v>
      </c>
      <c r="X29" s="11" t="n">
        <f aca="false">X23</f>
        <v>130469.825635216</v>
      </c>
      <c r="Y29" s="11" t="n">
        <f aca="false">Y23</f>
        <v>1282435.2442252</v>
      </c>
      <c r="Z29" s="11" t="n">
        <f aca="false">Z23</f>
        <v>136992.720626712</v>
      </c>
      <c r="AA29" s="11" t="n">
        <f aca="false">AA23</f>
        <v>102979.096838419</v>
      </c>
      <c r="AB29" s="11" t="n">
        <f aca="false">AB23</f>
        <v>-291980.475249577</v>
      </c>
      <c r="AC29" s="11" t="n">
        <f aca="false">AC23</f>
        <v>-291980.475249577</v>
      </c>
      <c r="AD29" s="11" t="n">
        <f aca="false">AD23</f>
        <v>102979.096838419</v>
      </c>
      <c r="AE29" s="11" t="n">
        <f aca="false">AE23</f>
        <v>-291980.475249577</v>
      </c>
      <c r="AF29" s="11" t="n">
        <f aca="false">AF23</f>
        <v>-291980.475249577</v>
      </c>
      <c r="AG29" s="11" t="n">
        <f aca="false">AG23</f>
        <v>102979.096838419</v>
      </c>
      <c r="AH29" s="11" t="n">
        <f aca="false">AH23</f>
        <v>-291980.475249577</v>
      </c>
      <c r="AI29" s="11" t="n">
        <f aca="false">AI23</f>
        <v>-291980.475249577</v>
      </c>
      <c r="AJ29" s="11" t="n">
        <f aca="false">AJ23</f>
        <v>133538.922518127</v>
      </c>
      <c r="AK29" s="11" t="n">
        <f aca="false">AK23</f>
        <v>1323647.36275887</v>
      </c>
      <c r="AL29" s="11" t="n">
        <f aca="false">AL23</f>
        <v>135623.986819582</v>
      </c>
      <c r="AM29" s="11" t="n">
        <f aca="false">AM23</f>
        <v>116082.300351311</v>
      </c>
      <c r="AN29" s="11" t="n">
        <f aca="false">AN23</f>
        <v>-291954.8791598</v>
      </c>
      <c r="AO29" s="11" t="n">
        <f aca="false">AO23</f>
        <v>-291954.8791598</v>
      </c>
      <c r="AP29" s="11" t="n">
        <f aca="false">AP23</f>
        <v>116082.300351311</v>
      </c>
      <c r="AQ29" s="11" t="n">
        <f aca="false">AQ23</f>
        <v>-291954.8791598</v>
      </c>
      <c r="AR29" s="11" t="n">
        <f aca="false">AR23</f>
        <v>-291954.8791598</v>
      </c>
      <c r="AS29" s="11" t="n">
        <f aca="false">AS23</f>
        <v>116082.300351311</v>
      </c>
      <c r="AT29" s="11" t="n">
        <f aca="false">AT23</f>
        <v>-291954.8791598</v>
      </c>
      <c r="AU29" s="11" t="n">
        <f aca="false">AU23</f>
        <v>-291954.8791598</v>
      </c>
      <c r="AV29" s="11" t="n">
        <f aca="false">AV23</f>
        <v>145985.245348821</v>
      </c>
      <c r="AW29" s="11" t="n">
        <f aca="false">AW23</f>
        <v>1373416.82644826</v>
      </c>
      <c r="AX29" s="11" t="n">
        <f aca="false">AX23</f>
        <v>128238.194135152</v>
      </c>
      <c r="AY29" s="11" t="n">
        <f aca="false">AY23</f>
        <v>122608.477021677</v>
      </c>
      <c r="AZ29" s="11" t="n">
        <f aca="false">AZ23</f>
        <v>-298225.207926704</v>
      </c>
      <c r="BA29" s="11" t="n">
        <f aca="false">BA23</f>
        <v>-298225.207926704</v>
      </c>
      <c r="BB29" s="11" t="n">
        <f aca="false">BB23</f>
        <v>122608.477021677</v>
      </c>
      <c r="BC29" s="11" t="n">
        <f aca="false">BC23</f>
        <v>-298225.207926704</v>
      </c>
      <c r="BD29" s="11" t="n">
        <f aca="false">BD23</f>
        <v>-298225.207926704</v>
      </c>
      <c r="BE29" s="11" t="n">
        <f aca="false">BE23</f>
        <v>122608.477021677</v>
      </c>
      <c r="BF29" s="11" t="n">
        <f aca="false">BF23</f>
        <v>-298225.207926704</v>
      </c>
      <c r="BG29" s="11" t="n">
        <f aca="false">BG23</f>
        <v>-298225.207926704</v>
      </c>
      <c r="BH29" s="11" t="n">
        <f aca="false">BH23</f>
        <v>161944.736739769</v>
      </c>
      <c r="BI29" s="11" t="n">
        <f aca="false">BI23</f>
        <v>1438473.58108319</v>
      </c>
    </row>
    <row r="30" customFormat="false" ht="15" hidden="false" customHeight="false" outlineLevel="0" collapsed="false">
      <c r="A30" s="6" t="s">
        <v>552</v>
      </c>
      <c r="B30" s="11" t="n">
        <f aca="false">B25+B26</f>
        <v>-0</v>
      </c>
      <c r="C30" s="11" t="n">
        <f aca="false">C25+C26</f>
        <v>-0</v>
      </c>
      <c r="D30" s="11" t="n">
        <f aca="false">D25+D26</f>
        <v>-0</v>
      </c>
      <c r="E30" s="11" t="n">
        <f aca="false">E25+E26</f>
        <v>-0</v>
      </c>
      <c r="F30" s="11" t="n">
        <f aca="false">F25+F26</f>
        <v>-0</v>
      </c>
      <c r="G30" s="11" t="n">
        <f aca="false">G25+G26</f>
        <v>-0</v>
      </c>
      <c r="H30" s="11" t="n">
        <f aca="false">H25+H26</f>
        <v>-0</v>
      </c>
      <c r="I30" s="11" t="n">
        <f aca="false">I25+I26</f>
        <v>-0</v>
      </c>
      <c r="J30" s="11" t="n">
        <f aca="false">J25+J26</f>
        <v>-0</v>
      </c>
      <c r="K30" s="11" t="n">
        <f aca="false">K25+K26</f>
        <v>-0</v>
      </c>
      <c r="L30" s="11" t="n">
        <f aca="false">L25+L26</f>
        <v>-0</v>
      </c>
      <c r="M30" s="11" t="n">
        <f aca="false">M25+M26</f>
        <v>-0</v>
      </c>
      <c r="N30" s="11" t="n">
        <f aca="false">N25+N26</f>
        <v>-0</v>
      </c>
      <c r="O30" s="11" t="n">
        <f aca="false">O25+O26</f>
        <v>-0</v>
      </c>
      <c r="P30" s="11" t="n">
        <f aca="false">P25+P26</f>
        <v>-0</v>
      </c>
      <c r="Q30" s="11" t="n">
        <f aca="false">Q25+Q26</f>
        <v>-0</v>
      </c>
      <c r="R30" s="11" t="n">
        <f aca="false">R25+R26</f>
        <v>-0</v>
      </c>
      <c r="S30" s="11" t="n">
        <f aca="false">S25+S26</f>
        <v>-0</v>
      </c>
      <c r="T30" s="11" t="n">
        <f aca="false">T25+T26</f>
        <v>-0</v>
      </c>
      <c r="U30" s="11" t="n">
        <f aca="false">U25+U26</f>
        <v>-0</v>
      </c>
      <c r="V30" s="11" t="n">
        <f aca="false">V25+V26</f>
        <v>-0</v>
      </c>
      <c r="W30" s="11" t="n">
        <f aca="false">W25+W26</f>
        <v>-0</v>
      </c>
      <c r="X30" s="11" t="n">
        <f aca="false">X25+X26</f>
        <v>-0</v>
      </c>
      <c r="Y30" s="11" t="n">
        <f aca="false">Y25+Y26</f>
        <v>-0</v>
      </c>
      <c r="Z30" s="11" t="n">
        <f aca="false">Z25+Z26</f>
        <v>-0</v>
      </c>
      <c r="AA30" s="11" t="n">
        <f aca="false">AA25+AA26</f>
        <v>-0</v>
      </c>
      <c r="AB30" s="11" t="n">
        <f aca="false">AB25+AB26</f>
        <v>-0</v>
      </c>
      <c r="AC30" s="11" t="n">
        <f aca="false">AC25+AC26</f>
        <v>-0</v>
      </c>
      <c r="AD30" s="11" t="n">
        <f aca="false">AD25+AD26</f>
        <v>-0</v>
      </c>
      <c r="AE30" s="11" t="n">
        <f aca="false">AE25+AE26</f>
        <v>-0</v>
      </c>
      <c r="AF30" s="11" t="n">
        <f aca="false">AF25+AF26</f>
        <v>-0</v>
      </c>
      <c r="AG30" s="11" t="n">
        <f aca="false">AG25+AG26</f>
        <v>-0</v>
      </c>
      <c r="AH30" s="11" t="n">
        <f aca="false">AH25+AH26</f>
        <v>-0</v>
      </c>
      <c r="AI30" s="11" t="n">
        <f aca="false">AI25+AI26</f>
        <v>-0</v>
      </c>
      <c r="AJ30" s="11" t="n">
        <f aca="false">AJ25+AJ26</f>
        <v>-0</v>
      </c>
      <c r="AK30" s="11" t="n">
        <f aca="false">AK25+AK26</f>
        <v>-0</v>
      </c>
      <c r="AL30" s="11" t="n">
        <f aca="false">AL25+AL26</f>
        <v>-0</v>
      </c>
      <c r="AM30" s="11" t="n">
        <f aca="false">AM25+AM26</f>
        <v>-0</v>
      </c>
      <c r="AN30" s="11" t="n">
        <f aca="false">AN25+AN26</f>
        <v>-0</v>
      </c>
      <c r="AO30" s="11" t="n">
        <f aca="false">AO25+AO26</f>
        <v>-0</v>
      </c>
      <c r="AP30" s="11" t="n">
        <f aca="false">AP25+AP26</f>
        <v>-0</v>
      </c>
      <c r="AQ30" s="11" t="n">
        <f aca="false">AQ25+AQ26</f>
        <v>-0</v>
      </c>
      <c r="AR30" s="11" t="n">
        <f aca="false">AR25+AR26</f>
        <v>-0</v>
      </c>
      <c r="AS30" s="11" t="n">
        <f aca="false">AS25+AS26</f>
        <v>-0</v>
      </c>
      <c r="AT30" s="11" t="n">
        <f aca="false">AT25+AT26</f>
        <v>-0</v>
      </c>
      <c r="AU30" s="11" t="n">
        <f aca="false">AU25+AU26</f>
        <v>-0</v>
      </c>
      <c r="AV30" s="11" t="n">
        <f aca="false">AV25+AV26</f>
        <v>-0</v>
      </c>
      <c r="AW30" s="11" t="n">
        <f aca="false">AW25+AW26</f>
        <v>-0</v>
      </c>
      <c r="AX30" s="11" t="n">
        <f aca="false">AX25+AX26</f>
        <v>-0</v>
      </c>
      <c r="AY30" s="11" t="n">
        <f aca="false">AY25+AY26</f>
        <v>-0</v>
      </c>
      <c r="AZ30" s="11" t="n">
        <f aca="false">AZ25+AZ26</f>
        <v>-0</v>
      </c>
      <c r="BA30" s="11" t="n">
        <f aca="false">BA25+BA26</f>
        <v>-0</v>
      </c>
      <c r="BB30" s="11" t="n">
        <f aca="false">BB25+BB26</f>
        <v>-0</v>
      </c>
      <c r="BC30" s="11" t="n">
        <f aca="false">BC25+BC26</f>
        <v>-0</v>
      </c>
      <c r="BD30" s="11" t="n">
        <f aca="false">BD25+BD26</f>
        <v>-0</v>
      </c>
      <c r="BE30" s="11" t="n">
        <f aca="false">BE25+BE26</f>
        <v>-0</v>
      </c>
      <c r="BF30" s="11" t="n">
        <f aca="false">BF25+BF26</f>
        <v>-0</v>
      </c>
      <c r="BG30" s="11" t="n">
        <f aca="false">BG25+BG26</f>
        <v>-0</v>
      </c>
      <c r="BH30" s="11" t="n">
        <f aca="false">BH25+BH26</f>
        <v>-0</v>
      </c>
      <c r="BI30" s="11" t="n">
        <f aca="false">BI25+BI26</f>
        <v>-0</v>
      </c>
    </row>
    <row r="31" customFormat="false" ht="15" hidden="false" customHeight="false" outlineLevel="0" collapsed="false">
      <c r="A31" s="12" t="s">
        <v>553</v>
      </c>
      <c r="B31" s="13" t="n">
        <f aca="false">B28+B29+B30</f>
        <v>1442743.47231884</v>
      </c>
      <c r="C31" s="13" t="n">
        <f aca="false">C28+C29+C30</f>
        <v>1518064.38333333</v>
      </c>
      <c r="D31" s="13" t="n">
        <f aca="false">D28+D29+D30</f>
        <v>1234730.04565217</v>
      </c>
      <c r="E31" s="13" t="n">
        <f aca="false">E28+E29+E30</f>
        <v>951395.707971015</v>
      </c>
      <c r="F31" s="13" t="n">
        <f aca="false">F28+F29+F30</f>
        <v>1026716.61898551</v>
      </c>
      <c r="G31" s="13" t="n">
        <f aca="false">G28+G29+G30</f>
        <v>743382.281304348</v>
      </c>
      <c r="H31" s="13" t="n">
        <f aca="false">H28+H29+H30</f>
        <v>460047.943623189</v>
      </c>
      <c r="I31" s="13" t="n">
        <f aca="false">I28+I29+I30</f>
        <v>535368.854637682</v>
      </c>
      <c r="J31" s="13" t="n">
        <f aca="false">J28+J29+J30</f>
        <v>252034.516956522</v>
      </c>
      <c r="K31" s="13" t="n">
        <f aca="false">K28+K29+K30</f>
        <v>-31299.8207246371</v>
      </c>
      <c r="L31" s="13" t="n">
        <f aca="false">L28+L29+L30</f>
        <v>96722.515167973</v>
      </c>
      <c r="M31" s="13" t="n">
        <f aca="false">M28+M29+M30</f>
        <v>1336601.55559222</v>
      </c>
      <c r="N31" s="13" t="n">
        <f aca="false">N28+N29+N30</f>
        <v>1533538.4423438</v>
      </c>
      <c r="O31" s="13" t="n">
        <f aca="false">O28+O29+O30</f>
        <v>1631873.54826322</v>
      </c>
      <c r="P31" s="13" t="n">
        <f aca="false">P28+P29+P30</f>
        <v>1349000.64120036</v>
      </c>
      <c r="Q31" s="13" t="n">
        <f aca="false">Q28+Q29+Q30</f>
        <v>1066127.7341375</v>
      </c>
      <c r="R31" s="13" t="n">
        <f aca="false">R28+R29+R30</f>
        <v>1164462.84005692</v>
      </c>
      <c r="S31" s="13" t="n">
        <f aca="false">S28+S29+S30</f>
        <v>881589.932994061</v>
      </c>
      <c r="T31" s="13" t="n">
        <f aca="false">T28+T29+T30</f>
        <v>598717.025931203</v>
      </c>
      <c r="U31" s="13" t="n">
        <f aca="false">U28+U29+U30</f>
        <v>697052.131850621</v>
      </c>
      <c r="V31" s="13" t="n">
        <f aca="false">V28+V29+V30</f>
        <v>414179.224787763</v>
      </c>
      <c r="W31" s="13" t="n">
        <f aca="false">W28+W29+W30</f>
        <v>131306.317724906</v>
      </c>
      <c r="X31" s="13" t="n">
        <f aca="false">X28+X29+X30</f>
        <v>261776.143360121</v>
      </c>
      <c r="Y31" s="13" t="n">
        <f aca="false">Y28+Y29+Y30</f>
        <v>1544211.38758533</v>
      </c>
      <c r="Z31" s="13" t="n">
        <f aca="false">Z28+Z29+Z30</f>
        <v>1681204.10821204</v>
      </c>
      <c r="AA31" s="13" t="n">
        <f aca="false">AA28+AA29+AA30</f>
        <v>1784183.20505046</v>
      </c>
      <c r="AB31" s="13" t="n">
        <f aca="false">AB28+AB29+AB30</f>
        <v>1492202.72980088</v>
      </c>
      <c r="AC31" s="13" t="n">
        <f aca="false">AC28+AC29+AC30</f>
        <v>1200222.2545513</v>
      </c>
      <c r="AD31" s="13" t="n">
        <f aca="false">AD28+AD29+AD30</f>
        <v>1303201.35138972</v>
      </c>
      <c r="AE31" s="13" t="n">
        <f aca="false">AE28+AE29+AE30</f>
        <v>1011220.87614014</v>
      </c>
      <c r="AF31" s="13" t="n">
        <f aca="false">AF28+AF29+AF30</f>
        <v>719240.400890566</v>
      </c>
      <c r="AG31" s="13" t="n">
        <f aca="false">AG28+AG29+AG30</f>
        <v>822219.497728985</v>
      </c>
      <c r="AH31" s="13" t="n">
        <f aca="false">AH28+AH29+AH30</f>
        <v>530239.022479408</v>
      </c>
      <c r="AI31" s="13" t="n">
        <f aca="false">AI28+AI29+AI30</f>
        <v>238258.547229831</v>
      </c>
      <c r="AJ31" s="13" t="n">
        <f aca="false">AJ28+AJ29+AJ30</f>
        <v>371797.469747958</v>
      </c>
      <c r="AK31" s="13" t="n">
        <f aca="false">AK28+AK29+AK30</f>
        <v>1695444.83250682</v>
      </c>
      <c r="AL31" s="13" t="n">
        <f aca="false">AL28+AL29+AL30</f>
        <v>1831068.81932641</v>
      </c>
      <c r="AM31" s="13" t="n">
        <f aca="false">AM28+AM29+AM30</f>
        <v>1947151.11967772</v>
      </c>
      <c r="AN31" s="13" t="n">
        <f aca="false">AN28+AN29+AN30</f>
        <v>1655196.24051792</v>
      </c>
      <c r="AO31" s="13" t="n">
        <f aca="false">AO28+AO29+AO30</f>
        <v>1363241.36135812</v>
      </c>
      <c r="AP31" s="13" t="n">
        <f aca="false">AP28+AP29+AP30</f>
        <v>1479323.66170943</v>
      </c>
      <c r="AQ31" s="13" t="n">
        <f aca="false">AQ28+AQ29+AQ30</f>
        <v>1187368.78254963</v>
      </c>
      <c r="AR31" s="13" t="n">
        <f aca="false">AR28+AR29+AR30</f>
        <v>895413.903389827</v>
      </c>
      <c r="AS31" s="13" t="n">
        <f aca="false">AS28+AS29+AS30</f>
        <v>1011496.20374114</v>
      </c>
      <c r="AT31" s="13" t="n">
        <f aca="false">AT28+AT29+AT30</f>
        <v>719541.324581338</v>
      </c>
      <c r="AU31" s="13" t="n">
        <f aca="false">AU28+AU29+AU30</f>
        <v>427586.445421538</v>
      </c>
      <c r="AV31" s="13" t="n">
        <f aca="false">AV28+AV29+AV30</f>
        <v>573571.690770359</v>
      </c>
      <c r="AW31" s="13" t="n">
        <f aca="false">AW28+AW29+AW30</f>
        <v>1946988.51721862</v>
      </c>
      <c r="AX31" s="13" t="n">
        <f aca="false">AX28+AX29+AX30</f>
        <v>2075226.71135378</v>
      </c>
      <c r="AY31" s="13" t="n">
        <f aca="false">AY28+AY29+AY30</f>
        <v>2197835.18837545</v>
      </c>
      <c r="AZ31" s="13" t="n">
        <f aca="false">AZ28+AZ29+AZ30</f>
        <v>1899609.98044875</v>
      </c>
      <c r="BA31" s="13" t="n">
        <f aca="false">BA28+BA29+BA30</f>
        <v>1601384.77252205</v>
      </c>
      <c r="BB31" s="13" t="n">
        <f aca="false">BB28+BB29+BB30</f>
        <v>1723993.24954372</v>
      </c>
      <c r="BC31" s="13" t="n">
        <f aca="false">BC28+BC29+BC30</f>
        <v>1425768.04161702</v>
      </c>
      <c r="BD31" s="13" t="n">
        <f aca="false">BD28+BD29+BD30</f>
        <v>1127542.83369032</v>
      </c>
      <c r="BE31" s="13" t="n">
        <f aca="false">BE28+BE29+BE30</f>
        <v>1250151.31071199</v>
      </c>
      <c r="BF31" s="13" t="n">
        <f aca="false">BF28+BF29+BF30</f>
        <v>951926.102785289</v>
      </c>
      <c r="BG31" s="13" t="n">
        <f aca="false">BG28+BG29+BG30</f>
        <v>653700.894858586</v>
      </c>
      <c r="BH31" s="13" t="n">
        <f aca="false">BH28+BH29+BH30</f>
        <v>815645.631598355</v>
      </c>
      <c r="BI31" s="13" t="n">
        <f aca="false">BI28+BI29+BI30</f>
        <v>2254119.21268154</v>
      </c>
    </row>
    <row r="33" customFormat="false" ht="15" hidden="false" customHeight="false" outlineLevel="0" collapsed="false">
      <c r="A33" s="6" t="s">
        <v>554</v>
      </c>
      <c r="B33" s="11" t="n">
        <f aca="false">Inputs!$D$59</f>
        <v>1042606.17</v>
      </c>
      <c r="C33" s="11" t="n">
        <f aca="false">B35</f>
        <v>1042606.17</v>
      </c>
      <c r="D33" s="11" t="n">
        <f aca="false">C35</f>
        <v>1042606.17</v>
      </c>
      <c r="E33" s="11" t="n">
        <f aca="false">D35</f>
        <v>1042606.17</v>
      </c>
      <c r="F33" s="11" t="n">
        <f aca="false">E35</f>
        <v>1042606.17</v>
      </c>
      <c r="G33" s="11" t="n">
        <f aca="false">F35</f>
        <v>1042606.17</v>
      </c>
      <c r="H33" s="11" t="n">
        <f aca="false">G35</f>
        <v>1042606.17</v>
      </c>
      <c r="I33" s="11" t="n">
        <f aca="false">H35</f>
        <v>1042606.17</v>
      </c>
      <c r="J33" s="11" t="n">
        <f aca="false">I35</f>
        <v>1042606.17</v>
      </c>
      <c r="K33" s="11" t="n">
        <f aca="false">J35</f>
        <v>1042606.17</v>
      </c>
      <c r="L33" s="11" t="n">
        <f aca="false">K35</f>
        <v>1042606.17</v>
      </c>
      <c r="M33" s="11" t="n">
        <f aca="false">L35</f>
        <v>1042606.17</v>
      </c>
      <c r="N33" s="11" t="n">
        <f aca="false">M35</f>
        <v>1042606.17</v>
      </c>
      <c r="O33" s="11" t="n">
        <f aca="false">N35</f>
        <v>1042606.17</v>
      </c>
      <c r="P33" s="11" t="n">
        <f aca="false">O35</f>
        <v>1042606.17</v>
      </c>
      <c r="Q33" s="11" t="n">
        <f aca="false">P35</f>
        <v>1042606.17</v>
      </c>
      <c r="R33" s="11" t="n">
        <f aca="false">Q35</f>
        <v>1042606.17</v>
      </c>
      <c r="S33" s="11" t="n">
        <f aca="false">R35</f>
        <v>1042606.17</v>
      </c>
      <c r="T33" s="11" t="n">
        <f aca="false">S35</f>
        <v>1042606.17</v>
      </c>
      <c r="U33" s="11" t="n">
        <f aca="false">T35</f>
        <v>1042606.17</v>
      </c>
      <c r="V33" s="11" t="n">
        <f aca="false">U35</f>
        <v>1042606.17</v>
      </c>
      <c r="W33" s="11" t="n">
        <f aca="false">V35</f>
        <v>1042606.17</v>
      </c>
      <c r="X33" s="11" t="n">
        <f aca="false">W35</f>
        <v>1042606.17</v>
      </c>
      <c r="Y33" s="11" t="n">
        <f aca="false">X35</f>
        <v>1042606.17</v>
      </c>
      <c r="Z33" s="11" t="n">
        <f aca="false">Y35</f>
        <v>1042606.17</v>
      </c>
      <c r="AA33" s="11" t="n">
        <f aca="false">Z35</f>
        <v>1042606.17</v>
      </c>
      <c r="AB33" s="11" t="n">
        <f aca="false">AA35</f>
        <v>1042606.17</v>
      </c>
      <c r="AC33" s="11" t="n">
        <f aca="false">AB35</f>
        <v>1042606.17</v>
      </c>
      <c r="AD33" s="11" t="n">
        <f aca="false">AC35</f>
        <v>1042606.17</v>
      </c>
      <c r="AE33" s="11" t="n">
        <f aca="false">AD35</f>
        <v>1042606.17</v>
      </c>
      <c r="AF33" s="11" t="n">
        <f aca="false">AE35</f>
        <v>1042606.17</v>
      </c>
      <c r="AG33" s="11" t="n">
        <f aca="false">AF35</f>
        <v>1042606.17</v>
      </c>
      <c r="AH33" s="11" t="n">
        <f aca="false">AG35</f>
        <v>1042606.17</v>
      </c>
      <c r="AI33" s="11" t="n">
        <f aca="false">AH35</f>
        <v>1042606.17</v>
      </c>
      <c r="AJ33" s="11" t="n">
        <f aca="false">AI35</f>
        <v>1042606.17</v>
      </c>
      <c r="AK33" s="11" t="n">
        <f aca="false">AJ35</f>
        <v>1042606.17</v>
      </c>
      <c r="AL33" s="11" t="n">
        <f aca="false">AK35</f>
        <v>1042606.17</v>
      </c>
      <c r="AM33" s="11" t="n">
        <f aca="false">AL35</f>
        <v>1042606.17</v>
      </c>
      <c r="AN33" s="11" t="n">
        <f aca="false">AM35</f>
        <v>1042606.17</v>
      </c>
      <c r="AO33" s="11" t="n">
        <f aca="false">AN35</f>
        <v>1042606.17</v>
      </c>
      <c r="AP33" s="11" t="n">
        <f aca="false">AO35</f>
        <v>1042606.17</v>
      </c>
      <c r="AQ33" s="11" t="n">
        <f aca="false">AP35</f>
        <v>1042606.17</v>
      </c>
      <c r="AR33" s="11" t="n">
        <f aca="false">AQ35</f>
        <v>1042606.17</v>
      </c>
      <c r="AS33" s="11" t="n">
        <f aca="false">AR35</f>
        <v>1042606.17</v>
      </c>
      <c r="AT33" s="11" t="n">
        <f aca="false">AS35</f>
        <v>1042606.17</v>
      </c>
      <c r="AU33" s="11" t="n">
        <f aca="false">AT35</f>
        <v>1042606.17</v>
      </c>
      <c r="AV33" s="11" t="n">
        <f aca="false">AU35</f>
        <v>1042606.17</v>
      </c>
      <c r="AW33" s="11" t="n">
        <f aca="false">AV35</f>
        <v>1042606.17</v>
      </c>
      <c r="AX33" s="11" t="n">
        <f aca="false">AW35</f>
        <v>1042606.17</v>
      </c>
      <c r="AY33" s="11" t="n">
        <f aca="false">AX35</f>
        <v>1042606.17</v>
      </c>
      <c r="AZ33" s="11" t="n">
        <f aca="false">AY35</f>
        <v>1042606.17</v>
      </c>
      <c r="BA33" s="11" t="n">
        <f aca="false">AZ35</f>
        <v>1042606.17</v>
      </c>
      <c r="BB33" s="11" t="n">
        <f aca="false">BA35</f>
        <v>1042606.17</v>
      </c>
      <c r="BC33" s="11" t="n">
        <f aca="false">BB35</f>
        <v>1042606.17</v>
      </c>
      <c r="BD33" s="11" t="n">
        <f aca="false">BC35</f>
        <v>1042606.17</v>
      </c>
      <c r="BE33" s="11" t="n">
        <f aca="false">BD35</f>
        <v>1042606.17</v>
      </c>
      <c r="BF33" s="11" t="n">
        <f aca="false">BE35</f>
        <v>1042606.17</v>
      </c>
      <c r="BG33" s="11" t="n">
        <f aca="false">BF35</f>
        <v>1042606.17</v>
      </c>
      <c r="BH33" s="11" t="n">
        <f aca="false">BG35</f>
        <v>1042606.17</v>
      </c>
      <c r="BI33" s="11" t="n">
        <f aca="false">BH35</f>
        <v>1042606.17</v>
      </c>
    </row>
    <row r="34" customFormat="false" ht="15" hidden="false" customHeight="false" outlineLevel="0" collapsed="false">
      <c r="A34" s="6" t="s">
        <v>555</v>
      </c>
      <c r="B34" s="11" t="n">
        <f aca="false">-B26</f>
        <v>0</v>
      </c>
      <c r="C34" s="11" t="n">
        <f aca="false">-C26</f>
        <v>0</v>
      </c>
      <c r="D34" s="11" t="n">
        <f aca="false">-D26</f>
        <v>0</v>
      </c>
      <c r="E34" s="11" t="n">
        <f aca="false">-E26</f>
        <v>0</v>
      </c>
      <c r="F34" s="11" t="n">
        <f aca="false">-F26</f>
        <v>0</v>
      </c>
      <c r="G34" s="11" t="n">
        <f aca="false">-G26</f>
        <v>0</v>
      </c>
      <c r="H34" s="11" t="n">
        <f aca="false">-H26</f>
        <v>0</v>
      </c>
      <c r="I34" s="11" t="n">
        <f aca="false">-I26</f>
        <v>0</v>
      </c>
      <c r="J34" s="11" t="n">
        <f aca="false">-J26</f>
        <v>0</v>
      </c>
      <c r="K34" s="11" t="n">
        <f aca="false">-K26</f>
        <v>0</v>
      </c>
      <c r="L34" s="11" t="n">
        <f aca="false">-L26</f>
        <v>0</v>
      </c>
      <c r="M34" s="11" t="n">
        <f aca="false">-M26</f>
        <v>0</v>
      </c>
      <c r="N34" s="11" t="n">
        <f aca="false">-N26</f>
        <v>0</v>
      </c>
      <c r="O34" s="11" t="n">
        <f aca="false">-O26</f>
        <v>0</v>
      </c>
      <c r="P34" s="11" t="n">
        <f aca="false">-P26</f>
        <v>0</v>
      </c>
      <c r="Q34" s="11" t="n">
        <f aca="false">-Q26</f>
        <v>0</v>
      </c>
      <c r="R34" s="11" t="n">
        <f aca="false">-R26</f>
        <v>0</v>
      </c>
      <c r="S34" s="11" t="n">
        <f aca="false">-S26</f>
        <v>0</v>
      </c>
      <c r="T34" s="11" t="n">
        <f aca="false">-T26</f>
        <v>0</v>
      </c>
      <c r="U34" s="11" t="n">
        <f aca="false">-U26</f>
        <v>0</v>
      </c>
      <c r="V34" s="11" t="n">
        <f aca="false">-V26</f>
        <v>0</v>
      </c>
      <c r="W34" s="11" t="n">
        <f aca="false">-W26</f>
        <v>0</v>
      </c>
      <c r="X34" s="11" t="n">
        <f aca="false">-X26</f>
        <v>0</v>
      </c>
      <c r="Y34" s="11" t="n">
        <f aca="false">-Y26</f>
        <v>0</v>
      </c>
      <c r="Z34" s="11" t="n">
        <f aca="false">-Z26</f>
        <v>0</v>
      </c>
      <c r="AA34" s="11" t="n">
        <f aca="false">-AA26</f>
        <v>0</v>
      </c>
      <c r="AB34" s="11" t="n">
        <f aca="false">-AB26</f>
        <v>0</v>
      </c>
      <c r="AC34" s="11" t="n">
        <f aca="false">-AC26</f>
        <v>0</v>
      </c>
      <c r="AD34" s="11" t="n">
        <f aca="false">-AD26</f>
        <v>0</v>
      </c>
      <c r="AE34" s="11" t="n">
        <f aca="false">-AE26</f>
        <v>0</v>
      </c>
      <c r="AF34" s="11" t="n">
        <f aca="false">-AF26</f>
        <v>0</v>
      </c>
      <c r="AG34" s="11" t="n">
        <f aca="false">-AG26</f>
        <v>0</v>
      </c>
      <c r="AH34" s="11" t="n">
        <f aca="false">-AH26</f>
        <v>0</v>
      </c>
      <c r="AI34" s="11" t="n">
        <f aca="false">-AI26</f>
        <v>0</v>
      </c>
      <c r="AJ34" s="11" t="n">
        <f aca="false">-AJ26</f>
        <v>0</v>
      </c>
      <c r="AK34" s="11" t="n">
        <f aca="false">-AK26</f>
        <v>0</v>
      </c>
      <c r="AL34" s="11" t="n">
        <f aca="false">-AL26</f>
        <v>0</v>
      </c>
      <c r="AM34" s="11" t="n">
        <f aca="false">-AM26</f>
        <v>0</v>
      </c>
      <c r="AN34" s="11" t="n">
        <f aca="false">-AN26</f>
        <v>0</v>
      </c>
      <c r="AO34" s="11" t="n">
        <f aca="false">-AO26</f>
        <v>0</v>
      </c>
      <c r="AP34" s="11" t="n">
        <f aca="false">-AP26</f>
        <v>0</v>
      </c>
      <c r="AQ34" s="11" t="n">
        <f aca="false">-AQ26</f>
        <v>0</v>
      </c>
      <c r="AR34" s="11" t="n">
        <f aca="false">-AR26</f>
        <v>0</v>
      </c>
      <c r="AS34" s="11" t="n">
        <f aca="false">-AS26</f>
        <v>0</v>
      </c>
      <c r="AT34" s="11" t="n">
        <f aca="false">-AT26</f>
        <v>0</v>
      </c>
      <c r="AU34" s="11" t="n">
        <f aca="false">-AU26</f>
        <v>0</v>
      </c>
      <c r="AV34" s="11" t="n">
        <f aca="false">-AV26</f>
        <v>0</v>
      </c>
      <c r="AW34" s="11" t="n">
        <f aca="false">-AW26</f>
        <v>0</v>
      </c>
      <c r="AX34" s="11" t="n">
        <f aca="false">-AX26</f>
        <v>0</v>
      </c>
      <c r="AY34" s="11" t="n">
        <f aca="false">-AY26</f>
        <v>0</v>
      </c>
      <c r="AZ34" s="11" t="n">
        <f aca="false">-AZ26</f>
        <v>0</v>
      </c>
      <c r="BA34" s="11" t="n">
        <f aca="false">-BA26</f>
        <v>0</v>
      </c>
      <c r="BB34" s="11" t="n">
        <f aca="false">-BB26</f>
        <v>0</v>
      </c>
      <c r="BC34" s="11" t="n">
        <f aca="false">-BC26</f>
        <v>0</v>
      </c>
      <c r="BD34" s="11" t="n">
        <f aca="false">-BD26</f>
        <v>0</v>
      </c>
      <c r="BE34" s="11" t="n">
        <f aca="false">-BE26</f>
        <v>0</v>
      </c>
      <c r="BF34" s="11" t="n">
        <f aca="false">-BF26</f>
        <v>0</v>
      </c>
      <c r="BG34" s="11" t="n">
        <f aca="false">-BG26</f>
        <v>0</v>
      </c>
      <c r="BH34" s="11" t="n">
        <f aca="false">-BH26</f>
        <v>0</v>
      </c>
      <c r="BI34" s="11" t="n">
        <f aca="false">-BI26</f>
        <v>0</v>
      </c>
    </row>
    <row r="35" customFormat="false" ht="15" hidden="false" customHeight="false" outlineLevel="0" collapsed="false">
      <c r="A35" s="12" t="s">
        <v>556</v>
      </c>
      <c r="B35" s="13" t="n">
        <f aca="false">B33+B34</f>
        <v>1042606.17</v>
      </c>
      <c r="C35" s="13" t="n">
        <f aca="false">C33+C34</f>
        <v>1042606.17</v>
      </c>
      <c r="D35" s="13" t="n">
        <f aca="false">D33+D34</f>
        <v>1042606.17</v>
      </c>
      <c r="E35" s="13" t="n">
        <f aca="false">E33+E34</f>
        <v>1042606.17</v>
      </c>
      <c r="F35" s="13" t="n">
        <f aca="false">F33+F34</f>
        <v>1042606.17</v>
      </c>
      <c r="G35" s="13" t="n">
        <f aca="false">G33+G34</f>
        <v>1042606.17</v>
      </c>
      <c r="H35" s="13" t="n">
        <f aca="false">H33+H34</f>
        <v>1042606.17</v>
      </c>
      <c r="I35" s="13" t="n">
        <f aca="false">I33+I34</f>
        <v>1042606.17</v>
      </c>
      <c r="J35" s="13" t="n">
        <f aca="false">J33+J34</f>
        <v>1042606.17</v>
      </c>
      <c r="K35" s="13" t="n">
        <f aca="false">K33+K34</f>
        <v>1042606.17</v>
      </c>
      <c r="L35" s="13" t="n">
        <f aca="false">L33+L34</f>
        <v>1042606.17</v>
      </c>
      <c r="M35" s="13" t="n">
        <f aca="false">M33+M34</f>
        <v>1042606.17</v>
      </c>
      <c r="N35" s="13" t="n">
        <f aca="false">N33+N34</f>
        <v>1042606.17</v>
      </c>
      <c r="O35" s="13" t="n">
        <f aca="false">O33+O34</f>
        <v>1042606.17</v>
      </c>
      <c r="P35" s="13" t="n">
        <f aca="false">P33+P34</f>
        <v>1042606.17</v>
      </c>
      <c r="Q35" s="13" t="n">
        <f aca="false">Q33+Q34</f>
        <v>1042606.17</v>
      </c>
      <c r="R35" s="13" t="n">
        <f aca="false">R33+R34</f>
        <v>1042606.17</v>
      </c>
      <c r="S35" s="13" t="n">
        <f aca="false">S33+S34</f>
        <v>1042606.17</v>
      </c>
      <c r="T35" s="13" t="n">
        <f aca="false">T33+T34</f>
        <v>1042606.17</v>
      </c>
      <c r="U35" s="13" t="n">
        <f aca="false">U33+U34</f>
        <v>1042606.17</v>
      </c>
      <c r="V35" s="13" t="n">
        <f aca="false">V33+V34</f>
        <v>1042606.17</v>
      </c>
      <c r="W35" s="13" t="n">
        <f aca="false">W33+W34</f>
        <v>1042606.17</v>
      </c>
      <c r="X35" s="13" t="n">
        <f aca="false">X33+X34</f>
        <v>1042606.17</v>
      </c>
      <c r="Y35" s="13" t="n">
        <f aca="false">Y33+Y34</f>
        <v>1042606.17</v>
      </c>
      <c r="Z35" s="13" t="n">
        <f aca="false">Z33+Z34</f>
        <v>1042606.17</v>
      </c>
      <c r="AA35" s="13" t="n">
        <f aca="false">AA33+AA34</f>
        <v>1042606.17</v>
      </c>
      <c r="AB35" s="13" t="n">
        <f aca="false">AB33+AB34</f>
        <v>1042606.17</v>
      </c>
      <c r="AC35" s="13" t="n">
        <f aca="false">AC33+AC34</f>
        <v>1042606.17</v>
      </c>
      <c r="AD35" s="13" t="n">
        <f aca="false">AD33+AD34</f>
        <v>1042606.17</v>
      </c>
      <c r="AE35" s="13" t="n">
        <f aca="false">AE33+AE34</f>
        <v>1042606.17</v>
      </c>
      <c r="AF35" s="13" t="n">
        <f aca="false">AF33+AF34</f>
        <v>1042606.17</v>
      </c>
      <c r="AG35" s="13" t="n">
        <f aca="false">AG33+AG34</f>
        <v>1042606.17</v>
      </c>
      <c r="AH35" s="13" t="n">
        <f aca="false">AH33+AH34</f>
        <v>1042606.17</v>
      </c>
      <c r="AI35" s="13" t="n">
        <f aca="false">AI33+AI34</f>
        <v>1042606.17</v>
      </c>
      <c r="AJ35" s="13" t="n">
        <f aca="false">AJ33+AJ34</f>
        <v>1042606.17</v>
      </c>
      <c r="AK35" s="13" t="n">
        <f aca="false">AK33+AK34</f>
        <v>1042606.17</v>
      </c>
      <c r="AL35" s="13" t="n">
        <f aca="false">AL33+AL34</f>
        <v>1042606.17</v>
      </c>
      <c r="AM35" s="13" t="n">
        <f aca="false">AM33+AM34</f>
        <v>1042606.17</v>
      </c>
      <c r="AN35" s="13" t="n">
        <f aca="false">AN33+AN34</f>
        <v>1042606.17</v>
      </c>
      <c r="AO35" s="13" t="n">
        <f aca="false">AO33+AO34</f>
        <v>1042606.17</v>
      </c>
      <c r="AP35" s="13" t="n">
        <f aca="false">AP33+AP34</f>
        <v>1042606.17</v>
      </c>
      <c r="AQ35" s="13" t="n">
        <f aca="false">AQ33+AQ34</f>
        <v>1042606.17</v>
      </c>
      <c r="AR35" s="13" t="n">
        <f aca="false">AR33+AR34</f>
        <v>1042606.17</v>
      </c>
      <c r="AS35" s="13" t="n">
        <f aca="false">AS33+AS34</f>
        <v>1042606.17</v>
      </c>
      <c r="AT35" s="13" t="n">
        <f aca="false">AT33+AT34</f>
        <v>1042606.17</v>
      </c>
      <c r="AU35" s="13" t="n">
        <f aca="false">AU33+AU34</f>
        <v>1042606.17</v>
      </c>
      <c r="AV35" s="13" t="n">
        <f aca="false">AV33+AV34</f>
        <v>1042606.17</v>
      </c>
      <c r="AW35" s="13" t="n">
        <f aca="false">AW33+AW34</f>
        <v>1042606.17</v>
      </c>
      <c r="AX35" s="13" t="n">
        <f aca="false">AX33+AX34</f>
        <v>1042606.17</v>
      </c>
      <c r="AY35" s="13" t="n">
        <f aca="false">AY33+AY34</f>
        <v>1042606.17</v>
      </c>
      <c r="AZ35" s="13" t="n">
        <f aca="false">AZ33+AZ34</f>
        <v>1042606.17</v>
      </c>
      <c r="BA35" s="13" t="n">
        <f aca="false">BA33+BA34</f>
        <v>1042606.17</v>
      </c>
      <c r="BB35" s="13" t="n">
        <f aca="false">BB33+BB34</f>
        <v>1042606.17</v>
      </c>
      <c r="BC35" s="13" t="n">
        <f aca="false">BC33+BC34</f>
        <v>1042606.17</v>
      </c>
      <c r="BD35" s="13" t="n">
        <f aca="false">BD33+BD34</f>
        <v>1042606.17</v>
      </c>
      <c r="BE35" s="13" t="n">
        <f aca="false">BE33+BE34</f>
        <v>1042606.17</v>
      </c>
      <c r="BF35" s="13" t="n">
        <f aca="false">BF33+BF34</f>
        <v>1042606.17</v>
      </c>
      <c r="BG35" s="13" t="n">
        <f aca="false">BG33+BG34</f>
        <v>1042606.17</v>
      </c>
      <c r="BH35" s="13" t="n">
        <f aca="false">BH33+BH34</f>
        <v>1042606.17</v>
      </c>
      <c r="BI35" s="13" t="n">
        <f aca="false">BI33+BI34</f>
        <v>1042606.17</v>
      </c>
    </row>
    <row r="37" customFormat="false" ht="15" hidden="false" customHeight="false" outlineLevel="0" collapsed="false">
      <c r="A37" s="12" t="s">
        <v>557</v>
      </c>
      <c r="B37" s="14" t="n">
        <f aca="false">B31+B35</f>
        <v>2485349.64231884</v>
      </c>
      <c r="C37" s="14" t="n">
        <f aca="false">C31+C35</f>
        <v>2560670.55333333</v>
      </c>
      <c r="D37" s="14" t="n">
        <f aca="false">D31+D35</f>
        <v>2277336.21565217</v>
      </c>
      <c r="E37" s="14" t="n">
        <f aca="false">E31+E35</f>
        <v>1994001.87797101</v>
      </c>
      <c r="F37" s="14" t="n">
        <f aca="false">F31+F35</f>
        <v>2069322.78898551</v>
      </c>
      <c r="G37" s="14" t="n">
        <f aca="false">G31+G35</f>
        <v>1785988.45130435</v>
      </c>
      <c r="H37" s="14" t="n">
        <f aca="false">H31+H35</f>
        <v>1502654.11362319</v>
      </c>
      <c r="I37" s="14" t="n">
        <f aca="false">I31+I35</f>
        <v>1577975.02463768</v>
      </c>
      <c r="J37" s="14" t="n">
        <f aca="false">J31+J35</f>
        <v>1294640.68695652</v>
      </c>
      <c r="K37" s="14" t="n">
        <f aca="false">K31+K35</f>
        <v>1011306.34927536</v>
      </c>
      <c r="L37" s="14" t="n">
        <f aca="false">L31+L35</f>
        <v>1139328.68516797</v>
      </c>
      <c r="M37" s="14" t="n">
        <f aca="false">M31+M35</f>
        <v>2379207.72559222</v>
      </c>
      <c r="N37" s="14" t="n">
        <f aca="false">N31+N35</f>
        <v>2576144.6123438</v>
      </c>
      <c r="O37" s="14" t="n">
        <f aca="false">O31+O35</f>
        <v>2674479.71826322</v>
      </c>
      <c r="P37" s="14" t="n">
        <f aca="false">P31+P35</f>
        <v>2391606.81120036</v>
      </c>
      <c r="Q37" s="14" t="n">
        <f aca="false">Q31+Q35</f>
        <v>2108733.9041375</v>
      </c>
      <c r="R37" s="14" t="n">
        <f aca="false">R31+R35</f>
        <v>2207069.01005692</v>
      </c>
      <c r="S37" s="14" t="n">
        <f aca="false">S31+S35</f>
        <v>1924196.10299406</v>
      </c>
      <c r="T37" s="14" t="n">
        <f aca="false">T31+T35</f>
        <v>1641323.1959312</v>
      </c>
      <c r="U37" s="14" t="n">
        <f aca="false">U31+U35</f>
        <v>1739658.30185062</v>
      </c>
      <c r="V37" s="14" t="n">
        <f aca="false">V31+V35</f>
        <v>1456785.39478776</v>
      </c>
      <c r="W37" s="14" t="n">
        <f aca="false">W31+W35</f>
        <v>1173912.48772491</v>
      </c>
      <c r="X37" s="14" t="n">
        <f aca="false">X31+X35</f>
        <v>1304382.31336012</v>
      </c>
      <c r="Y37" s="14" t="n">
        <f aca="false">Y31+Y35</f>
        <v>2586817.55758533</v>
      </c>
      <c r="Z37" s="14" t="n">
        <f aca="false">Z31+Z35</f>
        <v>2723810.27821204</v>
      </c>
      <c r="AA37" s="14" t="n">
        <f aca="false">AA31+AA35</f>
        <v>2826789.37505046</v>
      </c>
      <c r="AB37" s="14" t="n">
        <f aca="false">AB31+AB35</f>
        <v>2534808.89980088</v>
      </c>
      <c r="AC37" s="14" t="n">
        <f aca="false">AC31+AC35</f>
        <v>2242828.4245513</v>
      </c>
      <c r="AD37" s="14" t="n">
        <f aca="false">AD31+AD35</f>
        <v>2345807.52138972</v>
      </c>
      <c r="AE37" s="14" t="n">
        <f aca="false">AE31+AE35</f>
        <v>2053827.04614014</v>
      </c>
      <c r="AF37" s="14" t="n">
        <f aca="false">AF31+AF35</f>
        <v>1761846.57089057</v>
      </c>
      <c r="AG37" s="14" t="n">
        <f aca="false">AG31+AG35</f>
        <v>1864825.66772899</v>
      </c>
      <c r="AH37" s="14" t="n">
        <f aca="false">AH31+AH35</f>
        <v>1572845.19247941</v>
      </c>
      <c r="AI37" s="14" t="n">
        <f aca="false">AI31+AI35</f>
        <v>1280864.71722983</v>
      </c>
      <c r="AJ37" s="14" t="n">
        <f aca="false">AJ31+AJ35</f>
        <v>1414403.63974796</v>
      </c>
      <c r="AK37" s="14" t="n">
        <f aca="false">AK31+AK35</f>
        <v>2738051.00250682</v>
      </c>
      <c r="AL37" s="14" t="n">
        <f aca="false">AL31+AL35</f>
        <v>2873674.98932641</v>
      </c>
      <c r="AM37" s="14" t="n">
        <f aca="false">AM31+AM35</f>
        <v>2989757.28967772</v>
      </c>
      <c r="AN37" s="14" t="n">
        <f aca="false">AN31+AN35</f>
        <v>2697802.41051792</v>
      </c>
      <c r="AO37" s="14" t="n">
        <f aca="false">AO31+AO35</f>
        <v>2405847.53135812</v>
      </c>
      <c r="AP37" s="14" t="n">
        <f aca="false">AP31+AP35</f>
        <v>2521929.83170943</v>
      </c>
      <c r="AQ37" s="14" t="n">
        <f aca="false">AQ31+AQ35</f>
        <v>2229974.95254963</v>
      </c>
      <c r="AR37" s="14" t="n">
        <f aca="false">AR31+AR35</f>
        <v>1938020.07338983</v>
      </c>
      <c r="AS37" s="14" t="n">
        <f aca="false">AS31+AS35</f>
        <v>2054102.37374114</v>
      </c>
      <c r="AT37" s="14" t="n">
        <f aca="false">AT31+AT35</f>
        <v>1762147.49458134</v>
      </c>
      <c r="AU37" s="14" t="n">
        <f aca="false">AU31+AU35</f>
        <v>1470192.61542154</v>
      </c>
      <c r="AV37" s="14" t="n">
        <f aca="false">AV31+AV35</f>
        <v>1616177.86077036</v>
      </c>
      <c r="AW37" s="14" t="n">
        <f aca="false">AW31+AW35</f>
        <v>2989594.68721862</v>
      </c>
      <c r="AX37" s="14" t="n">
        <f aca="false">AX31+AX35</f>
        <v>3117832.88135378</v>
      </c>
      <c r="AY37" s="14" t="n">
        <f aca="false">AY31+AY35</f>
        <v>3240441.35837545</v>
      </c>
      <c r="AZ37" s="14" t="n">
        <f aca="false">AZ31+AZ35</f>
        <v>2942216.15044875</v>
      </c>
      <c r="BA37" s="14" t="n">
        <f aca="false">BA31+BA35</f>
        <v>2643990.94252205</v>
      </c>
      <c r="BB37" s="14" t="n">
        <f aca="false">BB31+BB35</f>
        <v>2766599.41954372</v>
      </c>
      <c r="BC37" s="14" t="n">
        <f aca="false">BC31+BC35</f>
        <v>2468374.21161702</v>
      </c>
      <c r="BD37" s="14" t="n">
        <f aca="false">BD31+BD35</f>
        <v>2170149.00369032</v>
      </c>
      <c r="BE37" s="14" t="n">
        <f aca="false">BE31+BE35</f>
        <v>2292757.48071199</v>
      </c>
      <c r="BF37" s="14" t="n">
        <f aca="false">BF31+BF35</f>
        <v>1994532.27278529</v>
      </c>
      <c r="BG37" s="14" t="n">
        <f aca="false">BG31+BG35</f>
        <v>1696307.06485859</v>
      </c>
      <c r="BH37" s="14" t="n">
        <f aca="false">BH31+BH35</f>
        <v>1858251.80159835</v>
      </c>
      <c r="BI37" s="14" t="n">
        <f aca="false">BI31+BI35</f>
        <v>3296725.38268154</v>
      </c>
    </row>
    <row r="38" customFormat="false" ht="15" hidden="false" customHeight="false" outlineLevel="0" collapsed="false">
      <c r="A38" s="3" t="s">
        <v>558</v>
      </c>
      <c r="B38" s="34" t="str">
        <f aca="false">IF(B31&lt;0,"SHORTFALL","")</f>
        <v/>
      </c>
      <c r="C38" s="34" t="str">
        <f aca="false">IF(C31&lt;0,"SHORTFALL","")</f>
        <v/>
      </c>
      <c r="D38" s="34" t="str">
        <f aca="false">IF(D31&lt;0,"SHORTFALL","")</f>
        <v/>
      </c>
      <c r="E38" s="34" t="str">
        <f aca="false">IF(E31&lt;0,"SHORTFALL","")</f>
        <v/>
      </c>
      <c r="F38" s="34" t="str">
        <f aca="false">IF(F31&lt;0,"SHORTFALL","")</f>
        <v/>
      </c>
      <c r="G38" s="34" t="str">
        <f aca="false">IF(G31&lt;0,"SHORTFALL","")</f>
        <v/>
      </c>
      <c r="H38" s="34" t="str">
        <f aca="false">IF(H31&lt;0,"SHORTFALL","")</f>
        <v/>
      </c>
      <c r="I38" s="34" t="str">
        <f aca="false">IF(I31&lt;0,"SHORTFALL","")</f>
        <v/>
      </c>
      <c r="J38" s="34" t="str">
        <f aca="false">IF(J31&lt;0,"SHORTFALL","")</f>
        <v/>
      </c>
      <c r="K38" s="34" t="str">
        <f aca="false">IF(K31&lt;0,"SHORTFALL","")</f>
        <v>SHORTFALL</v>
      </c>
      <c r="L38" s="34" t="str">
        <f aca="false">IF(L31&lt;0,"SHORTFALL","")</f>
        <v/>
      </c>
      <c r="M38" s="34" t="str">
        <f aca="false">IF(M31&lt;0,"SHORTFALL","")</f>
        <v/>
      </c>
      <c r="N38" s="34" t="str">
        <f aca="false">IF(N31&lt;0,"SHORTFALL","")</f>
        <v/>
      </c>
      <c r="O38" s="34" t="str">
        <f aca="false">IF(O31&lt;0,"SHORTFALL","")</f>
        <v/>
      </c>
      <c r="P38" s="34" t="str">
        <f aca="false">IF(P31&lt;0,"SHORTFALL","")</f>
        <v/>
      </c>
      <c r="Q38" s="34" t="str">
        <f aca="false">IF(Q31&lt;0,"SHORTFALL","")</f>
        <v/>
      </c>
      <c r="R38" s="34" t="str">
        <f aca="false">IF(R31&lt;0,"SHORTFALL","")</f>
        <v/>
      </c>
      <c r="S38" s="34" t="str">
        <f aca="false">IF(S31&lt;0,"SHORTFALL","")</f>
        <v/>
      </c>
      <c r="T38" s="34" t="str">
        <f aca="false">IF(T31&lt;0,"SHORTFALL","")</f>
        <v/>
      </c>
      <c r="U38" s="34" t="str">
        <f aca="false">IF(U31&lt;0,"SHORTFALL","")</f>
        <v/>
      </c>
      <c r="V38" s="34" t="str">
        <f aca="false">IF(V31&lt;0,"SHORTFALL","")</f>
        <v/>
      </c>
      <c r="W38" s="34" t="str">
        <f aca="false">IF(W31&lt;0,"SHORTFALL","")</f>
        <v/>
      </c>
      <c r="X38" s="34" t="str">
        <f aca="false">IF(X31&lt;0,"SHORTFALL","")</f>
        <v/>
      </c>
      <c r="Y38" s="34" t="str">
        <f aca="false">IF(Y31&lt;0,"SHORTFALL","")</f>
        <v/>
      </c>
      <c r="Z38" s="34" t="str">
        <f aca="false">IF(Z31&lt;0,"SHORTFALL","")</f>
        <v/>
      </c>
      <c r="AA38" s="34" t="str">
        <f aca="false">IF(AA31&lt;0,"SHORTFALL","")</f>
        <v/>
      </c>
      <c r="AB38" s="34" t="str">
        <f aca="false">IF(AB31&lt;0,"SHORTFALL","")</f>
        <v/>
      </c>
      <c r="AC38" s="34" t="str">
        <f aca="false">IF(AC31&lt;0,"SHORTFALL","")</f>
        <v/>
      </c>
      <c r="AD38" s="34" t="str">
        <f aca="false">IF(AD31&lt;0,"SHORTFALL","")</f>
        <v/>
      </c>
      <c r="AE38" s="34" t="str">
        <f aca="false">IF(AE31&lt;0,"SHORTFALL","")</f>
        <v/>
      </c>
      <c r="AF38" s="34" t="str">
        <f aca="false">IF(AF31&lt;0,"SHORTFALL","")</f>
        <v/>
      </c>
      <c r="AG38" s="34" t="str">
        <f aca="false">IF(AG31&lt;0,"SHORTFALL","")</f>
        <v/>
      </c>
      <c r="AH38" s="34" t="str">
        <f aca="false">IF(AH31&lt;0,"SHORTFALL","")</f>
        <v/>
      </c>
      <c r="AI38" s="34" t="str">
        <f aca="false">IF(AI31&lt;0,"SHORTFALL","")</f>
        <v/>
      </c>
      <c r="AJ38" s="34" t="str">
        <f aca="false">IF(AJ31&lt;0,"SHORTFALL","")</f>
        <v/>
      </c>
      <c r="AK38" s="34" t="str">
        <f aca="false">IF(AK31&lt;0,"SHORTFALL","")</f>
        <v/>
      </c>
      <c r="AL38" s="34" t="str">
        <f aca="false">IF(AL31&lt;0,"SHORTFALL","")</f>
        <v/>
      </c>
      <c r="AM38" s="34" t="str">
        <f aca="false">IF(AM31&lt;0,"SHORTFALL","")</f>
        <v/>
      </c>
      <c r="AN38" s="34" t="str">
        <f aca="false">IF(AN31&lt;0,"SHORTFALL","")</f>
        <v/>
      </c>
      <c r="AO38" s="34" t="str">
        <f aca="false">IF(AO31&lt;0,"SHORTFALL","")</f>
        <v/>
      </c>
      <c r="AP38" s="34" t="str">
        <f aca="false">IF(AP31&lt;0,"SHORTFALL","")</f>
        <v/>
      </c>
      <c r="AQ38" s="34" t="str">
        <f aca="false">IF(AQ31&lt;0,"SHORTFALL","")</f>
        <v/>
      </c>
      <c r="AR38" s="34" t="str">
        <f aca="false">IF(AR31&lt;0,"SHORTFALL","")</f>
        <v/>
      </c>
      <c r="AS38" s="34" t="str">
        <f aca="false">IF(AS31&lt;0,"SHORTFALL","")</f>
        <v/>
      </c>
      <c r="AT38" s="34" t="str">
        <f aca="false">IF(AT31&lt;0,"SHORTFALL","")</f>
        <v/>
      </c>
      <c r="AU38" s="34" t="str">
        <f aca="false">IF(AU31&lt;0,"SHORTFALL","")</f>
        <v/>
      </c>
      <c r="AV38" s="34" t="str">
        <f aca="false">IF(AV31&lt;0,"SHORTFALL","")</f>
        <v/>
      </c>
      <c r="AW38" s="34" t="str">
        <f aca="false">IF(AW31&lt;0,"SHORTFALL","")</f>
        <v/>
      </c>
      <c r="AX38" s="34" t="str">
        <f aca="false">IF(AX31&lt;0,"SHORTFALL","")</f>
        <v/>
      </c>
      <c r="AY38" s="34" t="str">
        <f aca="false">IF(AY31&lt;0,"SHORTFALL","")</f>
        <v/>
      </c>
      <c r="AZ38" s="34" t="str">
        <f aca="false">IF(AZ31&lt;0,"SHORTFALL","")</f>
        <v/>
      </c>
      <c r="BA38" s="34" t="str">
        <f aca="false">IF(BA31&lt;0,"SHORTFALL","")</f>
        <v/>
      </c>
      <c r="BB38" s="34" t="str">
        <f aca="false">IF(BB31&lt;0,"SHORTFALL","")</f>
        <v/>
      </c>
      <c r="BC38" s="34" t="str">
        <f aca="false">IF(BC31&lt;0,"SHORTFALL","")</f>
        <v/>
      </c>
      <c r="BD38" s="34" t="str">
        <f aca="false">IF(BD31&lt;0,"SHORTFALL","")</f>
        <v/>
      </c>
      <c r="BE38" s="34" t="str">
        <f aca="false">IF(BE31&lt;0,"SHORTFALL","")</f>
        <v/>
      </c>
      <c r="BF38" s="34" t="str">
        <f aca="false">IF(BF31&lt;0,"SHORTFALL","")</f>
        <v/>
      </c>
      <c r="BG38" s="34" t="str">
        <f aca="false">IF(BG31&lt;0,"SHORTFALL","")</f>
        <v/>
      </c>
      <c r="BH38" s="34" t="str">
        <f aca="false">IF(BH31&lt;0,"SHORTFALL","")</f>
        <v/>
      </c>
      <c r="BI38" s="34" t="str">
        <f aca="false">IF(BI31&lt;0,"SHORTFALL","")</f>
        <v/>
      </c>
    </row>
  </sheetData>
  <conditionalFormatting sqref="B31:BI31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559</v>
      </c>
    </row>
    <row r="3" customFormat="false" ht="15" hidden="false" customHeight="false" outlineLevel="0" collapsed="false">
      <c r="A3" s="4" t="s">
        <v>45</v>
      </c>
      <c r="B3" s="5" t="str">
        <f aca="false">Inputs!C$4</f>
        <v>FY27</v>
      </c>
      <c r="C3" s="5" t="str">
        <f aca="false">Inputs!D$4</f>
        <v>FY28</v>
      </c>
      <c r="D3" s="5" t="str">
        <f aca="false">Inputs!E$4</f>
        <v>FY29</v>
      </c>
      <c r="E3" s="5" t="str">
        <f aca="false">Inputs!F$4</f>
        <v>FY30</v>
      </c>
      <c r="F3" s="5" t="str">
        <f aca="false">Inputs!G$4</f>
        <v>FY31</v>
      </c>
    </row>
    <row r="4" customFormat="false" ht="15" hidden="false" customHeight="false" outlineLevel="0" collapsed="false">
      <c r="A4" s="6" t="s">
        <v>560</v>
      </c>
      <c r="B4" s="11" t="n">
        <f aca="false">INDEX('Cash Flow'!$B$28:$BI$28,1)</f>
        <v>1163777.81</v>
      </c>
      <c r="C4" s="11" t="n">
        <f aca="false">INDEX('Cash Flow'!$B$28:$BI$28,13)</f>
        <v>1336601.55559222</v>
      </c>
      <c r="D4" s="11" t="n">
        <f aca="false">INDEX('Cash Flow'!$B$28:$BI$28,25)</f>
        <v>1544211.38758533</v>
      </c>
      <c r="E4" s="11" t="n">
        <f aca="false">INDEX('Cash Flow'!$B$28:$BI$28,37)</f>
        <v>1695444.83250682</v>
      </c>
      <c r="F4" s="11" t="n">
        <f aca="false">INDEX('Cash Flow'!$B$28:$BI$28,49)</f>
        <v>1946988.51721862</v>
      </c>
    </row>
    <row r="5" customFormat="false" ht="15" hidden="false" customHeight="false" outlineLevel="0" collapsed="false">
      <c r="A5" s="6" t="s">
        <v>561</v>
      </c>
      <c r="B5" s="11" t="n">
        <f aca="false">SUM(INDEX('Cash Flow'!$B$13:$BI$13,1):INDEX('Cash Flow'!$B$13:$BI$13,12))</f>
        <v>9475563.74559222</v>
      </c>
      <c r="C5" s="11" t="n">
        <f aca="false">SUM(INDEX('Cash Flow'!$B$13:$BI$13,13):INDEX('Cash Flow'!$B$13:$BI$13,24))</f>
        <v>9859301.62269141</v>
      </c>
      <c r="D5" s="11" t="n">
        <f aca="false">SUM(INDEX('Cash Flow'!$B$13:$BI$13,25):INDEX('Cash Flow'!$B$13:$BI$13,36))</f>
        <v>10132813.9811814</v>
      </c>
      <c r="E5" s="11" t="n">
        <f aca="false">SUM(INDEX('Cash Flow'!$B$13:$BI$13,37):INDEX('Cash Flow'!$B$13:$BI$13,48))</f>
        <v>10442603.6869735</v>
      </c>
      <c r="F5" s="11" t="n">
        <f aca="false">SUM(INDEX('Cash Flow'!$B$13:$BI$13,49):INDEX('Cash Flow'!$B$13:$BI$13,60))</f>
        <v>10778711.9176503</v>
      </c>
    </row>
    <row r="6" customFormat="false" ht="15" hidden="false" customHeight="false" outlineLevel="0" collapsed="false">
      <c r="A6" s="6" t="s">
        <v>562</v>
      </c>
      <c r="B6" s="11" t="n">
        <f aca="false">SUM(INDEX('Cash Flow'!$B$22:$BI$22,1):INDEX('Cash Flow'!$B$22:$BI$22,12))</f>
        <v>-9302740</v>
      </c>
      <c r="C6" s="11" t="n">
        <f aca="false">SUM(INDEX('Cash Flow'!$B$22:$BI$22,13):INDEX('Cash Flow'!$B$22:$BI$22,24))</f>
        <v>-9651691.7906983</v>
      </c>
      <c r="D6" s="11" t="n">
        <f aca="false">SUM(INDEX('Cash Flow'!$B$22:$BI$22,25):INDEX('Cash Flow'!$B$22:$BI$22,36))</f>
        <v>-9981580.53625986</v>
      </c>
      <c r="E6" s="11" t="n">
        <f aca="false">SUM(INDEX('Cash Flow'!$B$22:$BI$22,37):INDEX('Cash Flow'!$B$22:$BI$22,48))</f>
        <v>-10191060.0022617</v>
      </c>
      <c r="F6" s="11" t="n">
        <f aca="false">SUM(INDEX('Cash Flow'!$B$22:$BI$22,49):INDEX('Cash Flow'!$B$22:$BI$22,60))</f>
        <v>-10471581.2221874</v>
      </c>
    </row>
    <row r="7" customFormat="false" ht="15" hidden="false" customHeight="false" outlineLevel="0" collapsed="false">
      <c r="A7" s="12" t="s">
        <v>563</v>
      </c>
      <c r="B7" s="13" t="n">
        <f aca="false">B5+B6</f>
        <v>172823.74559222</v>
      </c>
      <c r="C7" s="13" t="n">
        <f aca="false">C5+C6</f>
        <v>207609.831993103</v>
      </c>
      <c r="D7" s="13" t="n">
        <f aca="false">D5+D6</f>
        <v>151233.444921499</v>
      </c>
      <c r="E7" s="13" t="n">
        <f aca="false">E5+E6</f>
        <v>251543.684711799</v>
      </c>
      <c r="F7" s="13" t="n">
        <f aca="false">F5+F6</f>
        <v>307130.695462922</v>
      </c>
    </row>
    <row r="8" customFormat="false" ht="15" hidden="false" customHeight="false" outlineLevel="0" collapsed="false">
      <c r="A8" s="6" t="s">
        <v>548</v>
      </c>
      <c r="B8" s="11" t="n">
        <f aca="false">SUM(INDEX('Cash Flow'!$B$25:$BI$25,1):INDEX('Cash Flow'!$B$25:$BI$25,12))</f>
        <v>0</v>
      </c>
      <c r="C8" s="11" t="n">
        <f aca="false">SUM(INDEX('Cash Flow'!$B$25:$BI$25,13):INDEX('Cash Flow'!$B$25:$BI$25,24))</f>
        <v>0</v>
      </c>
      <c r="D8" s="11" t="n">
        <f aca="false">SUM(INDEX('Cash Flow'!$B$25:$BI$25,25):INDEX('Cash Flow'!$B$25:$BI$25,36))</f>
        <v>0</v>
      </c>
      <c r="E8" s="11" t="n">
        <f aca="false">SUM(INDEX('Cash Flow'!$B$25:$BI$25,37):INDEX('Cash Flow'!$B$25:$BI$25,48))</f>
        <v>0</v>
      </c>
      <c r="F8" s="11" t="n">
        <f aca="false">SUM(INDEX('Cash Flow'!$B$25:$BI$25,49):INDEX('Cash Flow'!$B$25:$BI$25,60))</f>
        <v>0</v>
      </c>
    </row>
    <row r="9" customFormat="false" ht="15" hidden="false" customHeight="false" outlineLevel="0" collapsed="false">
      <c r="A9" s="6" t="s">
        <v>549</v>
      </c>
      <c r="B9" s="11" t="n">
        <f aca="false">SUM(INDEX('Cash Flow'!$B$26:$BI$26,1):INDEX('Cash Flow'!$B$26:$BI$26,12))</f>
        <v>0</v>
      </c>
      <c r="C9" s="11" t="n">
        <f aca="false">SUM(INDEX('Cash Flow'!$B$26:$BI$26,13):INDEX('Cash Flow'!$B$26:$BI$26,24))</f>
        <v>0</v>
      </c>
      <c r="D9" s="11" t="n">
        <f aca="false">SUM(INDEX('Cash Flow'!$B$26:$BI$26,25):INDEX('Cash Flow'!$B$26:$BI$26,36))</f>
        <v>0</v>
      </c>
      <c r="E9" s="11" t="n">
        <f aca="false">SUM(INDEX('Cash Flow'!$B$26:$BI$26,37):INDEX('Cash Flow'!$B$26:$BI$26,48))</f>
        <v>0</v>
      </c>
      <c r="F9" s="11" t="n">
        <f aca="false">SUM(INDEX('Cash Flow'!$B$26:$BI$26,49):INDEX('Cash Flow'!$B$26:$BI$26,60))</f>
        <v>0</v>
      </c>
    </row>
    <row r="10" customFormat="false" ht="15" hidden="false" customHeight="false" outlineLevel="0" collapsed="false">
      <c r="A10" s="12" t="s">
        <v>564</v>
      </c>
      <c r="B10" s="13" t="n">
        <f aca="false">INDEX('Cash Flow'!$B$31:$BI$31,12)</f>
        <v>1336601.55559222</v>
      </c>
      <c r="C10" s="13" t="n">
        <f aca="false">INDEX('Cash Flow'!$B$31:$BI$31,24)</f>
        <v>1544211.38758533</v>
      </c>
      <c r="D10" s="13" t="n">
        <f aca="false">INDEX('Cash Flow'!$B$31:$BI$31,36)</f>
        <v>1695444.83250682</v>
      </c>
      <c r="E10" s="13" t="n">
        <f aca="false">INDEX('Cash Flow'!$B$31:$BI$31,48)</f>
        <v>1946988.51721862</v>
      </c>
      <c r="F10" s="13" t="n">
        <f aca="false">INDEX('Cash Flow'!$B$31:$BI$31,60)</f>
        <v>2254119.21268154</v>
      </c>
    </row>
    <row r="11" customFormat="false" ht="15" hidden="false" customHeight="false" outlineLevel="0" collapsed="false">
      <c r="A11" s="6" t="s">
        <v>565</v>
      </c>
      <c r="B11" s="11" t="n">
        <f aca="false">INDEX('Cash Flow'!$B$35:$BI$35,12)</f>
        <v>1042606.17</v>
      </c>
      <c r="C11" s="11" t="n">
        <f aca="false">INDEX('Cash Flow'!$B$35:$BI$35,24)</f>
        <v>1042606.17</v>
      </c>
      <c r="D11" s="11" t="n">
        <f aca="false">INDEX('Cash Flow'!$B$35:$BI$35,36)</f>
        <v>1042606.17</v>
      </c>
      <c r="E11" s="11" t="n">
        <f aca="false">INDEX('Cash Flow'!$B$35:$BI$35,48)</f>
        <v>1042606.17</v>
      </c>
      <c r="F11" s="11" t="n">
        <f aca="false">INDEX('Cash Flow'!$B$35:$BI$35,60)</f>
        <v>1042606.17</v>
      </c>
    </row>
    <row r="12" customFormat="false" ht="15" hidden="false" customHeight="false" outlineLevel="0" collapsed="false">
      <c r="A12" s="12" t="s">
        <v>566</v>
      </c>
      <c r="B12" s="14" t="n">
        <f aca="false">B10+B11</f>
        <v>2379207.72559222</v>
      </c>
      <c r="C12" s="14" t="n">
        <f aca="false">C10+C11</f>
        <v>2586817.55758533</v>
      </c>
      <c r="D12" s="14" t="n">
        <f aca="false">D10+D11</f>
        <v>2738051.00250682</v>
      </c>
      <c r="E12" s="14" t="n">
        <f aca="false">E10+E11</f>
        <v>2989594.68721862</v>
      </c>
      <c r="F12" s="14" t="n">
        <f aca="false">F10+F11</f>
        <v>3296725.38268154</v>
      </c>
    </row>
    <row r="13" customFormat="false" ht="15" hidden="false" customHeight="false" outlineLevel="0" collapsed="false">
      <c r="A13" s="6" t="s">
        <v>32</v>
      </c>
      <c r="B13" s="11" t="n">
        <f aca="false">MIN(INDEX('Cash Flow'!$B$31:$BI$31,1):INDEX('Cash Flow'!$B$31:$BI$31,12))</f>
        <v>-31299.8207246371</v>
      </c>
      <c r="C13" s="11" t="n">
        <f aca="false">MIN(INDEX('Cash Flow'!$B$31:$BI$31,13):INDEX('Cash Flow'!$B$31:$BI$31,24))</f>
        <v>131306.317724906</v>
      </c>
      <c r="D13" s="11" t="n">
        <f aca="false">MIN(INDEX('Cash Flow'!$B$31:$BI$31,25):INDEX('Cash Flow'!$B$31:$BI$31,36))</f>
        <v>238258.547229831</v>
      </c>
      <c r="E13" s="11" t="n">
        <f aca="false">MIN(INDEX('Cash Flow'!$B$31:$BI$31,37):INDEX('Cash Flow'!$B$31:$BI$31,48))</f>
        <v>427586.445421538</v>
      </c>
      <c r="F13" s="11" t="n">
        <f aca="false">MIN(INDEX('Cash Flow'!$B$31:$BI$31,49):INDEX('Cash Flow'!$B$31:$BI$31,60))</f>
        <v>653700.894858586</v>
      </c>
    </row>
    <row r="14" customFormat="false" ht="15" hidden="false" customHeight="false" outlineLevel="0" collapsed="false">
      <c r="A14" s="6" t="s">
        <v>567</v>
      </c>
      <c r="B14" s="35" t="n">
        <f aca="false">INDEX('Cash Flow'!$B$2:$BI$2,0+MATCH(B13,INDEX('Cash Flow'!$B$31:$BI$31,1):INDEX('Cash Flow'!$B$31:$BI$31,12),0))</f>
        <v>46507</v>
      </c>
      <c r="C14" s="35" t="n">
        <f aca="false">INDEX('Cash Flow'!$B$2:$BI$2,12+MATCH(C13,INDEX('Cash Flow'!$B$31:$BI$31,13):INDEX('Cash Flow'!$B$31:$BI$31,24),0))</f>
        <v>46873</v>
      </c>
      <c r="D14" s="35" t="n">
        <f aca="false">INDEX('Cash Flow'!$B$2:$BI$2,24+MATCH(D13,INDEX('Cash Flow'!$B$31:$BI$31,25):INDEX('Cash Flow'!$B$31:$BI$31,36),0))</f>
        <v>47238</v>
      </c>
      <c r="E14" s="35" t="n">
        <f aca="false">INDEX('Cash Flow'!$B$2:$BI$2,36+MATCH(E13,INDEX('Cash Flow'!$B$31:$BI$31,37):INDEX('Cash Flow'!$B$31:$BI$31,48),0))</f>
        <v>47603</v>
      </c>
      <c r="F14" s="35" t="n">
        <f aca="false">INDEX('Cash Flow'!$B$2:$BI$2,48+MATCH(F13,INDEX('Cash Flow'!$B$31:$BI$31,49):INDEX('Cash Flow'!$B$31:$BI$31,60),0))</f>
        <v>47968</v>
      </c>
    </row>
    <row r="15" customFormat="false" ht="15" hidden="false" customHeight="false" outlineLevel="0" collapsed="false">
      <c r="A15" s="6" t="s">
        <v>568</v>
      </c>
      <c r="B15" s="15" t="n">
        <f aca="false">IF(Summary!B$24=0,0,B12/(Summary!B$24/365))</f>
        <v>93.3500043902292</v>
      </c>
      <c r="C15" s="15" t="n">
        <f aca="false">IF(Summary!C$24=0,0,C12/(Summary!C$24/365))</f>
        <v>97.8262079844483</v>
      </c>
      <c r="D15" s="15" t="n">
        <f aca="false">IF(Summary!D$24=0,0,D12/(Summary!D$24/365))</f>
        <v>100.123283310147</v>
      </c>
      <c r="E15" s="15" t="n">
        <f aca="false">IF(Summary!E$24=0,0,E12/(Summary!E$24/365))</f>
        <v>107.074441774715</v>
      </c>
      <c r="F15" s="15" t="n">
        <f aca="false">IF(Summary!F$24=0,0,F12/(Summary!F$24/365))</f>
        <v>114.911467441916</v>
      </c>
    </row>
    <row r="17" customFormat="false" ht="15" hidden="false" customHeight="false" outlineLevel="0" collapsed="false">
      <c r="A17" s="3" t="s">
        <v>569</v>
      </c>
    </row>
    <row r="19" customFormat="false" ht="15" hidden="false" customHeight="false" outlineLevel="0" collapsed="false">
      <c r="A19" s="12" t="s">
        <v>570</v>
      </c>
    </row>
    <row r="20" customFormat="false" ht="15" hidden="false" customHeight="false" outlineLevel="0" collapsed="false">
      <c r="A20" s="4" t="s">
        <v>571</v>
      </c>
      <c r="B20" s="5" t="str">
        <f aca="false">B3</f>
        <v>FY27</v>
      </c>
      <c r="C20" s="5" t="str">
        <f aca="false">C3</f>
        <v>FY28</v>
      </c>
      <c r="D20" s="5" t="str">
        <f aca="false">D3</f>
        <v>FY29</v>
      </c>
      <c r="E20" s="5" t="str">
        <f aca="false">E3</f>
        <v>FY30</v>
      </c>
      <c r="F20" s="5" t="str">
        <f aca="false">F3</f>
        <v>FY31</v>
      </c>
      <c r="G20" s="5" t="s">
        <v>572</v>
      </c>
    </row>
    <row r="21" customFormat="false" ht="15" hidden="false" customHeight="false" outlineLevel="0" collapsed="false">
      <c r="A21" s="3" t="s">
        <v>573</v>
      </c>
    </row>
    <row r="22" customFormat="false" ht="15" hidden="false" customHeight="false" outlineLevel="0" collapsed="false">
      <c r="A22" s="6" t="s">
        <v>538</v>
      </c>
      <c r="B22" s="11" t="n">
        <f aca="false">SUMIFS('Forecast Detail'!G$8:G$400,'Forecast Detail'!$A$8:$A$400,"Revenue",'Forecast Detail'!$F$8:$F$400,"Tuition Plan")</f>
        <v>8592782</v>
      </c>
      <c r="C22" s="11" t="n">
        <f aca="false">SUMIFS('Forecast Detail'!H$8:H$400,'Forecast Detail'!$A$8:$A$400,"Revenue",'Forecast Detail'!$F$8:$F$400,"Tuition Plan")</f>
        <v>9133108.64436703</v>
      </c>
      <c r="D22" s="11" t="n">
        <f aca="false">SUMIFS('Forecast Detail'!I$8:I$400,'Forecast Detail'!$A$8:$A$400,"Revenue",'Forecast Detail'!$F$8:$F$400,"Tuition Plan")</f>
        <v>9462573.08127491</v>
      </c>
      <c r="E22" s="11" t="n">
        <f aca="false">SUMIFS('Forecast Detail'!J$8:J$400,'Forecast Detail'!$A$8:$A$400,"Revenue",'Forecast Detail'!$F$8:$F$400,"Tuition Plan")</f>
        <v>9775890.75912035</v>
      </c>
      <c r="F22" s="11" t="n">
        <f aca="false">SUMIFS('Forecast Detail'!K$8:K$400,'Forecast Detail'!$A$8:$A$400,"Revenue",'Forecast Detail'!$F$8:$F$400,"Tuition Plan")</f>
        <v>10082473.7018883</v>
      </c>
      <c r="G22" s="11" t="n">
        <f aca="false">F22*(1+Inputs!$G$9)</f>
        <v>10485772.6499638</v>
      </c>
    </row>
    <row r="23" customFormat="false" ht="15" hidden="false" customHeight="false" outlineLevel="0" collapsed="false">
      <c r="A23" s="6" t="s">
        <v>539</v>
      </c>
      <c r="B23" s="11" t="n">
        <f aca="false">SUMIFS('Forecast Detail'!G$8:G$400,'Forecast Detail'!$A$8:$A$400,"Revenue",'Forecast Detail'!$F$8:$F$400,"Even")</f>
        <v>149300</v>
      </c>
      <c r="C23" s="11" t="n">
        <f aca="false">SUMIFS('Forecast Detail'!H$8:H$400,'Forecast Detail'!$A$8:$A$400,"Revenue",'Forecast Detail'!$F$8:$F$400,"Even")</f>
        <v>142005.03102</v>
      </c>
      <c r="D23" s="11" t="n">
        <f aca="false">SUMIFS('Forecast Detail'!I$8:I$400,'Forecast Detail'!$A$8:$A$400,"Revenue",'Forecast Detail'!$F$8:$F$400,"Even")</f>
        <v>142005.03102</v>
      </c>
      <c r="E23" s="11" t="n">
        <f aca="false">SUMIFS('Forecast Detail'!J$8:J$400,'Forecast Detail'!$A$8:$A$400,"Revenue",'Forecast Detail'!$F$8:$F$400,"Even")</f>
        <v>142005.03102</v>
      </c>
      <c r="F23" s="11" t="n">
        <f aca="false">SUMIFS('Forecast Detail'!K$8:K$400,'Forecast Detail'!$A$8:$A$400,"Revenue",'Forecast Detail'!$F$8:$F$400,"Even")</f>
        <v>142005.03102</v>
      </c>
      <c r="G23" s="11" t="n">
        <f aca="false">F23*(1+Inputs!$G$9)</f>
        <v>147685.2322608</v>
      </c>
    </row>
    <row r="24" customFormat="false" ht="15" hidden="false" customHeight="false" outlineLevel="0" collapsed="false">
      <c r="A24" s="6" t="s">
        <v>540</v>
      </c>
      <c r="B24" s="11" t="n">
        <f aca="false">SUMIFS('Forecast Detail'!G$8:G$400,'Forecast Detail'!$A$8:$A$400,"Revenue",'Forecast Detail'!$F$8:$F$400,"Jul Lump")</f>
        <v>562300</v>
      </c>
      <c r="C24" s="11" t="n">
        <f aca="false">SUMIFS('Forecast Detail'!H$8:H$400,'Forecast Detail'!$A$8:$A$400,"Revenue",'Forecast Detail'!$F$8:$F$400,"Jul Lump")</f>
        <v>479809.793814433</v>
      </c>
      <c r="D24" s="11" t="n">
        <f aca="false">SUMIFS('Forecast Detail'!I$8:I$400,'Forecast Detail'!$A$8:$A$400,"Revenue",'Forecast Detail'!$F$8:$F$400,"Jul Lump")</f>
        <v>428973.195876289</v>
      </c>
      <c r="E24" s="11" t="n">
        <f aca="false">SUMIFS('Forecast Detail'!J$8:J$400,'Forecast Detail'!$A$8:$A$400,"Revenue",'Forecast Detail'!$F$8:$F$400,"Jul Lump")</f>
        <v>427578.865979381</v>
      </c>
      <c r="F24" s="11" t="n">
        <f aca="false">SUMIFS('Forecast Detail'!K$8:K$400,'Forecast Detail'!$A$8:$A$400,"Revenue",'Forecast Detail'!$F$8:$F$400,"Jul Lump")</f>
        <v>426463.402061856</v>
      </c>
      <c r="G24" s="11" t="n">
        <f aca="false">F24*(1+Inputs!$G$9)</f>
        <v>443521.93814433</v>
      </c>
    </row>
    <row r="25" customFormat="false" ht="15" hidden="false" customHeight="false" outlineLevel="0" collapsed="false">
      <c r="A25" s="6" t="s">
        <v>541</v>
      </c>
      <c r="B25" s="11" t="n">
        <f aca="false">SUMIFS('Forecast Detail'!G$8:G$400,'Forecast Detail'!$A$8:$A$400,"Revenue",'Forecast Detail'!$F$8:$F$400,"Custom A")</f>
        <v>0</v>
      </c>
      <c r="C25" s="11" t="n">
        <f aca="false">SUMIFS('Forecast Detail'!H$8:H$400,'Forecast Detail'!$A$8:$A$400,"Revenue",'Forecast Detail'!$F$8:$F$400,"Custom A")</f>
        <v>0</v>
      </c>
      <c r="D25" s="11" t="n">
        <f aca="false">SUMIFS('Forecast Detail'!I$8:I$400,'Forecast Detail'!$A$8:$A$400,"Revenue",'Forecast Detail'!$F$8:$F$400,"Custom A")</f>
        <v>0</v>
      </c>
      <c r="E25" s="11" t="n">
        <f aca="false">SUMIFS('Forecast Detail'!J$8:J$400,'Forecast Detail'!$A$8:$A$400,"Revenue",'Forecast Detail'!$F$8:$F$400,"Custom A")</f>
        <v>0</v>
      </c>
      <c r="F25" s="11" t="n">
        <f aca="false">SUMIFS('Forecast Detail'!K$8:K$400,'Forecast Detail'!$A$8:$A$400,"Revenue",'Forecast Detail'!$F$8:$F$400,"Custom A")</f>
        <v>0</v>
      </c>
      <c r="G25" s="11" t="n">
        <f aca="false">F25*(1+Inputs!$G$9)</f>
        <v>0</v>
      </c>
    </row>
    <row r="26" customFormat="false" ht="15" hidden="false" customHeight="false" outlineLevel="0" collapsed="false">
      <c r="A26" s="6" t="s">
        <v>542</v>
      </c>
      <c r="B26" s="11" t="n">
        <f aca="false">SUMIFS('Forecast Detail'!G$8:G$400,'Forecast Detail'!$A$8:$A$400,"Revenue",'Forecast Detail'!$F$8:$F$400,"Custom B")</f>
        <v>0</v>
      </c>
      <c r="C26" s="11" t="n">
        <f aca="false">SUMIFS('Forecast Detail'!H$8:H$400,'Forecast Detail'!$A$8:$A$400,"Revenue",'Forecast Detail'!$F$8:$F$400,"Custom B")</f>
        <v>0</v>
      </c>
      <c r="D26" s="11" t="n">
        <f aca="false">SUMIFS('Forecast Detail'!I$8:I$400,'Forecast Detail'!$A$8:$A$400,"Revenue",'Forecast Detail'!$F$8:$F$400,"Custom B")</f>
        <v>0</v>
      </c>
      <c r="E26" s="11" t="n">
        <f aca="false">SUMIFS('Forecast Detail'!J$8:J$400,'Forecast Detail'!$A$8:$A$400,"Revenue",'Forecast Detail'!$F$8:$F$400,"Custom B")</f>
        <v>0</v>
      </c>
      <c r="F26" s="11" t="n">
        <f aca="false">SUMIFS('Forecast Detail'!K$8:K$400,'Forecast Detail'!$A$8:$A$400,"Revenue",'Forecast Detail'!$F$8:$F$400,"Custom B")</f>
        <v>0</v>
      </c>
      <c r="G26" s="11" t="n">
        <f aca="false">F26*(1+Inputs!$G$9)</f>
        <v>0</v>
      </c>
    </row>
    <row r="28" customFormat="false" ht="15" hidden="false" customHeight="false" outlineLevel="0" collapsed="false">
      <c r="A28" s="12" t="s">
        <v>574</v>
      </c>
    </row>
    <row r="29" customFormat="false" ht="15" hidden="false" customHeight="false" outlineLevel="0" collapsed="false">
      <c r="A29" s="6" t="s">
        <v>538</v>
      </c>
      <c r="B29" s="11" t="n">
        <f aca="false">SUMIFS('Forecast Detail'!G$8:G$400,'Forecast Detail'!$A$8:$A$400,"Expense",'Forecast Detail'!$F$8:$F$400,"Tuition Plan")</f>
        <v>0</v>
      </c>
      <c r="C29" s="11" t="n">
        <f aca="false">SUMIFS('Forecast Detail'!H$8:H$400,'Forecast Detail'!$A$8:$A$400,"Expense",'Forecast Detail'!$F$8:$F$400,"Tuition Plan")</f>
        <v>0</v>
      </c>
      <c r="D29" s="11" t="n">
        <f aca="false">SUMIFS('Forecast Detail'!I$8:I$400,'Forecast Detail'!$A$8:$A$400,"Expense",'Forecast Detail'!$F$8:$F$400,"Tuition Plan")</f>
        <v>0</v>
      </c>
      <c r="E29" s="11" t="n">
        <f aca="false">SUMIFS('Forecast Detail'!J$8:J$400,'Forecast Detail'!$A$8:$A$400,"Expense",'Forecast Detail'!$F$8:$F$400,"Tuition Plan")</f>
        <v>0</v>
      </c>
      <c r="F29" s="11" t="n">
        <f aca="false">SUMIFS('Forecast Detail'!K$8:K$400,'Forecast Detail'!$A$8:$A$400,"Expense",'Forecast Detail'!$F$8:$F$400,"Tuition Plan")</f>
        <v>0</v>
      </c>
      <c r="G29" s="11" t="n">
        <f aca="false">F29*(1+Inputs!$G$12)</f>
        <v>0</v>
      </c>
    </row>
    <row r="30" customFormat="false" ht="15" hidden="false" customHeight="false" outlineLevel="0" collapsed="false">
      <c r="A30" s="6" t="s">
        <v>539</v>
      </c>
      <c r="B30" s="11" t="n">
        <f aca="false">SUMIFS('Forecast Detail'!G$8:G$400,'Forecast Detail'!$A$8:$A$400,"Expense",'Forecast Detail'!$F$8:$F$400,"Even")</f>
        <v>9302740</v>
      </c>
      <c r="C30" s="11" t="n">
        <f aca="false">SUMIFS('Forecast Detail'!H$8:H$400,'Forecast Detail'!$A$8:$A$400,"Expense",'Forecast Detail'!$F$8:$F$400,"Even")</f>
        <v>9601691.7906983</v>
      </c>
      <c r="D30" s="11" t="n">
        <f aca="false">SUMIFS('Forecast Detail'!I$8:I$400,'Forecast Detail'!$A$8:$A$400,"Expense",'Forecast Detail'!$F$8:$F$400,"Even")</f>
        <v>9881580.53625986</v>
      </c>
      <c r="E30" s="11" t="n">
        <f aca="false">SUMIFS('Forecast Detail'!J$8:J$400,'Forecast Detail'!$A$8:$A$400,"Expense",'Forecast Detail'!$F$8:$F$400,"Even")</f>
        <v>10041060.0022617</v>
      </c>
      <c r="F30" s="11" t="n">
        <f aca="false">SUMIFS('Forecast Detail'!K$8:K$400,'Forecast Detail'!$A$8:$A$400,"Expense",'Forecast Detail'!$F$8:$F$400,"Even")</f>
        <v>10271581.2221874</v>
      </c>
      <c r="G30" s="11" t="n">
        <f aca="false">F30*(1+Inputs!$G$12)</f>
        <v>10579728.658853</v>
      </c>
    </row>
    <row r="31" customFormat="false" ht="15" hidden="false" customHeight="false" outlineLevel="0" collapsed="false">
      <c r="A31" s="6" t="s">
        <v>540</v>
      </c>
      <c r="B31" s="11" t="n">
        <f aca="false">SUMIFS('Forecast Detail'!G$8:G$400,'Forecast Detail'!$A$8:$A$400,"Expense",'Forecast Detail'!$F$8:$F$400,"Jul Lump")</f>
        <v>0</v>
      </c>
      <c r="C31" s="11" t="n">
        <f aca="false">SUMIFS('Forecast Detail'!H$8:H$400,'Forecast Detail'!$A$8:$A$400,"Expense",'Forecast Detail'!$F$8:$F$400,"Jul Lump")</f>
        <v>0</v>
      </c>
      <c r="D31" s="11" t="n">
        <f aca="false">SUMIFS('Forecast Detail'!I$8:I$400,'Forecast Detail'!$A$8:$A$400,"Expense",'Forecast Detail'!$F$8:$F$400,"Jul Lump")</f>
        <v>0</v>
      </c>
      <c r="E31" s="11" t="n">
        <f aca="false">SUMIFS('Forecast Detail'!J$8:J$400,'Forecast Detail'!$A$8:$A$400,"Expense",'Forecast Detail'!$F$8:$F$400,"Jul Lump")</f>
        <v>0</v>
      </c>
      <c r="F31" s="11" t="n">
        <f aca="false">SUMIFS('Forecast Detail'!K$8:K$400,'Forecast Detail'!$A$8:$A$400,"Expense",'Forecast Detail'!$F$8:$F$400,"Jul Lump")</f>
        <v>0</v>
      </c>
      <c r="G31" s="11" t="n">
        <f aca="false">F31*(1+Inputs!$G$12)</f>
        <v>0</v>
      </c>
    </row>
    <row r="32" customFormat="false" ht="15" hidden="false" customHeight="false" outlineLevel="0" collapsed="false">
      <c r="A32" s="6" t="s">
        <v>541</v>
      </c>
      <c r="B32" s="11" t="n">
        <f aca="false">SUMIFS('Forecast Detail'!G$8:G$400,'Forecast Detail'!$A$8:$A$400,"Expense",'Forecast Detail'!$F$8:$F$400,"Custom A")</f>
        <v>0</v>
      </c>
      <c r="C32" s="11" t="n">
        <f aca="false">SUMIFS('Forecast Detail'!H$8:H$400,'Forecast Detail'!$A$8:$A$400,"Expense",'Forecast Detail'!$F$8:$F$400,"Custom A")</f>
        <v>0</v>
      </c>
      <c r="D32" s="11" t="n">
        <f aca="false">SUMIFS('Forecast Detail'!I$8:I$400,'Forecast Detail'!$A$8:$A$400,"Expense",'Forecast Detail'!$F$8:$F$400,"Custom A")</f>
        <v>0</v>
      </c>
      <c r="E32" s="11" t="n">
        <f aca="false">SUMIFS('Forecast Detail'!J$8:J$400,'Forecast Detail'!$A$8:$A$400,"Expense",'Forecast Detail'!$F$8:$F$400,"Custom A")</f>
        <v>0</v>
      </c>
      <c r="F32" s="11" t="n">
        <f aca="false">SUMIFS('Forecast Detail'!K$8:K$400,'Forecast Detail'!$A$8:$A$400,"Expense",'Forecast Detail'!$F$8:$F$400,"Custom A")</f>
        <v>0</v>
      </c>
      <c r="G32" s="11" t="n">
        <f aca="false">F32*(1+Inputs!$G$12)</f>
        <v>0</v>
      </c>
    </row>
    <row r="33" customFormat="false" ht="15" hidden="false" customHeight="false" outlineLevel="0" collapsed="false">
      <c r="A33" s="6" t="s">
        <v>542</v>
      </c>
      <c r="B33" s="11" t="n">
        <f aca="false">SUMIFS('Forecast Detail'!G$8:G$400,'Forecast Detail'!$A$8:$A$400,"Expense",'Forecast Detail'!$F$8:$F$400,"Custom B")</f>
        <v>0</v>
      </c>
      <c r="C33" s="11" t="n">
        <f aca="false">SUMIFS('Forecast Detail'!H$8:H$400,'Forecast Detail'!$A$8:$A$400,"Expense",'Forecast Detail'!$F$8:$F$400,"Custom B")</f>
        <v>0</v>
      </c>
      <c r="D33" s="11" t="n">
        <f aca="false">SUMIFS('Forecast Detail'!I$8:I$400,'Forecast Detail'!$A$8:$A$400,"Expense",'Forecast Detail'!$F$8:$F$400,"Custom B")</f>
        <v>0</v>
      </c>
      <c r="E33" s="11" t="n">
        <f aca="false">SUMIFS('Forecast Detail'!J$8:J$400,'Forecast Detail'!$A$8:$A$400,"Expense",'Forecast Detail'!$F$8:$F$400,"Custom B")</f>
        <v>0</v>
      </c>
      <c r="F33" s="11" t="n">
        <f aca="false">SUMIFS('Forecast Detail'!K$8:K$400,'Forecast Detail'!$A$8:$A$400,"Expense",'Forecast Detail'!$F$8:$F$400,"Custom B")</f>
        <v>0</v>
      </c>
      <c r="G33" s="11" t="n">
        <f aca="false">F33*(1+Inputs!$G$12)</f>
        <v>0</v>
      </c>
    </row>
  </sheetData>
  <conditionalFormatting sqref="B13:F13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16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6" t="s">
        <v>575</v>
      </c>
      <c r="D1" s="36" t="str">
        <f aca="false">TRIM(A1)</f>
        <v>Budget Overview__Budget_FY27_P&amp;L___Report</v>
      </c>
      <c r="E1" s="36" t="str">
        <f aca="false">IF(D1="Revenue","Revenue",IF(D1="Cost of Goods Sold","COGS",IF(D1="Expenditures","Expense",IF(D1="Other Revenue","Other Revenue",IF(D1="Other Expenditures","Other Expense","")))))</f>
        <v/>
      </c>
      <c r="F1" s="36" t="str">
        <f aca="false">IF(OR(D1="Revenue",D1="Cost of Goods Sold",D1="Expenditures",D1="Other Revenue",D1="Other Expenditures"),E1,IF(AND(LEN(D1)&gt;2,MID(D1,2,1)=" ",ISNUMBER(VALUE(LEFT(D1,1)))),D1,""))</f>
        <v/>
      </c>
      <c r="G1" s="36" t="n">
        <f aca="false">IF(AND(D1&lt;&gt;"",ISNUMBER(B1),LEFT(D1,9)&lt;&gt;"Total for",D1&lt;&gt;"Gross Profit",D1&lt;&gt;"Net Operating Revenue",D1&lt;&gt;"Net Other Revenue",D1&lt;&gt;"Net Revenue"),1,0)</f>
        <v>0</v>
      </c>
      <c r="H1" s="36" t="str">
        <f aca="false">IF(G1=1,IF(AND(LEN(D1)&gt;7,ISNUMBER(VALUE(LEFT(D1,6))),MID(D1,7,1)=" "),LEFT(D1,6),D1),"")</f>
        <v/>
      </c>
      <c r="I1" s="36" t="str">
        <f aca="false">IF(G1=1,IF(COUNTIF('Forecast Detail'!$C$8:$C$400,H1)=0,"UNMAPPED","OK"),"")</f>
        <v/>
      </c>
      <c r="K1" s="12" t="s">
        <v>576</v>
      </c>
    </row>
    <row r="2" customFormat="false" ht="15" hidden="false" customHeight="false" outlineLevel="0" collapsed="false">
      <c r="A2" s="6" t="s">
        <v>577</v>
      </c>
      <c r="D2" s="36" t="str">
        <f aca="false">TRIM(A2)</f>
        <v>July, 2026-June, 2027</v>
      </c>
      <c r="E2" s="36" t="str">
        <f aca="false">IF(D2="Revenue","Revenue",IF(D2="Cost of Goods Sold","COGS",IF(D2="Expenditures","Expense",IF(D2="Other Revenue","Other Revenue",IF(D2="Other Expenditures","Other Expense",E1)))))</f>
        <v/>
      </c>
      <c r="F2" s="36" t="str">
        <f aca="false">IF(OR(D2="Revenue",D2="Cost of Goods Sold",D2="Expenditures",D2="Other Revenue",D2="Other Expenditures"),E2,IF(AND(LEN(D2)&gt;2,MID(D2,2,1)=" ",ISNUMBER(VALUE(LEFT(D2,1)))),D2,F1))</f>
        <v/>
      </c>
      <c r="G2" s="36" t="n">
        <f aca="false">IF(AND(D2&lt;&gt;"",ISNUMBER(B2),LEFT(D2,9)&lt;&gt;"Total for",D2&lt;&gt;"Gross Profit",D2&lt;&gt;"Net Operating Revenue",D2&lt;&gt;"Net Other Revenue",D2&lt;&gt;"Net Revenue"),1,0)</f>
        <v>0</v>
      </c>
      <c r="H2" s="36" t="str">
        <f aca="false">IF(G2=1,IF(AND(LEN(D2)&gt;7,ISNUMBER(VALUE(LEFT(D2,6))),MID(D2,7,1)=" "),LEFT(D2,6),D2),"")</f>
        <v/>
      </c>
      <c r="I2" s="36" t="str">
        <f aca="false">IF(G2=1,IF(COUNTIF('Forecast Detail'!$C$8:$C$400,H2)=0,"UNMAPPED","OK"),"")</f>
        <v/>
      </c>
      <c r="K2" s="6" t="s">
        <v>578</v>
      </c>
    </row>
    <row r="3" customFormat="false" ht="15" hidden="false" customHeight="false" outlineLevel="0" collapsed="false">
      <c r="D3" s="36" t="str">
        <f aca="false">TRIM(A3)</f>
        <v/>
      </c>
      <c r="E3" s="36" t="str">
        <f aca="false">IF(D3="Revenue","Revenue",IF(D3="Cost of Goods Sold","COGS",IF(D3="Expenditures","Expense",IF(D3="Other Revenue","Other Revenue",IF(D3="Other Expenditures","Other Expense",E2)))))</f>
        <v/>
      </c>
      <c r="F3" s="36" t="str">
        <f aca="false">IF(OR(D3="Revenue",D3="Cost of Goods Sold",D3="Expenditures",D3="Other Revenue",D3="Other Expenditures"),E3,IF(AND(LEN(D3)&gt;2,MID(D3,2,1)=" ",ISNUMBER(VALUE(LEFT(D3,1)))),D3,F2))</f>
        <v/>
      </c>
      <c r="G3" s="36" t="n">
        <f aca="false">IF(AND(D3&lt;&gt;"",ISNUMBER(B3),LEFT(D3,9)&lt;&gt;"Total for",D3&lt;&gt;"Gross Profit",D3&lt;&gt;"Net Operating Revenue",D3&lt;&gt;"Net Other Revenue",D3&lt;&gt;"Net Revenue"),1,0)</f>
        <v>0</v>
      </c>
      <c r="H3" s="36" t="str">
        <f aca="false">IF(G3=1,IF(AND(LEN(D3)&gt;7,ISNUMBER(VALUE(LEFT(D3,6))),MID(D3,7,1)=" "),LEFT(D3,6),D3),"")</f>
        <v/>
      </c>
      <c r="I3" s="36" t="str">
        <f aca="false">IF(G3=1,IF(COUNTIF('Forecast Detail'!$C$8:$C$400,H3)=0,"UNMAPPED","OK"),"")</f>
        <v/>
      </c>
      <c r="K3" s="6" t="s">
        <v>579</v>
      </c>
    </row>
    <row r="4" customFormat="false" ht="15" hidden="false" customHeight="false" outlineLevel="0" collapsed="false">
      <c r="A4" s="6"/>
      <c r="B4" s="11" t="s">
        <v>580</v>
      </c>
      <c r="C4" s="11" t="s">
        <v>125</v>
      </c>
      <c r="D4" s="36" t="str">
        <f aca="false">TRIM(A4)</f>
        <v/>
      </c>
      <c r="E4" s="36" t="str">
        <f aca="false">IF(D4="Revenue","Revenue",IF(D4="Cost of Goods Sold","COGS",IF(D4="Expenditures","Expense",IF(D4="Other Revenue","Other Revenue",IF(D4="Other Expenditures","Other Expense",E3)))))</f>
        <v/>
      </c>
      <c r="F4" s="36" t="str">
        <f aca="false">IF(OR(D4="Revenue",D4="Cost of Goods Sold",D4="Expenditures",D4="Other Revenue",D4="Other Expenditures"),E4,IF(AND(LEN(D4)&gt;2,MID(D4,2,1)=" ",ISNUMBER(VALUE(LEFT(D4,1)))),D4,F3))</f>
        <v/>
      </c>
      <c r="G4" s="36" t="n">
        <f aca="false">IF(AND(D4&lt;&gt;"",ISNUMBER(B4),LEFT(D4,9)&lt;&gt;"Total for",D4&lt;&gt;"Gross Profit",D4&lt;&gt;"Net Operating Revenue",D4&lt;&gt;"Net Other Revenue",D4&lt;&gt;"Net Revenue"),1,0)</f>
        <v>0</v>
      </c>
      <c r="H4" s="36" t="str">
        <f aca="false">IF(G4=1,IF(AND(LEN(D4)&gt;7,ISNUMBER(VALUE(LEFT(D4,6))),MID(D4,7,1)=" "),LEFT(D4,6),D4),"")</f>
        <v/>
      </c>
      <c r="I4" s="36" t="str">
        <f aca="false">IF(G4=1,IF(COUNTIF('Forecast Detail'!$C$8:$C$400,H4)=0,"UNMAPPED","OK"),"")</f>
        <v/>
      </c>
      <c r="K4" s="6" t="s">
        <v>581</v>
      </c>
    </row>
    <row r="5" customFormat="false" ht="15" hidden="false" customHeight="false" outlineLevel="0" collapsed="false">
      <c r="A5" s="6" t="s">
        <v>177</v>
      </c>
      <c r="D5" s="36" t="str">
        <f aca="false">TRIM(A5)</f>
        <v>Revenue</v>
      </c>
      <c r="E5" s="36" t="str">
        <f aca="false">IF(D5="Revenue","Revenue",IF(D5="Cost of Goods Sold","COGS",IF(D5="Expenditures","Expense",IF(D5="Other Revenue","Other Revenue",IF(D5="Other Expenditures","Other Expense",E4)))))</f>
        <v>Revenue</v>
      </c>
      <c r="F5" s="36" t="str">
        <f aca="false">IF(OR(D5="Revenue",D5="Cost of Goods Sold",D5="Expenditures",D5="Other Revenue",D5="Other Expenditures"),E5,IF(AND(LEN(D5)&gt;2,MID(D5,2,1)=" ",ISNUMBER(VALUE(LEFT(D5,1)))),D5,F4))</f>
        <v>Revenue</v>
      </c>
      <c r="G5" s="36" t="n">
        <f aca="false">IF(AND(D5&lt;&gt;"",ISNUMBER(B5),LEFT(D5,9)&lt;&gt;"Total for",D5&lt;&gt;"Gross Profit",D5&lt;&gt;"Net Operating Revenue",D5&lt;&gt;"Net Other Revenue",D5&lt;&gt;"Net Revenue"),1,0)</f>
        <v>0</v>
      </c>
      <c r="H5" s="36" t="str">
        <f aca="false">IF(G5=1,IF(AND(LEN(D5)&gt;7,ISNUMBER(VALUE(LEFT(D5,6))),MID(D5,7,1)=" "),LEFT(D5,6),D5),"")</f>
        <v/>
      </c>
      <c r="I5" s="36" t="str">
        <f aca="false">IF(G5=1,IF(COUNTIF('Forecast Detail'!$C$8:$C$400,H5)=0,"UNMAPPED","OK"),"")</f>
        <v/>
      </c>
      <c r="K5" s="6" t="s">
        <v>582</v>
      </c>
    </row>
    <row r="6" customFormat="false" ht="15" hidden="false" customHeight="false" outlineLevel="0" collapsed="false">
      <c r="A6" s="6" t="s">
        <v>8</v>
      </c>
      <c r="D6" s="36" t="str">
        <f aca="false">TRIM(A6)</f>
        <v>1 Tuition and Fees</v>
      </c>
      <c r="E6" s="36" t="str">
        <f aca="false">IF(D6="Revenue","Revenue",IF(D6="Cost of Goods Sold","COGS",IF(D6="Expenditures","Expense",IF(D6="Other Revenue","Other Revenue",IF(D6="Other Expenditures","Other Expense",E5)))))</f>
        <v>Revenue</v>
      </c>
      <c r="F6" s="36" t="str">
        <f aca="false">IF(OR(D6="Revenue",D6="Cost of Goods Sold",D6="Expenditures",D6="Other Revenue",D6="Other Expenditures"),E6,IF(AND(LEN(D6)&gt;2,MID(D6,2,1)=" ",ISNUMBER(VALUE(LEFT(D6,1)))),D6,F5))</f>
        <v>1 Tuition and Fees</v>
      </c>
      <c r="G6" s="36" t="n">
        <f aca="false">IF(AND(D6&lt;&gt;"",ISNUMBER(B6),LEFT(D6,9)&lt;&gt;"Total for",D6&lt;&gt;"Gross Profit",D6&lt;&gt;"Net Operating Revenue",D6&lt;&gt;"Net Other Revenue",D6&lt;&gt;"Net Revenue"),1,0)</f>
        <v>0</v>
      </c>
      <c r="H6" s="36" t="str">
        <f aca="false">IF(G6=1,IF(AND(LEN(D6)&gt;7,ISNUMBER(VALUE(LEFT(D6,6))),MID(D6,7,1)=" "),LEFT(D6,6),D6),"")</f>
        <v/>
      </c>
      <c r="I6" s="36" t="str">
        <f aca="false">IF(G6=1,IF(COUNTIF('Forecast Detail'!$C$8:$C$400,H6)=0,"UNMAPPED","OK"),"")</f>
        <v/>
      </c>
      <c r="K6" s="6" t="s">
        <v>583</v>
      </c>
    </row>
    <row r="7" customFormat="false" ht="15" hidden="false" customHeight="false" outlineLevel="0" collapsed="false">
      <c r="A7" s="6" t="s">
        <v>584</v>
      </c>
      <c r="D7" s="36" t="str">
        <f aca="false">TRIM(A7)</f>
        <v>Gross Tuition</v>
      </c>
      <c r="E7" s="36" t="str">
        <f aca="false">IF(D7="Revenue","Revenue",IF(D7="Cost of Goods Sold","COGS",IF(D7="Expenditures","Expense",IF(D7="Other Revenue","Other Revenue",IF(D7="Other Expenditures","Other Expense",E6)))))</f>
        <v>Revenue</v>
      </c>
      <c r="F7" s="36" t="str">
        <f aca="false">IF(OR(D7="Revenue",D7="Cost of Goods Sold",D7="Expenditures",D7="Other Revenue",D7="Other Expenditures"),E7,IF(AND(LEN(D7)&gt;2,MID(D7,2,1)=" ",ISNUMBER(VALUE(LEFT(D7,1)))),D7,F6))</f>
        <v>1 Tuition and Fees</v>
      </c>
      <c r="G7" s="36" t="n">
        <f aca="false">IF(AND(D7&lt;&gt;"",ISNUMBER(B7),LEFT(D7,9)&lt;&gt;"Total for",D7&lt;&gt;"Gross Profit",D7&lt;&gt;"Net Operating Revenue",D7&lt;&gt;"Net Other Revenue",D7&lt;&gt;"Net Revenue"),1,0)</f>
        <v>0</v>
      </c>
      <c r="H7" s="36" t="str">
        <f aca="false">IF(G7=1,IF(AND(LEN(D7)&gt;7,ISNUMBER(VALUE(LEFT(D7,6))),MID(D7,7,1)=" "),LEFT(D7,6),D7),"")</f>
        <v/>
      </c>
      <c r="I7" s="36" t="str">
        <f aca="false">IF(G7=1,IF(COUNTIF('Forecast Detail'!$C$8:$C$400,H7)=0,"UNMAPPED","OK"),"")</f>
        <v/>
      </c>
      <c r="K7" s="6" t="s">
        <v>585</v>
      </c>
    </row>
    <row r="8" customFormat="false" ht="15" hidden="false" customHeight="false" outlineLevel="0" collapsed="false">
      <c r="A8" s="6" t="s">
        <v>179</v>
      </c>
      <c r="B8" s="11" t="n">
        <v>7858980</v>
      </c>
      <c r="C8" s="11" t="n">
        <f aca="false">B8</f>
        <v>7858980</v>
      </c>
      <c r="D8" s="36" t="str">
        <f aca="false">TRIM(A8)</f>
        <v>400186 Tuition Income</v>
      </c>
      <c r="E8" s="36" t="str">
        <f aca="false">IF(D8="Revenue","Revenue",IF(D8="Cost of Goods Sold","COGS",IF(D8="Expenditures","Expense",IF(D8="Other Revenue","Other Revenue",IF(D8="Other Expenditures","Other Expense",E7)))))</f>
        <v>Revenue</v>
      </c>
      <c r="F8" s="36" t="str">
        <f aca="false">IF(OR(D8="Revenue",D8="Cost of Goods Sold",D8="Expenditures",D8="Other Revenue",D8="Other Expenditures"),E8,IF(AND(LEN(D8)&gt;2,MID(D8,2,1)=" ",ISNUMBER(VALUE(LEFT(D8,1)))),D8,F7))</f>
        <v>1 Tuition and Fees</v>
      </c>
      <c r="G8" s="36" t="n">
        <f aca="false">IF(AND(D8&lt;&gt;"",ISNUMBER(B8),LEFT(D8,9)&lt;&gt;"Total for",D8&lt;&gt;"Gross Profit",D8&lt;&gt;"Net Operating Revenue",D8&lt;&gt;"Net Other Revenue",D8&lt;&gt;"Net Revenue"),1,0)</f>
        <v>1</v>
      </c>
      <c r="H8" s="36" t="str">
        <f aca="false">IF(G8=1,IF(AND(LEN(D8)&gt;7,ISNUMBER(VALUE(LEFT(D8,6))),MID(D8,7,1)=" "),LEFT(D8,6),D8),"")</f>
        <v>400186</v>
      </c>
      <c r="I8" s="36" t="str">
        <f aca="false">IF(G8=1,IF(COUNTIF('Forecast Detail'!$C$8:$C$400,H8)=0,"UNMAPPED","OK"),"")</f>
        <v>OK</v>
      </c>
      <c r="K8" s="6" t="s">
        <v>586</v>
      </c>
    </row>
    <row r="9" customFormat="false" ht="15" hidden="false" customHeight="false" outlineLevel="0" collapsed="false">
      <c r="A9" s="6" t="s">
        <v>182</v>
      </c>
      <c r="B9" s="11" t="n">
        <v>410000</v>
      </c>
      <c r="C9" s="11" t="n">
        <f aca="false">B9</f>
        <v>410000</v>
      </c>
      <c r="D9" s="36" t="str">
        <f aca="false">TRIM(A9)</f>
        <v>400187 Scholarship for Kids Tuition</v>
      </c>
      <c r="E9" s="36" t="str">
        <f aca="false">IF(D9="Revenue","Revenue",IF(D9="Cost of Goods Sold","COGS",IF(D9="Expenditures","Expense",IF(D9="Other Revenue","Other Revenue",IF(D9="Other Expenditures","Other Expense",E8)))))</f>
        <v>Revenue</v>
      </c>
      <c r="F9" s="36" t="str">
        <f aca="false">IF(OR(D9="Revenue",D9="Cost of Goods Sold",D9="Expenditures",D9="Other Revenue",D9="Other Expenditures"),E9,IF(AND(LEN(D9)&gt;2,MID(D9,2,1)=" ",ISNUMBER(VALUE(LEFT(D9,1)))),D9,F8))</f>
        <v>1 Tuition and Fees</v>
      </c>
      <c r="G9" s="36" t="n">
        <f aca="false">IF(AND(D9&lt;&gt;"",ISNUMBER(B9),LEFT(D9,9)&lt;&gt;"Total for",D9&lt;&gt;"Gross Profit",D9&lt;&gt;"Net Operating Revenue",D9&lt;&gt;"Net Other Revenue",D9&lt;&gt;"Net Revenue"),1,0)</f>
        <v>1</v>
      </c>
      <c r="H9" s="36" t="str">
        <f aca="false">IF(G9=1,IF(AND(LEN(D9)&gt;7,ISNUMBER(VALUE(LEFT(D9,6))),MID(D9,7,1)=" "),LEFT(D9,6),D9),"")</f>
        <v>400187</v>
      </c>
      <c r="I9" s="36" t="str">
        <f aca="false">IF(G9=1,IF(COUNTIF('Forecast Detail'!$C$8:$C$400,H9)=0,"UNMAPPED","OK"),"")</f>
        <v>OK</v>
      </c>
    </row>
    <row r="10" customFormat="false" ht="15" hidden="false" customHeight="false" outlineLevel="0" collapsed="false">
      <c r="A10" s="6" t="s">
        <v>185</v>
      </c>
      <c r="B10" s="11" t="n">
        <v>616000</v>
      </c>
      <c r="C10" s="11" t="n">
        <f aca="false">B10</f>
        <v>616000</v>
      </c>
      <c r="D10" s="36" t="str">
        <f aca="false">TRIM(A10)</f>
        <v>400188 Choose Act Tuition</v>
      </c>
      <c r="E10" s="36" t="str">
        <f aca="false">IF(D10="Revenue","Revenue",IF(D10="Cost of Goods Sold","COGS",IF(D10="Expenditures","Expense",IF(D10="Other Revenue","Other Revenue",IF(D10="Other Expenditures","Other Expense",E9)))))</f>
        <v>Revenue</v>
      </c>
      <c r="F10" s="36" t="str">
        <f aca="false">IF(OR(D10="Revenue",D10="Cost of Goods Sold",D10="Expenditures",D10="Other Revenue",D10="Other Expenditures"),E10,IF(AND(LEN(D10)&gt;2,MID(D10,2,1)=" ",ISNUMBER(VALUE(LEFT(D10,1)))),D10,F9))</f>
        <v>1 Tuition and Fees</v>
      </c>
      <c r="G10" s="36" t="n">
        <f aca="false">IF(AND(D10&lt;&gt;"",ISNUMBER(B10),LEFT(D10,9)&lt;&gt;"Total for",D10&lt;&gt;"Gross Profit",D10&lt;&gt;"Net Operating Revenue",D10&lt;&gt;"Net Other Revenue",D10&lt;&gt;"Net Revenue"),1,0)</f>
        <v>1</v>
      </c>
      <c r="H10" s="36" t="str">
        <f aca="false">IF(G10=1,IF(AND(LEN(D10)&gt;7,ISNUMBER(VALUE(LEFT(D10,6))),MID(D10,7,1)=" "),LEFT(D10,6),D10),"")</f>
        <v>400188</v>
      </c>
      <c r="I10" s="36" t="str">
        <f aca="false">IF(G10=1,IF(COUNTIF('Forecast Detail'!$C$8:$C$400,H10)=0,"UNMAPPED","OK"),"")</f>
        <v>OK</v>
      </c>
    </row>
    <row r="11" customFormat="false" ht="15" hidden="false" customHeight="false" outlineLevel="0" collapsed="false">
      <c r="A11" s="6" t="s">
        <v>188</v>
      </c>
      <c r="B11" s="11" t="n">
        <v>0</v>
      </c>
      <c r="C11" s="11" t="n">
        <f aca="false">B11</f>
        <v>0</v>
      </c>
      <c r="D11" s="36" t="str">
        <f aca="false">TRIM(A11)</f>
        <v>400189 AOSF Tuition</v>
      </c>
      <c r="E11" s="36" t="str">
        <f aca="false">IF(D11="Revenue","Revenue",IF(D11="Cost of Goods Sold","COGS",IF(D11="Expenditures","Expense",IF(D11="Other Revenue","Other Revenue",IF(D11="Other Expenditures","Other Expense",E10)))))</f>
        <v>Revenue</v>
      </c>
      <c r="F11" s="36" t="str">
        <f aca="false">IF(OR(D11="Revenue",D11="Cost of Goods Sold",D11="Expenditures",D11="Other Revenue",D11="Other Expenditures"),E11,IF(AND(LEN(D11)&gt;2,MID(D11,2,1)=" ",ISNUMBER(VALUE(LEFT(D11,1)))),D11,F10))</f>
        <v>1 Tuition and Fees</v>
      </c>
      <c r="G11" s="36" t="n">
        <f aca="false">IF(AND(D11&lt;&gt;"",ISNUMBER(B11),LEFT(D11,9)&lt;&gt;"Total for",D11&lt;&gt;"Gross Profit",D11&lt;&gt;"Net Operating Revenue",D11&lt;&gt;"Net Other Revenue",D11&lt;&gt;"Net Revenue"),1,0)</f>
        <v>1</v>
      </c>
      <c r="H11" s="36" t="str">
        <f aca="false">IF(G11=1,IF(AND(LEN(D11)&gt;7,ISNUMBER(VALUE(LEFT(D11,6))),MID(D11,7,1)=" "),LEFT(D11,6),D11),"")</f>
        <v>400189</v>
      </c>
      <c r="I11" s="36" t="str">
        <f aca="false">IF(G11=1,IF(COUNTIF('Forecast Detail'!$C$8:$C$400,H11)=0,"UNMAPPED","OK"),"")</f>
        <v>OK</v>
      </c>
    </row>
    <row r="12" customFormat="false" ht="15" hidden="false" customHeight="false" outlineLevel="0" collapsed="false">
      <c r="A12" s="6" t="s">
        <v>587</v>
      </c>
      <c r="B12" s="11" t="n">
        <f aca="false">B7+B8+B9+B10+B11</f>
        <v>8884980</v>
      </c>
      <c r="C12" s="11" t="n">
        <f aca="false">B12</f>
        <v>8884980</v>
      </c>
      <c r="D12" s="36" t="str">
        <f aca="false">TRIM(A12)</f>
        <v>Total for Gross Tuition</v>
      </c>
      <c r="E12" s="36" t="str">
        <f aca="false">IF(D12="Revenue","Revenue",IF(D12="Cost of Goods Sold","COGS",IF(D12="Expenditures","Expense",IF(D12="Other Revenue","Other Revenue",IF(D12="Other Expenditures","Other Expense",E11)))))</f>
        <v>Revenue</v>
      </c>
      <c r="F12" s="36" t="str">
        <f aca="false">IF(OR(D12="Revenue",D12="Cost of Goods Sold",D12="Expenditures",D12="Other Revenue",D12="Other Expenditures"),E12,IF(AND(LEN(D12)&gt;2,MID(D12,2,1)=" ",ISNUMBER(VALUE(LEFT(D12,1)))),D12,F11))</f>
        <v>1 Tuition and Fees</v>
      </c>
      <c r="G12" s="36" t="n">
        <f aca="false">IF(AND(D12&lt;&gt;"",ISNUMBER(B12),LEFT(D12,9)&lt;&gt;"Total for",D12&lt;&gt;"Gross Profit",D12&lt;&gt;"Net Operating Revenue",D12&lt;&gt;"Net Other Revenue",D12&lt;&gt;"Net Revenue"),1,0)</f>
        <v>0</v>
      </c>
      <c r="H12" s="36" t="str">
        <f aca="false">IF(G12=1,IF(AND(LEN(D12)&gt;7,ISNUMBER(VALUE(LEFT(D12,6))),MID(D12,7,1)=" "),LEFT(D12,6),D12),"")</f>
        <v/>
      </c>
      <c r="I12" s="36" t="str">
        <f aca="false">IF(G12=1,IF(COUNTIF('Forecast Detail'!$C$8:$C$400,H12)=0,"UNMAPPED","OK"),"")</f>
        <v/>
      </c>
    </row>
    <row r="13" customFormat="false" ht="15" hidden="false" customHeight="false" outlineLevel="0" collapsed="false">
      <c r="A13" s="6" t="s">
        <v>588</v>
      </c>
      <c r="D13" s="36" t="str">
        <f aca="false">TRIM(A13)</f>
        <v>Other Tuition-Related Fees</v>
      </c>
      <c r="E13" s="36" t="str">
        <f aca="false">IF(D13="Revenue","Revenue",IF(D13="Cost of Goods Sold","COGS",IF(D13="Expenditures","Expense",IF(D13="Other Revenue","Other Revenue",IF(D13="Other Expenditures","Other Expense",E12)))))</f>
        <v>Revenue</v>
      </c>
      <c r="F13" s="36" t="str">
        <f aca="false">IF(OR(D13="Revenue",D13="Cost of Goods Sold",D13="Expenditures",D13="Other Revenue",D13="Other Expenditures"),E13,IF(AND(LEN(D13)&gt;2,MID(D13,2,1)=" ",ISNUMBER(VALUE(LEFT(D13,1)))),D13,F12))</f>
        <v>1 Tuition and Fees</v>
      </c>
      <c r="G13" s="36" t="n">
        <f aca="false">IF(AND(D13&lt;&gt;"",ISNUMBER(B13),LEFT(D13,9)&lt;&gt;"Total for",D13&lt;&gt;"Gross Profit",D13&lt;&gt;"Net Operating Revenue",D13&lt;&gt;"Net Other Revenue",D13&lt;&gt;"Net Revenue"),1,0)</f>
        <v>0</v>
      </c>
      <c r="H13" s="36" t="str">
        <f aca="false">IF(G13=1,IF(AND(LEN(D13)&gt;7,ISNUMBER(VALUE(LEFT(D13,6))),MID(D13,7,1)=" "),LEFT(D13,6),D13),"")</f>
        <v/>
      </c>
      <c r="I13" s="36" t="str">
        <f aca="false">IF(G13=1,IF(COUNTIF('Forecast Detail'!$C$8:$C$400,H13)=0,"UNMAPPED","OK"),"")</f>
        <v/>
      </c>
    </row>
    <row r="14" customFormat="false" ht="15" hidden="false" customHeight="false" outlineLevel="0" collapsed="false">
      <c r="A14" s="6" t="s">
        <v>190</v>
      </c>
      <c r="B14" s="11" t="n">
        <v>35000</v>
      </c>
      <c r="C14" s="11" t="n">
        <f aca="false">B14</f>
        <v>35000</v>
      </c>
      <c r="D14" s="36" t="str">
        <f aca="false">TRIM(A14)</f>
        <v>400180 Building Fees</v>
      </c>
      <c r="E14" s="36" t="str">
        <f aca="false">IF(D14="Revenue","Revenue",IF(D14="Cost of Goods Sold","COGS",IF(D14="Expenditures","Expense",IF(D14="Other Revenue","Other Revenue",IF(D14="Other Expenditures","Other Expense",E13)))))</f>
        <v>Revenue</v>
      </c>
      <c r="F14" s="36" t="str">
        <f aca="false">IF(OR(D14="Revenue",D14="Cost of Goods Sold",D14="Expenditures",D14="Other Revenue",D14="Other Expenditures"),E14,IF(AND(LEN(D14)&gt;2,MID(D14,2,1)=" ",ISNUMBER(VALUE(LEFT(D14,1)))),D14,F13))</f>
        <v>1 Tuition and Fees</v>
      </c>
      <c r="G14" s="36" t="n">
        <f aca="false">IF(AND(D14&lt;&gt;"",ISNUMBER(B14),LEFT(D14,9)&lt;&gt;"Total for",D14&lt;&gt;"Gross Profit",D14&lt;&gt;"Net Operating Revenue",D14&lt;&gt;"Net Other Revenue",D14&lt;&gt;"Net Revenue"),1,0)</f>
        <v>1</v>
      </c>
      <c r="H14" s="36" t="str">
        <f aca="false">IF(G14=1,IF(AND(LEN(D14)&gt;7,ISNUMBER(VALUE(LEFT(D14,6))),MID(D14,7,1)=" "),LEFT(D14,6),D14),"")</f>
        <v>400180</v>
      </c>
      <c r="I14" s="36" t="str">
        <f aca="false">IF(G14=1,IF(COUNTIF('Forecast Detail'!$C$8:$C$400,H14)=0,"UNMAPPED","OK"),"")</f>
        <v>OK</v>
      </c>
    </row>
    <row r="15" customFormat="false" ht="15" hidden="false" customHeight="false" outlineLevel="0" collapsed="false">
      <c r="A15" s="6" t="s">
        <v>192</v>
      </c>
      <c r="B15" s="11" t="n">
        <v>162300</v>
      </c>
      <c r="C15" s="11" t="n">
        <f aca="false">B15</f>
        <v>162300</v>
      </c>
      <c r="D15" s="36" t="str">
        <f aca="false">TRIM(A15)</f>
        <v>400181 Enrollment Fees</v>
      </c>
      <c r="E15" s="36" t="str">
        <f aca="false">IF(D15="Revenue","Revenue",IF(D15="Cost of Goods Sold","COGS",IF(D15="Expenditures","Expense",IF(D15="Other Revenue","Other Revenue",IF(D15="Other Expenditures","Other Expense",E14)))))</f>
        <v>Revenue</v>
      </c>
      <c r="F15" s="36" t="str">
        <f aca="false">IF(OR(D15="Revenue",D15="Cost of Goods Sold",D15="Expenditures",D15="Other Revenue",D15="Other Expenditures"),E15,IF(AND(LEN(D15)&gt;2,MID(D15,2,1)=" ",ISNUMBER(VALUE(LEFT(D15,1)))),D15,F14))</f>
        <v>1 Tuition and Fees</v>
      </c>
      <c r="G15" s="36" t="n">
        <f aca="false">IF(AND(D15&lt;&gt;"",ISNUMBER(B15),LEFT(D15,9)&lt;&gt;"Total for",D15&lt;&gt;"Gross Profit",D15&lt;&gt;"Net Operating Revenue",D15&lt;&gt;"Net Other Revenue",D15&lt;&gt;"Net Revenue"),1,0)</f>
        <v>1</v>
      </c>
      <c r="H15" s="36" t="str">
        <f aca="false">IF(G15=1,IF(AND(LEN(D15)&gt;7,ISNUMBER(VALUE(LEFT(D15,6))),MID(D15,7,1)=" "),LEFT(D15,6),D15),"")</f>
        <v>400181</v>
      </c>
      <c r="I15" s="36" t="str">
        <f aca="false">IF(G15=1,IF(COUNTIF('Forecast Detail'!$C$8:$C$400,H15)=0,"UNMAPPED","OK"),"")</f>
        <v>OK</v>
      </c>
    </row>
    <row r="16" customFormat="false" ht="15" hidden="false" customHeight="false" outlineLevel="0" collapsed="false">
      <c r="A16" s="6" t="s">
        <v>195</v>
      </c>
      <c r="B16" s="11" t="n">
        <v>139000</v>
      </c>
      <c r="C16" s="11" t="n">
        <f aca="false">B16</f>
        <v>139000</v>
      </c>
      <c r="D16" s="36" t="str">
        <f aca="false">TRIM(A16)</f>
        <v>400183 Tuition Insurance Income</v>
      </c>
      <c r="E16" s="36" t="str">
        <f aca="false">IF(D16="Revenue","Revenue",IF(D16="Cost of Goods Sold","COGS",IF(D16="Expenditures","Expense",IF(D16="Other Revenue","Other Revenue",IF(D16="Other Expenditures","Other Expense",E15)))))</f>
        <v>Revenue</v>
      </c>
      <c r="F16" s="36" t="str">
        <f aca="false">IF(OR(D16="Revenue",D16="Cost of Goods Sold",D16="Expenditures",D16="Other Revenue",D16="Other Expenditures"),E16,IF(AND(LEN(D16)&gt;2,MID(D16,2,1)=" ",ISNUMBER(VALUE(LEFT(D16,1)))),D16,F15))</f>
        <v>1 Tuition and Fees</v>
      </c>
      <c r="G16" s="36" t="n">
        <f aca="false">IF(AND(D16&lt;&gt;"",ISNUMBER(B16),LEFT(D16,9)&lt;&gt;"Total for",D16&lt;&gt;"Gross Profit",D16&lt;&gt;"Net Operating Revenue",D16&lt;&gt;"Net Other Revenue",D16&lt;&gt;"Net Revenue"),1,0)</f>
        <v>1</v>
      </c>
      <c r="H16" s="36" t="str">
        <f aca="false">IF(G16=1,IF(AND(LEN(D16)&gt;7,ISNUMBER(VALUE(LEFT(D16,6))),MID(D16,7,1)=" "),LEFT(D16,6),D16),"")</f>
        <v>400183</v>
      </c>
      <c r="I16" s="36" t="str">
        <f aca="false">IF(G16=1,IF(COUNTIF('Forecast Detail'!$C$8:$C$400,H16)=0,"UNMAPPED","OK"),"")</f>
        <v>OK</v>
      </c>
    </row>
    <row r="17" customFormat="false" ht="15" hidden="false" customHeight="false" outlineLevel="0" collapsed="false">
      <c r="A17" s="6" t="s">
        <v>197</v>
      </c>
      <c r="B17" s="11" t="n">
        <v>0</v>
      </c>
      <c r="C17" s="11" t="n">
        <f aca="false">B17</f>
        <v>0</v>
      </c>
      <c r="D17" s="36" t="str">
        <f aca="false">TRIM(A17)</f>
        <v>400184 Application Fees</v>
      </c>
      <c r="E17" s="36" t="str">
        <f aca="false">IF(D17="Revenue","Revenue",IF(D17="Cost of Goods Sold","COGS",IF(D17="Expenditures","Expense",IF(D17="Other Revenue","Other Revenue",IF(D17="Other Expenditures","Other Expense",E16)))))</f>
        <v>Revenue</v>
      </c>
      <c r="F17" s="36" t="str">
        <f aca="false">IF(OR(D17="Revenue",D17="Cost of Goods Sold",D17="Expenditures",D17="Other Revenue",D17="Other Expenditures"),E17,IF(AND(LEN(D17)&gt;2,MID(D17,2,1)=" ",ISNUMBER(VALUE(LEFT(D17,1)))),D17,F16))</f>
        <v>1 Tuition and Fees</v>
      </c>
      <c r="G17" s="36" t="n">
        <f aca="false">IF(AND(D17&lt;&gt;"",ISNUMBER(B17),LEFT(D17,9)&lt;&gt;"Total for",D17&lt;&gt;"Gross Profit",D17&lt;&gt;"Net Operating Revenue",D17&lt;&gt;"Net Other Revenue",D17&lt;&gt;"Net Revenue"),1,0)</f>
        <v>1</v>
      </c>
      <c r="H17" s="36" t="str">
        <f aca="false">IF(G17=1,IF(AND(LEN(D17)&gt;7,ISNUMBER(VALUE(LEFT(D17,6))),MID(D17,7,1)=" "),LEFT(D17,6),D17),"")</f>
        <v>400184</v>
      </c>
      <c r="I17" s="36" t="str">
        <f aca="false">IF(G17=1,IF(COUNTIF('Forecast Detail'!$C$8:$C$400,H17)=0,"UNMAPPED","OK"),"")</f>
        <v>OK</v>
      </c>
    </row>
    <row r="18" customFormat="false" ht="15" hidden="false" customHeight="false" outlineLevel="0" collapsed="false">
      <c r="A18" s="6" t="s">
        <v>199</v>
      </c>
      <c r="B18" s="11" t="n">
        <v>0</v>
      </c>
      <c r="C18" s="11" t="n">
        <f aca="false">B18</f>
        <v>0</v>
      </c>
      <c r="D18" s="36" t="str">
        <f aca="false">TRIM(A18)</f>
        <v>400185 Enrollment Fee Waived - Alumni Credit</v>
      </c>
      <c r="E18" s="36" t="str">
        <f aca="false">IF(D18="Revenue","Revenue",IF(D18="Cost of Goods Sold","COGS",IF(D18="Expenditures","Expense",IF(D18="Other Revenue","Other Revenue",IF(D18="Other Expenditures","Other Expense",E17)))))</f>
        <v>Revenue</v>
      </c>
      <c r="F18" s="36" t="str">
        <f aca="false">IF(OR(D18="Revenue",D18="Cost of Goods Sold",D18="Expenditures",D18="Other Revenue",D18="Other Expenditures"),E18,IF(AND(LEN(D18)&gt;2,MID(D18,2,1)=" ",ISNUMBER(VALUE(LEFT(D18,1)))),D18,F17))</f>
        <v>1 Tuition and Fees</v>
      </c>
      <c r="G18" s="36" t="n">
        <f aca="false">IF(AND(D18&lt;&gt;"",ISNUMBER(B18),LEFT(D18,9)&lt;&gt;"Total for",D18&lt;&gt;"Gross Profit",D18&lt;&gt;"Net Operating Revenue",D18&lt;&gt;"Net Other Revenue",D18&lt;&gt;"Net Revenue"),1,0)</f>
        <v>1</v>
      </c>
      <c r="H18" s="36" t="str">
        <f aca="false">IF(G18=1,IF(AND(LEN(D18)&gt;7,ISNUMBER(VALUE(LEFT(D18,6))),MID(D18,7,1)=" "),LEFT(D18,6),D18),"")</f>
        <v>400185</v>
      </c>
      <c r="I18" s="36" t="str">
        <f aca="false">IF(G18=1,IF(COUNTIF('Forecast Detail'!$C$8:$C$400,H18)=0,"UNMAPPED","OK"),"")</f>
        <v>OK</v>
      </c>
    </row>
    <row r="19" customFormat="false" ht="15" hidden="false" customHeight="false" outlineLevel="0" collapsed="false">
      <c r="A19" s="6" t="s">
        <v>201</v>
      </c>
      <c r="B19" s="11" t="n">
        <v>0</v>
      </c>
      <c r="C19" s="11" t="n">
        <f aca="false">B19</f>
        <v>0</v>
      </c>
      <c r="D19" s="36" t="str">
        <f aca="false">TRIM(A19)</f>
        <v>400199 Fee - Tuition Discount</v>
      </c>
      <c r="E19" s="36" t="str">
        <f aca="false">IF(D19="Revenue","Revenue",IF(D19="Cost of Goods Sold","COGS",IF(D19="Expenditures","Expense",IF(D19="Other Revenue","Other Revenue",IF(D19="Other Expenditures","Other Expense",E18)))))</f>
        <v>Revenue</v>
      </c>
      <c r="F19" s="36" t="str">
        <f aca="false">IF(OR(D19="Revenue",D19="Cost of Goods Sold",D19="Expenditures",D19="Other Revenue",D19="Other Expenditures"),E19,IF(AND(LEN(D19)&gt;2,MID(D19,2,1)=" ",ISNUMBER(VALUE(LEFT(D19,1)))),D19,F18))</f>
        <v>1 Tuition and Fees</v>
      </c>
      <c r="G19" s="36" t="n">
        <f aca="false">IF(AND(D19&lt;&gt;"",ISNUMBER(B19),LEFT(D19,9)&lt;&gt;"Total for",D19&lt;&gt;"Gross Profit",D19&lt;&gt;"Net Operating Revenue",D19&lt;&gt;"Net Other Revenue",D19&lt;&gt;"Net Revenue"),1,0)</f>
        <v>1</v>
      </c>
      <c r="H19" s="36" t="str">
        <f aca="false">IF(G19=1,IF(AND(LEN(D19)&gt;7,ISNUMBER(VALUE(LEFT(D19,6))),MID(D19,7,1)=" "),LEFT(D19,6),D19),"")</f>
        <v>400199</v>
      </c>
      <c r="I19" s="36" t="str">
        <f aca="false">IF(G19=1,IF(COUNTIF('Forecast Detail'!$C$8:$C$400,H19)=0,"UNMAPPED","OK"),"")</f>
        <v>OK</v>
      </c>
    </row>
    <row r="20" customFormat="false" ht="15" hidden="false" customHeight="false" outlineLevel="0" collapsed="false">
      <c r="A20" s="6" t="s">
        <v>203</v>
      </c>
      <c r="B20" s="11" t="n">
        <v>0</v>
      </c>
      <c r="C20" s="11" t="n">
        <f aca="false">B20</f>
        <v>0</v>
      </c>
      <c r="D20" s="36" t="str">
        <f aca="false">TRIM(A20)</f>
        <v>400201 Referral Fee - Tuition Discount</v>
      </c>
      <c r="E20" s="36" t="str">
        <f aca="false">IF(D20="Revenue","Revenue",IF(D20="Cost of Goods Sold","COGS",IF(D20="Expenditures","Expense",IF(D20="Other Revenue","Other Revenue",IF(D20="Other Expenditures","Other Expense",E19)))))</f>
        <v>Revenue</v>
      </c>
      <c r="F20" s="36" t="str">
        <f aca="false">IF(OR(D20="Revenue",D20="Cost of Goods Sold",D20="Expenditures",D20="Other Revenue",D20="Other Expenditures"),E20,IF(AND(LEN(D20)&gt;2,MID(D20,2,1)=" ",ISNUMBER(VALUE(LEFT(D20,1)))),D20,F19))</f>
        <v>1 Tuition and Fees</v>
      </c>
      <c r="G20" s="36" t="n">
        <f aca="false">IF(AND(D20&lt;&gt;"",ISNUMBER(B20),LEFT(D20,9)&lt;&gt;"Total for",D20&lt;&gt;"Gross Profit",D20&lt;&gt;"Net Operating Revenue",D20&lt;&gt;"Net Other Revenue",D20&lt;&gt;"Net Revenue"),1,0)</f>
        <v>1</v>
      </c>
      <c r="H20" s="36" t="str">
        <f aca="false">IF(G20=1,IF(AND(LEN(D20)&gt;7,ISNUMBER(VALUE(LEFT(D20,6))),MID(D20,7,1)=" "),LEFT(D20,6),D20),"")</f>
        <v>400201</v>
      </c>
      <c r="I20" s="36" t="str">
        <f aca="false">IF(G20=1,IF(COUNTIF('Forecast Detail'!$C$8:$C$400,H20)=0,"UNMAPPED","OK"),"")</f>
        <v>OK</v>
      </c>
    </row>
    <row r="21" customFormat="false" ht="15" hidden="false" customHeight="false" outlineLevel="0" collapsed="false">
      <c r="A21" s="6" t="s">
        <v>589</v>
      </c>
      <c r="D21" s="36" t="str">
        <f aca="false">TRIM(A21)</f>
        <v>Other Income-Late Fees</v>
      </c>
      <c r="E21" s="36" t="str">
        <f aca="false">IF(D21="Revenue","Revenue",IF(D21="Cost of Goods Sold","COGS",IF(D21="Expenditures","Expense",IF(D21="Other Revenue","Other Revenue",IF(D21="Other Expenditures","Other Expense",E20)))))</f>
        <v>Revenue</v>
      </c>
      <c r="F21" s="36" t="str">
        <f aca="false">IF(OR(D21="Revenue",D21="Cost of Goods Sold",D21="Expenditures",D21="Other Revenue",D21="Other Expenditures"),E21,IF(AND(LEN(D21)&gt;2,MID(D21,2,1)=" ",ISNUMBER(VALUE(LEFT(D21,1)))),D21,F20))</f>
        <v>1 Tuition and Fees</v>
      </c>
      <c r="G21" s="36" t="n">
        <f aca="false">IF(AND(D21&lt;&gt;"",ISNUMBER(B21),LEFT(D21,9)&lt;&gt;"Total for",D21&lt;&gt;"Gross Profit",D21&lt;&gt;"Net Operating Revenue",D21&lt;&gt;"Net Other Revenue",D21&lt;&gt;"Net Revenue"),1,0)</f>
        <v>0</v>
      </c>
      <c r="H21" s="36" t="str">
        <f aca="false">IF(G21=1,IF(AND(LEN(D21)&gt;7,ISNUMBER(VALUE(LEFT(D21,6))),MID(D21,7,1)=" "),LEFT(D21,6),D21),"")</f>
        <v/>
      </c>
      <c r="I21" s="36" t="str">
        <f aca="false">IF(G21=1,IF(COUNTIF('Forecast Detail'!$C$8:$C$400,H21)=0,"UNMAPPED","OK"),"")</f>
        <v/>
      </c>
    </row>
    <row r="22" customFormat="false" ht="15" hidden="false" customHeight="false" outlineLevel="0" collapsed="false">
      <c r="A22" s="6" t="s">
        <v>205</v>
      </c>
      <c r="B22" s="11" t="n">
        <v>9300</v>
      </c>
      <c r="C22" s="11" t="n">
        <f aca="false">B22</f>
        <v>9300</v>
      </c>
      <c r="D22" s="36" t="str">
        <f aca="false">TRIM(A22)</f>
        <v>400126 Late Fees</v>
      </c>
      <c r="E22" s="36" t="str">
        <f aca="false">IF(D22="Revenue","Revenue",IF(D22="Cost of Goods Sold","COGS",IF(D22="Expenditures","Expense",IF(D22="Other Revenue","Other Revenue",IF(D22="Other Expenditures","Other Expense",E21)))))</f>
        <v>Revenue</v>
      </c>
      <c r="F22" s="36" t="str">
        <f aca="false">IF(OR(D22="Revenue",D22="Cost of Goods Sold",D22="Expenditures",D22="Other Revenue",D22="Other Expenditures"),E22,IF(AND(LEN(D22)&gt;2,MID(D22,2,1)=" ",ISNUMBER(VALUE(LEFT(D22,1)))),D22,F21))</f>
        <v>1 Tuition and Fees</v>
      </c>
      <c r="G22" s="36" t="n">
        <f aca="false">IF(AND(D22&lt;&gt;"",ISNUMBER(B22),LEFT(D22,9)&lt;&gt;"Total for",D22&lt;&gt;"Gross Profit",D22&lt;&gt;"Net Operating Revenue",D22&lt;&gt;"Net Other Revenue",D22&lt;&gt;"Net Revenue"),1,0)</f>
        <v>1</v>
      </c>
      <c r="H22" s="36" t="str">
        <f aca="false">IF(G22=1,IF(AND(LEN(D22)&gt;7,ISNUMBER(VALUE(LEFT(D22,6))),MID(D22,7,1)=" "),LEFT(D22,6),D22),"")</f>
        <v>400126</v>
      </c>
      <c r="I22" s="36" t="str">
        <f aca="false">IF(G22=1,IF(COUNTIF('Forecast Detail'!$C$8:$C$400,H22)=0,"UNMAPPED","OK"),"")</f>
        <v>OK</v>
      </c>
    </row>
    <row r="23" customFormat="false" ht="15" hidden="false" customHeight="false" outlineLevel="0" collapsed="false">
      <c r="A23" s="6" t="s">
        <v>207</v>
      </c>
      <c r="B23" s="11" t="n">
        <v>0</v>
      </c>
      <c r="C23" s="11" t="n">
        <f aca="false">B23</f>
        <v>0</v>
      </c>
      <c r="D23" s="36" t="str">
        <f aca="false">TRIM(A23)</f>
        <v>400127 Waived Late Fees</v>
      </c>
      <c r="E23" s="36" t="str">
        <f aca="false">IF(D23="Revenue","Revenue",IF(D23="Cost of Goods Sold","COGS",IF(D23="Expenditures","Expense",IF(D23="Other Revenue","Other Revenue",IF(D23="Other Expenditures","Other Expense",E22)))))</f>
        <v>Revenue</v>
      </c>
      <c r="F23" s="36" t="str">
        <f aca="false">IF(OR(D23="Revenue",D23="Cost of Goods Sold",D23="Expenditures",D23="Other Revenue",D23="Other Expenditures"),E23,IF(AND(LEN(D23)&gt;2,MID(D23,2,1)=" ",ISNUMBER(VALUE(LEFT(D23,1)))),D23,F22))</f>
        <v>1 Tuition and Fees</v>
      </c>
      <c r="G23" s="36" t="n">
        <f aca="false">IF(AND(D23&lt;&gt;"",ISNUMBER(B23),LEFT(D23,9)&lt;&gt;"Total for",D23&lt;&gt;"Gross Profit",D23&lt;&gt;"Net Operating Revenue",D23&lt;&gt;"Net Other Revenue",D23&lt;&gt;"Net Revenue"),1,0)</f>
        <v>1</v>
      </c>
      <c r="H23" s="36" t="str">
        <f aca="false">IF(G23=1,IF(AND(LEN(D23)&gt;7,ISNUMBER(VALUE(LEFT(D23,6))),MID(D23,7,1)=" "),LEFT(D23,6),D23),"")</f>
        <v>400127</v>
      </c>
      <c r="I23" s="36" t="str">
        <f aca="false">IF(G23=1,IF(COUNTIF('Forecast Detail'!$C$8:$C$400,H23)=0,"UNMAPPED","OK"),"")</f>
        <v>OK</v>
      </c>
    </row>
    <row r="24" customFormat="false" ht="15" hidden="false" customHeight="false" outlineLevel="0" collapsed="false">
      <c r="A24" s="6" t="s">
        <v>209</v>
      </c>
      <c r="B24" s="11" t="n">
        <v>0</v>
      </c>
      <c r="C24" s="11" t="n">
        <f aca="false">B24</f>
        <v>0</v>
      </c>
      <c r="D24" s="36" t="str">
        <f aca="false">TRIM(A24)</f>
        <v>400128 Late Fees - Past Due Accounts</v>
      </c>
      <c r="E24" s="36" t="str">
        <f aca="false">IF(D24="Revenue","Revenue",IF(D24="Cost of Goods Sold","COGS",IF(D24="Expenditures","Expense",IF(D24="Other Revenue","Other Revenue",IF(D24="Other Expenditures","Other Expense",E23)))))</f>
        <v>Revenue</v>
      </c>
      <c r="F24" s="36" t="str">
        <f aca="false">IF(OR(D24="Revenue",D24="Cost of Goods Sold",D24="Expenditures",D24="Other Revenue",D24="Other Expenditures"),E24,IF(AND(LEN(D24)&gt;2,MID(D24,2,1)=" ",ISNUMBER(VALUE(LEFT(D24,1)))),D24,F23))</f>
        <v>1 Tuition and Fees</v>
      </c>
      <c r="G24" s="36" t="n">
        <f aca="false">IF(AND(D24&lt;&gt;"",ISNUMBER(B24),LEFT(D24,9)&lt;&gt;"Total for",D24&lt;&gt;"Gross Profit",D24&lt;&gt;"Net Operating Revenue",D24&lt;&gt;"Net Other Revenue",D24&lt;&gt;"Net Revenue"),1,0)</f>
        <v>1</v>
      </c>
      <c r="H24" s="36" t="str">
        <f aca="false">IF(G24=1,IF(AND(LEN(D24)&gt;7,ISNUMBER(VALUE(LEFT(D24,6))),MID(D24,7,1)=" "),LEFT(D24,6),D24),"")</f>
        <v>400128</v>
      </c>
      <c r="I24" s="36" t="str">
        <f aca="false">IF(G24=1,IF(COUNTIF('Forecast Detail'!$C$8:$C$400,H24)=0,"UNMAPPED","OK"),"")</f>
        <v>OK</v>
      </c>
    </row>
    <row r="25" customFormat="false" ht="15" hidden="false" customHeight="false" outlineLevel="0" collapsed="false">
      <c r="A25" s="6" t="s">
        <v>590</v>
      </c>
      <c r="B25" s="11" t="n">
        <f aca="false">B21+B22+B23+B24</f>
        <v>9300</v>
      </c>
      <c r="C25" s="11" t="n">
        <f aca="false">B25</f>
        <v>9300</v>
      </c>
      <c r="D25" s="36" t="str">
        <f aca="false">TRIM(A25)</f>
        <v>Total for Other Income-Late Fees</v>
      </c>
      <c r="E25" s="36" t="str">
        <f aca="false">IF(D25="Revenue","Revenue",IF(D25="Cost of Goods Sold","COGS",IF(D25="Expenditures","Expense",IF(D25="Other Revenue","Other Revenue",IF(D25="Other Expenditures","Other Expense",E24)))))</f>
        <v>Revenue</v>
      </c>
      <c r="F25" s="36" t="str">
        <f aca="false">IF(OR(D25="Revenue",D25="Cost of Goods Sold",D25="Expenditures",D25="Other Revenue",D25="Other Expenditures"),E25,IF(AND(LEN(D25)&gt;2,MID(D25,2,1)=" ",ISNUMBER(VALUE(LEFT(D25,1)))),D25,F24))</f>
        <v>1 Tuition and Fees</v>
      </c>
      <c r="G25" s="36" t="n">
        <f aca="false">IF(AND(D25&lt;&gt;"",ISNUMBER(B25),LEFT(D25,9)&lt;&gt;"Total for",D25&lt;&gt;"Gross Profit",D25&lt;&gt;"Net Operating Revenue",D25&lt;&gt;"Net Other Revenue",D25&lt;&gt;"Net Revenue"),1,0)</f>
        <v>0</v>
      </c>
      <c r="H25" s="36" t="str">
        <f aca="false">IF(G25=1,IF(AND(LEN(D25)&gt;7,ISNUMBER(VALUE(LEFT(D25,6))),MID(D25,7,1)=" "),LEFT(D25,6),D25),"")</f>
        <v/>
      </c>
      <c r="I25" s="36" t="str">
        <f aca="false">IF(G25=1,IF(COUNTIF('Forecast Detail'!$C$8:$C$400,H25)=0,"UNMAPPED","OK"),"")</f>
        <v/>
      </c>
    </row>
    <row r="26" customFormat="false" ht="15" hidden="false" customHeight="false" outlineLevel="0" collapsed="false">
      <c r="A26" s="6" t="s">
        <v>591</v>
      </c>
      <c r="B26" s="11" t="n">
        <f aca="false">B13+B14+B15+B16+B17+B18+B19+B20+B25</f>
        <v>345600</v>
      </c>
      <c r="C26" s="11" t="n">
        <f aca="false">B26</f>
        <v>345600</v>
      </c>
      <c r="D26" s="36" t="str">
        <f aca="false">TRIM(A26)</f>
        <v>Total for Other Tuition-Related Fees</v>
      </c>
      <c r="E26" s="36" t="str">
        <f aca="false">IF(D26="Revenue","Revenue",IF(D26="Cost of Goods Sold","COGS",IF(D26="Expenditures","Expense",IF(D26="Other Revenue","Other Revenue",IF(D26="Other Expenditures","Other Expense",E25)))))</f>
        <v>Revenue</v>
      </c>
      <c r="F26" s="36" t="str">
        <f aca="false">IF(OR(D26="Revenue",D26="Cost of Goods Sold",D26="Expenditures",D26="Other Revenue",D26="Other Expenditures"),E26,IF(AND(LEN(D26)&gt;2,MID(D26,2,1)=" ",ISNUMBER(VALUE(LEFT(D26,1)))),D26,F25))</f>
        <v>1 Tuition and Fees</v>
      </c>
      <c r="G26" s="36" t="n">
        <f aca="false">IF(AND(D26&lt;&gt;"",ISNUMBER(B26),LEFT(D26,9)&lt;&gt;"Total for",D26&lt;&gt;"Gross Profit",D26&lt;&gt;"Net Operating Revenue",D26&lt;&gt;"Net Other Revenue",D26&lt;&gt;"Net Revenue"),1,0)</f>
        <v>0</v>
      </c>
      <c r="H26" s="36" t="str">
        <f aca="false">IF(G26=1,IF(AND(LEN(D26)&gt;7,ISNUMBER(VALUE(LEFT(D26,6))),MID(D26,7,1)=" "),LEFT(D26,6),D26),"")</f>
        <v/>
      </c>
      <c r="I26" s="36" t="str">
        <f aca="false">IF(G26=1,IF(COUNTIF('Forecast Detail'!$C$8:$C$400,H26)=0,"UNMAPPED","OK"),"")</f>
        <v/>
      </c>
    </row>
    <row r="27" customFormat="false" ht="15" hidden="false" customHeight="false" outlineLevel="0" collapsed="false">
      <c r="A27" s="6" t="s">
        <v>592</v>
      </c>
      <c r="D27" s="36" t="str">
        <f aca="false">TRIM(A27)</f>
        <v>Tuition Discounts</v>
      </c>
      <c r="E27" s="36" t="str">
        <f aca="false">IF(D27="Revenue","Revenue",IF(D27="Cost of Goods Sold","COGS",IF(D27="Expenditures","Expense",IF(D27="Other Revenue","Other Revenue",IF(D27="Other Expenditures","Other Expense",E26)))))</f>
        <v>Revenue</v>
      </c>
      <c r="F27" s="36" t="str">
        <f aca="false">IF(OR(D27="Revenue",D27="Cost of Goods Sold",D27="Expenditures",D27="Other Revenue",D27="Other Expenditures"),E27,IF(AND(LEN(D27)&gt;2,MID(D27,2,1)=" ",ISNUMBER(VALUE(LEFT(D27,1)))),D27,F26))</f>
        <v>1 Tuition and Fees</v>
      </c>
      <c r="G27" s="36" t="n">
        <f aca="false">IF(AND(D27&lt;&gt;"",ISNUMBER(B27),LEFT(D27,9)&lt;&gt;"Total for",D27&lt;&gt;"Gross Profit",D27&lt;&gt;"Net Operating Revenue",D27&lt;&gt;"Net Other Revenue",D27&lt;&gt;"Net Revenue"),1,0)</f>
        <v>0</v>
      </c>
      <c r="H27" s="36" t="str">
        <f aca="false">IF(G27=1,IF(AND(LEN(D27)&gt;7,ISNUMBER(VALUE(LEFT(D27,6))),MID(D27,7,1)=" "),LEFT(D27,6),D27),"")</f>
        <v/>
      </c>
      <c r="I27" s="36" t="str">
        <f aca="false">IF(G27=1,IF(COUNTIF('Forecast Detail'!$C$8:$C$400,H27)=0,"UNMAPPED","OK"),"")</f>
        <v/>
      </c>
    </row>
    <row r="28" customFormat="false" ht="15" hidden="false" customHeight="false" outlineLevel="0" collapsed="false">
      <c r="A28" s="6" t="s">
        <v>211</v>
      </c>
      <c r="B28" s="11" t="n">
        <v>-16070</v>
      </c>
      <c r="C28" s="11" t="n">
        <f aca="false">B28</f>
        <v>-16070</v>
      </c>
      <c r="D28" s="36" t="str">
        <f aca="false">TRIM(A28)</f>
        <v>400193 Pastoral Discount</v>
      </c>
      <c r="E28" s="36" t="str">
        <f aca="false">IF(D28="Revenue","Revenue",IF(D28="Cost of Goods Sold","COGS",IF(D28="Expenditures","Expense",IF(D28="Other Revenue","Other Revenue",IF(D28="Other Expenditures","Other Expense",E27)))))</f>
        <v>Revenue</v>
      </c>
      <c r="F28" s="36" t="str">
        <f aca="false">IF(OR(D28="Revenue",D28="Cost of Goods Sold",D28="Expenditures",D28="Other Revenue",D28="Other Expenditures"),E28,IF(AND(LEN(D28)&gt;2,MID(D28,2,1)=" ",ISNUMBER(VALUE(LEFT(D28,1)))),D28,F27))</f>
        <v>1 Tuition and Fees</v>
      </c>
      <c r="G28" s="36" t="n">
        <f aca="false">IF(AND(D28&lt;&gt;"",ISNUMBER(B28),LEFT(D28,9)&lt;&gt;"Total for",D28&lt;&gt;"Gross Profit",D28&lt;&gt;"Net Operating Revenue",D28&lt;&gt;"Net Other Revenue",D28&lt;&gt;"Net Revenue"),1,0)</f>
        <v>1</v>
      </c>
      <c r="H28" s="36" t="str">
        <f aca="false">IF(G28=1,IF(AND(LEN(D28)&gt;7,ISNUMBER(VALUE(LEFT(D28,6))),MID(D28,7,1)=" "),LEFT(D28,6),D28),"")</f>
        <v>400193</v>
      </c>
      <c r="I28" s="36" t="str">
        <f aca="false">IF(G28=1,IF(COUNTIF('Forecast Detail'!$C$8:$C$400,H28)=0,"UNMAPPED","OK"),"")</f>
        <v>OK</v>
      </c>
    </row>
    <row r="29" customFormat="false" ht="15" hidden="false" customHeight="false" outlineLevel="0" collapsed="false">
      <c r="A29" s="6" t="s">
        <v>213</v>
      </c>
      <c r="B29" s="11" t="n">
        <v>-300000</v>
      </c>
      <c r="C29" s="11" t="n">
        <f aca="false">B29</f>
        <v>-300000</v>
      </c>
      <c r="D29" s="36" t="str">
        <f aca="false">TRIM(A29)</f>
        <v>400194 Grace Based Financial Assistance</v>
      </c>
      <c r="E29" s="36" t="str">
        <f aca="false">IF(D29="Revenue","Revenue",IF(D29="Cost of Goods Sold","COGS",IF(D29="Expenditures","Expense",IF(D29="Other Revenue","Other Revenue",IF(D29="Other Expenditures","Other Expense",E28)))))</f>
        <v>Revenue</v>
      </c>
      <c r="F29" s="36" t="str">
        <f aca="false">IF(OR(D29="Revenue",D29="Cost of Goods Sold",D29="Expenditures",D29="Other Revenue",D29="Other Expenditures"),E29,IF(AND(LEN(D29)&gt;2,MID(D29,2,1)=" ",ISNUMBER(VALUE(LEFT(D29,1)))),D29,F28))</f>
        <v>1 Tuition and Fees</v>
      </c>
      <c r="G29" s="36" t="n">
        <f aca="false">IF(AND(D29&lt;&gt;"",ISNUMBER(B29),LEFT(D29,9)&lt;&gt;"Total for",D29&lt;&gt;"Gross Profit",D29&lt;&gt;"Net Operating Revenue",D29&lt;&gt;"Net Other Revenue",D29&lt;&gt;"Net Revenue"),1,0)</f>
        <v>1</v>
      </c>
      <c r="H29" s="36" t="str">
        <f aca="false">IF(G29=1,IF(AND(LEN(D29)&gt;7,ISNUMBER(VALUE(LEFT(D29,6))),MID(D29,7,1)=" "),LEFT(D29,6),D29),"")</f>
        <v>400194</v>
      </c>
      <c r="I29" s="36" t="str">
        <f aca="false">IF(G29=1,IF(COUNTIF('Forecast Detail'!$C$8:$C$400,H29)=0,"UNMAPPED","OK"),"")</f>
        <v>OK</v>
      </c>
    </row>
    <row r="30" customFormat="false" ht="15" hidden="false" customHeight="false" outlineLevel="0" collapsed="false">
      <c r="A30" s="6" t="s">
        <v>215</v>
      </c>
      <c r="B30" s="11" t="n">
        <v>-49675</v>
      </c>
      <c r="C30" s="11" t="n">
        <f aca="false">B30</f>
        <v>-49675</v>
      </c>
      <c r="D30" s="36" t="str">
        <f aca="false">TRIM(A30)</f>
        <v>400195 Multi-Child Discounts</v>
      </c>
      <c r="E30" s="36" t="str">
        <f aca="false">IF(D30="Revenue","Revenue",IF(D30="Cost of Goods Sold","COGS",IF(D30="Expenditures","Expense",IF(D30="Other Revenue","Other Revenue",IF(D30="Other Expenditures","Other Expense",E29)))))</f>
        <v>Revenue</v>
      </c>
      <c r="F30" s="36" t="str">
        <f aca="false">IF(OR(D30="Revenue",D30="Cost of Goods Sold",D30="Expenditures",D30="Other Revenue",D30="Other Expenditures"),E30,IF(AND(LEN(D30)&gt;2,MID(D30,2,1)=" ",ISNUMBER(VALUE(LEFT(D30,1)))),D30,F29))</f>
        <v>1 Tuition and Fees</v>
      </c>
      <c r="G30" s="36" t="n">
        <f aca="false">IF(AND(D30&lt;&gt;"",ISNUMBER(B30),LEFT(D30,9)&lt;&gt;"Total for",D30&lt;&gt;"Gross Profit",D30&lt;&gt;"Net Operating Revenue",D30&lt;&gt;"Net Other Revenue",D30&lt;&gt;"Net Revenue"),1,0)</f>
        <v>1</v>
      </c>
      <c r="H30" s="36" t="str">
        <f aca="false">IF(G30=1,IF(AND(LEN(D30)&gt;7,ISNUMBER(VALUE(LEFT(D30,6))),MID(D30,7,1)=" "),LEFT(D30,6),D30),"")</f>
        <v>400195</v>
      </c>
      <c r="I30" s="36" t="str">
        <f aca="false">IF(G30=1,IF(COUNTIF('Forecast Detail'!$C$8:$C$400,H30)=0,"UNMAPPED","OK"),"")</f>
        <v>OK</v>
      </c>
    </row>
    <row r="31" customFormat="false" ht="15" hidden="false" customHeight="false" outlineLevel="0" collapsed="false">
      <c r="A31" s="6" t="s">
        <v>217</v>
      </c>
      <c r="B31" s="11" t="n">
        <v>-65453</v>
      </c>
      <c r="C31" s="11" t="n">
        <f aca="false">B31</f>
        <v>-65453</v>
      </c>
      <c r="D31" s="36" t="str">
        <f aca="false">TRIM(A31)</f>
        <v>400196 Military Discount</v>
      </c>
      <c r="E31" s="36" t="str">
        <f aca="false">IF(D31="Revenue","Revenue",IF(D31="Cost of Goods Sold","COGS",IF(D31="Expenditures","Expense",IF(D31="Other Revenue","Other Revenue",IF(D31="Other Expenditures","Other Expense",E30)))))</f>
        <v>Revenue</v>
      </c>
      <c r="F31" s="36" t="str">
        <f aca="false">IF(OR(D31="Revenue",D31="Cost of Goods Sold",D31="Expenditures",D31="Other Revenue",D31="Other Expenditures"),E31,IF(AND(LEN(D31)&gt;2,MID(D31,2,1)=" ",ISNUMBER(VALUE(LEFT(D31,1)))),D31,F30))</f>
        <v>1 Tuition and Fees</v>
      </c>
      <c r="G31" s="36" t="n">
        <f aca="false">IF(AND(D31&lt;&gt;"",ISNUMBER(B31),LEFT(D31,9)&lt;&gt;"Total for",D31&lt;&gt;"Gross Profit",D31&lt;&gt;"Net Operating Revenue",D31&lt;&gt;"Net Other Revenue",D31&lt;&gt;"Net Revenue"),1,0)</f>
        <v>1</v>
      </c>
      <c r="H31" s="36" t="str">
        <f aca="false">IF(G31=1,IF(AND(LEN(D31)&gt;7,ISNUMBER(VALUE(LEFT(D31,6))),MID(D31,7,1)=" "),LEFT(D31,6),D31),"")</f>
        <v>400196</v>
      </c>
      <c r="I31" s="36" t="str">
        <f aca="false">IF(G31=1,IF(COUNTIF('Forecast Detail'!$C$8:$C$400,H31)=0,"UNMAPPED","OK"),"")</f>
        <v>OK</v>
      </c>
    </row>
    <row r="32" customFormat="false" ht="15" hidden="false" customHeight="false" outlineLevel="0" collapsed="false">
      <c r="A32" s="6" t="s">
        <v>593</v>
      </c>
      <c r="B32" s="11" t="n">
        <f aca="false">B27+B28+B29+B30+B31</f>
        <v>-431198</v>
      </c>
      <c r="C32" s="11" t="n">
        <f aca="false">B32</f>
        <v>-431198</v>
      </c>
      <c r="D32" s="36" t="str">
        <f aca="false">TRIM(A32)</f>
        <v>Total for Tuition Discounts</v>
      </c>
      <c r="E32" s="36" t="str">
        <f aca="false">IF(D32="Revenue","Revenue",IF(D32="Cost of Goods Sold","COGS",IF(D32="Expenditures","Expense",IF(D32="Other Revenue","Other Revenue",IF(D32="Other Expenditures","Other Expense",E31)))))</f>
        <v>Revenue</v>
      </c>
      <c r="F32" s="36" t="str">
        <f aca="false">IF(OR(D32="Revenue",D32="Cost of Goods Sold",D32="Expenditures",D32="Other Revenue",D32="Other Expenditures"),E32,IF(AND(LEN(D32)&gt;2,MID(D32,2,1)=" ",ISNUMBER(VALUE(LEFT(D32,1)))),D32,F31))</f>
        <v>1 Tuition and Fees</v>
      </c>
      <c r="G32" s="36" t="n">
        <f aca="false">IF(AND(D32&lt;&gt;"",ISNUMBER(B32),LEFT(D32,9)&lt;&gt;"Total for",D32&lt;&gt;"Gross Profit",D32&lt;&gt;"Net Operating Revenue",D32&lt;&gt;"Net Other Revenue",D32&lt;&gt;"Net Revenue"),1,0)</f>
        <v>0</v>
      </c>
      <c r="H32" s="36" t="str">
        <f aca="false">IF(G32=1,IF(AND(LEN(D32)&gt;7,ISNUMBER(VALUE(LEFT(D32,6))),MID(D32,7,1)=" "),LEFT(D32,6),D32),"")</f>
        <v/>
      </c>
      <c r="I32" s="36" t="str">
        <f aca="false">IF(G32=1,IF(COUNTIF('Forecast Detail'!$C$8:$C$400,H32)=0,"UNMAPPED","OK"),"")</f>
        <v/>
      </c>
    </row>
    <row r="33" customFormat="false" ht="15" hidden="false" customHeight="false" outlineLevel="0" collapsed="false">
      <c r="A33" s="6" t="s">
        <v>594</v>
      </c>
      <c r="B33" s="11" t="n">
        <f aca="false">B6+B12+B26+B32</f>
        <v>8799382</v>
      </c>
      <c r="C33" s="11" t="n">
        <f aca="false">B33</f>
        <v>8799382</v>
      </c>
      <c r="D33" s="36" t="str">
        <f aca="false">TRIM(A33)</f>
        <v>Total for 1 Tuition and Fees</v>
      </c>
      <c r="E33" s="36" t="str">
        <f aca="false">IF(D33="Revenue","Revenue",IF(D33="Cost of Goods Sold","COGS",IF(D33="Expenditures","Expense",IF(D33="Other Revenue","Other Revenue",IF(D33="Other Expenditures","Other Expense",E32)))))</f>
        <v>Revenue</v>
      </c>
      <c r="F33" s="36" t="str">
        <f aca="false">IF(OR(D33="Revenue",D33="Cost of Goods Sold",D33="Expenditures",D33="Other Revenue",D33="Other Expenditures"),E33,IF(AND(LEN(D33)&gt;2,MID(D33,2,1)=" ",ISNUMBER(VALUE(LEFT(D33,1)))),D33,F32))</f>
        <v>1 Tuition and Fees</v>
      </c>
      <c r="G33" s="36" t="n">
        <f aca="false">IF(AND(D33&lt;&gt;"",ISNUMBER(B33),LEFT(D33,9)&lt;&gt;"Total for",D33&lt;&gt;"Gross Profit",D33&lt;&gt;"Net Operating Revenue",D33&lt;&gt;"Net Other Revenue",D33&lt;&gt;"Net Revenue"),1,0)</f>
        <v>0</v>
      </c>
      <c r="H33" s="36" t="str">
        <f aca="false">IF(G33=1,IF(AND(LEN(D33)&gt;7,ISNUMBER(VALUE(LEFT(D33,6))),MID(D33,7,1)=" "),LEFT(D33,6),D33),"")</f>
        <v/>
      </c>
      <c r="I33" s="36" t="str">
        <f aca="false">IF(G33=1,IF(COUNTIF('Forecast Detail'!$C$8:$C$400,H33)=0,"UNMAPPED","OK"),"")</f>
        <v/>
      </c>
    </row>
    <row r="34" customFormat="false" ht="15" hidden="false" customHeight="false" outlineLevel="0" collapsed="false">
      <c r="A34" s="6" t="s">
        <v>9</v>
      </c>
      <c r="D34" s="36" t="str">
        <f aca="false">TRIM(A34)</f>
        <v>2 Interest and Other Income</v>
      </c>
      <c r="E34" s="36" t="str">
        <f aca="false">IF(D34="Revenue","Revenue",IF(D34="Cost of Goods Sold","COGS",IF(D34="Expenditures","Expense",IF(D34="Other Revenue","Other Revenue",IF(D34="Other Expenditures","Other Expense",E33)))))</f>
        <v>Revenue</v>
      </c>
      <c r="F34" s="36" t="str">
        <f aca="false">IF(OR(D34="Revenue",D34="Cost of Goods Sold",D34="Expenditures",D34="Other Revenue",D34="Other Expenditures"),E34,IF(AND(LEN(D34)&gt;2,MID(D34,2,1)=" ",ISNUMBER(VALUE(LEFT(D34,1)))),D34,F33))</f>
        <v>2 Interest and Other Income</v>
      </c>
      <c r="G34" s="36" t="n">
        <f aca="false">IF(AND(D34&lt;&gt;"",ISNUMBER(B34),LEFT(D34,9)&lt;&gt;"Total for",D34&lt;&gt;"Gross Profit",D34&lt;&gt;"Net Operating Revenue",D34&lt;&gt;"Net Other Revenue",D34&lt;&gt;"Net Revenue"),1,0)</f>
        <v>0</v>
      </c>
      <c r="H34" s="36" t="str">
        <f aca="false">IF(G34=1,IF(AND(LEN(D34)&gt;7,ISNUMBER(VALUE(LEFT(D34,6))),MID(D34,7,1)=" "),LEFT(D34,6),D34),"")</f>
        <v/>
      </c>
      <c r="I34" s="36" t="str">
        <f aca="false">IF(G34=1,IF(COUNTIF('Forecast Detail'!$C$8:$C$400,H34)=0,"UNMAPPED","OK"),"")</f>
        <v/>
      </c>
    </row>
    <row r="35" customFormat="false" ht="15" hidden="false" customHeight="false" outlineLevel="0" collapsed="false">
      <c r="A35" s="6" t="s">
        <v>595</v>
      </c>
      <c r="D35" s="36" t="str">
        <f aca="false">TRIM(A35)</f>
        <v>After School/Summer Day Care</v>
      </c>
      <c r="E35" s="36" t="str">
        <f aca="false">IF(D35="Revenue","Revenue",IF(D35="Cost of Goods Sold","COGS",IF(D35="Expenditures","Expense",IF(D35="Other Revenue","Other Revenue",IF(D35="Other Expenditures","Other Expense",E34)))))</f>
        <v>Revenue</v>
      </c>
      <c r="F35" s="36" t="str">
        <f aca="false">IF(OR(D35="Revenue",D35="Cost of Goods Sold",D35="Expenditures",D35="Other Revenue",D35="Other Expenditures"),E35,IF(AND(LEN(D35)&gt;2,MID(D35,2,1)=" ",ISNUMBER(VALUE(LEFT(D35,1)))),D35,F34))</f>
        <v>2 Interest and Other Income</v>
      </c>
      <c r="G35" s="36" t="n">
        <f aca="false">IF(AND(D35&lt;&gt;"",ISNUMBER(B35),LEFT(D35,9)&lt;&gt;"Total for",D35&lt;&gt;"Gross Profit",D35&lt;&gt;"Net Operating Revenue",D35&lt;&gt;"Net Other Revenue",D35&lt;&gt;"Net Revenue"),1,0)</f>
        <v>0</v>
      </c>
      <c r="H35" s="36" t="str">
        <f aca="false">IF(G35=1,IF(AND(LEN(D35)&gt;7,ISNUMBER(VALUE(LEFT(D35,6))),MID(D35,7,1)=" "),LEFT(D35,6),D35),"")</f>
        <v/>
      </c>
      <c r="I35" s="36" t="str">
        <f aca="false">IF(G35=1,IF(COUNTIF('Forecast Detail'!$C$8:$C$400,H35)=0,"UNMAPPED","OK"),"")</f>
        <v/>
      </c>
    </row>
    <row r="36" customFormat="false" ht="15" hidden="false" customHeight="false" outlineLevel="0" collapsed="false">
      <c r="A36" s="6" t="s">
        <v>219</v>
      </c>
      <c r="B36" s="11" t="n">
        <v>145000</v>
      </c>
      <c r="C36" s="11" t="n">
        <f aca="false">B36</f>
        <v>145000</v>
      </c>
      <c r="D36" s="36" t="str">
        <f aca="false">TRIM(A36)</f>
        <v>400133 Cat Quest Revenue</v>
      </c>
      <c r="E36" s="36" t="str">
        <f aca="false">IF(D36="Revenue","Revenue",IF(D36="Cost of Goods Sold","COGS",IF(D36="Expenditures","Expense",IF(D36="Other Revenue","Other Revenue",IF(D36="Other Expenditures","Other Expense",E35)))))</f>
        <v>Revenue</v>
      </c>
      <c r="F36" s="36" t="str">
        <f aca="false">IF(OR(D36="Revenue",D36="Cost of Goods Sold",D36="Expenditures",D36="Other Revenue",D36="Other Expenditures"),E36,IF(AND(LEN(D36)&gt;2,MID(D36,2,1)=" ",ISNUMBER(VALUE(LEFT(D36,1)))),D36,F35))</f>
        <v>2 Interest and Other Income</v>
      </c>
      <c r="G36" s="36" t="n">
        <f aca="false">IF(AND(D36&lt;&gt;"",ISNUMBER(B36),LEFT(D36,9)&lt;&gt;"Total for",D36&lt;&gt;"Gross Profit",D36&lt;&gt;"Net Operating Revenue",D36&lt;&gt;"Net Other Revenue",D36&lt;&gt;"Net Revenue"),1,0)</f>
        <v>1</v>
      </c>
      <c r="H36" s="36" t="str">
        <f aca="false">IF(G36=1,IF(AND(LEN(D36)&gt;7,ISNUMBER(VALUE(LEFT(D36,6))),MID(D36,7,1)=" "),LEFT(D36,6),D36),"")</f>
        <v>400133</v>
      </c>
      <c r="I36" s="36" t="str">
        <f aca="false">IF(G36=1,IF(COUNTIF('Forecast Detail'!$C$8:$C$400,H36)=0,"UNMAPPED","OK"),"")</f>
        <v>OK</v>
      </c>
    </row>
    <row r="37" customFormat="false" ht="15" hidden="false" customHeight="false" outlineLevel="0" collapsed="false">
      <c r="A37" s="6" t="s">
        <v>221</v>
      </c>
      <c r="B37" s="11" t="n">
        <v>0</v>
      </c>
      <c r="C37" s="11" t="n">
        <f aca="false">B37</f>
        <v>0</v>
      </c>
      <c r="D37" s="36" t="str">
        <f aca="false">TRIM(A37)</f>
        <v>400134 Summer Quest Income</v>
      </c>
      <c r="E37" s="36" t="str">
        <f aca="false">IF(D37="Revenue","Revenue",IF(D37="Cost of Goods Sold","COGS",IF(D37="Expenditures","Expense",IF(D37="Other Revenue","Other Revenue",IF(D37="Other Expenditures","Other Expense",E36)))))</f>
        <v>Revenue</v>
      </c>
      <c r="F37" s="36" t="str">
        <f aca="false">IF(OR(D37="Revenue",D37="Cost of Goods Sold",D37="Expenditures",D37="Other Revenue",D37="Other Expenditures"),E37,IF(AND(LEN(D37)&gt;2,MID(D37,2,1)=" ",ISNUMBER(VALUE(LEFT(D37,1)))),D37,F36))</f>
        <v>2 Interest and Other Income</v>
      </c>
      <c r="G37" s="36" t="n">
        <f aca="false">IF(AND(D37&lt;&gt;"",ISNUMBER(B37),LEFT(D37,9)&lt;&gt;"Total for",D37&lt;&gt;"Gross Profit",D37&lt;&gt;"Net Operating Revenue",D37&lt;&gt;"Net Other Revenue",D37&lt;&gt;"Net Revenue"),1,0)</f>
        <v>1</v>
      </c>
      <c r="H37" s="36" t="str">
        <f aca="false">IF(G37=1,IF(AND(LEN(D37)&gt;7,ISNUMBER(VALUE(LEFT(D37,6))),MID(D37,7,1)=" "),LEFT(D37,6),D37),"")</f>
        <v>400134</v>
      </c>
      <c r="I37" s="36" t="str">
        <f aca="false">IF(G37=1,IF(COUNTIF('Forecast Detail'!$C$8:$C$400,H37)=0,"UNMAPPED","OK"),"")</f>
        <v>OK</v>
      </c>
    </row>
    <row r="38" customFormat="false" ht="15" hidden="false" customHeight="false" outlineLevel="0" collapsed="false">
      <c r="A38" s="6" t="s">
        <v>223</v>
      </c>
      <c r="B38" s="11" t="n">
        <v>-95000</v>
      </c>
      <c r="C38" s="11" t="n">
        <f aca="false">B38</f>
        <v>-95000</v>
      </c>
      <c r="D38" s="36" t="str">
        <f aca="false">TRIM(A38)</f>
        <v>400197 Cat Quest Expenses (Contra)</v>
      </c>
      <c r="E38" s="36" t="str">
        <f aca="false">IF(D38="Revenue","Revenue",IF(D38="Cost of Goods Sold","COGS",IF(D38="Expenditures","Expense",IF(D38="Other Revenue","Other Revenue",IF(D38="Other Expenditures","Other Expense",E37)))))</f>
        <v>Revenue</v>
      </c>
      <c r="F38" s="36" t="str">
        <f aca="false">IF(OR(D38="Revenue",D38="Cost of Goods Sold",D38="Expenditures",D38="Other Revenue",D38="Other Expenditures"),E38,IF(AND(LEN(D38)&gt;2,MID(D38,2,1)=" ",ISNUMBER(VALUE(LEFT(D38,1)))),D38,F37))</f>
        <v>2 Interest and Other Income</v>
      </c>
      <c r="G38" s="36" t="n">
        <f aca="false">IF(AND(D38&lt;&gt;"",ISNUMBER(B38),LEFT(D38,9)&lt;&gt;"Total for",D38&lt;&gt;"Gross Profit",D38&lt;&gt;"Net Operating Revenue",D38&lt;&gt;"Net Other Revenue",D38&lt;&gt;"Net Revenue"),1,0)</f>
        <v>1</v>
      </c>
      <c r="H38" s="36" t="str">
        <f aca="false">IF(G38=1,IF(AND(LEN(D38)&gt;7,ISNUMBER(VALUE(LEFT(D38,6))),MID(D38,7,1)=" "),LEFT(D38,6),D38),"")</f>
        <v>400197</v>
      </c>
      <c r="I38" s="36" t="str">
        <f aca="false">IF(G38=1,IF(COUNTIF('Forecast Detail'!$C$8:$C$400,H38)=0,"UNMAPPED","OK"),"")</f>
        <v>OK</v>
      </c>
    </row>
    <row r="39" customFormat="false" ht="15" hidden="false" customHeight="false" outlineLevel="0" collapsed="false">
      <c r="A39" s="6" t="s">
        <v>225</v>
      </c>
      <c r="B39" s="11" t="n">
        <v>0</v>
      </c>
      <c r="C39" s="11" t="n">
        <f aca="false">B39</f>
        <v>0</v>
      </c>
      <c r="D39" s="36" t="str">
        <f aca="false">TRIM(A39)</f>
        <v>400198 Summer Cat Quest Expenses (Contra)</v>
      </c>
      <c r="E39" s="36" t="str">
        <f aca="false">IF(D39="Revenue","Revenue",IF(D39="Cost of Goods Sold","COGS",IF(D39="Expenditures","Expense",IF(D39="Other Revenue","Other Revenue",IF(D39="Other Expenditures","Other Expense",E38)))))</f>
        <v>Revenue</v>
      </c>
      <c r="F39" s="36" t="str">
        <f aca="false">IF(OR(D39="Revenue",D39="Cost of Goods Sold",D39="Expenditures",D39="Other Revenue",D39="Other Expenditures"),E39,IF(AND(LEN(D39)&gt;2,MID(D39,2,1)=" ",ISNUMBER(VALUE(LEFT(D39,1)))),D39,F38))</f>
        <v>2 Interest and Other Income</v>
      </c>
      <c r="G39" s="36" t="n">
        <f aca="false">IF(AND(D39&lt;&gt;"",ISNUMBER(B39),LEFT(D39,9)&lt;&gt;"Total for",D39&lt;&gt;"Gross Profit",D39&lt;&gt;"Net Operating Revenue",D39&lt;&gt;"Net Other Revenue",D39&lt;&gt;"Net Revenue"),1,0)</f>
        <v>1</v>
      </c>
      <c r="H39" s="36" t="str">
        <f aca="false">IF(G39=1,IF(AND(LEN(D39)&gt;7,ISNUMBER(VALUE(LEFT(D39,6))),MID(D39,7,1)=" "),LEFT(D39,6),D39),"")</f>
        <v>400198</v>
      </c>
      <c r="I39" s="36" t="str">
        <f aca="false">IF(G39=1,IF(COUNTIF('Forecast Detail'!$C$8:$C$400,H39)=0,"UNMAPPED","OK"),"")</f>
        <v>OK</v>
      </c>
    </row>
    <row r="40" customFormat="false" ht="15" hidden="false" customHeight="false" outlineLevel="0" collapsed="false">
      <c r="A40" s="6" t="s">
        <v>596</v>
      </c>
      <c r="B40" s="11" t="n">
        <f aca="false">B35+B36+B37+B38+B39</f>
        <v>50000</v>
      </c>
      <c r="C40" s="11" t="n">
        <f aca="false">B40</f>
        <v>50000</v>
      </c>
      <c r="D40" s="36" t="str">
        <f aca="false">TRIM(A40)</f>
        <v>Total for After School/Summer Day Care</v>
      </c>
      <c r="E40" s="36" t="str">
        <f aca="false">IF(D40="Revenue","Revenue",IF(D40="Cost of Goods Sold","COGS",IF(D40="Expenditures","Expense",IF(D40="Other Revenue","Other Revenue",IF(D40="Other Expenditures","Other Expense",E39)))))</f>
        <v>Revenue</v>
      </c>
      <c r="F40" s="36" t="str">
        <f aca="false">IF(OR(D40="Revenue",D40="Cost of Goods Sold",D40="Expenditures",D40="Other Revenue",D40="Other Expenditures"),E40,IF(AND(LEN(D40)&gt;2,MID(D40,2,1)=" ",ISNUMBER(VALUE(LEFT(D40,1)))),D40,F39))</f>
        <v>2 Interest and Other Income</v>
      </c>
      <c r="G40" s="36" t="n">
        <f aca="false">IF(AND(D40&lt;&gt;"",ISNUMBER(B40),LEFT(D40,9)&lt;&gt;"Total for",D40&lt;&gt;"Gross Profit",D40&lt;&gt;"Net Operating Revenue",D40&lt;&gt;"Net Other Revenue",D40&lt;&gt;"Net Revenue"),1,0)</f>
        <v>0</v>
      </c>
      <c r="H40" s="36" t="str">
        <f aca="false">IF(G40=1,IF(AND(LEN(D40)&gt;7,ISNUMBER(VALUE(LEFT(D40,6))),MID(D40,7,1)=" "),LEFT(D40,6),D40),"")</f>
        <v/>
      </c>
      <c r="I40" s="36" t="str">
        <f aca="false">IF(G40=1,IF(COUNTIF('Forecast Detail'!$C$8:$C$400,H40)=0,"UNMAPPED","OK"),"")</f>
        <v/>
      </c>
    </row>
    <row r="41" customFormat="false" ht="15" hidden="false" customHeight="false" outlineLevel="0" collapsed="false">
      <c r="A41" s="6" t="s">
        <v>597</v>
      </c>
      <c r="D41" s="36" t="str">
        <f aca="false">TRIM(A41)</f>
        <v>Contributions from Endowments</v>
      </c>
      <c r="E41" s="36" t="str">
        <f aca="false">IF(D41="Revenue","Revenue",IF(D41="Cost of Goods Sold","COGS",IF(D41="Expenditures","Expense",IF(D41="Other Revenue","Other Revenue",IF(D41="Other Expenditures","Other Expense",E40)))))</f>
        <v>Revenue</v>
      </c>
      <c r="F41" s="36" t="str">
        <f aca="false">IF(OR(D41="Revenue",D41="Cost of Goods Sold",D41="Expenditures",D41="Other Revenue",D41="Other Expenditures"),E41,IF(AND(LEN(D41)&gt;2,MID(D41,2,1)=" ",ISNUMBER(VALUE(LEFT(D41,1)))),D41,F40))</f>
        <v>2 Interest and Other Income</v>
      </c>
      <c r="G41" s="36" t="n">
        <f aca="false">IF(AND(D41&lt;&gt;"",ISNUMBER(B41),LEFT(D41,9)&lt;&gt;"Total for",D41&lt;&gt;"Gross Profit",D41&lt;&gt;"Net Operating Revenue",D41&lt;&gt;"Net Other Revenue",D41&lt;&gt;"Net Revenue"),1,0)</f>
        <v>0</v>
      </c>
      <c r="H41" s="36" t="str">
        <f aca="false">IF(G41=1,IF(AND(LEN(D41)&gt;7,ISNUMBER(VALUE(LEFT(D41,6))),MID(D41,7,1)=" "),LEFT(D41,6),D41),"")</f>
        <v/>
      </c>
      <c r="I41" s="36" t="str">
        <f aca="false">IF(G41=1,IF(COUNTIF('Forecast Detail'!$C$8:$C$400,H41)=0,"UNMAPPED","OK"),"")</f>
        <v/>
      </c>
    </row>
    <row r="42" customFormat="false" ht="15" hidden="false" customHeight="false" outlineLevel="0" collapsed="false">
      <c r="A42" s="6" t="s">
        <v>227</v>
      </c>
      <c r="B42" s="11" t="n">
        <v>60000</v>
      </c>
      <c r="C42" s="11" t="n">
        <f aca="false">B42</f>
        <v>60000</v>
      </c>
      <c r="D42" s="36" t="str">
        <f aca="false">TRIM(A42)</f>
        <v>400080 Contribution from Charitable Trust</v>
      </c>
      <c r="E42" s="36" t="str">
        <f aca="false">IF(D42="Revenue","Revenue",IF(D42="Cost of Goods Sold","COGS",IF(D42="Expenditures","Expense",IF(D42="Other Revenue","Other Revenue",IF(D42="Other Expenditures","Other Expense",E41)))))</f>
        <v>Revenue</v>
      </c>
      <c r="F42" s="36" t="str">
        <f aca="false">IF(OR(D42="Revenue",D42="Cost of Goods Sold",D42="Expenditures",D42="Other Revenue",D42="Other Expenditures"),E42,IF(AND(LEN(D42)&gt;2,MID(D42,2,1)=" ",ISNUMBER(VALUE(LEFT(D42,1)))),D42,F41))</f>
        <v>2 Interest and Other Income</v>
      </c>
      <c r="G42" s="36" t="n">
        <f aca="false">IF(AND(D42&lt;&gt;"",ISNUMBER(B42),LEFT(D42,9)&lt;&gt;"Total for",D42&lt;&gt;"Gross Profit",D42&lt;&gt;"Net Operating Revenue",D42&lt;&gt;"Net Other Revenue",D42&lt;&gt;"Net Revenue"),1,0)</f>
        <v>1</v>
      </c>
      <c r="H42" s="36" t="str">
        <f aca="false">IF(G42=1,IF(AND(LEN(D42)&gt;7,ISNUMBER(VALUE(LEFT(D42,6))),MID(D42,7,1)=" "),LEFT(D42,6),D42),"")</f>
        <v>400080</v>
      </c>
      <c r="I42" s="36" t="str">
        <f aca="false">IF(G42=1,IF(COUNTIF('Forecast Detail'!$C$8:$C$400,H42)=0,"UNMAPPED","OK"),"")</f>
        <v>OK</v>
      </c>
    </row>
    <row r="43" customFormat="false" ht="15" hidden="false" customHeight="false" outlineLevel="0" collapsed="false">
      <c r="A43" s="6" t="s">
        <v>229</v>
      </c>
      <c r="B43" s="11" t="n">
        <v>0</v>
      </c>
      <c r="C43" s="11" t="n">
        <f aca="false">B43</f>
        <v>0</v>
      </c>
      <c r="D43" s="36" t="str">
        <f aca="false">TRIM(A43)</f>
        <v>400081 Scholarship Income Charitable Trust</v>
      </c>
      <c r="E43" s="36" t="str">
        <f aca="false">IF(D43="Revenue","Revenue",IF(D43="Cost of Goods Sold","COGS",IF(D43="Expenditures","Expense",IF(D43="Other Revenue","Other Revenue",IF(D43="Other Expenditures","Other Expense",E42)))))</f>
        <v>Revenue</v>
      </c>
      <c r="F43" s="36" t="str">
        <f aca="false">IF(OR(D43="Revenue",D43="Cost of Goods Sold",D43="Expenditures",D43="Other Revenue",D43="Other Expenditures"),E43,IF(AND(LEN(D43)&gt;2,MID(D43,2,1)=" ",ISNUMBER(VALUE(LEFT(D43,1)))),D43,F42))</f>
        <v>2 Interest and Other Income</v>
      </c>
      <c r="G43" s="36" t="n">
        <f aca="false">IF(AND(D43&lt;&gt;"",ISNUMBER(B43),LEFT(D43,9)&lt;&gt;"Total for",D43&lt;&gt;"Gross Profit",D43&lt;&gt;"Net Operating Revenue",D43&lt;&gt;"Net Other Revenue",D43&lt;&gt;"Net Revenue"),1,0)</f>
        <v>1</v>
      </c>
      <c r="H43" s="36" t="str">
        <f aca="false">IF(G43=1,IF(AND(LEN(D43)&gt;7,ISNUMBER(VALUE(LEFT(D43,6))),MID(D43,7,1)=" "),LEFT(D43,6),D43),"")</f>
        <v>400081</v>
      </c>
      <c r="I43" s="36" t="str">
        <f aca="false">IF(G43=1,IF(COUNTIF('Forecast Detail'!$C$8:$C$400,H43)=0,"UNMAPPED","OK"),"")</f>
        <v>OK</v>
      </c>
    </row>
    <row r="44" customFormat="false" ht="15" hidden="false" customHeight="false" outlineLevel="0" collapsed="false">
      <c r="A44" s="6" t="s">
        <v>231</v>
      </c>
      <c r="B44" s="11" t="n">
        <v>55000</v>
      </c>
      <c r="C44" s="11" t="n">
        <f aca="false">B44</f>
        <v>55000</v>
      </c>
      <c r="D44" s="36" t="str">
        <f aca="false">TRIM(A44)</f>
        <v>400084 Trinity Church Contribution</v>
      </c>
      <c r="E44" s="36" t="str">
        <f aca="false">IF(D44="Revenue","Revenue",IF(D44="Cost of Goods Sold","COGS",IF(D44="Expenditures","Expense",IF(D44="Other Revenue","Other Revenue",IF(D44="Other Expenditures","Other Expense",E43)))))</f>
        <v>Revenue</v>
      </c>
      <c r="F44" s="36" t="str">
        <f aca="false">IF(OR(D44="Revenue",D44="Cost of Goods Sold",D44="Expenditures",D44="Other Revenue",D44="Other Expenditures"),E44,IF(AND(LEN(D44)&gt;2,MID(D44,2,1)=" ",ISNUMBER(VALUE(LEFT(D44,1)))),D44,F43))</f>
        <v>2 Interest and Other Income</v>
      </c>
      <c r="G44" s="36" t="n">
        <f aca="false">IF(AND(D44&lt;&gt;"",ISNUMBER(B44),LEFT(D44,9)&lt;&gt;"Total for",D44&lt;&gt;"Gross Profit",D44&lt;&gt;"Net Operating Revenue",D44&lt;&gt;"Net Other Revenue",D44&lt;&gt;"Net Revenue"),1,0)</f>
        <v>1</v>
      </c>
      <c r="H44" s="36" t="str">
        <f aca="false">IF(G44=1,IF(AND(LEN(D44)&gt;7,ISNUMBER(VALUE(LEFT(D44,6))),MID(D44,7,1)=" "),LEFT(D44,6),D44),"")</f>
        <v>400084</v>
      </c>
      <c r="I44" s="36" t="str">
        <f aca="false">IF(G44=1,IF(COUNTIF('Forecast Detail'!$C$8:$C$400,H44)=0,"UNMAPPED","OK"),"")</f>
        <v>OK</v>
      </c>
    </row>
    <row r="45" customFormat="false" ht="15" hidden="false" customHeight="false" outlineLevel="0" collapsed="false">
      <c r="A45" s="6" t="s">
        <v>233</v>
      </c>
      <c r="B45" s="11" t="n">
        <v>100000</v>
      </c>
      <c r="C45" s="11" t="n">
        <f aca="false">B45</f>
        <v>100000</v>
      </c>
      <c r="D45" s="36" t="str">
        <f aca="false">TRIM(A45)</f>
        <v>400191 Corporate Sponsors - General Fund Contribution</v>
      </c>
      <c r="E45" s="36" t="str">
        <f aca="false">IF(D45="Revenue","Revenue",IF(D45="Cost of Goods Sold","COGS",IF(D45="Expenditures","Expense",IF(D45="Other Revenue","Other Revenue",IF(D45="Other Expenditures","Other Expense",E44)))))</f>
        <v>Revenue</v>
      </c>
      <c r="F45" s="36" t="str">
        <f aca="false">IF(OR(D45="Revenue",D45="Cost of Goods Sold",D45="Expenditures",D45="Other Revenue",D45="Other Expenditures"),E45,IF(AND(LEN(D45)&gt;2,MID(D45,2,1)=" ",ISNUMBER(VALUE(LEFT(D45,1)))),D45,F44))</f>
        <v>2 Interest and Other Income</v>
      </c>
      <c r="G45" s="36" t="n">
        <f aca="false">IF(AND(D45&lt;&gt;"",ISNUMBER(B45),LEFT(D45,9)&lt;&gt;"Total for",D45&lt;&gt;"Gross Profit",D45&lt;&gt;"Net Operating Revenue",D45&lt;&gt;"Net Other Revenue",D45&lt;&gt;"Net Revenue"),1,0)</f>
        <v>1</v>
      </c>
      <c r="H45" s="36" t="str">
        <f aca="false">IF(G45=1,IF(AND(LEN(D45)&gt;7,ISNUMBER(VALUE(LEFT(D45,6))),MID(D45,7,1)=" "),LEFT(D45,6),D45),"")</f>
        <v>400191</v>
      </c>
      <c r="I45" s="36" t="str">
        <f aca="false">IF(G45=1,IF(COUNTIF('Forecast Detail'!$C$8:$C$400,H45)=0,"UNMAPPED","OK"),"")</f>
        <v>OK</v>
      </c>
    </row>
    <row r="46" customFormat="false" ht="15" hidden="false" customHeight="false" outlineLevel="0" collapsed="false">
      <c r="A46" s="6" t="s">
        <v>235</v>
      </c>
      <c r="B46" s="11" t="n">
        <v>150000</v>
      </c>
      <c r="C46" s="11" t="n">
        <f aca="false">B46</f>
        <v>150000</v>
      </c>
      <c r="D46" s="36" t="str">
        <f aca="false">TRIM(A46)</f>
        <v>400192 Annual Fund Unrestricted-General Fund Contribution</v>
      </c>
      <c r="E46" s="36" t="str">
        <f aca="false">IF(D46="Revenue","Revenue",IF(D46="Cost of Goods Sold","COGS",IF(D46="Expenditures","Expense",IF(D46="Other Revenue","Other Revenue",IF(D46="Other Expenditures","Other Expense",E45)))))</f>
        <v>Revenue</v>
      </c>
      <c r="F46" s="36" t="str">
        <f aca="false">IF(OR(D46="Revenue",D46="Cost of Goods Sold",D46="Expenditures",D46="Other Revenue",D46="Other Expenditures"),E46,IF(AND(LEN(D46)&gt;2,MID(D46,2,1)=" ",ISNUMBER(VALUE(LEFT(D46,1)))),D46,F45))</f>
        <v>2 Interest and Other Income</v>
      </c>
      <c r="G46" s="36" t="n">
        <f aca="false">IF(AND(D46&lt;&gt;"",ISNUMBER(B46),LEFT(D46,9)&lt;&gt;"Total for",D46&lt;&gt;"Gross Profit",D46&lt;&gt;"Net Operating Revenue",D46&lt;&gt;"Net Other Revenue",D46&lt;&gt;"Net Revenue"),1,0)</f>
        <v>1</v>
      </c>
      <c r="H46" s="36" t="str">
        <f aca="false">IF(G46=1,IF(AND(LEN(D46)&gt;7,ISNUMBER(VALUE(LEFT(D46,6))),MID(D46,7,1)=" "),LEFT(D46,6),D46),"")</f>
        <v>400192</v>
      </c>
      <c r="I46" s="36" t="str">
        <f aca="false">IF(G46=1,IF(COUNTIF('Forecast Detail'!$C$8:$C$400,H46)=0,"UNMAPPED","OK"),"")</f>
        <v>OK</v>
      </c>
    </row>
    <row r="47" customFormat="false" ht="15" hidden="false" customHeight="false" outlineLevel="0" collapsed="false">
      <c r="A47" s="6" t="s">
        <v>598</v>
      </c>
      <c r="B47" s="11" t="n">
        <f aca="false">B41+B42+B43+B44+B45+B46</f>
        <v>365000</v>
      </c>
      <c r="C47" s="11" t="n">
        <f aca="false">B47</f>
        <v>365000</v>
      </c>
      <c r="D47" s="36" t="str">
        <f aca="false">TRIM(A47)</f>
        <v>Total for Contributions from Endowments</v>
      </c>
      <c r="E47" s="36" t="str">
        <f aca="false">IF(D47="Revenue","Revenue",IF(D47="Cost of Goods Sold","COGS",IF(D47="Expenditures","Expense",IF(D47="Other Revenue","Other Revenue",IF(D47="Other Expenditures","Other Expense",E46)))))</f>
        <v>Revenue</v>
      </c>
      <c r="F47" s="36" t="str">
        <f aca="false">IF(OR(D47="Revenue",D47="Cost of Goods Sold",D47="Expenditures",D47="Other Revenue",D47="Other Expenditures"),E47,IF(AND(LEN(D47)&gt;2,MID(D47,2,1)=" ",ISNUMBER(VALUE(LEFT(D47,1)))),D47,F46))</f>
        <v>2 Interest and Other Income</v>
      </c>
      <c r="G47" s="36" t="n">
        <f aca="false">IF(AND(D47&lt;&gt;"",ISNUMBER(B47),LEFT(D47,9)&lt;&gt;"Total for",D47&lt;&gt;"Gross Profit",D47&lt;&gt;"Net Operating Revenue",D47&lt;&gt;"Net Other Revenue",D47&lt;&gt;"Net Revenue"),1,0)</f>
        <v>0</v>
      </c>
      <c r="H47" s="36" t="str">
        <f aca="false">IF(G47=1,IF(AND(LEN(D47)&gt;7,ISNUMBER(VALUE(LEFT(D47,6))),MID(D47,7,1)=" "),LEFT(D47,6),D47),"")</f>
        <v/>
      </c>
      <c r="I47" s="36" t="str">
        <f aca="false">IF(G47=1,IF(COUNTIF('Forecast Detail'!$C$8:$C$400,H47)=0,"UNMAPPED","OK"),"")</f>
        <v/>
      </c>
    </row>
    <row r="48" customFormat="false" ht="15" hidden="false" customHeight="false" outlineLevel="0" collapsed="false">
      <c r="A48" s="6" t="s">
        <v>599</v>
      </c>
      <c r="D48" s="36" t="str">
        <f aca="false">TRIM(A48)</f>
        <v>Interest Income</v>
      </c>
      <c r="E48" s="36" t="str">
        <f aca="false">IF(D48="Revenue","Revenue",IF(D48="Cost of Goods Sold","COGS",IF(D48="Expenditures","Expense",IF(D48="Other Revenue","Other Revenue",IF(D48="Other Expenditures","Other Expense",E47)))))</f>
        <v>Revenue</v>
      </c>
      <c r="F48" s="36" t="str">
        <f aca="false">IF(OR(D48="Revenue",D48="Cost of Goods Sold",D48="Expenditures",D48="Other Revenue",D48="Other Expenditures"),E48,IF(AND(LEN(D48)&gt;2,MID(D48,2,1)=" ",ISNUMBER(VALUE(LEFT(D48,1)))),D48,F47))</f>
        <v>2 Interest and Other Income</v>
      </c>
      <c r="G48" s="36" t="n">
        <f aca="false">IF(AND(D48&lt;&gt;"",ISNUMBER(B48),LEFT(D48,9)&lt;&gt;"Total for",D48&lt;&gt;"Gross Profit",D48&lt;&gt;"Net Operating Revenue",D48&lt;&gt;"Net Other Revenue",D48&lt;&gt;"Net Revenue"),1,0)</f>
        <v>0</v>
      </c>
      <c r="H48" s="36" t="str">
        <f aca="false">IF(G48=1,IF(AND(LEN(D48)&gt;7,ISNUMBER(VALUE(LEFT(D48,6))),MID(D48,7,1)=" "),LEFT(D48,6),D48),"")</f>
        <v/>
      </c>
      <c r="I48" s="36" t="str">
        <f aca="false">IF(G48=1,IF(COUNTIF('Forecast Detail'!$C$8:$C$400,H48)=0,"UNMAPPED","OK"),"")</f>
        <v/>
      </c>
    </row>
    <row r="49" customFormat="false" ht="15" hidden="false" customHeight="false" outlineLevel="0" collapsed="false">
      <c r="A49" s="6" t="s">
        <v>237</v>
      </c>
      <c r="B49" s="11" t="n">
        <v>30000</v>
      </c>
      <c r="C49" s="11" t="n">
        <f aca="false">B49</f>
        <v>30000</v>
      </c>
      <c r="D49" s="36" t="str">
        <f aca="false">TRIM(A49)</f>
        <v>400124 Interest Income Reserve Acct Synovus</v>
      </c>
      <c r="E49" s="36" t="str">
        <f aca="false">IF(D49="Revenue","Revenue",IF(D49="Cost of Goods Sold","COGS",IF(D49="Expenditures","Expense",IF(D49="Other Revenue","Other Revenue",IF(D49="Other Expenditures","Other Expense",E48)))))</f>
        <v>Revenue</v>
      </c>
      <c r="F49" s="36" t="str">
        <f aca="false">IF(OR(D49="Revenue",D49="Cost of Goods Sold",D49="Expenditures",D49="Other Revenue",D49="Other Expenditures"),E49,IF(AND(LEN(D49)&gt;2,MID(D49,2,1)=" ",ISNUMBER(VALUE(LEFT(D49,1)))),D49,F48))</f>
        <v>2 Interest and Other Income</v>
      </c>
      <c r="G49" s="36" t="n">
        <f aca="false">IF(AND(D49&lt;&gt;"",ISNUMBER(B49),LEFT(D49,9)&lt;&gt;"Total for",D49&lt;&gt;"Gross Profit",D49&lt;&gt;"Net Operating Revenue",D49&lt;&gt;"Net Other Revenue",D49&lt;&gt;"Net Revenue"),1,0)</f>
        <v>1</v>
      </c>
      <c r="H49" s="36" t="str">
        <f aca="false">IF(G49=1,IF(AND(LEN(D49)&gt;7,ISNUMBER(VALUE(LEFT(D49,6))),MID(D49,7,1)=" "),LEFT(D49,6),D49),"")</f>
        <v>400124</v>
      </c>
      <c r="I49" s="36" t="str">
        <f aca="false">IF(G49=1,IF(COUNTIF('Forecast Detail'!$C$8:$C$400,H49)=0,"UNMAPPED","OK"),"")</f>
        <v>OK</v>
      </c>
    </row>
    <row r="50" customFormat="false" ht="15" hidden="false" customHeight="false" outlineLevel="0" collapsed="false">
      <c r="A50" s="6" t="s">
        <v>240</v>
      </c>
      <c r="B50" s="11" t="n">
        <v>0</v>
      </c>
      <c r="C50" s="11" t="n">
        <f aca="false">B50</f>
        <v>0</v>
      </c>
      <c r="D50" s="36" t="str">
        <f aca="false">TRIM(A50)</f>
        <v>400125 Interest Income Contingency Synovus</v>
      </c>
      <c r="E50" s="36" t="str">
        <f aca="false">IF(D50="Revenue","Revenue",IF(D50="Cost of Goods Sold","COGS",IF(D50="Expenditures","Expense",IF(D50="Other Revenue","Other Revenue",IF(D50="Other Expenditures","Other Expense",E49)))))</f>
        <v>Revenue</v>
      </c>
      <c r="F50" s="36" t="str">
        <f aca="false">IF(OR(D50="Revenue",D50="Cost of Goods Sold",D50="Expenditures",D50="Other Revenue",D50="Other Expenditures"),E50,IF(AND(LEN(D50)&gt;2,MID(D50,2,1)=" ",ISNUMBER(VALUE(LEFT(D50,1)))),D50,F49))</f>
        <v>2 Interest and Other Income</v>
      </c>
      <c r="G50" s="36" t="n">
        <f aca="false">IF(AND(D50&lt;&gt;"",ISNUMBER(B50),LEFT(D50,9)&lt;&gt;"Total for",D50&lt;&gt;"Gross Profit",D50&lt;&gt;"Net Operating Revenue",D50&lt;&gt;"Net Other Revenue",D50&lt;&gt;"Net Revenue"),1,0)</f>
        <v>1</v>
      </c>
      <c r="H50" s="36" t="str">
        <f aca="false">IF(G50=1,IF(AND(LEN(D50)&gt;7,ISNUMBER(VALUE(LEFT(D50,6))),MID(D50,7,1)=" "),LEFT(D50,6),D50),"")</f>
        <v>400125</v>
      </c>
      <c r="I50" s="36" t="str">
        <f aca="false">IF(G50=1,IF(COUNTIF('Forecast Detail'!$C$8:$C$400,H50)=0,"UNMAPPED","OK"),"")</f>
        <v>OK</v>
      </c>
    </row>
    <row r="51" customFormat="false" ht="15" hidden="false" customHeight="false" outlineLevel="0" collapsed="false">
      <c r="A51" s="6" t="s">
        <v>242</v>
      </c>
      <c r="B51" s="11" t="n">
        <v>0</v>
      </c>
      <c r="C51" s="11" t="n">
        <f aca="false">B51</f>
        <v>0</v>
      </c>
      <c r="D51" s="36" t="str">
        <f aca="false">TRIM(A51)</f>
        <v>400182 Scholarship for Kids Interest Income</v>
      </c>
      <c r="E51" s="36" t="str">
        <f aca="false">IF(D51="Revenue","Revenue",IF(D51="Cost of Goods Sold","COGS",IF(D51="Expenditures","Expense",IF(D51="Other Revenue","Other Revenue",IF(D51="Other Expenditures","Other Expense",E50)))))</f>
        <v>Revenue</v>
      </c>
      <c r="F51" s="36" t="str">
        <f aca="false">IF(OR(D51="Revenue",D51="Cost of Goods Sold",D51="Expenditures",D51="Other Revenue",D51="Other Expenditures"),E51,IF(AND(LEN(D51)&gt;2,MID(D51,2,1)=" ",ISNUMBER(VALUE(LEFT(D51,1)))),D51,F50))</f>
        <v>2 Interest and Other Income</v>
      </c>
      <c r="G51" s="36" t="n">
        <f aca="false">IF(AND(D51&lt;&gt;"",ISNUMBER(B51),LEFT(D51,9)&lt;&gt;"Total for",D51&lt;&gt;"Gross Profit",D51&lt;&gt;"Net Operating Revenue",D51&lt;&gt;"Net Other Revenue",D51&lt;&gt;"Net Revenue"),1,0)</f>
        <v>1</v>
      </c>
      <c r="H51" s="36" t="str">
        <f aca="false">IF(G51=1,IF(AND(LEN(D51)&gt;7,ISNUMBER(VALUE(LEFT(D51,6))),MID(D51,7,1)=" "),LEFT(D51,6),D51),"")</f>
        <v>400182</v>
      </c>
      <c r="I51" s="36" t="str">
        <f aca="false">IF(G51=1,IF(COUNTIF('Forecast Detail'!$C$8:$C$400,H51)=0,"UNMAPPED","OK"),"")</f>
        <v>OK</v>
      </c>
    </row>
    <row r="52" customFormat="false" ht="15" hidden="false" customHeight="false" outlineLevel="0" collapsed="false">
      <c r="A52" s="6" t="s">
        <v>600</v>
      </c>
      <c r="B52" s="11" t="n">
        <f aca="false">B48+B49+B50+B51</f>
        <v>30000</v>
      </c>
      <c r="C52" s="11" t="n">
        <f aca="false">B52</f>
        <v>30000</v>
      </c>
      <c r="D52" s="36" t="str">
        <f aca="false">TRIM(A52)</f>
        <v>Total for Interest Income</v>
      </c>
      <c r="E52" s="36" t="str">
        <f aca="false">IF(D52="Revenue","Revenue",IF(D52="Cost of Goods Sold","COGS",IF(D52="Expenditures","Expense",IF(D52="Other Revenue","Other Revenue",IF(D52="Other Expenditures","Other Expense",E51)))))</f>
        <v>Revenue</v>
      </c>
      <c r="F52" s="36" t="str">
        <f aca="false">IF(OR(D52="Revenue",D52="Cost of Goods Sold",D52="Expenditures",D52="Other Revenue",D52="Other Expenditures"),E52,IF(AND(LEN(D52)&gt;2,MID(D52,2,1)=" ",ISNUMBER(VALUE(LEFT(D52,1)))),D52,F51))</f>
        <v>2 Interest and Other Income</v>
      </c>
      <c r="G52" s="36" t="n">
        <f aca="false">IF(AND(D52&lt;&gt;"",ISNUMBER(B52),LEFT(D52,9)&lt;&gt;"Total for",D52&lt;&gt;"Gross Profit",D52&lt;&gt;"Net Operating Revenue",D52&lt;&gt;"Net Other Revenue",D52&lt;&gt;"Net Revenue"),1,0)</f>
        <v>0</v>
      </c>
      <c r="H52" s="36" t="str">
        <f aca="false">IF(G52=1,IF(AND(LEN(D52)&gt;7,ISNUMBER(VALUE(LEFT(D52,6))),MID(D52,7,1)=" "),LEFT(D52,6),D52),"")</f>
        <v/>
      </c>
      <c r="I52" s="36" t="str">
        <f aca="false">IF(G52=1,IF(COUNTIF('Forecast Detail'!$C$8:$C$400,H52)=0,"UNMAPPED","OK"),"")</f>
        <v/>
      </c>
    </row>
    <row r="53" customFormat="false" ht="15" hidden="false" customHeight="false" outlineLevel="0" collapsed="false">
      <c r="A53" s="6" t="s">
        <v>601</v>
      </c>
      <c r="B53" s="11" t="n">
        <f aca="false">B34+B40+B47+B52</f>
        <v>445000</v>
      </c>
      <c r="C53" s="11" t="n">
        <f aca="false">B53</f>
        <v>445000</v>
      </c>
      <c r="D53" s="36" t="str">
        <f aca="false">TRIM(A53)</f>
        <v>Total for 2 Interest and Other Income</v>
      </c>
      <c r="E53" s="36" t="str">
        <f aca="false">IF(D53="Revenue","Revenue",IF(D53="Cost of Goods Sold","COGS",IF(D53="Expenditures","Expense",IF(D53="Other Revenue","Other Revenue",IF(D53="Other Expenditures","Other Expense",E52)))))</f>
        <v>Revenue</v>
      </c>
      <c r="F53" s="36" t="str">
        <f aca="false">IF(OR(D53="Revenue",D53="Cost of Goods Sold",D53="Expenditures",D53="Other Revenue",D53="Other Expenditures"),E53,IF(AND(LEN(D53)&gt;2,MID(D53,2,1)=" ",ISNUMBER(VALUE(LEFT(D53,1)))),D53,F52))</f>
        <v>2 Interest and Other Income</v>
      </c>
      <c r="G53" s="36" t="n">
        <f aca="false">IF(AND(D53&lt;&gt;"",ISNUMBER(B53),LEFT(D53,9)&lt;&gt;"Total for",D53&lt;&gt;"Gross Profit",D53&lt;&gt;"Net Operating Revenue",D53&lt;&gt;"Net Other Revenue",D53&lt;&gt;"Net Revenue"),1,0)</f>
        <v>0</v>
      </c>
      <c r="H53" s="36" t="str">
        <f aca="false">IF(G53=1,IF(AND(LEN(D53)&gt;7,ISNUMBER(VALUE(LEFT(D53,6))),MID(D53,7,1)=" "),LEFT(D53,6),D53),"")</f>
        <v/>
      </c>
      <c r="I53" s="36" t="str">
        <f aca="false">IF(G53=1,IF(COUNTIF('Forecast Detail'!$C$8:$C$400,H53)=0,"UNMAPPED","OK"),"")</f>
        <v/>
      </c>
    </row>
    <row r="54" customFormat="false" ht="15" hidden="false" customHeight="false" outlineLevel="0" collapsed="false">
      <c r="A54" s="6" t="s">
        <v>10</v>
      </c>
      <c r="B54" s="11" t="n">
        <v>60000</v>
      </c>
      <c r="C54" s="11" t="n">
        <f aca="false">B54</f>
        <v>60000</v>
      </c>
      <c r="D54" s="36" t="str">
        <f aca="false">TRIM(A54)</f>
        <v>4 Other Miscellaneous Income</v>
      </c>
      <c r="E54" s="36" t="str">
        <f aca="false">IF(D54="Revenue","Revenue",IF(D54="Cost of Goods Sold","COGS",IF(D54="Expenditures","Expense",IF(D54="Other Revenue","Other Revenue",IF(D54="Other Expenditures","Other Expense",E53)))))</f>
        <v>Revenue</v>
      </c>
      <c r="F54" s="36" t="str">
        <f aca="false">IF(OR(D54="Revenue",D54="Cost of Goods Sold",D54="Expenditures",D54="Other Revenue",D54="Other Expenditures"),E54,IF(AND(LEN(D54)&gt;2,MID(D54,2,1)=" ",ISNUMBER(VALUE(LEFT(D54,1)))),D54,F53))</f>
        <v>4 Other Miscellaneous Income</v>
      </c>
      <c r="G54" s="36" t="n">
        <f aca="false">IF(AND(D54&lt;&gt;"",ISNUMBER(B54),LEFT(D54,9)&lt;&gt;"Total for",D54&lt;&gt;"Gross Profit",D54&lt;&gt;"Net Operating Revenue",D54&lt;&gt;"Net Other Revenue",D54&lt;&gt;"Net Revenue"),1,0)</f>
        <v>1</v>
      </c>
      <c r="H54" s="36" t="str">
        <f aca="false">IF(G54=1,IF(AND(LEN(D54)&gt;7,ISNUMBER(VALUE(LEFT(D54,6))),MID(D54,7,1)=" "),LEFT(D54,6),D54),"")</f>
        <v>4 Other Miscellaneous Income</v>
      </c>
      <c r="I54" s="36" t="str">
        <f aca="false">IF(G54=1,IF(COUNTIF('Forecast Detail'!$C$8:$C$400,H54)=0,"UNMAPPED","OK"),"")</f>
        <v>OK</v>
      </c>
    </row>
    <row r="55" customFormat="false" ht="15" hidden="false" customHeight="false" outlineLevel="0" collapsed="false">
      <c r="A55" s="6" t="s">
        <v>244</v>
      </c>
      <c r="B55" s="11" t="n">
        <v>0</v>
      </c>
      <c r="C55" s="11" t="n">
        <f aca="false">B55</f>
        <v>0</v>
      </c>
      <c r="D55" s="36" t="str">
        <f aca="false">TRIM(A55)</f>
        <v>400027 Contingency Income Athletic Playoffs</v>
      </c>
      <c r="E55" s="36" t="str">
        <f aca="false">IF(D55="Revenue","Revenue",IF(D55="Cost of Goods Sold","COGS",IF(D55="Expenditures","Expense",IF(D55="Other Revenue","Other Revenue",IF(D55="Other Expenditures","Other Expense",E54)))))</f>
        <v>Revenue</v>
      </c>
      <c r="F55" s="36" t="str">
        <f aca="false">IF(OR(D55="Revenue",D55="Cost of Goods Sold",D55="Expenditures",D55="Other Revenue",D55="Other Expenditures"),E55,IF(AND(LEN(D55)&gt;2,MID(D55,2,1)=" ",ISNUMBER(VALUE(LEFT(D55,1)))),D55,F54))</f>
        <v>4 Other Miscellaneous Income</v>
      </c>
      <c r="G55" s="36" t="n">
        <f aca="false">IF(AND(D55&lt;&gt;"",ISNUMBER(B55),LEFT(D55,9)&lt;&gt;"Total for",D55&lt;&gt;"Gross Profit",D55&lt;&gt;"Net Operating Revenue",D55&lt;&gt;"Net Other Revenue",D55&lt;&gt;"Net Revenue"),1,0)</f>
        <v>1</v>
      </c>
      <c r="H55" s="36" t="str">
        <f aca="false">IF(G55=1,IF(AND(LEN(D55)&gt;7,ISNUMBER(VALUE(LEFT(D55,6))),MID(D55,7,1)=" "),LEFT(D55,6),D55),"")</f>
        <v>400027</v>
      </c>
      <c r="I55" s="36" t="str">
        <f aca="false">IF(G55=1,IF(COUNTIF('Forecast Detail'!$C$8:$C$400,H55)=0,"UNMAPPED","OK"),"")</f>
        <v>OK</v>
      </c>
    </row>
    <row r="56" customFormat="false" ht="15" hidden="false" customHeight="false" outlineLevel="0" collapsed="false">
      <c r="A56" s="6" t="s">
        <v>246</v>
      </c>
      <c r="B56" s="11" t="n">
        <v>0</v>
      </c>
      <c r="C56" s="11" t="n">
        <f aca="false">B56</f>
        <v>0</v>
      </c>
      <c r="D56" s="36" t="str">
        <f aca="false">TRIM(A56)</f>
        <v>400082 Grant Income</v>
      </c>
      <c r="E56" s="36" t="str">
        <f aca="false">IF(D56="Revenue","Revenue",IF(D56="Cost of Goods Sold","COGS",IF(D56="Expenditures","Expense",IF(D56="Other Revenue","Other Revenue",IF(D56="Other Expenditures","Other Expense",E55)))))</f>
        <v>Revenue</v>
      </c>
      <c r="F56" s="36" t="str">
        <f aca="false">IF(OR(D56="Revenue",D56="Cost of Goods Sold",D56="Expenditures",D56="Other Revenue",D56="Other Expenditures"),E56,IF(AND(LEN(D56)&gt;2,MID(D56,2,1)=" ",ISNUMBER(VALUE(LEFT(D56,1)))),D56,F55))</f>
        <v>4 Other Miscellaneous Income</v>
      </c>
      <c r="G56" s="36" t="n">
        <f aca="false">IF(AND(D56&lt;&gt;"",ISNUMBER(B56),LEFT(D56,9)&lt;&gt;"Total for",D56&lt;&gt;"Gross Profit",D56&lt;&gt;"Net Operating Revenue",D56&lt;&gt;"Net Other Revenue",D56&lt;&gt;"Net Revenue"),1,0)</f>
        <v>1</v>
      </c>
      <c r="H56" s="36" t="str">
        <f aca="false">IF(G56=1,IF(AND(LEN(D56)&gt;7,ISNUMBER(VALUE(LEFT(D56,6))),MID(D56,7,1)=" "),LEFT(D56,6),D56),"")</f>
        <v>400082</v>
      </c>
      <c r="I56" s="36" t="str">
        <f aca="false">IF(G56=1,IF(COUNTIF('Forecast Detail'!$C$8:$C$400,H56)=0,"UNMAPPED","OK"),"")</f>
        <v>OK</v>
      </c>
    </row>
    <row r="57" customFormat="false" ht="15" hidden="false" customHeight="false" outlineLevel="0" collapsed="false">
      <c r="A57" s="6" t="s">
        <v>248</v>
      </c>
      <c r="B57" s="11" t="n">
        <v>0</v>
      </c>
      <c r="C57" s="11" t="n">
        <f aca="false">B57</f>
        <v>0</v>
      </c>
      <c r="D57" s="36" t="str">
        <f aca="false">TRIM(A57)</f>
        <v>400132 Facility Rental/Usage Income</v>
      </c>
      <c r="E57" s="36" t="str">
        <f aca="false">IF(D57="Revenue","Revenue",IF(D57="Cost of Goods Sold","COGS",IF(D57="Expenditures","Expense",IF(D57="Other Revenue","Other Revenue",IF(D57="Other Expenditures","Other Expense",E56)))))</f>
        <v>Revenue</v>
      </c>
      <c r="F57" s="36" t="str">
        <f aca="false">IF(OR(D57="Revenue",D57="Cost of Goods Sold",D57="Expenditures",D57="Other Revenue",D57="Other Expenditures"),E57,IF(AND(LEN(D57)&gt;2,MID(D57,2,1)=" ",ISNUMBER(VALUE(LEFT(D57,1)))),D57,F56))</f>
        <v>4 Other Miscellaneous Income</v>
      </c>
      <c r="G57" s="36" t="n">
        <f aca="false">IF(AND(D57&lt;&gt;"",ISNUMBER(B57),LEFT(D57,9)&lt;&gt;"Total for",D57&lt;&gt;"Gross Profit",D57&lt;&gt;"Net Operating Revenue",D57&lt;&gt;"Net Other Revenue",D57&lt;&gt;"Net Revenue"),1,0)</f>
        <v>1</v>
      </c>
      <c r="H57" s="36" t="str">
        <f aca="false">IF(G57=1,IF(AND(LEN(D57)&gt;7,ISNUMBER(VALUE(LEFT(D57,6))),MID(D57,7,1)=" "),LEFT(D57,6),D57),"")</f>
        <v>400132</v>
      </c>
      <c r="I57" s="36" t="str">
        <f aca="false">IF(G57=1,IF(COUNTIF('Forecast Detail'!$C$8:$C$400,H57)=0,"UNMAPPED","OK"),"")</f>
        <v>OK</v>
      </c>
    </row>
    <row r="58" customFormat="false" ht="15" hidden="false" customHeight="false" outlineLevel="0" collapsed="false">
      <c r="A58" s="6" t="s">
        <v>250</v>
      </c>
      <c r="B58" s="11" t="n">
        <v>0</v>
      </c>
      <c r="C58" s="11" t="n">
        <f aca="false">B58</f>
        <v>0</v>
      </c>
      <c r="D58" s="36" t="str">
        <f aca="false">TRIM(A58)</f>
        <v>400143 Speech Therapy Fees</v>
      </c>
      <c r="E58" s="36" t="str">
        <f aca="false">IF(D58="Revenue","Revenue",IF(D58="Cost of Goods Sold","COGS",IF(D58="Expenditures","Expense",IF(D58="Other Revenue","Other Revenue",IF(D58="Other Expenditures","Other Expense",E57)))))</f>
        <v>Revenue</v>
      </c>
      <c r="F58" s="36" t="str">
        <f aca="false">IF(OR(D58="Revenue",D58="Cost of Goods Sold",D58="Expenditures",D58="Other Revenue",D58="Other Expenditures"),E58,IF(AND(LEN(D58)&gt;2,MID(D58,2,1)=" ",ISNUMBER(VALUE(LEFT(D58,1)))),D58,F57))</f>
        <v>4 Other Miscellaneous Income</v>
      </c>
      <c r="G58" s="36" t="n">
        <f aca="false">IF(AND(D58&lt;&gt;"",ISNUMBER(B58),LEFT(D58,9)&lt;&gt;"Total for",D58&lt;&gt;"Gross Profit",D58&lt;&gt;"Net Operating Revenue",D58&lt;&gt;"Net Other Revenue",D58&lt;&gt;"Net Revenue"),1,0)</f>
        <v>1</v>
      </c>
      <c r="H58" s="36" t="str">
        <f aca="false">IF(G58=1,IF(AND(LEN(D58)&gt;7,ISNUMBER(VALUE(LEFT(D58,6))),MID(D58,7,1)=" "),LEFT(D58,6),D58),"")</f>
        <v>400143</v>
      </c>
      <c r="I58" s="36" t="str">
        <f aca="false">IF(G58=1,IF(COUNTIF('Forecast Detail'!$C$8:$C$400,H58)=0,"UNMAPPED","OK"),"")</f>
        <v>OK</v>
      </c>
    </row>
    <row r="59" customFormat="false" ht="15" hidden="false" customHeight="false" outlineLevel="0" collapsed="false">
      <c r="A59" s="6" t="s">
        <v>252</v>
      </c>
      <c r="B59" s="11" t="n">
        <v>0</v>
      </c>
      <c r="C59" s="11" t="n">
        <f aca="false">B59</f>
        <v>0</v>
      </c>
      <c r="D59" s="36" t="str">
        <f aca="false">TRIM(A59)</f>
        <v>400144 Credit Card Rebates</v>
      </c>
      <c r="E59" s="36" t="str">
        <f aca="false">IF(D59="Revenue","Revenue",IF(D59="Cost of Goods Sold","COGS",IF(D59="Expenditures","Expense",IF(D59="Other Revenue","Other Revenue",IF(D59="Other Expenditures","Other Expense",E58)))))</f>
        <v>Revenue</v>
      </c>
      <c r="F59" s="36" t="str">
        <f aca="false">IF(OR(D59="Revenue",D59="Cost of Goods Sold",D59="Expenditures",D59="Other Revenue",D59="Other Expenditures"),E59,IF(AND(LEN(D59)&gt;2,MID(D59,2,1)=" ",ISNUMBER(VALUE(LEFT(D59,1)))),D59,F58))</f>
        <v>4 Other Miscellaneous Income</v>
      </c>
      <c r="G59" s="36" t="n">
        <f aca="false">IF(AND(D59&lt;&gt;"",ISNUMBER(B59),LEFT(D59,9)&lt;&gt;"Total for",D59&lt;&gt;"Gross Profit",D59&lt;&gt;"Net Operating Revenue",D59&lt;&gt;"Net Other Revenue",D59&lt;&gt;"Net Revenue"),1,0)</f>
        <v>1</v>
      </c>
      <c r="H59" s="36" t="str">
        <f aca="false">IF(G59=1,IF(AND(LEN(D59)&gt;7,ISNUMBER(VALUE(LEFT(D59,6))),MID(D59,7,1)=" "),LEFT(D59,6),D59),"")</f>
        <v>400144</v>
      </c>
      <c r="I59" s="36" t="str">
        <f aca="false">IF(G59=1,IF(COUNTIF('Forecast Detail'!$C$8:$C$400,H59)=0,"UNMAPPED","OK"),"")</f>
        <v>OK</v>
      </c>
    </row>
    <row r="60" customFormat="false" ht="15" hidden="false" customHeight="false" outlineLevel="0" collapsed="false">
      <c r="A60" s="6" t="s">
        <v>254</v>
      </c>
      <c r="B60" s="11" t="n">
        <v>0</v>
      </c>
      <c r="C60" s="11" t="n">
        <f aca="false">B60</f>
        <v>0</v>
      </c>
      <c r="D60" s="36" t="str">
        <f aca="false">TRIM(A60)</f>
        <v>400145 Sale of AP Textbooks</v>
      </c>
      <c r="E60" s="36" t="str">
        <f aca="false">IF(D60="Revenue","Revenue",IF(D60="Cost of Goods Sold","COGS",IF(D60="Expenditures","Expense",IF(D60="Other Revenue","Other Revenue",IF(D60="Other Expenditures","Other Expense",E59)))))</f>
        <v>Revenue</v>
      </c>
      <c r="F60" s="36" t="str">
        <f aca="false">IF(OR(D60="Revenue",D60="Cost of Goods Sold",D60="Expenditures",D60="Other Revenue",D60="Other Expenditures"),E60,IF(AND(LEN(D60)&gt;2,MID(D60,2,1)=" ",ISNUMBER(VALUE(LEFT(D60,1)))),D60,F59))</f>
        <v>4 Other Miscellaneous Income</v>
      </c>
      <c r="G60" s="36" t="n">
        <f aca="false">IF(AND(D60&lt;&gt;"",ISNUMBER(B60),LEFT(D60,9)&lt;&gt;"Total for",D60&lt;&gt;"Gross Profit",D60&lt;&gt;"Net Operating Revenue",D60&lt;&gt;"Net Other Revenue",D60&lt;&gt;"Net Revenue"),1,0)</f>
        <v>1</v>
      </c>
      <c r="H60" s="36" t="str">
        <f aca="false">IF(G60=1,IF(AND(LEN(D60)&gt;7,ISNUMBER(VALUE(LEFT(D60,6))),MID(D60,7,1)=" "),LEFT(D60,6),D60),"")</f>
        <v>400145</v>
      </c>
      <c r="I60" s="36" t="str">
        <f aca="false">IF(G60=1,IF(COUNTIF('Forecast Detail'!$C$8:$C$400,H60)=0,"UNMAPPED","OK"),"")</f>
        <v>OK</v>
      </c>
    </row>
    <row r="61" customFormat="false" ht="15" hidden="false" customHeight="false" outlineLevel="0" collapsed="false">
      <c r="A61" s="6" t="s">
        <v>256</v>
      </c>
      <c r="B61" s="11" t="n">
        <v>0</v>
      </c>
      <c r="C61" s="11" t="n">
        <f aca="false">B61</f>
        <v>0</v>
      </c>
      <c r="D61" s="36" t="str">
        <f aca="false">TRIM(A61)</f>
        <v>400147 Coke Machines Proceeds</v>
      </c>
      <c r="E61" s="36" t="str">
        <f aca="false">IF(D61="Revenue","Revenue",IF(D61="Cost of Goods Sold","COGS",IF(D61="Expenditures","Expense",IF(D61="Other Revenue","Other Revenue",IF(D61="Other Expenditures","Other Expense",E60)))))</f>
        <v>Revenue</v>
      </c>
      <c r="F61" s="36" t="str">
        <f aca="false">IF(OR(D61="Revenue",D61="Cost of Goods Sold",D61="Expenditures",D61="Other Revenue",D61="Other Expenditures"),E61,IF(AND(LEN(D61)&gt;2,MID(D61,2,1)=" ",ISNUMBER(VALUE(LEFT(D61,1)))),D61,F60))</f>
        <v>4 Other Miscellaneous Income</v>
      </c>
      <c r="G61" s="36" t="n">
        <f aca="false">IF(AND(D61&lt;&gt;"",ISNUMBER(B61),LEFT(D61,9)&lt;&gt;"Total for",D61&lt;&gt;"Gross Profit",D61&lt;&gt;"Net Operating Revenue",D61&lt;&gt;"Net Other Revenue",D61&lt;&gt;"Net Revenue"),1,0)</f>
        <v>1</v>
      </c>
      <c r="H61" s="36" t="str">
        <f aca="false">IF(G61=1,IF(AND(LEN(D61)&gt;7,ISNUMBER(VALUE(LEFT(D61,6))),MID(D61,7,1)=" "),LEFT(D61,6),D61),"")</f>
        <v>400147</v>
      </c>
      <c r="I61" s="36" t="str">
        <f aca="false">IF(G61=1,IF(COUNTIF('Forecast Detail'!$C$8:$C$400,H61)=0,"UNMAPPED","OK"),"")</f>
        <v>OK</v>
      </c>
    </row>
    <row r="62" customFormat="false" ht="15" hidden="false" customHeight="false" outlineLevel="0" collapsed="false">
      <c r="A62" s="6" t="s">
        <v>258</v>
      </c>
      <c r="B62" s="11" t="n">
        <v>0</v>
      </c>
      <c r="C62" s="11" t="n">
        <f aca="false">B62</f>
        <v>0</v>
      </c>
      <c r="D62" s="36" t="str">
        <f aca="false">TRIM(A62)</f>
        <v>400148 Convenience Fee Income</v>
      </c>
      <c r="E62" s="36" t="str">
        <f aca="false">IF(D62="Revenue","Revenue",IF(D62="Cost of Goods Sold","COGS",IF(D62="Expenditures","Expense",IF(D62="Other Revenue","Other Revenue",IF(D62="Other Expenditures","Other Expense",E61)))))</f>
        <v>Revenue</v>
      </c>
      <c r="F62" s="36" t="str">
        <f aca="false">IF(OR(D62="Revenue",D62="Cost of Goods Sold",D62="Expenditures",D62="Other Revenue",D62="Other Expenditures"),E62,IF(AND(LEN(D62)&gt;2,MID(D62,2,1)=" ",ISNUMBER(VALUE(LEFT(D62,1)))),D62,F61))</f>
        <v>4 Other Miscellaneous Income</v>
      </c>
      <c r="G62" s="36" t="n">
        <f aca="false">IF(AND(D62&lt;&gt;"",ISNUMBER(B62),LEFT(D62,9)&lt;&gt;"Total for",D62&lt;&gt;"Gross Profit",D62&lt;&gt;"Net Operating Revenue",D62&lt;&gt;"Net Other Revenue",D62&lt;&gt;"Net Revenue"),1,0)</f>
        <v>1</v>
      </c>
      <c r="H62" s="36" t="str">
        <f aca="false">IF(G62=1,IF(AND(LEN(D62)&gt;7,ISNUMBER(VALUE(LEFT(D62,6))),MID(D62,7,1)=" "),LEFT(D62,6),D62),"")</f>
        <v>400148</v>
      </c>
      <c r="I62" s="36" t="str">
        <f aca="false">IF(G62=1,IF(COUNTIF('Forecast Detail'!$C$8:$C$400,H62)=0,"UNMAPPED","OK"),"")</f>
        <v>OK</v>
      </c>
    </row>
    <row r="63" customFormat="false" ht="15" hidden="false" customHeight="false" outlineLevel="0" collapsed="false">
      <c r="A63" s="6" t="s">
        <v>260</v>
      </c>
      <c r="B63" s="11" t="n">
        <v>0</v>
      </c>
      <c r="C63" s="11" t="n">
        <f aca="false">B63</f>
        <v>0</v>
      </c>
      <c r="D63" s="36" t="str">
        <f aca="false">TRIM(A63)</f>
        <v>400149 AP Testing Fees</v>
      </c>
      <c r="E63" s="36" t="str">
        <f aca="false">IF(D63="Revenue","Revenue",IF(D63="Cost of Goods Sold","COGS",IF(D63="Expenditures","Expense",IF(D63="Other Revenue","Other Revenue",IF(D63="Other Expenditures","Other Expense",E62)))))</f>
        <v>Revenue</v>
      </c>
      <c r="F63" s="36" t="str">
        <f aca="false">IF(OR(D63="Revenue",D63="Cost of Goods Sold",D63="Expenditures",D63="Other Revenue",D63="Other Expenditures"),E63,IF(AND(LEN(D63)&gt;2,MID(D63,2,1)=" ",ISNUMBER(VALUE(LEFT(D63,1)))),D63,F62))</f>
        <v>4 Other Miscellaneous Income</v>
      </c>
      <c r="G63" s="36" t="n">
        <f aca="false">IF(AND(D63&lt;&gt;"",ISNUMBER(B63),LEFT(D63,9)&lt;&gt;"Total for",D63&lt;&gt;"Gross Profit",D63&lt;&gt;"Net Operating Revenue",D63&lt;&gt;"Net Other Revenue",D63&lt;&gt;"Net Revenue"),1,0)</f>
        <v>1</v>
      </c>
      <c r="H63" s="36" t="str">
        <f aca="false">IF(G63=1,IF(AND(LEN(D63)&gt;7,ISNUMBER(VALUE(LEFT(D63,6))),MID(D63,7,1)=" "),LEFT(D63,6),D63),"")</f>
        <v>400149</v>
      </c>
      <c r="I63" s="36" t="str">
        <f aca="false">IF(G63=1,IF(COUNTIF('Forecast Detail'!$C$8:$C$400,H63)=0,"UNMAPPED","OK"),"")</f>
        <v>OK</v>
      </c>
    </row>
    <row r="64" customFormat="false" ht="15" hidden="false" customHeight="false" outlineLevel="0" collapsed="false">
      <c r="A64" s="6" t="s">
        <v>262</v>
      </c>
      <c r="B64" s="11" t="n">
        <v>0</v>
      </c>
      <c r="C64" s="11" t="n">
        <f aca="false">B64</f>
        <v>0</v>
      </c>
      <c r="D64" s="36" t="str">
        <f aca="false">TRIM(A64)</f>
        <v>400165 Lost Textbook Fines</v>
      </c>
      <c r="E64" s="36" t="str">
        <f aca="false">IF(D64="Revenue","Revenue",IF(D64="Cost of Goods Sold","COGS",IF(D64="Expenditures","Expense",IF(D64="Other Revenue","Other Revenue",IF(D64="Other Expenditures","Other Expense",E63)))))</f>
        <v>Revenue</v>
      </c>
      <c r="F64" s="36" t="str">
        <f aca="false">IF(OR(D64="Revenue",D64="Cost of Goods Sold",D64="Expenditures",D64="Other Revenue",D64="Other Expenditures"),E64,IF(AND(LEN(D64)&gt;2,MID(D64,2,1)=" ",ISNUMBER(VALUE(LEFT(D64,1)))),D64,F63))</f>
        <v>4 Other Miscellaneous Income</v>
      </c>
      <c r="G64" s="36" t="n">
        <f aca="false">IF(AND(D64&lt;&gt;"",ISNUMBER(B64),LEFT(D64,9)&lt;&gt;"Total for",D64&lt;&gt;"Gross Profit",D64&lt;&gt;"Net Operating Revenue",D64&lt;&gt;"Net Other Revenue",D64&lt;&gt;"Net Revenue"),1,0)</f>
        <v>1</v>
      </c>
      <c r="H64" s="36" t="str">
        <f aca="false">IF(G64=1,IF(AND(LEN(D64)&gt;7,ISNUMBER(VALUE(LEFT(D64,6))),MID(D64,7,1)=" "),LEFT(D64,6),D64),"")</f>
        <v>400165</v>
      </c>
      <c r="I64" s="36" t="str">
        <f aca="false">IF(G64=1,IF(COUNTIF('Forecast Detail'!$C$8:$C$400,H64)=0,"UNMAPPED","OK"),"")</f>
        <v>OK</v>
      </c>
    </row>
    <row r="65" customFormat="false" ht="15" hidden="false" customHeight="false" outlineLevel="0" collapsed="false">
      <c r="A65" s="6" t="s">
        <v>264</v>
      </c>
      <c r="B65" s="11" t="n">
        <v>0</v>
      </c>
      <c r="C65" s="11" t="n">
        <f aca="false">B65</f>
        <v>0</v>
      </c>
      <c r="D65" s="36" t="str">
        <f aca="false">TRIM(A65)</f>
        <v>400166 School Picture Income</v>
      </c>
      <c r="E65" s="36" t="str">
        <f aca="false">IF(D65="Revenue","Revenue",IF(D65="Cost of Goods Sold","COGS",IF(D65="Expenditures","Expense",IF(D65="Other Revenue","Other Revenue",IF(D65="Other Expenditures","Other Expense",E64)))))</f>
        <v>Revenue</v>
      </c>
      <c r="F65" s="36" t="str">
        <f aca="false">IF(OR(D65="Revenue",D65="Cost of Goods Sold",D65="Expenditures",D65="Other Revenue",D65="Other Expenditures"),E65,IF(AND(LEN(D65)&gt;2,MID(D65,2,1)=" ",ISNUMBER(VALUE(LEFT(D65,1)))),D65,F64))</f>
        <v>4 Other Miscellaneous Income</v>
      </c>
      <c r="G65" s="36" t="n">
        <f aca="false">IF(AND(D65&lt;&gt;"",ISNUMBER(B65),LEFT(D65,9)&lt;&gt;"Total for",D65&lt;&gt;"Gross Profit",D65&lt;&gt;"Net Operating Revenue",D65&lt;&gt;"Net Other Revenue",D65&lt;&gt;"Net Revenue"),1,0)</f>
        <v>1</v>
      </c>
      <c r="H65" s="36" t="str">
        <f aca="false">IF(G65=1,IF(AND(LEN(D65)&gt;7,ISNUMBER(VALUE(LEFT(D65,6))),MID(D65,7,1)=" "),LEFT(D65,6),D65),"")</f>
        <v>400166</v>
      </c>
      <c r="I65" s="36" t="str">
        <f aca="false">IF(G65=1,IF(COUNTIF('Forecast Detail'!$C$8:$C$400,H65)=0,"UNMAPPED","OK"),"")</f>
        <v>OK</v>
      </c>
    </row>
    <row r="66" customFormat="false" ht="15" hidden="false" customHeight="false" outlineLevel="0" collapsed="false">
      <c r="A66" s="6" t="s">
        <v>266</v>
      </c>
      <c r="B66" s="11" t="n">
        <v>0</v>
      </c>
      <c r="C66" s="11" t="n">
        <f aca="false">B66</f>
        <v>0</v>
      </c>
      <c r="D66" s="36" t="str">
        <f aca="false">TRIM(A66)</f>
        <v>400169 Other Income For Non-Classified Activities</v>
      </c>
      <c r="E66" s="36" t="str">
        <f aca="false">IF(D66="Revenue","Revenue",IF(D66="Cost of Goods Sold","COGS",IF(D66="Expenditures","Expense",IF(D66="Other Revenue","Other Revenue",IF(D66="Other Expenditures","Other Expense",E65)))))</f>
        <v>Revenue</v>
      </c>
      <c r="F66" s="36" t="str">
        <f aca="false">IF(OR(D66="Revenue",D66="Cost of Goods Sold",D66="Expenditures",D66="Other Revenue",D66="Other Expenditures"),E66,IF(AND(LEN(D66)&gt;2,MID(D66,2,1)=" ",ISNUMBER(VALUE(LEFT(D66,1)))),D66,F65))</f>
        <v>4 Other Miscellaneous Income</v>
      </c>
      <c r="G66" s="36" t="n">
        <f aca="false">IF(AND(D66&lt;&gt;"",ISNUMBER(B66),LEFT(D66,9)&lt;&gt;"Total for",D66&lt;&gt;"Gross Profit",D66&lt;&gt;"Net Operating Revenue",D66&lt;&gt;"Net Other Revenue",D66&lt;&gt;"Net Revenue"),1,0)</f>
        <v>1</v>
      </c>
      <c r="H66" s="36" t="str">
        <f aca="false">IF(G66=1,IF(AND(LEN(D66)&gt;7,ISNUMBER(VALUE(LEFT(D66,6))),MID(D66,7,1)=" "),LEFT(D66,6),D66),"")</f>
        <v>400169</v>
      </c>
      <c r="I66" s="36" t="str">
        <f aca="false">IF(G66=1,IF(COUNTIF('Forecast Detail'!$C$8:$C$400,H66)=0,"UNMAPPED","OK"),"")</f>
        <v>OK</v>
      </c>
    </row>
    <row r="67" customFormat="false" ht="15" hidden="false" customHeight="false" outlineLevel="0" collapsed="false">
      <c r="A67" s="6" t="s">
        <v>268</v>
      </c>
      <c r="B67" s="11" t="n">
        <v>0</v>
      </c>
      <c r="C67" s="11" t="n">
        <f aca="false">B67</f>
        <v>0</v>
      </c>
      <c r="D67" s="36" t="str">
        <f aca="false">TRIM(A67)</f>
        <v>400170 Hospitality Collections from Employees</v>
      </c>
      <c r="E67" s="36" t="str">
        <f aca="false">IF(D67="Revenue","Revenue",IF(D67="Cost of Goods Sold","COGS",IF(D67="Expenditures","Expense",IF(D67="Other Revenue","Other Revenue",IF(D67="Other Expenditures","Other Expense",E66)))))</f>
        <v>Revenue</v>
      </c>
      <c r="F67" s="36" t="str">
        <f aca="false">IF(OR(D67="Revenue",D67="Cost of Goods Sold",D67="Expenditures",D67="Other Revenue",D67="Other Expenditures"),E67,IF(AND(LEN(D67)&gt;2,MID(D67,2,1)=" ",ISNUMBER(VALUE(LEFT(D67,1)))),D67,F66))</f>
        <v>4 Other Miscellaneous Income</v>
      </c>
      <c r="G67" s="36" t="n">
        <f aca="false">IF(AND(D67&lt;&gt;"",ISNUMBER(B67),LEFT(D67,9)&lt;&gt;"Total for",D67&lt;&gt;"Gross Profit",D67&lt;&gt;"Net Operating Revenue",D67&lt;&gt;"Net Other Revenue",D67&lt;&gt;"Net Revenue"),1,0)</f>
        <v>1</v>
      </c>
      <c r="H67" s="36" t="str">
        <f aca="false">IF(G67=1,IF(AND(LEN(D67)&gt;7,ISNUMBER(VALUE(LEFT(D67,6))),MID(D67,7,1)=" "),LEFT(D67,6),D67),"")</f>
        <v>400170</v>
      </c>
      <c r="I67" s="36" t="str">
        <f aca="false">IF(G67=1,IF(COUNTIF('Forecast Detail'!$C$8:$C$400,H67)=0,"UNMAPPED","OK"),"")</f>
        <v>OK</v>
      </c>
    </row>
    <row r="68" customFormat="false" ht="15" hidden="false" customHeight="false" outlineLevel="0" collapsed="false">
      <c r="A68" s="6" t="s">
        <v>602</v>
      </c>
      <c r="D68" s="36" t="str">
        <f aca="false">TRIM(A68)</f>
        <v>Fees from Tutoring Services</v>
      </c>
      <c r="E68" s="36" t="str">
        <f aca="false">IF(D68="Revenue","Revenue",IF(D68="Cost of Goods Sold","COGS",IF(D68="Expenditures","Expense",IF(D68="Other Revenue","Other Revenue",IF(D68="Other Expenditures","Other Expense",E67)))))</f>
        <v>Revenue</v>
      </c>
      <c r="F68" s="36" t="str">
        <f aca="false">IF(OR(D68="Revenue",D68="Cost of Goods Sold",D68="Expenditures",D68="Other Revenue",D68="Other Expenditures"),E68,IF(AND(LEN(D68)&gt;2,MID(D68,2,1)=" ",ISNUMBER(VALUE(LEFT(D68,1)))),D68,F67))</f>
        <v>4 Other Miscellaneous Income</v>
      </c>
      <c r="G68" s="36" t="n">
        <f aca="false">IF(AND(D68&lt;&gt;"",ISNUMBER(B68),LEFT(D68,9)&lt;&gt;"Total for",D68&lt;&gt;"Gross Profit",D68&lt;&gt;"Net Operating Revenue",D68&lt;&gt;"Net Other Revenue",D68&lt;&gt;"Net Revenue"),1,0)</f>
        <v>0</v>
      </c>
      <c r="H68" s="36" t="str">
        <f aca="false">IF(G68=1,IF(AND(LEN(D68)&gt;7,ISNUMBER(VALUE(LEFT(D68,6))),MID(D68,7,1)=" "),LEFT(D68,6),D68),"")</f>
        <v/>
      </c>
      <c r="I68" s="36" t="str">
        <f aca="false">IF(G68=1,IF(COUNTIF('Forecast Detail'!$C$8:$C$400,H68)=0,"UNMAPPED","OK"),"")</f>
        <v/>
      </c>
    </row>
    <row r="69" customFormat="false" ht="15" hidden="false" customHeight="false" outlineLevel="0" collapsed="false">
      <c r="A69" s="6" t="s">
        <v>270</v>
      </c>
      <c r="B69" s="11" t="n">
        <v>0</v>
      </c>
      <c r="C69" s="11" t="n">
        <f aca="false">B69</f>
        <v>0</v>
      </c>
      <c r="D69" s="36" t="str">
        <f aca="false">TRIM(A69)</f>
        <v>400129 Tutoring Fees Lower School</v>
      </c>
      <c r="E69" s="36" t="str">
        <f aca="false">IF(D69="Revenue","Revenue",IF(D69="Cost of Goods Sold","COGS",IF(D69="Expenditures","Expense",IF(D69="Other Revenue","Other Revenue",IF(D69="Other Expenditures","Other Expense",E68)))))</f>
        <v>Revenue</v>
      </c>
      <c r="F69" s="36" t="str">
        <f aca="false">IF(OR(D69="Revenue",D69="Cost of Goods Sold",D69="Expenditures",D69="Other Revenue",D69="Other Expenditures"),E69,IF(AND(LEN(D69)&gt;2,MID(D69,2,1)=" ",ISNUMBER(VALUE(LEFT(D69,1)))),D69,F68))</f>
        <v>4 Other Miscellaneous Income</v>
      </c>
      <c r="G69" s="36" t="n">
        <f aca="false">IF(AND(D69&lt;&gt;"",ISNUMBER(B69),LEFT(D69,9)&lt;&gt;"Total for",D69&lt;&gt;"Gross Profit",D69&lt;&gt;"Net Operating Revenue",D69&lt;&gt;"Net Other Revenue",D69&lt;&gt;"Net Revenue"),1,0)</f>
        <v>1</v>
      </c>
      <c r="H69" s="36" t="str">
        <f aca="false">IF(G69=1,IF(AND(LEN(D69)&gt;7,ISNUMBER(VALUE(LEFT(D69,6))),MID(D69,7,1)=" "),LEFT(D69,6),D69),"")</f>
        <v>400129</v>
      </c>
      <c r="I69" s="36" t="str">
        <f aca="false">IF(G69=1,IF(COUNTIF('Forecast Detail'!$C$8:$C$400,H69)=0,"UNMAPPED","OK"),"")</f>
        <v>OK</v>
      </c>
    </row>
    <row r="70" customFormat="false" ht="15" hidden="false" customHeight="false" outlineLevel="0" collapsed="false">
      <c r="A70" s="6" t="s">
        <v>272</v>
      </c>
      <c r="B70" s="11" t="n">
        <v>0</v>
      </c>
      <c r="C70" s="11" t="n">
        <f aca="false">B70</f>
        <v>0</v>
      </c>
      <c r="D70" s="36" t="str">
        <f aca="false">TRIM(A70)</f>
        <v>400130 Tutoring Fees Middle School</v>
      </c>
      <c r="E70" s="36" t="str">
        <f aca="false">IF(D70="Revenue","Revenue",IF(D70="Cost of Goods Sold","COGS",IF(D70="Expenditures","Expense",IF(D70="Other Revenue","Other Revenue",IF(D70="Other Expenditures","Other Expense",E69)))))</f>
        <v>Revenue</v>
      </c>
      <c r="F70" s="36" t="str">
        <f aca="false">IF(OR(D70="Revenue",D70="Cost of Goods Sold",D70="Expenditures",D70="Other Revenue",D70="Other Expenditures"),E70,IF(AND(LEN(D70)&gt;2,MID(D70,2,1)=" ",ISNUMBER(VALUE(LEFT(D70,1)))),D70,F69))</f>
        <v>4 Other Miscellaneous Income</v>
      </c>
      <c r="G70" s="36" t="n">
        <f aca="false">IF(AND(D70&lt;&gt;"",ISNUMBER(B70),LEFT(D70,9)&lt;&gt;"Total for",D70&lt;&gt;"Gross Profit",D70&lt;&gt;"Net Operating Revenue",D70&lt;&gt;"Net Other Revenue",D70&lt;&gt;"Net Revenue"),1,0)</f>
        <v>1</v>
      </c>
      <c r="H70" s="36" t="str">
        <f aca="false">IF(G70=1,IF(AND(LEN(D70)&gt;7,ISNUMBER(VALUE(LEFT(D70,6))),MID(D70,7,1)=" "),LEFT(D70,6),D70),"")</f>
        <v>400130</v>
      </c>
      <c r="I70" s="36" t="str">
        <f aca="false">IF(G70=1,IF(COUNTIF('Forecast Detail'!$C$8:$C$400,H70)=0,"UNMAPPED","OK"),"")</f>
        <v>OK</v>
      </c>
    </row>
    <row r="71" customFormat="false" ht="15" hidden="false" customHeight="false" outlineLevel="0" collapsed="false">
      <c r="A71" s="6" t="s">
        <v>274</v>
      </c>
      <c r="B71" s="11" t="n">
        <v>0</v>
      </c>
      <c r="C71" s="11" t="n">
        <f aca="false">B71</f>
        <v>0</v>
      </c>
      <c r="D71" s="36" t="str">
        <f aca="false">TRIM(A71)</f>
        <v>400131 Tutoring Fees Upper School</v>
      </c>
      <c r="E71" s="36" t="str">
        <f aca="false">IF(D71="Revenue","Revenue",IF(D71="Cost of Goods Sold","COGS",IF(D71="Expenditures","Expense",IF(D71="Other Revenue","Other Revenue",IF(D71="Other Expenditures","Other Expense",E70)))))</f>
        <v>Revenue</v>
      </c>
      <c r="F71" s="36" t="str">
        <f aca="false">IF(OR(D71="Revenue",D71="Cost of Goods Sold",D71="Expenditures",D71="Other Revenue",D71="Other Expenditures"),E71,IF(AND(LEN(D71)&gt;2,MID(D71,2,1)=" ",ISNUMBER(VALUE(LEFT(D71,1)))),D71,F70))</f>
        <v>4 Other Miscellaneous Income</v>
      </c>
      <c r="G71" s="36" t="n">
        <f aca="false">IF(AND(D71&lt;&gt;"",ISNUMBER(B71),LEFT(D71,9)&lt;&gt;"Total for",D71&lt;&gt;"Gross Profit",D71&lt;&gt;"Net Operating Revenue",D71&lt;&gt;"Net Other Revenue",D71&lt;&gt;"Net Revenue"),1,0)</f>
        <v>1</v>
      </c>
      <c r="H71" s="36" t="str">
        <f aca="false">IF(G71=1,IF(AND(LEN(D71)&gt;7,ISNUMBER(VALUE(LEFT(D71,6))),MID(D71,7,1)=" "),LEFT(D71,6),D71),"")</f>
        <v>400131</v>
      </c>
      <c r="I71" s="36" t="str">
        <f aca="false">IF(G71=1,IF(COUNTIF('Forecast Detail'!$C$8:$C$400,H71)=0,"UNMAPPED","OK"),"")</f>
        <v>OK</v>
      </c>
    </row>
    <row r="72" customFormat="false" ht="15" hidden="false" customHeight="false" outlineLevel="0" collapsed="false">
      <c r="A72" s="6" t="s">
        <v>276</v>
      </c>
      <c r="B72" s="11" t="n">
        <v>0</v>
      </c>
      <c r="C72" s="11" t="n">
        <f aca="false">B72</f>
        <v>0</v>
      </c>
      <c r="D72" s="36" t="str">
        <f aca="false">TRIM(A72)</f>
        <v>400151 ACT Prep Income</v>
      </c>
      <c r="E72" s="36" t="str">
        <f aca="false">IF(D72="Revenue","Revenue",IF(D72="Cost of Goods Sold","COGS",IF(D72="Expenditures","Expense",IF(D72="Other Revenue","Other Revenue",IF(D72="Other Expenditures","Other Expense",E71)))))</f>
        <v>Revenue</v>
      </c>
      <c r="F72" s="36" t="str">
        <f aca="false">IF(OR(D72="Revenue",D72="Cost of Goods Sold",D72="Expenditures",D72="Other Revenue",D72="Other Expenditures"),E72,IF(AND(LEN(D72)&gt;2,MID(D72,2,1)=" ",ISNUMBER(VALUE(LEFT(D72,1)))),D72,F71))</f>
        <v>4 Other Miscellaneous Income</v>
      </c>
      <c r="G72" s="36" t="n">
        <f aca="false">IF(AND(D72&lt;&gt;"",ISNUMBER(B72),LEFT(D72,9)&lt;&gt;"Total for",D72&lt;&gt;"Gross Profit",D72&lt;&gt;"Net Operating Revenue",D72&lt;&gt;"Net Other Revenue",D72&lt;&gt;"Net Revenue"),1,0)</f>
        <v>1</v>
      </c>
      <c r="H72" s="36" t="str">
        <f aca="false">IF(G72=1,IF(AND(LEN(D72)&gt;7,ISNUMBER(VALUE(LEFT(D72,6))),MID(D72,7,1)=" "),LEFT(D72,6),D72),"")</f>
        <v>400151</v>
      </c>
      <c r="I72" s="36" t="str">
        <f aca="false">IF(G72=1,IF(COUNTIF('Forecast Detail'!$C$8:$C$400,H72)=0,"UNMAPPED","OK"),"")</f>
        <v>OK</v>
      </c>
    </row>
    <row r="73" customFormat="false" ht="15" hidden="false" customHeight="false" outlineLevel="0" collapsed="false">
      <c r="A73" s="6" t="s">
        <v>603</v>
      </c>
      <c r="B73" s="11" t="n">
        <f aca="false">B68+B69+B70+B71+B72</f>
        <v>0</v>
      </c>
      <c r="C73" s="11" t="n">
        <f aca="false">B73</f>
        <v>0</v>
      </c>
      <c r="D73" s="36" t="str">
        <f aca="false">TRIM(A73)</f>
        <v>Total for Fees from Tutoring Services</v>
      </c>
      <c r="E73" s="36" t="str">
        <f aca="false">IF(D73="Revenue","Revenue",IF(D73="Cost of Goods Sold","COGS",IF(D73="Expenditures","Expense",IF(D73="Other Revenue","Other Revenue",IF(D73="Other Expenditures","Other Expense",E72)))))</f>
        <v>Revenue</v>
      </c>
      <c r="F73" s="36" t="str">
        <f aca="false">IF(OR(D73="Revenue",D73="Cost of Goods Sold",D73="Expenditures",D73="Other Revenue",D73="Other Expenditures"),E73,IF(AND(LEN(D73)&gt;2,MID(D73,2,1)=" ",ISNUMBER(VALUE(LEFT(D73,1)))),D73,F72))</f>
        <v>4 Other Miscellaneous Income</v>
      </c>
      <c r="G73" s="36" t="n">
        <f aca="false">IF(AND(D73&lt;&gt;"",ISNUMBER(B73),LEFT(D73,9)&lt;&gt;"Total for",D73&lt;&gt;"Gross Profit",D73&lt;&gt;"Net Operating Revenue",D73&lt;&gt;"Net Other Revenue",D73&lt;&gt;"Net Revenue"),1,0)</f>
        <v>0</v>
      </c>
      <c r="H73" s="36" t="str">
        <f aca="false">IF(G73=1,IF(AND(LEN(D73)&gt;7,ISNUMBER(VALUE(LEFT(D73,6))),MID(D73,7,1)=" "),LEFT(D73,6),D73),"")</f>
        <v/>
      </c>
      <c r="I73" s="36" t="str">
        <f aca="false">IF(G73=1,IF(COUNTIF('Forecast Detail'!$C$8:$C$400,H73)=0,"UNMAPPED","OK"),"")</f>
        <v/>
      </c>
    </row>
    <row r="74" customFormat="false" ht="15" hidden="false" customHeight="false" outlineLevel="0" collapsed="false">
      <c r="A74" s="6" t="s">
        <v>604</v>
      </c>
      <c r="D74" s="36" t="str">
        <f aca="false">TRIM(A74)</f>
        <v>Net Revenue Twas the Night</v>
      </c>
      <c r="E74" s="36" t="str">
        <f aca="false">IF(D74="Revenue","Revenue",IF(D74="Cost of Goods Sold","COGS",IF(D74="Expenditures","Expense",IF(D74="Other Revenue","Other Revenue",IF(D74="Other Expenditures","Other Expense",E73)))))</f>
        <v>Revenue</v>
      </c>
      <c r="F74" s="36" t="str">
        <f aca="false">IF(OR(D74="Revenue",D74="Cost of Goods Sold",D74="Expenditures",D74="Other Revenue",D74="Other Expenditures"),E74,IF(AND(LEN(D74)&gt;2,MID(D74,2,1)=" ",ISNUMBER(VALUE(LEFT(D74,1)))),D74,F73))</f>
        <v>4 Other Miscellaneous Income</v>
      </c>
      <c r="G74" s="36" t="n">
        <f aca="false">IF(AND(D74&lt;&gt;"",ISNUMBER(B74),LEFT(D74,9)&lt;&gt;"Total for",D74&lt;&gt;"Gross Profit",D74&lt;&gt;"Net Operating Revenue",D74&lt;&gt;"Net Other Revenue",D74&lt;&gt;"Net Revenue"),1,0)</f>
        <v>0</v>
      </c>
      <c r="H74" s="36" t="str">
        <f aca="false">IF(G74=1,IF(AND(LEN(D74)&gt;7,ISNUMBER(VALUE(LEFT(D74,6))),MID(D74,7,1)=" "),LEFT(D74,6),D74),"")</f>
        <v/>
      </c>
      <c r="I74" s="36" t="str">
        <f aca="false">IF(G74=1,IF(COUNTIF('Forecast Detail'!$C$8:$C$400,H74)=0,"UNMAPPED","OK"),"")</f>
        <v/>
      </c>
    </row>
    <row r="75" customFormat="false" ht="15" hidden="false" customHeight="false" outlineLevel="0" collapsed="false">
      <c r="A75" s="6" t="s">
        <v>278</v>
      </c>
      <c r="B75" s="11" t="n">
        <v>0</v>
      </c>
      <c r="C75" s="11" t="n">
        <f aca="false">B75</f>
        <v>0</v>
      </c>
      <c r="D75" s="36" t="str">
        <f aca="false">TRIM(A75)</f>
        <v>400086 Twas the Night Revenue</v>
      </c>
      <c r="E75" s="36" t="str">
        <f aca="false">IF(D75="Revenue","Revenue",IF(D75="Cost of Goods Sold","COGS",IF(D75="Expenditures","Expense",IF(D75="Other Revenue","Other Revenue",IF(D75="Other Expenditures","Other Expense",E74)))))</f>
        <v>Revenue</v>
      </c>
      <c r="F75" s="36" t="str">
        <f aca="false">IF(OR(D75="Revenue",D75="Cost of Goods Sold",D75="Expenditures",D75="Other Revenue",D75="Other Expenditures"),E75,IF(AND(LEN(D75)&gt;2,MID(D75,2,1)=" ",ISNUMBER(VALUE(LEFT(D75,1)))),D75,F74))</f>
        <v>4 Other Miscellaneous Income</v>
      </c>
      <c r="G75" s="36" t="n">
        <f aca="false">IF(AND(D75&lt;&gt;"",ISNUMBER(B75),LEFT(D75,9)&lt;&gt;"Total for",D75&lt;&gt;"Gross Profit",D75&lt;&gt;"Net Operating Revenue",D75&lt;&gt;"Net Other Revenue",D75&lt;&gt;"Net Revenue"),1,0)</f>
        <v>1</v>
      </c>
      <c r="H75" s="36" t="str">
        <f aca="false">IF(G75=1,IF(AND(LEN(D75)&gt;7,ISNUMBER(VALUE(LEFT(D75,6))),MID(D75,7,1)=" "),LEFT(D75,6),D75),"")</f>
        <v>400086</v>
      </c>
      <c r="I75" s="36" t="str">
        <f aca="false">IF(G75=1,IF(COUNTIF('Forecast Detail'!$C$8:$C$400,H75)=0,"UNMAPPED","OK"),"")</f>
        <v>OK</v>
      </c>
    </row>
    <row r="76" customFormat="false" ht="15" hidden="false" customHeight="false" outlineLevel="0" collapsed="false">
      <c r="A76" s="6" t="s">
        <v>280</v>
      </c>
      <c r="B76" s="11" t="n">
        <v>0</v>
      </c>
      <c r="C76" s="11" t="n">
        <f aca="false">B76</f>
        <v>0</v>
      </c>
      <c r="D76" s="36" t="str">
        <f aca="false">TRIM(A76)</f>
        <v>400200 Twas the Night Costs Contra</v>
      </c>
      <c r="E76" s="36" t="str">
        <f aca="false">IF(D76="Revenue","Revenue",IF(D76="Cost of Goods Sold","COGS",IF(D76="Expenditures","Expense",IF(D76="Other Revenue","Other Revenue",IF(D76="Other Expenditures","Other Expense",E75)))))</f>
        <v>Revenue</v>
      </c>
      <c r="F76" s="36" t="str">
        <f aca="false">IF(OR(D76="Revenue",D76="Cost of Goods Sold",D76="Expenditures",D76="Other Revenue",D76="Other Expenditures"),E76,IF(AND(LEN(D76)&gt;2,MID(D76,2,1)=" ",ISNUMBER(VALUE(LEFT(D76,1)))),D76,F75))</f>
        <v>4 Other Miscellaneous Income</v>
      </c>
      <c r="G76" s="36" t="n">
        <f aca="false">IF(AND(D76&lt;&gt;"",ISNUMBER(B76),LEFT(D76,9)&lt;&gt;"Total for",D76&lt;&gt;"Gross Profit",D76&lt;&gt;"Net Operating Revenue",D76&lt;&gt;"Net Other Revenue",D76&lt;&gt;"Net Revenue"),1,0)</f>
        <v>1</v>
      </c>
      <c r="H76" s="36" t="str">
        <f aca="false">IF(G76=1,IF(AND(LEN(D76)&gt;7,ISNUMBER(VALUE(LEFT(D76,6))),MID(D76,7,1)=" "),LEFT(D76,6),D76),"")</f>
        <v>400200</v>
      </c>
      <c r="I76" s="36" t="str">
        <f aca="false">IF(G76=1,IF(COUNTIF('Forecast Detail'!$C$8:$C$400,H76)=0,"UNMAPPED","OK"),"")</f>
        <v>OK</v>
      </c>
    </row>
    <row r="77" customFormat="false" ht="15" hidden="false" customHeight="false" outlineLevel="0" collapsed="false">
      <c r="A77" s="6" t="s">
        <v>605</v>
      </c>
      <c r="B77" s="11" t="n">
        <f aca="false">B74+B75+B76</f>
        <v>0</v>
      </c>
      <c r="C77" s="11" t="n">
        <f aca="false">B77</f>
        <v>0</v>
      </c>
      <c r="D77" s="36" t="str">
        <f aca="false">TRIM(A77)</f>
        <v>Total for Net Revenue Twas the Night</v>
      </c>
      <c r="E77" s="36" t="str">
        <f aca="false">IF(D77="Revenue","Revenue",IF(D77="Cost of Goods Sold","COGS",IF(D77="Expenditures","Expense",IF(D77="Other Revenue","Other Revenue",IF(D77="Other Expenditures","Other Expense",E76)))))</f>
        <v>Revenue</v>
      </c>
      <c r="F77" s="36" t="str">
        <f aca="false">IF(OR(D77="Revenue",D77="Cost of Goods Sold",D77="Expenditures",D77="Other Revenue",D77="Other Expenditures"),E77,IF(AND(LEN(D77)&gt;2,MID(D77,2,1)=" ",ISNUMBER(VALUE(LEFT(D77,1)))),D77,F76))</f>
        <v>4 Other Miscellaneous Income</v>
      </c>
      <c r="G77" s="36" t="n">
        <f aca="false">IF(AND(D77&lt;&gt;"",ISNUMBER(B77),LEFT(D77,9)&lt;&gt;"Total for",D77&lt;&gt;"Gross Profit",D77&lt;&gt;"Net Operating Revenue",D77&lt;&gt;"Net Other Revenue",D77&lt;&gt;"Net Revenue"),1,0)</f>
        <v>0</v>
      </c>
      <c r="H77" s="36" t="str">
        <f aca="false">IF(G77=1,IF(AND(LEN(D77)&gt;7,ISNUMBER(VALUE(LEFT(D77,6))),MID(D77,7,1)=" "),LEFT(D77,6),D77),"")</f>
        <v/>
      </c>
      <c r="I77" s="36" t="str">
        <f aca="false">IF(G77=1,IF(COUNTIF('Forecast Detail'!$C$8:$C$400,H77)=0,"UNMAPPED","OK"),"")</f>
        <v/>
      </c>
    </row>
    <row r="78" customFormat="false" ht="15" hidden="false" customHeight="false" outlineLevel="0" collapsed="false">
      <c r="A78" s="6" t="s">
        <v>606</v>
      </c>
      <c r="B78" s="11" t="n">
        <f aca="false">B54+B55+B56+B57+B58+B59+B60+B61+B62+B63+B64+B65+B66+B67+B73+B77</f>
        <v>60000</v>
      </c>
      <c r="C78" s="11" t="n">
        <f aca="false">B78</f>
        <v>60000</v>
      </c>
      <c r="D78" s="36" t="str">
        <f aca="false">TRIM(A78)</f>
        <v>Total for 4 Other Miscellaneous Income</v>
      </c>
      <c r="E78" s="36" t="str">
        <f aca="false">IF(D78="Revenue","Revenue",IF(D78="Cost of Goods Sold","COGS",IF(D78="Expenditures","Expense",IF(D78="Other Revenue","Other Revenue",IF(D78="Other Expenditures","Other Expense",E77)))))</f>
        <v>Revenue</v>
      </c>
      <c r="F78" s="36" t="str">
        <f aca="false">IF(OR(D78="Revenue",D78="Cost of Goods Sold",D78="Expenditures",D78="Other Revenue",D78="Other Expenditures"),E78,IF(AND(LEN(D78)&gt;2,MID(D78,2,1)=" ",ISNUMBER(VALUE(LEFT(D78,1)))),D78,F77))</f>
        <v>4 Other Miscellaneous Income</v>
      </c>
      <c r="G78" s="36" t="n">
        <f aca="false">IF(AND(D78&lt;&gt;"",ISNUMBER(B78),LEFT(D78,9)&lt;&gt;"Total for",D78&lt;&gt;"Gross Profit",D78&lt;&gt;"Net Operating Revenue",D78&lt;&gt;"Net Other Revenue",D78&lt;&gt;"Net Revenue"),1,0)</f>
        <v>0</v>
      </c>
      <c r="H78" s="36" t="str">
        <f aca="false">IF(G78=1,IF(AND(LEN(D78)&gt;7,ISNUMBER(VALUE(LEFT(D78,6))),MID(D78,7,1)=" "),LEFT(D78,6),D78),"")</f>
        <v/>
      </c>
      <c r="I78" s="36" t="str">
        <f aca="false">IF(G78=1,IF(COUNTIF('Forecast Detail'!$C$8:$C$400,H78)=0,"UNMAPPED","OK"),"")</f>
        <v/>
      </c>
    </row>
    <row r="79" customFormat="false" ht="15" hidden="false" customHeight="false" outlineLevel="0" collapsed="false">
      <c r="A79" s="6" t="s">
        <v>11</v>
      </c>
      <c r="B79" s="11" t="n">
        <v>0</v>
      </c>
      <c r="C79" s="11" t="n">
        <f aca="false">B79</f>
        <v>0</v>
      </c>
      <c r="D79" s="36" t="str">
        <f aca="false">TRIM(A79)</f>
        <v>5 Athletic Income</v>
      </c>
      <c r="E79" s="36" t="str">
        <f aca="false">IF(D79="Revenue","Revenue",IF(D79="Cost of Goods Sold","COGS",IF(D79="Expenditures","Expense",IF(D79="Other Revenue","Other Revenue",IF(D79="Other Expenditures","Other Expense",E78)))))</f>
        <v>Revenue</v>
      </c>
      <c r="F79" s="36" t="str">
        <f aca="false">IF(OR(D79="Revenue",D79="Cost of Goods Sold",D79="Expenditures",D79="Other Revenue",D79="Other Expenditures"),E79,IF(AND(LEN(D79)&gt;2,MID(D79,2,1)=" ",ISNUMBER(VALUE(LEFT(D79,1)))),D79,F78))</f>
        <v>5 Athletic Income</v>
      </c>
      <c r="G79" s="36" t="n">
        <f aca="false">IF(AND(D79&lt;&gt;"",ISNUMBER(B79),LEFT(D79,9)&lt;&gt;"Total for",D79&lt;&gt;"Gross Profit",D79&lt;&gt;"Net Operating Revenue",D79&lt;&gt;"Net Other Revenue",D79&lt;&gt;"Net Revenue"),1,0)</f>
        <v>1</v>
      </c>
      <c r="H79" s="36" t="str">
        <f aca="false">IF(G79=1,IF(AND(LEN(D79)&gt;7,ISNUMBER(VALUE(LEFT(D79,6))),MID(D79,7,1)=" "),LEFT(D79,6),D79),"")</f>
        <v>5 Athletic Income</v>
      </c>
      <c r="I79" s="36" t="str">
        <f aca="false">IF(G79=1,IF(COUNTIF('Forecast Detail'!$C$8:$C$400,H79)=0,"UNMAPPED","OK"),"")</f>
        <v>OK</v>
      </c>
    </row>
    <row r="80" customFormat="false" ht="15" hidden="false" customHeight="false" outlineLevel="0" collapsed="false">
      <c r="A80" s="6" t="s">
        <v>607</v>
      </c>
      <c r="B80" s="11" t="n">
        <f aca="false">B5+B33+B53+B78+B79</f>
        <v>9304382</v>
      </c>
      <c r="C80" s="11" t="n">
        <f aca="false">B80</f>
        <v>9304382</v>
      </c>
      <c r="D80" s="36" t="str">
        <f aca="false">TRIM(A80)</f>
        <v>Total for Revenue</v>
      </c>
      <c r="E80" s="36" t="str">
        <f aca="false">IF(D80="Revenue","Revenue",IF(D80="Cost of Goods Sold","COGS",IF(D80="Expenditures","Expense",IF(D80="Other Revenue","Other Revenue",IF(D80="Other Expenditures","Other Expense",E79)))))</f>
        <v>Revenue</v>
      </c>
      <c r="F80" s="36" t="str">
        <f aca="false">IF(OR(D80="Revenue",D80="Cost of Goods Sold",D80="Expenditures",D80="Other Revenue",D80="Other Expenditures"),E80,IF(AND(LEN(D80)&gt;2,MID(D80,2,1)=" ",ISNUMBER(VALUE(LEFT(D80,1)))),D80,F79))</f>
        <v>5 Athletic Income</v>
      </c>
      <c r="G80" s="36" t="n">
        <f aca="false">IF(AND(D80&lt;&gt;"",ISNUMBER(B80),LEFT(D80,9)&lt;&gt;"Total for",D80&lt;&gt;"Gross Profit",D80&lt;&gt;"Net Operating Revenue",D80&lt;&gt;"Net Other Revenue",D80&lt;&gt;"Net Revenue"),1,0)</f>
        <v>0</v>
      </c>
      <c r="H80" s="36" t="str">
        <f aca="false">IF(G80=1,IF(AND(LEN(D80)&gt;7,ISNUMBER(VALUE(LEFT(D80,6))),MID(D80,7,1)=" "),LEFT(D80,6),D80),"")</f>
        <v/>
      </c>
      <c r="I80" s="36" t="str">
        <f aca="false">IF(G80=1,IF(COUNTIF('Forecast Detail'!$C$8:$C$400,H80)=0,"UNMAPPED","OK"),"")</f>
        <v/>
      </c>
    </row>
    <row r="81" customFormat="false" ht="15" hidden="false" customHeight="false" outlineLevel="0" collapsed="false">
      <c r="A81" s="6" t="s">
        <v>608</v>
      </c>
      <c r="D81" s="36" t="str">
        <f aca="false">TRIM(A81)</f>
        <v>Cost of Goods Sold</v>
      </c>
      <c r="E81" s="36" t="str">
        <f aca="false">IF(D81="Revenue","Revenue",IF(D81="Cost of Goods Sold","COGS",IF(D81="Expenditures","Expense",IF(D81="Other Revenue","Other Revenue",IF(D81="Other Expenditures","Other Expense",E80)))))</f>
        <v>COGS</v>
      </c>
      <c r="F81" s="36" t="str">
        <f aca="false">IF(OR(D81="Revenue",D81="Cost of Goods Sold",D81="Expenditures",D81="Other Revenue",D81="Other Expenditures"),E81,IF(AND(LEN(D81)&gt;2,MID(D81,2,1)=" ",ISNUMBER(VALUE(LEFT(D81,1)))),D81,F80))</f>
        <v>COGS</v>
      </c>
      <c r="G81" s="36" t="n">
        <f aca="false">IF(AND(D81&lt;&gt;"",ISNUMBER(B81),LEFT(D81,9)&lt;&gt;"Total for",D81&lt;&gt;"Gross Profit",D81&lt;&gt;"Net Operating Revenue",D81&lt;&gt;"Net Other Revenue",D81&lt;&gt;"Net Revenue"),1,0)</f>
        <v>0</v>
      </c>
      <c r="H81" s="36" t="str">
        <f aca="false">IF(G81=1,IF(AND(LEN(D81)&gt;7,ISNUMBER(VALUE(LEFT(D81,6))),MID(D81,7,1)=" "),LEFT(D81,6),D81),"")</f>
        <v/>
      </c>
      <c r="I81" s="36" t="str">
        <f aca="false">IF(G81=1,IF(COUNTIF('Forecast Detail'!$C$8:$C$400,H81)=0,"UNMAPPED","OK"),"")</f>
        <v/>
      </c>
    </row>
    <row r="82" customFormat="false" ht="15" hidden="false" customHeight="false" outlineLevel="0" collapsed="false">
      <c r="A82" s="6" t="s">
        <v>609</v>
      </c>
      <c r="B82" s="11" t="n">
        <f aca="false">B80-B81</f>
        <v>9304382</v>
      </c>
      <c r="C82" s="11" t="n">
        <f aca="false">B82</f>
        <v>9304382</v>
      </c>
      <c r="D82" s="36" t="str">
        <f aca="false">TRIM(A82)</f>
        <v>Gross Profit</v>
      </c>
      <c r="E82" s="36" t="str">
        <f aca="false">IF(D82="Revenue","Revenue",IF(D82="Cost of Goods Sold","COGS",IF(D82="Expenditures","Expense",IF(D82="Other Revenue","Other Revenue",IF(D82="Other Expenditures","Other Expense",E81)))))</f>
        <v>COGS</v>
      </c>
      <c r="F82" s="36" t="str">
        <f aca="false">IF(OR(D82="Revenue",D82="Cost of Goods Sold",D82="Expenditures",D82="Other Revenue",D82="Other Expenditures"),E82,IF(AND(LEN(D82)&gt;2,MID(D82,2,1)=" ",ISNUMBER(VALUE(LEFT(D82,1)))),D82,F81))</f>
        <v>COGS</v>
      </c>
      <c r="G82" s="36" t="n">
        <f aca="false">IF(AND(D82&lt;&gt;"",ISNUMBER(B82),LEFT(D82,9)&lt;&gt;"Total for",D82&lt;&gt;"Gross Profit",D82&lt;&gt;"Net Operating Revenue",D82&lt;&gt;"Net Other Revenue",D82&lt;&gt;"Net Revenue"),1,0)</f>
        <v>0</v>
      </c>
      <c r="H82" s="36" t="str">
        <f aca="false">IF(G82=1,IF(AND(LEN(D82)&gt;7,ISNUMBER(VALUE(LEFT(D82,6))),MID(D82,7,1)=" "),LEFT(D82,6),D82),"")</f>
        <v/>
      </c>
      <c r="I82" s="36" t="str">
        <f aca="false">IF(G82=1,IF(COUNTIF('Forecast Detail'!$C$8:$C$400,H82)=0,"UNMAPPED","OK"),"")</f>
        <v/>
      </c>
    </row>
    <row r="83" customFormat="false" ht="15" hidden="false" customHeight="false" outlineLevel="0" collapsed="false">
      <c r="A83" s="6" t="s">
        <v>610</v>
      </c>
      <c r="D83" s="36" t="str">
        <f aca="false">TRIM(A83)</f>
        <v>Expenditures</v>
      </c>
      <c r="E83" s="36" t="str">
        <f aca="false">IF(D83="Revenue","Revenue",IF(D83="Cost of Goods Sold","COGS",IF(D83="Expenditures","Expense",IF(D83="Other Revenue","Other Revenue",IF(D83="Other Expenditures","Other Expense",E82)))))</f>
        <v>Expense</v>
      </c>
      <c r="F83" s="36" t="str">
        <f aca="false">IF(OR(D83="Revenue",D83="Cost of Goods Sold",D83="Expenditures",D83="Other Revenue",D83="Other Expenditures"),E83,IF(AND(LEN(D83)&gt;2,MID(D83,2,1)=" ",ISNUMBER(VALUE(LEFT(D83,1)))),D83,F82))</f>
        <v>Expense</v>
      </c>
      <c r="G83" s="36" t="n">
        <f aca="false">IF(AND(D83&lt;&gt;"",ISNUMBER(B83),LEFT(D83,9)&lt;&gt;"Total for",D83&lt;&gt;"Gross Profit",D83&lt;&gt;"Net Operating Revenue",D83&lt;&gt;"Net Other Revenue",D83&lt;&gt;"Net Revenue"),1,0)</f>
        <v>0</v>
      </c>
      <c r="H83" s="36" t="str">
        <f aca="false">IF(G83=1,IF(AND(LEN(D83)&gt;7,ISNUMBER(VALUE(LEFT(D83,6))),MID(D83,7,1)=" "),LEFT(D83,6),D83),"")</f>
        <v/>
      </c>
      <c r="I83" s="36" t="str">
        <f aca="false">IF(G83=1,IF(COUNTIF('Forecast Detail'!$C$8:$C$400,H83)=0,"UNMAPPED","OK"),"")</f>
        <v/>
      </c>
    </row>
    <row r="84" customFormat="false" ht="15" hidden="false" customHeight="false" outlineLevel="0" collapsed="false">
      <c r="A84" s="6" t="s">
        <v>14</v>
      </c>
      <c r="D84" s="36" t="str">
        <f aca="false">TRIM(A84)</f>
        <v>1 Salaries and Benefits</v>
      </c>
      <c r="E84" s="36" t="str">
        <f aca="false">IF(D84="Revenue","Revenue",IF(D84="Cost of Goods Sold","COGS",IF(D84="Expenditures","Expense",IF(D84="Other Revenue","Other Revenue",IF(D84="Other Expenditures","Other Expense",E83)))))</f>
        <v>Expense</v>
      </c>
      <c r="F84" s="36" t="str">
        <f aca="false">IF(OR(D84="Revenue",D84="Cost of Goods Sold",D84="Expenditures",D84="Other Revenue",D84="Other Expenditures"),E84,IF(AND(LEN(D84)&gt;2,MID(D84,2,1)=" ",ISNUMBER(VALUE(LEFT(D84,1)))),D84,F83))</f>
        <v>1 Salaries and Benefits</v>
      </c>
      <c r="G84" s="36" t="n">
        <f aca="false">IF(AND(D84&lt;&gt;"",ISNUMBER(B84),LEFT(D84,9)&lt;&gt;"Total for",D84&lt;&gt;"Gross Profit",D84&lt;&gt;"Net Operating Revenue",D84&lt;&gt;"Net Other Revenue",D84&lt;&gt;"Net Revenue"),1,0)</f>
        <v>0</v>
      </c>
      <c r="H84" s="36" t="str">
        <f aca="false">IF(G84=1,IF(AND(LEN(D84)&gt;7,ISNUMBER(VALUE(LEFT(D84,6))),MID(D84,7,1)=" "),LEFT(D84,6),D84),"")</f>
        <v/>
      </c>
      <c r="I84" s="36" t="str">
        <f aca="false">IF(G84=1,IF(COUNTIF('Forecast Detail'!$C$8:$C$400,H84)=0,"UNMAPPED","OK"),"")</f>
        <v/>
      </c>
    </row>
    <row r="85" customFormat="false" ht="15" hidden="false" customHeight="false" outlineLevel="0" collapsed="false">
      <c r="A85" s="6" t="s">
        <v>283</v>
      </c>
      <c r="B85" s="11" t="n">
        <v>138720</v>
      </c>
      <c r="C85" s="11" t="n">
        <f aca="false">B85</f>
        <v>138720</v>
      </c>
      <c r="D85" s="36" t="str">
        <f aca="false">TRIM(A85)</f>
        <v>500267 Expenses for 401K plan</v>
      </c>
      <c r="E85" s="36" t="str">
        <f aca="false">IF(D85="Revenue","Revenue",IF(D85="Cost of Goods Sold","COGS",IF(D85="Expenditures","Expense",IF(D85="Other Revenue","Other Revenue",IF(D85="Other Expenditures","Other Expense",E84)))))</f>
        <v>Expense</v>
      </c>
      <c r="F85" s="36" t="str">
        <f aca="false">IF(OR(D85="Revenue",D85="Cost of Goods Sold",D85="Expenditures",D85="Other Revenue",D85="Other Expenditures"),E85,IF(AND(LEN(D85)&gt;2,MID(D85,2,1)=" ",ISNUMBER(VALUE(LEFT(D85,1)))),D85,F84))</f>
        <v>1 Salaries and Benefits</v>
      </c>
      <c r="G85" s="36" t="n">
        <f aca="false">IF(AND(D85&lt;&gt;"",ISNUMBER(B85),LEFT(D85,9)&lt;&gt;"Total for",D85&lt;&gt;"Gross Profit",D85&lt;&gt;"Net Operating Revenue",D85&lt;&gt;"Net Other Revenue",D85&lt;&gt;"Net Revenue"),1,0)</f>
        <v>1</v>
      </c>
      <c r="H85" s="36" t="str">
        <f aca="false">IF(G85=1,IF(AND(LEN(D85)&gt;7,ISNUMBER(VALUE(LEFT(D85,6))),MID(D85,7,1)=" "),LEFT(D85,6),D85),"")</f>
        <v>500267</v>
      </c>
      <c r="I85" s="36" t="str">
        <f aca="false">IF(G85=1,IF(COUNTIF('Forecast Detail'!$C$8:$C$400,H85)=0,"UNMAPPED","OK"),"")</f>
        <v>OK</v>
      </c>
    </row>
    <row r="86" customFormat="false" ht="15" hidden="false" customHeight="false" outlineLevel="0" collapsed="false">
      <c r="A86" s="6" t="s">
        <v>286</v>
      </c>
      <c r="B86" s="11" t="n">
        <v>285000</v>
      </c>
      <c r="C86" s="11" t="n">
        <f aca="false">B86</f>
        <v>285000</v>
      </c>
      <c r="D86" s="36" t="str">
        <f aca="false">TRIM(A86)</f>
        <v>500268 Medical Insurance Expense</v>
      </c>
      <c r="E86" s="36" t="str">
        <f aca="false">IF(D86="Revenue","Revenue",IF(D86="Cost of Goods Sold","COGS",IF(D86="Expenditures","Expense",IF(D86="Other Revenue","Other Revenue",IF(D86="Other Expenditures","Other Expense",E85)))))</f>
        <v>Expense</v>
      </c>
      <c r="F86" s="36" t="str">
        <f aca="false">IF(OR(D86="Revenue",D86="Cost of Goods Sold",D86="Expenditures",D86="Other Revenue",D86="Other Expenditures"),E86,IF(AND(LEN(D86)&gt;2,MID(D86,2,1)=" ",ISNUMBER(VALUE(LEFT(D86,1)))),D86,F85))</f>
        <v>1 Salaries and Benefits</v>
      </c>
      <c r="G86" s="36" t="n">
        <f aca="false">IF(AND(D86&lt;&gt;"",ISNUMBER(B86),LEFT(D86,9)&lt;&gt;"Total for",D86&lt;&gt;"Gross Profit",D86&lt;&gt;"Net Operating Revenue",D86&lt;&gt;"Net Other Revenue",D86&lt;&gt;"Net Revenue"),1,0)</f>
        <v>1</v>
      </c>
      <c r="H86" s="36" t="str">
        <f aca="false">IF(G86=1,IF(AND(LEN(D86)&gt;7,ISNUMBER(VALUE(LEFT(D86,6))),MID(D86,7,1)=" "),LEFT(D86,6),D86),"")</f>
        <v>500268</v>
      </c>
      <c r="I86" s="36" t="str">
        <f aca="false">IF(G86=1,IF(COUNTIF('Forecast Detail'!$C$8:$C$400,H86)=0,"UNMAPPED","OK"),"")</f>
        <v>OK</v>
      </c>
    </row>
    <row r="87" customFormat="false" ht="15" hidden="false" customHeight="false" outlineLevel="0" collapsed="false">
      <c r="A87" s="6" t="s">
        <v>289</v>
      </c>
      <c r="B87" s="11" t="n">
        <v>10000</v>
      </c>
      <c r="C87" s="11" t="n">
        <f aca="false">B87</f>
        <v>10000</v>
      </c>
      <c r="D87" s="36" t="str">
        <f aca="false">TRIM(A87)</f>
        <v>500269 Dental/Life Insurance Expense</v>
      </c>
      <c r="E87" s="36" t="str">
        <f aca="false">IF(D87="Revenue","Revenue",IF(D87="Cost of Goods Sold","COGS",IF(D87="Expenditures","Expense",IF(D87="Other Revenue","Other Revenue",IF(D87="Other Expenditures","Other Expense",E86)))))</f>
        <v>Expense</v>
      </c>
      <c r="F87" s="36" t="str">
        <f aca="false">IF(OR(D87="Revenue",D87="Cost of Goods Sold",D87="Expenditures",D87="Other Revenue",D87="Other Expenditures"),E87,IF(AND(LEN(D87)&gt;2,MID(D87,2,1)=" ",ISNUMBER(VALUE(LEFT(D87,1)))),D87,F86))</f>
        <v>1 Salaries and Benefits</v>
      </c>
      <c r="G87" s="36" t="n">
        <f aca="false">IF(AND(D87&lt;&gt;"",ISNUMBER(B87),LEFT(D87,9)&lt;&gt;"Total for",D87&lt;&gt;"Gross Profit",D87&lt;&gt;"Net Operating Revenue",D87&lt;&gt;"Net Other Revenue",D87&lt;&gt;"Net Revenue"),1,0)</f>
        <v>1</v>
      </c>
      <c r="H87" s="36" t="str">
        <f aca="false">IF(G87=1,IF(AND(LEN(D87)&gt;7,ISNUMBER(VALUE(LEFT(D87,6))),MID(D87,7,1)=" "),LEFT(D87,6),D87),"")</f>
        <v>500269</v>
      </c>
      <c r="I87" s="36" t="str">
        <f aca="false">IF(G87=1,IF(COUNTIF('Forecast Detail'!$C$8:$C$400,H87)=0,"UNMAPPED","OK"),"")</f>
        <v>OK</v>
      </c>
    </row>
    <row r="88" customFormat="false" ht="15" hidden="false" customHeight="false" outlineLevel="0" collapsed="false">
      <c r="A88" s="6" t="s">
        <v>291</v>
      </c>
      <c r="B88" s="11" t="n">
        <v>329889</v>
      </c>
      <c r="C88" s="11" t="n">
        <f aca="false">B88</f>
        <v>329889</v>
      </c>
      <c r="D88" s="36" t="str">
        <f aca="false">TRIM(A88)</f>
        <v>500270 Staff Tuition Benefits</v>
      </c>
      <c r="E88" s="36" t="str">
        <f aca="false">IF(D88="Revenue","Revenue",IF(D88="Cost of Goods Sold","COGS",IF(D88="Expenditures","Expense",IF(D88="Other Revenue","Other Revenue",IF(D88="Other Expenditures","Other Expense",E87)))))</f>
        <v>Expense</v>
      </c>
      <c r="F88" s="36" t="str">
        <f aca="false">IF(OR(D88="Revenue",D88="Cost of Goods Sold",D88="Expenditures",D88="Other Revenue",D88="Other Expenditures"),E88,IF(AND(LEN(D88)&gt;2,MID(D88,2,1)=" ",ISNUMBER(VALUE(LEFT(D88,1)))),D88,F87))</f>
        <v>1 Salaries and Benefits</v>
      </c>
      <c r="G88" s="36" t="n">
        <f aca="false">IF(AND(D88&lt;&gt;"",ISNUMBER(B88),LEFT(D88,9)&lt;&gt;"Total for",D88&lt;&gt;"Gross Profit",D88&lt;&gt;"Net Operating Revenue",D88&lt;&gt;"Net Other Revenue",D88&lt;&gt;"Net Revenue"),1,0)</f>
        <v>1</v>
      </c>
      <c r="H88" s="36" t="str">
        <f aca="false">IF(G88=1,IF(AND(LEN(D88)&gt;7,ISNUMBER(VALUE(LEFT(D88,6))),MID(D88,7,1)=" "),LEFT(D88,6),D88),"")</f>
        <v>500270</v>
      </c>
      <c r="I88" s="36" t="str">
        <f aca="false">IF(G88=1,IF(COUNTIF('Forecast Detail'!$C$8:$C$400,H88)=0,"UNMAPPED","OK"),"")</f>
        <v>OK</v>
      </c>
    </row>
    <row r="89" customFormat="false" ht="15" hidden="false" customHeight="false" outlineLevel="0" collapsed="false">
      <c r="A89" s="6" t="s">
        <v>293</v>
      </c>
      <c r="B89" s="11" t="n">
        <v>0</v>
      </c>
      <c r="C89" s="11" t="n">
        <f aca="false">B89</f>
        <v>0</v>
      </c>
      <c r="D89" s="36" t="str">
        <f aca="false">TRIM(A89)</f>
        <v>500271 Staff Benefit After School Care</v>
      </c>
      <c r="E89" s="36" t="str">
        <f aca="false">IF(D89="Revenue","Revenue",IF(D89="Cost of Goods Sold","COGS",IF(D89="Expenditures","Expense",IF(D89="Other Revenue","Other Revenue",IF(D89="Other Expenditures","Other Expense",E88)))))</f>
        <v>Expense</v>
      </c>
      <c r="F89" s="36" t="str">
        <f aca="false">IF(OR(D89="Revenue",D89="Cost of Goods Sold",D89="Expenditures",D89="Other Revenue",D89="Other Expenditures"),E89,IF(AND(LEN(D89)&gt;2,MID(D89,2,1)=" ",ISNUMBER(VALUE(LEFT(D89,1)))),D89,F88))</f>
        <v>1 Salaries and Benefits</v>
      </c>
      <c r="G89" s="36" t="n">
        <f aca="false">IF(AND(D89&lt;&gt;"",ISNUMBER(B89),LEFT(D89,9)&lt;&gt;"Total for",D89&lt;&gt;"Gross Profit",D89&lt;&gt;"Net Operating Revenue",D89&lt;&gt;"Net Other Revenue",D89&lt;&gt;"Net Revenue"),1,0)</f>
        <v>1</v>
      </c>
      <c r="H89" s="36" t="str">
        <f aca="false">IF(G89=1,IF(AND(LEN(D89)&gt;7,ISNUMBER(VALUE(LEFT(D89,6))),MID(D89,7,1)=" "),LEFT(D89,6),D89),"")</f>
        <v>500271</v>
      </c>
      <c r="I89" s="36" t="str">
        <f aca="false">IF(G89=1,IF(COUNTIF('Forecast Detail'!$C$8:$C$400,H89)=0,"UNMAPPED","OK"),"")</f>
        <v>OK</v>
      </c>
    </row>
    <row r="90" customFormat="false" ht="15" hidden="false" customHeight="false" outlineLevel="0" collapsed="false">
      <c r="A90" s="6" t="s">
        <v>295</v>
      </c>
      <c r="B90" s="11" t="n">
        <v>6000</v>
      </c>
      <c r="C90" s="11" t="n">
        <f aca="false">B90</f>
        <v>6000</v>
      </c>
      <c r="D90" s="36" t="str">
        <f aca="false">TRIM(A90)</f>
        <v>500272 Head of School Auto Allowance</v>
      </c>
      <c r="E90" s="36" t="str">
        <f aca="false">IF(D90="Revenue","Revenue",IF(D90="Cost of Goods Sold","COGS",IF(D90="Expenditures","Expense",IF(D90="Other Revenue","Other Revenue",IF(D90="Other Expenditures","Other Expense",E89)))))</f>
        <v>Expense</v>
      </c>
      <c r="F90" s="36" t="str">
        <f aca="false">IF(OR(D90="Revenue",D90="Cost of Goods Sold",D90="Expenditures",D90="Other Revenue",D90="Other Expenditures"),E90,IF(AND(LEN(D90)&gt;2,MID(D90,2,1)=" ",ISNUMBER(VALUE(LEFT(D90,1)))),D90,F89))</f>
        <v>1 Salaries and Benefits</v>
      </c>
      <c r="G90" s="36" t="n">
        <f aca="false">IF(AND(D90&lt;&gt;"",ISNUMBER(B90),LEFT(D90,9)&lt;&gt;"Total for",D90&lt;&gt;"Gross Profit",D90&lt;&gt;"Net Operating Revenue",D90&lt;&gt;"Net Other Revenue",D90&lt;&gt;"Net Revenue"),1,0)</f>
        <v>1</v>
      </c>
      <c r="H90" s="36" t="str">
        <f aca="false">IF(G90=1,IF(AND(LEN(D90)&gt;7,ISNUMBER(VALUE(LEFT(D90,6))),MID(D90,7,1)=" "),LEFT(D90,6),D90),"")</f>
        <v>500272</v>
      </c>
      <c r="I90" s="36" t="str">
        <f aca="false">IF(G90=1,IF(COUNTIF('Forecast Detail'!$C$8:$C$400,H90)=0,"UNMAPPED","OK"),"")</f>
        <v>OK</v>
      </c>
    </row>
    <row r="91" customFormat="false" ht="15" hidden="false" customHeight="false" outlineLevel="0" collapsed="false">
      <c r="A91" s="6" t="s">
        <v>297</v>
      </c>
      <c r="B91" s="11" t="n">
        <v>0</v>
      </c>
      <c r="C91" s="11" t="n">
        <f aca="false">B91</f>
        <v>0</v>
      </c>
      <c r="D91" s="36" t="str">
        <f aca="false">TRIM(A91)</f>
        <v>500273 State Unemployment Insurance</v>
      </c>
      <c r="E91" s="36" t="str">
        <f aca="false">IF(D91="Revenue","Revenue",IF(D91="Cost of Goods Sold","COGS",IF(D91="Expenditures","Expense",IF(D91="Other Revenue","Other Revenue",IF(D91="Other Expenditures","Other Expense",E90)))))</f>
        <v>Expense</v>
      </c>
      <c r="F91" s="36" t="str">
        <f aca="false">IF(OR(D91="Revenue",D91="Cost of Goods Sold",D91="Expenditures",D91="Other Revenue",D91="Other Expenditures"),E91,IF(AND(LEN(D91)&gt;2,MID(D91,2,1)=" ",ISNUMBER(VALUE(LEFT(D91,1)))),D91,F90))</f>
        <v>1 Salaries and Benefits</v>
      </c>
      <c r="G91" s="36" t="n">
        <f aca="false">IF(AND(D91&lt;&gt;"",ISNUMBER(B91),LEFT(D91,9)&lt;&gt;"Total for",D91&lt;&gt;"Gross Profit",D91&lt;&gt;"Net Operating Revenue",D91&lt;&gt;"Net Other Revenue",D91&lt;&gt;"Net Revenue"),1,0)</f>
        <v>1</v>
      </c>
      <c r="H91" s="36" t="str">
        <f aca="false">IF(G91=1,IF(AND(LEN(D91)&gt;7,ISNUMBER(VALUE(LEFT(D91,6))),MID(D91,7,1)=" "),LEFT(D91,6),D91),"")</f>
        <v>500273</v>
      </c>
      <c r="I91" s="36" t="str">
        <f aca="false">IF(G91=1,IF(COUNTIF('Forecast Detail'!$C$8:$C$400,H91)=0,"UNMAPPED","OK"),"")</f>
        <v>OK</v>
      </c>
    </row>
    <row r="92" customFormat="false" ht="15" hidden="false" customHeight="false" outlineLevel="0" collapsed="false">
      <c r="A92" s="6" t="s">
        <v>299</v>
      </c>
      <c r="B92" s="11" t="n">
        <v>385500</v>
      </c>
      <c r="C92" s="11" t="n">
        <f aca="false">B92</f>
        <v>385500</v>
      </c>
      <c r="D92" s="36" t="str">
        <f aca="false">TRIM(A92)</f>
        <v>500274 Federal Payroll Taxes</v>
      </c>
      <c r="E92" s="36" t="str">
        <f aca="false">IF(D92="Revenue","Revenue",IF(D92="Cost of Goods Sold","COGS",IF(D92="Expenditures","Expense",IF(D92="Other Revenue","Other Revenue",IF(D92="Other Expenditures","Other Expense",E91)))))</f>
        <v>Expense</v>
      </c>
      <c r="F92" s="36" t="str">
        <f aca="false">IF(OR(D92="Revenue",D92="Cost of Goods Sold",D92="Expenditures",D92="Other Revenue",D92="Other Expenditures"),E92,IF(AND(LEN(D92)&gt;2,MID(D92,2,1)=" ",ISNUMBER(VALUE(LEFT(D92,1)))),D92,F91))</f>
        <v>1 Salaries and Benefits</v>
      </c>
      <c r="G92" s="36" t="n">
        <f aca="false">IF(AND(D92&lt;&gt;"",ISNUMBER(B92),LEFT(D92,9)&lt;&gt;"Total for",D92&lt;&gt;"Gross Profit",D92&lt;&gt;"Net Operating Revenue",D92&lt;&gt;"Net Other Revenue",D92&lt;&gt;"Net Revenue"),1,0)</f>
        <v>1</v>
      </c>
      <c r="H92" s="36" t="str">
        <f aca="false">IF(G92=1,IF(AND(LEN(D92)&gt;7,ISNUMBER(VALUE(LEFT(D92,6))),MID(D92,7,1)=" "),LEFT(D92,6),D92),"")</f>
        <v>500274</v>
      </c>
      <c r="I92" s="36" t="str">
        <f aca="false">IF(G92=1,IF(COUNTIF('Forecast Detail'!$C$8:$C$400,H92)=0,"UNMAPPED","OK"),"")</f>
        <v>OK</v>
      </c>
    </row>
    <row r="93" customFormat="false" ht="15" hidden="false" customHeight="false" outlineLevel="0" collapsed="false">
      <c r="A93" s="6" t="s">
        <v>301</v>
      </c>
      <c r="B93" s="11" t="n">
        <v>1420000</v>
      </c>
      <c r="C93" s="11" t="n">
        <f aca="false">B93</f>
        <v>1420000</v>
      </c>
      <c r="D93" s="36" t="str">
        <f aca="false">TRIM(A93)</f>
        <v>500275 Administrative Salaries</v>
      </c>
      <c r="E93" s="36" t="str">
        <f aca="false">IF(D93="Revenue","Revenue",IF(D93="Cost of Goods Sold","COGS",IF(D93="Expenditures","Expense",IF(D93="Other Revenue","Other Revenue",IF(D93="Other Expenditures","Other Expense",E92)))))</f>
        <v>Expense</v>
      </c>
      <c r="F93" s="36" t="str">
        <f aca="false">IF(OR(D93="Revenue",D93="Cost of Goods Sold",D93="Expenditures",D93="Other Revenue",D93="Other Expenditures"),E93,IF(AND(LEN(D93)&gt;2,MID(D93,2,1)=" ",ISNUMBER(VALUE(LEFT(D93,1)))),D93,F92))</f>
        <v>1 Salaries and Benefits</v>
      </c>
      <c r="G93" s="36" t="n">
        <f aca="false">IF(AND(D93&lt;&gt;"",ISNUMBER(B93),LEFT(D93,9)&lt;&gt;"Total for",D93&lt;&gt;"Gross Profit",D93&lt;&gt;"Net Operating Revenue",D93&lt;&gt;"Net Other Revenue",D93&lt;&gt;"Net Revenue"),1,0)</f>
        <v>1</v>
      </c>
      <c r="H93" s="36" t="str">
        <f aca="false">IF(G93=1,IF(AND(LEN(D93)&gt;7,ISNUMBER(VALUE(LEFT(D93,6))),MID(D93,7,1)=" "),LEFT(D93,6),D93),"")</f>
        <v>500275</v>
      </c>
      <c r="I93" s="36" t="str">
        <f aca="false">IF(G93=1,IF(COUNTIF('Forecast Detail'!$C$8:$C$400,H93)=0,"UNMAPPED","OK"),"")</f>
        <v>OK</v>
      </c>
    </row>
    <row r="94" customFormat="false" ht="15" hidden="false" customHeight="false" outlineLevel="0" collapsed="false">
      <c r="A94" s="6" t="s">
        <v>304</v>
      </c>
      <c r="B94" s="11" t="n">
        <v>3461000</v>
      </c>
      <c r="C94" s="11" t="n">
        <f aca="false">B94</f>
        <v>3461000</v>
      </c>
      <c r="D94" s="36" t="str">
        <f aca="false">TRIM(A94)</f>
        <v>500276 Teacher Salaries</v>
      </c>
      <c r="E94" s="36" t="str">
        <f aca="false">IF(D94="Revenue","Revenue",IF(D94="Cost of Goods Sold","COGS",IF(D94="Expenditures","Expense",IF(D94="Other Revenue","Other Revenue",IF(D94="Other Expenditures","Other Expense",E93)))))</f>
        <v>Expense</v>
      </c>
      <c r="F94" s="36" t="str">
        <f aca="false">IF(OR(D94="Revenue",D94="Cost of Goods Sold",D94="Expenditures",D94="Other Revenue",D94="Other Expenditures"),E94,IF(AND(LEN(D94)&gt;2,MID(D94,2,1)=" ",ISNUMBER(VALUE(LEFT(D94,1)))),D94,F93))</f>
        <v>1 Salaries and Benefits</v>
      </c>
      <c r="G94" s="36" t="n">
        <f aca="false">IF(AND(D94&lt;&gt;"",ISNUMBER(B94),LEFT(D94,9)&lt;&gt;"Total for",D94&lt;&gt;"Gross Profit",D94&lt;&gt;"Net Operating Revenue",D94&lt;&gt;"Net Other Revenue",D94&lt;&gt;"Net Revenue"),1,0)</f>
        <v>1</v>
      </c>
      <c r="H94" s="36" t="str">
        <f aca="false">IF(G94=1,IF(AND(LEN(D94)&gt;7,ISNUMBER(VALUE(LEFT(D94,6))),MID(D94,7,1)=" "),LEFT(D94,6),D94),"")</f>
        <v>500276</v>
      </c>
      <c r="I94" s="36" t="str">
        <f aca="false">IF(G94=1,IF(COUNTIF('Forecast Detail'!$C$8:$C$400,H94)=0,"UNMAPPED","OK"),"")</f>
        <v>OK</v>
      </c>
    </row>
    <row r="95" customFormat="false" ht="15" hidden="false" customHeight="false" outlineLevel="0" collapsed="false">
      <c r="A95" s="6" t="s">
        <v>306</v>
      </c>
      <c r="B95" s="11" t="n">
        <v>0</v>
      </c>
      <c r="C95" s="11" t="n">
        <f aca="false">B95</f>
        <v>0</v>
      </c>
      <c r="D95" s="36" t="str">
        <f aca="false">TRIM(A95)</f>
        <v>500277 Faculty/Staff Stipends</v>
      </c>
      <c r="E95" s="36" t="str">
        <f aca="false">IF(D95="Revenue","Revenue",IF(D95="Cost of Goods Sold","COGS",IF(D95="Expenditures","Expense",IF(D95="Other Revenue","Other Revenue",IF(D95="Other Expenditures","Other Expense",E94)))))</f>
        <v>Expense</v>
      </c>
      <c r="F95" s="36" t="str">
        <f aca="false">IF(OR(D95="Revenue",D95="Cost of Goods Sold",D95="Expenditures",D95="Other Revenue",D95="Other Expenditures"),E95,IF(AND(LEN(D95)&gt;2,MID(D95,2,1)=" ",ISNUMBER(VALUE(LEFT(D95,1)))),D95,F94))</f>
        <v>1 Salaries and Benefits</v>
      </c>
      <c r="G95" s="36" t="n">
        <f aca="false">IF(AND(D95&lt;&gt;"",ISNUMBER(B95),LEFT(D95,9)&lt;&gt;"Total for",D95&lt;&gt;"Gross Profit",D95&lt;&gt;"Net Operating Revenue",D95&lt;&gt;"Net Other Revenue",D95&lt;&gt;"Net Revenue"),1,0)</f>
        <v>1</v>
      </c>
      <c r="H95" s="36" t="str">
        <f aca="false">IF(G95=1,IF(AND(LEN(D95)&gt;7,ISNUMBER(VALUE(LEFT(D95,6))),MID(D95,7,1)=" "),LEFT(D95,6),D95),"")</f>
        <v>500277</v>
      </c>
      <c r="I95" s="36" t="str">
        <f aca="false">IF(G95=1,IF(COUNTIF('Forecast Detail'!$C$8:$C$400,H95)=0,"UNMAPPED","OK"),"")</f>
        <v>OK</v>
      </c>
    </row>
    <row r="96" customFormat="false" ht="15" hidden="false" customHeight="false" outlineLevel="0" collapsed="false">
      <c r="A96" s="6" t="s">
        <v>308</v>
      </c>
      <c r="B96" s="11" t="n">
        <v>20000</v>
      </c>
      <c r="C96" s="11" t="n">
        <f aca="false">B96</f>
        <v>20000</v>
      </c>
      <c r="D96" s="36" t="str">
        <f aca="false">TRIM(A96)</f>
        <v>500278 Substitute Expenses Upper School</v>
      </c>
      <c r="E96" s="36" t="str">
        <f aca="false">IF(D96="Revenue","Revenue",IF(D96="Cost of Goods Sold","COGS",IF(D96="Expenditures","Expense",IF(D96="Other Revenue","Other Revenue",IF(D96="Other Expenditures","Other Expense",E95)))))</f>
        <v>Expense</v>
      </c>
      <c r="F96" s="36" t="str">
        <f aca="false">IF(OR(D96="Revenue",D96="Cost of Goods Sold",D96="Expenditures",D96="Other Revenue",D96="Other Expenditures"),E96,IF(AND(LEN(D96)&gt;2,MID(D96,2,1)=" ",ISNUMBER(VALUE(LEFT(D96,1)))),D96,F95))</f>
        <v>1 Salaries and Benefits</v>
      </c>
      <c r="G96" s="36" t="n">
        <f aca="false">IF(AND(D96&lt;&gt;"",ISNUMBER(B96),LEFT(D96,9)&lt;&gt;"Total for",D96&lt;&gt;"Gross Profit",D96&lt;&gt;"Net Operating Revenue",D96&lt;&gt;"Net Other Revenue",D96&lt;&gt;"Net Revenue"),1,0)</f>
        <v>1</v>
      </c>
      <c r="H96" s="36" t="str">
        <f aca="false">IF(G96=1,IF(AND(LEN(D96)&gt;7,ISNUMBER(VALUE(LEFT(D96,6))),MID(D96,7,1)=" "),LEFT(D96,6),D96),"")</f>
        <v>500278</v>
      </c>
      <c r="I96" s="36" t="str">
        <f aca="false">IF(G96=1,IF(COUNTIF('Forecast Detail'!$C$8:$C$400,H96)=0,"UNMAPPED","OK"),"")</f>
        <v>OK</v>
      </c>
    </row>
    <row r="97" customFormat="false" ht="15" hidden="false" customHeight="false" outlineLevel="0" collapsed="false">
      <c r="A97" s="6" t="s">
        <v>310</v>
      </c>
      <c r="B97" s="11" t="n">
        <v>15000</v>
      </c>
      <c r="C97" s="11" t="n">
        <f aca="false">B97</f>
        <v>15000</v>
      </c>
      <c r="D97" s="36" t="str">
        <f aca="false">TRIM(A97)</f>
        <v>500279 Substitute Expense Lower School</v>
      </c>
      <c r="E97" s="36" t="str">
        <f aca="false">IF(D97="Revenue","Revenue",IF(D97="Cost of Goods Sold","COGS",IF(D97="Expenditures","Expense",IF(D97="Other Revenue","Other Revenue",IF(D97="Other Expenditures","Other Expense",E96)))))</f>
        <v>Expense</v>
      </c>
      <c r="F97" s="36" t="str">
        <f aca="false">IF(OR(D97="Revenue",D97="Cost of Goods Sold",D97="Expenditures",D97="Other Revenue",D97="Other Expenditures"),E97,IF(AND(LEN(D97)&gt;2,MID(D97,2,1)=" ",ISNUMBER(VALUE(LEFT(D97,1)))),D97,F96))</f>
        <v>1 Salaries and Benefits</v>
      </c>
      <c r="G97" s="36" t="n">
        <f aca="false">IF(AND(D97&lt;&gt;"",ISNUMBER(B97),LEFT(D97,9)&lt;&gt;"Total for",D97&lt;&gt;"Gross Profit",D97&lt;&gt;"Net Operating Revenue",D97&lt;&gt;"Net Other Revenue",D97&lt;&gt;"Net Revenue"),1,0)</f>
        <v>1</v>
      </c>
      <c r="H97" s="36" t="str">
        <f aca="false">IF(G97=1,IF(AND(LEN(D97)&gt;7,ISNUMBER(VALUE(LEFT(D97,6))),MID(D97,7,1)=" "),LEFT(D97,6),D97),"")</f>
        <v>500279</v>
      </c>
      <c r="I97" s="36" t="str">
        <f aca="false">IF(G97=1,IF(COUNTIF('Forecast Detail'!$C$8:$C$400,H97)=0,"UNMAPPED","OK"),"")</f>
        <v>OK</v>
      </c>
    </row>
    <row r="98" customFormat="false" ht="15" hidden="false" customHeight="false" outlineLevel="0" collapsed="false">
      <c r="A98" s="6" t="s">
        <v>312</v>
      </c>
      <c r="B98" s="11" t="n">
        <v>182000</v>
      </c>
      <c r="C98" s="11" t="n">
        <f aca="false">B98</f>
        <v>182000</v>
      </c>
      <c r="D98" s="36" t="str">
        <f aca="false">TRIM(A98)</f>
        <v>500280 Maintenance Salaries</v>
      </c>
      <c r="E98" s="36" t="str">
        <f aca="false">IF(D98="Revenue","Revenue",IF(D98="Cost of Goods Sold","COGS",IF(D98="Expenditures","Expense",IF(D98="Other Revenue","Other Revenue",IF(D98="Other Expenditures","Other Expense",E97)))))</f>
        <v>Expense</v>
      </c>
      <c r="F98" s="36" t="str">
        <f aca="false">IF(OR(D98="Revenue",D98="Cost of Goods Sold",D98="Expenditures",D98="Other Revenue",D98="Other Expenditures"),E98,IF(AND(LEN(D98)&gt;2,MID(D98,2,1)=" ",ISNUMBER(VALUE(LEFT(D98,1)))),D98,F97))</f>
        <v>1 Salaries and Benefits</v>
      </c>
      <c r="G98" s="36" t="n">
        <f aca="false">IF(AND(D98&lt;&gt;"",ISNUMBER(B98),LEFT(D98,9)&lt;&gt;"Total for",D98&lt;&gt;"Gross Profit",D98&lt;&gt;"Net Operating Revenue",D98&lt;&gt;"Net Other Revenue",D98&lt;&gt;"Net Revenue"),1,0)</f>
        <v>1</v>
      </c>
      <c r="H98" s="36" t="str">
        <f aca="false">IF(G98=1,IF(AND(LEN(D98)&gt;7,ISNUMBER(VALUE(LEFT(D98,6))),MID(D98,7,1)=" "),LEFT(D98,6),D98),"")</f>
        <v>500280</v>
      </c>
      <c r="I98" s="36" t="str">
        <f aca="false">IF(G98=1,IF(COUNTIF('Forecast Detail'!$C$8:$C$400,H98)=0,"UNMAPPED","OK"),"")</f>
        <v>OK</v>
      </c>
    </row>
    <row r="99" customFormat="false" ht="15" hidden="false" customHeight="false" outlineLevel="0" collapsed="false">
      <c r="A99" s="6" t="s">
        <v>611</v>
      </c>
      <c r="B99" s="11" t="n">
        <f aca="false">B84+B85+B86+B87+B88+B89+B90+B91+B92+B93+B94+B95+B96+B97+B98</f>
        <v>6253109</v>
      </c>
      <c r="C99" s="11" t="n">
        <f aca="false">B99</f>
        <v>6253109</v>
      </c>
      <c r="D99" s="36" t="str">
        <f aca="false">TRIM(A99)</f>
        <v>Total for 1 Salaries and Benefits</v>
      </c>
      <c r="E99" s="36" t="str">
        <f aca="false">IF(D99="Revenue","Revenue",IF(D99="Cost of Goods Sold","COGS",IF(D99="Expenditures","Expense",IF(D99="Other Revenue","Other Revenue",IF(D99="Other Expenditures","Other Expense",E98)))))</f>
        <v>Expense</v>
      </c>
      <c r="F99" s="36" t="str">
        <f aca="false">IF(OR(D99="Revenue",D99="Cost of Goods Sold",D99="Expenditures",D99="Other Revenue",D99="Other Expenditures"),E99,IF(AND(LEN(D99)&gt;2,MID(D99,2,1)=" ",ISNUMBER(VALUE(LEFT(D99,1)))),D99,F98))</f>
        <v>1 Salaries and Benefits</v>
      </c>
      <c r="G99" s="36" t="n">
        <f aca="false">IF(AND(D99&lt;&gt;"",ISNUMBER(B99),LEFT(D99,9)&lt;&gt;"Total for",D99&lt;&gt;"Gross Profit",D99&lt;&gt;"Net Operating Revenue",D99&lt;&gt;"Net Other Revenue",D99&lt;&gt;"Net Revenue"),1,0)</f>
        <v>0</v>
      </c>
      <c r="H99" s="36" t="str">
        <f aca="false">IF(G99=1,IF(AND(LEN(D99)&gt;7,ISNUMBER(VALUE(LEFT(D99,6))),MID(D99,7,1)=" "),LEFT(D99,6),D99),"")</f>
        <v/>
      </c>
      <c r="I99" s="36" t="str">
        <f aca="false">IF(G99=1,IF(COUNTIF('Forecast Detail'!$C$8:$C$400,H99)=0,"UNMAPPED","OK"),"")</f>
        <v/>
      </c>
    </row>
    <row r="100" customFormat="false" ht="15" hidden="false" customHeight="false" outlineLevel="0" collapsed="false">
      <c r="A100" s="6" t="s">
        <v>15</v>
      </c>
      <c r="D100" s="36" t="str">
        <f aca="false">TRIM(A100)</f>
        <v>2 Instructional Expenses</v>
      </c>
      <c r="E100" s="36" t="str">
        <f aca="false">IF(D100="Revenue","Revenue",IF(D100="Cost of Goods Sold","COGS",IF(D100="Expenditures","Expense",IF(D100="Other Revenue","Other Revenue",IF(D100="Other Expenditures","Other Expense",E99)))))</f>
        <v>Expense</v>
      </c>
      <c r="F100" s="36" t="str">
        <f aca="false">IF(OR(D100="Revenue",D100="Cost of Goods Sold",D100="Expenditures",D100="Other Revenue",D100="Other Expenditures"),E100,IF(AND(LEN(D100)&gt;2,MID(D100,2,1)=" ",ISNUMBER(VALUE(LEFT(D100,1)))),D100,F99))</f>
        <v>2 Instructional Expenses</v>
      </c>
      <c r="G100" s="36" t="n">
        <f aca="false">IF(AND(D100&lt;&gt;"",ISNUMBER(B100),LEFT(D100,9)&lt;&gt;"Total for",D100&lt;&gt;"Gross Profit",D100&lt;&gt;"Net Operating Revenue",D100&lt;&gt;"Net Other Revenue",D100&lt;&gt;"Net Revenue"),1,0)</f>
        <v>0</v>
      </c>
      <c r="H100" s="36" t="str">
        <f aca="false">IF(G100=1,IF(AND(LEN(D100)&gt;7,ISNUMBER(VALUE(LEFT(D100,6))),MID(D100,7,1)=" "),LEFT(D100,6),D100),"")</f>
        <v/>
      </c>
      <c r="I100" s="36" t="str">
        <f aca="false">IF(G100=1,IF(COUNTIF('Forecast Detail'!$C$8:$C$400,H100)=0,"UNMAPPED","OK"),"")</f>
        <v/>
      </c>
    </row>
    <row r="101" customFormat="false" ht="15" hidden="false" customHeight="false" outlineLevel="0" collapsed="false">
      <c r="A101" s="6" t="s">
        <v>314</v>
      </c>
      <c r="B101" s="11" t="n">
        <v>0</v>
      </c>
      <c r="C101" s="11" t="n">
        <f aca="false">B101</f>
        <v>0</v>
      </c>
      <c r="D101" s="36" t="str">
        <f aca="false">TRIM(A101)</f>
        <v>500023 Teacher Development</v>
      </c>
      <c r="E101" s="36" t="str">
        <f aca="false">IF(D101="Revenue","Revenue",IF(D101="Cost of Goods Sold","COGS",IF(D101="Expenditures","Expense",IF(D101="Other Revenue","Other Revenue",IF(D101="Other Expenditures","Other Expense",E100)))))</f>
        <v>Expense</v>
      </c>
      <c r="F101" s="36" t="str">
        <f aca="false">IF(OR(D101="Revenue",D101="Cost of Goods Sold",D101="Expenditures",D101="Other Revenue",D101="Other Expenditures"),E101,IF(AND(LEN(D101)&gt;2,MID(D101,2,1)=" ",ISNUMBER(VALUE(LEFT(D101,1)))),D101,F100))</f>
        <v>2 Instructional Expenses</v>
      </c>
      <c r="G101" s="36" t="n">
        <f aca="false">IF(AND(D101&lt;&gt;"",ISNUMBER(B101),LEFT(D101,9)&lt;&gt;"Total for",D101&lt;&gt;"Gross Profit",D101&lt;&gt;"Net Operating Revenue",D101&lt;&gt;"Net Other Revenue",D101&lt;&gt;"Net Revenue"),1,0)</f>
        <v>1</v>
      </c>
      <c r="H101" s="36" t="str">
        <f aca="false">IF(G101=1,IF(AND(LEN(D101)&gt;7,ISNUMBER(VALUE(LEFT(D101,6))),MID(D101,7,1)=" "),LEFT(D101,6),D101),"")</f>
        <v>500023</v>
      </c>
      <c r="I101" s="36" t="str">
        <f aca="false">IF(G101=1,IF(COUNTIF('Forecast Detail'!$C$8:$C$400,H101)=0,"UNMAPPED","OK"),"")</f>
        <v>OK</v>
      </c>
    </row>
    <row r="102" customFormat="false" ht="15" hidden="false" customHeight="false" outlineLevel="0" collapsed="false">
      <c r="A102" s="6" t="s">
        <v>315</v>
      </c>
      <c r="B102" s="11" t="n">
        <v>25000</v>
      </c>
      <c r="C102" s="11" t="n">
        <f aca="false">B102</f>
        <v>25000</v>
      </c>
      <c r="D102" s="36" t="str">
        <f aca="false">TRIM(A102)</f>
        <v>All School Supplies</v>
      </c>
      <c r="E102" s="36" t="str">
        <f aca="false">IF(D102="Revenue","Revenue",IF(D102="Cost of Goods Sold","COGS",IF(D102="Expenditures","Expense",IF(D102="Other Revenue","Other Revenue",IF(D102="Other Expenditures","Other Expense",E101)))))</f>
        <v>Expense</v>
      </c>
      <c r="F102" s="36" t="str">
        <f aca="false">IF(OR(D102="Revenue",D102="Cost of Goods Sold",D102="Expenditures",D102="Other Revenue",D102="Other Expenditures"),E102,IF(AND(LEN(D102)&gt;2,MID(D102,2,1)=" ",ISNUMBER(VALUE(LEFT(D102,1)))),D102,F101))</f>
        <v>2 Instructional Expenses</v>
      </c>
      <c r="G102" s="36" t="n">
        <f aca="false">IF(AND(D102&lt;&gt;"",ISNUMBER(B102),LEFT(D102,9)&lt;&gt;"Total for",D102&lt;&gt;"Gross Profit",D102&lt;&gt;"Net Operating Revenue",D102&lt;&gt;"Net Other Revenue",D102&lt;&gt;"Net Revenue"),1,0)</f>
        <v>1</v>
      </c>
      <c r="H102" s="36" t="str">
        <f aca="false">IF(G102=1,IF(AND(LEN(D102)&gt;7,ISNUMBER(VALUE(LEFT(D102,6))),MID(D102,7,1)=" "),LEFT(D102,6),D102),"")</f>
        <v>All School Supplies</v>
      </c>
      <c r="I102" s="36" t="str">
        <f aca="false">IF(G102=1,IF(COUNTIF('Forecast Detail'!$C$8:$C$400,H102)=0,"UNMAPPED","OK"),"")</f>
        <v>OK</v>
      </c>
    </row>
    <row r="103" customFormat="false" ht="15" hidden="false" customHeight="false" outlineLevel="0" collapsed="false">
      <c r="A103" s="6" t="s">
        <v>318</v>
      </c>
      <c r="B103" s="11" t="n">
        <v>0</v>
      </c>
      <c r="C103" s="11" t="n">
        <f aca="false">B103</f>
        <v>0</v>
      </c>
      <c r="D103" s="36" t="str">
        <f aca="false">TRIM(A103)</f>
        <v>500168 All School Supplies</v>
      </c>
      <c r="E103" s="36" t="str">
        <f aca="false">IF(D103="Revenue","Revenue",IF(D103="Cost of Goods Sold","COGS",IF(D103="Expenditures","Expense",IF(D103="Other Revenue","Other Revenue",IF(D103="Other Expenditures","Other Expense",E102)))))</f>
        <v>Expense</v>
      </c>
      <c r="F103" s="36" t="str">
        <f aca="false">IF(OR(D103="Revenue",D103="Cost of Goods Sold",D103="Expenditures",D103="Other Revenue",D103="Other Expenditures"),E103,IF(AND(LEN(D103)&gt;2,MID(D103,2,1)=" ",ISNUMBER(VALUE(LEFT(D103,1)))),D103,F102))</f>
        <v>2 Instructional Expenses</v>
      </c>
      <c r="G103" s="36" t="n">
        <f aca="false">IF(AND(D103&lt;&gt;"",ISNUMBER(B103),LEFT(D103,9)&lt;&gt;"Total for",D103&lt;&gt;"Gross Profit",D103&lt;&gt;"Net Operating Revenue",D103&lt;&gt;"Net Other Revenue",D103&lt;&gt;"Net Revenue"),1,0)</f>
        <v>1</v>
      </c>
      <c r="H103" s="36" t="str">
        <f aca="false">IF(G103=1,IF(AND(LEN(D103)&gt;7,ISNUMBER(VALUE(LEFT(D103,6))),MID(D103,7,1)=" "),LEFT(D103,6),D103),"")</f>
        <v>500168</v>
      </c>
      <c r="I103" s="36" t="str">
        <f aca="false">IF(G103=1,IF(COUNTIF('Forecast Detail'!$C$8:$C$400,H103)=0,"UNMAPPED","OK"),"")</f>
        <v>OK</v>
      </c>
    </row>
    <row r="104" customFormat="false" ht="15" hidden="false" customHeight="false" outlineLevel="0" collapsed="false">
      <c r="A104" s="6" t="s">
        <v>320</v>
      </c>
      <c r="B104" s="11" t="n">
        <v>0</v>
      </c>
      <c r="C104" s="11" t="n">
        <f aca="false">B104</f>
        <v>0</v>
      </c>
      <c r="D104" s="36" t="str">
        <f aca="false">TRIM(A104)</f>
        <v>500169 School Machine Supplies DO NOT USE</v>
      </c>
      <c r="E104" s="36" t="str">
        <f aca="false">IF(D104="Revenue","Revenue",IF(D104="Cost of Goods Sold","COGS",IF(D104="Expenditures","Expense",IF(D104="Other Revenue","Other Revenue",IF(D104="Other Expenditures","Other Expense",E103)))))</f>
        <v>Expense</v>
      </c>
      <c r="F104" s="36" t="str">
        <f aca="false">IF(OR(D104="Revenue",D104="Cost of Goods Sold",D104="Expenditures",D104="Other Revenue",D104="Other Expenditures"),E104,IF(AND(LEN(D104)&gt;2,MID(D104,2,1)=" ",ISNUMBER(VALUE(LEFT(D104,1)))),D104,F103))</f>
        <v>2 Instructional Expenses</v>
      </c>
      <c r="G104" s="36" t="n">
        <f aca="false">IF(AND(D104&lt;&gt;"",ISNUMBER(B104),LEFT(D104,9)&lt;&gt;"Total for",D104&lt;&gt;"Gross Profit",D104&lt;&gt;"Net Operating Revenue",D104&lt;&gt;"Net Other Revenue",D104&lt;&gt;"Net Revenue"),1,0)</f>
        <v>1</v>
      </c>
      <c r="H104" s="36" t="str">
        <f aca="false">IF(G104=1,IF(AND(LEN(D104)&gt;7,ISNUMBER(VALUE(LEFT(D104,6))),MID(D104,7,1)=" "),LEFT(D104,6),D104),"")</f>
        <v>500169</v>
      </c>
      <c r="I104" s="36" t="str">
        <f aca="false">IF(G104=1,IF(COUNTIF('Forecast Detail'!$C$8:$C$400,H104)=0,"UNMAPPED","OK"),"")</f>
        <v>OK</v>
      </c>
    </row>
    <row r="105" customFormat="false" ht="15" hidden="false" customHeight="false" outlineLevel="0" collapsed="false">
      <c r="A105" s="6" t="s">
        <v>322</v>
      </c>
      <c r="B105" s="11" t="n">
        <v>0</v>
      </c>
      <c r="C105" s="11" t="n">
        <f aca="false">B105</f>
        <v>0</v>
      </c>
      <c r="D105" s="36" t="str">
        <f aca="false">TRIM(A105)</f>
        <v>500170 Copy and Duplication Paper DO NOT USE</v>
      </c>
      <c r="E105" s="36" t="str">
        <f aca="false">IF(D105="Revenue","Revenue",IF(D105="Cost of Goods Sold","COGS",IF(D105="Expenditures","Expense",IF(D105="Other Revenue","Other Revenue",IF(D105="Other Expenditures","Other Expense",E104)))))</f>
        <v>Expense</v>
      </c>
      <c r="F105" s="36" t="str">
        <f aca="false">IF(OR(D105="Revenue",D105="Cost of Goods Sold",D105="Expenditures",D105="Other Revenue",D105="Other Expenditures"),E105,IF(AND(LEN(D105)&gt;2,MID(D105,2,1)=" ",ISNUMBER(VALUE(LEFT(D105,1)))),D105,F104))</f>
        <v>2 Instructional Expenses</v>
      </c>
      <c r="G105" s="36" t="n">
        <f aca="false">IF(AND(D105&lt;&gt;"",ISNUMBER(B105),LEFT(D105,9)&lt;&gt;"Total for",D105&lt;&gt;"Gross Profit",D105&lt;&gt;"Net Operating Revenue",D105&lt;&gt;"Net Other Revenue",D105&lt;&gt;"Net Revenue"),1,0)</f>
        <v>1</v>
      </c>
      <c r="H105" s="36" t="str">
        <f aca="false">IF(G105=1,IF(AND(LEN(D105)&gt;7,ISNUMBER(VALUE(LEFT(D105,6))),MID(D105,7,1)=" "),LEFT(D105,6),D105),"")</f>
        <v>500170</v>
      </c>
      <c r="I105" s="36" t="str">
        <f aca="false">IF(G105=1,IF(COUNTIF('Forecast Detail'!$C$8:$C$400,H105)=0,"UNMAPPED","OK"),"")</f>
        <v>OK</v>
      </c>
    </row>
    <row r="106" customFormat="false" ht="15" hidden="false" customHeight="false" outlineLevel="0" collapsed="false">
      <c r="A106" s="6" t="s">
        <v>324</v>
      </c>
      <c r="B106" s="11" t="n">
        <v>0</v>
      </c>
      <c r="C106" s="11" t="n">
        <f aca="false">B106</f>
        <v>0</v>
      </c>
      <c r="D106" s="36" t="str">
        <f aca="false">TRIM(A106)</f>
        <v>500171 Supplies Teachers Lounge</v>
      </c>
      <c r="E106" s="36" t="str">
        <f aca="false">IF(D106="Revenue","Revenue",IF(D106="Cost of Goods Sold","COGS",IF(D106="Expenditures","Expense",IF(D106="Other Revenue","Other Revenue",IF(D106="Other Expenditures","Other Expense",E105)))))</f>
        <v>Expense</v>
      </c>
      <c r="F106" s="36" t="str">
        <f aca="false">IF(OR(D106="Revenue",D106="Cost of Goods Sold",D106="Expenditures",D106="Other Revenue",D106="Other Expenditures"),E106,IF(AND(LEN(D106)&gt;2,MID(D106,2,1)=" ",ISNUMBER(VALUE(LEFT(D106,1)))),D106,F105))</f>
        <v>2 Instructional Expenses</v>
      </c>
      <c r="G106" s="36" t="n">
        <f aca="false">IF(AND(D106&lt;&gt;"",ISNUMBER(B106),LEFT(D106,9)&lt;&gt;"Total for",D106&lt;&gt;"Gross Profit",D106&lt;&gt;"Net Operating Revenue",D106&lt;&gt;"Net Other Revenue",D106&lt;&gt;"Net Revenue"),1,0)</f>
        <v>1</v>
      </c>
      <c r="H106" s="36" t="str">
        <f aca="false">IF(G106=1,IF(AND(LEN(D106)&gt;7,ISNUMBER(VALUE(LEFT(D106,6))),MID(D106,7,1)=" "),LEFT(D106,6),D106),"")</f>
        <v>500171</v>
      </c>
      <c r="I106" s="36" t="str">
        <f aca="false">IF(G106=1,IF(COUNTIF('Forecast Detail'!$C$8:$C$400,H106)=0,"UNMAPPED","OK"),"")</f>
        <v>OK</v>
      </c>
    </row>
    <row r="107" customFormat="false" ht="15" hidden="false" customHeight="false" outlineLevel="0" collapsed="false">
      <c r="A107" s="6" t="s">
        <v>612</v>
      </c>
      <c r="B107" s="11" t="n">
        <f aca="false">B102+B103+B104+B105+B106</f>
        <v>25000</v>
      </c>
      <c r="C107" s="11" t="n">
        <f aca="false">B107</f>
        <v>25000</v>
      </c>
      <c r="D107" s="36" t="str">
        <f aca="false">TRIM(A107)</f>
        <v>Total for All School Supplies</v>
      </c>
      <c r="E107" s="36" t="str">
        <f aca="false">IF(D107="Revenue","Revenue",IF(D107="Cost of Goods Sold","COGS",IF(D107="Expenditures","Expense",IF(D107="Other Revenue","Other Revenue",IF(D107="Other Expenditures","Other Expense",E106)))))</f>
        <v>Expense</v>
      </c>
      <c r="F107" s="36" t="str">
        <f aca="false">IF(OR(D107="Revenue",D107="Cost of Goods Sold",D107="Expenditures",D107="Other Revenue",D107="Other Expenditures"),E107,IF(AND(LEN(D107)&gt;2,MID(D107,2,1)=" ",ISNUMBER(VALUE(LEFT(D107,1)))),D107,F106))</f>
        <v>2 Instructional Expenses</v>
      </c>
      <c r="G107" s="36" t="n">
        <f aca="false">IF(AND(D107&lt;&gt;"",ISNUMBER(B107),LEFT(D107,9)&lt;&gt;"Total for",D107&lt;&gt;"Gross Profit",D107&lt;&gt;"Net Operating Revenue",D107&lt;&gt;"Net Other Revenue",D107&lt;&gt;"Net Revenue"),1,0)</f>
        <v>0</v>
      </c>
      <c r="H107" s="36" t="str">
        <f aca="false">IF(G107=1,IF(AND(LEN(D107)&gt;7,ISNUMBER(VALUE(LEFT(D107,6))),MID(D107,7,1)=" "),LEFT(D107,6),D107),"")</f>
        <v/>
      </c>
      <c r="I107" s="36" t="str">
        <f aca="false">IF(G107=1,IF(COUNTIF('Forecast Detail'!$C$8:$C$400,H107)=0,"UNMAPPED","OK"),"")</f>
        <v/>
      </c>
    </row>
    <row r="108" customFormat="false" ht="15" hidden="false" customHeight="false" outlineLevel="0" collapsed="false">
      <c r="A108" s="6" t="s">
        <v>325</v>
      </c>
      <c r="B108" s="11" t="n">
        <v>3000</v>
      </c>
      <c r="C108" s="11" t="n">
        <f aca="false">B108</f>
        <v>3000</v>
      </c>
      <c r="D108" s="36" t="str">
        <f aca="false">TRIM(A108)</f>
        <v>Band Activities</v>
      </c>
      <c r="E108" s="36" t="str">
        <f aca="false">IF(D108="Revenue","Revenue",IF(D108="Cost of Goods Sold","COGS",IF(D108="Expenditures","Expense",IF(D108="Other Revenue","Other Revenue",IF(D108="Other Expenditures","Other Expense",E107)))))</f>
        <v>Expense</v>
      </c>
      <c r="F108" s="36" t="str">
        <f aca="false">IF(OR(D108="Revenue",D108="Cost of Goods Sold",D108="Expenditures",D108="Other Revenue",D108="Other Expenditures"),E108,IF(AND(LEN(D108)&gt;2,MID(D108,2,1)=" ",ISNUMBER(VALUE(LEFT(D108,1)))),D108,F107))</f>
        <v>2 Instructional Expenses</v>
      </c>
      <c r="G108" s="36" t="n">
        <f aca="false">IF(AND(D108&lt;&gt;"",ISNUMBER(B108),LEFT(D108,9)&lt;&gt;"Total for",D108&lt;&gt;"Gross Profit",D108&lt;&gt;"Net Operating Revenue",D108&lt;&gt;"Net Other Revenue",D108&lt;&gt;"Net Revenue"),1,0)</f>
        <v>1</v>
      </c>
      <c r="H108" s="36" t="str">
        <f aca="false">IF(G108=1,IF(AND(LEN(D108)&gt;7,ISNUMBER(VALUE(LEFT(D108,6))),MID(D108,7,1)=" "),LEFT(D108,6),D108),"")</f>
        <v>Band Activities</v>
      </c>
      <c r="I108" s="36" t="str">
        <f aca="false">IF(G108=1,IF(COUNTIF('Forecast Detail'!$C$8:$C$400,H108)=0,"UNMAPPED","OK"),"")</f>
        <v>OK</v>
      </c>
    </row>
    <row r="109" customFormat="false" ht="15" hidden="false" customHeight="false" outlineLevel="0" collapsed="false">
      <c r="A109" s="6" t="s">
        <v>326</v>
      </c>
      <c r="B109" s="11" t="n">
        <v>2000</v>
      </c>
      <c r="C109" s="11" t="n">
        <f aca="false">B109</f>
        <v>2000</v>
      </c>
      <c r="D109" s="36" t="str">
        <f aca="false">TRIM(A109)</f>
        <v>Clubs</v>
      </c>
      <c r="E109" s="36" t="str">
        <f aca="false">IF(D109="Revenue","Revenue",IF(D109="Cost of Goods Sold","COGS",IF(D109="Expenditures","Expense",IF(D109="Other Revenue","Other Revenue",IF(D109="Other Expenditures","Other Expense",E108)))))</f>
        <v>Expense</v>
      </c>
      <c r="F109" s="36" t="str">
        <f aca="false">IF(OR(D109="Revenue",D109="Cost of Goods Sold",D109="Expenditures",D109="Other Revenue",D109="Other Expenditures"),E109,IF(AND(LEN(D109)&gt;2,MID(D109,2,1)=" ",ISNUMBER(VALUE(LEFT(D109,1)))),D109,F108))</f>
        <v>2 Instructional Expenses</v>
      </c>
      <c r="G109" s="36" t="n">
        <f aca="false">IF(AND(D109&lt;&gt;"",ISNUMBER(B109),LEFT(D109,9)&lt;&gt;"Total for",D109&lt;&gt;"Gross Profit",D109&lt;&gt;"Net Operating Revenue",D109&lt;&gt;"Net Other Revenue",D109&lt;&gt;"Net Revenue"),1,0)</f>
        <v>1</v>
      </c>
      <c r="H109" s="36" t="str">
        <f aca="false">IF(G109=1,IF(AND(LEN(D109)&gt;7,ISNUMBER(VALUE(LEFT(D109,6))),MID(D109,7,1)=" "),LEFT(D109,6),D109),"")</f>
        <v>Clubs</v>
      </c>
      <c r="I109" s="36" t="str">
        <f aca="false">IF(G109=1,IF(COUNTIF('Forecast Detail'!$C$8:$C$400,H109)=0,"UNMAPPED","OK"),"")</f>
        <v>OK</v>
      </c>
    </row>
    <row r="110" customFormat="false" ht="15" hidden="false" customHeight="false" outlineLevel="0" collapsed="false">
      <c r="A110" s="6" t="s">
        <v>327</v>
      </c>
      <c r="B110" s="11" t="n">
        <v>35000</v>
      </c>
      <c r="C110" s="11" t="n">
        <f aca="false">B110</f>
        <v>35000</v>
      </c>
      <c r="D110" s="36" t="str">
        <f aca="false">TRIM(A110)</f>
        <v>Combined Libraries</v>
      </c>
      <c r="E110" s="36" t="str">
        <f aca="false">IF(D110="Revenue","Revenue",IF(D110="Cost of Goods Sold","COGS",IF(D110="Expenditures","Expense",IF(D110="Other Revenue","Other Revenue",IF(D110="Other Expenditures","Other Expense",E109)))))</f>
        <v>Expense</v>
      </c>
      <c r="F110" s="36" t="str">
        <f aca="false">IF(OR(D110="Revenue",D110="Cost of Goods Sold",D110="Expenditures",D110="Other Revenue",D110="Other Expenditures"),E110,IF(AND(LEN(D110)&gt;2,MID(D110,2,1)=" ",ISNUMBER(VALUE(LEFT(D110,1)))),D110,F109))</f>
        <v>2 Instructional Expenses</v>
      </c>
      <c r="G110" s="36" t="n">
        <f aca="false">IF(AND(D110&lt;&gt;"",ISNUMBER(B110),LEFT(D110,9)&lt;&gt;"Total for",D110&lt;&gt;"Gross Profit",D110&lt;&gt;"Net Operating Revenue",D110&lt;&gt;"Net Other Revenue",D110&lt;&gt;"Net Revenue"),1,0)</f>
        <v>1</v>
      </c>
      <c r="H110" s="36" t="str">
        <f aca="false">IF(G110=1,IF(AND(LEN(D110)&gt;7,ISNUMBER(VALUE(LEFT(D110,6))),MID(D110,7,1)=" "),LEFT(D110,6),D110),"")</f>
        <v>Combined Libraries</v>
      </c>
      <c r="I110" s="36" t="str">
        <f aca="false">IF(G110=1,IF(COUNTIF('Forecast Detail'!$C$8:$C$400,H110)=0,"UNMAPPED","OK"),"")</f>
        <v>OK</v>
      </c>
    </row>
    <row r="111" customFormat="false" ht="15" hidden="false" customHeight="false" outlineLevel="0" collapsed="false">
      <c r="A111" s="6" t="s">
        <v>328</v>
      </c>
      <c r="B111" s="11" t="n">
        <v>1000</v>
      </c>
      <c r="C111" s="11" t="n">
        <f aca="false">B111</f>
        <v>1000</v>
      </c>
      <c r="D111" s="36" t="str">
        <f aca="false">TRIM(A111)</f>
        <v>Drama Expenses</v>
      </c>
      <c r="E111" s="36" t="str">
        <f aca="false">IF(D111="Revenue","Revenue",IF(D111="Cost of Goods Sold","COGS",IF(D111="Expenditures","Expense",IF(D111="Other Revenue","Other Revenue",IF(D111="Other Expenditures","Other Expense",E110)))))</f>
        <v>Expense</v>
      </c>
      <c r="F111" s="36" t="str">
        <f aca="false">IF(OR(D111="Revenue",D111="Cost of Goods Sold",D111="Expenditures",D111="Other Revenue",D111="Other Expenditures"),E111,IF(AND(LEN(D111)&gt;2,MID(D111,2,1)=" ",ISNUMBER(VALUE(LEFT(D111,1)))),D111,F110))</f>
        <v>2 Instructional Expenses</v>
      </c>
      <c r="G111" s="36" t="n">
        <f aca="false">IF(AND(D111&lt;&gt;"",ISNUMBER(B111),LEFT(D111,9)&lt;&gt;"Total for",D111&lt;&gt;"Gross Profit",D111&lt;&gt;"Net Operating Revenue",D111&lt;&gt;"Net Other Revenue",D111&lt;&gt;"Net Revenue"),1,0)</f>
        <v>1</v>
      </c>
      <c r="H111" s="36" t="str">
        <f aca="false">IF(G111=1,IF(AND(LEN(D111)&gt;7,ISNUMBER(VALUE(LEFT(D111,6))),MID(D111,7,1)=" "),LEFT(D111,6),D111),"")</f>
        <v>Drama Expenses</v>
      </c>
      <c r="I111" s="36" t="str">
        <f aca="false">IF(G111=1,IF(COUNTIF('Forecast Detail'!$C$8:$C$400,H111)=0,"UNMAPPED","OK"),"")</f>
        <v>OK</v>
      </c>
    </row>
    <row r="112" customFormat="false" ht="15" hidden="false" customHeight="false" outlineLevel="0" collapsed="false">
      <c r="A112" s="6" t="s">
        <v>329</v>
      </c>
      <c r="B112" s="11" t="n">
        <v>15000</v>
      </c>
      <c r="C112" s="11" t="n">
        <f aca="false">B112</f>
        <v>15000</v>
      </c>
      <c r="D112" s="36" t="str">
        <f aca="false">TRIM(A112)</f>
        <v>Fine Arts</v>
      </c>
      <c r="E112" s="36" t="str">
        <f aca="false">IF(D112="Revenue","Revenue",IF(D112="Cost of Goods Sold","COGS",IF(D112="Expenditures","Expense",IF(D112="Other Revenue","Other Revenue",IF(D112="Other Expenditures","Other Expense",E111)))))</f>
        <v>Expense</v>
      </c>
      <c r="F112" s="36" t="str">
        <f aca="false">IF(OR(D112="Revenue",D112="Cost of Goods Sold",D112="Expenditures",D112="Other Revenue",D112="Other Expenditures"),E112,IF(AND(LEN(D112)&gt;2,MID(D112,2,1)=" ",ISNUMBER(VALUE(LEFT(D112,1)))),D112,F111))</f>
        <v>2 Instructional Expenses</v>
      </c>
      <c r="G112" s="36" t="n">
        <f aca="false">IF(AND(D112&lt;&gt;"",ISNUMBER(B112),LEFT(D112,9)&lt;&gt;"Total for",D112&lt;&gt;"Gross Profit",D112&lt;&gt;"Net Operating Revenue",D112&lt;&gt;"Net Other Revenue",D112&lt;&gt;"Net Revenue"),1,0)</f>
        <v>1</v>
      </c>
      <c r="H112" s="36" t="str">
        <f aca="false">IF(G112=1,IF(AND(LEN(D112)&gt;7,ISNUMBER(VALUE(LEFT(D112,6))),MID(D112,7,1)=" "),LEFT(D112,6),D112),"")</f>
        <v>Fine Arts</v>
      </c>
      <c r="I112" s="36" t="str">
        <f aca="false">IF(G112=1,IF(COUNTIF('Forecast Detail'!$C$8:$C$400,H112)=0,"UNMAPPED","OK"),"")</f>
        <v>OK</v>
      </c>
    </row>
    <row r="113" customFormat="false" ht="15" hidden="false" customHeight="false" outlineLevel="0" collapsed="false">
      <c r="A113" s="6" t="s">
        <v>613</v>
      </c>
      <c r="D113" s="36" t="str">
        <f aca="false">TRIM(A113)</f>
        <v>General Instructional Activities</v>
      </c>
      <c r="E113" s="36" t="str">
        <f aca="false">IF(D113="Revenue","Revenue",IF(D113="Cost of Goods Sold","COGS",IF(D113="Expenditures","Expense",IF(D113="Other Revenue","Other Revenue",IF(D113="Other Expenditures","Other Expense",E112)))))</f>
        <v>Expense</v>
      </c>
      <c r="F113" s="36" t="str">
        <f aca="false">IF(OR(D113="Revenue",D113="Cost of Goods Sold",D113="Expenditures",D113="Other Revenue",D113="Other Expenditures"),E113,IF(AND(LEN(D113)&gt;2,MID(D113,2,1)=" ",ISNUMBER(VALUE(LEFT(D113,1)))),D113,F112))</f>
        <v>2 Instructional Expenses</v>
      </c>
      <c r="G113" s="36" t="n">
        <f aca="false">IF(AND(D113&lt;&gt;"",ISNUMBER(B113),LEFT(D113,9)&lt;&gt;"Total for",D113&lt;&gt;"Gross Profit",D113&lt;&gt;"Net Operating Revenue",D113&lt;&gt;"Net Other Revenue",D113&lt;&gt;"Net Revenue"),1,0)</f>
        <v>0</v>
      </c>
      <c r="H113" s="36" t="str">
        <f aca="false">IF(G113=1,IF(AND(LEN(D113)&gt;7,ISNUMBER(VALUE(LEFT(D113,6))),MID(D113,7,1)=" "),LEFT(D113,6),D113),"")</f>
        <v/>
      </c>
      <c r="I113" s="36" t="str">
        <f aca="false">IF(G113=1,IF(COUNTIF('Forecast Detail'!$C$8:$C$400,H113)=0,"UNMAPPED","OK"),"")</f>
        <v/>
      </c>
    </row>
    <row r="114" customFormat="false" ht="15" hidden="false" customHeight="false" outlineLevel="0" collapsed="false">
      <c r="A114" s="6" t="s">
        <v>331</v>
      </c>
      <c r="B114" s="11" t="n">
        <v>5000</v>
      </c>
      <c r="C114" s="11" t="n">
        <f aca="false">B114</f>
        <v>5000</v>
      </c>
      <c r="D114" s="36" t="str">
        <f aca="false">TRIM(A114)</f>
        <v>500025 In-Service Expenses</v>
      </c>
      <c r="E114" s="36" t="str">
        <f aca="false">IF(D114="Revenue","Revenue",IF(D114="Cost of Goods Sold","COGS",IF(D114="Expenditures","Expense",IF(D114="Other Revenue","Other Revenue",IF(D114="Other Expenditures","Other Expense",E113)))))</f>
        <v>Expense</v>
      </c>
      <c r="F114" s="36" t="str">
        <f aca="false">IF(OR(D114="Revenue",D114="Cost of Goods Sold",D114="Expenditures",D114="Other Revenue",D114="Other Expenditures"),E114,IF(AND(LEN(D114)&gt;2,MID(D114,2,1)=" ",ISNUMBER(VALUE(LEFT(D114,1)))),D114,F113))</f>
        <v>2 Instructional Expenses</v>
      </c>
      <c r="G114" s="36" t="n">
        <f aca="false">IF(AND(D114&lt;&gt;"",ISNUMBER(B114),LEFT(D114,9)&lt;&gt;"Total for",D114&lt;&gt;"Gross Profit",D114&lt;&gt;"Net Operating Revenue",D114&lt;&gt;"Net Other Revenue",D114&lt;&gt;"Net Revenue"),1,0)</f>
        <v>1</v>
      </c>
      <c r="H114" s="36" t="str">
        <f aca="false">IF(G114=1,IF(AND(LEN(D114)&gt;7,ISNUMBER(VALUE(LEFT(D114,6))),MID(D114,7,1)=" "),LEFT(D114,6),D114),"")</f>
        <v>500025</v>
      </c>
      <c r="I114" s="36" t="str">
        <f aca="false">IF(G114=1,IF(COUNTIF('Forecast Detail'!$C$8:$C$400,H114)=0,"UNMAPPED","OK"),"")</f>
        <v>OK</v>
      </c>
    </row>
    <row r="115" customFormat="false" ht="15" hidden="false" customHeight="false" outlineLevel="0" collapsed="false">
      <c r="A115" s="6" t="s">
        <v>333</v>
      </c>
      <c r="B115" s="11" t="n">
        <v>0</v>
      </c>
      <c r="C115" s="11" t="n">
        <f aca="false">B115</f>
        <v>0</v>
      </c>
      <c r="D115" s="36" t="str">
        <f aca="false">TRIM(A115)</f>
        <v>500219 ACT Prep Expense</v>
      </c>
      <c r="E115" s="36" t="str">
        <f aca="false">IF(D115="Revenue","Revenue",IF(D115="Cost of Goods Sold","COGS",IF(D115="Expenditures","Expense",IF(D115="Other Revenue","Other Revenue",IF(D115="Other Expenditures","Other Expense",E114)))))</f>
        <v>Expense</v>
      </c>
      <c r="F115" s="36" t="str">
        <f aca="false">IF(OR(D115="Revenue",D115="Cost of Goods Sold",D115="Expenditures",D115="Other Revenue",D115="Other Expenditures"),E115,IF(AND(LEN(D115)&gt;2,MID(D115,2,1)=" ",ISNUMBER(VALUE(LEFT(D115,1)))),D115,F114))</f>
        <v>2 Instructional Expenses</v>
      </c>
      <c r="G115" s="36" t="n">
        <f aca="false">IF(AND(D115&lt;&gt;"",ISNUMBER(B115),LEFT(D115,9)&lt;&gt;"Total for",D115&lt;&gt;"Gross Profit",D115&lt;&gt;"Net Operating Revenue",D115&lt;&gt;"Net Other Revenue",D115&lt;&gt;"Net Revenue"),1,0)</f>
        <v>1</v>
      </c>
      <c r="H115" s="36" t="str">
        <f aca="false">IF(G115=1,IF(AND(LEN(D115)&gt;7,ISNUMBER(VALUE(LEFT(D115,6))),MID(D115,7,1)=" "),LEFT(D115,6),D115),"")</f>
        <v>500219</v>
      </c>
      <c r="I115" s="36" t="str">
        <f aca="false">IF(G115=1,IF(COUNTIF('Forecast Detail'!$C$8:$C$400,H115)=0,"UNMAPPED","OK"),"")</f>
        <v>OK</v>
      </c>
    </row>
    <row r="116" customFormat="false" ht="15" hidden="false" customHeight="false" outlineLevel="0" collapsed="false">
      <c r="A116" s="6" t="s">
        <v>335</v>
      </c>
      <c r="B116" s="11" t="n">
        <v>1000</v>
      </c>
      <c r="C116" s="11" t="n">
        <f aca="false">B116</f>
        <v>1000</v>
      </c>
      <c r="D116" s="36" t="str">
        <f aca="false">TRIM(A116)</f>
        <v>500312 Honor Society Expenses</v>
      </c>
      <c r="E116" s="36" t="str">
        <f aca="false">IF(D116="Revenue","Revenue",IF(D116="Cost of Goods Sold","COGS",IF(D116="Expenditures","Expense",IF(D116="Other Revenue","Other Revenue",IF(D116="Other Expenditures","Other Expense",E115)))))</f>
        <v>Expense</v>
      </c>
      <c r="F116" s="36" t="str">
        <f aca="false">IF(OR(D116="Revenue",D116="Cost of Goods Sold",D116="Expenditures",D116="Other Revenue",D116="Other Expenditures"),E116,IF(AND(LEN(D116)&gt;2,MID(D116,2,1)=" ",ISNUMBER(VALUE(LEFT(D116,1)))),D116,F115))</f>
        <v>2 Instructional Expenses</v>
      </c>
      <c r="G116" s="36" t="n">
        <f aca="false">IF(AND(D116&lt;&gt;"",ISNUMBER(B116),LEFT(D116,9)&lt;&gt;"Total for",D116&lt;&gt;"Gross Profit",D116&lt;&gt;"Net Operating Revenue",D116&lt;&gt;"Net Other Revenue",D116&lt;&gt;"Net Revenue"),1,0)</f>
        <v>1</v>
      </c>
      <c r="H116" s="36" t="str">
        <f aca="false">IF(G116=1,IF(AND(LEN(D116)&gt;7,ISNUMBER(VALUE(LEFT(D116,6))),MID(D116,7,1)=" "),LEFT(D116,6),D116),"")</f>
        <v>500312</v>
      </c>
      <c r="I116" s="36" t="str">
        <f aca="false">IF(G116=1,IF(COUNTIF('Forecast Detail'!$C$8:$C$400,H116)=0,"UNMAPPED","OK"),"")</f>
        <v>OK</v>
      </c>
    </row>
    <row r="117" customFormat="false" ht="15" hidden="false" customHeight="false" outlineLevel="0" collapsed="false">
      <c r="A117" s="6" t="s">
        <v>614</v>
      </c>
      <c r="B117" s="11" t="n">
        <f aca="false">B113+B114+B115+B116</f>
        <v>6000</v>
      </c>
      <c r="C117" s="11" t="n">
        <f aca="false">B117</f>
        <v>6000</v>
      </c>
      <c r="D117" s="36" t="str">
        <f aca="false">TRIM(A117)</f>
        <v>Total for General Instructional Activities</v>
      </c>
      <c r="E117" s="36" t="str">
        <f aca="false">IF(D117="Revenue","Revenue",IF(D117="Cost of Goods Sold","COGS",IF(D117="Expenditures","Expense",IF(D117="Other Revenue","Other Revenue",IF(D117="Other Expenditures","Other Expense",E116)))))</f>
        <v>Expense</v>
      </c>
      <c r="F117" s="36" t="str">
        <f aca="false">IF(OR(D117="Revenue",D117="Cost of Goods Sold",D117="Expenditures",D117="Other Revenue",D117="Other Expenditures"),E117,IF(AND(LEN(D117)&gt;2,MID(D117,2,1)=" ",ISNUMBER(VALUE(LEFT(D117,1)))),D117,F116))</f>
        <v>2 Instructional Expenses</v>
      </c>
      <c r="G117" s="36" t="n">
        <f aca="false">IF(AND(D117&lt;&gt;"",ISNUMBER(B117),LEFT(D117,9)&lt;&gt;"Total for",D117&lt;&gt;"Gross Profit",D117&lt;&gt;"Net Operating Revenue",D117&lt;&gt;"Net Other Revenue",D117&lt;&gt;"Net Revenue"),1,0)</f>
        <v>0</v>
      </c>
      <c r="H117" s="36" t="str">
        <f aca="false">IF(G117=1,IF(AND(LEN(D117)&gt;7,ISNUMBER(VALUE(LEFT(D117,6))),MID(D117,7,1)=" "),LEFT(D117,6),D117),"")</f>
        <v/>
      </c>
      <c r="I117" s="36" t="str">
        <f aca="false">IF(G117=1,IF(COUNTIF('Forecast Detail'!$C$8:$C$400,H117)=0,"UNMAPPED","OK"),"")</f>
        <v/>
      </c>
    </row>
    <row r="118" customFormat="false" ht="15" hidden="false" customHeight="false" outlineLevel="0" collapsed="false">
      <c r="A118" s="6" t="s">
        <v>336</v>
      </c>
      <c r="B118" s="11" t="n">
        <v>55950</v>
      </c>
      <c r="C118" s="11" t="n">
        <f aca="false">B118</f>
        <v>55950</v>
      </c>
      <c r="D118" s="36" t="str">
        <f aca="false">TRIM(A118)</f>
        <v>Lower School Expenses</v>
      </c>
      <c r="E118" s="36" t="str">
        <f aca="false">IF(D118="Revenue","Revenue",IF(D118="Cost of Goods Sold","COGS",IF(D118="Expenditures","Expense",IF(D118="Other Revenue","Other Revenue",IF(D118="Other Expenditures","Other Expense",E117)))))</f>
        <v>Expense</v>
      </c>
      <c r="F118" s="36" t="str">
        <f aca="false">IF(OR(D118="Revenue",D118="Cost of Goods Sold",D118="Expenditures",D118="Other Revenue",D118="Other Expenditures"),E118,IF(AND(LEN(D118)&gt;2,MID(D118,2,1)=" ",ISNUMBER(VALUE(LEFT(D118,1)))),D118,F117))</f>
        <v>2 Instructional Expenses</v>
      </c>
      <c r="G118" s="36" t="n">
        <f aca="false">IF(AND(D118&lt;&gt;"",ISNUMBER(B118),LEFT(D118,9)&lt;&gt;"Total for",D118&lt;&gt;"Gross Profit",D118&lt;&gt;"Net Operating Revenue",D118&lt;&gt;"Net Other Revenue",D118&lt;&gt;"Net Revenue"),1,0)</f>
        <v>1</v>
      </c>
      <c r="H118" s="36" t="str">
        <f aca="false">IF(G118=1,IF(AND(LEN(D118)&gt;7,ISNUMBER(VALUE(LEFT(D118,6))),MID(D118,7,1)=" "),LEFT(D118,6),D118),"")</f>
        <v>Lower School Expenses</v>
      </c>
      <c r="I118" s="36" t="str">
        <f aca="false">IF(G118=1,IF(COUNTIF('Forecast Detail'!$C$8:$C$400,H118)=0,"UNMAPPED","OK"),"")</f>
        <v>OK</v>
      </c>
    </row>
    <row r="119" customFormat="false" ht="15" hidden="false" customHeight="false" outlineLevel="0" collapsed="false">
      <c r="A119" s="6" t="s">
        <v>338</v>
      </c>
      <c r="B119" s="11" t="n">
        <v>35000</v>
      </c>
      <c r="C119" s="11" t="n">
        <f aca="false">B119</f>
        <v>35000</v>
      </c>
      <c r="D119" s="36" t="str">
        <f aca="false">TRIM(A119)</f>
        <v>500181 Lower School Activity Fee</v>
      </c>
      <c r="E119" s="36" t="str">
        <f aca="false">IF(D119="Revenue","Revenue",IF(D119="Cost of Goods Sold","COGS",IF(D119="Expenditures","Expense",IF(D119="Other Revenue","Other Revenue",IF(D119="Other Expenditures","Other Expense",E118)))))</f>
        <v>Expense</v>
      </c>
      <c r="F119" s="36" t="str">
        <f aca="false">IF(OR(D119="Revenue",D119="Cost of Goods Sold",D119="Expenditures",D119="Other Revenue",D119="Other Expenditures"),E119,IF(AND(LEN(D119)&gt;2,MID(D119,2,1)=" ",ISNUMBER(VALUE(LEFT(D119,1)))),D119,F118))</f>
        <v>2 Instructional Expenses</v>
      </c>
      <c r="G119" s="36" t="n">
        <f aca="false">IF(AND(D119&lt;&gt;"",ISNUMBER(B119),LEFT(D119,9)&lt;&gt;"Total for",D119&lt;&gt;"Gross Profit",D119&lt;&gt;"Net Operating Revenue",D119&lt;&gt;"Net Other Revenue",D119&lt;&gt;"Net Revenue"),1,0)</f>
        <v>1</v>
      </c>
      <c r="H119" s="36" t="str">
        <f aca="false">IF(G119=1,IF(AND(LEN(D119)&gt;7,ISNUMBER(VALUE(LEFT(D119,6))),MID(D119,7,1)=" "),LEFT(D119,6),D119),"")</f>
        <v>500181</v>
      </c>
      <c r="I119" s="36" t="str">
        <f aca="false">IF(G119=1,IF(COUNTIF('Forecast Detail'!$C$8:$C$400,H119)=0,"UNMAPPED","OK"),"")</f>
        <v>OK</v>
      </c>
    </row>
    <row r="120" customFormat="false" ht="15" hidden="false" customHeight="false" outlineLevel="0" collapsed="false">
      <c r="A120" s="6" t="s">
        <v>615</v>
      </c>
      <c r="B120" s="11" t="n">
        <f aca="false">B118+B119</f>
        <v>90950</v>
      </c>
      <c r="C120" s="11" t="n">
        <f aca="false">B120</f>
        <v>90950</v>
      </c>
      <c r="D120" s="36" t="str">
        <f aca="false">TRIM(A120)</f>
        <v>Total for Lower School Expenses</v>
      </c>
      <c r="E120" s="36" t="str">
        <f aca="false">IF(D120="Revenue","Revenue",IF(D120="Cost of Goods Sold","COGS",IF(D120="Expenditures","Expense",IF(D120="Other Revenue","Other Revenue",IF(D120="Other Expenditures","Other Expense",E119)))))</f>
        <v>Expense</v>
      </c>
      <c r="F120" s="36" t="str">
        <f aca="false">IF(OR(D120="Revenue",D120="Cost of Goods Sold",D120="Expenditures",D120="Other Revenue",D120="Other Expenditures"),E120,IF(AND(LEN(D120)&gt;2,MID(D120,2,1)=" ",ISNUMBER(VALUE(LEFT(D120,1)))),D120,F119))</f>
        <v>2 Instructional Expenses</v>
      </c>
      <c r="G120" s="36" t="n">
        <f aca="false">IF(AND(D120&lt;&gt;"",ISNUMBER(B120),LEFT(D120,9)&lt;&gt;"Total for",D120&lt;&gt;"Gross Profit",D120&lt;&gt;"Net Operating Revenue",D120&lt;&gt;"Net Other Revenue",D120&lt;&gt;"Net Revenue"),1,0)</f>
        <v>0</v>
      </c>
      <c r="H120" s="36" t="str">
        <f aca="false">IF(G120=1,IF(AND(LEN(D120)&gt;7,ISNUMBER(VALUE(LEFT(D120,6))),MID(D120,7,1)=" "),LEFT(D120,6),D120),"")</f>
        <v/>
      </c>
      <c r="I120" s="36" t="str">
        <f aca="false">IF(G120=1,IF(COUNTIF('Forecast Detail'!$C$8:$C$400,H120)=0,"UNMAPPED","OK"),"")</f>
        <v/>
      </c>
    </row>
    <row r="121" customFormat="false" ht="15" hidden="false" customHeight="false" outlineLevel="0" collapsed="false">
      <c r="A121" s="6" t="s">
        <v>616</v>
      </c>
      <c r="D121" s="36" t="str">
        <f aca="false">TRIM(A121)</f>
        <v>Middle/Upper School Division</v>
      </c>
      <c r="E121" s="36" t="str">
        <f aca="false">IF(D121="Revenue","Revenue",IF(D121="Cost of Goods Sold","COGS",IF(D121="Expenditures","Expense",IF(D121="Other Revenue","Other Revenue",IF(D121="Other Expenditures","Other Expense",E120)))))</f>
        <v>Expense</v>
      </c>
      <c r="F121" s="36" t="str">
        <f aca="false">IF(OR(D121="Revenue",D121="Cost of Goods Sold",D121="Expenditures",D121="Other Revenue",D121="Other Expenditures"),E121,IF(AND(LEN(D121)&gt;2,MID(D121,2,1)=" ",ISNUMBER(VALUE(LEFT(D121,1)))),D121,F120))</f>
        <v>2 Instructional Expenses</v>
      </c>
      <c r="G121" s="36" t="n">
        <f aca="false">IF(AND(D121&lt;&gt;"",ISNUMBER(B121),LEFT(D121,9)&lt;&gt;"Total for",D121&lt;&gt;"Gross Profit",D121&lt;&gt;"Net Operating Revenue",D121&lt;&gt;"Net Other Revenue",D121&lt;&gt;"Net Revenue"),1,0)</f>
        <v>0</v>
      </c>
      <c r="H121" s="36" t="str">
        <f aca="false">IF(G121=1,IF(AND(LEN(D121)&gt;7,ISNUMBER(VALUE(LEFT(D121,6))),MID(D121,7,1)=" "),LEFT(D121,6),D121),"")</f>
        <v/>
      </c>
      <c r="I121" s="36" t="str">
        <f aca="false">IF(G121=1,IF(COUNTIF('Forecast Detail'!$C$8:$C$400,H121)=0,"UNMAPPED","OK"),"")</f>
        <v/>
      </c>
    </row>
    <row r="122" customFormat="false" ht="15" hidden="false" customHeight="false" outlineLevel="0" collapsed="false">
      <c r="A122" s="6" t="s">
        <v>340</v>
      </c>
      <c r="B122" s="11" t="n">
        <v>1800</v>
      </c>
      <c r="C122" s="11" t="n">
        <f aca="false">B122</f>
        <v>1800</v>
      </c>
      <c r="D122" s="36" t="str">
        <f aca="false">TRIM(A122)</f>
        <v>500193 Math Department Expenses</v>
      </c>
      <c r="E122" s="36" t="str">
        <f aca="false">IF(D122="Revenue","Revenue",IF(D122="Cost of Goods Sold","COGS",IF(D122="Expenditures","Expense",IF(D122="Other Revenue","Other Revenue",IF(D122="Other Expenditures","Other Expense",E121)))))</f>
        <v>Expense</v>
      </c>
      <c r="F122" s="36" t="str">
        <f aca="false">IF(OR(D122="Revenue",D122="Cost of Goods Sold",D122="Expenditures",D122="Other Revenue",D122="Other Expenditures"),E122,IF(AND(LEN(D122)&gt;2,MID(D122,2,1)=" ",ISNUMBER(VALUE(LEFT(D122,1)))),D122,F121))</f>
        <v>2 Instructional Expenses</v>
      </c>
      <c r="G122" s="36" t="n">
        <f aca="false">IF(AND(D122&lt;&gt;"",ISNUMBER(B122),LEFT(D122,9)&lt;&gt;"Total for",D122&lt;&gt;"Gross Profit",D122&lt;&gt;"Net Operating Revenue",D122&lt;&gt;"Net Other Revenue",D122&lt;&gt;"Net Revenue"),1,0)</f>
        <v>1</v>
      </c>
      <c r="H122" s="36" t="str">
        <f aca="false">IF(G122=1,IF(AND(LEN(D122)&gt;7,ISNUMBER(VALUE(LEFT(D122,6))),MID(D122,7,1)=" "),LEFT(D122,6),D122),"")</f>
        <v>500193</v>
      </c>
      <c r="I122" s="36" t="str">
        <f aca="false">IF(G122=1,IF(COUNTIF('Forecast Detail'!$C$8:$C$400,H122)=0,"UNMAPPED","OK"),"")</f>
        <v>OK</v>
      </c>
    </row>
    <row r="123" customFormat="false" ht="15" hidden="false" customHeight="false" outlineLevel="0" collapsed="false">
      <c r="A123" s="6" t="s">
        <v>342</v>
      </c>
      <c r="B123" s="11" t="n">
        <v>300</v>
      </c>
      <c r="C123" s="11" t="n">
        <f aca="false">B123</f>
        <v>300</v>
      </c>
      <c r="D123" s="36" t="str">
        <f aca="false">TRIM(A123)</f>
        <v>500194 English Department Expense</v>
      </c>
      <c r="E123" s="36" t="str">
        <f aca="false">IF(D123="Revenue","Revenue",IF(D123="Cost of Goods Sold","COGS",IF(D123="Expenditures","Expense",IF(D123="Other Revenue","Other Revenue",IF(D123="Other Expenditures","Other Expense",E122)))))</f>
        <v>Expense</v>
      </c>
      <c r="F123" s="36" t="str">
        <f aca="false">IF(OR(D123="Revenue",D123="Cost of Goods Sold",D123="Expenditures",D123="Other Revenue",D123="Other Expenditures"),E123,IF(AND(LEN(D123)&gt;2,MID(D123,2,1)=" ",ISNUMBER(VALUE(LEFT(D123,1)))),D123,F122))</f>
        <v>2 Instructional Expenses</v>
      </c>
      <c r="G123" s="36" t="n">
        <f aca="false">IF(AND(D123&lt;&gt;"",ISNUMBER(B123),LEFT(D123,9)&lt;&gt;"Total for",D123&lt;&gt;"Gross Profit",D123&lt;&gt;"Net Operating Revenue",D123&lt;&gt;"Net Other Revenue",D123&lt;&gt;"Net Revenue"),1,0)</f>
        <v>1</v>
      </c>
      <c r="H123" s="36" t="str">
        <f aca="false">IF(G123=1,IF(AND(LEN(D123)&gt;7,ISNUMBER(VALUE(LEFT(D123,6))),MID(D123,7,1)=" "),LEFT(D123,6),D123),"")</f>
        <v>500194</v>
      </c>
      <c r="I123" s="36" t="str">
        <f aca="false">IF(G123=1,IF(COUNTIF('Forecast Detail'!$C$8:$C$400,H123)=0,"UNMAPPED","OK"),"")</f>
        <v>OK</v>
      </c>
    </row>
    <row r="124" customFormat="false" ht="15" hidden="false" customHeight="false" outlineLevel="0" collapsed="false">
      <c r="A124" s="6" t="s">
        <v>344</v>
      </c>
      <c r="B124" s="11" t="n">
        <v>0</v>
      </c>
      <c r="C124" s="11" t="n">
        <f aca="false">B124</f>
        <v>0</v>
      </c>
      <c r="D124" s="36" t="str">
        <f aca="false">TRIM(A124)</f>
        <v>500195 Curriculum Review</v>
      </c>
      <c r="E124" s="36" t="str">
        <f aca="false">IF(D124="Revenue","Revenue",IF(D124="Cost of Goods Sold","COGS",IF(D124="Expenditures","Expense",IF(D124="Other Revenue","Other Revenue",IF(D124="Other Expenditures","Other Expense",E123)))))</f>
        <v>Expense</v>
      </c>
      <c r="F124" s="36" t="str">
        <f aca="false">IF(OR(D124="Revenue",D124="Cost of Goods Sold",D124="Expenditures",D124="Other Revenue",D124="Other Expenditures"),E124,IF(AND(LEN(D124)&gt;2,MID(D124,2,1)=" ",ISNUMBER(VALUE(LEFT(D124,1)))),D124,F123))</f>
        <v>2 Instructional Expenses</v>
      </c>
      <c r="G124" s="36" t="n">
        <f aca="false">IF(AND(D124&lt;&gt;"",ISNUMBER(B124),LEFT(D124,9)&lt;&gt;"Total for",D124&lt;&gt;"Gross Profit",D124&lt;&gt;"Net Operating Revenue",D124&lt;&gt;"Net Other Revenue",D124&lt;&gt;"Net Revenue"),1,0)</f>
        <v>1</v>
      </c>
      <c r="H124" s="36" t="str">
        <f aca="false">IF(G124=1,IF(AND(LEN(D124)&gt;7,ISNUMBER(VALUE(LEFT(D124,6))),MID(D124,7,1)=" "),LEFT(D124,6),D124),"")</f>
        <v>500195</v>
      </c>
      <c r="I124" s="36" t="str">
        <f aca="false">IF(G124=1,IF(COUNTIF('Forecast Detail'!$C$8:$C$400,H124)=0,"UNMAPPED","OK"),"")</f>
        <v>OK</v>
      </c>
    </row>
    <row r="125" customFormat="false" ht="15" hidden="false" customHeight="false" outlineLevel="0" collapsed="false">
      <c r="A125" s="6" t="s">
        <v>346</v>
      </c>
      <c r="B125" s="11" t="n">
        <v>300</v>
      </c>
      <c r="C125" s="11" t="n">
        <f aca="false">B125</f>
        <v>300</v>
      </c>
      <c r="D125" s="36" t="str">
        <f aca="false">TRIM(A125)</f>
        <v>500196 History Department Expense</v>
      </c>
      <c r="E125" s="36" t="str">
        <f aca="false">IF(D125="Revenue","Revenue",IF(D125="Cost of Goods Sold","COGS",IF(D125="Expenditures","Expense",IF(D125="Other Revenue","Other Revenue",IF(D125="Other Expenditures","Other Expense",E124)))))</f>
        <v>Expense</v>
      </c>
      <c r="F125" s="36" t="str">
        <f aca="false">IF(OR(D125="Revenue",D125="Cost of Goods Sold",D125="Expenditures",D125="Other Revenue",D125="Other Expenditures"),E125,IF(AND(LEN(D125)&gt;2,MID(D125,2,1)=" ",ISNUMBER(VALUE(LEFT(D125,1)))),D125,F124))</f>
        <v>2 Instructional Expenses</v>
      </c>
      <c r="G125" s="36" t="n">
        <f aca="false">IF(AND(D125&lt;&gt;"",ISNUMBER(B125),LEFT(D125,9)&lt;&gt;"Total for",D125&lt;&gt;"Gross Profit",D125&lt;&gt;"Net Operating Revenue",D125&lt;&gt;"Net Other Revenue",D125&lt;&gt;"Net Revenue"),1,0)</f>
        <v>1</v>
      </c>
      <c r="H125" s="36" t="str">
        <f aca="false">IF(G125=1,IF(AND(LEN(D125)&gt;7,ISNUMBER(VALUE(LEFT(D125,6))),MID(D125,7,1)=" "),LEFT(D125,6),D125),"")</f>
        <v>500196</v>
      </c>
      <c r="I125" s="36" t="str">
        <f aca="false">IF(G125=1,IF(COUNTIF('Forecast Detail'!$C$8:$C$400,H125)=0,"UNMAPPED","OK"),"")</f>
        <v>OK</v>
      </c>
    </row>
    <row r="126" customFormat="false" ht="15" hidden="false" customHeight="false" outlineLevel="0" collapsed="false">
      <c r="A126" s="6" t="s">
        <v>348</v>
      </c>
      <c r="B126" s="11" t="n">
        <v>2000</v>
      </c>
      <c r="C126" s="11" t="n">
        <f aca="false">B126</f>
        <v>2000</v>
      </c>
      <c r="D126" s="36" t="str">
        <f aca="false">TRIM(A126)</f>
        <v>500197 Foreign Language Expenses</v>
      </c>
      <c r="E126" s="36" t="str">
        <f aca="false">IF(D126="Revenue","Revenue",IF(D126="Cost of Goods Sold","COGS",IF(D126="Expenditures","Expense",IF(D126="Other Revenue","Other Revenue",IF(D126="Other Expenditures","Other Expense",E125)))))</f>
        <v>Expense</v>
      </c>
      <c r="F126" s="36" t="str">
        <f aca="false">IF(OR(D126="Revenue",D126="Cost of Goods Sold",D126="Expenditures",D126="Other Revenue",D126="Other Expenditures"),E126,IF(AND(LEN(D126)&gt;2,MID(D126,2,1)=" ",ISNUMBER(VALUE(LEFT(D126,1)))),D126,F125))</f>
        <v>2 Instructional Expenses</v>
      </c>
      <c r="G126" s="36" t="n">
        <f aca="false">IF(AND(D126&lt;&gt;"",ISNUMBER(B126),LEFT(D126,9)&lt;&gt;"Total for",D126&lt;&gt;"Gross Profit",D126&lt;&gt;"Net Operating Revenue",D126&lt;&gt;"Net Other Revenue",D126&lt;&gt;"Net Revenue"),1,0)</f>
        <v>1</v>
      </c>
      <c r="H126" s="36" t="str">
        <f aca="false">IF(G126=1,IF(AND(LEN(D126)&gt;7,ISNUMBER(VALUE(LEFT(D126,6))),MID(D126,7,1)=" "),LEFT(D126,6),D126),"")</f>
        <v>500197</v>
      </c>
      <c r="I126" s="36" t="str">
        <f aca="false">IF(G126=1,IF(COUNTIF('Forecast Detail'!$C$8:$C$400,H126)=0,"UNMAPPED","OK"),"")</f>
        <v>OK</v>
      </c>
    </row>
    <row r="127" customFormat="false" ht="15" hidden="false" customHeight="false" outlineLevel="0" collapsed="false">
      <c r="A127" s="6" t="s">
        <v>350</v>
      </c>
      <c r="B127" s="11" t="n">
        <v>500</v>
      </c>
      <c r="C127" s="11" t="n">
        <f aca="false">B127</f>
        <v>500</v>
      </c>
      <c r="D127" s="36" t="str">
        <f aca="false">TRIM(A127)</f>
        <v>500198 Christian Studies Department</v>
      </c>
      <c r="E127" s="36" t="str">
        <f aca="false">IF(D127="Revenue","Revenue",IF(D127="Cost of Goods Sold","COGS",IF(D127="Expenditures","Expense",IF(D127="Other Revenue","Other Revenue",IF(D127="Other Expenditures","Other Expense",E126)))))</f>
        <v>Expense</v>
      </c>
      <c r="F127" s="36" t="str">
        <f aca="false">IF(OR(D127="Revenue",D127="Cost of Goods Sold",D127="Expenditures",D127="Other Revenue",D127="Other Expenditures"),E127,IF(AND(LEN(D127)&gt;2,MID(D127,2,1)=" ",ISNUMBER(VALUE(LEFT(D127,1)))),D127,F126))</f>
        <v>2 Instructional Expenses</v>
      </c>
      <c r="G127" s="36" t="n">
        <f aca="false">IF(AND(D127&lt;&gt;"",ISNUMBER(B127),LEFT(D127,9)&lt;&gt;"Total for",D127&lt;&gt;"Gross Profit",D127&lt;&gt;"Net Operating Revenue",D127&lt;&gt;"Net Other Revenue",D127&lt;&gt;"Net Revenue"),1,0)</f>
        <v>1</v>
      </c>
      <c r="H127" s="36" t="str">
        <f aca="false">IF(G127=1,IF(AND(LEN(D127)&gt;7,ISNUMBER(VALUE(LEFT(D127,6))),MID(D127,7,1)=" "),LEFT(D127,6),D127),"")</f>
        <v>500198</v>
      </c>
      <c r="I127" s="36" t="str">
        <f aca="false">IF(G127=1,IF(COUNTIF('Forecast Detail'!$C$8:$C$400,H127)=0,"UNMAPPED","OK"),"")</f>
        <v>OK</v>
      </c>
    </row>
    <row r="128" customFormat="false" ht="15" hidden="false" customHeight="false" outlineLevel="0" collapsed="false">
      <c r="A128" s="6" t="s">
        <v>352</v>
      </c>
      <c r="B128" s="11" t="n">
        <v>3000</v>
      </c>
      <c r="C128" s="11" t="n">
        <f aca="false">B128</f>
        <v>3000</v>
      </c>
      <c r="D128" s="36" t="str">
        <f aca="false">TRIM(A128)</f>
        <v>500199 Science Department</v>
      </c>
      <c r="E128" s="36" t="str">
        <f aca="false">IF(D128="Revenue","Revenue",IF(D128="Cost of Goods Sold","COGS",IF(D128="Expenditures","Expense",IF(D128="Other Revenue","Other Revenue",IF(D128="Other Expenditures","Other Expense",E127)))))</f>
        <v>Expense</v>
      </c>
      <c r="F128" s="36" t="str">
        <f aca="false">IF(OR(D128="Revenue",D128="Cost of Goods Sold",D128="Expenditures",D128="Other Revenue",D128="Other Expenditures"),E128,IF(AND(LEN(D128)&gt;2,MID(D128,2,1)=" ",ISNUMBER(VALUE(LEFT(D128,1)))),D128,F127))</f>
        <v>2 Instructional Expenses</v>
      </c>
      <c r="G128" s="36" t="n">
        <f aca="false">IF(AND(D128&lt;&gt;"",ISNUMBER(B128),LEFT(D128,9)&lt;&gt;"Total for",D128&lt;&gt;"Gross Profit",D128&lt;&gt;"Net Operating Revenue",D128&lt;&gt;"Net Other Revenue",D128&lt;&gt;"Net Revenue"),1,0)</f>
        <v>1</v>
      </c>
      <c r="H128" s="36" t="str">
        <f aca="false">IF(G128=1,IF(AND(LEN(D128)&gt;7,ISNUMBER(VALUE(LEFT(D128,6))),MID(D128,7,1)=" "),LEFT(D128,6),D128),"")</f>
        <v>500199</v>
      </c>
      <c r="I128" s="36" t="str">
        <f aca="false">IF(G128=1,IF(COUNTIF('Forecast Detail'!$C$8:$C$400,H128)=0,"UNMAPPED","OK"),"")</f>
        <v>OK</v>
      </c>
    </row>
    <row r="129" customFormat="false" ht="15" hidden="false" customHeight="false" outlineLevel="0" collapsed="false">
      <c r="A129" s="6" t="s">
        <v>354</v>
      </c>
      <c r="B129" s="11" t="n">
        <v>8700</v>
      </c>
      <c r="C129" s="11" t="n">
        <f aca="false">B129</f>
        <v>8700</v>
      </c>
      <c r="D129" s="36" t="str">
        <f aca="false">TRIM(A129)</f>
        <v>500200 Tech and Media Class Expenses</v>
      </c>
      <c r="E129" s="36" t="str">
        <f aca="false">IF(D129="Revenue","Revenue",IF(D129="Cost of Goods Sold","COGS",IF(D129="Expenditures","Expense",IF(D129="Other Revenue","Other Revenue",IF(D129="Other Expenditures","Other Expense",E128)))))</f>
        <v>Expense</v>
      </c>
      <c r="F129" s="36" t="str">
        <f aca="false">IF(OR(D129="Revenue",D129="Cost of Goods Sold",D129="Expenditures",D129="Other Revenue",D129="Other Expenditures"),E129,IF(AND(LEN(D129)&gt;2,MID(D129,2,1)=" ",ISNUMBER(VALUE(LEFT(D129,1)))),D129,F128))</f>
        <v>2 Instructional Expenses</v>
      </c>
      <c r="G129" s="36" t="n">
        <f aca="false">IF(AND(D129&lt;&gt;"",ISNUMBER(B129),LEFT(D129,9)&lt;&gt;"Total for",D129&lt;&gt;"Gross Profit",D129&lt;&gt;"Net Operating Revenue",D129&lt;&gt;"Net Other Revenue",D129&lt;&gt;"Net Revenue"),1,0)</f>
        <v>1</v>
      </c>
      <c r="H129" s="36" t="str">
        <f aca="false">IF(G129=1,IF(AND(LEN(D129)&gt;7,ISNUMBER(VALUE(LEFT(D129,6))),MID(D129,7,1)=" "),LEFT(D129,6),D129),"")</f>
        <v>500200</v>
      </c>
      <c r="I129" s="36" t="str">
        <f aca="false">IF(G129=1,IF(COUNTIF('Forecast Detail'!$C$8:$C$400,H129)=0,"UNMAPPED","OK"),"")</f>
        <v>OK</v>
      </c>
    </row>
    <row r="130" customFormat="false" ht="15" hidden="false" customHeight="false" outlineLevel="0" collapsed="false">
      <c r="A130" s="6" t="s">
        <v>356</v>
      </c>
      <c r="B130" s="11" t="n">
        <v>2000</v>
      </c>
      <c r="C130" s="11" t="n">
        <f aca="false">B130</f>
        <v>2000</v>
      </c>
      <c r="D130" s="36" t="str">
        <f aca="false">TRIM(A130)</f>
        <v>500203 Middle School/Upper School Supplies</v>
      </c>
      <c r="E130" s="36" t="str">
        <f aca="false">IF(D130="Revenue","Revenue",IF(D130="Cost of Goods Sold","COGS",IF(D130="Expenditures","Expense",IF(D130="Other Revenue","Other Revenue",IF(D130="Other Expenditures","Other Expense",E129)))))</f>
        <v>Expense</v>
      </c>
      <c r="F130" s="36" t="str">
        <f aca="false">IF(OR(D130="Revenue",D130="Cost of Goods Sold",D130="Expenditures",D130="Other Revenue",D130="Other Expenditures"),E130,IF(AND(LEN(D130)&gt;2,MID(D130,2,1)=" ",ISNUMBER(VALUE(LEFT(D130,1)))),D130,F129))</f>
        <v>2 Instructional Expenses</v>
      </c>
      <c r="G130" s="36" t="n">
        <f aca="false">IF(AND(D130&lt;&gt;"",ISNUMBER(B130),LEFT(D130,9)&lt;&gt;"Total for",D130&lt;&gt;"Gross Profit",D130&lt;&gt;"Net Operating Revenue",D130&lt;&gt;"Net Other Revenue",D130&lt;&gt;"Net Revenue"),1,0)</f>
        <v>1</v>
      </c>
      <c r="H130" s="36" t="str">
        <f aca="false">IF(G130=1,IF(AND(LEN(D130)&gt;7,ISNUMBER(VALUE(LEFT(D130,6))),MID(D130,7,1)=" "),LEFT(D130,6),D130),"")</f>
        <v>500203</v>
      </c>
      <c r="I130" s="36" t="str">
        <f aca="false">IF(G130=1,IF(COUNTIF('Forecast Detail'!$C$8:$C$400,H130)=0,"UNMAPPED","OK"),"")</f>
        <v>OK</v>
      </c>
    </row>
    <row r="131" customFormat="false" ht="15" hidden="false" customHeight="false" outlineLevel="0" collapsed="false">
      <c r="A131" s="6" t="s">
        <v>358</v>
      </c>
      <c r="B131" s="11" t="n">
        <v>2000</v>
      </c>
      <c r="C131" s="11" t="n">
        <f aca="false">B131</f>
        <v>2000</v>
      </c>
      <c r="D131" s="36" t="str">
        <f aca="false">TRIM(A131)</f>
        <v>500204 Winterim Class Expense</v>
      </c>
      <c r="E131" s="36" t="str">
        <f aca="false">IF(D131="Revenue","Revenue",IF(D131="Cost of Goods Sold","COGS",IF(D131="Expenditures","Expense",IF(D131="Other Revenue","Other Revenue",IF(D131="Other Expenditures","Other Expense",E130)))))</f>
        <v>Expense</v>
      </c>
      <c r="F131" s="36" t="str">
        <f aca="false">IF(OR(D131="Revenue",D131="Cost of Goods Sold",D131="Expenditures",D131="Other Revenue",D131="Other Expenditures"),E131,IF(AND(LEN(D131)&gt;2,MID(D131,2,1)=" ",ISNUMBER(VALUE(LEFT(D131,1)))),D131,F130))</f>
        <v>2 Instructional Expenses</v>
      </c>
      <c r="G131" s="36" t="n">
        <f aca="false">IF(AND(D131&lt;&gt;"",ISNUMBER(B131),LEFT(D131,9)&lt;&gt;"Total for",D131&lt;&gt;"Gross Profit",D131&lt;&gt;"Net Operating Revenue",D131&lt;&gt;"Net Other Revenue",D131&lt;&gt;"Net Revenue"),1,0)</f>
        <v>1</v>
      </c>
      <c r="H131" s="36" t="str">
        <f aca="false">IF(G131=1,IF(AND(LEN(D131)&gt;7,ISNUMBER(VALUE(LEFT(D131,6))),MID(D131,7,1)=" "),LEFT(D131,6),D131),"")</f>
        <v>500204</v>
      </c>
      <c r="I131" s="36" t="str">
        <f aca="false">IF(G131=1,IF(COUNTIF('Forecast Detail'!$C$8:$C$400,H131)=0,"UNMAPPED","OK"),"")</f>
        <v>OK</v>
      </c>
    </row>
    <row r="132" customFormat="false" ht="15" hidden="false" customHeight="false" outlineLevel="0" collapsed="false">
      <c r="A132" s="6" t="s">
        <v>360</v>
      </c>
      <c r="B132" s="11" t="n">
        <v>0</v>
      </c>
      <c r="C132" s="11" t="n">
        <f aca="false">B132</f>
        <v>0</v>
      </c>
      <c r="D132" s="36" t="str">
        <f aca="false">TRIM(A132)</f>
        <v>500205 MakerSpace Expenses</v>
      </c>
      <c r="E132" s="36" t="str">
        <f aca="false">IF(D132="Revenue","Revenue",IF(D132="Cost of Goods Sold","COGS",IF(D132="Expenditures","Expense",IF(D132="Other Revenue","Other Revenue",IF(D132="Other Expenditures","Other Expense",E131)))))</f>
        <v>Expense</v>
      </c>
      <c r="F132" s="36" t="str">
        <f aca="false">IF(OR(D132="Revenue",D132="Cost of Goods Sold",D132="Expenditures",D132="Other Revenue",D132="Other Expenditures"),E132,IF(AND(LEN(D132)&gt;2,MID(D132,2,1)=" ",ISNUMBER(VALUE(LEFT(D132,1)))),D132,F131))</f>
        <v>2 Instructional Expenses</v>
      </c>
      <c r="G132" s="36" t="n">
        <f aca="false">IF(AND(D132&lt;&gt;"",ISNUMBER(B132),LEFT(D132,9)&lt;&gt;"Total for",D132&lt;&gt;"Gross Profit",D132&lt;&gt;"Net Operating Revenue",D132&lt;&gt;"Net Other Revenue",D132&lt;&gt;"Net Revenue"),1,0)</f>
        <v>1</v>
      </c>
      <c r="H132" s="36" t="str">
        <f aca="false">IF(G132=1,IF(AND(LEN(D132)&gt;7,ISNUMBER(VALUE(LEFT(D132,6))),MID(D132,7,1)=" "),LEFT(D132,6),D132),"")</f>
        <v>500205</v>
      </c>
      <c r="I132" s="36" t="str">
        <f aca="false">IF(G132=1,IF(COUNTIF('Forecast Detail'!$C$8:$C$400,H132)=0,"UNMAPPED","OK"),"")</f>
        <v>OK</v>
      </c>
    </row>
    <row r="133" customFormat="false" ht="15" hidden="false" customHeight="false" outlineLevel="0" collapsed="false">
      <c r="A133" s="6" t="s">
        <v>362</v>
      </c>
      <c r="B133" s="11" t="n">
        <v>0</v>
      </c>
      <c r="C133" s="11" t="n">
        <f aca="false">B133</f>
        <v>0</v>
      </c>
      <c r="D133" s="36" t="str">
        <f aca="false">TRIM(A133)</f>
        <v>500207 MS/US Activities Billed</v>
      </c>
      <c r="E133" s="36" t="str">
        <f aca="false">IF(D133="Revenue","Revenue",IF(D133="Cost of Goods Sold","COGS",IF(D133="Expenditures","Expense",IF(D133="Other Revenue","Other Revenue",IF(D133="Other Expenditures","Other Expense",E132)))))</f>
        <v>Expense</v>
      </c>
      <c r="F133" s="36" t="str">
        <f aca="false">IF(OR(D133="Revenue",D133="Cost of Goods Sold",D133="Expenditures",D133="Other Revenue",D133="Other Expenditures"),E133,IF(AND(LEN(D133)&gt;2,MID(D133,2,1)=" ",ISNUMBER(VALUE(LEFT(D133,1)))),D133,F132))</f>
        <v>2 Instructional Expenses</v>
      </c>
      <c r="G133" s="36" t="n">
        <f aca="false">IF(AND(D133&lt;&gt;"",ISNUMBER(B133),LEFT(D133,9)&lt;&gt;"Total for",D133&lt;&gt;"Gross Profit",D133&lt;&gt;"Net Operating Revenue",D133&lt;&gt;"Net Other Revenue",D133&lt;&gt;"Net Revenue"),1,0)</f>
        <v>1</v>
      </c>
      <c r="H133" s="36" t="str">
        <f aca="false">IF(G133=1,IF(AND(LEN(D133)&gt;7,ISNUMBER(VALUE(LEFT(D133,6))),MID(D133,7,1)=" "),LEFT(D133,6),D133),"")</f>
        <v>500207</v>
      </c>
      <c r="I133" s="36" t="str">
        <f aca="false">IF(G133=1,IF(COUNTIF('Forecast Detail'!$C$8:$C$400,H133)=0,"UNMAPPED","OK"),"")</f>
        <v>OK</v>
      </c>
    </row>
    <row r="134" customFormat="false" ht="15" hidden="false" customHeight="false" outlineLevel="0" collapsed="false">
      <c r="A134" s="6" t="s">
        <v>364</v>
      </c>
      <c r="B134" s="11" t="n">
        <v>0</v>
      </c>
      <c r="C134" s="11" t="n">
        <f aca="false">B134</f>
        <v>0</v>
      </c>
      <c r="D134" s="36" t="str">
        <f aca="false">TRIM(A134)</f>
        <v>500208 Academic Testing AP</v>
      </c>
      <c r="E134" s="36" t="str">
        <f aca="false">IF(D134="Revenue","Revenue",IF(D134="Cost of Goods Sold","COGS",IF(D134="Expenditures","Expense",IF(D134="Other Revenue","Other Revenue",IF(D134="Other Expenditures","Other Expense",E133)))))</f>
        <v>Expense</v>
      </c>
      <c r="F134" s="36" t="str">
        <f aca="false">IF(OR(D134="Revenue",D134="Cost of Goods Sold",D134="Expenditures",D134="Other Revenue",D134="Other Expenditures"),E134,IF(AND(LEN(D134)&gt;2,MID(D134,2,1)=" ",ISNUMBER(VALUE(LEFT(D134,1)))),D134,F133))</f>
        <v>2 Instructional Expenses</v>
      </c>
      <c r="G134" s="36" t="n">
        <f aca="false">IF(AND(D134&lt;&gt;"",ISNUMBER(B134),LEFT(D134,9)&lt;&gt;"Total for",D134&lt;&gt;"Gross Profit",D134&lt;&gt;"Net Operating Revenue",D134&lt;&gt;"Net Other Revenue",D134&lt;&gt;"Net Revenue"),1,0)</f>
        <v>1</v>
      </c>
      <c r="H134" s="36" t="str">
        <f aca="false">IF(G134=1,IF(AND(LEN(D134)&gt;7,ISNUMBER(VALUE(LEFT(D134,6))),MID(D134,7,1)=" "),LEFT(D134,6),D134),"")</f>
        <v>500208</v>
      </c>
      <c r="I134" s="36" t="str">
        <f aca="false">IF(G134=1,IF(COUNTIF('Forecast Detail'!$C$8:$C$400,H134)=0,"UNMAPPED","OK"),"")</f>
        <v>OK</v>
      </c>
    </row>
    <row r="135" customFormat="false" ht="15" hidden="false" customHeight="false" outlineLevel="0" collapsed="false">
      <c r="A135" s="6" t="s">
        <v>366</v>
      </c>
      <c r="B135" s="11" t="n">
        <v>1500</v>
      </c>
      <c r="C135" s="11" t="n">
        <f aca="false">B135</f>
        <v>1500</v>
      </c>
      <c r="D135" s="36" t="str">
        <f aca="false">TRIM(A135)</f>
        <v>500209 MS/US Principal Activities</v>
      </c>
      <c r="E135" s="36" t="str">
        <f aca="false">IF(D135="Revenue","Revenue",IF(D135="Cost of Goods Sold","COGS",IF(D135="Expenditures","Expense",IF(D135="Other Revenue","Other Revenue",IF(D135="Other Expenditures","Other Expense",E134)))))</f>
        <v>Expense</v>
      </c>
      <c r="F135" s="36" t="str">
        <f aca="false">IF(OR(D135="Revenue",D135="Cost of Goods Sold",D135="Expenditures",D135="Other Revenue",D135="Other Expenditures"),E135,IF(AND(LEN(D135)&gt;2,MID(D135,2,1)=" ",ISNUMBER(VALUE(LEFT(D135,1)))),D135,F134))</f>
        <v>2 Instructional Expenses</v>
      </c>
      <c r="G135" s="36" t="n">
        <f aca="false">IF(AND(D135&lt;&gt;"",ISNUMBER(B135),LEFT(D135,9)&lt;&gt;"Total for",D135&lt;&gt;"Gross Profit",D135&lt;&gt;"Net Operating Revenue",D135&lt;&gt;"Net Other Revenue",D135&lt;&gt;"Net Revenue"),1,0)</f>
        <v>1</v>
      </c>
      <c r="H135" s="36" t="str">
        <f aca="false">IF(G135=1,IF(AND(LEN(D135)&gt;7,ISNUMBER(VALUE(LEFT(D135,6))),MID(D135,7,1)=" "),LEFT(D135,6),D135),"")</f>
        <v>500209</v>
      </c>
      <c r="I135" s="36" t="str">
        <f aca="false">IF(G135=1,IF(COUNTIF('Forecast Detail'!$C$8:$C$400,H135)=0,"UNMAPPED","OK"),"")</f>
        <v>OK</v>
      </c>
    </row>
    <row r="136" customFormat="false" ht="15" hidden="false" customHeight="false" outlineLevel="0" collapsed="false">
      <c r="A136" s="6" t="s">
        <v>368</v>
      </c>
      <c r="B136" s="11" t="n">
        <v>0</v>
      </c>
      <c r="C136" s="11" t="n">
        <f aca="false">B136</f>
        <v>0</v>
      </c>
      <c r="D136" s="36" t="str">
        <f aca="false">TRIM(A136)</f>
        <v>500211 Consumables/Workbooks US&amp;MS</v>
      </c>
      <c r="E136" s="36" t="str">
        <f aca="false">IF(D136="Revenue","Revenue",IF(D136="Cost of Goods Sold","COGS",IF(D136="Expenditures","Expense",IF(D136="Other Revenue","Other Revenue",IF(D136="Other Expenditures","Other Expense",E135)))))</f>
        <v>Expense</v>
      </c>
      <c r="F136" s="36" t="str">
        <f aca="false">IF(OR(D136="Revenue",D136="Cost of Goods Sold",D136="Expenditures",D136="Other Revenue",D136="Other Expenditures"),E136,IF(AND(LEN(D136)&gt;2,MID(D136,2,1)=" ",ISNUMBER(VALUE(LEFT(D136,1)))),D136,F135))</f>
        <v>2 Instructional Expenses</v>
      </c>
      <c r="G136" s="36" t="n">
        <f aca="false">IF(AND(D136&lt;&gt;"",ISNUMBER(B136),LEFT(D136,9)&lt;&gt;"Total for",D136&lt;&gt;"Gross Profit",D136&lt;&gt;"Net Operating Revenue",D136&lt;&gt;"Net Other Revenue",D136&lt;&gt;"Net Revenue"),1,0)</f>
        <v>1</v>
      </c>
      <c r="H136" s="36" t="str">
        <f aca="false">IF(G136=1,IF(AND(LEN(D136)&gt;7,ISNUMBER(VALUE(LEFT(D136,6))),MID(D136,7,1)=" "),LEFT(D136,6),D136),"")</f>
        <v>500211</v>
      </c>
      <c r="I136" s="36" t="str">
        <f aca="false">IF(G136=1,IF(COUNTIF('Forecast Detail'!$C$8:$C$400,H136)=0,"UNMAPPED","OK"),"")</f>
        <v>OK</v>
      </c>
    </row>
    <row r="137" customFormat="false" ht="15" hidden="false" customHeight="false" outlineLevel="0" collapsed="false">
      <c r="A137" s="6" t="s">
        <v>370</v>
      </c>
      <c r="B137" s="11" t="n">
        <v>29700</v>
      </c>
      <c r="C137" s="11" t="n">
        <f aca="false">B137</f>
        <v>29700</v>
      </c>
      <c r="D137" s="36" t="str">
        <f aca="false">TRIM(A137)</f>
        <v>500212 MS Textbooks</v>
      </c>
      <c r="E137" s="36" t="str">
        <f aca="false">IF(D137="Revenue","Revenue",IF(D137="Cost of Goods Sold","COGS",IF(D137="Expenditures","Expense",IF(D137="Other Revenue","Other Revenue",IF(D137="Other Expenditures","Other Expense",E136)))))</f>
        <v>Expense</v>
      </c>
      <c r="F137" s="36" t="str">
        <f aca="false">IF(OR(D137="Revenue",D137="Cost of Goods Sold",D137="Expenditures",D137="Other Revenue",D137="Other Expenditures"),E137,IF(AND(LEN(D137)&gt;2,MID(D137,2,1)=" ",ISNUMBER(VALUE(LEFT(D137,1)))),D137,F136))</f>
        <v>2 Instructional Expenses</v>
      </c>
      <c r="G137" s="36" t="n">
        <f aca="false">IF(AND(D137&lt;&gt;"",ISNUMBER(B137),LEFT(D137,9)&lt;&gt;"Total for",D137&lt;&gt;"Gross Profit",D137&lt;&gt;"Net Operating Revenue",D137&lt;&gt;"Net Other Revenue",D137&lt;&gt;"Net Revenue"),1,0)</f>
        <v>1</v>
      </c>
      <c r="H137" s="36" t="str">
        <f aca="false">IF(G137=1,IF(AND(LEN(D137)&gt;7,ISNUMBER(VALUE(LEFT(D137,6))),MID(D137,7,1)=" "),LEFT(D137,6),D137),"")</f>
        <v>500212</v>
      </c>
      <c r="I137" s="36" t="str">
        <f aca="false">IF(G137=1,IF(COUNTIF('Forecast Detail'!$C$8:$C$400,H137)=0,"UNMAPPED","OK"),"")</f>
        <v>OK</v>
      </c>
    </row>
    <row r="138" customFormat="false" ht="15" hidden="false" customHeight="false" outlineLevel="0" collapsed="false">
      <c r="A138" s="6" t="s">
        <v>372</v>
      </c>
      <c r="B138" s="11" t="n">
        <v>0</v>
      </c>
      <c r="C138" s="11" t="n">
        <f aca="false">B138</f>
        <v>0</v>
      </c>
      <c r="D138" s="36" t="str">
        <f aca="false">TRIM(A138)</f>
        <v>500213 Textbooks AP</v>
      </c>
      <c r="E138" s="36" t="str">
        <f aca="false">IF(D138="Revenue","Revenue",IF(D138="Cost of Goods Sold","COGS",IF(D138="Expenditures","Expense",IF(D138="Other Revenue","Other Revenue",IF(D138="Other Expenditures","Other Expense",E137)))))</f>
        <v>Expense</v>
      </c>
      <c r="F138" s="36" t="str">
        <f aca="false">IF(OR(D138="Revenue",D138="Cost of Goods Sold",D138="Expenditures",D138="Other Revenue",D138="Other Expenditures"),E138,IF(AND(LEN(D138)&gt;2,MID(D138,2,1)=" ",ISNUMBER(VALUE(LEFT(D138,1)))),D138,F137))</f>
        <v>2 Instructional Expenses</v>
      </c>
      <c r="G138" s="36" t="n">
        <f aca="false">IF(AND(D138&lt;&gt;"",ISNUMBER(B138),LEFT(D138,9)&lt;&gt;"Total for",D138&lt;&gt;"Gross Profit",D138&lt;&gt;"Net Operating Revenue",D138&lt;&gt;"Net Other Revenue",D138&lt;&gt;"Net Revenue"),1,0)</f>
        <v>1</v>
      </c>
      <c r="H138" s="36" t="str">
        <f aca="false">IF(G138=1,IF(AND(LEN(D138)&gt;7,ISNUMBER(VALUE(LEFT(D138,6))),MID(D138,7,1)=" "),LEFT(D138,6),D138),"")</f>
        <v>500213</v>
      </c>
      <c r="I138" s="36" t="str">
        <f aca="false">IF(G138=1,IF(COUNTIF('Forecast Detail'!$C$8:$C$400,H138)=0,"UNMAPPED","OK"),"")</f>
        <v>OK</v>
      </c>
    </row>
    <row r="139" customFormat="false" ht="15" hidden="false" customHeight="false" outlineLevel="0" collapsed="false">
      <c r="A139" s="6" t="s">
        <v>374</v>
      </c>
      <c r="B139" s="11" t="n">
        <v>0</v>
      </c>
      <c r="C139" s="11" t="n">
        <f aca="false">B139</f>
        <v>0</v>
      </c>
      <c r="D139" s="36" t="str">
        <f aca="false">TRIM(A139)</f>
        <v>500214 Textbooks US</v>
      </c>
      <c r="E139" s="36" t="str">
        <f aca="false">IF(D139="Revenue","Revenue",IF(D139="Cost of Goods Sold","COGS",IF(D139="Expenditures","Expense",IF(D139="Other Revenue","Other Revenue",IF(D139="Other Expenditures","Other Expense",E138)))))</f>
        <v>Expense</v>
      </c>
      <c r="F139" s="36" t="str">
        <f aca="false">IF(OR(D139="Revenue",D139="Cost of Goods Sold",D139="Expenditures",D139="Other Revenue",D139="Other Expenditures"),E139,IF(AND(LEN(D139)&gt;2,MID(D139,2,1)=" ",ISNUMBER(VALUE(LEFT(D139,1)))),D139,F138))</f>
        <v>2 Instructional Expenses</v>
      </c>
      <c r="G139" s="36" t="n">
        <f aca="false">IF(AND(D139&lt;&gt;"",ISNUMBER(B139),LEFT(D139,9)&lt;&gt;"Total for",D139&lt;&gt;"Gross Profit",D139&lt;&gt;"Net Operating Revenue",D139&lt;&gt;"Net Other Revenue",D139&lt;&gt;"Net Revenue"),1,0)</f>
        <v>1</v>
      </c>
      <c r="H139" s="36" t="str">
        <f aca="false">IF(G139=1,IF(AND(LEN(D139)&gt;7,ISNUMBER(VALUE(LEFT(D139,6))),MID(D139,7,1)=" "),LEFT(D139,6),D139),"")</f>
        <v>500214</v>
      </c>
      <c r="I139" s="36" t="str">
        <f aca="false">IF(G139=1,IF(COUNTIF('Forecast Detail'!$C$8:$C$400,H139)=0,"UNMAPPED","OK"),"")</f>
        <v>OK</v>
      </c>
    </row>
    <row r="140" customFormat="false" ht="15" hidden="false" customHeight="false" outlineLevel="0" collapsed="false">
      <c r="A140" s="6" t="s">
        <v>376</v>
      </c>
      <c r="B140" s="11" t="n">
        <v>1000</v>
      </c>
      <c r="C140" s="11" t="n">
        <f aca="false">B140</f>
        <v>1000</v>
      </c>
      <c r="D140" s="36" t="str">
        <f aca="false">TRIM(A140)</f>
        <v>500215 Innovation Class Expenses</v>
      </c>
      <c r="E140" s="36" t="str">
        <f aca="false">IF(D140="Revenue","Revenue",IF(D140="Cost of Goods Sold","COGS",IF(D140="Expenditures","Expense",IF(D140="Other Revenue","Other Revenue",IF(D140="Other Expenditures","Other Expense",E139)))))</f>
        <v>Expense</v>
      </c>
      <c r="F140" s="36" t="str">
        <f aca="false">IF(OR(D140="Revenue",D140="Cost of Goods Sold",D140="Expenditures",D140="Other Revenue",D140="Other Expenditures"),E140,IF(AND(LEN(D140)&gt;2,MID(D140,2,1)=" ",ISNUMBER(VALUE(LEFT(D140,1)))),D140,F139))</f>
        <v>2 Instructional Expenses</v>
      </c>
      <c r="G140" s="36" t="n">
        <f aca="false">IF(AND(D140&lt;&gt;"",ISNUMBER(B140),LEFT(D140,9)&lt;&gt;"Total for",D140&lt;&gt;"Gross Profit",D140&lt;&gt;"Net Operating Revenue",D140&lt;&gt;"Net Other Revenue",D140&lt;&gt;"Net Revenue"),1,0)</f>
        <v>1</v>
      </c>
      <c r="H140" s="36" t="str">
        <f aca="false">IF(G140=1,IF(AND(LEN(D140)&gt;7,ISNUMBER(VALUE(LEFT(D140,6))),MID(D140,7,1)=" "),LEFT(D140,6),D140),"")</f>
        <v>500215</v>
      </c>
      <c r="I140" s="36" t="str">
        <f aca="false">IF(G140=1,IF(COUNTIF('Forecast Detail'!$C$8:$C$400,H140)=0,"UNMAPPED","OK"),"")</f>
        <v>OK</v>
      </c>
    </row>
    <row r="141" customFormat="false" ht="15" hidden="false" customHeight="false" outlineLevel="0" collapsed="false">
      <c r="A141" s="6" t="s">
        <v>378</v>
      </c>
      <c r="B141" s="11" t="n">
        <v>7000</v>
      </c>
      <c r="C141" s="11" t="n">
        <f aca="false">B141</f>
        <v>7000</v>
      </c>
      <c r="D141" s="36" t="str">
        <f aca="false">TRIM(A141)</f>
        <v>500216 OnLine Course Expense</v>
      </c>
      <c r="E141" s="36" t="str">
        <f aca="false">IF(D141="Revenue","Revenue",IF(D141="Cost of Goods Sold","COGS",IF(D141="Expenditures","Expense",IF(D141="Other Revenue","Other Revenue",IF(D141="Other Expenditures","Other Expense",E140)))))</f>
        <v>Expense</v>
      </c>
      <c r="F141" s="36" t="str">
        <f aca="false">IF(OR(D141="Revenue",D141="Cost of Goods Sold",D141="Expenditures",D141="Other Revenue",D141="Other Expenditures"),E141,IF(AND(LEN(D141)&gt;2,MID(D141,2,1)=" ",ISNUMBER(VALUE(LEFT(D141,1)))),D141,F140))</f>
        <v>2 Instructional Expenses</v>
      </c>
      <c r="G141" s="36" t="n">
        <f aca="false">IF(AND(D141&lt;&gt;"",ISNUMBER(B141),LEFT(D141,9)&lt;&gt;"Total for",D141&lt;&gt;"Gross Profit",D141&lt;&gt;"Net Operating Revenue",D141&lt;&gt;"Net Other Revenue",D141&lt;&gt;"Net Revenue"),1,0)</f>
        <v>1</v>
      </c>
      <c r="H141" s="36" t="str">
        <f aca="false">IF(G141=1,IF(AND(LEN(D141)&gt;7,ISNUMBER(VALUE(LEFT(D141,6))),MID(D141,7,1)=" "),LEFT(D141,6),D141),"")</f>
        <v>500216</v>
      </c>
      <c r="I141" s="36" t="str">
        <f aca="false">IF(G141=1,IF(COUNTIF('Forecast Detail'!$C$8:$C$400,H141)=0,"UNMAPPED","OK"),"")</f>
        <v>OK</v>
      </c>
    </row>
    <row r="142" customFormat="false" ht="15" hidden="false" customHeight="false" outlineLevel="0" collapsed="false">
      <c r="A142" s="6" t="s">
        <v>617</v>
      </c>
      <c r="B142" s="11" t="n">
        <f aca="false">B121+B122+B123+B124+B125+B126+B127+B128+B129+B130+B131+B132+B133+B134+B135+B136+B137+B138+B139+B140+B141</f>
        <v>59800</v>
      </c>
      <c r="C142" s="11" t="n">
        <f aca="false">B142</f>
        <v>59800</v>
      </c>
      <c r="D142" s="36" t="str">
        <f aca="false">TRIM(A142)</f>
        <v>Total for Middle/Upper School Division</v>
      </c>
      <c r="E142" s="36" t="str">
        <f aca="false">IF(D142="Revenue","Revenue",IF(D142="Cost of Goods Sold","COGS",IF(D142="Expenditures","Expense",IF(D142="Other Revenue","Other Revenue",IF(D142="Other Expenditures","Other Expense",E141)))))</f>
        <v>Expense</v>
      </c>
      <c r="F142" s="36" t="str">
        <f aca="false">IF(OR(D142="Revenue",D142="Cost of Goods Sold",D142="Expenditures",D142="Other Revenue",D142="Other Expenditures"),E142,IF(AND(LEN(D142)&gt;2,MID(D142,2,1)=" ",ISNUMBER(VALUE(LEFT(D142,1)))),D142,F141))</f>
        <v>2 Instructional Expenses</v>
      </c>
      <c r="G142" s="36" t="n">
        <f aca="false">IF(AND(D142&lt;&gt;"",ISNUMBER(B142),LEFT(D142,9)&lt;&gt;"Total for",D142&lt;&gt;"Gross Profit",D142&lt;&gt;"Net Operating Revenue",D142&lt;&gt;"Net Other Revenue",D142&lt;&gt;"Net Revenue"),1,0)</f>
        <v>0</v>
      </c>
      <c r="H142" s="36" t="str">
        <f aca="false">IF(G142=1,IF(AND(LEN(D142)&gt;7,ISNUMBER(VALUE(LEFT(D142,6))),MID(D142,7,1)=" "),LEFT(D142,6),D142),"")</f>
        <v/>
      </c>
      <c r="I142" s="36" t="str">
        <f aca="false">IF(G142=1,IF(COUNTIF('Forecast Detail'!$C$8:$C$400,H142)=0,"UNMAPPED","OK"),"")</f>
        <v/>
      </c>
    </row>
    <row r="143" customFormat="false" ht="15" hidden="false" customHeight="false" outlineLevel="0" collapsed="false">
      <c r="A143" s="6" t="s">
        <v>379</v>
      </c>
      <c r="B143" s="11" t="n">
        <v>5000</v>
      </c>
      <c r="C143" s="11" t="n">
        <f aca="false">B143</f>
        <v>5000</v>
      </c>
      <c r="D143" s="36" t="str">
        <f aca="false">TRIM(A143)</f>
        <v>Student Activities Expenses</v>
      </c>
      <c r="E143" s="36" t="str">
        <f aca="false">IF(D143="Revenue","Revenue",IF(D143="Cost of Goods Sold","COGS",IF(D143="Expenditures","Expense",IF(D143="Other Revenue","Other Revenue",IF(D143="Other Expenditures","Other Expense",E142)))))</f>
        <v>Expense</v>
      </c>
      <c r="F143" s="36" t="str">
        <f aca="false">IF(OR(D143="Revenue",D143="Cost of Goods Sold",D143="Expenditures",D143="Other Revenue",D143="Other Expenditures"),E143,IF(AND(LEN(D143)&gt;2,MID(D143,2,1)=" ",ISNUMBER(VALUE(LEFT(D143,1)))),D143,F142))</f>
        <v>2 Instructional Expenses</v>
      </c>
      <c r="G143" s="36" t="n">
        <f aca="false">IF(AND(D143&lt;&gt;"",ISNUMBER(B143),LEFT(D143,9)&lt;&gt;"Total for",D143&lt;&gt;"Gross Profit",D143&lt;&gt;"Net Operating Revenue",D143&lt;&gt;"Net Other Revenue",D143&lt;&gt;"Net Revenue"),1,0)</f>
        <v>1</v>
      </c>
      <c r="H143" s="36" t="str">
        <f aca="false">IF(G143=1,IF(AND(LEN(D143)&gt;7,ISNUMBER(VALUE(LEFT(D143,6))),MID(D143,7,1)=" "),LEFT(D143,6),D143),"")</f>
        <v>Student Activities Expenses</v>
      </c>
      <c r="I143" s="36" t="str">
        <f aca="false">IF(G143=1,IF(COUNTIF('Forecast Detail'!$C$8:$C$400,H143)=0,"UNMAPPED","OK"),"")</f>
        <v>OK</v>
      </c>
    </row>
    <row r="144" customFormat="false" ht="15" hidden="false" customHeight="false" outlineLevel="0" collapsed="false">
      <c r="A144" s="6" t="s">
        <v>381</v>
      </c>
      <c r="B144" s="11" t="n">
        <v>0</v>
      </c>
      <c r="C144" s="11" t="n">
        <f aca="false">B144</f>
        <v>0</v>
      </c>
      <c r="D144" s="36" t="str">
        <f aca="false">TRIM(A144)</f>
        <v>500283 All School Activity Expenses</v>
      </c>
      <c r="E144" s="36" t="str">
        <f aca="false">IF(D144="Revenue","Revenue",IF(D144="Cost of Goods Sold","COGS",IF(D144="Expenditures","Expense",IF(D144="Other Revenue","Other Revenue",IF(D144="Other Expenditures","Other Expense",E143)))))</f>
        <v>Expense</v>
      </c>
      <c r="F144" s="36" t="str">
        <f aca="false">IF(OR(D144="Revenue",D144="Cost of Goods Sold",D144="Expenditures",D144="Other Revenue",D144="Other Expenditures"),E144,IF(AND(LEN(D144)&gt;2,MID(D144,2,1)=" ",ISNUMBER(VALUE(LEFT(D144,1)))),D144,F143))</f>
        <v>2 Instructional Expenses</v>
      </c>
      <c r="G144" s="36" t="n">
        <f aca="false">IF(AND(D144&lt;&gt;"",ISNUMBER(B144),LEFT(D144,9)&lt;&gt;"Total for",D144&lt;&gt;"Gross Profit",D144&lt;&gt;"Net Operating Revenue",D144&lt;&gt;"Net Other Revenue",D144&lt;&gt;"Net Revenue"),1,0)</f>
        <v>1</v>
      </c>
      <c r="H144" s="36" t="str">
        <f aca="false">IF(G144=1,IF(AND(LEN(D144)&gt;7,ISNUMBER(VALUE(LEFT(D144,6))),MID(D144,7,1)=" "),LEFT(D144,6),D144),"")</f>
        <v>500283</v>
      </c>
      <c r="I144" s="36" t="str">
        <f aca="false">IF(G144=1,IF(COUNTIF('Forecast Detail'!$C$8:$C$400,H144)=0,"UNMAPPED","OK"),"")</f>
        <v>OK</v>
      </c>
    </row>
    <row r="145" customFormat="false" ht="15" hidden="false" customHeight="false" outlineLevel="0" collapsed="false">
      <c r="A145" s="6" t="s">
        <v>383</v>
      </c>
      <c r="B145" s="11" t="n">
        <v>10000</v>
      </c>
      <c r="C145" s="11" t="n">
        <f aca="false">B145</f>
        <v>10000</v>
      </c>
      <c r="D145" s="36" t="str">
        <f aca="false">TRIM(A145)</f>
        <v>500311 Graduation Activities</v>
      </c>
      <c r="E145" s="36" t="str">
        <f aca="false">IF(D145="Revenue","Revenue",IF(D145="Cost of Goods Sold","COGS",IF(D145="Expenditures","Expense",IF(D145="Other Revenue","Other Revenue",IF(D145="Other Expenditures","Other Expense",E144)))))</f>
        <v>Expense</v>
      </c>
      <c r="F145" s="36" t="str">
        <f aca="false">IF(OR(D145="Revenue",D145="Cost of Goods Sold",D145="Expenditures",D145="Other Revenue",D145="Other Expenditures"),E145,IF(AND(LEN(D145)&gt;2,MID(D145,2,1)=" ",ISNUMBER(VALUE(LEFT(D145,1)))),D145,F144))</f>
        <v>2 Instructional Expenses</v>
      </c>
      <c r="G145" s="36" t="n">
        <f aca="false">IF(AND(D145&lt;&gt;"",ISNUMBER(B145),LEFT(D145,9)&lt;&gt;"Total for",D145&lt;&gt;"Gross Profit",D145&lt;&gt;"Net Operating Revenue",D145&lt;&gt;"Net Other Revenue",D145&lt;&gt;"Net Revenue"),1,0)</f>
        <v>1</v>
      </c>
      <c r="H145" s="36" t="str">
        <f aca="false">IF(G145=1,IF(AND(LEN(D145)&gt;7,ISNUMBER(VALUE(LEFT(D145,6))),MID(D145,7,1)=" "),LEFT(D145,6),D145),"")</f>
        <v>500311</v>
      </c>
      <c r="I145" s="36" t="str">
        <f aca="false">IF(G145=1,IF(COUNTIF('Forecast Detail'!$C$8:$C$400,H145)=0,"UNMAPPED","OK"),"")</f>
        <v>OK</v>
      </c>
    </row>
    <row r="146" customFormat="false" ht="15" hidden="false" customHeight="false" outlineLevel="0" collapsed="false">
      <c r="A146" s="6" t="s">
        <v>385</v>
      </c>
      <c r="B146" s="11" t="n">
        <v>0</v>
      </c>
      <c r="C146" s="11" t="n">
        <f aca="false">B146</f>
        <v>0</v>
      </c>
      <c r="D146" s="36" t="str">
        <f aca="false">TRIM(A146)</f>
        <v>500313 Junior Class Prom</v>
      </c>
      <c r="E146" s="36" t="str">
        <f aca="false">IF(D146="Revenue","Revenue",IF(D146="Cost of Goods Sold","COGS",IF(D146="Expenditures","Expense",IF(D146="Other Revenue","Other Revenue",IF(D146="Other Expenditures","Other Expense",E145)))))</f>
        <v>Expense</v>
      </c>
      <c r="F146" s="36" t="str">
        <f aca="false">IF(OR(D146="Revenue",D146="Cost of Goods Sold",D146="Expenditures",D146="Other Revenue",D146="Other Expenditures"),E146,IF(AND(LEN(D146)&gt;2,MID(D146,2,1)=" ",ISNUMBER(VALUE(LEFT(D146,1)))),D146,F145))</f>
        <v>2 Instructional Expenses</v>
      </c>
      <c r="G146" s="36" t="n">
        <f aca="false">IF(AND(D146&lt;&gt;"",ISNUMBER(B146),LEFT(D146,9)&lt;&gt;"Total for",D146&lt;&gt;"Gross Profit",D146&lt;&gt;"Net Operating Revenue",D146&lt;&gt;"Net Other Revenue",D146&lt;&gt;"Net Revenue"),1,0)</f>
        <v>1</v>
      </c>
      <c r="H146" s="36" t="str">
        <f aca="false">IF(G146=1,IF(AND(LEN(D146)&gt;7,ISNUMBER(VALUE(LEFT(D146,6))),MID(D146,7,1)=" "),LEFT(D146,6),D146),"")</f>
        <v>500313</v>
      </c>
      <c r="I146" s="36" t="str">
        <f aca="false">IF(G146=1,IF(COUNTIF('Forecast Detail'!$C$8:$C$400,H146)=0,"UNMAPPED","OK"),"")</f>
        <v>OK</v>
      </c>
    </row>
    <row r="147" customFormat="false" ht="15" hidden="false" customHeight="false" outlineLevel="0" collapsed="false">
      <c r="A147" s="6" t="s">
        <v>387</v>
      </c>
      <c r="B147" s="11" t="n">
        <v>0</v>
      </c>
      <c r="C147" s="11" t="n">
        <f aca="false">B147</f>
        <v>0</v>
      </c>
      <c r="D147" s="36" t="str">
        <f aca="false">TRIM(A147)</f>
        <v>500318 Purchases Student Activities Billable</v>
      </c>
      <c r="E147" s="36" t="str">
        <f aca="false">IF(D147="Revenue","Revenue",IF(D147="Cost of Goods Sold","COGS",IF(D147="Expenditures","Expense",IF(D147="Other Revenue","Other Revenue",IF(D147="Other Expenditures","Other Expense",E146)))))</f>
        <v>Expense</v>
      </c>
      <c r="F147" s="36" t="str">
        <f aca="false">IF(OR(D147="Revenue",D147="Cost of Goods Sold",D147="Expenditures",D147="Other Revenue",D147="Other Expenditures"),E147,IF(AND(LEN(D147)&gt;2,MID(D147,2,1)=" ",ISNUMBER(VALUE(LEFT(D147,1)))),D147,F146))</f>
        <v>2 Instructional Expenses</v>
      </c>
      <c r="G147" s="36" t="n">
        <f aca="false">IF(AND(D147&lt;&gt;"",ISNUMBER(B147),LEFT(D147,9)&lt;&gt;"Total for",D147&lt;&gt;"Gross Profit",D147&lt;&gt;"Net Operating Revenue",D147&lt;&gt;"Net Other Revenue",D147&lt;&gt;"Net Revenue"),1,0)</f>
        <v>1</v>
      </c>
      <c r="H147" s="36" t="str">
        <f aca="false">IF(G147=1,IF(AND(LEN(D147)&gt;7,ISNUMBER(VALUE(LEFT(D147,6))),MID(D147,7,1)=" "),LEFT(D147,6),D147),"")</f>
        <v>500318</v>
      </c>
      <c r="I147" s="36" t="str">
        <f aca="false">IF(G147=1,IF(COUNTIF('Forecast Detail'!$C$8:$C$400,H147)=0,"UNMAPPED","OK"),"")</f>
        <v>OK</v>
      </c>
    </row>
    <row r="148" customFormat="false" ht="15" hidden="false" customHeight="false" outlineLevel="0" collapsed="false">
      <c r="A148" s="6" t="s">
        <v>389</v>
      </c>
      <c r="B148" s="11" t="n">
        <v>0</v>
      </c>
      <c r="C148" s="11" t="n">
        <f aca="false">B148</f>
        <v>0</v>
      </c>
      <c r="D148" s="36" t="str">
        <f aca="false">TRIM(A148)</f>
        <v>500340 Senior Class Expenses</v>
      </c>
      <c r="E148" s="36" t="str">
        <f aca="false">IF(D148="Revenue","Revenue",IF(D148="Cost of Goods Sold","COGS",IF(D148="Expenditures","Expense",IF(D148="Other Revenue","Other Revenue",IF(D148="Other Expenditures","Other Expense",E147)))))</f>
        <v>Expense</v>
      </c>
      <c r="F148" s="36" t="str">
        <f aca="false">IF(OR(D148="Revenue",D148="Cost of Goods Sold",D148="Expenditures",D148="Other Revenue",D148="Other Expenditures"),E148,IF(AND(LEN(D148)&gt;2,MID(D148,2,1)=" ",ISNUMBER(VALUE(LEFT(D148,1)))),D148,F147))</f>
        <v>2 Instructional Expenses</v>
      </c>
      <c r="G148" s="36" t="n">
        <f aca="false">IF(AND(D148&lt;&gt;"",ISNUMBER(B148),LEFT(D148,9)&lt;&gt;"Total for",D148&lt;&gt;"Gross Profit",D148&lt;&gt;"Net Operating Revenue",D148&lt;&gt;"Net Other Revenue",D148&lt;&gt;"Net Revenue"),1,0)</f>
        <v>1</v>
      </c>
      <c r="H148" s="36" t="str">
        <f aca="false">IF(G148=1,IF(AND(LEN(D148)&gt;7,ISNUMBER(VALUE(LEFT(D148,6))),MID(D148,7,1)=" "),LEFT(D148,6),D148),"")</f>
        <v>500340</v>
      </c>
      <c r="I148" s="36" t="str">
        <f aca="false">IF(G148=1,IF(COUNTIF('Forecast Detail'!$C$8:$C$400,H148)=0,"UNMAPPED","OK"),"")</f>
        <v>OK</v>
      </c>
    </row>
    <row r="149" customFormat="false" ht="15" hidden="false" customHeight="false" outlineLevel="0" collapsed="false">
      <c r="A149" s="6" t="s">
        <v>391</v>
      </c>
      <c r="B149" s="11" t="n">
        <v>0</v>
      </c>
      <c r="C149" s="11" t="n">
        <f aca="false">B149</f>
        <v>0</v>
      </c>
      <c r="D149" s="36" t="str">
        <f aca="false">TRIM(A149)</f>
        <v>500428 Wildcat Carnival</v>
      </c>
      <c r="E149" s="36" t="str">
        <f aca="false">IF(D149="Revenue","Revenue",IF(D149="Cost of Goods Sold","COGS",IF(D149="Expenditures","Expense",IF(D149="Other Revenue","Other Revenue",IF(D149="Other Expenditures","Other Expense",E148)))))</f>
        <v>Expense</v>
      </c>
      <c r="F149" s="36" t="str">
        <f aca="false">IF(OR(D149="Revenue",D149="Cost of Goods Sold",D149="Expenditures",D149="Other Revenue",D149="Other Expenditures"),E149,IF(AND(LEN(D149)&gt;2,MID(D149,2,1)=" ",ISNUMBER(VALUE(LEFT(D149,1)))),D149,F148))</f>
        <v>2 Instructional Expenses</v>
      </c>
      <c r="G149" s="36" t="n">
        <f aca="false">IF(AND(D149&lt;&gt;"",ISNUMBER(B149),LEFT(D149,9)&lt;&gt;"Total for",D149&lt;&gt;"Gross Profit",D149&lt;&gt;"Net Operating Revenue",D149&lt;&gt;"Net Other Revenue",D149&lt;&gt;"Net Revenue"),1,0)</f>
        <v>1</v>
      </c>
      <c r="H149" s="36" t="str">
        <f aca="false">IF(G149=1,IF(AND(LEN(D149)&gt;7,ISNUMBER(VALUE(LEFT(D149,6))),MID(D149,7,1)=" "),LEFT(D149,6),D149),"")</f>
        <v>500428</v>
      </c>
      <c r="I149" s="36" t="str">
        <f aca="false">IF(G149=1,IF(COUNTIF('Forecast Detail'!$C$8:$C$400,H149)=0,"UNMAPPED","OK"),"")</f>
        <v>OK</v>
      </c>
    </row>
    <row r="150" customFormat="false" ht="15" hidden="false" customHeight="false" outlineLevel="0" collapsed="false">
      <c r="A150" s="6" t="s">
        <v>393</v>
      </c>
      <c r="B150" s="11" t="n">
        <v>0</v>
      </c>
      <c r="C150" s="11" t="n">
        <f aca="false">B150</f>
        <v>0</v>
      </c>
      <c r="D150" s="36" t="str">
        <f aca="false">TRIM(A150)</f>
        <v>500434 MS/US Field Trips Billable</v>
      </c>
      <c r="E150" s="36" t="str">
        <f aca="false">IF(D150="Revenue","Revenue",IF(D150="Cost of Goods Sold","COGS",IF(D150="Expenditures","Expense",IF(D150="Other Revenue","Other Revenue",IF(D150="Other Expenditures","Other Expense",E149)))))</f>
        <v>Expense</v>
      </c>
      <c r="F150" s="36" t="str">
        <f aca="false">IF(OR(D150="Revenue",D150="Cost of Goods Sold",D150="Expenditures",D150="Other Revenue",D150="Other Expenditures"),E150,IF(AND(LEN(D150)&gt;2,MID(D150,2,1)=" ",ISNUMBER(VALUE(LEFT(D150,1)))),D150,F149))</f>
        <v>2 Instructional Expenses</v>
      </c>
      <c r="G150" s="36" t="n">
        <f aca="false">IF(AND(D150&lt;&gt;"",ISNUMBER(B150),LEFT(D150,9)&lt;&gt;"Total for",D150&lt;&gt;"Gross Profit",D150&lt;&gt;"Net Operating Revenue",D150&lt;&gt;"Net Other Revenue",D150&lt;&gt;"Net Revenue"),1,0)</f>
        <v>1</v>
      </c>
      <c r="H150" s="36" t="str">
        <f aca="false">IF(G150=1,IF(AND(LEN(D150)&gt;7,ISNUMBER(VALUE(LEFT(D150,6))),MID(D150,7,1)=" "),LEFT(D150,6),D150),"")</f>
        <v>500434</v>
      </c>
      <c r="I150" s="36" t="str">
        <f aca="false">IF(G150=1,IF(COUNTIF('Forecast Detail'!$C$8:$C$400,H150)=0,"UNMAPPED","OK"),"")</f>
        <v>OK</v>
      </c>
    </row>
    <row r="151" customFormat="false" ht="15" hidden="false" customHeight="false" outlineLevel="0" collapsed="false">
      <c r="A151" s="6" t="s">
        <v>618</v>
      </c>
      <c r="B151" s="11" t="n">
        <f aca="false">B143+B144+B145+B146+B147+B148+B149+B150</f>
        <v>15000</v>
      </c>
      <c r="C151" s="11" t="n">
        <f aca="false">B151</f>
        <v>15000</v>
      </c>
      <c r="D151" s="36" t="str">
        <f aca="false">TRIM(A151)</f>
        <v>Total for Student Activities Expenses</v>
      </c>
      <c r="E151" s="36" t="str">
        <f aca="false">IF(D151="Revenue","Revenue",IF(D151="Cost of Goods Sold","COGS",IF(D151="Expenditures","Expense",IF(D151="Other Revenue","Other Revenue",IF(D151="Other Expenditures","Other Expense",E150)))))</f>
        <v>Expense</v>
      </c>
      <c r="F151" s="36" t="str">
        <f aca="false">IF(OR(D151="Revenue",D151="Cost of Goods Sold",D151="Expenditures",D151="Other Revenue",D151="Other Expenditures"),E151,IF(AND(LEN(D151)&gt;2,MID(D151,2,1)=" ",ISNUMBER(VALUE(LEFT(D151,1)))),D151,F150))</f>
        <v>2 Instructional Expenses</v>
      </c>
      <c r="G151" s="36" t="n">
        <f aca="false">IF(AND(D151&lt;&gt;"",ISNUMBER(B151),LEFT(D151,9)&lt;&gt;"Total for",D151&lt;&gt;"Gross Profit",D151&lt;&gt;"Net Operating Revenue",D151&lt;&gt;"Net Other Revenue",D151&lt;&gt;"Net Revenue"),1,0)</f>
        <v>0</v>
      </c>
      <c r="H151" s="36" t="str">
        <f aca="false">IF(G151=1,IF(AND(LEN(D151)&gt;7,ISNUMBER(VALUE(LEFT(D151,6))),MID(D151,7,1)=" "),LEFT(D151,6),D151),"")</f>
        <v/>
      </c>
      <c r="I151" s="36" t="str">
        <f aca="false">IF(G151=1,IF(COUNTIF('Forecast Detail'!$C$8:$C$400,H151)=0,"UNMAPPED","OK"),"")</f>
        <v/>
      </c>
    </row>
    <row r="152" customFormat="false" ht="15" hidden="false" customHeight="false" outlineLevel="0" collapsed="false">
      <c r="A152" s="6" t="s">
        <v>619</v>
      </c>
      <c r="B152" s="11" t="n">
        <f aca="false">B100+B101+B107+B108+B109+B110+B111+B112+B117+B120+B142+B151</f>
        <v>252750</v>
      </c>
      <c r="C152" s="11" t="n">
        <f aca="false">B152</f>
        <v>252750</v>
      </c>
      <c r="D152" s="36" t="str">
        <f aca="false">TRIM(A152)</f>
        <v>Total for 2 Instructional Expenses</v>
      </c>
      <c r="E152" s="36" t="str">
        <f aca="false">IF(D152="Revenue","Revenue",IF(D152="Cost of Goods Sold","COGS",IF(D152="Expenditures","Expense",IF(D152="Other Revenue","Other Revenue",IF(D152="Other Expenditures","Other Expense",E151)))))</f>
        <v>Expense</v>
      </c>
      <c r="F152" s="36" t="str">
        <f aca="false">IF(OR(D152="Revenue",D152="Cost of Goods Sold",D152="Expenditures",D152="Other Revenue",D152="Other Expenditures"),E152,IF(AND(LEN(D152)&gt;2,MID(D152,2,1)=" ",ISNUMBER(VALUE(LEFT(D152,1)))),D152,F151))</f>
        <v>2 Instructional Expenses</v>
      </c>
      <c r="G152" s="36" t="n">
        <f aca="false">IF(AND(D152&lt;&gt;"",ISNUMBER(B152),LEFT(D152,9)&lt;&gt;"Total for",D152&lt;&gt;"Gross Profit",D152&lt;&gt;"Net Operating Revenue",D152&lt;&gt;"Net Other Revenue",D152&lt;&gt;"Net Revenue"),1,0)</f>
        <v>0</v>
      </c>
      <c r="H152" s="36" t="str">
        <f aca="false">IF(G152=1,IF(AND(LEN(D152)&gt;7,ISNUMBER(VALUE(LEFT(D152,6))),MID(D152,7,1)=" "),LEFT(D152,6),D152),"")</f>
        <v/>
      </c>
      <c r="I152" s="36" t="str">
        <f aca="false">IF(G152=1,IF(COUNTIF('Forecast Detail'!$C$8:$C$400,H152)=0,"UNMAPPED","OK"),"")</f>
        <v/>
      </c>
    </row>
    <row r="153" customFormat="false" ht="15" hidden="false" customHeight="false" outlineLevel="0" collapsed="false">
      <c r="A153" s="6" t="s">
        <v>16</v>
      </c>
      <c r="D153" s="36" t="str">
        <f aca="false">TRIM(A153)</f>
        <v>3 Operations</v>
      </c>
      <c r="E153" s="36" t="str">
        <f aca="false">IF(D153="Revenue","Revenue",IF(D153="Cost of Goods Sold","COGS",IF(D153="Expenditures","Expense",IF(D153="Other Revenue","Other Revenue",IF(D153="Other Expenditures","Other Expense",E152)))))</f>
        <v>Expense</v>
      </c>
      <c r="F153" s="36" t="str">
        <f aca="false">IF(OR(D153="Revenue",D153="Cost of Goods Sold",D153="Expenditures",D153="Other Revenue",D153="Other Expenditures"),E153,IF(AND(LEN(D153)&gt;2,MID(D153,2,1)=" ",ISNUMBER(VALUE(LEFT(D153,1)))),D153,F152))</f>
        <v>3 Operations</v>
      </c>
      <c r="G153" s="36" t="n">
        <f aca="false">IF(AND(D153&lt;&gt;"",ISNUMBER(B153),LEFT(D153,9)&lt;&gt;"Total for",D153&lt;&gt;"Gross Profit",D153&lt;&gt;"Net Operating Revenue",D153&lt;&gt;"Net Other Revenue",D153&lt;&gt;"Net Revenue"),1,0)</f>
        <v>0</v>
      </c>
      <c r="H153" s="36" t="str">
        <f aca="false">IF(G153=1,IF(AND(LEN(D153)&gt;7,ISNUMBER(VALUE(LEFT(D153,6))),MID(D153,7,1)=" "),LEFT(D153,6),D153),"")</f>
        <v/>
      </c>
      <c r="I153" s="36" t="str">
        <f aca="false">IF(G153=1,IF(COUNTIF('Forecast Detail'!$C$8:$C$400,H153)=0,"UNMAPPED","OK"),"")</f>
        <v/>
      </c>
    </row>
    <row r="154" customFormat="false" ht="15" hidden="false" customHeight="false" outlineLevel="0" collapsed="false">
      <c r="A154" s="6" t="s">
        <v>394</v>
      </c>
      <c r="B154" s="11" t="n">
        <v>45000</v>
      </c>
      <c r="C154" s="11" t="n">
        <f aca="false">B154</f>
        <v>45000</v>
      </c>
      <c r="D154" s="36" t="str">
        <f aca="false">TRIM(A154)</f>
        <v>Business Office Expenses</v>
      </c>
      <c r="E154" s="36" t="str">
        <f aca="false">IF(D154="Revenue","Revenue",IF(D154="Cost of Goods Sold","COGS",IF(D154="Expenditures","Expense",IF(D154="Other Revenue","Other Revenue",IF(D154="Other Expenditures","Other Expense",E153)))))</f>
        <v>Expense</v>
      </c>
      <c r="F154" s="36" t="str">
        <f aca="false">IF(OR(D154="Revenue",D154="Cost of Goods Sold",D154="Expenditures",D154="Other Revenue",D154="Other Expenditures"),E154,IF(AND(LEN(D154)&gt;2,MID(D154,2,1)=" ",ISNUMBER(VALUE(LEFT(D154,1)))),D154,F153))</f>
        <v>3 Operations</v>
      </c>
      <c r="G154" s="36" t="n">
        <f aca="false">IF(AND(D154&lt;&gt;"",ISNUMBER(B154),LEFT(D154,9)&lt;&gt;"Total for",D154&lt;&gt;"Gross Profit",D154&lt;&gt;"Net Operating Revenue",D154&lt;&gt;"Net Other Revenue",D154&lt;&gt;"Net Revenue"),1,0)</f>
        <v>1</v>
      </c>
      <c r="H154" s="36" t="str">
        <f aca="false">IF(G154=1,IF(AND(LEN(D154)&gt;7,ISNUMBER(VALUE(LEFT(D154,6))),MID(D154,7,1)=" "),LEFT(D154,6),D154),"")</f>
        <v>Business Office Expenses</v>
      </c>
      <c r="I154" s="36" t="str">
        <f aca="false">IF(G154=1,IF(COUNTIF('Forecast Detail'!$C$8:$C$400,H154)=0,"UNMAPPED","OK"),"")</f>
        <v>OK</v>
      </c>
    </row>
    <row r="155" customFormat="false" ht="15" hidden="false" customHeight="false" outlineLevel="0" collapsed="false">
      <c r="A155" s="6" t="s">
        <v>396</v>
      </c>
      <c r="B155" s="11" t="n">
        <v>0</v>
      </c>
      <c r="C155" s="11" t="n">
        <f aca="false">B155</f>
        <v>0</v>
      </c>
      <c r="D155" s="36" t="str">
        <f aca="false">TRIM(A155)</f>
        <v>500010 Postage Expense</v>
      </c>
      <c r="E155" s="36" t="str">
        <f aca="false">IF(D155="Revenue","Revenue",IF(D155="Cost of Goods Sold","COGS",IF(D155="Expenditures","Expense",IF(D155="Other Revenue","Other Revenue",IF(D155="Other Expenditures","Other Expense",E154)))))</f>
        <v>Expense</v>
      </c>
      <c r="F155" s="36" t="str">
        <f aca="false">IF(OR(D155="Revenue",D155="Cost of Goods Sold",D155="Expenditures",D155="Other Revenue",D155="Other Expenditures"),E155,IF(AND(LEN(D155)&gt;2,MID(D155,2,1)=" ",ISNUMBER(VALUE(LEFT(D155,1)))),D155,F154))</f>
        <v>3 Operations</v>
      </c>
      <c r="G155" s="36" t="n">
        <f aca="false">IF(AND(D155&lt;&gt;"",ISNUMBER(B155),LEFT(D155,9)&lt;&gt;"Total for",D155&lt;&gt;"Gross Profit",D155&lt;&gt;"Net Operating Revenue",D155&lt;&gt;"Net Other Revenue",D155&lt;&gt;"Net Revenue"),1,0)</f>
        <v>1</v>
      </c>
      <c r="H155" s="36" t="str">
        <f aca="false">IF(G155=1,IF(AND(LEN(D155)&gt;7,ISNUMBER(VALUE(LEFT(D155,6))),MID(D155,7,1)=" "),LEFT(D155,6),D155),"")</f>
        <v>500010</v>
      </c>
      <c r="I155" s="36" t="str">
        <f aca="false">IF(G155=1,IF(COUNTIF('Forecast Detail'!$C$8:$C$400,H155)=0,"UNMAPPED","OK"),"")</f>
        <v>OK</v>
      </c>
    </row>
    <row r="156" customFormat="false" ht="15" hidden="false" customHeight="false" outlineLevel="0" collapsed="false">
      <c r="A156" s="6" t="s">
        <v>398</v>
      </c>
      <c r="B156" s="11" t="n">
        <v>0</v>
      </c>
      <c r="C156" s="11" t="n">
        <f aca="false">B156</f>
        <v>0</v>
      </c>
      <c r="D156" s="36" t="str">
        <f aca="false">TRIM(A156)</f>
        <v>500241 FACTS Enrollment Fee Expense</v>
      </c>
      <c r="E156" s="36" t="str">
        <f aca="false">IF(D156="Revenue","Revenue",IF(D156="Cost of Goods Sold","COGS",IF(D156="Expenditures","Expense",IF(D156="Other Revenue","Other Revenue",IF(D156="Other Expenditures","Other Expense",E155)))))</f>
        <v>Expense</v>
      </c>
      <c r="F156" s="36" t="str">
        <f aca="false">IF(OR(D156="Revenue",D156="Cost of Goods Sold",D156="Expenditures",D156="Other Revenue",D156="Other Expenditures"),E156,IF(AND(LEN(D156)&gt;2,MID(D156,2,1)=" ",ISNUMBER(VALUE(LEFT(D156,1)))),D156,F155))</f>
        <v>3 Operations</v>
      </c>
      <c r="G156" s="36" t="n">
        <f aca="false">IF(AND(D156&lt;&gt;"",ISNUMBER(B156),LEFT(D156,9)&lt;&gt;"Total for",D156&lt;&gt;"Gross Profit",D156&lt;&gt;"Net Operating Revenue",D156&lt;&gt;"Net Other Revenue",D156&lt;&gt;"Net Revenue"),1,0)</f>
        <v>1</v>
      </c>
      <c r="H156" s="36" t="str">
        <f aca="false">IF(G156=1,IF(AND(LEN(D156)&gt;7,ISNUMBER(VALUE(LEFT(D156,6))),MID(D156,7,1)=" "),LEFT(D156,6),D156),"")</f>
        <v>500241</v>
      </c>
      <c r="I156" s="36" t="str">
        <f aca="false">IF(G156=1,IF(COUNTIF('Forecast Detail'!$C$8:$C$400,H156)=0,"UNMAPPED","OK"),"")</f>
        <v>OK</v>
      </c>
    </row>
    <row r="157" customFormat="false" ht="15" hidden="false" customHeight="false" outlineLevel="0" collapsed="false">
      <c r="A157" s="6" t="s">
        <v>400</v>
      </c>
      <c r="B157" s="11" t="n">
        <v>7500</v>
      </c>
      <c r="C157" s="11" t="n">
        <f aca="false">B157</f>
        <v>7500</v>
      </c>
      <c r="D157" s="36" t="str">
        <f aca="false">TRIM(A157)</f>
        <v>500242 FACTS Hosting Fee</v>
      </c>
      <c r="E157" s="36" t="str">
        <f aca="false">IF(D157="Revenue","Revenue",IF(D157="Cost of Goods Sold","COGS",IF(D157="Expenditures","Expense",IF(D157="Other Revenue","Other Revenue",IF(D157="Other Expenditures","Other Expense",E156)))))</f>
        <v>Expense</v>
      </c>
      <c r="F157" s="36" t="str">
        <f aca="false">IF(OR(D157="Revenue",D157="Cost of Goods Sold",D157="Expenditures",D157="Other Revenue",D157="Other Expenditures"),E157,IF(AND(LEN(D157)&gt;2,MID(D157,2,1)=" ",ISNUMBER(VALUE(LEFT(D157,1)))),D157,F156))</f>
        <v>3 Operations</v>
      </c>
      <c r="G157" s="36" t="n">
        <f aca="false">IF(AND(D157&lt;&gt;"",ISNUMBER(B157),LEFT(D157,9)&lt;&gt;"Total for",D157&lt;&gt;"Gross Profit",D157&lt;&gt;"Net Operating Revenue",D157&lt;&gt;"Net Other Revenue",D157&lt;&gt;"Net Revenue"),1,0)</f>
        <v>1</v>
      </c>
      <c r="H157" s="36" t="str">
        <f aca="false">IF(G157=1,IF(AND(LEN(D157)&gt;7,ISNUMBER(VALUE(LEFT(D157,6))),MID(D157,7,1)=" "),LEFT(D157,6),D157),"")</f>
        <v>500242</v>
      </c>
      <c r="I157" s="36" t="str">
        <f aca="false">IF(G157=1,IF(COUNTIF('Forecast Detail'!$C$8:$C$400,H157)=0,"UNMAPPED","OK"),"")</f>
        <v>OK</v>
      </c>
    </row>
    <row r="158" customFormat="false" ht="15" hidden="false" customHeight="false" outlineLevel="0" collapsed="false">
      <c r="A158" s="6" t="s">
        <v>402</v>
      </c>
      <c r="B158" s="11" t="n">
        <v>0</v>
      </c>
      <c r="C158" s="11" t="n">
        <f aca="false">B158</f>
        <v>0</v>
      </c>
      <c r="D158" s="36" t="str">
        <f aca="false">TRIM(A158)</f>
        <v>500243 FACTS Implementation Fee</v>
      </c>
      <c r="E158" s="36" t="str">
        <f aca="false">IF(D158="Revenue","Revenue",IF(D158="Cost of Goods Sold","COGS",IF(D158="Expenditures","Expense",IF(D158="Other Revenue","Other Revenue",IF(D158="Other Expenditures","Other Expense",E157)))))</f>
        <v>Expense</v>
      </c>
      <c r="F158" s="36" t="str">
        <f aca="false">IF(OR(D158="Revenue",D158="Cost of Goods Sold",D158="Expenditures",D158="Other Revenue",D158="Other Expenditures"),E158,IF(AND(LEN(D158)&gt;2,MID(D158,2,1)=" ",ISNUMBER(VALUE(LEFT(D158,1)))),D158,F157))</f>
        <v>3 Operations</v>
      </c>
      <c r="G158" s="36" t="n">
        <f aca="false">IF(AND(D158&lt;&gt;"",ISNUMBER(B158),LEFT(D158,9)&lt;&gt;"Total for",D158&lt;&gt;"Gross Profit",D158&lt;&gt;"Net Operating Revenue",D158&lt;&gt;"Net Other Revenue",D158&lt;&gt;"Net Revenue"),1,0)</f>
        <v>1</v>
      </c>
      <c r="H158" s="36" t="str">
        <f aca="false">IF(G158=1,IF(AND(LEN(D158)&gt;7,ISNUMBER(VALUE(LEFT(D158,6))),MID(D158,7,1)=" "),LEFT(D158,6),D158),"")</f>
        <v>500243</v>
      </c>
      <c r="I158" s="36" t="str">
        <f aca="false">IF(G158=1,IF(COUNTIF('Forecast Detail'!$C$8:$C$400,H158)=0,"UNMAPPED","OK"),"")</f>
        <v>OK</v>
      </c>
    </row>
    <row r="159" customFormat="false" ht="15" hidden="false" customHeight="false" outlineLevel="0" collapsed="false">
      <c r="A159" s="6" t="s">
        <v>404</v>
      </c>
      <c r="B159" s="11" t="n">
        <v>0</v>
      </c>
      <c r="C159" s="11" t="n">
        <f aca="false">B159</f>
        <v>0</v>
      </c>
      <c r="D159" s="36" t="str">
        <f aca="false">TRIM(A159)</f>
        <v>500244 FACTS Returned Payment Fee</v>
      </c>
      <c r="E159" s="36" t="str">
        <f aca="false">IF(D159="Revenue","Revenue",IF(D159="Cost of Goods Sold","COGS",IF(D159="Expenditures","Expense",IF(D159="Other Revenue","Other Revenue",IF(D159="Other Expenditures","Other Expense",E158)))))</f>
        <v>Expense</v>
      </c>
      <c r="F159" s="36" t="str">
        <f aca="false">IF(OR(D159="Revenue",D159="Cost of Goods Sold",D159="Expenditures",D159="Other Revenue",D159="Other Expenditures"),E159,IF(AND(LEN(D159)&gt;2,MID(D159,2,1)=" ",ISNUMBER(VALUE(LEFT(D159,1)))),D159,F158))</f>
        <v>3 Operations</v>
      </c>
      <c r="G159" s="36" t="n">
        <f aca="false">IF(AND(D159&lt;&gt;"",ISNUMBER(B159),LEFT(D159,9)&lt;&gt;"Total for",D159&lt;&gt;"Gross Profit",D159&lt;&gt;"Net Operating Revenue",D159&lt;&gt;"Net Other Revenue",D159&lt;&gt;"Net Revenue"),1,0)</f>
        <v>1</v>
      </c>
      <c r="H159" s="36" t="str">
        <f aca="false">IF(G159=1,IF(AND(LEN(D159)&gt;7,ISNUMBER(VALUE(LEFT(D159,6))),MID(D159,7,1)=" "),LEFT(D159,6),D159),"")</f>
        <v>500244</v>
      </c>
      <c r="I159" s="36" t="str">
        <f aca="false">IF(G159=1,IF(COUNTIF('Forecast Detail'!$C$8:$C$400,H159)=0,"UNMAPPED","OK"),"")</f>
        <v>OK</v>
      </c>
    </row>
    <row r="160" customFormat="false" ht="15" hidden="false" customHeight="false" outlineLevel="0" collapsed="false">
      <c r="A160" s="6" t="s">
        <v>406</v>
      </c>
      <c r="B160" s="11" t="n">
        <v>0</v>
      </c>
      <c r="C160" s="11" t="n">
        <f aca="false">B160</f>
        <v>0</v>
      </c>
      <c r="D160" s="36" t="str">
        <f aca="false">TRIM(A160)</f>
        <v>500245 FACTS Online Enrollment Fee</v>
      </c>
      <c r="E160" s="36" t="str">
        <f aca="false">IF(D160="Revenue","Revenue",IF(D160="Cost of Goods Sold","COGS",IF(D160="Expenditures","Expense",IF(D160="Other Revenue","Other Revenue",IF(D160="Other Expenditures","Other Expense",E159)))))</f>
        <v>Expense</v>
      </c>
      <c r="F160" s="36" t="str">
        <f aca="false">IF(OR(D160="Revenue",D160="Cost of Goods Sold",D160="Expenditures",D160="Other Revenue",D160="Other Expenditures"),E160,IF(AND(LEN(D160)&gt;2,MID(D160,2,1)=" ",ISNUMBER(VALUE(LEFT(D160,1)))),D160,F159))</f>
        <v>3 Operations</v>
      </c>
      <c r="G160" s="36" t="n">
        <f aca="false">IF(AND(D160&lt;&gt;"",ISNUMBER(B160),LEFT(D160,9)&lt;&gt;"Total for",D160&lt;&gt;"Gross Profit",D160&lt;&gt;"Net Operating Revenue",D160&lt;&gt;"Net Other Revenue",D160&lt;&gt;"Net Revenue"),1,0)</f>
        <v>1</v>
      </c>
      <c r="H160" s="36" t="str">
        <f aca="false">IF(G160=1,IF(AND(LEN(D160)&gt;7,ISNUMBER(VALUE(LEFT(D160,6))),MID(D160,7,1)=" "),LEFT(D160,6),D160),"")</f>
        <v>500245</v>
      </c>
      <c r="I160" s="36" t="str">
        <f aca="false">IF(G160=1,IF(COUNTIF('Forecast Detail'!$C$8:$C$400,H160)=0,"UNMAPPED","OK"),"")</f>
        <v>OK</v>
      </c>
    </row>
    <row r="161" customFormat="false" ht="15" hidden="false" customHeight="false" outlineLevel="0" collapsed="false">
      <c r="A161" s="6" t="s">
        <v>408</v>
      </c>
      <c r="B161" s="11" t="n">
        <v>0</v>
      </c>
      <c r="C161" s="11" t="n">
        <f aca="false">B161</f>
        <v>0</v>
      </c>
      <c r="D161" s="36" t="str">
        <f aca="false">TRIM(A161)</f>
        <v>500246 FACTS Application Fee</v>
      </c>
      <c r="E161" s="36" t="str">
        <f aca="false">IF(D161="Revenue","Revenue",IF(D161="Cost of Goods Sold","COGS",IF(D161="Expenditures","Expense",IF(D161="Other Revenue","Other Revenue",IF(D161="Other Expenditures","Other Expense",E160)))))</f>
        <v>Expense</v>
      </c>
      <c r="F161" s="36" t="str">
        <f aca="false">IF(OR(D161="Revenue",D161="Cost of Goods Sold",D161="Expenditures",D161="Other Revenue",D161="Other Expenditures"),E161,IF(AND(LEN(D161)&gt;2,MID(D161,2,1)=" ",ISNUMBER(VALUE(LEFT(D161,1)))),D161,F160))</f>
        <v>3 Operations</v>
      </c>
      <c r="G161" s="36" t="n">
        <f aca="false">IF(AND(D161&lt;&gt;"",ISNUMBER(B161),LEFT(D161,9)&lt;&gt;"Total for",D161&lt;&gt;"Gross Profit",D161&lt;&gt;"Net Operating Revenue",D161&lt;&gt;"Net Other Revenue",D161&lt;&gt;"Net Revenue"),1,0)</f>
        <v>1</v>
      </c>
      <c r="H161" s="36" t="str">
        <f aca="false">IF(G161=1,IF(AND(LEN(D161)&gt;7,ISNUMBER(VALUE(LEFT(D161,6))),MID(D161,7,1)=" "),LEFT(D161,6),D161),"")</f>
        <v>500246</v>
      </c>
      <c r="I161" s="36" t="str">
        <f aca="false">IF(G161=1,IF(COUNTIF('Forecast Detail'!$C$8:$C$400,H161)=0,"UNMAPPED","OK"),"")</f>
        <v>OK</v>
      </c>
    </row>
    <row r="162" customFormat="false" ht="15" hidden="false" customHeight="false" outlineLevel="0" collapsed="false">
      <c r="A162" s="6" t="s">
        <v>410</v>
      </c>
      <c r="B162" s="11" t="n">
        <v>0</v>
      </c>
      <c r="C162" s="11" t="n">
        <f aca="false">B162</f>
        <v>0</v>
      </c>
      <c r="D162" s="36" t="str">
        <f aca="false">TRIM(A162)</f>
        <v>500247 FACTS Services Expense</v>
      </c>
      <c r="E162" s="36" t="str">
        <f aca="false">IF(D162="Revenue","Revenue",IF(D162="Cost of Goods Sold","COGS",IF(D162="Expenditures","Expense",IF(D162="Other Revenue","Other Revenue",IF(D162="Other Expenditures","Other Expense",E161)))))</f>
        <v>Expense</v>
      </c>
      <c r="F162" s="36" t="str">
        <f aca="false">IF(OR(D162="Revenue",D162="Cost of Goods Sold",D162="Expenditures",D162="Other Revenue",D162="Other Expenditures"),E162,IF(AND(LEN(D162)&gt;2,MID(D162,2,1)=" ",ISNUMBER(VALUE(LEFT(D162,1)))),D162,F161))</f>
        <v>3 Operations</v>
      </c>
      <c r="G162" s="36" t="n">
        <f aca="false">IF(AND(D162&lt;&gt;"",ISNUMBER(B162),LEFT(D162,9)&lt;&gt;"Total for",D162&lt;&gt;"Gross Profit",D162&lt;&gt;"Net Operating Revenue",D162&lt;&gt;"Net Other Revenue",D162&lt;&gt;"Net Revenue"),1,0)</f>
        <v>1</v>
      </c>
      <c r="H162" s="36" t="str">
        <f aca="false">IF(G162=1,IF(AND(LEN(D162)&gt;7,ISNUMBER(VALUE(LEFT(D162,6))),MID(D162,7,1)=" "),LEFT(D162,6),D162),"")</f>
        <v>500247</v>
      </c>
      <c r="I162" s="36" t="str">
        <f aca="false">IF(G162=1,IF(COUNTIF('Forecast Detail'!$C$8:$C$400,H162)=0,"UNMAPPED","OK"),"")</f>
        <v>OK</v>
      </c>
    </row>
    <row r="163" customFormat="false" ht="15" hidden="false" customHeight="false" outlineLevel="0" collapsed="false">
      <c r="A163" s="6" t="s">
        <v>412</v>
      </c>
      <c r="B163" s="11" t="n">
        <v>0</v>
      </c>
      <c r="C163" s="11" t="n">
        <f aca="false">B163</f>
        <v>0</v>
      </c>
      <c r="D163" s="36" t="str">
        <f aca="false">TRIM(A163)</f>
        <v>500248 Pre-Employment Expenses</v>
      </c>
      <c r="E163" s="36" t="str">
        <f aca="false">IF(D163="Revenue","Revenue",IF(D163="Cost of Goods Sold","COGS",IF(D163="Expenditures","Expense",IF(D163="Other Revenue","Other Revenue",IF(D163="Other Expenditures","Other Expense",E162)))))</f>
        <v>Expense</v>
      </c>
      <c r="F163" s="36" t="str">
        <f aca="false">IF(OR(D163="Revenue",D163="Cost of Goods Sold",D163="Expenditures",D163="Other Revenue",D163="Other Expenditures"),E163,IF(AND(LEN(D163)&gt;2,MID(D163,2,1)=" ",ISNUMBER(VALUE(LEFT(D163,1)))),D163,F162))</f>
        <v>3 Operations</v>
      </c>
      <c r="G163" s="36" t="n">
        <f aca="false">IF(AND(D163&lt;&gt;"",ISNUMBER(B163),LEFT(D163,9)&lt;&gt;"Total for",D163&lt;&gt;"Gross Profit",D163&lt;&gt;"Net Operating Revenue",D163&lt;&gt;"Net Other Revenue",D163&lt;&gt;"Net Revenue"),1,0)</f>
        <v>1</v>
      </c>
      <c r="H163" s="36" t="str">
        <f aca="false">IF(G163=1,IF(AND(LEN(D163)&gt;7,ISNUMBER(VALUE(LEFT(D163,6))),MID(D163,7,1)=" "),LEFT(D163,6),D163),"")</f>
        <v>500248</v>
      </c>
      <c r="I163" s="36" t="str">
        <f aca="false">IF(G163=1,IF(COUNTIF('Forecast Detail'!$C$8:$C$400,H163)=0,"UNMAPPED","OK"),"")</f>
        <v>OK</v>
      </c>
    </row>
    <row r="164" customFormat="false" ht="15" hidden="false" customHeight="false" outlineLevel="0" collapsed="false">
      <c r="A164" s="6" t="s">
        <v>414</v>
      </c>
      <c r="B164" s="11" t="n">
        <v>0</v>
      </c>
      <c r="C164" s="11" t="n">
        <f aca="false">B164</f>
        <v>0</v>
      </c>
      <c r="D164" s="36" t="str">
        <f aca="false">TRIM(A164)</f>
        <v>500249 Business Office Expenses</v>
      </c>
      <c r="E164" s="36" t="str">
        <f aca="false">IF(D164="Revenue","Revenue",IF(D164="Cost of Goods Sold","COGS",IF(D164="Expenditures","Expense",IF(D164="Other Revenue","Other Revenue",IF(D164="Other Expenditures","Other Expense",E163)))))</f>
        <v>Expense</v>
      </c>
      <c r="F164" s="36" t="str">
        <f aca="false">IF(OR(D164="Revenue",D164="Cost of Goods Sold",D164="Expenditures",D164="Other Revenue",D164="Other Expenditures"),E164,IF(AND(LEN(D164)&gt;2,MID(D164,2,1)=" ",ISNUMBER(VALUE(LEFT(D164,1)))),D164,F163))</f>
        <v>3 Operations</v>
      </c>
      <c r="G164" s="36" t="n">
        <f aca="false">IF(AND(D164&lt;&gt;"",ISNUMBER(B164),LEFT(D164,9)&lt;&gt;"Total for",D164&lt;&gt;"Gross Profit",D164&lt;&gt;"Net Operating Revenue",D164&lt;&gt;"Net Other Revenue",D164&lt;&gt;"Net Revenue"),1,0)</f>
        <v>1</v>
      </c>
      <c r="H164" s="36" t="str">
        <f aca="false">IF(G164=1,IF(AND(LEN(D164)&gt;7,ISNUMBER(VALUE(LEFT(D164,6))),MID(D164,7,1)=" "),LEFT(D164,6),D164),"")</f>
        <v>500249</v>
      </c>
      <c r="I164" s="36" t="str">
        <f aca="false">IF(G164=1,IF(COUNTIF('Forecast Detail'!$C$8:$C$400,H164)=0,"UNMAPPED","OK"),"")</f>
        <v>OK</v>
      </c>
    </row>
    <row r="165" customFormat="false" ht="15" hidden="false" customHeight="false" outlineLevel="0" collapsed="false">
      <c r="A165" s="6" t="s">
        <v>416</v>
      </c>
      <c r="B165" s="11" t="n">
        <v>0</v>
      </c>
      <c r="C165" s="11" t="n">
        <f aca="false">B165</f>
        <v>0</v>
      </c>
      <c r="D165" s="36" t="str">
        <f aca="false">TRIM(A165)</f>
        <v>500251 Payroll Processing Fees</v>
      </c>
      <c r="E165" s="36" t="str">
        <f aca="false">IF(D165="Revenue","Revenue",IF(D165="Cost of Goods Sold","COGS",IF(D165="Expenditures","Expense",IF(D165="Other Revenue","Other Revenue",IF(D165="Other Expenditures","Other Expense",E164)))))</f>
        <v>Expense</v>
      </c>
      <c r="F165" s="36" t="str">
        <f aca="false">IF(OR(D165="Revenue",D165="Cost of Goods Sold",D165="Expenditures",D165="Other Revenue",D165="Other Expenditures"),E165,IF(AND(LEN(D165)&gt;2,MID(D165,2,1)=" ",ISNUMBER(VALUE(LEFT(D165,1)))),D165,F164))</f>
        <v>3 Operations</v>
      </c>
      <c r="G165" s="36" t="n">
        <f aca="false">IF(AND(D165&lt;&gt;"",ISNUMBER(B165),LEFT(D165,9)&lt;&gt;"Total for",D165&lt;&gt;"Gross Profit",D165&lt;&gt;"Net Operating Revenue",D165&lt;&gt;"Net Other Revenue",D165&lt;&gt;"Net Revenue"),1,0)</f>
        <v>1</v>
      </c>
      <c r="H165" s="36" t="str">
        <f aca="false">IF(G165=1,IF(AND(LEN(D165)&gt;7,ISNUMBER(VALUE(LEFT(D165,6))),MID(D165,7,1)=" "),LEFT(D165,6),D165),"")</f>
        <v>500251</v>
      </c>
      <c r="I165" s="36" t="str">
        <f aca="false">IF(G165=1,IF(COUNTIF('Forecast Detail'!$C$8:$C$400,H165)=0,"UNMAPPED","OK"),"")</f>
        <v>OK</v>
      </c>
    </row>
    <row r="166" customFormat="false" ht="15" hidden="false" customHeight="false" outlineLevel="0" collapsed="false">
      <c r="A166" s="6" t="s">
        <v>418</v>
      </c>
      <c r="B166" s="11" t="n">
        <v>3500</v>
      </c>
      <c r="C166" s="11" t="n">
        <f aca="false">B166</f>
        <v>3500</v>
      </c>
      <c r="D166" s="36" t="str">
        <f aca="false">TRIM(A166)</f>
        <v>500252 Banking Fees</v>
      </c>
      <c r="E166" s="36" t="str">
        <f aca="false">IF(D166="Revenue","Revenue",IF(D166="Cost of Goods Sold","COGS",IF(D166="Expenditures","Expense",IF(D166="Other Revenue","Other Revenue",IF(D166="Other Expenditures","Other Expense",E165)))))</f>
        <v>Expense</v>
      </c>
      <c r="F166" s="36" t="str">
        <f aca="false">IF(OR(D166="Revenue",D166="Cost of Goods Sold",D166="Expenditures",D166="Other Revenue",D166="Other Expenditures"),E166,IF(AND(LEN(D166)&gt;2,MID(D166,2,1)=" ",ISNUMBER(VALUE(LEFT(D166,1)))),D166,F165))</f>
        <v>3 Operations</v>
      </c>
      <c r="G166" s="36" t="n">
        <f aca="false">IF(AND(D166&lt;&gt;"",ISNUMBER(B166),LEFT(D166,9)&lt;&gt;"Total for",D166&lt;&gt;"Gross Profit",D166&lt;&gt;"Net Operating Revenue",D166&lt;&gt;"Net Other Revenue",D166&lt;&gt;"Net Revenue"),1,0)</f>
        <v>1</v>
      </c>
      <c r="H166" s="36" t="str">
        <f aca="false">IF(G166=1,IF(AND(LEN(D166)&gt;7,ISNUMBER(VALUE(LEFT(D166,6))),MID(D166,7,1)=" "),LEFT(D166,6),D166),"")</f>
        <v>500252</v>
      </c>
      <c r="I166" s="36" t="str">
        <f aca="false">IF(G166=1,IF(COUNTIF('Forecast Detail'!$C$8:$C$400,H166)=0,"UNMAPPED","OK"),"")</f>
        <v>OK</v>
      </c>
    </row>
    <row r="167" customFormat="false" ht="15" hidden="false" customHeight="false" outlineLevel="0" collapsed="false">
      <c r="A167" s="6" t="s">
        <v>620</v>
      </c>
      <c r="B167" s="11" t="n">
        <f aca="false">B154+B155+B156+B157+B158+B159+B160+B161+B162+B163+B164+B165+B166</f>
        <v>56000</v>
      </c>
      <c r="C167" s="11" t="n">
        <f aca="false">B167</f>
        <v>56000</v>
      </c>
      <c r="D167" s="36" t="str">
        <f aca="false">TRIM(A167)</f>
        <v>Total for Business Office Expenses</v>
      </c>
      <c r="E167" s="36" t="str">
        <f aca="false">IF(D167="Revenue","Revenue",IF(D167="Cost of Goods Sold","COGS",IF(D167="Expenditures","Expense",IF(D167="Other Revenue","Other Revenue",IF(D167="Other Expenditures","Other Expense",E166)))))</f>
        <v>Expense</v>
      </c>
      <c r="F167" s="36" t="str">
        <f aca="false">IF(OR(D167="Revenue",D167="Cost of Goods Sold",D167="Expenditures",D167="Other Revenue",D167="Other Expenditures"),E167,IF(AND(LEN(D167)&gt;2,MID(D167,2,1)=" ",ISNUMBER(VALUE(LEFT(D167,1)))),D167,F166))</f>
        <v>3 Operations</v>
      </c>
      <c r="G167" s="36" t="n">
        <f aca="false">IF(AND(D167&lt;&gt;"",ISNUMBER(B167),LEFT(D167,9)&lt;&gt;"Total for",D167&lt;&gt;"Gross Profit",D167&lt;&gt;"Net Operating Revenue",D167&lt;&gt;"Net Other Revenue",D167&lt;&gt;"Net Revenue"),1,0)</f>
        <v>0</v>
      </c>
      <c r="H167" s="36" t="str">
        <f aca="false">IF(G167=1,IF(AND(LEN(D167)&gt;7,ISNUMBER(VALUE(LEFT(D167,6))),MID(D167,7,1)=" "),LEFT(D167,6),D167),"")</f>
        <v/>
      </c>
      <c r="I167" s="36" t="str">
        <f aca="false">IF(G167=1,IF(COUNTIF('Forecast Detail'!$C$8:$C$400,H167)=0,"UNMAPPED","OK"),"")</f>
        <v/>
      </c>
    </row>
    <row r="168" customFormat="false" ht="15" hidden="false" customHeight="false" outlineLevel="0" collapsed="false">
      <c r="A168" s="6" t="s">
        <v>419</v>
      </c>
      <c r="B168" s="11" t="n">
        <v>730000</v>
      </c>
      <c r="C168" s="11" t="n">
        <f aca="false">B168</f>
        <v>730000</v>
      </c>
      <c r="D168" s="36" t="str">
        <f aca="false">TRIM(A168)</f>
        <v>Food Service</v>
      </c>
      <c r="E168" s="36" t="str">
        <f aca="false">IF(D168="Revenue","Revenue",IF(D168="Cost of Goods Sold","COGS",IF(D168="Expenditures","Expense",IF(D168="Other Revenue","Other Revenue",IF(D168="Other Expenditures","Other Expense",E167)))))</f>
        <v>Expense</v>
      </c>
      <c r="F168" s="36" t="str">
        <f aca="false">IF(OR(D168="Revenue",D168="Cost of Goods Sold",D168="Expenditures",D168="Other Revenue",D168="Other Expenditures"),E168,IF(AND(LEN(D168)&gt;2,MID(D168,2,1)=" ",ISNUMBER(VALUE(LEFT(D168,1)))),D168,F167))</f>
        <v>3 Operations</v>
      </c>
      <c r="G168" s="36" t="n">
        <f aca="false">IF(AND(D168&lt;&gt;"",ISNUMBER(B168),LEFT(D168,9)&lt;&gt;"Total for",D168&lt;&gt;"Gross Profit",D168&lt;&gt;"Net Operating Revenue",D168&lt;&gt;"Net Other Revenue",D168&lt;&gt;"Net Revenue"),1,0)</f>
        <v>1</v>
      </c>
      <c r="H168" s="36" t="str">
        <f aca="false">IF(G168=1,IF(AND(LEN(D168)&gt;7,ISNUMBER(VALUE(LEFT(D168,6))),MID(D168,7,1)=" "),LEFT(D168,6),D168),"")</f>
        <v>Food Service</v>
      </c>
      <c r="I168" s="36" t="str">
        <f aca="false">IF(G168=1,IF(COUNTIF('Forecast Detail'!$C$8:$C$400,H168)=0,"UNMAPPED","OK"),"")</f>
        <v>OK</v>
      </c>
    </row>
    <row r="169" customFormat="false" ht="15" hidden="false" customHeight="false" outlineLevel="0" collapsed="false">
      <c r="A169" s="6" t="s">
        <v>621</v>
      </c>
      <c r="D169" s="36" t="str">
        <f aca="false">TRIM(A169)</f>
        <v>General Operational Expenses</v>
      </c>
      <c r="E169" s="36" t="str">
        <f aca="false">IF(D169="Revenue","Revenue",IF(D169="Cost of Goods Sold","COGS",IF(D169="Expenditures","Expense",IF(D169="Other Revenue","Other Revenue",IF(D169="Other Expenditures","Other Expense",E168)))))</f>
        <v>Expense</v>
      </c>
      <c r="F169" s="36" t="str">
        <f aca="false">IF(OR(D169="Revenue",D169="Cost of Goods Sold",D169="Expenditures",D169="Other Revenue",D169="Other Expenditures"),E169,IF(AND(LEN(D169)&gt;2,MID(D169,2,1)=" ",ISNUMBER(VALUE(LEFT(D169,1)))),D169,F168))</f>
        <v>3 Operations</v>
      </c>
      <c r="G169" s="36" t="n">
        <f aca="false">IF(AND(D169&lt;&gt;"",ISNUMBER(B169),LEFT(D169,9)&lt;&gt;"Total for",D169&lt;&gt;"Gross Profit",D169&lt;&gt;"Net Operating Revenue",D169&lt;&gt;"Net Other Revenue",D169&lt;&gt;"Net Revenue"),1,0)</f>
        <v>0</v>
      </c>
      <c r="H169" s="36" t="str">
        <f aca="false">IF(G169=1,IF(AND(LEN(D169)&gt;7,ISNUMBER(VALUE(LEFT(D169,6))),MID(D169,7,1)=" "),LEFT(D169,6),D169),"")</f>
        <v/>
      </c>
      <c r="I169" s="36" t="str">
        <f aca="false">IF(G169=1,IF(COUNTIF('Forecast Detail'!$C$8:$C$400,H169)=0,"UNMAPPED","OK"),"")</f>
        <v/>
      </c>
    </row>
    <row r="170" customFormat="false" ht="15" hidden="false" customHeight="false" outlineLevel="0" collapsed="false">
      <c r="A170" s="6" t="s">
        <v>422</v>
      </c>
      <c r="B170" s="11" t="n">
        <v>132000</v>
      </c>
      <c r="C170" s="11" t="n">
        <f aca="false">B170</f>
        <v>132000</v>
      </c>
      <c r="D170" s="36" t="str">
        <f aca="false">TRIM(A170)</f>
        <v>500026 Insurance Expense</v>
      </c>
      <c r="E170" s="36" t="str">
        <f aca="false">IF(D170="Revenue","Revenue",IF(D170="Cost of Goods Sold","COGS",IF(D170="Expenditures","Expense",IF(D170="Other Revenue","Other Revenue",IF(D170="Other Expenditures","Other Expense",E169)))))</f>
        <v>Expense</v>
      </c>
      <c r="F170" s="36" t="str">
        <f aca="false">IF(OR(D170="Revenue",D170="Cost of Goods Sold",D170="Expenditures",D170="Other Revenue",D170="Other Expenditures"),E170,IF(AND(LEN(D170)&gt;2,MID(D170,2,1)=" ",ISNUMBER(VALUE(LEFT(D170,1)))),D170,F169))</f>
        <v>3 Operations</v>
      </c>
      <c r="G170" s="36" t="n">
        <f aca="false">IF(AND(D170&lt;&gt;"",ISNUMBER(B170),LEFT(D170,9)&lt;&gt;"Total for",D170&lt;&gt;"Gross Profit",D170&lt;&gt;"Net Operating Revenue",D170&lt;&gt;"Net Other Revenue",D170&lt;&gt;"Net Revenue"),1,0)</f>
        <v>1</v>
      </c>
      <c r="H170" s="36" t="str">
        <f aca="false">IF(G170=1,IF(AND(LEN(D170)&gt;7,ISNUMBER(VALUE(LEFT(D170,6))),MID(D170,7,1)=" "),LEFT(D170,6),D170),"")</f>
        <v>500026</v>
      </c>
      <c r="I170" s="36" t="str">
        <f aca="false">IF(G170=1,IF(COUNTIF('Forecast Detail'!$C$8:$C$400,H170)=0,"UNMAPPED","OK"),"")</f>
        <v>OK</v>
      </c>
    </row>
    <row r="171" customFormat="false" ht="15" hidden="false" customHeight="false" outlineLevel="0" collapsed="false">
      <c r="A171" s="6" t="s">
        <v>424</v>
      </c>
      <c r="B171" s="11" t="n">
        <v>40000</v>
      </c>
      <c r="C171" s="11" t="n">
        <f aca="false">B171</f>
        <v>40000</v>
      </c>
      <c r="D171" s="36" t="str">
        <f aca="false">TRIM(A171)</f>
        <v>500250 Copier Leases</v>
      </c>
      <c r="E171" s="36" t="str">
        <f aca="false">IF(D171="Revenue","Revenue",IF(D171="Cost of Goods Sold","COGS",IF(D171="Expenditures","Expense",IF(D171="Other Revenue","Other Revenue",IF(D171="Other Expenditures","Other Expense",E170)))))</f>
        <v>Expense</v>
      </c>
      <c r="F171" s="36" t="str">
        <f aca="false">IF(OR(D171="Revenue",D171="Cost of Goods Sold",D171="Expenditures",D171="Other Revenue",D171="Other Expenditures"),E171,IF(AND(LEN(D171)&gt;2,MID(D171,2,1)=" ",ISNUMBER(VALUE(LEFT(D171,1)))),D171,F170))</f>
        <v>3 Operations</v>
      </c>
      <c r="G171" s="36" t="n">
        <f aca="false">IF(AND(D171&lt;&gt;"",ISNUMBER(B171),LEFT(D171,9)&lt;&gt;"Total for",D171&lt;&gt;"Gross Profit",D171&lt;&gt;"Net Operating Revenue",D171&lt;&gt;"Net Other Revenue",D171&lt;&gt;"Net Revenue"),1,0)</f>
        <v>1</v>
      </c>
      <c r="H171" s="36" t="str">
        <f aca="false">IF(G171=1,IF(AND(LEN(D171)&gt;7,ISNUMBER(VALUE(LEFT(D171,6))),MID(D171,7,1)=" "),LEFT(D171,6),D171),"")</f>
        <v>500250</v>
      </c>
      <c r="I171" s="36" t="str">
        <f aca="false">IF(G171=1,IF(COUNTIF('Forecast Detail'!$C$8:$C$400,H171)=0,"UNMAPPED","OK"),"")</f>
        <v>OK</v>
      </c>
    </row>
    <row r="172" customFormat="false" ht="15" hidden="false" customHeight="false" outlineLevel="0" collapsed="false">
      <c r="A172" s="6" t="s">
        <v>426</v>
      </c>
      <c r="B172" s="11" t="n">
        <v>60500</v>
      </c>
      <c r="C172" s="11" t="n">
        <f aca="false">B172</f>
        <v>60500</v>
      </c>
      <c r="D172" s="36" t="str">
        <f aca="false">TRIM(A172)</f>
        <v>500357 Outsourced Tech Support</v>
      </c>
      <c r="E172" s="36" t="str">
        <f aca="false">IF(D172="Revenue","Revenue",IF(D172="Cost of Goods Sold","COGS",IF(D172="Expenditures","Expense",IF(D172="Other Revenue","Other Revenue",IF(D172="Other Expenditures","Other Expense",E171)))))</f>
        <v>Expense</v>
      </c>
      <c r="F172" s="36" t="str">
        <f aca="false">IF(OR(D172="Revenue",D172="Cost of Goods Sold",D172="Expenditures",D172="Other Revenue",D172="Other Expenditures"),E172,IF(AND(LEN(D172)&gt;2,MID(D172,2,1)=" ",ISNUMBER(VALUE(LEFT(D172,1)))),D172,F171))</f>
        <v>3 Operations</v>
      </c>
      <c r="G172" s="36" t="n">
        <f aca="false">IF(AND(D172&lt;&gt;"",ISNUMBER(B172),LEFT(D172,9)&lt;&gt;"Total for",D172&lt;&gt;"Gross Profit",D172&lt;&gt;"Net Operating Revenue",D172&lt;&gt;"Net Other Revenue",D172&lt;&gt;"Net Revenue"),1,0)</f>
        <v>1</v>
      </c>
      <c r="H172" s="36" t="str">
        <f aca="false">IF(G172=1,IF(AND(LEN(D172)&gt;7,ISNUMBER(VALUE(LEFT(D172,6))),MID(D172,7,1)=" "),LEFT(D172,6),D172),"")</f>
        <v>500357</v>
      </c>
      <c r="I172" s="36" t="str">
        <f aca="false">IF(G172=1,IF(COUNTIF('Forecast Detail'!$C$8:$C$400,H172)=0,"UNMAPPED","OK"),"")</f>
        <v>OK</v>
      </c>
    </row>
    <row r="173" customFormat="false" ht="15" hidden="false" customHeight="false" outlineLevel="0" collapsed="false">
      <c r="A173" s="6" t="s">
        <v>622</v>
      </c>
      <c r="B173" s="11" t="n">
        <f aca="false">B169+B170+B171+B172</f>
        <v>232500</v>
      </c>
      <c r="C173" s="11" t="n">
        <f aca="false">B173</f>
        <v>232500</v>
      </c>
      <c r="D173" s="36" t="str">
        <f aca="false">TRIM(A173)</f>
        <v>Total for General Operational Expenses</v>
      </c>
      <c r="E173" s="36" t="str">
        <f aca="false">IF(D173="Revenue","Revenue",IF(D173="Cost of Goods Sold","COGS",IF(D173="Expenditures","Expense",IF(D173="Other Revenue","Other Revenue",IF(D173="Other Expenditures","Other Expense",E172)))))</f>
        <v>Expense</v>
      </c>
      <c r="F173" s="36" t="str">
        <f aca="false">IF(OR(D173="Revenue",D173="Cost of Goods Sold",D173="Expenditures",D173="Other Revenue",D173="Other Expenditures"),E173,IF(AND(LEN(D173)&gt;2,MID(D173,2,1)=" ",ISNUMBER(VALUE(LEFT(D173,1)))),D173,F172))</f>
        <v>3 Operations</v>
      </c>
      <c r="G173" s="36" t="n">
        <f aca="false">IF(AND(D173&lt;&gt;"",ISNUMBER(B173),LEFT(D173,9)&lt;&gt;"Total for",D173&lt;&gt;"Gross Profit",D173&lt;&gt;"Net Operating Revenue",D173&lt;&gt;"Net Other Revenue",D173&lt;&gt;"Net Revenue"),1,0)</f>
        <v>0</v>
      </c>
      <c r="H173" s="36" t="str">
        <f aca="false">IF(G173=1,IF(AND(LEN(D173)&gt;7,ISNUMBER(VALUE(LEFT(D173,6))),MID(D173,7,1)=" "),LEFT(D173,6),D173),"")</f>
        <v/>
      </c>
      <c r="I173" s="36" t="str">
        <f aca="false">IF(G173=1,IF(COUNTIF('Forecast Detail'!$C$8:$C$400,H173)=0,"UNMAPPED","OK"),"")</f>
        <v/>
      </c>
    </row>
    <row r="174" customFormat="false" ht="15" hidden="false" customHeight="false" outlineLevel="0" collapsed="false">
      <c r="A174" s="6" t="s">
        <v>623</v>
      </c>
      <c r="D174" s="36" t="str">
        <f aca="false">TRIM(A174)</f>
        <v>Maintenance/Grounds/Utilities Expenses</v>
      </c>
      <c r="E174" s="36" t="str">
        <f aca="false">IF(D174="Revenue","Revenue",IF(D174="Cost of Goods Sold","COGS",IF(D174="Expenditures","Expense",IF(D174="Other Revenue","Other Revenue",IF(D174="Other Expenditures","Other Expense",E173)))))</f>
        <v>Expense</v>
      </c>
      <c r="F174" s="36" t="str">
        <f aca="false">IF(OR(D174="Revenue",D174="Cost of Goods Sold",D174="Expenditures",D174="Other Revenue",D174="Other Expenditures"),E174,IF(AND(LEN(D174)&gt;2,MID(D174,2,1)=" ",ISNUMBER(VALUE(LEFT(D174,1)))),D174,F173))</f>
        <v>3 Operations</v>
      </c>
      <c r="G174" s="36" t="n">
        <f aca="false">IF(AND(D174&lt;&gt;"",ISNUMBER(B174),LEFT(D174,9)&lt;&gt;"Total for",D174&lt;&gt;"Gross Profit",D174&lt;&gt;"Net Operating Revenue",D174&lt;&gt;"Net Other Revenue",D174&lt;&gt;"Net Revenue"),1,0)</f>
        <v>0</v>
      </c>
      <c r="H174" s="36" t="str">
        <f aca="false">IF(G174=1,IF(AND(LEN(D174)&gt;7,ISNUMBER(VALUE(LEFT(D174,6))),MID(D174,7,1)=" "),LEFT(D174,6),D174),"")</f>
        <v/>
      </c>
      <c r="I174" s="36" t="str">
        <f aca="false">IF(G174=1,IF(COUNTIF('Forecast Detail'!$C$8:$C$400,H174)=0,"UNMAPPED","OK"),"")</f>
        <v/>
      </c>
    </row>
    <row r="175" customFormat="false" ht="15" hidden="false" customHeight="false" outlineLevel="0" collapsed="false">
      <c r="A175" s="6" t="s">
        <v>428</v>
      </c>
      <c r="B175" s="11" t="n">
        <v>0</v>
      </c>
      <c r="C175" s="11" t="n">
        <f aca="false">B175</f>
        <v>0</v>
      </c>
      <c r="D175" s="36" t="str">
        <f aca="false">TRIM(A175)</f>
        <v>500221 Repairs Athletic Facilities</v>
      </c>
      <c r="E175" s="36" t="str">
        <f aca="false">IF(D175="Revenue","Revenue",IF(D175="Cost of Goods Sold","COGS",IF(D175="Expenditures","Expense",IF(D175="Other Revenue","Other Revenue",IF(D175="Other Expenditures","Other Expense",E174)))))</f>
        <v>Expense</v>
      </c>
      <c r="F175" s="36" t="str">
        <f aca="false">IF(OR(D175="Revenue",D175="Cost of Goods Sold",D175="Expenditures",D175="Other Revenue",D175="Other Expenditures"),E175,IF(AND(LEN(D175)&gt;2,MID(D175,2,1)=" ",ISNUMBER(VALUE(LEFT(D175,1)))),D175,F174))</f>
        <v>3 Operations</v>
      </c>
      <c r="G175" s="36" t="n">
        <f aca="false">IF(AND(D175&lt;&gt;"",ISNUMBER(B175),LEFT(D175,9)&lt;&gt;"Total for",D175&lt;&gt;"Gross Profit",D175&lt;&gt;"Net Operating Revenue",D175&lt;&gt;"Net Other Revenue",D175&lt;&gt;"Net Revenue"),1,0)</f>
        <v>1</v>
      </c>
      <c r="H175" s="36" t="str">
        <f aca="false">IF(G175=1,IF(AND(LEN(D175)&gt;7,ISNUMBER(VALUE(LEFT(D175,6))),MID(D175,7,1)=" "),LEFT(D175,6),D175),"")</f>
        <v>500221</v>
      </c>
      <c r="I175" s="36" t="str">
        <f aca="false">IF(G175=1,IF(COUNTIF('Forecast Detail'!$C$8:$C$400,H175)=0,"UNMAPPED","OK"),"")</f>
        <v>OK</v>
      </c>
    </row>
    <row r="176" customFormat="false" ht="15" hidden="false" customHeight="false" outlineLevel="0" collapsed="false">
      <c r="A176" s="6" t="s">
        <v>430</v>
      </c>
      <c r="B176" s="11" t="n">
        <v>135000</v>
      </c>
      <c r="C176" s="11" t="n">
        <f aca="false">B176</f>
        <v>135000</v>
      </c>
      <c r="D176" s="36" t="str">
        <f aca="false">TRIM(A176)</f>
        <v>500222 Janitorial Services</v>
      </c>
      <c r="E176" s="36" t="str">
        <f aca="false">IF(D176="Revenue","Revenue",IF(D176="Cost of Goods Sold","COGS",IF(D176="Expenditures","Expense",IF(D176="Other Revenue","Other Revenue",IF(D176="Other Expenditures","Other Expense",E175)))))</f>
        <v>Expense</v>
      </c>
      <c r="F176" s="36" t="str">
        <f aca="false">IF(OR(D176="Revenue",D176="Cost of Goods Sold",D176="Expenditures",D176="Other Revenue",D176="Other Expenditures"),E176,IF(AND(LEN(D176)&gt;2,MID(D176,2,1)=" ",ISNUMBER(VALUE(LEFT(D176,1)))),D176,F175))</f>
        <v>3 Operations</v>
      </c>
      <c r="G176" s="36" t="n">
        <f aca="false">IF(AND(D176&lt;&gt;"",ISNUMBER(B176),LEFT(D176,9)&lt;&gt;"Total for",D176&lt;&gt;"Gross Profit",D176&lt;&gt;"Net Operating Revenue",D176&lt;&gt;"Net Other Revenue",D176&lt;&gt;"Net Revenue"),1,0)</f>
        <v>1</v>
      </c>
      <c r="H176" s="36" t="str">
        <f aca="false">IF(G176=1,IF(AND(LEN(D176)&gt;7,ISNUMBER(VALUE(LEFT(D176,6))),MID(D176,7,1)=" "),LEFT(D176,6),D176),"")</f>
        <v>500222</v>
      </c>
      <c r="I176" s="36" t="str">
        <f aca="false">IF(G176=1,IF(COUNTIF('Forecast Detail'!$C$8:$C$400,H176)=0,"UNMAPPED","OK"),"")</f>
        <v>OK</v>
      </c>
    </row>
    <row r="177" customFormat="false" ht="15" hidden="false" customHeight="false" outlineLevel="0" collapsed="false">
      <c r="A177" s="6" t="s">
        <v>432</v>
      </c>
      <c r="B177" s="11" t="n">
        <v>0</v>
      </c>
      <c r="C177" s="11" t="n">
        <f aca="false">B177</f>
        <v>0</v>
      </c>
      <c r="D177" s="36" t="str">
        <f aca="false">TRIM(A177)</f>
        <v>500223 Maintenance Contracts Facilities</v>
      </c>
      <c r="E177" s="36" t="str">
        <f aca="false">IF(D177="Revenue","Revenue",IF(D177="Cost of Goods Sold","COGS",IF(D177="Expenditures","Expense",IF(D177="Other Revenue","Other Revenue",IF(D177="Other Expenditures","Other Expense",E176)))))</f>
        <v>Expense</v>
      </c>
      <c r="F177" s="36" t="str">
        <f aca="false">IF(OR(D177="Revenue",D177="Cost of Goods Sold",D177="Expenditures",D177="Other Revenue",D177="Other Expenditures"),E177,IF(AND(LEN(D177)&gt;2,MID(D177,2,1)=" ",ISNUMBER(VALUE(LEFT(D177,1)))),D177,F176))</f>
        <v>3 Operations</v>
      </c>
      <c r="G177" s="36" t="n">
        <f aca="false">IF(AND(D177&lt;&gt;"",ISNUMBER(B177),LEFT(D177,9)&lt;&gt;"Total for",D177&lt;&gt;"Gross Profit",D177&lt;&gt;"Net Operating Revenue",D177&lt;&gt;"Net Other Revenue",D177&lt;&gt;"Net Revenue"),1,0)</f>
        <v>1</v>
      </c>
      <c r="H177" s="36" t="str">
        <f aca="false">IF(G177=1,IF(AND(LEN(D177)&gt;7,ISNUMBER(VALUE(LEFT(D177,6))),MID(D177,7,1)=" "),LEFT(D177,6),D177),"")</f>
        <v>500223</v>
      </c>
      <c r="I177" s="36" t="str">
        <f aca="false">IF(G177=1,IF(COUNTIF('Forecast Detail'!$C$8:$C$400,H177)=0,"UNMAPPED","OK"),"")</f>
        <v>OK</v>
      </c>
    </row>
    <row r="178" customFormat="false" ht="15" hidden="false" customHeight="false" outlineLevel="0" collapsed="false">
      <c r="A178" s="6" t="s">
        <v>434</v>
      </c>
      <c r="B178" s="11" t="n">
        <v>50000</v>
      </c>
      <c r="C178" s="11" t="n">
        <f aca="false">B178</f>
        <v>50000</v>
      </c>
      <c r="D178" s="36" t="str">
        <f aca="false">TRIM(A178)</f>
        <v>500224 Equipment General</v>
      </c>
      <c r="E178" s="36" t="str">
        <f aca="false">IF(D178="Revenue","Revenue",IF(D178="Cost of Goods Sold","COGS",IF(D178="Expenditures","Expense",IF(D178="Other Revenue","Other Revenue",IF(D178="Other Expenditures","Other Expense",E177)))))</f>
        <v>Expense</v>
      </c>
      <c r="F178" s="36" t="str">
        <f aca="false">IF(OR(D178="Revenue",D178="Cost of Goods Sold",D178="Expenditures",D178="Other Revenue",D178="Other Expenditures"),E178,IF(AND(LEN(D178)&gt;2,MID(D178,2,1)=" ",ISNUMBER(VALUE(LEFT(D178,1)))),D178,F177))</f>
        <v>3 Operations</v>
      </c>
      <c r="G178" s="36" t="n">
        <f aca="false">IF(AND(D178&lt;&gt;"",ISNUMBER(B178),LEFT(D178,9)&lt;&gt;"Total for",D178&lt;&gt;"Gross Profit",D178&lt;&gt;"Net Operating Revenue",D178&lt;&gt;"Net Other Revenue",D178&lt;&gt;"Net Revenue"),1,0)</f>
        <v>1</v>
      </c>
      <c r="H178" s="36" t="str">
        <f aca="false">IF(G178=1,IF(AND(LEN(D178)&gt;7,ISNUMBER(VALUE(LEFT(D178,6))),MID(D178,7,1)=" "),LEFT(D178,6),D178),"")</f>
        <v>500224</v>
      </c>
      <c r="I178" s="36" t="str">
        <f aca="false">IF(G178=1,IF(COUNTIF('Forecast Detail'!$C$8:$C$400,H178)=0,"UNMAPPED","OK"),"")</f>
        <v>OK</v>
      </c>
    </row>
    <row r="179" customFormat="false" ht="15" hidden="false" customHeight="false" outlineLevel="0" collapsed="false">
      <c r="A179" s="6" t="s">
        <v>436</v>
      </c>
      <c r="B179" s="11" t="n">
        <v>0</v>
      </c>
      <c r="C179" s="11" t="n">
        <f aca="false">B179</f>
        <v>0</v>
      </c>
      <c r="D179" s="36" t="str">
        <f aca="false">TRIM(A179)</f>
        <v>500226 Grounds Contracts</v>
      </c>
      <c r="E179" s="36" t="str">
        <f aca="false">IF(D179="Revenue","Revenue",IF(D179="Cost of Goods Sold","COGS",IF(D179="Expenditures","Expense",IF(D179="Other Revenue","Other Revenue",IF(D179="Other Expenditures","Other Expense",E178)))))</f>
        <v>Expense</v>
      </c>
      <c r="F179" s="36" t="str">
        <f aca="false">IF(OR(D179="Revenue",D179="Cost of Goods Sold",D179="Expenditures",D179="Other Revenue",D179="Other Expenditures"),E179,IF(AND(LEN(D179)&gt;2,MID(D179,2,1)=" ",ISNUMBER(VALUE(LEFT(D179,1)))),D179,F178))</f>
        <v>3 Operations</v>
      </c>
      <c r="G179" s="36" t="n">
        <f aca="false">IF(AND(D179&lt;&gt;"",ISNUMBER(B179),LEFT(D179,9)&lt;&gt;"Total for",D179&lt;&gt;"Gross Profit",D179&lt;&gt;"Net Operating Revenue",D179&lt;&gt;"Net Other Revenue",D179&lt;&gt;"Net Revenue"),1,0)</f>
        <v>1</v>
      </c>
      <c r="H179" s="36" t="str">
        <f aca="false">IF(G179=1,IF(AND(LEN(D179)&gt;7,ISNUMBER(VALUE(LEFT(D179,6))),MID(D179,7,1)=" "),LEFT(D179,6),D179),"")</f>
        <v>500226</v>
      </c>
      <c r="I179" s="36" t="str">
        <f aca="false">IF(G179=1,IF(COUNTIF('Forecast Detail'!$C$8:$C$400,H179)=0,"UNMAPPED","OK"),"")</f>
        <v>OK</v>
      </c>
    </row>
    <row r="180" customFormat="false" ht="15" hidden="false" customHeight="false" outlineLevel="0" collapsed="false">
      <c r="A180" s="6" t="s">
        <v>438</v>
      </c>
      <c r="B180" s="11" t="n">
        <v>0</v>
      </c>
      <c r="C180" s="11" t="n">
        <f aca="false">B180</f>
        <v>0</v>
      </c>
      <c r="D180" s="36" t="str">
        <f aca="false">TRIM(A180)</f>
        <v>500227 Grounds Equipment</v>
      </c>
      <c r="E180" s="36" t="str">
        <f aca="false">IF(D180="Revenue","Revenue",IF(D180="Cost of Goods Sold","COGS",IF(D180="Expenditures","Expense",IF(D180="Other Revenue","Other Revenue",IF(D180="Other Expenditures","Other Expense",E179)))))</f>
        <v>Expense</v>
      </c>
      <c r="F180" s="36" t="str">
        <f aca="false">IF(OR(D180="Revenue",D180="Cost of Goods Sold",D180="Expenditures",D180="Other Revenue",D180="Other Expenditures"),E180,IF(AND(LEN(D180)&gt;2,MID(D180,2,1)=" ",ISNUMBER(VALUE(LEFT(D180,1)))),D180,F179))</f>
        <v>3 Operations</v>
      </c>
      <c r="G180" s="36" t="n">
        <f aca="false">IF(AND(D180&lt;&gt;"",ISNUMBER(B180),LEFT(D180,9)&lt;&gt;"Total for",D180&lt;&gt;"Gross Profit",D180&lt;&gt;"Net Operating Revenue",D180&lt;&gt;"Net Other Revenue",D180&lt;&gt;"Net Revenue"),1,0)</f>
        <v>1</v>
      </c>
      <c r="H180" s="36" t="str">
        <f aca="false">IF(G180=1,IF(AND(LEN(D180)&gt;7,ISNUMBER(VALUE(LEFT(D180,6))),MID(D180,7,1)=" "),LEFT(D180,6),D180),"")</f>
        <v>500227</v>
      </c>
      <c r="I180" s="36" t="str">
        <f aca="false">IF(G180=1,IF(COUNTIF('Forecast Detail'!$C$8:$C$400,H180)=0,"UNMAPPED","OK"),"")</f>
        <v>OK</v>
      </c>
    </row>
    <row r="181" customFormat="false" ht="15" hidden="false" customHeight="false" outlineLevel="0" collapsed="false">
      <c r="A181" s="6" t="s">
        <v>440</v>
      </c>
      <c r="B181" s="11" t="n">
        <v>0</v>
      </c>
      <c r="C181" s="11" t="n">
        <f aca="false">B181</f>
        <v>0</v>
      </c>
      <c r="D181" s="36" t="str">
        <f aca="false">TRIM(A181)</f>
        <v>500228 Grounds Costs and Expenses</v>
      </c>
      <c r="E181" s="36" t="str">
        <f aca="false">IF(D181="Revenue","Revenue",IF(D181="Cost of Goods Sold","COGS",IF(D181="Expenditures","Expense",IF(D181="Other Revenue","Other Revenue",IF(D181="Other Expenditures","Other Expense",E180)))))</f>
        <v>Expense</v>
      </c>
      <c r="F181" s="36" t="str">
        <f aca="false">IF(OR(D181="Revenue",D181="Cost of Goods Sold",D181="Expenditures",D181="Other Revenue",D181="Other Expenditures"),E181,IF(AND(LEN(D181)&gt;2,MID(D181,2,1)=" ",ISNUMBER(VALUE(LEFT(D181,1)))),D181,F180))</f>
        <v>3 Operations</v>
      </c>
      <c r="G181" s="36" t="n">
        <f aca="false">IF(AND(D181&lt;&gt;"",ISNUMBER(B181),LEFT(D181,9)&lt;&gt;"Total for",D181&lt;&gt;"Gross Profit",D181&lt;&gt;"Net Operating Revenue",D181&lt;&gt;"Net Other Revenue",D181&lt;&gt;"Net Revenue"),1,0)</f>
        <v>1</v>
      </c>
      <c r="H181" s="36" t="str">
        <f aca="false">IF(G181=1,IF(AND(LEN(D181)&gt;7,ISNUMBER(VALUE(LEFT(D181,6))),MID(D181,7,1)=" "),LEFT(D181,6),D181),"")</f>
        <v>500228</v>
      </c>
      <c r="I181" s="36" t="str">
        <f aca="false">IF(G181=1,IF(COUNTIF('Forecast Detail'!$C$8:$C$400,H181)=0,"UNMAPPED","OK"),"")</f>
        <v>OK</v>
      </c>
    </row>
    <row r="182" customFormat="false" ht="15" hidden="false" customHeight="false" outlineLevel="0" collapsed="false">
      <c r="A182" s="6" t="s">
        <v>442</v>
      </c>
      <c r="B182" s="11" t="n">
        <v>0</v>
      </c>
      <c r="C182" s="11" t="n">
        <f aca="false">B182</f>
        <v>0</v>
      </c>
      <c r="D182" s="36" t="str">
        <f aca="false">TRIM(A182)</f>
        <v>500230 Repairs and Maintenance School Property</v>
      </c>
      <c r="E182" s="36" t="str">
        <f aca="false">IF(D182="Revenue","Revenue",IF(D182="Cost of Goods Sold","COGS",IF(D182="Expenditures","Expense",IF(D182="Other Revenue","Other Revenue",IF(D182="Other Expenditures","Other Expense",E181)))))</f>
        <v>Expense</v>
      </c>
      <c r="F182" s="36" t="str">
        <f aca="false">IF(OR(D182="Revenue",D182="Cost of Goods Sold",D182="Expenditures",D182="Other Revenue",D182="Other Expenditures"),E182,IF(AND(LEN(D182)&gt;2,MID(D182,2,1)=" ",ISNUMBER(VALUE(LEFT(D182,1)))),D182,F181))</f>
        <v>3 Operations</v>
      </c>
      <c r="G182" s="36" t="n">
        <f aca="false">IF(AND(D182&lt;&gt;"",ISNUMBER(B182),LEFT(D182,9)&lt;&gt;"Total for",D182&lt;&gt;"Gross Profit",D182&lt;&gt;"Net Operating Revenue",D182&lt;&gt;"Net Other Revenue",D182&lt;&gt;"Net Revenue"),1,0)</f>
        <v>1</v>
      </c>
      <c r="H182" s="36" t="str">
        <f aca="false">IF(G182=1,IF(AND(LEN(D182)&gt;7,ISNUMBER(VALUE(LEFT(D182,6))),MID(D182,7,1)=" "),LEFT(D182,6),D182),"")</f>
        <v>500230</v>
      </c>
      <c r="I182" s="36" t="str">
        <f aca="false">IF(G182=1,IF(COUNTIF('Forecast Detail'!$C$8:$C$400,H182)=0,"UNMAPPED","OK"),"")</f>
        <v>OK</v>
      </c>
    </row>
    <row r="183" customFormat="false" ht="15" hidden="false" customHeight="false" outlineLevel="0" collapsed="false">
      <c r="A183" s="6" t="s">
        <v>444</v>
      </c>
      <c r="B183" s="11" t="n">
        <v>0</v>
      </c>
      <c r="C183" s="11" t="n">
        <f aca="false">B183</f>
        <v>0</v>
      </c>
      <c r="D183" s="36" t="str">
        <f aca="false">TRIM(A183)</f>
        <v>500234 Janitorial Supplies</v>
      </c>
      <c r="E183" s="36" t="str">
        <f aca="false">IF(D183="Revenue","Revenue",IF(D183="Cost of Goods Sold","COGS",IF(D183="Expenditures","Expense",IF(D183="Other Revenue","Other Revenue",IF(D183="Other Expenditures","Other Expense",E182)))))</f>
        <v>Expense</v>
      </c>
      <c r="F183" s="36" t="str">
        <f aca="false">IF(OR(D183="Revenue",D183="Cost of Goods Sold",D183="Expenditures",D183="Other Revenue",D183="Other Expenditures"),E183,IF(AND(LEN(D183)&gt;2,MID(D183,2,1)=" ",ISNUMBER(VALUE(LEFT(D183,1)))),D183,F182))</f>
        <v>3 Operations</v>
      </c>
      <c r="G183" s="36" t="n">
        <f aca="false">IF(AND(D183&lt;&gt;"",ISNUMBER(B183),LEFT(D183,9)&lt;&gt;"Total for",D183&lt;&gt;"Gross Profit",D183&lt;&gt;"Net Operating Revenue",D183&lt;&gt;"Net Other Revenue",D183&lt;&gt;"Net Revenue"),1,0)</f>
        <v>1</v>
      </c>
      <c r="H183" s="36" t="str">
        <f aca="false">IF(G183=1,IF(AND(LEN(D183)&gt;7,ISNUMBER(VALUE(LEFT(D183,6))),MID(D183,7,1)=" "),LEFT(D183,6),D183),"")</f>
        <v>500234</v>
      </c>
      <c r="I183" s="36" t="str">
        <f aca="false">IF(G183=1,IF(COUNTIF('Forecast Detail'!$C$8:$C$400,H183)=0,"UNMAPPED","OK"),"")</f>
        <v>OK</v>
      </c>
    </row>
    <row r="184" customFormat="false" ht="15" hidden="false" customHeight="false" outlineLevel="0" collapsed="false">
      <c r="A184" s="6" t="s">
        <v>446</v>
      </c>
      <c r="B184" s="11" t="n">
        <v>0</v>
      </c>
      <c r="C184" s="11" t="n">
        <f aca="false">B184</f>
        <v>0</v>
      </c>
      <c r="D184" s="36" t="str">
        <f aca="false">TRIM(A184)</f>
        <v>500236 Repairs Willet Hall</v>
      </c>
      <c r="E184" s="36" t="str">
        <f aca="false">IF(D184="Revenue","Revenue",IF(D184="Cost of Goods Sold","COGS",IF(D184="Expenditures","Expense",IF(D184="Other Revenue","Other Revenue",IF(D184="Other Expenditures","Other Expense",E183)))))</f>
        <v>Expense</v>
      </c>
      <c r="F184" s="36" t="str">
        <f aca="false">IF(OR(D184="Revenue",D184="Cost of Goods Sold",D184="Expenditures",D184="Other Revenue",D184="Other Expenditures"),E184,IF(AND(LEN(D184)&gt;2,MID(D184,2,1)=" ",ISNUMBER(VALUE(LEFT(D184,1)))),D184,F183))</f>
        <v>3 Operations</v>
      </c>
      <c r="G184" s="36" t="n">
        <f aca="false">IF(AND(D184&lt;&gt;"",ISNUMBER(B184),LEFT(D184,9)&lt;&gt;"Total for",D184&lt;&gt;"Gross Profit",D184&lt;&gt;"Net Operating Revenue",D184&lt;&gt;"Net Other Revenue",D184&lt;&gt;"Net Revenue"),1,0)</f>
        <v>1</v>
      </c>
      <c r="H184" s="36" t="str">
        <f aca="false">IF(G184=1,IF(AND(LEN(D184)&gt;7,ISNUMBER(VALUE(LEFT(D184,6))),MID(D184,7,1)=" "),LEFT(D184,6),D184),"")</f>
        <v>500236</v>
      </c>
      <c r="I184" s="36" t="str">
        <f aca="false">IF(G184=1,IF(COUNTIF('Forecast Detail'!$C$8:$C$400,H184)=0,"UNMAPPED","OK"),"")</f>
        <v>OK</v>
      </c>
    </row>
    <row r="185" customFormat="false" ht="15" hidden="false" customHeight="false" outlineLevel="0" collapsed="false">
      <c r="A185" s="6" t="s">
        <v>447</v>
      </c>
      <c r="B185" s="11" t="n">
        <v>643750</v>
      </c>
      <c r="C185" s="11" t="n">
        <f aca="false">B185</f>
        <v>643750</v>
      </c>
      <c r="D185" s="36" t="str">
        <f aca="false">TRIM(A185)</f>
        <v>Maintenance-Budget Only</v>
      </c>
      <c r="E185" s="36" t="str">
        <f aca="false">IF(D185="Revenue","Revenue",IF(D185="Cost of Goods Sold","COGS",IF(D185="Expenditures","Expense",IF(D185="Other Revenue","Other Revenue",IF(D185="Other Expenditures","Other Expense",E184)))))</f>
        <v>Expense</v>
      </c>
      <c r="F185" s="36" t="str">
        <f aca="false">IF(OR(D185="Revenue",D185="Cost of Goods Sold",D185="Expenditures",D185="Other Revenue",D185="Other Expenditures"),E185,IF(AND(LEN(D185)&gt;2,MID(D185,2,1)=" ",ISNUMBER(VALUE(LEFT(D185,1)))),D185,F184))</f>
        <v>3 Operations</v>
      </c>
      <c r="G185" s="36" t="n">
        <f aca="false">IF(AND(D185&lt;&gt;"",ISNUMBER(B185),LEFT(D185,9)&lt;&gt;"Total for",D185&lt;&gt;"Gross Profit",D185&lt;&gt;"Net Operating Revenue",D185&lt;&gt;"Net Other Revenue",D185&lt;&gt;"Net Revenue"),1,0)</f>
        <v>1</v>
      </c>
      <c r="H185" s="36" t="str">
        <f aca="false">IF(G185=1,IF(AND(LEN(D185)&gt;7,ISNUMBER(VALUE(LEFT(D185,6))),MID(D185,7,1)=" "),LEFT(D185,6),D185),"")</f>
        <v>Maintenance-Budget Only</v>
      </c>
      <c r="I185" s="36" t="str">
        <f aca="false">IF(G185=1,IF(COUNTIF('Forecast Detail'!$C$8:$C$400,H185)=0,"UNMAPPED","OK"),"")</f>
        <v>OK</v>
      </c>
    </row>
    <row r="186" customFormat="false" ht="15" hidden="false" customHeight="false" outlineLevel="0" collapsed="false">
      <c r="A186" s="6" t="s">
        <v>624</v>
      </c>
      <c r="D186" s="36" t="str">
        <f aca="false">TRIM(A186)</f>
        <v>Utilities</v>
      </c>
      <c r="E186" s="36" t="str">
        <f aca="false">IF(D186="Revenue","Revenue",IF(D186="Cost of Goods Sold","COGS",IF(D186="Expenditures","Expense",IF(D186="Other Revenue","Other Revenue",IF(D186="Other Expenditures","Other Expense",E185)))))</f>
        <v>Expense</v>
      </c>
      <c r="F186" s="36" t="str">
        <f aca="false">IF(OR(D186="Revenue",D186="Cost of Goods Sold",D186="Expenditures",D186="Other Revenue",D186="Other Expenditures"),E186,IF(AND(LEN(D186)&gt;2,MID(D186,2,1)=" ",ISNUMBER(VALUE(LEFT(D186,1)))),D186,F185))</f>
        <v>3 Operations</v>
      </c>
      <c r="G186" s="36" t="n">
        <f aca="false">IF(AND(D186&lt;&gt;"",ISNUMBER(B186),LEFT(D186,9)&lt;&gt;"Total for",D186&lt;&gt;"Gross Profit",D186&lt;&gt;"Net Operating Revenue",D186&lt;&gt;"Net Other Revenue",D186&lt;&gt;"Net Revenue"),1,0)</f>
        <v>0</v>
      </c>
      <c r="H186" s="36" t="str">
        <f aca="false">IF(G186=1,IF(AND(LEN(D186)&gt;7,ISNUMBER(VALUE(LEFT(D186,6))),MID(D186,7,1)=" "),LEFT(D186,6),D186),"")</f>
        <v/>
      </c>
      <c r="I186" s="36" t="str">
        <f aca="false">IF(G186=1,IF(COUNTIF('Forecast Detail'!$C$8:$C$400,H186)=0,"UNMAPPED","OK"),"")</f>
        <v/>
      </c>
    </row>
    <row r="187" customFormat="false" ht="15" hidden="false" customHeight="false" outlineLevel="0" collapsed="false">
      <c r="A187" s="6" t="s">
        <v>449</v>
      </c>
      <c r="B187" s="11" t="n">
        <v>0</v>
      </c>
      <c r="C187" s="11" t="n">
        <f aca="false">B187</f>
        <v>0</v>
      </c>
      <c r="D187" s="36" t="str">
        <f aca="false">TRIM(A187)</f>
        <v>500237 Utilities - Power</v>
      </c>
      <c r="E187" s="36" t="str">
        <f aca="false">IF(D187="Revenue","Revenue",IF(D187="Cost of Goods Sold","COGS",IF(D187="Expenditures","Expense",IF(D187="Other Revenue","Other Revenue",IF(D187="Other Expenditures","Other Expense",E186)))))</f>
        <v>Expense</v>
      </c>
      <c r="F187" s="36" t="str">
        <f aca="false">IF(OR(D187="Revenue",D187="Cost of Goods Sold",D187="Expenditures",D187="Other Revenue",D187="Other Expenditures"),E187,IF(AND(LEN(D187)&gt;2,MID(D187,2,1)=" ",ISNUMBER(VALUE(LEFT(D187,1)))),D187,F186))</f>
        <v>3 Operations</v>
      </c>
      <c r="G187" s="36" t="n">
        <f aca="false">IF(AND(D187&lt;&gt;"",ISNUMBER(B187),LEFT(D187,9)&lt;&gt;"Total for",D187&lt;&gt;"Gross Profit",D187&lt;&gt;"Net Operating Revenue",D187&lt;&gt;"Net Other Revenue",D187&lt;&gt;"Net Revenue"),1,0)</f>
        <v>1</v>
      </c>
      <c r="H187" s="36" t="str">
        <f aca="false">IF(G187=1,IF(AND(LEN(D187)&gt;7,ISNUMBER(VALUE(LEFT(D187,6))),MID(D187,7,1)=" "),LEFT(D187,6),D187),"")</f>
        <v>500237</v>
      </c>
      <c r="I187" s="36" t="str">
        <f aca="false">IF(G187=1,IF(COUNTIF('Forecast Detail'!$C$8:$C$400,H187)=0,"UNMAPPED","OK"),"")</f>
        <v>OK</v>
      </c>
    </row>
    <row r="188" customFormat="false" ht="15" hidden="false" customHeight="false" outlineLevel="0" collapsed="false">
      <c r="A188" s="6" t="s">
        <v>451</v>
      </c>
      <c r="B188" s="11" t="n">
        <v>0</v>
      </c>
      <c r="C188" s="11" t="n">
        <f aca="false">B188</f>
        <v>0</v>
      </c>
      <c r="D188" s="36" t="str">
        <f aca="false">TRIM(A188)</f>
        <v>500238 Utilities Water</v>
      </c>
      <c r="E188" s="36" t="str">
        <f aca="false">IF(D188="Revenue","Revenue",IF(D188="Cost of Goods Sold","COGS",IF(D188="Expenditures","Expense",IF(D188="Other Revenue","Other Revenue",IF(D188="Other Expenditures","Other Expense",E187)))))</f>
        <v>Expense</v>
      </c>
      <c r="F188" s="36" t="str">
        <f aca="false">IF(OR(D188="Revenue",D188="Cost of Goods Sold",D188="Expenditures",D188="Other Revenue",D188="Other Expenditures"),E188,IF(AND(LEN(D188)&gt;2,MID(D188,2,1)=" ",ISNUMBER(VALUE(LEFT(D188,1)))),D188,F187))</f>
        <v>3 Operations</v>
      </c>
      <c r="G188" s="36" t="n">
        <f aca="false">IF(AND(D188&lt;&gt;"",ISNUMBER(B188),LEFT(D188,9)&lt;&gt;"Total for",D188&lt;&gt;"Gross Profit",D188&lt;&gt;"Net Operating Revenue",D188&lt;&gt;"Net Other Revenue",D188&lt;&gt;"Net Revenue"),1,0)</f>
        <v>1</v>
      </c>
      <c r="H188" s="36" t="str">
        <f aca="false">IF(G188=1,IF(AND(LEN(D188)&gt;7,ISNUMBER(VALUE(LEFT(D188,6))),MID(D188,7,1)=" "),LEFT(D188,6),D188),"")</f>
        <v>500238</v>
      </c>
      <c r="I188" s="36" t="str">
        <f aca="false">IF(G188=1,IF(COUNTIF('Forecast Detail'!$C$8:$C$400,H188)=0,"UNMAPPED","OK"),"")</f>
        <v>OK</v>
      </c>
    </row>
    <row r="189" customFormat="false" ht="15" hidden="false" customHeight="false" outlineLevel="0" collapsed="false">
      <c r="A189" s="6" t="s">
        <v>453</v>
      </c>
      <c r="B189" s="11" t="n">
        <v>0</v>
      </c>
      <c r="C189" s="11" t="n">
        <f aca="false">B189</f>
        <v>0</v>
      </c>
      <c r="D189" s="36" t="str">
        <f aca="false">TRIM(A189)</f>
        <v>500239 Utilities Telephone &amp; Cell</v>
      </c>
      <c r="E189" s="36" t="str">
        <f aca="false">IF(D189="Revenue","Revenue",IF(D189="Cost of Goods Sold","COGS",IF(D189="Expenditures","Expense",IF(D189="Other Revenue","Other Revenue",IF(D189="Other Expenditures","Other Expense",E188)))))</f>
        <v>Expense</v>
      </c>
      <c r="F189" s="36" t="str">
        <f aca="false">IF(OR(D189="Revenue",D189="Cost of Goods Sold",D189="Expenditures",D189="Other Revenue",D189="Other Expenditures"),E189,IF(AND(LEN(D189)&gt;2,MID(D189,2,1)=" ",ISNUMBER(VALUE(LEFT(D189,1)))),D189,F188))</f>
        <v>3 Operations</v>
      </c>
      <c r="G189" s="36" t="n">
        <f aca="false">IF(AND(D189&lt;&gt;"",ISNUMBER(B189),LEFT(D189,9)&lt;&gt;"Total for",D189&lt;&gt;"Gross Profit",D189&lt;&gt;"Net Operating Revenue",D189&lt;&gt;"Net Other Revenue",D189&lt;&gt;"Net Revenue"),1,0)</f>
        <v>1</v>
      </c>
      <c r="H189" s="36" t="str">
        <f aca="false">IF(G189=1,IF(AND(LEN(D189)&gt;7,ISNUMBER(VALUE(LEFT(D189,6))),MID(D189,7,1)=" "),LEFT(D189,6),D189),"")</f>
        <v>500239</v>
      </c>
      <c r="I189" s="36" t="str">
        <f aca="false">IF(G189=1,IF(COUNTIF('Forecast Detail'!$C$8:$C$400,H189)=0,"UNMAPPED","OK"),"")</f>
        <v>OK</v>
      </c>
    </row>
    <row r="190" customFormat="false" ht="15" hidden="false" customHeight="false" outlineLevel="0" collapsed="false">
      <c r="A190" s="6" t="s">
        <v>455</v>
      </c>
      <c r="B190" s="11" t="n">
        <v>0</v>
      </c>
      <c r="C190" s="11" t="n">
        <f aca="false">B190</f>
        <v>0</v>
      </c>
      <c r="D190" s="36" t="str">
        <f aca="false">TRIM(A190)</f>
        <v>500240 Utilities Gas</v>
      </c>
      <c r="E190" s="36" t="str">
        <f aca="false">IF(D190="Revenue","Revenue",IF(D190="Cost of Goods Sold","COGS",IF(D190="Expenditures","Expense",IF(D190="Other Revenue","Other Revenue",IF(D190="Other Expenditures","Other Expense",E189)))))</f>
        <v>Expense</v>
      </c>
      <c r="F190" s="36" t="str">
        <f aca="false">IF(OR(D190="Revenue",D190="Cost of Goods Sold",D190="Expenditures",D190="Other Revenue",D190="Other Expenditures"),E190,IF(AND(LEN(D190)&gt;2,MID(D190,2,1)=" ",ISNUMBER(VALUE(LEFT(D190,1)))),D190,F189))</f>
        <v>3 Operations</v>
      </c>
      <c r="G190" s="36" t="n">
        <f aca="false">IF(AND(D190&lt;&gt;"",ISNUMBER(B190),LEFT(D190,9)&lt;&gt;"Total for",D190&lt;&gt;"Gross Profit",D190&lt;&gt;"Net Operating Revenue",D190&lt;&gt;"Net Other Revenue",D190&lt;&gt;"Net Revenue"),1,0)</f>
        <v>1</v>
      </c>
      <c r="H190" s="36" t="str">
        <f aca="false">IF(G190=1,IF(AND(LEN(D190)&gt;7,ISNUMBER(VALUE(LEFT(D190,6))),MID(D190,7,1)=" "),LEFT(D190,6),D190),"")</f>
        <v>500240</v>
      </c>
      <c r="I190" s="36" t="str">
        <f aca="false">IF(G190=1,IF(COUNTIF('Forecast Detail'!$C$8:$C$400,H190)=0,"UNMAPPED","OK"),"")</f>
        <v>OK</v>
      </c>
    </row>
    <row r="191" customFormat="false" ht="15" hidden="false" customHeight="false" outlineLevel="0" collapsed="false">
      <c r="A191" s="6" t="s">
        <v>625</v>
      </c>
      <c r="B191" s="11" t="n">
        <f aca="false">B186+B187+B188+B189+B190</f>
        <v>0</v>
      </c>
      <c r="C191" s="11" t="n">
        <f aca="false">B191</f>
        <v>0</v>
      </c>
      <c r="D191" s="36" t="str">
        <f aca="false">TRIM(A191)</f>
        <v>Total for Utilities</v>
      </c>
      <c r="E191" s="36" t="str">
        <f aca="false">IF(D191="Revenue","Revenue",IF(D191="Cost of Goods Sold","COGS",IF(D191="Expenditures","Expense",IF(D191="Other Revenue","Other Revenue",IF(D191="Other Expenditures","Other Expense",E190)))))</f>
        <v>Expense</v>
      </c>
      <c r="F191" s="36" t="str">
        <f aca="false">IF(OR(D191="Revenue",D191="Cost of Goods Sold",D191="Expenditures",D191="Other Revenue",D191="Other Expenditures"),E191,IF(AND(LEN(D191)&gt;2,MID(D191,2,1)=" ",ISNUMBER(VALUE(LEFT(D191,1)))),D191,F190))</f>
        <v>3 Operations</v>
      </c>
      <c r="G191" s="36" t="n">
        <f aca="false">IF(AND(D191&lt;&gt;"",ISNUMBER(B191),LEFT(D191,9)&lt;&gt;"Total for",D191&lt;&gt;"Gross Profit",D191&lt;&gt;"Net Operating Revenue",D191&lt;&gt;"Net Other Revenue",D191&lt;&gt;"Net Revenue"),1,0)</f>
        <v>0</v>
      </c>
      <c r="H191" s="36" t="str">
        <f aca="false">IF(G191=1,IF(AND(LEN(D191)&gt;7,ISNUMBER(VALUE(LEFT(D191,6))),MID(D191,7,1)=" "),LEFT(D191,6),D191),"")</f>
        <v/>
      </c>
      <c r="I191" s="36" t="str">
        <f aca="false">IF(G191=1,IF(COUNTIF('Forecast Detail'!$C$8:$C$400,H191)=0,"UNMAPPED","OK"),"")</f>
        <v/>
      </c>
    </row>
    <row r="192" customFormat="false" ht="15" hidden="false" customHeight="false" outlineLevel="0" collapsed="false">
      <c r="A192" s="6" t="s">
        <v>626</v>
      </c>
      <c r="B192" s="11" t="n">
        <f aca="false">B174+B175+B176+B177+B178+B179+B180+B181+B182+B183+B184+B185+B191</f>
        <v>828750</v>
      </c>
      <c r="C192" s="11" t="n">
        <f aca="false">B192</f>
        <v>828750</v>
      </c>
      <c r="D192" s="36" t="str">
        <f aca="false">TRIM(A192)</f>
        <v>Total for Maintenance/Grounds/Utilities Expenses</v>
      </c>
      <c r="E192" s="36" t="str">
        <f aca="false">IF(D192="Revenue","Revenue",IF(D192="Cost of Goods Sold","COGS",IF(D192="Expenditures","Expense",IF(D192="Other Revenue","Other Revenue",IF(D192="Other Expenditures","Other Expense",E191)))))</f>
        <v>Expense</v>
      </c>
      <c r="F192" s="36" t="str">
        <f aca="false">IF(OR(D192="Revenue",D192="Cost of Goods Sold",D192="Expenditures",D192="Other Revenue",D192="Other Expenditures"),E192,IF(AND(LEN(D192)&gt;2,MID(D192,2,1)=" ",ISNUMBER(VALUE(LEFT(D192,1)))),D192,F191))</f>
        <v>3 Operations</v>
      </c>
      <c r="G192" s="36" t="n">
        <f aca="false">IF(AND(D192&lt;&gt;"",ISNUMBER(B192),LEFT(D192,9)&lt;&gt;"Total for",D192&lt;&gt;"Gross Profit",D192&lt;&gt;"Net Operating Revenue",D192&lt;&gt;"Net Other Revenue",D192&lt;&gt;"Net Revenue"),1,0)</f>
        <v>0</v>
      </c>
      <c r="H192" s="36" t="str">
        <f aca="false">IF(G192=1,IF(AND(LEN(D192)&gt;7,ISNUMBER(VALUE(LEFT(D192,6))),MID(D192,7,1)=" "),LEFT(D192,6),D192),"")</f>
        <v/>
      </c>
      <c r="I192" s="36" t="str">
        <f aca="false">IF(G192=1,IF(COUNTIF('Forecast Detail'!$C$8:$C$400,H192)=0,"UNMAPPED","OK"),"")</f>
        <v/>
      </c>
    </row>
    <row r="193" customFormat="false" ht="15" hidden="false" customHeight="false" outlineLevel="0" collapsed="false">
      <c r="A193" s="6" t="s">
        <v>627</v>
      </c>
      <c r="B193" s="11" t="n">
        <f aca="false">B153+B167+B168+B173+B192</f>
        <v>1847250</v>
      </c>
      <c r="C193" s="11" t="n">
        <f aca="false">B193</f>
        <v>1847250</v>
      </c>
      <c r="D193" s="36" t="str">
        <f aca="false">TRIM(A193)</f>
        <v>Total for 3 Operations</v>
      </c>
      <c r="E193" s="36" t="str">
        <f aca="false">IF(D193="Revenue","Revenue",IF(D193="Cost of Goods Sold","COGS",IF(D193="Expenditures","Expense",IF(D193="Other Revenue","Other Revenue",IF(D193="Other Expenditures","Other Expense",E192)))))</f>
        <v>Expense</v>
      </c>
      <c r="F193" s="36" t="str">
        <f aca="false">IF(OR(D193="Revenue",D193="Cost of Goods Sold",D193="Expenditures",D193="Other Revenue",D193="Other Expenditures"),E193,IF(AND(LEN(D193)&gt;2,MID(D193,2,1)=" ",ISNUMBER(VALUE(LEFT(D193,1)))),D193,F192))</f>
        <v>3 Operations</v>
      </c>
      <c r="G193" s="36" t="n">
        <f aca="false">IF(AND(D193&lt;&gt;"",ISNUMBER(B193),LEFT(D193,9)&lt;&gt;"Total for",D193&lt;&gt;"Gross Profit",D193&lt;&gt;"Net Operating Revenue",D193&lt;&gt;"Net Other Revenue",D193&lt;&gt;"Net Revenue"),1,0)</f>
        <v>0</v>
      </c>
      <c r="H193" s="36" t="str">
        <f aca="false">IF(G193=1,IF(AND(LEN(D193)&gt;7,ISNUMBER(VALUE(LEFT(D193,6))),MID(D193,7,1)=" "),LEFT(D193,6),D193),"")</f>
        <v/>
      </c>
      <c r="I193" s="36" t="str">
        <f aca="false">IF(G193=1,IF(COUNTIF('Forecast Detail'!$C$8:$C$400,H193)=0,"UNMAPPED","OK"),"")</f>
        <v/>
      </c>
    </row>
    <row r="194" customFormat="false" ht="15" hidden="false" customHeight="false" outlineLevel="0" collapsed="false">
      <c r="A194" s="6" t="s">
        <v>17</v>
      </c>
      <c r="D194" s="36" t="str">
        <f aca="false">TRIM(A194)</f>
        <v>4 Administrative</v>
      </c>
      <c r="E194" s="36" t="str">
        <f aca="false">IF(D194="Revenue","Revenue",IF(D194="Cost of Goods Sold","COGS",IF(D194="Expenditures","Expense",IF(D194="Other Revenue","Other Revenue",IF(D194="Other Expenditures","Other Expense",E193)))))</f>
        <v>Expense</v>
      </c>
      <c r="F194" s="36" t="str">
        <f aca="false">IF(OR(D194="Revenue",D194="Cost of Goods Sold",D194="Expenditures",D194="Other Revenue",D194="Other Expenditures"),E194,IF(AND(LEN(D194)&gt;2,MID(D194,2,1)=" ",ISNUMBER(VALUE(LEFT(D194,1)))),D194,F193))</f>
        <v>4 Administrative</v>
      </c>
      <c r="G194" s="36" t="n">
        <f aca="false">IF(AND(D194&lt;&gt;"",ISNUMBER(B194),LEFT(D194,9)&lt;&gt;"Total for",D194&lt;&gt;"Gross Profit",D194&lt;&gt;"Net Operating Revenue",D194&lt;&gt;"Net Other Revenue",D194&lt;&gt;"Net Revenue"),1,0)</f>
        <v>0</v>
      </c>
      <c r="H194" s="36" t="str">
        <f aca="false">IF(G194=1,IF(AND(LEN(D194)&gt;7,ISNUMBER(VALUE(LEFT(D194,6))),MID(D194,7,1)=" "),LEFT(D194,6),D194),"")</f>
        <v/>
      </c>
      <c r="I194" s="36" t="str">
        <f aca="false">IF(G194=1,IF(COUNTIF('Forecast Detail'!$C$8:$C$400,H194)=0,"UNMAPPED","OK"),"")</f>
        <v/>
      </c>
    </row>
    <row r="195" customFormat="false" ht="15" hidden="false" customHeight="false" outlineLevel="0" collapsed="false">
      <c r="A195" s="6" t="s">
        <v>628</v>
      </c>
      <c r="D195" s="36" t="str">
        <f aca="false">TRIM(A195)</f>
        <v>Administrative Activities-General</v>
      </c>
      <c r="E195" s="36" t="str">
        <f aca="false">IF(D195="Revenue","Revenue",IF(D195="Cost of Goods Sold","COGS",IF(D195="Expenditures","Expense",IF(D195="Other Revenue","Other Revenue",IF(D195="Other Expenditures","Other Expense",E194)))))</f>
        <v>Expense</v>
      </c>
      <c r="F195" s="36" t="str">
        <f aca="false">IF(OR(D195="Revenue",D195="Cost of Goods Sold",D195="Expenditures",D195="Other Revenue",D195="Other Expenditures"),E195,IF(AND(LEN(D195)&gt;2,MID(D195,2,1)=" ",ISNUMBER(VALUE(LEFT(D195,1)))),D195,F194))</f>
        <v>4 Administrative</v>
      </c>
      <c r="G195" s="36" t="n">
        <f aca="false">IF(AND(D195&lt;&gt;"",ISNUMBER(B195),LEFT(D195,9)&lt;&gt;"Total for",D195&lt;&gt;"Gross Profit",D195&lt;&gt;"Net Operating Revenue",D195&lt;&gt;"Net Other Revenue",D195&lt;&gt;"Net Revenue"),1,0)</f>
        <v>0</v>
      </c>
      <c r="H195" s="36" t="str">
        <f aca="false">IF(G195=1,IF(AND(LEN(D195)&gt;7,ISNUMBER(VALUE(LEFT(D195,6))),MID(D195,7,1)=" "),LEFT(D195,6),D195),"")</f>
        <v/>
      </c>
      <c r="I195" s="36" t="str">
        <f aca="false">IF(G195=1,IF(COUNTIF('Forecast Detail'!$C$8:$C$400,H195)=0,"UNMAPPED","OK"),"")</f>
        <v/>
      </c>
    </row>
    <row r="196" customFormat="false" ht="15" hidden="false" customHeight="false" outlineLevel="0" collapsed="false">
      <c r="A196" s="6" t="s">
        <v>457</v>
      </c>
      <c r="B196" s="11" t="n">
        <v>30000</v>
      </c>
      <c r="C196" s="11" t="n">
        <f aca="false">B196</f>
        <v>30000</v>
      </c>
      <c r="D196" s="36" t="str">
        <f aca="false">TRIM(A196)</f>
        <v>500017 Admissions</v>
      </c>
      <c r="E196" s="36" t="str">
        <f aca="false">IF(D196="Revenue","Revenue",IF(D196="Cost of Goods Sold","COGS",IF(D196="Expenditures","Expense",IF(D196="Other Revenue","Other Revenue",IF(D196="Other Expenditures","Other Expense",E195)))))</f>
        <v>Expense</v>
      </c>
      <c r="F196" s="36" t="str">
        <f aca="false">IF(OR(D196="Revenue",D196="Cost of Goods Sold",D196="Expenditures",D196="Other Revenue",D196="Other Expenditures"),E196,IF(AND(LEN(D196)&gt;2,MID(D196,2,1)=" ",ISNUMBER(VALUE(LEFT(D196,1)))),D196,F195))</f>
        <v>4 Administrative</v>
      </c>
      <c r="G196" s="36" t="n">
        <f aca="false">IF(AND(D196&lt;&gt;"",ISNUMBER(B196),LEFT(D196,9)&lt;&gt;"Total for",D196&lt;&gt;"Gross Profit",D196&lt;&gt;"Net Operating Revenue",D196&lt;&gt;"Net Other Revenue",D196&lt;&gt;"Net Revenue"),1,0)</f>
        <v>1</v>
      </c>
      <c r="H196" s="36" t="str">
        <f aca="false">IF(G196=1,IF(AND(LEN(D196)&gt;7,ISNUMBER(VALUE(LEFT(D196,6))),MID(D196,7,1)=" "),LEFT(D196,6),D196),"")</f>
        <v>500017</v>
      </c>
      <c r="I196" s="36" t="str">
        <f aca="false">IF(G196=1,IF(COUNTIF('Forecast Detail'!$C$8:$C$400,H196)=0,"UNMAPPED","OK"),"")</f>
        <v>OK</v>
      </c>
    </row>
    <row r="197" customFormat="false" ht="15" hidden="false" customHeight="false" outlineLevel="0" collapsed="false">
      <c r="A197" s="6" t="s">
        <v>459</v>
      </c>
      <c r="B197" s="11" t="n">
        <v>7700</v>
      </c>
      <c r="C197" s="11" t="n">
        <f aca="false">B197</f>
        <v>7700</v>
      </c>
      <c r="D197" s="36" t="str">
        <f aca="false">TRIM(A197)</f>
        <v>500018 College Counseling</v>
      </c>
      <c r="E197" s="36" t="str">
        <f aca="false">IF(D197="Revenue","Revenue",IF(D197="Cost of Goods Sold","COGS",IF(D197="Expenditures","Expense",IF(D197="Other Revenue","Other Revenue",IF(D197="Other Expenditures","Other Expense",E196)))))</f>
        <v>Expense</v>
      </c>
      <c r="F197" s="36" t="str">
        <f aca="false">IF(OR(D197="Revenue",D197="Cost of Goods Sold",D197="Expenditures",D197="Other Revenue",D197="Other Expenditures"),E197,IF(AND(LEN(D197)&gt;2,MID(D197,2,1)=" ",ISNUMBER(VALUE(LEFT(D197,1)))),D197,F196))</f>
        <v>4 Administrative</v>
      </c>
      <c r="G197" s="36" t="n">
        <f aca="false">IF(AND(D197&lt;&gt;"",ISNUMBER(B197),LEFT(D197,9)&lt;&gt;"Total for",D197&lt;&gt;"Gross Profit",D197&lt;&gt;"Net Operating Revenue",D197&lt;&gt;"Net Other Revenue",D197&lt;&gt;"Net Revenue"),1,0)</f>
        <v>1</v>
      </c>
      <c r="H197" s="36" t="str">
        <f aca="false">IF(G197=1,IF(AND(LEN(D197)&gt;7,ISNUMBER(VALUE(LEFT(D197,6))),MID(D197,7,1)=" "),LEFT(D197,6),D197),"")</f>
        <v>500018</v>
      </c>
      <c r="I197" s="36" t="str">
        <f aca="false">IF(G197=1,IF(COUNTIF('Forecast Detail'!$C$8:$C$400,H197)=0,"UNMAPPED","OK"),"")</f>
        <v>OK</v>
      </c>
    </row>
    <row r="198" customFormat="false" ht="15" hidden="false" customHeight="false" outlineLevel="0" collapsed="false">
      <c r="A198" s="6" t="s">
        <v>461</v>
      </c>
      <c r="B198" s="11" t="n">
        <v>20000</v>
      </c>
      <c r="C198" s="11" t="n">
        <f aca="false">B198</f>
        <v>20000</v>
      </c>
      <c r="D198" s="36" t="str">
        <f aca="false">TRIM(A198)</f>
        <v>500019 Guidance Office</v>
      </c>
      <c r="E198" s="36" t="str">
        <f aca="false">IF(D198="Revenue","Revenue",IF(D198="Cost of Goods Sold","COGS",IF(D198="Expenditures","Expense",IF(D198="Other Revenue","Other Revenue",IF(D198="Other Expenditures","Other Expense",E197)))))</f>
        <v>Expense</v>
      </c>
      <c r="F198" s="36" t="str">
        <f aca="false">IF(OR(D198="Revenue",D198="Cost of Goods Sold",D198="Expenditures",D198="Other Revenue",D198="Other Expenditures"),E198,IF(AND(LEN(D198)&gt;2,MID(D198,2,1)=" ",ISNUMBER(VALUE(LEFT(D198,1)))),D198,F197))</f>
        <v>4 Administrative</v>
      </c>
      <c r="G198" s="36" t="n">
        <f aca="false">IF(AND(D198&lt;&gt;"",ISNUMBER(B198),LEFT(D198,9)&lt;&gt;"Total for",D198&lt;&gt;"Gross Profit",D198&lt;&gt;"Net Operating Revenue",D198&lt;&gt;"Net Other Revenue",D198&lt;&gt;"Net Revenue"),1,0)</f>
        <v>1</v>
      </c>
      <c r="H198" s="36" t="str">
        <f aca="false">IF(G198=1,IF(AND(LEN(D198)&gt;7,ISNUMBER(VALUE(LEFT(D198,6))),MID(D198,7,1)=" "),LEFT(D198,6),D198),"")</f>
        <v>500019</v>
      </c>
      <c r="I198" s="36" t="str">
        <f aca="false">IF(G198=1,IF(COUNTIF('Forecast Detail'!$C$8:$C$400,H198)=0,"UNMAPPED","OK"),"")</f>
        <v>OK</v>
      </c>
    </row>
    <row r="199" customFormat="false" ht="15" hidden="false" customHeight="false" outlineLevel="0" collapsed="false">
      <c r="A199" s="6" t="s">
        <v>463</v>
      </c>
      <c r="B199" s="11" t="n">
        <v>6000</v>
      </c>
      <c r="C199" s="11" t="n">
        <f aca="false">B199</f>
        <v>6000</v>
      </c>
      <c r="D199" s="36" t="str">
        <f aca="false">TRIM(A199)</f>
        <v>500020 Head of School Expenses</v>
      </c>
      <c r="E199" s="36" t="str">
        <f aca="false">IF(D199="Revenue","Revenue",IF(D199="Cost of Goods Sold","COGS",IF(D199="Expenditures","Expense",IF(D199="Other Revenue","Other Revenue",IF(D199="Other Expenditures","Other Expense",E198)))))</f>
        <v>Expense</v>
      </c>
      <c r="F199" s="36" t="str">
        <f aca="false">IF(OR(D199="Revenue",D199="Cost of Goods Sold",D199="Expenditures",D199="Other Revenue",D199="Other Expenditures"),E199,IF(AND(LEN(D199)&gt;2,MID(D199,2,1)=" ",ISNUMBER(VALUE(LEFT(D199,1)))),D199,F198))</f>
        <v>4 Administrative</v>
      </c>
      <c r="G199" s="36" t="n">
        <f aca="false">IF(AND(D199&lt;&gt;"",ISNUMBER(B199),LEFT(D199,9)&lt;&gt;"Total for",D199&lt;&gt;"Gross Profit",D199&lt;&gt;"Net Operating Revenue",D199&lt;&gt;"Net Other Revenue",D199&lt;&gt;"Net Revenue"),1,0)</f>
        <v>1</v>
      </c>
      <c r="H199" s="36" t="str">
        <f aca="false">IF(G199=1,IF(AND(LEN(D199)&gt;7,ISNUMBER(VALUE(LEFT(D199,6))),MID(D199,7,1)=" "),LEFT(D199,6),D199),"")</f>
        <v>500020</v>
      </c>
      <c r="I199" s="36" t="str">
        <f aca="false">IF(G199=1,IF(COUNTIF('Forecast Detail'!$C$8:$C$400,H199)=0,"UNMAPPED","OK"),"")</f>
        <v>OK</v>
      </c>
    </row>
    <row r="200" customFormat="false" ht="15" hidden="false" customHeight="false" outlineLevel="0" collapsed="false">
      <c r="A200" s="6" t="s">
        <v>465</v>
      </c>
      <c r="B200" s="11" t="n">
        <v>4000</v>
      </c>
      <c r="C200" s="11" t="n">
        <f aca="false">B200</f>
        <v>4000</v>
      </c>
      <c r="D200" s="36" t="str">
        <f aca="false">TRIM(A200)</f>
        <v>500022 Board Expense</v>
      </c>
      <c r="E200" s="36" t="str">
        <f aca="false">IF(D200="Revenue","Revenue",IF(D200="Cost of Goods Sold","COGS",IF(D200="Expenditures","Expense",IF(D200="Other Revenue","Other Revenue",IF(D200="Other Expenditures","Other Expense",E199)))))</f>
        <v>Expense</v>
      </c>
      <c r="F200" s="36" t="str">
        <f aca="false">IF(OR(D200="Revenue",D200="Cost of Goods Sold",D200="Expenditures",D200="Other Revenue",D200="Other Expenditures"),E200,IF(AND(LEN(D200)&gt;2,MID(D200,2,1)=" ",ISNUMBER(VALUE(LEFT(D200,1)))),D200,F199))</f>
        <v>4 Administrative</v>
      </c>
      <c r="G200" s="36" t="n">
        <f aca="false">IF(AND(D200&lt;&gt;"",ISNUMBER(B200),LEFT(D200,9)&lt;&gt;"Total for",D200&lt;&gt;"Gross Profit",D200&lt;&gt;"Net Operating Revenue",D200&lt;&gt;"Net Other Revenue",D200&lt;&gt;"Net Revenue"),1,0)</f>
        <v>1</v>
      </c>
      <c r="H200" s="36" t="str">
        <f aca="false">IF(G200=1,IF(AND(LEN(D200)&gt;7,ISNUMBER(VALUE(LEFT(D200,6))),MID(D200,7,1)=" "),LEFT(D200,6),D200),"")</f>
        <v>500022</v>
      </c>
      <c r="I200" s="36" t="str">
        <f aca="false">IF(G200=1,IF(COUNTIF('Forecast Detail'!$C$8:$C$400,H200)=0,"UNMAPPED","OK"),"")</f>
        <v>OK</v>
      </c>
    </row>
    <row r="201" customFormat="false" ht="15" hidden="false" customHeight="false" outlineLevel="0" collapsed="false">
      <c r="A201" s="6" t="s">
        <v>467</v>
      </c>
      <c r="B201" s="11" t="n">
        <v>3000</v>
      </c>
      <c r="C201" s="11" t="n">
        <f aca="false">B201</f>
        <v>3000</v>
      </c>
      <c r="D201" s="36" t="str">
        <f aca="false">TRIM(A201)</f>
        <v>500024 Faculty Appreciation</v>
      </c>
      <c r="E201" s="36" t="str">
        <f aca="false">IF(D201="Revenue","Revenue",IF(D201="Cost of Goods Sold","COGS",IF(D201="Expenditures","Expense",IF(D201="Other Revenue","Other Revenue",IF(D201="Other Expenditures","Other Expense",E200)))))</f>
        <v>Expense</v>
      </c>
      <c r="F201" s="36" t="str">
        <f aca="false">IF(OR(D201="Revenue",D201="Cost of Goods Sold",D201="Expenditures",D201="Other Revenue",D201="Other Expenditures"),E201,IF(AND(LEN(D201)&gt;2,MID(D201,2,1)=" ",ISNUMBER(VALUE(LEFT(D201,1)))),D201,F200))</f>
        <v>4 Administrative</v>
      </c>
      <c r="G201" s="36" t="n">
        <f aca="false">IF(AND(D201&lt;&gt;"",ISNUMBER(B201),LEFT(D201,9)&lt;&gt;"Total for",D201&lt;&gt;"Gross Profit",D201&lt;&gt;"Net Operating Revenue",D201&lt;&gt;"Net Other Revenue",D201&lt;&gt;"Net Revenue"),1,0)</f>
        <v>1</v>
      </c>
      <c r="H201" s="36" t="str">
        <f aca="false">IF(G201=1,IF(AND(LEN(D201)&gt;7,ISNUMBER(VALUE(LEFT(D201,6))),MID(D201,7,1)=" "),LEFT(D201,6),D201),"")</f>
        <v>500024</v>
      </c>
      <c r="I201" s="36" t="str">
        <f aca="false">IF(G201=1,IF(COUNTIF('Forecast Detail'!$C$8:$C$400,H201)=0,"UNMAPPED","OK"),"")</f>
        <v>OK</v>
      </c>
    </row>
    <row r="202" customFormat="false" ht="15" hidden="false" customHeight="false" outlineLevel="0" collapsed="false">
      <c r="A202" s="6" t="s">
        <v>469</v>
      </c>
      <c r="B202" s="11" t="n">
        <v>25000</v>
      </c>
      <c r="C202" s="11" t="n">
        <f aca="false">B202</f>
        <v>25000</v>
      </c>
      <c r="D202" s="36" t="str">
        <f aca="false">TRIM(A202)</f>
        <v>500056 Athletic Contingency Playoff Expenses</v>
      </c>
      <c r="E202" s="36" t="str">
        <f aca="false">IF(D202="Revenue","Revenue",IF(D202="Cost of Goods Sold","COGS",IF(D202="Expenditures","Expense",IF(D202="Other Revenue","Other Revenue",IF(D202="Other Expenditures","Other Expense",E201)))))</f>
        <v>Expense</v>
      </c>
      <c r="F202" s="36" t="str">
        <f aca="false">IF(OR(D202="Revenue",D202="Cost of Goods Sold",D202="Expenditures",D202="Other Revenue",D202="Other Expenditures"),E202,IF(AND(LEN(D202)&gt;2,MID(D202,2,1)=" ",ISNUMBER(VALUE(LEFT(D202,1)))),D202,F201))</f>
        <v>4 Administrative</v>
      </c>
      <c r="G202" s="36" t="n">
        <f aca="false">IF(AND(D202&lt;&gt;"",ISNUMBER(B202),LEFT(D202,9)&lt;&gt;"Total for",D202&lt;&gt;"Gross Profit",D202&lt;&gt;"Net Operating Revenue",D202&lt;&gt;"Net Other Revenue",D202&lt;&gt;"Net Revenue"),1,0)</f>
        <v>1</v>
      </c>
      <c r="H202" s="36" t="str">
        <f aca="false">IF(G202=1,IF(AND(LEN(D202)&gt;7,ISNUMBER(VALUE(LEFT(D202,6))),MID(D202,7,1)=" "),LEFT(D202,6),D202),"")</f>
        <v>500056</v>
      </c>
      <c r="I202" s="36" t="str">
        <f aca="false">IF(G202=1,IF(COUNTIF('Forecast Detail'!$C$8:$C$400,H202)=0,"UNMAPPED","OK"),"")</f>
        <v>OK</v>
      </c>
    </row>
    <row r="203" customFormat="false" ht="15" hidden="false" customHeight="false" outlineLevel="0" collapsed="false">
      <c r="A203" s="6" t="s">
        <v>471</v>
      </c>
      <c r="B203" s="11" t="n">
        <v>6000</v>
      </c>
      <c r="C203" s="11" t="n">
        <f aca="false">B203</f>
        <v>6000</v>
      </c>
      <c r="D203" s="36" t="str">
        <f aca="false">TRIM(A203)</f>
        <v>500127 Cirrus Lease</v>
      </c>
      <c r="E203" s="36" t="str">
        <f aca="false">IF(D203="Revenue","Revenue",IF(D203="Cost of Goods Sold","COGS",IF(D203="Expenditures","Expense",IF(D203="Other Revenue","Other Revenue",IF(D203="Other Expenditures","Other Expense",E202)))))</f>
        <v>Expense</v>
      </c>
      <c r="F203" s="36" t="str">
        <f aca="false">IF(OR(D203="Revenue",D203="Cost of Goods Sold",D203="Expenditures",D203="Other Revenue",D203="Other Expenditures"),E203,IF(AND(LEN(D203)&gt;2,MID(D203,2,1)=" ",ISNUMBER(VALUE(LEFT(D203,1)))),D203,F202))</f>
        <v>4 Administrative</v>
      </c>
      <c r="G203" s="36" t="n">
        <f aca="false">IF(AND(D203&lt;&gt;"",ISNUMBER(B203),LEFT(D203,9)&lt;&gt;"Total for",D203&lt;&gt;"Gross Profit",D203&lt;&gt;"Net Operating Revenue",D203&lt;&gt;"Net Other Revenue",D203&lt;&gt;"Net Revenue"),1,0)</f>
        <v>1</v>
      </c>
      <c r="H203" s="36" t="str">
        <f aca="false">IF(G203=1,IF(AND(LEN(D203)&gt;7,ISNUMBER(VALUE(LEFT(D203,6))),MID(D203,7,1)=" "),LEFT(D203,6),D203),"")</f>
        <v>500127</v>
      </c>
      <c r="I203" s="36" t="str">
        <f aca="false">IF(G203=1,IF(COUNTIF('Forecast Detail'!$C$8:$C$400,H203)=0,"UNMAPPED","OK"),"")</f>
        <v>OK</v>
      </c>
    </row>
    <row r="204" customFormat="false" ht="15" hidden="false" customHeight="false" outlineLevel="0" collapsed="false">
      <c r="A204" s="6" t="s">
        <v>473</v>
      </c>
      <c r="B204" s="11" t="n">
        <v>50000</v>
      </c>
      <c r="C204" s="11" t="n">
        <f aca="false">B204</f>
        <v>50000</v>
      </c>
      <c r="D204" s="36" t="str">
        <f aca="false">TRIM(A204)</f>
        <v>500256 Audit Fees - Financials</v>
      </c>
      <c r="E204" s="36" t="str">
        <f aca="false">IF(D204="Revenue","Revenue",IF(D204="Cost of Goods Sold","COGS",IF(D204="Expenditures","Expense",IF(D204="Other Revenue","Other Revenue",IF(D204="Other Expenditures","Other Expense",E203)))))</f>
        <v>Expense</v>
      </c>
      <c r="F204" s="36" t="str">
        <f aca="false">IF(OR(D204="Revenue",D204="Cost of Goods Sold",D204="Expenditures",D204="Other Revenue",D204="Other Expenditures"),E204,IF(AND(LEN(D204)&gt;2,MID(D204,2,1)=" ",ISNUMBER(VALUE(LEFT(D204,1)))),D204,F203))</f>
        <v>4 Administrative</v>
      </c>
      <c r="G204" s="36" t="n">
        <f aca="false">IF(AND(D204&lt;&gt;"",ISNUMBER(B204),LEFT(D204,9)&lt;&gt;"Total for",D204&lt;&gt;"Gross Profit",D204&lt;&gt;"Net Operating Revenue",D204&lt;&gt;"Net Other Revenue",D204&lt;&gt;"Net Revenue"),1,0)</f>
        <v>1</v>
      </c>
      <c r="H204" s="36" t="str">
        <f aca="false">IF(G204=1,IF(AND(LEN(D204)&gt;7,ISNUMBER(VALUE(LEFT(D204,6))),MID(D204,7,1)=" "),LEFT(D204,6),D204),"")</f>
        <v>500256</v>
      </c>
      <c r="I204" s="36" t="str">
        <f aca="false">IF(G204=1,IF(COUNTIF('Forecast Detail'!$C$8:$C$400,H204)=0,"UNMAPPED","OK"),"")</f>
        <v>OK</v>
      </c>
    </row>
    <row r="205" customFormat="false" ht="15" hidden="false" customHeight="false" outlineLevel="0" collapsed="false">
      <c r="A205" s="6" t="s">
        <v>475</v>
      </c>
      <c r="B205" s="11" t="n">
        <v>5000</v>
      </c>
      <c r="C205" s="11" t="n">
        <f aca="false">B205</f>
        <v>5000</v>
      </c>
      <c r="D205" s="36" t="str">
        <f aca="false">TRIM(A205)</f>
        <v>500257 SAIS/SACS Audit Fees</v>
      </c>
      <c r="E205" s="36" t="str">
        <f aca="false">IF(D205="Revenue","Revenue",IF(D205="Cost of Goods Sold","COGS",IF(D205="Expenditures","Expense",IF(D205="Other Revenue","Other Revenue",IF(D205="Other Expenditures","Other Expense",E204)))))</f>
        <v>Expense</v>
      </c>
      <c r="F205" s="36" t="str">
        <f aca="false">IF(OR(D205="Revenue",D205="Cost of Goods Sold",D205="Expenditures",D205="Other Revenue",D205="Other Expenditures"),E205,IF(AND(LEN(D205)&gt;2,MID(D205,2,1)=" ",ISNUMBER(VALUE(LEFT(D205,1)))),D205,F204))</f>
        <v>4 Administrative</v>
      </c>
      <c r="G205" s="36" t="n">
        <f aca="false">IF(AND(D205&lt;&gt;"",ISNUMBER(B205),LEFT(D205,9)&lt;&gt;"Total for",D205&lt;&gt;"Gross Profit",D205&lt;&gt;"Net Operating Revenue",D205&lt;&gt;"Net Other Revenue",D205&lt;&gt;"Net Revenue"),1,0)</f>
        <v>1</v>
      </c>
      <c r="H205" s="36" t="str">
        <f aca="false">IF(G205=1,IF(AND(LEN(D205)&gt;7,ISNUMBER(VALUE(LEFT(D205,6))),MID(D205,7,1)=" "),LEFT(D205,6),D205),"")</f>
        <v>500257</v>
      </c>
      <c r="I205" s="36" t="str">
        <f aca="false">IF(G205=1,IF(COUNTIF('Forecast Detail'!$C$8:$C$400,H205)=0,"UNMAPPED","OK"),"")</f>
        <v>OK</v>
      </c>
    </row>
    <row r="206" customFormat="false" ht="15" hidden="false" customHeight="false" outlineLevel="0" collapsed="false">
      <c r="A206" s="6" t="s">
        <v>477</v>
      </c>
      <c r="B206" s="11" t="n">
        <v>15000</v>
      </c>
      <c r="C206" s="11" t="n">
        <f aca="false">B206</f>
        <v>15000</v>
      </c>
      <c r="D206" s="36" t="str">
        <f aca="false">TRIM(A206)</f>
        <v>500260 Bad Debt Expense</v>
      </c>
      <c r="E206" s="36" t="str">
        <f aca="false">IF(D206="Revenue","Revenue",IF(D206="Cost of Goods Sold","COGS",IF(D206="Expenditures","Expense",IF(D206="Other Revenue","Other Revenue",IF(D206="Other Expenditures","Other Expense",E205)))))</f>
        <v>Expense</v>
      </c>
      <c r="F206" s="36" t="str">
        <f aca="false">IF(OR(D206="Revenue",D206="Cost of Goods Sold",D206="Expenditures",D206="Other Revenue",D206="Other Expenditures"),E206,IF(AND(LEN(D206)&gt;2,MID(D206,2,1)=" ",ISNUMBER(VALUE(LEFT(D206,1)))),D206,F205))</f>
        <v>4 Administrative</v>
      </c>
      <c r="G206" s="36" t="n">
        <f aca="false">IF(AND(D206&lt;&gt;"",ISNUMBER(B206),LEFT(D206,9)&lt;&gt;"Total for",D206&lt;&gt;"Gross Profit",D206&lt;&gt;"Net Operating Revenue",D206&lt;&gt;"Net Other Revenue",D206&lt;&gt;"Net Revenue"),1,0)</f>
        <v>1</v>
      </c>
      <c r="H206" s="36" t="str">
        <f aca="false">IF(G206=1,IF(AND(LEN(D206)&gt;7,ISNUMBER(VALUE(LEFT(D206,6))),MID(D206,7,1)=" "),LEFT(D206,6),D206),"")</f>
        <v>500260</v>
      </c>
      <c r="I206" s="36" t="str">
        <f aca="false">IF(G206=1,IF(COUNTIF('Forecast Detail'!$C$8:$C$400,H206)=0,"UNMAPPED","OK"),"")</f>
        <v>OK</v>
      </c>
    </row>
    <row r="207" customFormat="false" ht="15" hidden="false" customHeight="false" outlineLevel="0" collapsed="false">
      <c r="A207" s="6" t="s">
        <v>479</v>
      </c>
      <c r="B207" s="11" t="n">
        <v>15000</v>
      </c>
      <c r="C207" s="11" t="n">
        <f aca="false">B207</f>
        <v>15000</v>
      </c>
      <c r="D207" s="36" t="str">
        <f aca="false">TRIM(A207)</f>
        <v>500265 Strategic Plan Expenses</v>
      </c>
      <c r="E207" s="36" t="str">
        <f aca="false">IF(D207="Revenue","Revenue",IF(D207="Cost of Goods Sold","COGS",IF(D207="Expenditures","Expense",IF(D207="Other Revenue","Other Revenue",IF(D207="Other Expenditures","Other Expense",E206)))))</f>
        <v>Expense</v>
      </c>
      <c r="F207" s="36" t="str">
        <f aca="false">IF(OR(D207="Revenue",D207="Cost of Goods Sold",D207="Expenditures",D207="Other Revenue",D207="Other Expenditures"),E207,IF(AND(LEN(D207)&gt;2,MID(D207,2,1)=" ",ISNUMBER(VALUE(LEFT(D207,1)))),D207,F206))</f>
        <v>4 Administrative</v>
      </c>
      <c r="G207" s="36" t="n">
        <f aca="false">IF(AND(D207&lt;&gt;"",ISNUMBER(B207),LEFT(D207,9)&lt;&gt;"Total for",D207&lt;&gt;"Gross Profit",D207&lt;&gt;"Net Operating Revenue",D207&lt;&gt;"Net Other Revenue",D207&lt;&gt;"Net Revenue"),1,0)</f>
        <v>1</v>
      </c>
      <c r="H207" s="36" t="str">
        <f aca="false">IF(G207=1,IF(AND(LEN(D207)&gt;7,ISNUMBER(VALUE(LEFT(D207,6))),MID(D207,7,1)=" "),LEFT(D207,6),D207),"")</f>
        <v>500265</v>
      </c>
      <c r="I207" s="36" t="str">
        <f aca="false">IF(G207=1,IF(COUNTIF('Forecast Detail'!$C$8:$C$400,H207)=0,"UNMAPPED","OK"),"")</f>
        <v>OK</v>
      </c>
    </row>
    <row r="208" customFormat="false" ht="15" hidden="false" customHeight="false" outlineLevel="0" collapsed="false">
      <c r="A208" s="6" t="s">
        <v>481</v>
      </c>
      <c r="B208" s="11" t="n">
        <v>8500</v>
      </c>
      <c r="C208" s="11" t="n">
        <f aca="false">B208</f>
        <v>8500</v>
      </c>
      <c r="D208" s="36" t="str">
        <f aca="false">TRIM(A208)</f>
        <v>500266 Dues and Subscriptions</v>
      </c>
      <c r="E208" s="36" t="str">
        <f aca="false">IF(D208="Revenue","Revenue",IF(D208="Cost of Goods Sold","COGS",IF(D208="Expenditures","Expense",IF(D208="Other Revenue","Other Revenue",IF(D208="Other Expenditures","Other Expense",E207)))))</f>
        <v>Expense</v>
      </c>
      <c r="F208" s="36" t="str">
        <f aca="false">IF(OR(D208="Revenue",D208="Cost of Goods Sold",D208="Expenditures",D208="Other Revenue",D208="Other Expenditures"),E208,IF(AND(LEN(D208)&gt;2,MID(D208,2,1)=" ",ISNUMBER(VALUE(LEFT(D208,1)))),D208,F207))</f>
        <v>4 Administrative</v>
      </c>
      <c r="G208" s="36" t="n">
        <f aca="false">IF(AND(D208&lt;&gt;"",ISNUMBER(B208),LEFT(D208,9)&lt;&gt;"Total for",D208&lt;&gt;"Gross Profit",D208&lt;&gt;"Net Operating Revenue",D208&lt;&gt;"Net Other Revenue",D208&lt;&gt;"Net Revenue"),1,0)</f>
        <v>1</v>
      </c>
      <c r="H208" s="36" t="str">
        <f aca="false">IF(G208=1,IF(AND(LEN(D208)&gt;7,ISNUMBER(VALUE(LEFT(D208,6))),MID(D208,7,1)=" "),LEFT(D208,6),D208),"")</f>
        <v>500266</v>
      </c>
      <c r="I208" s="36" t="str">
        <f aca="false">IF(G208=1,IF(COUNTIF('Forecast Detail'!$C$8:$C$400,H208)=0,"UNMAPPED","OK"),"")</f>
        <v>OK</v>
      </c>
    </row>
    <row r="209" customFormat="false" ht="15" hidden="false" customHeight="false" outlineLevel="0" collapsed="false">
      <c r="A209" s="6" t="s">
        <v>483</v>
      </c>
      <c r="B209" s="11" t="n">
        <v>69500</v>
      </c>
      <c r="C209" s="11" t="n">
        <f aca="false">B209</f>
        <v>69500</v>
      </c>
      <c r="D209" s="36" t="str">
        <f aca="false">TRIM(A209)</f>
        <v>500393 Premium Paid for Tuition Insurance</v>
      </c>
      <c r="E209" s="36" t="str">
        <f aca="false">IF(D209="Revenue","Revenue",IF(D209="Cost of Goods Sold","COGS",IF(D209="Expenditures","Expense",IF(D209="Other Revenue","Other Revenue",IF(D209="Other Expenditures","Other Expense",E208)))))</f>
        <v>Expense</v>
      </c>
      <c r="F209" s="36" t="str">
        <f aca="false">IF(OR(D209="Revenue",D209="Cost of Goods Sold",D209="Expenditures",D209="Other Revenue",D209="Other Expenditures"),E209,IF(AND(LEN(D209)&gt;2,MID(D209,2,1)=" ",ISNUMBER(VALUE(LEFT(D209,1)))),D209,F208))</f>
        <v>4 Administrative</v>
      </c>
      <c r="G209" s="36" t="n">
        <f aca="false">IF(AND(D209&lt;&gt;"",ISNUMBER(B209),LEFT(D209,9)&lt;&gt;"Total for",D209&lt;&gt;"Gross Profit",D209&lt;&gt;"Net Operating Revenue",D209&lt;&gt;"Net Other Revenue",D209&lt;&gt;"Net Revenue"),1,0)</f>
        <v>1</v>
      </c>
      <c r="H209" s="36" t="str">
        <f aca="false">IF(G209=1,IF(AND(LEN(D209)&gt;7,ISNUMBER(VALUE(LEFT(D209,6))),MID(D209,7,1)=" "),LEFT(D209,6),D209),"")</f>
        <v>500393</v>
      </c>
      <c r="I209" s="36" t="str">
        <f aca="false">IF(G209=1,IF(COUNTIF('Forecast Detail'!$C$8:$C$400,H209)=0,"UNMAPPED","OK"),"")</f>
        <v>OK</v>
      </c>
    </row>
    <row r="210" customFormat="false" ht="15" hidden="false" customHeight="false" outlineLevel="0" collapsed="false">
      <c r="A210" s="6" t="s">
        <v>629</v>
      </c>
      <c r="B210" s="11" t="n">
        <f aca="false">B195+B196+B197+B198+B199+B200+B201+B202+B203+B204+B205+B206+B207+B208+B209</f>
        <v>264700</v>
      </c>
      <c r="C210" s="11" t="n">
        <f aca="false">B210</f>
        <v>264700</v>
      </c>
      <c r="D210" s="36" t="str">
        <f aca="false">TRIM(A210)</f>
        <v>Total for Administrative Activities-General</v>
      </c>
      <c r="E210" s="36" t="str">
        <f aca="false">IF(D210="Revenue","Revenue",IF(D210="Cost of Goods Sold","COGS",IF(D210="Expenditures","Expense",IF(D210="Other Revenue","Other Revenue",IF(D210="Other Expenditures","Other Expense",E209)))))</f>
        <v>Expense</v>
      </c>
      <c r="F210" s="36" t="str">
        <f aca="false">IF(OR(D210="Revenue",D210="Cost of Goods Sold",D210="Expenditures",D210="Other Revenue",D210="Other Expenditures"),E210,IF(AND(LEN(D210)&gt;2,MID(D210,2,1)=" ",ISNUMBER(VALUE(LEFT(D210,1)))),D210,F209))</f>
        <v>4 Administrative</v>
      </c>
      <c r="G210" s="36" t="n">
        <f aca="false">IF(AND(D210&lt;&gt;"",ISNUMBER(B210),LEFT(D210,9)&lt;&gt;"Total for",D210&lt;&gt;"Gross Profit",D210&lt;&gt;"Net Operating Revenue",D210&lt;&gt;"Net Other Revenue",D210&lt;&gt;"Net Revenue"),1,0)</f>
        <v>0</v>
      </c>
      <c r="H210" s="36" t="str">
        <f aca="false">IF(G210=1,IF(AND(LEN(D210)&gt;7,ISNUMBER(VALUE(LEFT(D210,6))),MID(D210,7,1)=" "),LEFT(D210,6),D210),"")</f>
        <v/>
      </c>
      <c r="I210" s="36" t="str">
        <f aca="false">IF(G210=1,IF(COUNTIF('Forecast Detail'!$C$8:$C$400,H210)=0,"UNMAPPED","OK"),"")</f>
        <v/>
      </c>
    </row>
    <row r="211" customFormat="false" ht="15" hidden="false" customHeight="false" outlineLevel="0" collapsed="false">
      <c r="A211" s="6" t="s">
        <v>484</v>
      </c>
      <c r="B211" s="11" t="n">
        <v>0</v>
      </c>
      <c r="C211" s="11" t="n">
        <f aca="false">B211</f>
        <v>0</v>
      </c>
      <c r="D211" s="36" t="str">
        <f aca="false">TRIM(A211)</f>
        <v>Advancement Activities</v>
      </c>
      <c r="E211" s="36" t="str">
        <f aca="false">IF(D211="Revenue","Revenue",IF(D211="Cost of Goods Sold","COGS",IF(D211="Expenditures","Expense",IF(D211="Other Revenue","Other Revenue",IF(D211="Other Expenditures","Other Expense",E210)))))</f>
        <v>Expense</v>
      </c>
      <c r="F211" s="36" t="str">
        <f aca="false">IF(OR(D211="Revenue",D211="Cost of Goods Sold",D211="Expenditures",D211="Other Revenue",D211="Other Expenditures"),E211,IF(AND(LEN(D211)&gt;2,MID(D211,2,1)=" ",ISNUMBER(VALUE(LEFT(D211,1)))),D211,F210))</f>
        <v>4 Administrative</v>
      </c>
      <c r="G211" s="36" t="n">
        <f aca="false">IF(AND(D211&lt;&gt;"",ISNUMBER(B211),LEFT(D211,9)&lt;&gt;"Total for",D211&lt;&gt;"Gross Profit",D211&lt;&gt;"Net Operating Revenue",D211&lt;&gt;"Net Other Revenue",D211&lt;&gt;"Net Revenue"),1,0)</f>
        <v>1</v>
      </c>
      <c r="H211" s="36" t="str">
        <f aca="false">IF(G211=1,IF(AND(LEN(D211)&gt;7,ISNUMBER(VALUE(LEFT(D211,6))),MID(D211,7,1)=" "),LEFT(D211,6),D211),"")</f>
        <v>Advancement Activities</v>
      </c>
      <c r="I211" s="36" t="str">
        <f aca="false">IF(G211=1,IF(COUNTIF('Forecast Detail'!$C$8:$C$400,H211)=0,"UNMAPPED","OK"),"")</f>
        <v>OK</v>
      </c>
    </row>
    <row r="212" customFormat="false" ht="15" hidden="false" customHeight="false" outlineLevel="0" collapsed="false">
      <c r="A212" s="6" t="s">
        <v>485</v>
      </c>
      <c r="B212" s="11" t="n">
        <v>80000</v>
      </c>
      <c r="C212" s="11" t="n">
        <f aca="false">B212</f>
        <v>80000</v>
      </c>
      <c r="D212" s="36" t="str">
        <f aca="false">TRIM(A212)</f>
        <v>Advertising and Marketing</v>
      </c>
      <c r="E212" s="36" t="str">
        <f aca="false">IF(D212="Revenue","Revenue",IF(D212="Cost of Goods Sold","COGS",IF(D212="Expenditures","Expense",IF(D212="Other Revenue","Other Revenue",IF(D212="Other Expenditures","Other Expense",E211)))))</f>
        <v>Expense</v>
      </c>
      <c r="F212" s="36" t="str">
        <f aca="false">IF(OR(D212="Revenue",D212="Cost of Goods Sold",D212="Expenditures",D212="Other Revenue",D212="Other Expenditures"),E212,IF(AND(LEN(D212)&gt;2,MID(D212,2,1)=" ",ISNUMBER(VALUE(LEFT(D212,1)))),D212,F211))</f>
        <v>4 Administrative</v>
      </c>
      <c r="G212" s="36" t="n">
        <f aca="false">IF(AND(D212&lt;&gt;"",ISNUMBER(B212),LEFT(D212,9)&lt;&gt;"Total for",D212&lt;&gt;"Gross Profit",D212&lt;&gt;"Net Operating Revenue",D212&lt;&gt;"Net Other Revenue",D212&lt;&gt;"Net Revenue"),1,0)</f>
        <v>1</v>
      </c>
      <c r="H212" s="36" t="str">
        <f aca="false">IF(G212=1,IF(AND(LEN(D212)&gt;7,ISNUMBER(VALUE(LEFT(D212,6))),MID(D212,7,1)=" "),LEFT(D212,6),D212),"")</f>
        <v>Advertising and Marketing</v>
      </c>
      <c r="I212" s="36" t="str">
        <f aca="false">IF(G212=1,IF(COUNTIF('Forecast Detail'!$C$8:$C$400,H212)=0,"UNMAPPED","OK"),"")</f>
        <v>OK</v>
      </c>
    </row>
    <row r="213" customFormat="false" ht="15" hidden="false" customHeight="false" outlineLevel="0" collapsed="false">
      <c r="A213" s="6" t="s">
        <v>630</v>
      </c>
      <c r="D213" s="36" t="str">
        <f aca="false">TRIM(A213)</f>
        <v>Debt Service</v>
      </c>
      <c r="E213" s="36" t="str">
        <f aca="false">IF(D213="Revenue","Revenue",IF(D213="Cost of Goods Sold","COGS",IF(D213="Expenditures","Expense",IF(D213="Other Revenue","Other Revenue",IF(D213="Other Expenditures","Other Expense",E212)))))</f>
        <v>Expense</v>
      </c>
      <c r="F213" s="36" t="str">
        <f aca="false">IF(OR(D213="Revenue",D213="Cost of Goods Sold",D213="Expenditures",D213="Other Revenue",D213="Other Expenditures"),E213,IF(AND(LEN(D213)&gt;2,MID(D213,2,1)=" ",ISNUMBER(VALUE(LEFT(D213,1)))),D213,F212))</f>
        <v>4 Administrative</v>
      </c>
      <c r="G213" s="36" t="n">
        <f aca="false">IF(AND(D213&lt;&gt;"",ISNUMBER(B213),LEFT(D213,9)&lt;&gt;"Total for",D213&lt;&gt;"Gross Profit",D213&lt;&gt;"Net Operating Revenue",D213&lt;&gt;"Net Other Revenue",D213&lt;&gt;"Net Revenue"),1,0)</f>
        <v>0</v>
      </c>
      <c r="H213" s="36" t="str">
        <f aca="false">IF(G213=1,IF(AND(LEN(D213)&gt;7,ISNUMBER(VALUE(LEFT(D213,6))),MID(D213,7,1)=" "),LEFT(D213,6),D213),"")</f>
        <v/>
      </c>
      <c r="I213" s="36" t="str">
        <f aca="false">IF(G213=1,IF(COUNTIF('Forecast Detail'!$C$8:$C$400,H213)=0,"UNMAPPED","OK"),"")</f>
        <v/>
      </c>
    </row>
    <row r="214" customFormat="false" ht="15" hidden="false" customHeight="false" outlineLevel="0" collapsed="false">
      <c r="A214" s="6" t="s">
        <v>487</v>
      </c>
      <c r="B214" s="11" t="n">
        <v>160236</v>
      </c>
      <c r="C214" s="11" t="n">
        <f aca="false">B214</f>
        <v>160236</v>
      </c>
      <c r="D214" s="36" t="str">
        <f aca="false">TRIM(A214)</f>
        <v>500123 Mortgage Principal</v>
      </c>
      <c r="E214" s="36" t="str">
        <f aca="false">IF(D214="Revenue","Revenue",IF(D214="Cost of Goods Sold","COGS",IF(D214="Expenditures","Expense",IF(D214="Other Revenue","Other Revenue",IF(D214="Other Expenditures","Other Expense",E213)))))</f>
        <v>Expense</v>
      </c>
      <c r="F214" s="36" t="str">
        <f aca="false">IF(OR(D214="Revenue",D214="Cost of Goods Sold",D214="Expenditures",D214="Other Revenue",D214="Other Expenditures"),E214,IF(AND(LEN(D214)&gt;2,MID(D214,2,1)=" ",ISNUMBER(VALUE(LEFT(D214,1)))),D214,F213))</f>
        <v>4 Administrative</v>
      </c>
      <c r="G214" s="36" t="n">
        <f aca="false">IF(AND(D214&lt;&gt;"",ISNUMBER(B214),LEFT(D214,9)&lt;&gt;"Total for",D214&lt;&gt;"Gross Profit",D214&lt;&gt;"Net Operating Revenue",D214&lt;&gt;"Net Other Revenue",D214&lt;&gt;"Net Revenue"),1,0)</f>
        <v>1</v>
      </c>
      <c r="H214" s="36" t="str">
        <f aca="false">IF(G214=1,IF(AND(LEN(D214)&gt;7,ISNUMBER(VALUE(LEFT(D214,6))),MID(D214,7,1)=" "),LEFT(D214,6),D214),"")</f>
        <v>500123</v>
      </c>
      <c r="I214" s="36" t="str">
        <f aca="false">IF(G214=1,IF(COUNTIF('Forecast Detail'!$C$8:$C$400,H214)=0,"UNMAPPED","OK"),"")</f>
        <v>OK</v>
      </c>
    </row>
    <row r="215" customFormat="false" ht="15" hidden="false" customHeight="false" outlineLevel="0" collapsed="false">
      <c r="A215" s="6" t="s">
        <v>490</v>
      </c>
      <c r="B215" s="11" t="n">
        <v>25432</v>
      </c>
      <c r="C215" s="11" t="n">
        <f aca="false">B215</f>
        <v>25432</v>
      </c>
      <c r="D215" s="36" t="str">
        <f aca="false">TRIM(A215)</f>
        <v>500125 Mortgage Interest Expense</v>
      </c>
      <c r="E215" s="36" t="str">
        <f aca="false">IF(D215="Revenue","Revenue",IF(D215="Cost of Goods Sold","COGS",IF(D215="Expenditures","Expense",IF(D215="Other Revenue","Other Revenue",IF(D215="Other Expenditures","Other Expense",E214)))))</f>
        <v>Expense</v>
      </c>
      <c r="F215" s="36" t="str">
        <f aca="false">IF(OR(D215="Revenue",D215="Cost of Goods Sold",D215="Expenditures",D215="Other Revenue",D215="Other Expenditures"),E215,IF(AND(LEN(D215)&gt;2,MID(D215,2,1)=" ",ISNUMBER(VALUE(LEFT(D215,1)))),D215,F214))</f>
        <v>4 Administrative</v>
      </c>
      <c r="G215" s="36" t="n">
        <f aca="false">IF(AND(D215&lt;&gt;"",ISNUMBER(B215),LEFT(D215,9)&lt;&gt;"Total for",D215&lt;&gt;"Gross Profit",D215&lt;&gt;"Net Operating Revenue",D215&lt;&gt;"Net Other Revenue",D215&lt;&gt;"Net Revenue"),1,0)</f>
        <v>1</v>
      </c>
      <c r="H215" s="36" t="str">
        <f aca="false">IF(G215=1,IF(AND(LEN(D215)&gt;7,ISNUMBER(VALUE(LEFT(D215,6))),MID(D215,7,1)=" "),LEFT(D215,6),D215),"")</f>
        <v>500125</v>
      </c>
      <c r="I215" s="36" t="str">
        <f aca="false">IF(G215=1,IF(COUNTIF('Forecast Detail'!$C$8:$C$400,H215)=0,"UNMAPPED","OK"),"")</f>
        <v>OK</v>
      </c>
    </row>
    <row r="216" customFormat="false" ht="15" hidden="false" customHeight="false" outlineLevel="0" collapsed="false">
      <c r="A216" s="6" t="s">
        <v>631</v>
      </c>
      <c r="B216" s="11" t="n">
        <f aca="false">B213+B214+B215</f>
        <v>185668</v>
      </c>
      <c r="C216" s="11" t="n">
        <f aca="false">B216</f>
        <v>185668</v>
      </c>
      <c r="D216" s="36" t="str">
        <f aca="false">TRIM(A216)</f>
        <v>Total for Debt Service</v>
      </c>
      <c r="E216" s="36" t="str">
        <f aca="false">IF(D216="Revenue","Revenue",IF(D216="Cost of Goods Sold","COGS",IF(D216="Expenditures","Expense",IF(D216="Other Revenue","Other Revenue",IF(D216="Other Expenditures","Other Expense",E215)))))</f>
        <v>Expense</v>
      </c>
      <c r="F216" s="36" t="str">
        <f aca="false">IF(OR(D216="Revenue",D216="Cost of Goods Sold",D216="Expenditures",D216="Other Revenue",D216="Other Expenditures"),E216,IF(AND(LEN(D216)&gt;2,MID(D216,2,1)=" ",ISNUMBER(VALUE(LEFT(D216,1)))),D216,F215))</f>
        <v>4 Administrative</v>
      </c>
      <c r="G216" s="36" t="n">
        <f aca="false">IF(AND(D216&lt;&gt;"",ISNUMBER(B216),LEFT(D216,9)&lt;&gt;"Total for",D216&lt;&gt;"Gross Profit",D216&lt;&gt;"Net Operating Revenue",D216&lt;&gt;"Net Other Revenue",D216&lt;&gt;"Net Revenue"),1,0)</f>
        <v>0</v>
      </c>
      <c r="H216" s="36" t="str">
        <f aca="false">IF(G216=1,IF(AND(LEN(D216)&gt;7,ISNUMBER(VALUE(LEFT(D216,6))),MID(D216,7,1)=" "),LEFT(D216,6),D216),"")</f>
        <v/>
      </c>
      <c r="I216" s="36" t="str">
        <f aca="false">IF(G216=1,IF(COUNTIF('Forecast Detail'!$C$8:$C$400,H216)=0,"UNMAPPED","OK"),"")</f>
        <v/>
      </c>
    </row>
    <row r="217" customFormat="false" ht="15" hidden="false" customHeight="false" outlineLevel="0" collapsed="false">
      <c r="A217" s="6" t="s">
        <v>491</v>
      </c>
      <c r="B217" s="11" t="n">
        <v>0</v>
      </c>
      <c r="C217" s="11" t="n">
        <f aca="false">B217</f>
        <v>0</v>
      </c>
      <c r="D217" s="36" t="str">
        <f aca="false">TRIM(A217)</f>
        <v>Technology Expenses</v>
      </c>
      <c r="E217" s="36" t="str">
        <f aca="false">IF(D217="Revenue","Revenue",IF(D217="Cost of Goods Sold","COGS",IF(D217="Expenditures","Expense",IF(D217="Other Revenue","Other Revenue",IF(D217="Other Expenditures","Other Expense",E216)))))</f>
        <v>Expense</v>
      </c>
      <c r="F217" s="36" t="str">
        <f aca="false">IF(OR(D217="Revenue",D217="Cost of Goods Sold",D217="Expenditures",D217="Other Revenue",D217="Other Expenditures"),E217,IF(AND(LEN(D217)&gt;2,MID(D217,2,1)=" ",ISNUMBER(VALUE(LEFT(D217,1)))),D217,F216))</f>
        <v>4 Administrative</v>
      </c>
      <c r="G217" s="36" t="n">
        <f aca="false">IF(AND(D217&lt;&gt;"",ISNUMBER(B217),LEFT(D217,9)&lt;&gt;"Total for",D217&lt;&gt;"Gross Profit",D217&lt;&gt;"Net Operating Revenue",D217&lt;&gt;"Net Other Revenue",D217&lt;&gt;"Net Revenue"),1,0)</f>
        <v>1</v>
      </c>
      <c r="H217" s="36" t="str">
        <f aca="false">IF(G217=1,IF(AND(LEN(D217)&gt;7,ISNUMBER(VALUE(LEFT(D217,6))),MID(D217,7,1)=" "),LEFT(D217,6),D217),"")</f>
        <v>Technology Expenses</v>
      </c>
      <c r="I217" s="36" t="str">
        <f aca="false">IF(G217=1,IF(COUNTIF('Forecast Detail'!$C$8:$C$400,H217)=0,"UNMAPPED","OK"),"")</f>
        <v>OK</v>
      </c>
    </row>
    <row r="218" customFormat="false" ht="15" hidden="false" customHeight="false" outlineLevel="0" collapsed="false">
      <c r="A218" s="6" t="s">
        <v>493</v>
      </c>
      <c r="B218" s="11" t="n">
        <v>10000</v>
      </c>
      <c r="C218" s="11" t="n">
        <f aca="false">B218</f>
        <v>10000</v>
      </c>
      <c r="D218" s="36" t="str">
        <f aca="false">TRIM(A218)</f>
        <v>500202 Computer Classroom Expenses</v>
      </c>
      <c r="E218" s="36" t="str">
        <f aca="false">IF(D218="Revenue","Revenue",IF(D218="Cost of Goods Sold","COGS",IF(D218="Expenditures","Expense",IF(D218="Other Revenue","Other Revenue",IF(D218="Other Expenditures","Other Expense",E217)))))</f>
        <v>Expense</v>
      </c>
      <c r="F218" s="36" t="str">
        <f aca="false">IF(OR(D218="Revenue",D218="Cost of Goods Sold",D218="Expenditures",D218="Other Revenue",D218="Other Expenditures"),E218,IF(AND(LEN(D218)&gt;2,MID(D218,2,1)=" ",ISNUMBER(VALUE(LEFT(D218,1)))),D218,F217))</f>
        <v>4 Administrative</v>
      </c>
      <c r="G218" s="36" t="n">
        <f aca="false">IF(AND(D218&lt;&gt;"",ISNUMBER(B218),LEFT(D218,9)&lt;&gt;"Total for",D218&lt;&gt;"Gross Profit",D218&lt;&gt;"Net Operating Revenue",D218&lt;&gt;"Net Other Revenue",D218&lt;&gt;"Net Revenue"),1,0)</f>
        <v>1</v>
      </c>
      <c r="H218" s="36" t="str">
        <f aca="false">IF(G218=1,IF(AND(LEN(D218)&gt;7,ISNUMBER(VALUE(LEFT(D218,6))),MID(D218,7,1)=" "),LEFT(D218,6),D218),"")</f>
        <v>500202</v>
      </c>
      <c r="I218" s="36" t="str">
        <f aca="false">IF(G218=1,IF(COUNTIF('Forecast Detail'!$C$8:$C$400,H218)=0,"UNMAPPED","OK"),"")</f>
        <v>OK</v>
      </c>
    </row>
    <row r="219" customFormat="false" ht="15" hidden="false" customHeight="false" outlineLevel="0" collapsed="false">
      <c r="A219" s="6" t="s">
        <v>495</v>
      </c>
      <c r="B219" s="11" t="n">
        <v>0</v>
      </c>
      <c r="C219" s="11" t="n">
        <f aca="false">B219</f>
        <v>0</v>
      </c>
      <c r="D219" s="36" t="str">
        <f aca="false">TRIM(A219)</f>
        <v>500354 Technology Supplies 1 to 1</v>
      </c>
      <c r="E219" s="36" t="str">
        <f aca="false">IF(D219="Revenue","Revenue",IF(D219="Cost of Goods Sold","COGS",IF(D219="Expenditures","Expense",IF(D219="Other Revenue","Other Revenue",IF(D219="Other Expenditures","Other Expense",E218)))))</f>
        <v>Expense</v>
      </c>
      <c r="F219" s="36" t="str">
        <f aca="false">IF(OR(D219="Revenue",D219="Cost of Goods Sold",D219="Expenditures",D219="Other Revenue",D219="Other Expenditures"),E219,IF(AND(LEN(D219)&gt;2,MID(D219,2,1)=" ",ISNUMBER(VALUE(LEFT(D219,1)))),D219,F218))</f>
        <v>4 Administrative</v>
      </c>
      <c r="G219" s="36" t="n">
        <f aca="false">IF(AND(D219&lt;&gt;"",ISNUMBER(B219),LEFT(D219,9)&lt;&gt;"Total for",D219&lt;&gt;"Gross Profit",D219&lt;&gt;"Net Operating Revenue",D219&lt;&gt;"Net Other Revenue",D219&lt;&gt;"Net Revenue"),1,0)</f>
        <v>1</v>
      </c>
      <c r="H219" s="36" t="str">
        <f aca="false">IF(G219=1,IF(AND(LEN(D219)&gt;7,ISNUMBER(VALUE(LEFT(D219,6))),MID(D219,7,1)=" "),LEFT(D219,6),D219),"")</f>
        <v>500354</v>
      </c>
      <c r="I219" s="36" t="str">
        <f aca="false">IF(G219=1,IF(COUNTIF('Forecast Detail'!$C$8:$C$400,H219)=0,"UNMAPPED","OK"),"")</f>
        <v>OK</v>
      </c>
    </row>
    <row r="220" customFormat="false" ht="15" hidden="false" customHeight="false" outlineLevel="0" collapsed="false">
      <c r="A220" s="6" t="s">
        <v>497</v>
      </c>
      <c r="B220" s="11" t="n">
        <v>38000</v>
      </c>
      <c r="C220" s="11" t="n">
        <f aca="false">B220</f>
        <v>38000</v>
      </c>
      <c r="D220" s="36" t="str">
        <f aca="false">TRIM(A220)</f>
        <v>500355 Administrative Software</v>
      </c>
      <c r="E220" s="36" t="str">
        <f aca="false">IF(D220="Revenue","Revenue",IF(D220="Cost of Goods Sold","COGS",IF(D220="Expenditures","Expense",IF(D220="Other Revenue","Other Revenue",IF(D220="Other Expenditures","Other Expense",E219)))))</f>
        <v>Expense</v>
      </c>
      <c r="F220" s="36" t="str">
        <f aca="false">IF(OR(D220="Revenue",D220="Cost of Goods Sold",D220="Expenditures",D220="Other Revenue",D220="Other Expenditures"),E220,IF(AND(LEN(D220)&gt;2,MID(D220,2,1)=" ",ISNUMBER(VALUE(LEFT(D220,1)))),D220,F219))</f>
        <v>4 Administrative</v>
      </c>
      <c r="G220" s="36" t="n">
        <f aca="false">IF(AND(D220&lt;&gt;"",ISNUMBER(B220),LEFT(D220,9)&lt;&gt;"Total for",D220&lt;&gt;"Gross Profit",D220&lt;&gt;"Net Operating Revenue",D220&lt;&gt;"Net Other Revenue",D220&lt;&gt;"Net Revenue"),1,0)</f>
        <v>1</v>
      </c>
      <c r="H220" s="36" t="str">
        <f aca="false">IF(G220=1,IF(AND(LEN(D220)&gt;7,ISNUMBER(VALUE(LEFT(D220,6))),MID(D220,7,1)=" "),LEFT(D220,6),D220),"")</f>
        <v>500355</v>
      </c>
      <c r="I220" s="36" t="str">
        <f aca="false">IF(G220=1,IF(COUNTIF('Forecast Detail'!$C$8:$C$400,H220)=0,"UNMAPPED","OK"),"")</f>
        <v>OK</v>
      </c>
    </row>
    <row r="221" customFormat="false" ht="15" hidden="false" customHeight="false" outlineLevel="0" collapsed="false">
      <c r="A221" s="6" t="s">
        <v>499</v>
      </c>
      <c r="B221" s="11" t="n">
        <v>0</v>
      </c>
      <c r="C221" s="11" t="n">
        <f aca="false">B221</f>
        <v>0</v>
      </c>
      <c r="D221" s="36" t="str">
        <f aca="false">TRIM(A221)</f>
        <v>500356 Software Costs Upper School</v>
      </c>
      <c r="E221" s="36" t="str">
        <f aca="false">IF(D221="Revenue","Revenue",IF(D221="Cost of Goods Sold","COGS",IF(D221="Expenditures","Expense",IF(D221="Other Revenue","Other Revenue",IF(D221="Other Expenditures","Other Expense",E220)))))</f>
        <v>Expense</v>
      </c>
      <c r="F221" s="36" t="str">
        <f aca="false">IF(OR(D221="Revenue",D221="Cost of Goods Sold",D221="Expenditures",D221="Other Revenue",D221="Other Expenditures"),E221,IF(AND(LEN(D221)&gt;2,MID(D221,2,1)=" ",ISNUMBER(VALUE(LEFT(D221,1)))),D221,F220))</f>
        <v>4 Administrative</v>
      </c>
      <c r="G221" s="36" t="n">
        <f aca="false">IF(AND(D221&lt;&gt;"",ISNUMBER(B221),LEFT(D221,9)&lt;&gt;"Total for",D221&lt;&gt;"Gross Profit",D221&lt;&gt;"Net Operating Revenue",D221&lt;&gt;"Net Other Revenue",D221&lt;&gt;"Net Revenue"),1,0)</f>
        <v>1</v>
      </c>
      <c r="H221" s="36" t="str">
        <f aca="false">IF(G221=1,IF(AND(LEN(D221)&gt;7,ISNUMBER(VALUE(LEFT(D221,6))),MID(D221,7,1)=" "),LEFT(D221,6),D221),"")</f>
        <v>500356</v>
      </c>
      <c r="I221" s="36" t="str">
        <f aca="false">IF(G221=1,IF(COUNTIF('Forecast Detail'!$C$8:$C$400,H221)=0,"UNMAPPED","OK"),"")</f>
        <v>OK</v>
      </c>
    </row>
    <row r="222" customFormat="false" ht="15" hidden="false" customHeight="false" outlineLevel="0" collapsed="false">
      <c r="A222" s="6" t="s">
        <v>501</v>
      </c>
      <c r="B222" s="11" t="n">
        <v>145000</v>
      </c>
      <c r="C222" s="11" t="n">
        <f aca="false">B222</f>
        <v>145000</v>
      </c>
      <c r="D222" s="36" t="str">
        <f aca="false">TRIM(A222)</f>
        <v>500358 Technology Equipment</v>
      </c>
      <c r="E222" s="36" t="str">
        <f aca="false">IF(D222="Revenue","Revenue",IF(D222="Cost of Goods Sold","COGS",IF(D222="Expenditures","Expense",IF(D222="Other Revenue","Other Revenue",IF(D222="Other Expenditures","Other Expense",E221)))))</f>
        <v>Expense</v>
      </c>
      <c r="F222" s="36" t="str">
        <f aca="false">IF(OR(D222="Revenue",D222="Cost of Goods Sold",D222="Expenditures",D222="Other Revenue",D222="Other Expenditures"),E222,IF(AND(LEN(D222)&gt;2,MID(D222,2,1)=" ",ISNUMBER(VALUE(LEFT(D222,1)))),D222,F221))</f>
        <v>4 Administrative</v>
      </c>
      <c r="G222" s="36" t="n">
        <f aca="false">IF(AND(D222&lt;&gt;"",ISNUMBER(B222),LEFT(D222,9)&lt;&gt;"Total for",D222&lt;&gt;"Gross Profit",D222&lt;&gt;"Net Operating Revenue",D222&lt;&gt;"Net Other Revenue",D222&lt;&gt;"Net Revenue"),1,0)</f>
        <v>1</v>
      </c>
      <c r="H222" s="36" t="str">
        <f aca="false">IF(G222=1,IF(AND(LEN(D222)&gt;7,ISNUMBER(VALUE(LEFT(D222,6))),MID(D222,7,1)=" "),LEFT(D222,6),D222),"")</f>
        <v>500358</v>
      </c>
      <c r="I222" s="36" t="str">
        <f aca="false">IF(G222=1,IF(COUNTIF('Forecast Detail'!$C$8:$C$400,H222)=0,"UNMAPPED","OK"),"")</f>
        <v>OK</v>
      </c>
    </row>
    <row r="223" customFormat="false" ht="15" hidden="false" customHeight="false" outlineLevel="0" collapsed="false">
      <c r="A223" s="6" t="s">
        <v>503</v>
      </c>
      <c r="B223" s="11" t="n">
        <v>55000</v>
      </c>
      <c r="C223" s="11" t="n">
        <f aca="false">B223</f>
        <v>55000</v>
      </c>
      <c r="D223" s="36" t="str">
        <f aca="false">TRIM(A223)</f>
        <v>500359 Technology Equipment Reserve</v>
      </c>
      <c r="E223" s="36" t="str">
        <f aca="false">IF(D223="Revenue","Revenue",IF(D223="Cost of Goods Sold","COGS",IF(D223="Expenditures","Expense",IF(D223="Other Revenue","Other Revenue",IF(D223="Other Expenditures","Other Expense",E222)))))</f>
        <v>Expense</v>
      </c>
      <c r="F223" s="36" t="str">
        <f aca="false">IF(OR(D223="Revenue",D223="Cost of Goods Sold",D223="Expenditures",D223="Other Revenue",D223="Other Expenditures"),E223,IF(AND(LEN(D223)&gt;2,MID(D223,2,1)=" ",ISNUMBER(VALUE(LEFT(D223,1)))),D223,F222))</f>
        <v>4 Administrative</v>
      </c>
      <c r="G223" s="36" t="n">
        <f aca="false">IF(AND(D223&lt;&gt;"",ISNUMBER(B223),LEFT(D223,9)&lt;&gt;"Total for",D223&lt;&gt;"Gross Profit",D223&lt;&gt;"Net Operating Revenue",D223&lt;&gt;"Net Other Revenue",D223&lt;&gt;"Net Revenue"),1,0)</f>
        <v>1</v>
      </c>
      <c r="H223" s="36" t="str">
        <f aca="false">IF(G223=1,IF(AND(LEN(D223)&gt;7,ISNUMBER(VALUE(LEFT(D223,6))),MID(D223,7,1)=" "),LEFT(D223,6),D223),"")</f>
        <v>500359</v>
      </c>
      <c r="I223" s="36" t="str">
        <f aca="false">IF(G223=1,IF(COUNTIF('Forecast Detail'!$C$8:$C$400,H223)=0,"UNMAPPED","OK"),"")</f>
        <v>OK</v>
      </c>
    </row>
    <row r="224" customFormat="false" ht="15" hidden="false" customHeight="false" outlineLevel="0" collapsed="false">
      <c r="A224" s="6" t="s">
        <v>505</v>
      </c>
      <c r="B224" s="11" t="n">
        <v>0</v>
      </c>
      <c r="C224" s="11" t="n">
        <f aca="false">B224</f>
        <v>0</v>
      </c>
      <c r="D224" s="36" t="str">
        <f aca="false">TRIM(A224)</f>
        <v>500360 Lease for Network Switches</v>
      </c>
      <c r="E224" s="36" t="str">
        <f aca="false">IF(D224="Revenue","Revenue",IF(D224="Cost of Goods Sold","COGS",IF(D224="Expenditures","Expense",IF(D224="Other Revenue","Other Revenue",IF(D224="Other Expenditures","Other Expense",E223)))))</f>
        <v>Expense</v>
      </c>
      <c r="F224" s="36" t="str">
        <f aca="false">IF(OR(D224="Revenue",D224="Cost of Goods Sold",D224="Expenditures",D224="Other Revenue",D224="Other Expenditures"),E224,IF(AND(LEN(D224)&gt;2,MID(D224,2,1)=" ",ISNUMBER(VALUE(LEFT(D224,1)))),D224,F223))</f>
        <v>4 Administrative</v>
      </c>
      <c r="G224" s="36" t="n">
        <f aca="false">IF(AND(D224&lt;&gt;"",ISNUMBER(B224),LEFT(D224,9)&lt;&gt;"Total for",D224&lt;&gt;"Gross Profit",D224&lt;&gt;"Net Operating Revenue",D224&lt;&gt;"Net Other Revenue",D224&lt;&gt;"Net Revenue"),1,0)</f>
        <v>1</v>
      </c>
      <c r="H224" s="36" t="str">
        <f aca="false">IF(G224=1,IF(AND(LEN(D224)&gt;7,ISNUMBER(VALUE(LEFT(D224,6))),MID(D224,7,1)=" "),LEFT(D224,6),D224),"")</f>
        <v>500360</v>
      </c>
      <c r="I224" s="36" t="str">
        <f aca="false">IF(G224=1,IF(COUNTIF('Forecast Detail'!$C$8:$C$400,H224)=0,"UNMAPPED","OK"),"")</f>
        <v>OK</v>
      </c>
    </row>
    <row r="225" customFormat="false" ht="15" hidden="false" customHeight="false" outlineLevel="0" collapsed="false">
      <c r="A225" s="6" t="s">
        <v>507</v>
      </c>
      <c r="B225" s="11" t="n">
        <v>0</v>
      </c>
      <c r="C225" s="11" t="n">
        <f aca="false">B225</f>
        <v>0</v>
      </c>
      <c r="D225" s="36" t="str">
        <f aca="false">TRIM(A225)</f>
        <v>500361 Software Lower School</v>
      </c>
      <c r="E225" s="36" t="str">
        <f aca="false">IF(D225="Revenue","Revenue",IF(D225="Cost of Goods Sold","COGS",IF(D225="Expenditures","Expense",IF(D225="Other Revenue","Other Revenue",IF(D225="Other Expenditures","Other Expense",E224)))))</f>
        <v>Expense</v>
      </c>
      <c r="F225" s="36" t="str">
        <f aca="false">IF(OR(D225="Revenue",D225="Cost of Goods Sold",D225="Expenditures",D225="Other Revenue",D225="Other Expenditures"),E225,IF(AND(LEN(D225)&gt;2,MID(D225,2,1)=" ",ISNUMBER(VALUE(LEFT(D225,1)))),D225,F224))</f>
        <v>4 Administrative</v>
      </c>
      <c r="G225" s="36" t="n">
        <f aca="false">IF(AND(D225&lt;&gt;"",ISNUMBER(B225),LEFT(D225,9)&lt;&gt;"Total for",D225&lt;&gt;"Gross Profit",D225&lt;&gt;"Net Operating Revenue",D225&lt;&gt;"Net Other Revenue",D225&lt;&gt;"Net Revenue"),1,0)</f>
        <v>1</v>
      </c>
      <c r="H225" s="36" t="str">
        <f aca="false">IF(G225=1,IF(AND(LEN(D225)&gt;7,ISNUMBER(VALUE(LEFT(D225,6))),MID(D225,7,1)=" "),LEFT(D225,6),D225),"")</f>
        <v>500361</v>
      </c>
      <c r="I225" s="36" t="str">
        <f aca="false">IF(G225=1,IF(COUNTIF('Forecast Detail'!$C$8:$C$400,H225)=0,"UNMAPPED","OK"),"")</f>
        <v>OK</v>
      </c>
    </row>
    <row r="226" customFormat="false" ht="15" hidden="false" customHeight="false" outlineLevel="0" collapsed="false">
      <c r="A226" s="6" t="s">
        <v>509</v>
      </c>
      <c r="B226" s="11" t="n">
        <v>0</v>
      </c>
      <c r="C226" s="11" t="n">
        <f aca="false">B226</f>
        <v>0</v>
      </c>
      <c r="D226" s="36" t="str">
        <f aca="false">TRIM(A226)</f>
        <v>500362 Technology Software Administrative</v>
      </c>
      <c r="E226" s="36" t="str">
        <f aca="false">IF(D226="Revenue","Revenue",IF(D226="Cost of Goods Sold","COGS",IF(D226="Expenditures","Expense",IF(D226="Other Revenue","Other Revenue",IF(D226="Other Expenditures","Other Expense",E225)))))</f>
        <v>Expense</v>
      </c>
      <c r="F226" s="36" t="str">
        <f aca="false">IF(OR(D226="Revenue",D226="Cost of Goods Sold",D226="Expenditures",D226="Other Revenue",D226="Other Expenditures"),E226,IF(AND(LEN(D226)&gt;2,MID(D226,2,1)=" ",ISNUMBER(VALUE(LEFT(D226,1)))),D226,F225))</f>
        <v>4 Administrative</v>
      </c>
      <c r="G226" s="36" t="n">
        <f aca="false">IF(AND(D226&lt;&gt;"",ISNUMBER(B226),LEFT(D226,9)&lt;&gt;"Total for",D226&lt;&gt;"Gross Profit",D226&lt;&gt;"Net Operating Revenue",D226&lt;&gt;"Net Other Revenue",D226&lt;&gt;"Net Revenue"),1,0)</f>
        <v>1</v>
      </c>
      <c r="H226" s="36" t="str">
        <f aca="false">IF(G226=1,IF(AND(LEN(D226)&gt;7,ISNUMBER(VALUE(LEFT(D226,6))),MID(D226,7,1)=" "),LEFT(D226,6),D226),"")</f>
        <v>500362</v>
      </c>
      <c r="I226" s="36" t="str">
        <f aca="false">IF(G226=1,IF(COUNTIF('Forecast Detail'!$C$8:$C$400,H226)=0,"UNMAPPED","OK"),"")</f>
        <v>OK</v>
      </c>
    </row>
    <row r="227" customFormat="false" ht="15" hidden="false" customHeight="false" outlineLevel="0" collapsed="false">
      <c r="A227" s="6" t="s">
        <v>511</v>
      </c>
      <c r="B227" s="11" t="n">
        <v>0</v>
      </c>
      <c r="C227" s="11" t="n">
        <f aca="false">B227</f>
        <v>0</v>
      </c>
      <c r="D227" s="36" t="str">
        <f aca="false">TRIM(A227)</f>
        <v>500363 Technology General Office Supplies</v>
      </c>
      <c r="E227" s="36" t="str">
        <f aca="false">IF(D227="Revenue","Revenue",IF(D227="Cost of Goods Sold","COGS",IF(D227="Expenditures","Expense",IF(D227="Other Revenue","Other Revenue",IF(D227="Other Expenditures","Other Expense",E226)))))</f>
        <v>Expense</v>
      </c>
      <c r="F227" s="36" t="str">
        <f aca="false">IF(OR(D227="Revenue",D227="Cost of Goods Sold",D227="Expenditures",D227="Other Revenue",D227="Other Expenditures"),E227,IF(AND(LEN(D227)&gt;2,MID(D227,2,1)=" ",ISNUMBER(VALUE(LEFT(D227,1)))),D227,F226))</f>
        <v>4 Administrative</v>
      </c>
      <c r="G227" s="36" t="n">
        <f aca="false">IF(AND(D227&lt;&gt;"",ISNUMBER(B227),LEFT(D227,9)&lt;&gt;"Total for",D227&lt;&gt;"Gross Profit",D227&lt;&gt;"Net Operating Revenue",D227&lt;&gt;"Net Other Revenue",D227&lt;&gt;"Net Revenue"),1,0)</f>
        <v>1</v>
      </c>
      <c r="H227" s="36" t="str">
        <f aca="false">IF(G227=1,IF(AND(LEN(D227)&gt;7,ISNUMBER(VALUE(LEFT(D227,6))),MID(D227,7,1)=" "),LEFT(D227,6),D227),"")</f>
        <v>500363</v>
      </c>
      <c r="I227" s="36" t="str">
        <f aca="false">IF(G227=1,IF(COUNTIF('Forecast Detail'!$C$8:$C$400,H227)=0,"UNMAPPED","OK"),"")</f>
        <v>OK</v>
      </c>
    </row>
    <row r="228" customFormat="false" ht="15" hidden="false" customHeight="false" outlineLevel="0" collapsed="false">
      <c r="A228" s="6" t="s">
        <v>513</v>
      </c>
      <c r="B228" s="11" t="n">
        <v>0</v>
      </c>
      <c r="C228" s="11" t="n">
        <f aca="false">B228</f>
        <v>0</v>
      </c>
      <c r="D228" s="36" t="str">
        <f aca="false">TRIM(A228)</f>
        <v>500364 Repairs Technology</v>
      </c>
      <c r="E228" s="36" t="str">
        <f aca="false">IF(D228="Revenue","Revenue",IF(D228="Cost of Goods Sold","COGS",IF(D228="Expenditures","Expense",IF(D228="Other Revenue","Other Revenue",IF(D228="Other Expenditures","Other Expense",E227)))))</f>
        <v>Expense</v>
      </c>
      <c r="F228" s="36" t="str">
        <f aca="false">IF(OR(D228="Revenue",D228="Cost of Goods Sold",D228="Expenditures",D228="Other Revenue",D228="Other Expenditures"),E228,IF(AND(LEN(D228)&gt;2,MID(D228,2,1)=" ",ISNUMBER(VALUE(LEFT(D228,1)))),D228,F227))</f>
        <v>4 Administrative</v>
      </c>
      <c r="G228" s="36" t="n">
        <f aca="false">IF(AND(D228&lt;&gt;"",ISNUMBER(B228),LEFT(D228,9)&lt;&gt;"Total for",D228&lt;&gt;"Gross Profit",D228&lt;&gt;"Net Operating Revenue",D228&lt;&gt;"Net Other Revenue",D228&lt;&gt;"Net Revenue"),1,0)</f>
        <v>1</v>
      </c>
      <c r="H228" s="36" t="str">
        <f aca="false">IF(G228=1,IF(AND(LEN(D228)&gt;7,ISNUMBER(VALUE(LEFT(D228,6))),MID(D228,7,1)=" "),LEFT(D228,6),D228),"")</f>
        <v>500364</v>
      </c>
      <c r="I228" s="36" t="str">
        <f aca="false">IF(G228=1,IF(COUNTIF('Forecast Detail'!$C$8:$C$400,H228)=0,"UNMAPPED","OK"),"")</f>
        <v>OK</v>
      </c>
    </row>
    <row r="229" customFormat="false" ht="15" hidden="false" customHeight="false" outlineLevel="0" collapsed="false">
      <c r="A229" s="6" t="s">
        <v>515</v>
      </c>
      <c r="B229" s="11" t="n">
        <v>0</v>
      </c>
      <c r="C229" s="11" t="n">
        <f aca="false">B229</f>
        <v>0</v>
      </c>
      <c r="D229" s="36" t="str">
        <f aca="false">TRIM(A229)</f>
        <v>500365 Communication Costs</v>
      </c>
      <c r="E229" s="36" t="str">
        <f aca="false">IF(D229="Revenue","Revenue",IF(D229="Cost of Goods Sold","COGS",IF(D229="Expenditures","Expense",IF(D229="Other Revenue","Other Revenue",IF(D229="Other Expenditures","Other Expense",E228)))))</f>
        <v>Expense</v>
      </c>
      <c r="F229" s="36" t="str">
        <f aca="false">IF(OR(D229="Revenue",D229="Cost of Goods Sold",D229="Expenditures",D229="Other Revenue",D229="Other Expenditures"),E229,IF(AND(LEN(D229)&gt;2,MID(D229,2,1)=" ",ISNUMBER(VALUE(LEFT(D229,1)))),D229,F228))</f>
        <v>4 Administrative</v>
      </c>
      <c r="G229" s="36" t="n">
        <f aca="false">IF(AND(D229&lt;&gt;"",ISNUMBER(B229),LEFT(D229,9)&lt;&gt;"Total for",D229&lt;&gt;"Gross Profit",D229&lt;&gt;"Net Operating Revenue",D229&lt;&gt;"Net Other Revenue",D229&lt;&gt;"Net Revenue"),1,0)</f>
        <v>1</v>
      </c>
      <c r="H229" s="36" t="str">
        <f aca="false">IF(G229=1,IF(AND(LEN(D229)&gt;7,ISNUMBER(VALUE(LEFT(D229,6))),MID(D229,7,1)=" "),LEFT(D229,6),D229),"")</f>
        <v>500365</v>
      </c>
      <c r="I229" s="36" t="str">
        <f aca="false">IF(G229=1,IF(COUNTIF('Forecast Detail'!$C$8:$C$400,H229)=0,"UNMAPPED","OK"),"")</f>
        <v>OK</v>
      </c>
    </row>
    <row r="230" customFormat="false" ht="15" hidden="false" customHeight="false" outlineLevel="0" collapsed="false">
      <c r="A230" s="6" t="s">
        <v>517</v>
      </c>
      <c r="B230" s="11" t="n">
        <v>0</v>
      </c>
      <c r="C230" s="11" t="n">
        <f aca="false">B230</f>
        <v>0</v>
      </c>
      <c r="D230" s="36" t="str">
        <f aca="false">TRIM(A230)</f>
        <v>500367 Technology Installation Expense</v>
      </c>
      <c r="E230" s="36" t="str">
        <f aca="false">IF(D230="Revenue","Revenue",IF(D230="Cost of Goods Sold","COGS",IF(D230="Expenditures","Expense",IF(D230="Other Revenue","Other Revenue",IF(D230="Other Expenditures","Other Expense",E229)))))</f>
        <v>Expense</v>
      </c>
      <c r="F230" s="36" t="str">
        <f aca="false">IF(OR(D230="Revenue",D230="Cost of Goods Sold",D230="Expenditures",D230="Other Revenue",D230="Other Expenditures"),E230,IF(AND(LEN(D230)&gt;2,MID(D230,2,1)=" ",ISNUMBER(VALUE(LEFT(D230,1)))),D230,F229))</f>
        <v>4 Administrative</v>
      </c>
      <c r="G230" s="36" t="n">
        <f aca="false">IF(AND(D230&lt;&gt;"",ISNUMBER(B230),LEFT(D230,9)&lt;&gt;"Total for",D230&lt;&gt;"Gross Profit",D230&lt;&gt;"Net Operating Revenue",D230&lt;&gt;"Net Other Revenue",D230&lt;&gt;"Net Revenue"),1,0)</f>
        <v>1</v>
      </c>
      <c r="H230" s="36" t="str">
        <f aca="false">IF(G230=1,IF(AND(LEN(D230)&gt;7,ISNUMBER(VALUE(LEFT(D230,6))),MID(D230,7,1)=" "),LEFT(D230,6),D230),"")</f>
        <v>500367</v>
      </c>
      <c r="I230" s="36" t="str">
        <f aca="false">IF(G230=1,IF(COUNTIF('Forecast Detail'!$C$8:$C$400,H230)=0,"UNMAPPED","OK"),"")</f>
        <v>OK</v>
      </c>
    </row>
    <row r="231" customFormat="false" ht="15" hidden="false" customHeight="false" outlineLevel="0" collapsed="false">
      <c r="A231" s="6" t="s">
        <v>519</v>
      </c>
      <c r="B231" s="11" t="n">
        <v>0</v>
      </c>
      <c r="C231" s="11" t="n">
        <f aca="false">B231</f>
        <v>0</v>
      </c>
      <c r="D231" s="36" t="str">
        <f aca="false">TRIM(A231)</f>
        <v>500377 Apple Lease #10</v>
      </c>
      <c r="E231" s="36" t="str">
        <f aca="false">IF(D231="Revenue","Revenue",IF(D231="Cost of Goods Sold","COGS",IF(D231="Expenditures","Expense",IF(D231="Other Revenue","Other Revenue",IF(D231="Other Expenditures","Other Expense",E230)))))</f>
        <v>Expense</v>
      </c>
      <c r="F231" s="36" t="str">
        <f aca="false">IF(OR(D231="Revenue",D231="Cost of Goods Sold",D231="Expenditures",D231="Other Revenue",D231="Other Expenditures"),E231,IF(AND(LEN(D231)&gt;2,MID(D231,2,1)=" ",ISNUMBER(VALUE(LEFT(D231,1)))),D231,F230))</f>
        <v>4 Administrative</v>
      </c>
      <c r="G231" s="36" t="n">
        <f aca="false">IF(AND(D231&lt;&gt;"",ISNUMBER(B231),LEFT(D231,9)&lt;&gt;"Total for",D231&lt;&gt;"Gross Profit",D231&lt;&gt;"Net Operating Revenue",D231&lt;&gt;"Net Other Revenue",D231&lt;&gt;"Net Revenue"),1,0)</f>
        <v>1</v>
      </c>
      <c r="H231" s="36" t="str">
        <f aca="false">IF(G231=1,IF(AND(LEN(D231)&gt;7,ISNUMBER(VALUE(LEFT(D231,6))),MID(D231,7,1)=" "),LEFT(D231,6),D231),"")</f>
        <v>500377</v>
      </c>
      <c r="I231" s="36" t="str">
        <f aca="false">IF(G231=1,IF(COUNTIF('Forecast Detail'!$C$8:$C$400,H231)=0,"UNMAPPED","OK"),"")</f>
        <v>OK</v>
      </c>
    </row>
    <row r="232" customFormat="false" ht="15" hidden="false" customHeight="false" outlineLevel="0" collapsed="false">
      <c r="A232" s="6" t="s">
        <v>521</v>
      </c>
      <c r="B232" s="11" t="n">
        <v>0</v>
      </c>
      <c r="C232" s="11" t="n">
        <f aca="false">B232</f>
        <v>0</v>
      </c>
      <c r="D232" s="36" t="str">
        <f aca="false">TRIM(A232)</f>
        <v>500378 Apple Lease #9</v>
      </c>
      <c r="E232" s="36" t="str">
        <f aca="false">IF(D232="Revenue","Revenue",IF(D232="Cost of Goods Sold","COGS",IF(D232="Expenditures","Expense",IF(D232="Other Revenue","Other Revenue",IF(D232="Other Expenditures","Other Expense",E231)))))</f>
        <v>Expense</v>
      </c>
      <c r="F232" s="36" t="str">
        <f aca="false">IF(OR(D232="Revenue",D232="Cost of Goods Sold",D232="Expenditures",D232="Other Revenue",D232="Other Expenditures"),E232,IF(AND(LEN(D232)&gt;2,MID(D232,2,1)=" ",ISNUMBER(VALUE(LEFT(D232,1)))),D232,F231))</f>
        <v>4 Administrative</v>
      </c>
      <c r="G232" s="36" t="n">
        <f aca="false">IF(AND(D232&lt;&gt;"",ISNUMBER(B232),LEFT(D232,9)&lt;&gt;"Total for",D232&lt;&gt;"Gross Profit",D232&lt;&gt;"Net Operating Revenue",D232&lt;&gt;"Net Other Revenue",D232&lt;&gt;"Net Revenue"),1,0)</f>
        <v>1</v>
      </c>
      <c r="H232" s="36" t="str">
        <f aca="false">IF(G232=1,IF(AND(LEN(D232)&gt;7,ISNUMBER(VALUE(LEFT(D232,6))),MID(D232,7,1)=" "),LEFT(D232,6),D232),"")</f>
        <v>500378</v>
      </c>
      <c r="I232" s="36" t="str">
        <f aca="false">IF(G232=1,IF(COUNTIF('Forecast Detail'!$C$8:$C$400,H232)=0,"UNMAPPED","OK"),"")</f>
        <v>OK</v>
      </c>
    </row>
    <row r="233" customFormat="false" ht="15" hidden="false" customHeight="false" outlineLevel="0" collapsed="false">
      <c r="A233" s="6" t="s">
        <v>523</v>
      </c>
      <c r="B233" s="11" t="n">
        <v>0</v>
      </c>
      <c r="C233" s="11" t="n">
        <f aca="false">B233</f>
        <v>0</v>
      </c>
      <c r="D233" s="36" t="str">
        <f aca="false">TRIM(A233)</f>
        <v>500403 Billings for Deductible for Students 1 to 1</v>
      </c>
      <c r="E233" s="36" t="str">
        <f aca="false">IF(D233="Revenue","Revenue",IF(D233="Cost of Goods Sold","COGS",IF(D233="Expenditures","Expense",IF(D233="Other Revenue","Other Revenue",IF(D233="Other Expenditures","Other Expense",E232)))))</f>
        <v>Expense</v>
      </c>
      <c r="F233" s="36" t="str">
        <f aca="false">IF(OR(D233="Revenue",D233="Cost of Goods Sold",D233="Expenditures",D233="Other Revenue",D233="Other Expenditures"),E233,IF(AND(LEN(D233)&gt;2,MID(D233,2,1)=" ",ISNUMBER(VALUE(LEFT(D233,1)))),D233,F232))</f>
        <v>4 Administrative</v>
      </c>
      <c r="G233" s="36" t="n">
        <f aca="false">IF(AND(D233&lt;&gt;"",ISNUMBER(B233),LEFT(D233,9)&lt;&gt;"Total for",D233&lt;&gt;"Gross Profit",D233&lt;&gt;"Net Operating Revenue",D233&lt;&gt;"Net Other Revenue",D233&lt;&gt;"Net Revenue"),1,0)</f>
        <v>1</v>
      </c>
      <c r="H233" s="36" t="str">
        <f aca="false">IF(G233=1,IF(AND(LEN(D233)&gt;7,ISNUMBER(VALUE(LEFT(D233,6))),MID(D233,7,1)=" "),LEFT(D233,6),D233),"")</f>
        <v>500403</v>
      </c>
      <c r="I233" s="36" t="str">
        <f aca="false">IF(G233=1,IF(COUNTIF('Forecast Detail'!$C$8:$C$400,H233)=0,"UNMAPPED","OK"),"")</f>
        <v>OK</v>
      </c>
    </row>
    <row r="234" customFormat="false" ht="15" hidden="false" customHeight="false" outlineLevel="0" collapsed="false">
      <c r="A234" s="6" t="s">
        <v>525</v>
      </c>
      <c r="B234" s="11" t="n">
        <v>0</v>
      </c>
      <c r="C234" s="11" t="n">
        <f aca="false">B234</f>
        <v>0</v>
      </c>
      <c r="D234" s="36" t="str">
        <f aca="false">TRIM(A234)</f>
        <v>500404 Technology Insurance Premiums</v>
      </c>
      <c r="E234" s="36" t="str">
        <f aca="false">IF(D234="Revenue","Revenue",IF(D234="Cost of Goods Sold","COGS",IF(D234="Expenditures","Expense",IF(D234="Other Revenue","Other Revenue",IF(D234="Other Expenditures","Other Expense",E233)))))</f>
        <v>Expense</v>
      </c>
      <c r="F234" s="36" t="str">
        <f aca="false">IF(OR(D234="Revenue",D234="Cost of Goods Sold",D234="Expenditures",D234="Other Revenue",D234="Other Expenditures"),E234,IF(AND(LEN(D234)&gt;2,MID(D234,2,1)=" ",ISNUMBER(VALUE(LEFT(D234,1)))),D234,F233))</f>
        <v>4 Administrative</v>
      </c>
      <c r="G234" s="36" t="n">
        <f aca="false">IF(AND(D234&lt;&gt;"",ISNUMBER(B234),LEFT(D234,9)&lt;&gt;"Total for",D234&lt;&gt;"Gross Profit",D234&lt;&gt;"Net Operating Revenue",D234&lt;&gt;"Net Other Revenue",D234&lt;&gt;"Net Revenue"),1,0)</f>
        <v>1</v>
      </c>
      <c r="H234" s="36" t="str">
        <f aca="false">IF(G234=1,IF(AND(LEN(D234)&gt;7,ISNUMBER(VALUE(LEFT(D234,6))),MID(D234,7,1)=" "),LEFT(D234,6),D234),"")</f>
        <v>500404</v>
      </c>
      <c r="I234" s="36" t="str">
        <f aca="false">IF(G234=1,IF(COUNTIF('Forecast Detail'!$C$8:$C$400,H234)=0,"UNMAPPED","OK"),"")</f>
        <v>OK</v>
      </c>
    </row>
    <row r="235" customFormat="false" ht="15" hidden="false" customHeight="false" outlineLevel="0" collapsed="false">
      <c r="A235" s="6" t="s">
        <v>632</v>
      </c>
      <c r="B235" s="11" t="n">
        <f aca="false">B217+B218+B219+B220+B221+B222+B223+B224+B225+B226+B227+B228+B229+B230+B231+B232+B233+B234</f>
        <v>248000</v>
      </c>
      <c r="C235" s="11" t="n">
        <f aca="false">B235</f>
        <v>248000</v>
      </c>
      <c r="D235" s="36" t="str">
        <f aca="false">TRIM(A235)</f>
        <v>Total for Technology Expenses</v>
      </c>
      <c r="E235" s="36" t="str">
        <f aca="false">IF(D235="Revenue","Revenue",IF(D235="Cost of Goods Sold","COGS",IF(D235="Expenditures","Expense",IF(D235="Other Revenue","Other Revenue",IF(D235="Other Expenditures","Other Expense",E234)))))</f>
        <v>Expense</v>
      </c>
      <c r="F235" s="36" t="str">
        <f aca="false">IF(OR(D235="Revenue",D235="Cost of Goods Sold",D235="Expenditures",D235="Other Revenue",D235="Other Expenditures"),E235,IF(AND(LEN(D235)&gt;2,MID(D235,2,1)=" ",ISNUMBER(VALUE(LEFT(D235,1)))),D235,F234))</f>
        <v>4 Administrative</v>
      </c>
      <c r="G235" s="36" t="n">
        <f aca="false">IF(AND(D235&lt;&gt;"",ISNUMBER(B235),LEFT(D235,9)&lt;&gt;"Total for",D235&lt;&gt;"Gross Profit",D235&lt;&gt;"Net Operating Revenue",D235&lt;&gt;"Net Other Revenue",D235&lt;&gt;"Net Revenue"),1,0)</f>
        <v>0</v>
      </c>
      <c r="H235" s="36" t="str">
        <f aca="false">IF(G235=1,IF(AND(LEN(D235)&gt;7,ISNUMBER(VALUE(LEFT(D235,6))),MID(D235,7,1)=" "),LEFT(D235,6),D235),"")</f>
        <v/>
      </c>
      <c r="I235" s="36" t="str">
        <f aca="false">IF(G235=1,IF(COUNTIF('Forecast Detail'!$C$8:$C$400,H235)=0,"UNMAPPED","OK"),"")</f>
        <v/>
      </c>
    </row>
    <row r="236" customFormat="false" ht="15" hidden="false" customHeight="false" outlineLevel="0" collapsed="false">
      <c r="A236" s="6" t="s">
        <v>633</v>
      </c>
      <c r="B236" s="11" t="n">
        <f aca="false">B194+B210+B211+B212+B216+B235</f>
        <v>778368</v>
      </c>
      <c r="C236" s="11" t="n">
        <f aca="false">B236</f>
        <v>778368</v>
      </c>
      <c r="D236" s="36" t="str">
        <f aca="false">TRIM(A236)</f>
        <v>Total for 4 Administrative</v>
      </c>
      <c r="E236" s="36" t="str">
        <f aca="false">IF(D236="Revenue","Revenue",IF(D236="Cost of Goods Sold","COGS",IF(D236="Expenditures","Expense",IF(D236="Other Revenue","Other Revenue",IF(D236="Other Expenditures","Other Expense",E235)))))</f>
        <v>Expense</v>
      </c>
      <c r="F236" s="36" t="str">
        <f aca="false">IF(OR(D236="Revenue",D236="Cost of Goods Sold",D236="Expenditures",D236="Other Revenue",D236="Other Expenditures"),E236,IF(AND(LEN(D236)&gt;2,MID(D236,2,1)=" ",ISNUMBER(VALUE(LEFT(D236,1)))),D236,F235))</f>
        <v>4 Administrative</v>
      </c>
      <c r="G236" s="36" t="n">
        <f aca="false">IF(AND(D236&lt;&gt;"",ISNUMBER(B236),LEFT(D236,9)&lt;&gt;"Total for",D236&lt;&gt;"Gross Profit",D236&lt;&gt;"Net Operating Revenue",D236&lt;&gt;"Net Other Revenue",D236&lt;&gt;"Net Revenue"),1,0)</f>
        <v>0</v>
      </c>
      <c r="H236" s="36" t="str">
        <f aca="false">IF(G236=1,IF(AND(LEN(D236)&gt;7,ISNUMBER(VALUE(LEFT(D236,6))),MID(D236,7,1)=" "),LEFT(D236,6),D236),"")</f>
        <v/>
      </c>
      <c r="I236" s="36" t="str">
        <f aca="false">IF(G236=1,IF(COUNTIF('Forecast Detail'!$C$8:$C$400,H236)=0,"UNMAPPED","OK"),"")</f>
        <v/>
      </c>
    </row>
    <row r="237" customFormat="false" ht="15" hidden="false" customHeight="false" outlineLevel="0" collapsed="false">
      <c r="A237" s="6" t="s">
        <v>18</v>
      </c>
      <c r="B237" s="11" t="n">
        <v>171263</v>
      </c>
      <c r="C237" s="11" t="n">
        <f aca="false">B237</f>
        <v>171263</v>
      </c>
      <c r="D237" s="36" t="str">
        <f aca="false">TRIM(A237)</f>
        <v>5 Athletic Expenses</v>
      </c>
      <c r="E237" s="36" t="str">
        <f aca="false">IF(D237="Revenue","Revenue",IF(D237="Cost of Goods Sold","COGS",IF(D237="Expenditures","Expense",IF(D237="Other Revenue","Other Revenue",IF(D237="Other Expenditures","Other Expense",E236)))))</f>
        <v>Expense</v>
      </c>
      <c r="F237" s="36" t="str">
        <f aca="false">IF(OR(D237="Revenue",D237="Cost of Goods Sold",D237="Expenditures",D237="Other Revenue",D237="Other Expenditures"),E237,IF(AND(LEN(D237)&gt;2,MID(D237,2,1)=" ",ISNUMBER(VALUE(LEFT(D237,1)))),D237,F236))</f>
        <v>5 Athletic Expenses</v>
      </c>
      <c r="G237" s="36" t="n">
        <f aca="false">IF(AND(D237&lt;&gt;"",ISNUMBER(B237),LEFT(D237,9)&lt;&gt;"Total for",D237&lt;&gt;"Gross Profit",D237&lt;&gt;"Net Operating Revenue",D237&lt;&gt;"Net Other Revenue",D237&lt;&gt;"Net Revenue"),1,0)</f>
        <v>1</v>
      </c>
      <c r="H237" s="36" t="str">
        <f aca="false">IF(G237=1,IF(AND(LEN(D237)&gt;7,ISNUMBER(VALUE(LEFT(D237,6))),MID(D237,7,1)=" "),LEFT(D237,6),D237),"")</f>
        <v>5 Athletic Expenses</v>
      </c>
      <c r="I237" s="36" t="str">
        <f aca="false">IF(G237=1,IF(COUNTIF('Forecast Detail'!$C$8:$C$400,H237)=0,"UNMAPPED","OK"),"")</f>
        <v>OK</v>
      </c>
    </row>
    <row r="238" customFormat="false" ht="15" hidden="false" customHeight="false" outlineLevel="0" collapsed="false">
      <c r="A238" s="6" t="s">
        <v>634</v>
      </c>
      <c r="D238" s="36" t="str">
        <f aca="false">TRIM(A238)</f>
        <v>Athletic Expenses - General</v>
      </c>
      <c r="E238" s="36" t="str">
        <f aca="false">IF(D238="Revenue","Revenue",IF(D238="Cost of Goods Sold","COGS",IF(D238="Expenditures","Expense",IF(D238="Other Revenue","Other Revenue",IF(D238="Other Expenditures","Other Expense",E237)))))</f>
        <v>Expense</v>
      </c>
      <c r="F238" s="36" t="str">
        <f aca="false">IF(OR(D238="Revenue",D238="Cost of Goods Sold",D238="Expenditures",D238="Other Revenue",D238="Other Expenditures"),E238,IF(AND(LEN(D238)&gt;2,MID(D238,2,1)=" ",ISNUMBER(VALUE(LEFT(D238,1)))),D238,F237))</f>
        <v>5 Athletic Expenses</v>
      </c>
      <c r="G238" s="36" t="n">
        <f aca="false">IF(AND(D238&lt;&gt;"",ISNUMBER(B238),LEFT(D238,9)&lt;&gt;"Total for",D238&lt;&gt;"Gross Profit",D238&lt;&gt;"Net Operating Revenue",D238&lt;&gt;"Net Other Revenue",D238&lt;&gt;"Net Revenue"),1,0)</f>
        <v>0</v>
      </c>
      <c r="H238" s="36" t="str">
        <f aca="false">IF(G238=1,IF(AND(LEN(D238)&gt;7,ISNUMBER(VALUE(LEFT(D238,6))),MID(D238,7,1)=" "),LEFT(D238,6),D238),"")</f>
        <v/>
      </c>
      <c r="I238" s="36" t="str">
        <f aca="false">IF(G238=1,IF(COUNTIF('Forecast Detail'!$C$8:$C$400,H238)=0,"UNMAPPED","OK"),"")</f>
        <v/>
      </c>
    </row>
    <row r="239" customFormat="false" ht="15" hidden="false" customHeight="false" outlineLevel="0" collapsed="false">
      <c r="A239" s="6" t="s">
        <v>527</v>
      </c>
      <c r="B239" s="11" t="n">
        <v>0</v>
      </c>
      <c r="C239" s="11" t="n">
        <f aca="false">B239</f>
        <v>0</v>
      </c>
      <c r="D239" s="36" t="str">
        <f aca="false">TRIM(A239)</f>
        <v>500057 Summer Camp Exp DO NOT USE</v>
      </c>
      <c r="E239" s="36" t="str">
        <f aca="false">IF(D239="Revenue","Revenue",IF(D239="Cost of Goods Sold","COGS",IF(D239="Expenditures","Expense",IF(D239="Other Revenue","Other Revenue",IF(D239="Other Expenditures","Other Expense",E238)))))</f>
        <v>Expense</v>
      </c>
      <c r="F239" s="36" t="str">
        <f aca="false">IF(OR(D239="Revenue",D239="Cost of Goods Sold",D239="Expenditures",D239="Other Revenue",D239="Other Expenditures"),E239,IF(AND(LEN(D239)&gt;2,MID(D239,2,1)=" ",ISNUMBER(VALUE(LEFT(D239,1)))),D239,F238))</f>
        <v>5 Athletic Expenses</v>
      </c>
      <c r="G239" s="36" t="n">
        <f aca="false">IF(AND(D239&lt;&gt;"",ISNUMBER(B239),LEFT(D239,9)&lt;&gt;"Total for",D239&lt;&gt;"Gross Profit",D239&lt;&gt;"Net Operating Revenue",D239&lt;&gt;"Net Other Revenue",D239&lt;&gt;"Net Revenue"),1,0)</f>
        <v>1</v>
      </c>
      <c r="H239" s="36" t="str">
        <f aca="false">IF(G239=1,IF(AND(LEN(D239)&gt;7,ISNUMBER(VALUE(LEFT(D239,6))),MID(D239,7,1)=" "),LEFT(D239,6),D239),"")</f>
        <v>500057</v>
      </c>
      <c r="I239" s="36" t="str">
        <f aca="false">IF(G239=1,IF(COUNTIF('Forecast Detail'!$C$8:$C$400,H239)=0,"UNMAPPED","OK"),"")</f>
        <v>OK</v>
      </c>
    </row>
    <row r="240" customFormat="false" ht="15" hidden="false" customHeight="false" outlineLevel="0" collapsed="false">
      <c r="A240" s="6" t="s">
        <v>635</v>
      </c>
      <c r="B240" s="11" t="n">
        <f aca="false">B238+B239</f>
        <v>0</v>
      </c>
      <c r="C240" s="11" t="n">
        <f aca="false">B240</f>
        <v>0</v>
      </c>
      <c r="D240" s="36" t="str">
        <f aca="false">TRIM(A240)</f>
        <v>Total for Athletic Expenses - General</v>
      </c>
      <c r="E240" s="36" t="str">
        <f aca="false">IF(D240="Revenue","Revenue",IF(D240="Cost of Goods Sold","COGS",IF(D240="Expenditures","Expense",IF(D240="Other Revenue","Other Revenue",IF(D240="Other Expenditures","Other Expense",E239)))))</f>
        <v>Expense</v>
      </c>
      <c r="F240" s="36" t="str">
        <f aca="false">IF(OR(D240="Revenue",D240="Cost of Goods Sold",D240="Expenditures",D240="Other Revenue",D240="Other Expenditures"),E240,IF(AND(LEN(D240)&gt;2,MID(D240,2,1)=" ",ISNUMBER(VALUE(LEFT(D240,1)))),D240,F239))</f>
        <v>5 Athletic Expenses</v>
      </c>
      <c r="G240" s="36" t="n">
        <f aca="false">IF(AND(D240&lt;&gt;"",ISNUMBER(B240),LEFT(D240,9)&lt;&gt;"Total for",D240&lt;&gt;"Gross Profit",D240&lt;&gt;"Net Operating Revenue",D240&lt;&gt;"Net Other Revenue",D240&lt;&gt;"Net Revenue"),1,0)</f>
        <v>0</v>
      </c>
      <c r="H240" s="36" t="str">
        <f aca="false">IF(G240=1,IF(AND(LEN(D240)&gt;7,ISNUMBER(VALUE(LEFT(D240,6))),MID(D240,7,1)=" "),LEFT(D240,6),D240),"")</f>
        <v/>
      </c>
      <c r="I240" s="36" t="str">
        <f aca="false">IF(G240=1,IF(COUNTIF('Forecast Detail'!$C$8:$C$400,H240)=0,"UNMAPPED","OK"),"")</f>
        <v/>
      </c>
    </row>
    <row r="241" customFormat="false" ht="15" hidden="false" customHeight="false" outlineLevel="0" collapsed="false">
      <c r="A241" s="6" t="s">
        <v>636</v>
      </c>
      <c r="B241" s="11" t="n">
        <f aca="false">B237+B240</f>
        <v>171263</v>
      </c>
      <c r="C241" s="11" t="n">
        <f aca="false">B241</f>
        <v>171263</v>
      </c>
      <c r="D241" s="36" t="str">
        <f aca="false">TRIM(A241)</f>
        <v>Total for 5 Athletic Expenses</v>
      </c>
      <c r="E241" s="36" t="str">
        <f aca="false">IF(D241="Revenue","Revenue",IF(D241="Cost of Goods Sold","COGS",IF(D241="Expenditures","Expense",IF(D241="Other Revenue","Other Revenue",IF(D241="Other Expenditures","Other Expense",E240)))))</f>
        <v>Expense</v>
      </c>
      <c r="F241" s="36" t="str">
        <f aca="false">IF(OR(D241="Revenue",D241="Cost of Goods Sold",D241="Expenditures",D241="Other Revenue",D241="Other Expenditures"),E241,IF(AND(LEN(D241)&gt;2,MID(D241,2,1)=" ",ISNUMBER(VALUE(LEFT(D241,1)))),D241,F240))</f>
        <v>5 Athletic Expenses</v>
      </c>
      <c r="G241" s="36" t="n">
        <f aca="false">IF(AND(D241&lt;&gt;"",ISNUMBER(B241),LEFT(D241,9)&lt;&gt;"Total for",D241&lt;&gt;"Gross Profit",D241&lt;&gt;"Net Operating Revenue",D241&lt;&gt;"Net Other Revenue",D241&lt;&gt;"Net Revenue"),1,0)</f>
        <v>0</v>
      </c>
      <c r="H241" s="36" t="str">
        <f aca="false">IF(G241=1,IF(AND(LEN(D241)&gt;7,ISNUMBER(VALUE(LEFT(D241,6))),MID(D241,7,1)=" "),LEFT(D241,6),D241),"")</f>
        <v/>
      </c>
      <c r="I241" s="36" t="str">
        <f aca="false">IF(G241=1,IF(COUNTIF('Forecast Detail'!$C$8:$C$400,H241)=0,"UNMAPPED","OK"),"")</f>
        <v/>
      </c>
    </row>
    <row r="242" customFormat="false" ht="15" hidden="false" customHeight="false" outlineLevel="0" collapsed="false">
      <c r="A242" s="6" t="s">
        <v>637</v>
      </c>
      <c r="B242" s="11" t="n">
        <f aca="false">B83+B99+B152+B193+B236+B241</f>
        <v>9302740</v>
      </c>
      <c r="C242" s="11" t="n">
        <f aca="false">B242</f>
        <v>9302740</v>
      </c>
      <c r="D242" s="36" t="str">
        <f aca="false">TRIM(A242)</f>
        <v>Total for Expenditures</v>
      </c>
      <c r="E242" s="36" t="str">
        <f aca="false">IF(D242="Revenue","Revenue",IF(D242="Cost of Goods Sold","COGS",IF(D242="Expenditures","Expense",IF(D242="Other Revenue","Other Revenue",IF(D242="Other Expenditures","Other Expense",E241)))))</f>
        <v>Expense</v>
      </c>
      <c r="F242" s="36" t="str">
        <f aca="false">IF(OR(D242="Revenue",D242="Cost of Goods Sold",D242="Expenditures",D242="Other Revenue",D242="Other Expenditures"),E242,IF(AND(LEN(D242)&gt;2,MID(D242,2,1)=" ",ISNUMBER(VALUE(LEFT(D242,1)))),D242,F241))</f>
        <v>5 Athletic Expenses</v>
      </c>
      <c r="G242" s="36" t="n">
        <f aca="false">IF(AND(D242&lt;&gt;"",ISNUMBER(B242),LEFT(D242,9)&lt;&gt;"Total for",D242&lt;&gt;"Gross Profit",D242&lt;&gt;"Net Operating Revenue",D242&lt;&gt;"Net Other Revenue",D242&lt;&gt;"Net Revenue"),1,0)</f>
        <v>0</v>
      </c>
      <c r="H242" s="36" t="str">
        <f aca="false">IF(G242=1,IF(AND(LEN(D242)&gt;7,ISNUMBER(VALUE(LEFT(D242,6))),MID(D242,7,1)=" "),LEFT(D242,6),D242),"")</f>
        <v/>
      </c>
      <c r="I242" s="36" t="str">
        <f aca="false">IF(G242=1,IF(COUNTIF('Forecast Detail'!$C$8:$C$400,H242)=0,"UNMAPPED","OK"),"")</f>
        <v/>
      </c>
    </row>
    <row r="243" customFormat="false" ht="15" hidden="false" customHeight="false" outlineLevel="0" collapsed="false">
      <c r="A243" s="6" t="s">
        <v>21</v>
      </c>
      <c r="B243" s="11" t="n">
        <f aca="false">B82-B242</f>
        <v>1642</v>
      </c>
      <c r="C243" s="11" t="n">
        <f aca="false">B243</f>
        <v>1642</v>
      </c>
      <c r="D243" s="36" t="str">
        <f aca="false">TRIM(A243)</f>
        <v>Net Operating Revenue</v>
      </c>
      <c r="E243" s="36" t="str">
        <f aca="false">IF(D243="Revenue","Revenue",IF(D243="Cost of Goods Sold","COGS",IF(D243="Expenditures","Expense",IF(D243="Other Revenue","Other Revenue",IF(D243="Other Expenditures","Other Expense",E242)))))</f>
        <v>Expense</v>
      </c>
      <c r="F243" s="36" t="str">
        <f aca="false">IF(OR(D243="Revenue",D243="Cost of Goods Sold",D243="Expenditures",D243="Other Revenue",D243="Other Expenditures"),E243,IF(AND(LEN(D243)&gt;2,MID(D243,2,1)=" ",ISNUMBER(VALUE(LEFT(D243,1)))),D243,F242))</f>
        <v>5 Athletic Expenses</v>
      </c>
      <c r="G243" s="36" t="n">
        <f aca="false">IF(AND(D243&lt;&gt;"",ISNUMBER(B243),LEFT(D243,9)&lt;&gt;"Total for",D243&lt;&gt;"Gross Profit",D243&lt;&gt;"Net Operating Revenue",D243&lt;&gt;"Net Other Revenue",D243&lt;&gt;"Net Revenue"),1,0)</f>
        <v>0</v>
      </c>
      <c r="H243" s="36" t="str">
        <f aca="false">IF(G243=1,IF(AND(LEN(D243)&gt;7,ISNUMBER(VALUE(LEFT(D243,6))),MID(D243,7,1)=" "),LEFT(D243,6),D243),"")</f>
        <v/>
      </c>
      <c r="I243" s="36" t="str">
        <f aca="false">IF(G243=1,IF(COUNTIF('Forecast Detail'!$C$8:$C$400,H243)=0,"UNMAPPED","OK"),"")</f>
        <v/>
      </c>
    </row>
    <row r="244" customFormat="false" ht="15" hidden="false" customHeight="false" outlineLevel="0" collapsed="false">
      <c r="A244" s="6" t="s">
        <v>528</v>
      </c>
      <c r="D244" s="36" t="str">
        <f aca="false">TRIM(A244)</f>
        <v>Other Revenue</v>
      </c>
      <c r="E244" s="36" t="str">
        <f aca="false">IF(D244="Revenue","Revenue",IF(D244="Cost of Goods Sold","COGS",IF(D244="Expenditures","Expense",IF(D244="Other Revenue","Other Revenue",IF(D244="Other Expenditures","Other Expense",E243)))))</f>
        <v>Other Revenue</v>
      </c>
      <c r="F244" s="36" t="str">
        <f aca="false">IF(OR(D244="Revenue",D244="Cost of Goods Sold",D244="Expenditures",D244="Other Revenue",D244="Other Expenditures"),E244,IF(AND(LEN(D244)&gt;2,MID(D244,2,1)=" ",ISNUMBER(VALUE(LEFT(D244,1)))),D244,F243))</f>
        <v>Other Revenue</v>
      </c>
      <c r="G244" s="36" t="n">
        <f aca="false">IF(AND(D244&lt;&gt;"",ISNUMBER(B244),LEFT(D244,9)&lt;&gt;"Total for",D244&lt;&gt;"Gross Profit",D244&lt;&gt;"Net Operating Revenue",D244&lt;&gt;"Net Other Revenue",D244&lt;&gt;"Net Revenue"),1,0)</f>
        <v>0</v>
      </c>
      <c r="H244" s="36" t="str">
        <f aca="false">IF(G244=1,IF(AND(LEN(D244)&gt;7,ISNUMBER(VALUE(LEFT(D244,6))),MID(D244,7,1)=" "),LEFT(D244,6),D244),"")</f>
        <v/>
      </c>
      <c r="I244" s="36" t="str">
        <f aca="false">IF(G244=1,IF(COUNTIF('Forecast Detail'!$C$8:$C$400,H244)=0,"UNMAPPED","OK"),"")</f>
        <v/>
      </c>
    </row>
    <row r="245" customFormat="false" ht="15" hidden="false" customHeight="false" outlineLevel="0" collapsed="false">
      <c r="A245" s="6" t="s">
        <v>529</v>
      </c>
      <c r="B245" s="11" t="n">
        <v>0</v>
      </c>
      <c r="C245" s="11" t="n">
        <f aca="false">B245</f>
        <v>0</v>
      </c>
      <c r="D245" s="36" t="str">
        <f aca="false">TRIM(A245)</f>
        <v>Development Income</v>
      </c>
      <c r="E245" s="36" t="str">
        <f aca="false">IF(D245="Revenue","Revenue",IF(D245="Cost of Goods Sold","COGS",IF(D245="Expenditures","Expense",IF(D245="Other Revenue","Other Revenue",IF(D245="Other Expenditures","Other Expense",E244)))))</f>
        <v>Other Revenue</v>
      </c>
      <c r="F245" s="36" t="str">
        <f aca="false">IF(OR(D245="Revenue",D245="Cost of Goods Sold",D245="Expenditures",D245="Other Revenue",D245="Other Expenditures"),E245,IF(AND(LEN(D245)&gt;2,MID(D245,2,1)=" ",ISNUMBER(VALUE(LEFT(D245,1)))),D245,F244))</f>
        <v>Other Revenue</v>
      </c>
      <c r="G245" s="36" t="n">
        <f aca="false">IF(AND(D245&lt;&gt;"",ISNUMBER(B245),LEFT(D245,9)&lt;&gt;"Total for",D245&lt;&gt;"Gross Profit",D245&lt;&gt;"Net Operating Revenue",D245&lt;&gt;"Net Other Revenue",D245&lt;&gt;"Net Revenue"),1,0)</f>
        <v>1</v>
      </c>
      <c r="H245" s="36" t="str">
        <f aca="false">IF(G245=1,IF(AND(LEN(D245)&gt;7,ISNUMBER(VALUE(LEFT(D245,6))),MID(D245,7,1)=" "),LEFT(D245,6),D245),"")</f>
        <v>Development Income</v>
      </c>
      <c r="I245" s="36" t="str">
        <f aca="false">IF(G245=1,IF(COUNTIF('Forecast Detail'!$C$8:$C$400,H245)=0,"UNMAPPED","OK"),"")</f>
        <v>OK</v>
      </c>
    </row>
    <row r="246" customFormat="false" ht="15" hidden="false" customHeight="false" outlineLevel="0" collapsed="false">
      <c r="A246" s="6" t="s">
        <v>638</v>
      </c>
      <c r="B246" s="11" t="n">
        <f aca="false">B244+B245</f>
        <v>0</v>
      </c>
      <c r="C246" s="11" t="n">
        <f aca="false">B246</f>
        <v>0</v>
      </c>
      <c r="D246" s="36" t="str">
        <f aca="false">TRIM(A246)</f>
        <v>Total for Other Revenue</v>
      </c>
      <c r="E246" s="36" t="str">
        <f aca="false">IF(D246="Revenue","Revenue",IF(D246="Cost of Goods Sold","COGS",IF(D246="Expenditures","Expense",IF(D246="Other Revenue","Other Revenue",IF(D246="Other Expenditures","Other Expense",E245)))))</f>
        <v>Other Revenue</v>
      </c>
      <c r="F246" s="36" t="str">
        <f aca="false">IF(OR(D246="Revenue",D246="Cost of Goods Sold",D246="Expenditures",D246="Other Revenue",D246="Other Expenditures"),E246,IF(AND(LEN(D246)&gt;2,MID(D246,2,1)=" ",ISNUMBER(VALUE(LEFT(D246,1)))),D246,F245))</f>
        <v>Other Revenue</v>
      </c>
      <c r="G246" s="36" t="n">
        <f aca="false">IF(AND(D246&lt;&gt;"",ISNUMBER(B246),LEFT(D246,9)&lt;&gt;"Total for",D246&lt;&gt;"Gross Profit",D246&lt;&gt;"Net Operating Revenue",D246&lt;&gt;"Net Other Revenue",D246&lt;&gt;"Net Revenue"),1,0)</f>
        <v>0</v>
      </c>
      <c r="H246" s="36" t="str">
        <f aca="false">IF(G246=1,IF(AND(LEN(D246)&gt;7,ISNUMBER(VALUE(LEFT(D246,6))),MID(D246,7,1)=" "),LEFT(D246,6),D246),"")</f>
        <v/>
      </c>
      <c r="I246" s="36" t="str">
        <f aca="false">IF(G246=1,IF(COUNTIF('Forecast Detail'!$C$8:$C$400,H246)=0,"UNMAPPED","OK"),"")</f>
        <v/>
      </c>
    </row>
    <row r="247" customFormat="false" ht="15" hidden="false" customHeight="false" outlineLevel="0" collapsed="false">
      <c r="A247" s="6" t="s">
        <v>639</v>
      </c>
      <c r="D247" s="36" t="str">
        <f aca="false">TRIM(A247)</f>
        <v>Other Expenditures</v>
      </c>
      <c r="E247" s="36" t="str">
        <f aca="false">IF(D247="Revenue","Revenue",IF(D247="Cost of Goods Sold","COGS",IF(D247="Expenditures","Expense",IF(D247="Other Revenue","Other Revenue",IF(D247="Other Expenditures","Other Expense",E246)))))</f>
        <v>Other Expense</v>
      </c>
      <c r="F247" s="36" t="str">
        <f aca="false">IF(OR(D247="Revenue",D247="Cost of Goods Sold",D247="Expenditures",D247="Other Revenue",D247="Other Expenditures"),E247,IF(AND(LEN(D247)&gt;2,MID(D247,2,1)=" ",ISNUMBER(VALUE(LEFT(D247,1)))),D247,F246))</f>
        <v>Other Expense</v>
      </c>
      <c r="G247" s="36" t="n">
        <f aca="false">IF(AND(D247&lt;&gt;"",ISNUMBER(B247),LEFT(D247,9)&lt;&gt;"Total for",D247&lt;&gt;"Gross Profit",D247&lt;&gt;"Net Operating Revenue",D247&lt;&gt;"Net Other Revenue",D247&lt;&gt;"Net Revenue"),1,0)</f>
        <v>0</v>
      </c>
      <c r="H247" s="36" t="str">
        <f aca="false">IF(G247=1,IF(AND(LEN(D247)&gt;7,ISNUMBER(VALUE(LEFT(D247,6))),MID(D247,7,1)=" "),LEFT(D247,6),D247),"")</f>
        <v/>
      </c>
      <c r="I247" s="36" t="str">
        <f aca="false">IF(G247=1,IF(COUNTIF('Forecast Detail'!$C$8:$C$400,H247)=0,"UNMAPPED","OK"),"")</f>
        <v/>
      </c>
    </row>
    <row r="248" customFormat="false" ht="15" hidden="false" customHeight="false" outlineLevel="0" collapsed="false">
      <c r="A248" s="6" t="s">
        <v>531</v>
      </c>
      <c r="B248" s="11" t="n">
        <v>0</v>
      </c>
      <c r="C248" s="11" t="n">
        <f aca="false">B248</f>
        <v>0</v>
      </c>
      <c r="D248" s="36" t="str">
        <f aca="false">TRIM(A248)</f>
        <v>Development Expenses</v>
      </c>
      <c r="E248" s="36" t="str">
        <f aca="false">IF(D248="Revenue","Revenue",IF(D248="Cost of Goods Sold","COGS",IF(D248="Expenditures","Expense",IF(D248="Other Revenue","Other Revenue",IF(D248="Other Expenditures","Other Expense",E247)))))</f>
        <v>Other Expense</v>
      </c>
      <c r="F248" s="36" t="str">
        <f aca="false">IF(OR(D248="Revenue",D248="Cost of Goods Sold",D248="Expenditures",D248="Other Revenue",D248="Other Expenditures"),E248,IF(AND(LEN(D248)&gt;2,MID(D248,2,1)=" ",ISNUMBER(VALUE(LEFT(D248,1)))),D248,F247))</f>
        <v>Other Expense</v>
      </c>
      <c r="G248" s="36" t="n">
        <f aca="false">IF(AND(D248&lt;&gt;"",ISNUMBER(B248),LEFT(D248,9)&lt;&gt;"Total for",D248&lt;&gt;"Gross Profit",D248&lt;&gt;"Net Operating Revenue",D248&lt;&gt;"Net Other Revenue",D248&lt;&gt;"Net Revenue"),1,0)</f>
        <v>1</v>
      </c>
      <c r="H248" s="36" t="str">
        <f aca="false">IF(G248=1,IF(AND(LEN(D248)&gt;7,ISNUMBER(VALUE(LEFT(D248,6))),MID(D248,7,1)=" "),LEFT(D248,6),D248),"")</f>
        <v>Development Expenses</v>
      </c>
      <c r="I248" s="36" t="str">
        <f aca="false">IF(G248=1,IF(COUNTIF('Forecast Detail'!$C$8:$C$400,H248)=0,"UNMAPPED","OK"),"")</f>
        <v>OK</v>
      </c>
    </row>
    <row r="249" customFormat="false" ht="15" hidden="false" customHeight="false" outlineLevel="0" collapsed="false">
      <c r="A249" s="6" t="s">
        <v>640</v>
      </c>
      <c r="B249" s="11" t="n">
        <f aca="false">B247+B248</f>
        <v>0</v>
      </c>
      <c r="C249" s="11" t="n">
        <f aca="false">B249</f>
        <v>0</v>
      </c>
      <c r="D249" s="36" t="str">
        <f aca="false">TRIM(A249)</f>
        <v>Total for Other Expenditures</v>
      </c>
      <c r="E249" s="36" t="str">
        <f aca="false">IF(D249="Revenue","Revenue",IF(D249="Cost of Goods Sold","COGS",IF(D249="Expenditures","Expense",IF(D249="Other Revenue","Other Revenue",IF(D249="Other Expenditures","Other Expense",E248)))))</f>
        <v>Other Expense</v>
      </c>
      <c r="F249" s="36" t="str">
        <f aca="false">IF(OR(D249="Revenue",D249="Cost of Goods Sold",D249="Expenditures",D249="Other Revenue",D249="Other Expenditures"),E249,IF(AND(LEN(D249)&gt;2,MID(D249,2,1)=" ",ISNUMBER(VALUE(LEFT(D249,1)))),D249,F248))</f>
        <v>Other Expense</v>
      </c>
      <c r="G249" s="36" t="n">
        <f aca="false">IF(AND(D249&lt;&gt;"",ISNUMBER(B249),LEFT(D249,9)&lt;&gt;"Total for",D249&lt;&gt;"Gross Profit",D249&lt;&gt;"Net Operating Revenue",D249&lt;&gt;"Net Other Revenue",D249&lt;&gt;"Net Revenue"),1,0)</f>
        <v>0</v>
      </c>
      <c r="H249" s="36" t="str">
        <f aca="false">IF(G249=1,IF(AND(LEN(D249)&gt;7,ISNUMBER(VALUE(LEFT(D249,6))),MID(D249,7,1)=" "),LEFT(D249,6),D249),"")</f>
        <v/>
      </c>
      <c r="I249" s="36" t="str">
        <f aca="false">IF(G249=1,IF(COUNTIF('Forecast Detail'!$C$8:$C$400,H249)=0,"UNMAPPED","OK"),"")</f>
        <v/>
      </c>
    </row>
    <row r="250" customFormat="false" ht="15" hidden="false" customHeight="false" outlineLevel="0" collapsed="false">
      <c r="A250" s="6" t="s">
        <v>24</v>
      </c>
      <c r="B250" s="11" t="n">
        <f aca="false">B246-B249</f>
        <v>0</v>
      </c>
      <c r="C250" s="11" t="n">
        <f aca="false">B250</f>
        <v>0</v>
      </c>
      <c r="D250" s="36" t="str">
        <f aca="false">TRIM(A250)</f>
        <v>Net Other Revenue</v>
      </c>
      <c r="E250" s="36" t="str">
        <f aca="false">IF(D250="Revenue","Revenue",IF(D250="Cost of Goods Sold","COGS",IF(D250="Expenditures","Expense",IF(D250="Other Revenue","Other Revenue",IF(D250="Other Expenditures","Other Expense",E249)))))</f>
        <v>Other Expense</v>
      </c>
      <c r="F250" s="36" t="str">
        <f aca="false">IF(OR(D250="Revenue",D250="Cost of Goods Sold",D250="Expenditures",D250="Other Revenue",D250="Other Expenditures"),E250,IF(AND(LEN(D250)&gt;2,MID(D250,2,1)=" ",ISNUMBER(VALUE(LEFT(D250,1)))),D250,F249))</f>
        <v>Other Expense</v>
      </c>
      <c r="G250" s="36" t="n">
        <f aca="false">IF(AND(D250&lt;&gt;"",ISNUMBER(B250),LEFT(D250,9)&lt;&gt;"Total for",D250&lt;&gt;"Gross Profit",D250&lt;&gt;"Net Operating Revenue",D250&lt;&gt;"Net Other Revenue",D250&lt;&gt;"Net Revenue"),1,0)</f>
        <v>0</v>
      </c>
      <c r="H250" s="36" t="str">
        <f aca="false">IF(G250=1,IF(AND(LEN(D250)&gt;7,ISNUMBER(VALUE(LEFT(D250,6))),MID(D250,7,1)=" "),LEFT(D250,6),D250),"")</f>
        <v/>
      </c>
      <c r="I250" s="36" t="str">
        <f aca="false">IF(G250=1,IF(COUNTIF('Forecast Detail'!$C$8:$C$400,H250)=0,"UNMAPPED","OK"),"")</f>
        <v/>
      </c>
    </row>
    <row r="251" customFormat="false" ht="15" hidden="false" customHeight="false" outlineLevel="0" collapsed="false">
      <c r="A251" s="6" t="s">
        <v>641</v>
      </c>
      <c r="B251" s="11" t="n">
        <f aca="false">B243+B250</f>
        <v>1642</v>
      </c>
      <c r="C251" s="11" t="n">
        <f aca="false">B251</f>
        <v>1642</v>
      </c>
      <c r="D251" s="36" t="str">
        <f aca="false">TRIM(A251)</f>
        <v>Net Revenue</v>
      </c>
      <c r="E251" s="36" t="str">
        <f aca="false">IF(D251="Revenue","Revenue",IF(D251="Cost of Goods Sold","COGS",IF(D251="Expenditures","Expense",IF(D251="Other Revenue","Other Revenue",IF(D251="Other Expenditures","Other Expense",E250)))))</f>
        <v>Other Expense</v>
      </c>
      <c r="F251" s="36" t="str">
        <f aca="false">IF(OR(D251="Revenue",D251="Cost of Goods Sold",D251="Expenditures",D251="Other Revenue",D251="Other Expenditures"),E251,IF(AND(LEN(D251)&gt;2,MID(D251,2,1)=" ",ISNUMBER(VALUE(LEFT(D251,1)))),D251,F250))</f>
        <v>Other Expense</v>
      </c>
      <c r="G251" s="36" t="n">
        <f aca="false">IF(AND(D251&lt;&gt;"",ISNUMBER(B251),LEFT(D251,9)&lt;&gt;"Total for",D251&lt;&gt;"Gross Profit",D251&lt;&gt;"Net Operating Revenue",D251&lt;&gt;"Net Other Revenue",D251&lt;&gt;"Net Revenue"),1,0)</f>
        <v>0</v>
      </c>
      <c r="H251" s="36" t="str">
        <f aca="false">IF(G251=1,IF(AND(LEN(D251)&gt;7,ISNUMBER(VALUE(LEFT(D251,6))),MID(D251,7,1)=" "),LEFT(D251,6),D251),"")</f>
        <v/>
      </c>
      <c r="I251" s="36" t="str">
        <f aca="false">IF(G251=1,IF(COUNTIF('Forecast Detail'!$C$8:$C$400,H251)=0,"UNMAPPED","OK"),"")</f>
        <v/>
      </c>
    </row>
    <row r="252" customFormat="false" ht="15" hidden="false" customHeight="false" outlineLevel="0" collapsed="false">
      <c r="D252" s="36" t="str">
        <f aca="false">TRIM(A252)</f>
        <v/>
      </c>
      <c r="E252" s="36" t="str">
        <f aca="false">IF(D252="Revenue","Revenue",IF(D252="Cost of Goods Sold","COGS",IF(D252="Expenditures","Expense",IF(D252="Other Revenue","Other Revenue",IF(D252="Other Expenditures","Other Expense",E251)))))</f>
        <v>Other Expense</v>
      </c>
      <c r="F252" s="36" t="str">
        <f aca="false">IF(OR(D252="Revenue",D252="Cost of Goods Sold",D252="Expenditures",D252="Other Revenue",D252="Other Expenditures"),E252,IF(AND(LEN(D252)&gt;2,MID(D252,2,1)=" ",ISNUMBER(VALUE(LEFT(D252,1)))),D252,F251))</f>
        <v>Other Expense</v>
      </c>
      <c r="G252" s="36" t="n">
        <f aca="false">IF(AND(D252&lt;&gt;"",ISNUMBER(B252),LEFT(D252,9)&lt;&gt;"Total for",D252&lt;&gt;"Gross Profit",D252&lt;&gt;"Net Operating Revenue",D252&lt;&gt;"Net Other Revenue",D252&lt;&gt;"Net Revenue"),1,0)</f>
        <v>0</v>
      </c>
      <c r="H252" s="36" t="str">
        <f aca="false">IF(G252=1,IF(AND(LEN(D252)&gt;7,ISNUMBER(VALUE(LEFT(D252,6))),MID(D252,7,1)=" "),LEFT(D252,6),D252),"")</f>
        <v/>
      </c>
      <c r="I252" s="36" t="str">
        <f aca="false">IF(G252=1,IF(COUNTIF('Forecast Detail'!$C$8:$C$400,H252)=0,"UNMAPPED","OK"),"")</f>
        <v/>
      </c>
    </row>
    <row r="253" customFormat="false" ht="15" hidden="false" customHeight="false" outlineLevel="0" collapsed="false">
      <c r="D253" s="36" t="str">
        <f aca="false">TRIM(A253)</f>
        <v/>
      </c>
      <c r="E253" s="36" t="str">
        <f aca="false">IF(D253="Revenue","Revenue",IF(D253="Cost of Goods Sold","COGS",IF(D253="Expenditures","Expense",IF(D253="Other Revenue","Other Revenue",IF(D253="Other Expenditures","Other Expense",E252)))))</f>
        <v>Other Expense</v>
      </c>
      <c r="F253" s="36" t="str">
        <f aca="false">IF(OR(D253="Revenue",D253="Cost of Goods Sold",D253="Expenditures",D253="Other Revenue",D253="Other Expenditures"),E253,IF(AND(LEN(D253)&gt;2,MID(D253,2,1)=" ",ISNUMBER(VALUE(LEFT(D253,1)))),D253,F252))</f>
        <v>Other Expense</v>
      </c>
      <c r="G253" s="36" t="n">
        <f aca="false">IF(AND(D253&lt;&gt;"",ISNUMBER(B253),LEFT(D253,9)&lt;&gt;"Total for",D253&lt;&gt;"Gross Profit",D253&lt;&gt;"Net Operating Revenue",D253&lt;&gt;"Net Other Revenue",D253&lt;&gt;"Net Revenue"),1,0)</f>
        <v>0</v>
      </c>
      <c r="H253" s="36" t="str">
        <f aca="false">IF(G253=1,IF(AND(LEN(D253)&gt;7,ISNUMBER(VALUE(LEFT(D253,6))),MID(D253,7,1)=" "),LEFT(D253,6),D253),"")</f>
        <v/>
      </c>
      <c r="I253" s="36" t="str">
        <f aca="false">IF(G253=1,IF(COUNTIF('Forecast Detail'!$C$8:$C$400,H253)=0,"UNMAPPED","OK"),"")</f>
        <v/>
      </c>
    </row>
    <row r="254" customFormat="false" ht="15" hidden="false" customHeight="false" outlineLevel="0" collapsed="false">
      <c r="D254" s="36" t="str">
        <f aca="false">TRIM(A254)</f>
        <v/>
      </c>
      <c r="E254" s="36" t="str">
        <f aca="false">IF(D254="Revenue","Revenue",IF(D254="Cost of Goods Sold","COGS",IF(D254="Expenditures","Expense",IF(D254="Other Revenue","Other Revenue",IF(D254="Other Expenditures","Other Expense",E253)))))</f>
        <v>Other Expense</v>
      </c>
      <c r="F254" s="36" t="str">
        <f aca="false">IF(OR(D254="Revenue",D254="Cost of Goods Sold",D254="Expenditures",D254="Other Revenue",D254="Other Expenditures"),E254,IF(AND(LEN(D254)&gt;2,MID(D254,2,1)=" ",ISNUMBER(VALUE(LEFT(D254,1)))),D254,F253))</f>
        <v>Other Expense</v>
      </c>
      <c r="G254" s="36" t="n">
        <f aca="false">IF(AND(D254&lt;&gt;"",ISNUMBER(B254),LEFT(D254,9)&lt;&gt;"Total for",D254&lt;&gt;"Gross Profit",D254&lt;&gt;"Net Operating Revenue",D254&lt;&gt;"Net Other Revenue",D254&lt;&gt;"Net Revenue"),1,0)</f>
        <v>0</v>
      </c>
      <c r="H254" s="36" t="str">
        <f aca="false">IF(G254=1,IF(AND(LEN(D254)&gt;7,ISNUMBER(VALUE(LEFT(D254,6))),MID(D254,7,1)=" "),LEFT(D254,6),D254),"")</f>
        <v/>
      </c>
      <c r="I254" s="36" t="str">
        <f aca="false">IF(G254=1,IF(COUNTIF('Forecast Detail'!$C$8:$C$400,H254)=0,"UNMAPPED","OK"),"")</f>
        <v/>
      </c>
    </row>
    <row r="255" customFormat="false" ht="15" hidden="false" customHeight="false" outlineLevel="0" collapsed="false">
      <c r="A255" s="6" t="s">
        <v>642</v>
      </c>
      <c r="D255" s="36" t="str">
        <f aca="false">TRIM(A255)</f>
        <v>Tuesday, September 22, 2026 09:32 AM GMT-05:00</v>
      </c>
      <c r="E255" s="36" t="str">
        <f aca="false">IF(D255="Revenue","Revenue",IF(D255="Cost of Goods Sold","COGS",IF(D255="Expenditures","Expense",IF(D255="Other Revenue","Other Revenue",IF(D255="Other Expenditures","Other Expense",E254)))))</f>
        <v>Other Expense</v>
      </c>
      <c r="F255" s="36" t="str">
        <f aca="false">IF(OR(D255="Revenue",D255="Cost of Goods Sold",D255="Expenditures",D255="Other Revenue",D255="Other Expenditures"),E255,IF(AND(LEN(D255)&gt;2,MID(D255,2,1)=" ",ISNUMBER(VALUE(LEFT(D255,1)))),D255,F254))</f>
        <v>Other Expense</v>
      </c>
      <c r="G255" s="36" t="n">
        <f aca="false">IF(AND(D255&lt;&gt;"",ISNUMBER(B255),LEFT(D255,9)&lt;&gt;"Total for",D255&lt;&gt;"Gross Profit",D255&lt;&gt;"Net Operating Revenue",D255&lt;&gt;"Net Other Revenue",D255&lt;&gt;"Net Revenue"),1,0)</f>
        <v>0</v>
      </c>
      <c r="H255" s="36" t="str">
        <f aca="false">IF(G255=1,IF(AND(LEN(D255)&gt;7,ISNUMBER(VALUE(LEFT(D255,6))),MID(D255,7,1)=" "),LEFT(D255,6),D255),"")</f>
        <v/>
      </c>
      <c r="I255" s="36" t="str">
        <f aca="false">IF(G255=1,IF(COUNTIF('Forecast Detail'!$C$8:$C$400,H255)=0,"UNMAPPED","OK"),"")</f>
        <v/>
      </c>
    </row>
    <row r="256" customFormat="false" ht="15" hidden="false" customHeight="false" outlineLevel="0" collapsed="false">
      <c r="D256" s="36" t="str">
        <f aca="false">TRIM(A256)</f>
        <v/>
      </c>
      <c r="E256" s="36" t="str">
        <f aca="false">IF(D256="Revenue","Revenue",IF(D256="Cost of Goods Sold","COGS",IF(D256="Expenditures","Expense",IF(D256="Other Revenue","Other Revenue",IF(D256="Other Expenditures","Other Expense",E255)))))</f>
        <v>Other Expense</v>
      </c>
      <c r="F256" s="36" t="str">
        <f aca="false">IF(OR(D256="Revenue",D256="Cost of Goods Sold",D256="Expenditures",D256="Other Revenue",D256="Other Expenditures"),E256,IF(AND(LEN(D256)&gt;2,MID(D256,2,1)=" ",ISNUMBER(VALUE(LEFT(D256,1)))),D256,F255))</f>
        <v>Other Expense</v>
      </c>
      <c r="G256" s="36" t="n">
        <f aca="false">IF(AND(D256&lt;&gt;"",ISNUMBER(B256),LEFT(D256,9)&lt;&gt;"Total for",D256&lt;&gt;"Gross Profit",D256&lt;&gt;"Net Operating Revenue",D256&lt;&gt;"Net Other Revenue",D256&lt;&gt;"Net Revenue"),1,0)</f>
        <v>0</v>
      </c>
      <c r="H256" s="36" t="str">
        <f aca="false">IF(G256=1,IF(AND(LEN(D256)&gt;7,ISNUMBER(VALUE(LEFT(D256,6))),MID(D256,7,1)=" "),LEFT(D256,6),D256),"")</f>
        <v/>
      </c>
      <c r="I256" s="36" t="str">
        <f aca="false">IF(G256=1,IF(COUNTIF('Forecast Detail'!$C$8:$C$400,H256)=0,"UNMAPPED","OK"),"")</f>
        <v/>
      </c>
    </row>
    <row r="257" customFormat="false" ht="15" hidden="false" customHeight="false" outlineLevel="0" collapsed="false">
      <c r="D257" s="36" t="str">
        <f aca="false">TRIM(A257)</f>
        <v/>
      </c>
      <c r="E257" s="36" t="str">
        <f aca="false">IF(D257="Revenue","Revenue",IF(D257="Cost of Goods Sold","COGS",IF(D257="Expenditures","Expense",IF(D257="Other Revenue","Other Revenue",IF(D257="Other Expenditures","Other Expense",E256)))))</f>
        <v>Other Expense</v>
      </c>
      <c r="F257" s="36" t="str">
        <f aca="false">IF(OR(D257="Revenue",D257="Cost of Goods Sold",D257="Expenditures",D257="Other Revenue",D257="Other Expenditures"),E257,IF(AND(LEN(D257)&gt;2,MID(D257,2,1)=" ",ISNUMBER(VALUE(LEFT(D257,1)))),D257,F256))</f>
        <v>Other Expense</v>
      </c>
      <c r="G257" s="36" t="n">
        <f aca="false">IF(AND(D257&lt;&gt;"",ISNUMBER(B257),LEFT(D257,9)&lt;&gt;"Total for",D257&lt;&gt;"Gross Profit",D257&lt;&gt;"Net Operating Revenue",D257&lt;&gt;"Net Other Revenue",D257&lt;&gt;"Net Revenue"),1,0)</f>
        <v>0</v>
      </c>
      <c r="H257" s="36" t="str">
        <f aca="false">IF(G257=1,IF(AND(LEN(D257)&gt;7,ISNUMBER(VALUE(LEFT(D257,6))),MID(D257,7,1)=" "),LEFT(D257,6),D257),"")</f>
        <v/>
      </c>
      <c r="I257" s="36" t="str">
        <f aca="false">IF(G257=1,IF(COUNTIF('Forecast Detail'!$C$8:$C$400,H257)=0,"UNMAPPED","OK"),"")</f>
        <v/>
      </c>
    </row>
    <row r="258" customFormat="false" ht="15" hidden="false" customHeight="false" outlineLevel="0" collapsed="false">
      <c r="D258" s="36" t="str">
        <f aca="false">TRIM(A258)</f>
        <v/>
      </c>
      <c r="E258" s="36" t="str">
        <f aca="false">IF(D258="Revenue","Revenue",IF(D258="Cost of Goods Sold","COGS",IF(D258="Expenditures","Expense",IF(D258="Other Revenue","Other Revenue",IF(D258="Other Expenditures","Other Expense",E257)))))</f>
        <v>Other Expense</v>
      </c>
      <c r="F258" s="36" t="str">
        <f aca="false">IF(OR(D258="Revenue",D258="Cost of Goods Sold",D258="Expenditures",D258="Other Revenue",D258="Other Expenditures"),E258,IF(AND(LEN(D258)&gt;2,MID(D258,2,1)=" ",ISNUMBER(VALUE(LEFT(D258,1)))),D258,F257))</f>
        <v>Other Expense</v>
      </c>
      <c r="G258" s="36" t="n">
        <f aca="false">IF(AND(D258&lt;&gt;"",ISNUMBER(B258),LEFT(D258,9)&lt;&gt;"Total for",D258&lt;&gt;"Gross Profit",D258&lt;&gt;"Net Operating Revenue",D258&lt;&gt;"Net Other Revenue",D258&lt;&gt;"Net Revenue"),1,0)</f>
        <v>0</v>
      </c>
      <c r="H258" s="36" t="str">
        <f aca="false">IF(G258=1,IF(AND(LEN(D258)&gt;7,ISNUMBER(VALUE(LEFT(D258,6))),MID(D258,7,1)=" "),LEFT(D258,6),D258),"")</f>
        <v/>
      </c>
      <c r="I258" s="36" t="str">
        <f aca="false">IF(G258=1,IF(COUNTIF('Forecast Detail'!$C$8:$C$400,H258)=0,"UNMAPPED","OK"),"")</f>
        <v/>
      </c>
    </row>
    <row r="259" customFormat="false" ht="15" hidden="false" customHeight="false" outlineLevel="0" collapsed="false">
      <c r="D259" s="36" t="str">
        <f aca="false">TRIM(A259)</f>
        <v/>
      </c>
      <c r="E259" s="36" t="str">
        <f aca="false">IF(D259="Revenue","Revenue",IF(D259="Cost of Goods Sold","COGS",IF(D259="Expenditures","Expense",IF(D259="Other Revenue","Other Revenue",IF(D259="Other Expenditures","Other Expense",E258)))))</f>
        <v>Other Expense</v>
      </c>
      <c r="F259" s="36" t="str">
        <f aca="false">IF(OR(D259="Revenue",D259="Cost of Goods Sold",D259="Expenditures",D259="Other Revenue",D259="Other Expenditures"),E259,IF(AND(LEN(D259)&gt;2,MID(D259,2,1)=" ",ISNUMBER(VALUE(LEFT(D259,1)))),D259,F258))</f>
        <v>Other Expense</v>
      </c>
      <c r="G259" s="36" t="n">
        <f aca="false">IF(AND(D259&lt;&gt;"",ISNUMBER(B259),LEFT(D259,9)&lt;&gt;"Total for",D259&lt;&gt;"Gross Profit",D259&lt;&gt;"Net Operating Revenue",D259&lt;&gt;"Net Other Revenue",D259&lt;&gt;"Net Revenue"),1,0)</f>
        <v>0</v>
      </c>
      <c r="H259" s="36" t="str">
        <f aca="false">IF(G259=1,IF(AND(LEN(D259)&gt;7,ISNUMBER(VALUE(LEFT(D259,6))),MID(D259,7,1)=" "),LEFT(D259,6),D259),"")</f>
        <v/>
      </c>
      <c r="I259" s="36" t="str">
        <f aca="false">IF(G259=1,IF(COUNTIF('Forecast Detail'!$C$8:$C$400,H259)=0,"UNMAPPED","OK"),"")</f>
        <v/>
      </c>
    </row>
    <row r="260" customFormat="false" ht="15" hidden="false" customHeight="false" outlineLevel="0" collapsed="false">
      <c r="D260" s="36" t="str">
        <f aca="false">TRIM(A260)</f>
        <v/>
      </c>
      <c r="E260" s="36" t="str">
        <f aca="false">IF(D260="Revenue","Revenue",IF(D260="Cost of Goods Sold","COGS",IF(D260="Expenditures","Expense",IF(D260="Other Revenue","Other Revenue",IF(D260="Other Expenditures","Other Expense",E259)))))</f>
        <v>Other Expense</v>
      </c>
      <c r="F260" s="36" t="str">
        <f aca="false">IF(OR(D260="Revenue",D260="Cost of Goods Sold",D260="Expenditures",D260="Other Revenue",D260="Other Expenditures"),E260,IF(AND(LEN(D260)&gt;2,MID(D260,2,1)=" ",ISNUMBER(VALUE(LEFT(D260,1)))),D260,F259))</f>
        <v>Other Expense</v>
      </c>
      <c r="G260" s="36" t="n">
        <f aca="false">IF(AND(D260&lt;&gt;"",ISNUMBER(B260),LEFT(D260,9)&lt;&gt;"Total for",D260&lt;&gt;"Gross Profit",D260&lt;&gt;"Net Operating Revenue",D260&lt;&gt;"Net Other Revenue",D260&lt;&gt;"Net Revenue"),1,0)</f>
        <v>0</v>
      </c>
      <c r="H260" s="36" t="str">
        <f aca="false">IF(G260=1,IF(AND(LEN(D260)&gt;7,ISNUMBER(VALUE(LEFT(D260,6))),MID(D260,7,1)=" "),LEFT(D260,6),D260),"")</f>
        <v/>
      </c>
      <c r="I260" s="36" t="str">
        <f aca="false">IF(G260=1,IF(COUNTIF('Forecast Detail'!$C$8:$C$400,H260)=0,"UNMAPPED","OK"),"")</f>
        <v/>
      </c>
    </row>
    <row r="261" customFormat="false" ht="15" hidden="false" customHeight="false" outlineLevel="0" collapsed="false">
      <c r="D261" s="36" t="str">
        <f aca="false">TRIM(A261)</f>
        <v/>
      </c>
      <c r="E261" s="36" t="str">
        <f aca="false">IF(D261="Revenue","Revenue",IF(D261="Cost of Goods Sold","COGS",IF(D261="Expenditures","Expense",IF(D261="Other Revenue","Other Revenue",IF(D261="Other Expenditures","Other Expense",E260)))))</f>
        <v>Other Expense</v>
      </c>
      <c r="F261" s="36" t="str">
        <f aca="false">IF(OR(D261="Revenue",D261="Cost of Goods Sold",D261="Expenditures",D261="Other Revenue",D261="Other Expenditures"),E261,IF(AND(LEN(D261)&gt;2,MID(D261,2,1)=" ",ISNUMBER(VALUE(LEFT(D261,1)))),D261,F260))</f>
        <v>Other Expense</v>
      </c>
      <c r="G261" s="36" t="n">
        <f aca="false">IF(AND(D261&lt;&gt;"",ISNUMBER(B261),LEFT(D261,9)&lt;&gt;"Total for",D261&lt;&gt;"Gross Profit",D261&lt;&gt;"Net Operating Revenue",D261&lt;&gt;"Net Other Revenue",D261&lt;&gt;"Net Revenue"),1,0)</f>
        <v>0</v>
      </c>
      <c r="H261" s="36" t="str">
        <f aca="false">IF(G261=1,IF(AND(LEN(D261)&gt;7,ISNUMBER(VALUE(LEFT(D261,6))),MID(D261,7,1)=" "),LEFT(D261,6),D261),"")</f>
        <v/>
      </c>
      <c r="I261" s="36" t="str">
        <f aca="false">IF(G261=1,IF(COUNTIF('Forecast Detail'!$C$8:$C$400,H261)=0,"UNMAPPED","OK"),"")</f>
        <v/>
      </c>
    </row>
    <row r="262" customFormat="false" ht="15" hidden="false" customHeight="false" outlineLevel="0" collapsed="false">
      <c r="D262" s="36" t="str">
        <f aca="false">TRIM(A262)</f>
        <v/>
      </c>
      <c r="E262" s="36" t="str">
        <f aca="false">IF(D262="Revenue","Revenue",IF(D262="Cost of Goods Sold","COGS",IF(D262="Expenditures","Expense",IF(D262="Other Revenue","Other Revenue",IF(D262="Other Expenditures","Other Expense",E261)))))</f>
        <v>Other Expense</v>
      </c>
      <c r="F262" s="36" t="str">
        <f aca="false">IF(OR(D262="Revenue",D262="Cost of Goods Sold",D262="Expenditures",D262="Other Revenue",D262="Other Expenditures"),E262,IF(AND(LEN(D262)&gt;2,MID(D262,2,1)=" ",ISNUMBER(VALUE(LEFT(D262,1)))),D262,F261))</f>
        <v>Other Expense</v>
      </c>
      <c r="G262" s="36" t="n">
        <f aca="false">IF(AND(D262&lt;&gt;"",ISNUMBER(B262),LEFT(D262,9)&lt;&gt;"Total for",D262&lt;&gt;"Gross Profit",D262&lt;&gt;"Net Operating Revenue",D262&lt;&gt;"Net Other Revenue",D262&lt;&gt;"Net Revenue"),1,0)</f>
        <v>0</v>
      </c>
      <c r="H262" s="36" t="str">
        <f aca="false">IF(G262=1,IF(AND(LEN(D262)&gt;7,ISNUMBER(VALUE(LEFT(D262,6))),MID(D262,7,1)=" "),LEFT(D262,6),D262),"")</f>
        <v/>
      </c>
      <c r="I262" s="36" t="str">
        <f aca="false">IF(G262=1,IF(COUNTIF('Forecast Detail'!$C$8:$C$400,H262)=0,"UNMAPPED","OK"),"")</f>
        <v/>
      </c>
    </row>
    <row r="263" customFormat="false" ht="15" hidden="false" customHeight="false" outlineLevel="0" collapsed="false">
      <c r="D263" s="36" t="str">
        <f aca="false">TRIM(A263)</f>
        <v/>
      </c>
      <c r="E263" s="36" t="str">
        <f aca="false">IF(D263="Revenue","Revenue",IF(D263="Cost of Goods Sold","COGS",IF(D263="Expenditures","Expense",IF(D263="Other Revenue","Other Revenue",IF(D263="Other Expenditures","Other Expense",E262)))))</f>
        <v>Other Expense</v>
      </c>
      <c r="F263" s="36" t="str">
        <f aca="false">IF(OR(D263="Revenue",D263="Cost of Goods Sold",D263="Expenditures",D263="Other Revenue",D263="Other Expenditures"),E263,IF(AND(LEN(D263)&gt;2,MID(D263,2,1)=" ",ISNUMBER(VALUE(LEFT(D263,1)))),D263,F262))</f>
        <v>Other Expense</v>
      </c>
      <c r="G263" s="36" t="n">
        <f aca="false">IF(AND(D263&lt;&gt;"",ISNUMBER(B263),LEFT(D263,9)&lt;&gt;"Total for",D263&lt;&gt;"Gross Profit",D263&lt;&gt;"Net Operating Revenue",D263&lt;&gt;"Net Other Revenue",D263&lt;&gt;"Net Revenue"),1,0)</f>
        <v>0</v>
      </c>
      <c r="H263" s="36" t="str">
        <f aca="false">IF(G263=1,IF(AND(LEN(D263)&gt;7,ISNUMBER(VALUE(LEFT(D263,6))),MID(D263,7,1)=" "),LEFT(D263,6),D263),"")</f>
        <v/>
      </c>
      <c r="I263" s="36" t="str">
        <f aca="false">IF(G263=1,IF(COUNTIF('Forecast Detail'!$C$8:$C$400,H263)=0,"UNMAPPED","OK"),"")</f>
        <v/>
      </c>
    </row>
    <row r="264" customFormat="false" ht="15" hidden="false" customHeight="false" outlineLevel="0" collapsed="false">
      <c r="D264" s="36" t="str">
        <f aca="false">TRIM(A264)</f>
        <v/>
      </c>
      <c r="E264" s="36" t="str">
        <f aca="false">IF(D264="Revenue","Revenue",IF(D264="Cost of Goods Sold","COGS",IF(D264="Expenditures","Expense",IF(D264="Other Revenue","Other Revenue",IF(D264="Other Expenditures","Other Expense",E263)))))</f>
        <v>Other Expense</v>
      </c>
      <c r="F264" s="36" t="str">
        <f aca="false">IF(OR(D264="Revenue",D264="Cost of Goods Sold",D264="Expenditures",D264="Other Revenue",D264="Other Expenditures"),E264,IF(AND(LEN(D264)&gt;2,MID(D264,2,1)=" ",ISNUMBER(VALUE(LEFT(D264,1)))),D264,F263))</f>
        <v>Other Expense</v>
      </c>
      <c r="G264" s="36" t="n">
        <f aca="false">IF(AND(D264&lt;&gt;"",ISNUMBER(B264),LEFT(D264,9)&lt;&gt;"Total for",D264&lt;&gt;"Gross Profit",D264&lt;&gt;"Net Operating Revenue",D264&lt;&gt;"Net Other Revenue",D264&lt;&gt;"Net Revenue"),1,0)</f>
        <v>0</v>
      </c>
      <c r="H264" s="36" t="str">
        <f aca="false">IF(G264=1,IF(AND(LEN(D264)&gt;7,ISNUMBER(VALUE(LEFT(D264,6))),MID(D264,7,1)=" "),LEFT(D264,6),D264),"")</f>
        <v/>
      </c>
      <c r="I264" s="36" t="str">
        <f aca="false">IF(G264=1,IF(COUNTIF('Forecast Detail'!$C$8:$C$400,H264)=0,"UNMAPPED","OK"),"")</f>
        <v/>
      </c>
    </row>
    <row r="265" customFormat="false" ht="15" hidden="false" customHeight="false" outlineLevel="0" collapsed="false">
      <c r="D265" s="36" t="str">
        <f aca="false">TRIM(A265)</f>
        <v/>
      </c>
      <c r="E265" s="36" t="str">
        <f aca="false">IF(D265="Revenue","Revenue",IF(D265="Cost of Goods Sold","COGS",IF(D265="Expenditures","Expense",IF(D265="Other Revenue","Other Revenue",IF(D265="Other Expenditures","Other Expense",E264)))))</f>
        <v>Other Expense</v>
      </c>
      <c r="F265" s="36" t="str">
        <f aca="false">IF(OR(D265="Revenue",D265="Cost of Goods Sold",D265="Expenditures",D265="Other Revenue",D265="Other Expenditures"),E265,IF(AND(LEN(D265)&gt;2,MID(D265,2,1)=" ",ISNUMBER(VALUE(LEFT(D265,1)))),D265,F264))</f>
        <v>Other Expense</v>
      </c>
      <c r="G265" s="36" t="n">
        <f aca="false">IF(AND(D265&lt;&gt;"",ISNUMBER(B265),LEFT(D265,9)&lt;&gt;"Total for",D265&lt;&gt;"Gross Profit",D265&lt;&gt;"Net Operating Revenue",D265&lt;&gt;"Net Other Revenue",D265&lt;&gt;"Net Revenue"),1,0)</f>
        <v>0</v>
      </c>
      <c r="H265" s="36" t="str">
        <f aca="false">IF(G265=1,IF(AND(LEN(D265)&gt;7,ISNUMBER(VALUE(LEFT(D265,6))),MID(D265,7,1)=" "),LEFT(D265,6),D265),"")</f>
        <v/>
      </c>
      <c r="I265" s="36" t="str">
        <f aca="false">IF(G265=1,IF(COUNTIF('Forecast Detail'!$C$8:$C$400,H265)=0,"UNMAPPED","OK"),"")</f>
        <v/>
      </c>
    </row>
    <row r="266" customFormat="false" ht="15" hidden="false" customHeight="false" outlineLevel="0" collapsed="false">
      <c r="D266" s="36" t="str">
        <f aca="false">TRIM(A266)</f>
        <v/>
      </c>
      <c r="E266" s="36" t="str">
        <f aca="false">IF(D266="Revenue","Revenue",IF(D266="Cost of Goods Sold","COGS",IF(D266="Expenditures","Expense",IF(D266="Other Revenue","Other Revenue",IF(D266="Other Expenditures","Other Expense",E265)))))</f>
        <v>Other Expense</v>
      </c>
      <c r="F266" s="36" t="str">
        <f aca="false">IF(OR(D266="Revenue",D266="Cost of Goods Sold",D266="Expenditures",D266="Other Revenue",D266="Other Expenditures"),E266,IF(AND(LEN(D266)&gt;2,MID(D266,2,1)=" ",ISNUMBER(VALUE(LEFT(D266,1)))),D266,F265))</f>
        <v>Other Expense</v>
      </c>
      <c r="G266" s="36" t="n">
        <f aca="false">IF(AND(D266&lt;&gt;"",ISNUMBER(B266),LEFT(D266,9)&lt;&gt;"Total for",D266&lt;&gt;"Gross Profit",D266&lt;&gt;"Net Operating Revenue",D266&lt;&gt;"Net Other Revenue",D266&lt;&gt;"Net Revenue"),1,0)</f>
        <v>0</v>
      </c>
      <c r="H266" s="36" t="str">
        <f aca="false">IF(G266=1,IF(AND(LEN(D266)&gt;7,ISNUMBER(VALUE(LEFT(D266,6))),MID(D266,7,1)=" "),LEFT(D266,6),D266),"")</f>
        <v/>
      </c>
      <c r="I266" s="36" t="str">
        <f aca="false">IF(G266=1,IF(COUNTIF('Forecast Detail'!$C$8:$C$400,H266)=0,"UNMAPPED","OK"),"")</f>
        <v/>
      </c>
    </row>
    <row r="267" customFormat="false" ht="15" hidden="false" customHeight="false" outlineLevel="0" collapsed="false">
      <c r="D267" s="36" t="str">
        <f aca="false">TRIM(A267)</f>
        <v/>
      </c>
      <c r="E267" s="36" t="str">
        <f aca="false">IF(D267="Revenue","Revenue",IF(D267="Cost of Goods Sold","COGS",IF(D267="Expenditures","Expense",IF(D267="Other Revenue","Other Revenue",IF(D267="Other Expenditures","Other Expense",E266)))))</f>
        <v>Other Expense</v>
      </c>
      <c r="F267" s="36" t="str">
        <f aca="false">IF(OR(D267="Revenue",D267="Cost of Goods Sold",D267="Expenditures",D267="Other Revenue",D267="Other Expenditures"),E267,IF(AND(LEN(D267)&gt;2,MID(D267,2,1)=" ",ISNUMBER(VALUE(LEFT(D267,1)))),D267,F266))</f>
        <v>Other Expense</v>
      </c>
      <c r="G267" s="36" t="n">
        <f aca="false">IF(AND(D267&lt;&gt;"",ISNUMBER(B267),LEFT(D267,9)&lt;&gt;"Total for",D267&lt;&gt;"Gross Profit",D267&lt;&gt;"Net Operating Revenue",D267&lt;&gt;"Net Other Revenue",D267&lt;&gt;"Net Revenue"),1,0)</f>
        <v>0</v>
      </c>
      <c r="H267" s="36" t="str">
        <f aca="false">IF(G267=1,IF(AND(LEN(D267)&gt;7,ISNUMBER(VALUE(LEFT(D267,6))),MID(D267,7,1)=" "),LEFT(D267,6),D267),"")</f>
        <v/>
      </c>
      <c r="I267" s="36" t="str">
        <f aca="false">IF(G267=1,IF(COUNTIF('Forecast Detail'!$C$8:$C$400,H267)=0,"UNMAPPED","OK"),"")</f>
        <v/>
      </c>
    </row>
    <row r="268" customFormat="false" ht="15" hidden="false" customHeight="false" outlineLevel="0" collapsed="false">
      <c r="D268" s="36" t="str">
        <f aca="false">TRIM(A268)</f>
        <v/>
      </c>
      <c r="E268" s="36" t="str">
        <f aca="false">IF(D268="Revenue","Revenue",IF(D268="Cost of Goods Sold","COGS",IF(D268="Expenditures","Expense",IF(D268="Other Revenue","Other Revenue",IF(D268="Other Expenditures","Other Expense",E267)))))</f>
        <v>Other Expense</v>
      </c>
      <c r="F268" s="36" t="str">
        <f aca="false">IF(OR(D268="Revenue",D268="Cost of Goods Sold",D268="Expenditures",D268="Other Revenue",D268="Other Expenditures"),E268,IF(AND(LEN(D268)&gt;2,MID(D268,2,1)=" ",ISNUMBER(VALUE(LEFT(D268,1)))),D268,F267))</f>
        <v>Other Expense</v>
      </c>
      <c r="G268" s="36" t="n">
        <f aca="false">IF(AND(D268&lt;&gt;"",ISNUMBER(B268),LEFT(D268,9)&lt;&gt;"Total for",D268&lt;&gt;"Gross Profit",D268&lt;&gt;"Net Operating Revenue",D268&lt;&gt;"Net Other Revenue",D268&lt;&gt;"Net Revenue"),1,0)</f>
        <v>0</v>
      </c>
      <c r="H268" s="36" t="str">
        <f aca="false">IF(G268=1,IF(AND(LEN(D268)&gt;7,ISNUMBER(VALUE(LEFT(D268,6))),MID(D268,7,1)=" "),LEFT(D268,6),D268),"")</f>
        <v/>
      </c>
      <c r="I268" s="36" t="str">
        <f aca="false">IF(G268=1,IF(COUNTIF('Forecast Detail'!$C$8:$C$400,H268)=0,"UNMAPPED","OK"),"")</f>
        <v/>
      </c>
    </row>
    <row r="269" customFormat="false" ht="15" hidden="false" customHeight="false" outlineLevel="0" collapsed="false">
      <c r="D269" s="36" t="str">
        <f aca="false">TRIM(A269)</f>
        <v/>
      </c>
      <c r="E269" s="36" t="str">
        <f aca="false">IF(D269="Revenue","Revenue",IF(D269="Cost of Goods Sold","COGS",IF(D269="Expenditures","Expense",IF(D269="Other Revenue","Other Revenue",IF(D269="Other Expenditures","Other Expense",E268)))))</f>
        <v>Other Expense</v>
      </c>
      <c r="F269" s="36" t="str">
        <f aca="false">IF(OR(D269="Revenue",D269="Cost of Goods Sold",D269="Expenditures",D269="Other Revenue",D269="Other Expenditures"),E269,IF(AND(LEN(D269)&gt;2,MID(D269,2,1)=" ",ISNUMBER(VALUE(LEFT(D269,1)))),D269,F268))</f>
        <v>Other Expense</v>
      </c>
      <c r="G269" s="36" t="n">
        <f aca="false">IF(AND(D269&lt;&gt;"",ISNUMBER(B269),LEFT(D269,9)&lt;&gt;"Total for",D269&lt;&gt;"Gross Profit",D269&lt;&gt;"Net Operating Revenue",D269&lt;&gt;"Net Other Revenue",D269&lt;&gt;"Net Revenue"),1,0)</f>
        <v>0</v>
      </c>
      <c r="H269" s="36" t="str">
        <f aca="false">IF(G269=1,IF(AND(LEN(D269)&gt;7,ISNUMBER(VALUE(LEFT(D269,6))),MID(D269,7,1)=" "),LEFT(D269,6),D269),"")</f>
        <v/>
      </c>
      <c r="I269" s="36" t="str">
        <f aca="false">IF(G269=1,IF(COUNTIF('Forecast Detail'!$C$8:$C$400,H269)=0,"UNMAPPED","OK"),"")</f>
        <v/>
      </c>
    </row>
    <row r="270" customFormat="false" ht="15" hidden="false" customHeight="false" outlineLevel="0" collapsed="false">
      <c r="D270" s="36" t="str">
        <f aca="false">TRIM(A270)</f>
        <v/>
      </c>
      <c r="E270" s="36" t="str">
        <f aca="false">IF(D270="Revenue","Revenue",IF(D270="Cost of Goods Sold","COGS",IF(D270="Expenditures","Expense",IF(D270="Other Revenue","Other Revenue",IF(D270="Other Expenditures","Other Expense",E269)))))</f>
        <v>Other Expense</v>
      </c>
      <c r="F270" s="36" t="str">
        <f aca="false">IF(OR(D270="Revenue",D270="Cost of Goods Sold",D270="Expenditures",D270="Other Revenue",D270="Other Expenditures"),E270,IF(AND(LEN(D270)&gt;2,MID(D270,2,1)=" ",ISNUMBER(VALUE(LEFT(D270,1)))),D270,F269))</f>
        <v>Other Expense</v>
      </c>
      <c r="G270" s="36" t="n">
        <f aca="false">IF(AND(D270&lt;&gt;"",ISNUMBER(B270),LEFT(D270,9)&lt;&gt;"Total for",D270&lt;&gt;"Gross Profit",D270&lt;&gt;"Net Operating Revenue",D270&lt;&gt;"Net Other Revenue",D270&lt;&gt;"Net Revenue"),1,0)</f>
        <v>0</v>
      </c>
      <c r="H270" s="36" t="str">
        <f aca="false">IF(G270=1,IF(AND(LEN(D270)&gt;7,ISNUMBER(VALUE(LEFT(D270,6))),MID(D270,7,1)=" "),LEFT(D270,6),D270),"")</f>
        <v/>
      </c>
      <c r="I270" s="36" t="str">
        <f aca="false">IF(G270=1,IF(COUNTIF('Forecast Detail'!$C$8:$C$400,H270)=0,"UNMAPPED","OK"),"")</f>
        <v/>
      </c>
    </row>
    <row r="271" customFormat="false" ht="15" hidden="false" customHeight="false" outlineLevel="0" collapsed="false">
      <c r="D271" s="36" t="str">
        <f aca="false">TRIM(A271)</f>
        <v/>
      </c>
      <c r="E271" s="36" t="str">
        <f aca="false">IF(D271="Revenue","Revenue",IF(D271="Cost of Goods Sold","COGS",IF(D271="Expenditures","Expense",IF(D271="Other Revenue","Other Revenue",IF(D271="Other Expenditures","Other Expense",E270)))))</f>
        <v>Other Expense</v>
      </c>
      <c r="F271" s="36" t="str">
        <f aca="false">IF(OR(D271="Revenue",D271="Cost of Goods Sold",D271="Expenditures",D271="Other Revenue",D271="Other Expenditures"),E271,IF(AND(LEN(D271)&gt;2,MID(D271,2,1)=" ",ISNUMBER(VALUE(LEFT(D271,1)))),D271,F270))</f>
        <v>Other Expense</v>
      </c>
      <c r="G271" s="36" t="n">
        <f aca="false">IF(AND(D271&lt;&gt;"",ISNUMBER(B271),LEFT(D271,9)&lt;&gt;"Total for",D271&lt;&gt;"Gross Profit",D271&lt;&gt;"Net Operating Revenue",D271&lt;&gt;"Net Other Revenue",D271&lt;&gt;"Net Revenue"),1,0)</f>
        <v>0</v>
      </c>
      <c r="H271" s="36" t="str">
        <f aca="false">IF(G271=1,IF(AND(LEN(D271)&gt;7,ISNUMBER(VALUE(LEFT(D271,6))),MID(D271,7,1)=" "),LEFT(D271,6),D271),"")</f>
        <v/>
      </c>
      <c r="I271" s="36" t="str">
        <f aca="false">IF(G271=1,IF(COUNTIF('Forecast Detail'!$C$8:$C$400,H271)=0,"UNMAPPED","OK"),"")</f>
        <v/>
      </c>
    </row>
    <row r="272" customFormat="false" ht="15" hidden="false" customHeight="false" outlineLevel="0" collapsed="false">
      <c r="D272" s="36" t="str">
        <f aca="false">TRIM(A272)</f>
        <v/>
      </c>
      <c r="E272" s="36" t="str">
        <f aca="false">IF(D272="Revenue","Revenue",IF(D272="Cost of Goods Sold","COGS",IF(D272="Expenditures","Expense",IF(D272="Other Revenue","Other Revenue",IF(D272="Other Expenditures","Other Expense",E271)))))</f>
        <v>Other Expense</v>
      </c>
      <c r="F272" s="36" t="str">
        <f aca="false">IF(OR(D272="Revenue",D272="Cost of Goods Sold",D272="Expenditures",D272="Other Revenue",D272="Other Expenditures"),E272,IF(AND(LEN(D272)&gt;2,MID(D272,2,1)=" ",ISNUMBER(VALUE(LEFT(D272,1)))),D272,F271))</f>
        <v>Other Expense</v>
      </c>
      <c r="G272" s="36" t="n">
        <f aca="false">IF(AND(D272&lt;&gt;"",ISNUMBER(B272),LEFT(D272,9)&lt;&gt;"Total for",D272&lt;&gt;"Gross Profit",D272&lt;&gt;"Net Operating Revenue",D272&lt;&gt;"Net Other Revenue",D272&lt;&gt;"Net Revenue"),1,0)</f>
        <v>0</v>
      </c>
      <c r="H272" s="36" t="str">
        <f aca="false">IF(G272=1,IF(AND(LEN(D272)&gt;7,ISNUMBER(VALUE(LEFT(D272,6))),MID(D272,7,1)=" "),LEFT(D272,6),D272),"")</f>
        <v/>
      </c>
      <c r="I272" s="36" t="str">
        <f aca="false">IF(G272=1,IF(COUNTIF('Forecast Detail'!$C$8:$C$400,H272)=0,"UNMAPPED","OK"),"")</f>
        <v/>
      </c>
    </row>
    <row r="273" customFormat="false" ht="15" hidden="false" customHeight="false" outlineLevel="0" collapsed="false">
      <c r="D273" s="36" t="str">
        <f aca="false">TRIM(A273)</f>
        <v/>
      </c>
      <c r="E273" s="36" t="str">
        <f aca="false">IF(D273="Revenue","Revenue",IF(D273="Cost of Goods Sold","COGS",IF(D273="Expenditures","Expense",IF(D273="Other Revenue","Other Revenue",IF(D273="Other Expenditures","Other Expense",E272)))))</f>
        <v>Other Expense</v>
      </c>
      <c r="F273" s="36" t="str">
        <f aca="false">IF(OR(D273="Revenue",D273="Cost of Goods Sold",D273="Expenditures",D273="Other Revenue",D273="Other Expenditures"),E273,IF(AND(LEN(D273)&gt;2,MID(D273,2,1)=" ",ISNUMBER(VALUE(LEFT(D273,1)))),D273,F272))</f>
        <v>Other Expense</v>
      </c>
      <c r="G273" s="36" t="n">
        <f aca="false">IF(AND(D273&lt;&gt;"",ISNUMBER(B273),LEFT(D273,9)&lt;&gt;"Total for",D273&lt;&gt;"Gross Profit",D273&lt;&gt;"Net Operating Revenue",D273&lt;&gt;"Net Other Revenue",D273&lt;&gt;"Net Revenue"),1,0)</f>
        <v>0</v>
      </c>
      <c r="H273" s="36" t="str">
        <f aca="false">IF(G273=1,IF(AND(LEN(D273)&gt;7,ISNUMBER(VALUE(LEFT(D273,6))),MID(D273,7,1)=" "),LEFT(D273,6),D273),"")</f>
        <v/>
      </c>
      <c r="I273" s="36" t="str">
        <f aca="false">IF(G273=1,IF(COUNTIF('Forecast Detail'!$C$8:$C$400,H273)=0,"UNMAPPED","OK"),"")</f>
        <v/>
      </c>
    </row>
    <row r="274" customFormat="false" ht="15" hidden="false" customHeight="false" outlineLevel="0" collapsed="false">
      <c r="D274" s="36" t="str">
        <f aca="false">TRIM(A274)</f>
        <v/>
      </c>
      <c r="E274" s="36" t="str">
        <f aca="false">IF(D274="Revenue","Revenue",IF(D274="Cost of Goods Sold","COGS",IF(D274="Expenditures","Expense",IF(D274="Other Revenue","Other Revenue",IF(D274="Other Expenditures","Other Expense",E273)))))</f>
        <v>Other Expense</v>
      </c>
      <c r="F274" s="36" t="str">
        <f aca="false">IF(OR(D274="Revenue",D274="Cost of Goods Sold",D274="Expenditures",D274="Other Revenue",D274="Other Expenditures"),E274,IF(AND(LEN(D274)&gt;2,MID(D274,2,1)=" ",ISNUMBER(VALUE(LEFT(D274,1)))),D274,F273))</f>
        <v>Other Expense</v>
      </c>
      <c r="G274" s="36" t="n">
        <f aca="false">IF(AND(D274&lt;&gt;"",ISNUMBER(B274),LEFT(D274,9)&lt;&gt;"Total for",D274&lt;&gt;"Gross Profit",D274&lt;&gt;"Net Operating Revenue",D274&lt;&gt;"Net Other Revenue",D274&lt;&gt;"Net Revenue"),1,0)</f>
        <v>0</v>
      </c>
      <c r="H274" s="36" t="str">
        <f aca="false">IF(G274=1,IF(AND(LEN(D274)&gt;7,ISNUMBER(VALUE(LEFT(D274,6))),MID(D274,7,1)=" "),LEFT(D274,6),D274),"")</f>
        <v/>
      </c>
      <c r="I274" s="36" t="str">
        <f aca="false">IF(G274=1,IF(COUNTIF('Forecast Detail'!$C$8:$C$400,H274)=0,"UNMAPPED","OK"),"")</f>
        <v/>
      </c>
    </row>
    <row r="275" customFormat="false" ht="15" hidden="false" customHeight="false" outlineLevel="0" collapsed="false">
      <c r="D275" s="36" t="str">
        <f aca="false">TRIM(A275)</f>
        <v/>
      </c>
      <c r="E275" s="36" t="str">
        <f aca="false">IF(D275="Revenue","Revenue",IF(D275="Cost of Goods Sold","COGS",IF(D275="Expenditures","Expense",IF(D275="Other Revenue","Other Revenue",IF(D275="Other Expenditures","Other Expense",E274)))))</f>
        <v>Other Expense</v>
      </c>
      <c r="F275" s="36" t="str">
        <f aca="false">IF(OR(D275="Revenue",D275="Cost of Goods Sold",D275="Expenditures",D275="Other Revenue",D275="Other Expenditures"),E275,IF(AND(LEN(D275)&gt;2,MID(D275,2,1)=" ",ISNUMBER(VALUE(LEFT(D275,1)))),D275,F274))</f>
        <v>Other Expense</v>
      </c>
      <c r="G275" s="36" t="n">
        <f aca="false">IF(AND(D275&lt;&gt;"",ISNUMBER(B275),LEFT(D275,9)&lt;&gt;"Total for",D275&lt;&gt;"Gross Profit",D275&lt;&gt;"Net Operating Revenue",D275&lt;&gt;"Net Other Revenue",D275&lt;&gt;"Net Revenue"),1,0)</f>
        <v>0</v>
      </c>
      <c r="H275" s="36" t="str">
        <f aca="false">IF(G275=1,IF(AND(LEN(D275)&gt;7,ISNUMBER(VALUE(LEFT(D275,6))),MID(D275,7,1)=" "),LEFT(D275,6),D275),"")</f>
        <v/>
      </c>
      <c r="I275" s="36" t="str">
        <f aca="false">IF(G275=1,IF(COUNTIF('Forecast Detail'!$C$8:$C$400,H275)=0,"UNMAPPED","OK"),"")</f>
        <v/>
      </c>
    </row>
    <row r="276" customFormat="false" ht="15" hidden="false" customHeight="false" outlineLevel="0" collapsed="false">
      <c r="D276" s="36" t="str">
        <f aca="false">TRIM(A276)</f>
        <v/>
      </c>
      <c r="E276" s="36" t="str">
        <f aca="false">IF(D276="Revenue","Revenue",IF(D276="Cost of Goods Sold","COGS",IF(D276="Expenditures","Expense",IF(D276="Other Revenue","Other Revenue",IF(D276="Other Expenditures","Other Expense",E275)))))</f>
        <v>Other Expense</v>
      </c>
      <c r="F276" s="36" t="str">
        <f aca="false">IF(OR(D276="Revenue",D276="Cost of Goods Sold",D276="Expenditures",D276="Other Revenue",D276="Other Expenditures"),E276,IF(AND(LEN(D276)&gt;2,MID(D276,2,1)=" ",ISNUMBER(VALUE(LEFT(D276,1)))),D276,F275))</f>
        <v>Other Expense</v>
      </c>
      <c r="G276" s="36" t="n">
        <f aca="false">IF(AND(D276&lt;&gt;"",ISNUMBER(B276),LEFT(D276,9)&lt;&gt;"Total for",D276&lt;&gt;"Gross Profit",D276&lt;&gt;"Net Operating Revenue",D276&lt;&gt;"Net Other Revenue",D276&lt;&gt;"Net Revenue"),1,0)</f>
        <v>0</v>
      </c>
      <c r="H276" s="36" t="str">
        <f aca="false">IF(G276=1,IF(AND(LEN(D276)&gt;7,ISNUMBER(VALUE(LEFT(D276,6))),MID(D276,7,1)=" "),LEFT(D276,6),D276),"")</f>
        <v/>
      </c>
      <c r="I276" s="36" t="str">
        <f aca="false">IF(G276=1,IF(COUNTIF('Forecast Detail'!$C$8:$C$400,H276)=0,"UNMAPPED","OK"),"")</f>
        <v/>
      </c>
    </row>
    <row r="277" customFormat="false" ht="15" hidden="false" customHeight="false" outlineLevel="0" collapsed="false">
      <c r="D277" s="36" t="str">
        <f aca="false">TRIM(A277)</f>
        <v/>
      </c>
      <c r="E277" s="36" t="str">
        <f aca="false">IF(D277="Revenue","Revenue",IF(D277="Cost of Goods Sold","COGS",IF(D277="Expenditures","Expense",IF(D277="Other Revenue","Other Revenue",IF(D277="Other Expenditures","Other Expense",E276)))))</f>
        <v>Other Expense</v>
      </c>
      <c r="F277" s="36" t="str">
        <f aca="false">IF(OR(D277="Revenue",D277="Cost of Goods Sold",D277="Expenditures",D277="Other Revenue",D277="Other Expenditures"),E277,IF(AND(LEN(D277)&gt;2,MID(D277,2,1)=" ",ISNUMBER(VALUE(LEFT(D277,1)))),D277,F276))</f>
        <v>Other Expense</v>
      </c>
      <c r="G277" s="36" t="n">
        <f aca="false">IF(AND(D277&lt;&gt;"",ISNUMBER(B277),LEFT(D277,9)&lt;&gt;"Total for",D277&lt;&gt;"Gross Profit",D277&lt;&gt;"Net Operating Revenue",D277&lt;&gt;"Net Other Revenue",D277&lt;&gt;"Net Revenue"),1,0)</f>
        <v>0</v>
      </c>
      <c r="H277" s="36" t="str">
        <f aca="false">IF(G277=1,IF(AND(LEN(D277)&gt;7,ISNUMBER(VALUE(LEFT(D277,6))),MID(D277,7,1)=" "),LEFT(D277,6),D277),"")</f>
        <v/>
      </c>
      <c r="I277" s="36" t="str">
        <f aca="false">IF(G277=1,IF(COUNTIF('Forecast Detail'!$C$8:$C$400,H277)=0,"UNMAPPED","OK"),"")</f>
        <v/>
      </c>
    </row>
    <row r="278" customFormat="false" ht="15" hidden="false" customHeight="false" outlineLevel="0" collapsed="false">
      <c r="D278" s="36" t="str">
        <f aca="false">TRIM(A278)</f>
        <v/>
      </c>
      <c r="E278" s="36" t="str">
        <f aca="false">IF(D278="Revenue","Revenue",IF(D278="Cost of Goods Sold","COGS",IF(D278="Expenditures","Expense",IF(D278="Other Revenue","Other Revenue",IF(D278="Other Expenditures","Other Expense",E277)))))</f>
        <v>Other Expense</v>
      </c>
      <c r="F278" s="36" t="str">
        <f aca="false">IF(OR(D278="Revenue",D278="Cost of Goods Sold",D278="Expenditures",D278="Other Revenue",D278="Other Expenditures"),E278,IF(AND(LEN(D278)&gt;2,MID(D278,2,1)=" ",ISNUMBER(VALUE(LEFT(D278,1)))),D278,F277))</f>
        <v>Other Expense</v>
      </c>
      <c r="G278" s="36" t="n">
        <f aca="false">IF(AND(D278&lt;&gt;"",ISNUMBER(B278),LEFT(D278,9)&lt;&gt;"Total for",D278&lt;&gt;"Gross Profit",D278&lt;&gt;"Net Operating Revenue",D278&lt;&gt;"Net Other Revenue",D278&lt;&gt;"Net Revenue"),1,0)</f>
        <v>0</v>
      </c>
      <c r="H278" s="36" t="str">
        <f aca="false">IF(G278=1,IF(AND(LEN(D278)&gt;7,ISNUMBER(VALUE(LEFT(D278,6))),MID(D278,7,1)=" "),LEFT(D278,6),D278),"")</f>
        <v/>
      </c>
      <c r="I278" s="36" t="str">
        <f aca="false">IF(G278=1,IF(COUNTIF('Forecast Detail'!$C$8:$C$400,H278)=0,"UNMAPPED","OK"),"")</f>
        <v/>
      </c>
    </row>
    <row r="279" customFormat="false" ht="15" hidden="false" customHeight="false" outlineLevel="0" collapsed="false">
      <c r="D279" s="36" t="str">
        <f aca="false">TRIM(A279)</f>
        <v/>
      </c>
      <c r="E279" s="36" t="str">
        <f aca="false">IF(D279="Revenue","Revenue",IF(D279="Cost of Goods Sold","COGS",IF(D279="Expenditures","Expense",IF(D279="Other Revenue","Other Revenue",IF(D279="Other Expenditures","Other Expense",E278)))))</f>
        <v>Other Expense</v>
      </c>
      <c r="F279" s="36" t="str">
        <f aca="false">IF(OR(D279="Revenue",D279="Cost of Goods Sold",D279="Expenditures",D279="Other Revenue",D279="Other Expenditures"),E279,IF(AND(LEN(D279)&gt;2,MID(D279,2,1)=" ",ISNUMBER(VALUE(LEFT(D279,1)))),D279,F278))</f>
        <v>Other Expense</v>
      </c>
      <c r="G279" s="36" t="n">
        <f aca="false">IF(AND(D279&lt;&gt;"",ISNUMBER(B279),LEFT(D279,9)&lt;&gt;"Total for",D279&lt;&gt;"Gross Profit",D279&lt;&gt;"Net Operating Revenue",D279&lt;&gt;"Net Other Revenue",D279&lt;&gt;"Net Revenue"),1,0)</f>
        <v>0</v>
      </c>
      <c r="H279" s="36" t="str">
        <f aca="false">IF(G279=1,IF(AND(LEN(D279)&gt;7,ISNUMBER(VALUE(LEFT(D279,6))),MID(D279,7,1)=" "),LEFT(D279,6),D279),"")</f>
        <v/>
      </c>
      <c r="I279" s="36" t="str">
        <f aca="false">IF(G279=1,IF(COUNTIF('Forecast Detail'!$C$8:$C$400,H279)=0,"UNMAPPED","OK"),"")</f>
        <v/>
      </c>
    </row>
    <row r="280" customFormat="false" ht="15" hidden="false" customHeight="false" outlineLevel="0" collapsed="false">
      <c r="D280" s="36" t="str">
        <f aca="false">TRIM(A280)</f>
        <v/>
      </c>
      <c r="E280" s="36" t="str">
        <f aca="false">IF(D280="Revenue","Revenue",IF(D280="Cost of Goods Sold","COGS",IF(D280="Expenditures","Expense",IF(D280="Other Revenue","Other Revenue",IF(D280="Other Expenditures","Other Expense",E279)))))</f>
        <v>Other Expense</v>
      </c>
      <c r="F280" s="36" t="str">
        <f aca="false">IF(OR(D280="Revenue",D280="Cost of Goods Sold",D280="Expenditures",D280="Other Revenue",D280="Other Expenditures"),E280,IF(AND(LEN(D280)&gt;2,MID(D280,2,1)=" ",ISNUMBER(VALUE(LEFT(D280,1)))),D280,F279))</f>
        <v>Other Expense</v>
      </c>
      <c r="G280" s="36" t="n">
        <f aca="false">IF(AND(D280&lt;&gt;"",ISNUMBER(B280),LEFT(D280,9)&lt;&gt;"Total for",D280&lt;&gt;"Gross Profit",D280&lt;&gt;"Net Operating Revenue",D280&lt;&gt;"Net Other Revenue",D280&lt;&gt;"Net Revenue"),1,0)</f>
        <v>0</v>
      </c>
      <c r="H280" s="36" t="str">
        <f aca="false">IF(G280=1,IF(AND(LEN(D280)&gt;7,ISNUMBER(VALUE(LEFT(D280,6))),MID(D280,7,1)=" "),LEFT(D280,6),D280),"")</f>
        <v/>
      </c>
      <c r="I280" s="36" t="str">
        <f aca="false">IF(G280=1,IF(COUNTIF('Forecast Detail'!$C$8:$C$400,H280)=0,"UNMAPPED","OK"),"")</f>
        <v/>
      </c>
    </row>
    <row r="281" customFormat="false" ht="15" hidden="false" customHeight="false" outlineLevel="0" collapsed="false">
      <c r="D281" s="36" t="str">
        <f aca="false">TRIM(A281)</f>
        <v/>
      </c>
      <c r="E281" s="36" t="str">
        <f aca="false">IF(D281="Revenue","Revenue",IF(D281="Cost of Goods Sold","COGS",IF(D281="Expenditures","Expense",IF(D281="Other Revenue","Other Revenue",IF(D281="Other Expenditures","Other Expense",E280)))))</f>
        <v>Other Expense</v>
      </c>
      <c r="F281" s="36" t="str">
        <f aca="false">IF(OR(D281="Revenue",D281="Cost of Goods Sold",D281="Expenditures",D281="Other Revenue",D281="Other Expenditures"),E281,IF(AND(LEN(D281)&gt;2,MID(D281,2,1)=" ",ISNUMBER(VALUE(LEFT(D281,1)))),D281,F280))</f>
        <v>Other Expense</v>
      </c>
      <c r="G281" s="36" t="n">
        <f aca="false">IF(AND(D281&lt;&gt;"",ISNUMBER(B281),LEFT(D281,9)&lt;&gt;"Total for",D281&lt;&gt;"Gross Profit",D281&lt;&gt;"Net Operating Revenue",D281&lt;&gt;"Net Other Revenue",D281&lt;&gt;"Net Revenue"),1,0)</f>
        <v>0</v>
      </c>
      <c r="H281" s="36" t="str">
        <f aca="false">IF(G281=1,IF(AND(LEN(D281)&gt;7,ISNUMBER(VALUE(LEFT(D281,6))),MID(D281,7,1)=" "),LEFT(D281,6),D281),"")</f>
        <v/>
      </c>
      <c r="I281" s="36" t="str">
        <f aca="false">IF(G281=1,IF(COUNTIF('Forecast Detail'!$C$8:$C$400,H281)=0,"UNMAPPED","OK"),"")</f>
        <v/>
      </c>
    </row>
    <row r="282" customFormat="false" ht="15" hidden="false" customHeight="false" outlineLevel="0" collapsed="false">
      <c r="D282" s="36" t="str">
        <f aca="false">TRIM(A282)</f>
        <v/>
      </c>
      <c r="E282" s="36" t="str">
        <f aca="false">IF(D282="Revenue","Revenue",IF(D282="Cost of Goods Sold","COGS",IF(D282="Expenditures","Expense",IF(D282="Other Revenue","Other Revenue",IF(D282="Other Expenditures","Other Expense",E281)))))</f>
        <v>Other Expense</v>
      </c>
      <c r="F282" s="36" t="str">
        <f aca="false">IF(OR(D282="Revenue",D282="Cost of Goods Sold",D282="Expenditures",D282="Other Revenue",D282="Other Expenditures"),E282,IF(AND(LEN(D282)&gt;2,MID(D282,2,1)=" ",ISNUMBER(VALUE(LEFT(D282,1)))),D282,F281))</f>
        <v>Other Expense</v>
      </c>
      <c r="G282" s="36" t="n">
        <f aca="false">IF(AND(D282&lt;&gt;"",ISNUMBER(B282),LEFT(D282,9)&lt;&gt;"Total for",D282&lt;&gt;"Gross Profit",D282&lt;&gt;"Net Operating Revenue",D282&lt;&gt;"Net Other Revenue",D282&lt;&gt;"Net Revenue"),1,0)</f>
        <v>0</v>
      </c>
      <c r="H282" s="36" t="str">
        <f aca="false">IF(G282=1,IF(AND(LEN(D282)&gt;7,ISNUMBER(VALUE(LEFT(D282,6))),MID(D282,7,1)=" "),LEFT(D282,6),D282),"")</f>
        <v/>
      </c>
      <c r="I282" s="36" t="str">
        <f aca="false">IF(G282=1,IF(COUNTIF('Forecast Detail'!$C$8:$C$400,H282)=0,"UNMAPPED","OK"),"")</f>
        <v/>
      </c>
    </row>
    <row r="283" customFormat="false" ht="15" hidden="false" customHeight="false" outlineLevel="0" collapsed="false">
      <c r="D283" s="36" t="str">
        <f aca="false">TRIM(A283)</f>
        <v/>
      </c>
      <c r="E283" s="36" t="str">
        <f aca="false">IF(D283="Revenue","Revenue",IF(D283="Cost of Goods Sold","COGS",IF(D283="Expenditures","Expense",IF(D283="Other Revenue","Other Revenue",IF(D283="Other Expenditures","Other Expense",E282)))))</f>
        <v>Other Expense</v>
      </c>
      <c r="F283" s="36" t="str">
        <f aca="false">IF(OR(D283="Revenue",D283="Cost of Goods Sold",D283="Expenditures",D283="Other Revenue",D283="Other Expenditures"),E283,IF(AND(LEN(D283)&gt;2,MID(D283,2,1)=" ",ISNUMBER(VALUE(LEFT(D283,1)))),D283,F282))</f>
        <v>Other Expense</v>
      </c>
      <c r="G283" s="36" t="n">
        <f aca="false">IF(AND(D283&lt;&gt;"",ISNUMBER(B283),LEFT(D283,9)&lt;&gt;"Total for",D283&lt;&gt;"Gross Profit",D283&lt;&gt;"Net Operating Revenue",D283&lt;&gt;"Net Other Revenue",D283&lt;&gt;"Net Revenue"),1,0)</f>
        <v>0</v>
      </c>
      <c r="H283" s="36" t="str">
        <f aca="false">IF(G283=1,IF(AND(LEN(D283)&gt;7,ISNUMBER(VALUE(LEFT(D283,6))),MID(D283,7,1)=" "),LEFT(D283,6),D283),"")</f>
        <v/>
      </c>
      <c r="I283" s="36" t="str">
        <f aca="false">IF(G283=1,IF(COUNTIF('Forecast Detail'!$C$8:$C$400,H283)=0,"UNMAPPED","OK"),"")</f>
        <v/>
      </c>
    </row>
    <row r="284" customFormat="false" ht="15" hidden="false" customHeight="false" outlineLevel="0" collapsed="false">
      <c r="D284" s="36" t="str">
        <f aca="false">TRIM(A284)</f>
        <v/>
      </c>
      <c r="E284" s="36" t="str">
        <f aca="false">IF(D284="Revenue","Revenue",IF(D284="Cost of Goods Sold","COGS",IF(D284="Expenditures","Expense",IF(D284="Other Revenue","Other Revenue",IF(D284="Other Expenditures","Other Expense",E283)))))</f>
        <v>Other Expense</v>
      </c>
      <c r="F284" s="36" t="str">
        <f aca="false">IF(OR(D284="Revenue",D284="Cost of Goods Sold",D284="Expenditures",D284="Other Revenue",D284="Other Expenditures"),E284,IF(AND(LEN(D284)&gt;2,MID(D284,2,1)=" ",ISNUMBER(VALUE(LEFT(D284,1)))),D284,F283))</f>
        <v>Other Expense</v>
      </c>
      <c r="G284" s="36" t="n">
        <f aca="false">IF(AND(D284&lt;&gt;"",ISNUMBER(B284),LEFT(D284,9)&lt;&gt;"Total for",D284&lt;&gt;"Gross Profit",D284&lt;&gt;"Net Operating Revenue",D284&lt;&gt;"Net Other Revenue",D284&lt;&gt;"Net Revenue"),1,0)</f>
        <v>0</v>
      </c>
      <c r="H284" s="36" t="str">
        <f aca="false">IF(G284=1,IF(AND(LEN(D284)&gt;7,ISNUMBER(VALUE(LEFT(D284,6))),MID(D284,7,1)=" "),LEFT(D284,6),D284),"")</f>
        <v/>
      </c>
      <c r="I284" s="36" t="str">
        <f aca="false">IF(G284=1,IF(COUNTIF('Forecast Detail'!$C$8:$C$400,H284)=0,"UNMAPPED","OK"),"")</f>
        <v/>
      </c>
    </row>
    <row r="285" customFormat="false" ht="15" hidden="false" customHeight="false" outlineLevel="0" collapsed="false">
      <c r="D285" s="36" t="str">
        <f aca="false">TRIM(A285)</f>
        <v/>
      </c>
      <c r="E285" s="36" t="str">
        <f aca="false">IF(D285="Revenue","Revenue",IF(D285="Cost of Goods Sold","COGS",IF(D285="Expenditures","Expense",IF(D285="Other Revenue","Other Revenue",IF(D285="Other Expenditures","Other Expense",E284)))))</f>
        <v>Other Expense</v>
      </c>
      <c r="F285" s="36" t="str">
        <f aca="false">IF(OR(D285="Revenue",D285="Cost of Goods Sold",D285="Expenditures",D285="Other Revenue",D285="Other Expenditures"),E285,IF(AND(LEN(D285)&gt;2,MID(D285,2,1)=" ",ISNUMBER(VALUE(LEFT(D285,1)))),D285,F284))</f>
        <v>Other Expense</v>
      </c>
      <c r="G285" s="36" t="n">
        <f aca="false">IF(AND(D285&lt;&gt;"",ISNUMBER(B285),LEFT(D285,9)&lt;&gt;"Total for",D285&lt;&gt;"Gross Profit",D285&lt;&gt;"Net Operating Revenue",D285&lt;&gt;"Net Other Revenue",D285&lt;&gt;"Net Revenue"),1,0)</f>
        <v>0</v>
      </c>
      <c r="H285" s="36" t="str">
        <f aca="false">IF(G285=1,IF(AND(LEN(D285)&gt;7,ISNUMBER(VALUE(LEFT(D285,6))),MID(D285,7,1)=" "),LEFT(D285,6),D285),"")</f>
        <v/>
      </c>
      <c r="I285" s="36" t="str">
        <f aca="false">IF(G285=1,IF(COUNTIF('Forecast Detail'!$C$8:$C$400,H285)=0,"UNMAPPED","OK"),"")</f>
        <v/>
      </c>
    </row>
    <row r="286" customFormat="false" ht="15" hidden="false" customHeight="false" outlineLevel="0" collapsed="false">
      <c r="D286" s="36" t="str">
        <f aca="false">TRIM(A286)</f>
        <v/>
      </c>
      <c r="E286" s="36" t="str">
        <f aca="false">IF(D286="Revenue","Revenue",IF(D286="Cost of Goods Sold","COGS",IF(D286="Expenditures","Expense",IF(D286="Other Revenue","Other Revenue",IF(D286="Other Expenditures","Other Expense",E285)))))</f>
        <v>Other Expense</v>
      </c>
      <c r="F286" s="36" t="str">
        <f aca="false">IF(OR(D286="Revenue",D286="Cost of Goods Sold",D286="Expenditures",D286="Other Revenue",D286="Other Expenditures"),E286,IF(AND(LEN(D286)&gt;2,MID(D286,2,1)=" ",ISNUMBER(VALUE(LEFT(D286,1)))),D286,F285))</f>
        <v>Other Expense</v>
      </c>
      <c r="G286" s="36" t="n">
        <f aca="false">IF(AND(D286&lt;&gt;"",ISNUMBER(B286),LEFT(D286,9)&lt;&gt;"Total for",D286&lt;&gt;"Gross Profit",D286&lt;&gt;"Net Operating Revenue",D286&lt;&gt;"Net Other Revenue",D286&lt;&gt;"Net Revenue"),1,0)</f>
        <v>0</v>
      </c>
      <c r="H286" s="36" t="str">
        <f aca="false">IF(G286=1,IF(AND(LEN(D286)&gt;7,ISNUMBER(VALUE(LEFT(D286,6))),MID(D286,7,1)=" "),LEFT(D286,6),D286),"")</f>
        <v/>
      </c>
      <c r="I286" s="36" t="str">
        <f aca="false">IF(G286=1,IF(COUNTIF('Forecast Detail'!$C$8:$C$400,H286)=0,"UNMAPPED","OK"),"")</f>
        <v/>
      </c>
    </row>
    <row r="287" customFormat="false" ht="15" hidden="false" customHeight="false" outlineLevel="0" collapsed="false">
      <c r="D287" s="36" t="str">
        <f aca="false">TRIM(A287)</f>
        <v/>
      </c>
      <c r="E287" s="36" t="str">
        <f aca="false">IF(D287="Revenue","Revenue",IF(D287="Cost of Goods Sold","COGS",IF(D287="Expenditures","Expense",IF(D287="Other Revenue","Other Revenue",IF(D287="Other Expenditures","Other Expense",E286)))))</f>
        <v>Other Expense</v>
      </c>
      <c r="F287" s="36" t="str">
        <f aca="false">IF(OR(D287="Revenue",D287="Cost of Goods Sold",D287="Expenditures",D287="Other Revenue",D287="Other Expenditures"),E287,IF(AND(LEN(D287)&gt;2,MID(D287,2,1)=" ",ISNUMBER(VALUE(LEFT(D287,1)))),D287,F286))</f>
        <v>Other Expense</v>
      </c>
      <c r="G287" s="36" t="n">
        <f aca="false">IF(AND(D287&lt;&gt;"",ISNUMBER(B287),LEFT(D287,9)&lt;&gt;"Total for",D287&lt;&gt;"Gross Profit",D287&lt;&gt;"Net Operating Revenue",D287&lt;&gt;"Net Other Revenue",D287&lt;&gt;"Net Revenue"),1,0)</f>
        <v>0</v>
      </c>
      <c r="H287" s="36" t="str">
        <f aca="false">IF(G287=1,IF(AND(LEN(D287)&gt;7,ISNUMBER(VALUE(LEFT(D287,6))),MID(D287,7,1)=" "),LEFT(D287,6),D287),"")</f>
        <v/>
      </c>
      <c r="I287" s="36" t="str">
        <f aca="false">IF(G287=1,IF(COUNTIF('Forecast Detail'!$C$8:$C$400,H287)=0,"UNMAPPED","OK"),"")</f>
        <v/>
      </c>
    </row>
    <row r="288" customFormat="false" ht="15" hidden="false" customHeight="false" outlineLevel="0" collapsed="false">
      <c r="D288" s="36" t="str">
        <f aca="false">TRIM(A288)</f>
        <v/>
      </c>
      <c r="E288" s="36" t="str">
        <f aca="false">IF(D288="Revenue","Revenue",IF(D288="Cost of Goods Sold","COGS",IF(D288="Expenditures","Expense",IF(D288="Other Revenue","Other Revenue",IF(D288="Other Expenditures","Other Expense",E287)))))</f>
        <v>Other Expense</v>
      </c>
      <c r="F288" s="36" t="str">
        <f aca="false">IF(OR(D288="Revenue",D288="Cost of Goods Sold",D288="Expenditures",D288="Other Revenue",D288="Other Expenditures"),E288,IF(AND(LEN(D288)&gt;2,MID(D288,2,1)=" ",ISNUMBER(VALUE(LEFT(D288,1)))),D288,F287))</f>
        <v>Other Expense</v>
      </c>
      <c r="G288" s="36" t="n">
        <f aca="false">IF(AND(D288&lt;&gt;"",ISNUMBER(B288),LEFT(D288,9)&lt;&gt;"Total for",D288&lt;&gt;"Gross Profit",D288&lt;&gt;"Net Operating Revenue",D288&lt;&gt;"Net Other Revenue",D288&lt;&gt;"Net Revenue"),1,0)</f>
        <v>0</v>
      </c>
      <c r="H288" s="36" t="str">
        <f aca="false">IF(G288=1,IF(AND(LEN(D288)&gt;7,ISNUMBER(VALUE(LEFT(D288,6))),MID(D288,7,1)=" "),LEFT(D288,6),D288),"")</f>
        <v/>
      </c>
      <c r="I288" s="36" t="str">
        <f aca="false">IF(G288=1,IF(COUNTIF('Forecast Detail'!$C$8:$C$400,H288)=0,"UNMAPPED","OK"),"")</f>
        <v/>
      </c>
    </row>
    <row r="289" customFormat="false" ht="15" hidden="false" customHeight="false" outlineLevel="0" collapsed="false">
      <c r="D289" s="36" t="str">
        <f aca="false">TRIM(A289)</f>
        <v/>
      </c>
      <c r="E289" s="36" t="str">
        <f aca="false">IF(D289="Revenue","Revenue",IF(D289="Cost of Goods Sold","COGS",IF(D289="Expenditures","Expense",IF(D289="Other Revenue","Other Revenue",IF(D289="Other Expenditures","Other Expense",E288)))))</f>
        <v>Other Expense</v>
      </c>
      <c r="F289" s="36" t="str">
        <f aca="false">IF(OR(D289="Revenue",D289="Cost of Goods Sold",D289="Expenditures",D289="Other Revenue",D289="Other Expenditures"),E289,IF(AND(LEN(D289)&gt;2,MID(D289,2,1)=" ",ISNUMBER(VALUE(LEFT(D289,1)))),D289,F288))</f>
        <v>Other Expense</v>
      </c>
      <c r="G289" s="36" t="n">
        <f aca="false">IF(AND(D289&lt;&gt;"",ISNUMBER(B289),LEFT(D289,9)&lt;&gt;"Total for",D289&lt;&gt;"Gross Profit",D289&lt;&gt;"Net Operating Revenue",D289&lt;&gt;"Net Other Revenue",D289&lt;&gt;"Net Revenue"),1,0)</f>
        <v>0</v>
      </c>
      <c r="H289" s="36" t="str">
        <f aca="false">IF(G289=1,IF(AND(LEN(D289)&gt;7,ISNUMBER(VALUE(LEFT(D289,6))),MID(D289,7,1)=" "),LEFT(D289,6),D289),"")</f>
        <v/>
      </c>
      <c r="I289" s="36" t="str">
        <f aca="false">IF(G289=1,IF(COUNTIF('Forecast Detail'!$C$8:$C$400,H289)=0,"UNMAPPED","OK"),"")</f>
        <v/>
      </c>
    </row>
    <row r="290" customFormat="false" ht="15" hidden="false" customHeight="false" outlineLevel="0" collapsed="false">
      <c r="D290" s="36" t="str">
        <f aca="false">TRIM(A290)</f>
        <v/>
      </c>
      <c r="E290" s="36" t="str">
        <f aca="false">IF(D290="Revenue","Revenue",IF(D290="Cost of Goods Sold","COGS",IF(D290="Expenditures","Expense",IF(D290="Other Revenue","Other Revenue",IF(D290="Other Expenditures","Other Expense",E289)))))</f>
        <v>Other Expense</v>
      </c>
      <c r="F290" s="36" t="str">
        <f aca="false">IF(OR(D290="Revenue",D290="Cost of Goods Sold",D290="Expenditures",D290="Other Revenue",D290="Other Expenditures"),E290,IF(AND(LEN(D290)&gt;2,MID(D290,2,1)=" ",ISNUMBER(VALUE(LEFT(D290,1)))),D290,F289))</f>
        <v>Other Expense</v>
      </c>
      <c r="G290" s="36" t="n">
        <f aca="false">IF(AND(D290&lt;&gt;"",ISNUMBER(B290),LEFT(D290,9)&lt;&gt;"Total for",D290&lt;&gt;"Gross Profit",D290&lt;&gt;"Net Operating Revenue",D290&lt;&gt;"Net Other Revenue",D290&lt;&gt;"Net Revenue"),1,0)</f>
        <v>0</v>
      </c>
      <c r="H290" s="36" t="str">
        <f aca="false">IF(G290=1,IF(AND(LEN(D290)&gt;7,ISNUMBER(VALUE(LEFT(D290,6))),MID(D290,7,1)=" "),LEFT(D290,6),D290),"")</f>
        <v/>
      </c>
      <c r="I290" s="36" t="str">
        <f aca="false">IF(G290=1,IF(COUNTIF('Forecast Detail'!$C$8:$C$400,H290)=0,"UNMAPPED","OK"),"")</f>
        <v/>
      </c>
    </row>
    <row r="291" customFormat="false" ht="15" hidden="false" customHeight="false" outlineLevel="0" collapsed="false">
      <c r="D291" s="36" t="str">
        <f aca="false">TRIM(A291)</f>
        <v/>
      </c>
      <c r="E291" s="36" t="str">
        <f aca="false">IF(D291="Revenue","Revenue",IF(D291="Cost of Goods Sold","COGS",IF(D291="Expenditures","Expense",IF(D291="Other Revenue","Other Revenue",IF(D291="Other Expenditures","Other Expense",E290)))))</f>
        <v>Other Expense</v>
      </c>
      <c r="F291" s="36" t="str">
        <f aca="false">IF(OR(D291="Revenue",D291="Cost of Goods Sold",D291="Expenditures",D291="Other Revenue",D291="Other Expenditures"),E291,IF(AND(LEN(D291)&gt;2,MID(D291,2,1)=" ",ISNUMBER(VALUE(LEFT(D291,1)))),D291,F290))</f>
        <v>Other Expense</v>
      </c>
      <c r="G291" s="36" t="n">
        <f aca="false">IF(AND(D291&lt;&gt;"",ISNUMBER(B291),LEFT(D291,9)&lt;&gt;"Total for",D291&lt;&gt;"Gross Profit",D291&lt;&gt;"Net Operating Revenue",D291&lt;&gt;"Net Other Revenue",D291&lt;&gt;"Net Revenue"),1,0)</f>
        <v>0</v>
      </c>
      <c r="H291" s="36" t="str">
        <f aca="false">IF(G291=1,IF(AND(LEN(D291)&gt;7,ISNUMBER(VALUE(LEFT(D291,6))),MID(D291,7,1)=" "),LEFT(D291,6),D291),"")</f>
        <v/>
      </c>
      <c r="I291" s="36" t="str">
        <f aca="false">IF(G291=1,IF(COUNTIF('Forecast Detail'!$C$8:$C$400,H291)=0,"UNMAPPED","OK"),"")</f>
        <v/>
      </c>
    </row>
    <row r="292" customFormat="false" ht="15" hidden="false" customHeight="false" outlineLevel="0" collapsed="false">
      <c r="D292" s="36" t="str">
        <f aca="false">TRIM(A292)</f>
        <v/>
      </c>
      <c r="E292" s="36" t="str">
        <f aca="false">IF(D292="Revenue","Revenue",IF(D292="Cost of Goods Sold","COGS",IF(D292="Expenditures","Expense",IF(D292="Other Revenue","Other Revenue",IF(D292="Other Expenditures","Other Expense",E291)))))</f>
        <v>Other Expense</v>
      </c>
      <c r="F292" s="36" t="str">
        <f aca="false">IF(OR(D292="Revenue",D292="Cost of Goods Sold",D292="Expenditures",D292="Other Revenue",D292="Other Expenditures"),E292,IF(AND(LEN(D292)&gt;2,MID(D292,2,1)=" ",ISNUMBER(VALUE(LEFT(D292,1)))),D292,F291))</f>
        <v>Other Expense</v>
      </c>
      <c r="G292" s="36" t="n">
        <f aca="false">IF(AND(D292&lt;&gt;"",ISNUMBER(B292),LEFT(D292,9)&lt;&gt;"Total for",D292&lt;&gt;"Gross Profit",D292&lt;&gt;"Net Operating Revenue",D292&lt;&gt;"Net Other Revenue",D292&lt;&gt;"Net Revenue"),1,0)</f>
        <v>0</v>
      </c>
      <c r="H292" s="36" t="str">
        <f aca="false">IF(G292=1,IF(AND(LEN(D292)&gt;7,ISNUMBER(VALUE(LEFT(D292,6))),MID(D292,7,1)=" "),LEFT(D292,6),D292),"")</f>
        <v/>
      </c>
      <c r="I292" s="36" t="str">
        <f aca="false">IF(G292=1,IF(COUNTIF('Forecast Detail'!$C$8:$C$400,H292)=0,"UNMAPPED","OK"),"")</f>
        <v/>
      </c>
    </row>
    <row r="293" customFormat="false" ht="15" hidden="false" customHeight="false" outlineLevel="0" collapsed="false">
      <c r="D293" s="36" t="str">
        <f aca="false">TRIM(A293)</f>
        <v/>
      </c>
      <c r="E293" s="36" t="str">
        <f aca="false">IF(D293="Revenue","Revenue",IF(D293="Cost of Goods Sold","COGS",IF(D293="Expenditures","Expense",IF(D293="Other Revenue","Other Revenue",IF(D293="Other Expenditures","Other Expense",E292)))))</f>
        <v>Other Expense</v>
      </c>
      <c r="F293" s="36" t="str">
        <f aca="false">IF(OR(D293="Revenue",D293="Cost of Goods Sold",D293="Expenditures",D293="Other Revenue",D293="Other Expenditures"),E293,IF(AND(LEN(D293)&gt;2,MID(D293,2,1)=" ",ISNUMBER(VALUE(LEFT(D293,1)))),D293,F292))</f>
        <v>Other Expense</v>
      </c>
      <c r="G293" s="36" t="n">
        <f aca="false">IF(AND(D293&lt;&gt;"",ISNUMBER(B293),LEFT(D293,9)&lt;&gt;"Total for",D293&lt;&gt;"Gross Profit",D293&lt;&gt;"Net Operating Revenue",D293&lt;&gt;"Net Other Revenue",D293&lt;&gt;"Net Revenue"),1,0)</f>
        <v>0</v>
      </c>
      <c r="H293" s="36" t="str">
        <f aca="false">IF(G293=1,IF(AND(LEN(D293)&gt;7,ISNUMBER(VALUE(LEFT(D293,6))),MID(D293,7,1)=" "),LEFT(D293,6),D293),"")</f>
        <v/>
      </c>
      <c r="I293" s="36" t="str">
        <f aca="false">IF(G293=1,IF(COUNTIF('Forecast Detail'!$C$8:$C$400,H293)=0,"UNMAPPED","OK"),"")</f>
        <v/>
      </c>
    </row>
    <row r="294" customFormat="false" ht="15" hidden="false" customHeight="false" outlineLevel="0" collapsed="false">
      <c r="D294" s="36" t="str">
        <f aca="false">TRIM(A294)</f>
        <v/>
      </c>
      <c r="E294" s="36" t="str">
        <f aca="false">IF(D294="Revenue","Revenue",IF(D294="Cost of Goods Sold","COGS",IF(D294="Expenditures","Expense",IF(D294="Other Revenue","Other Revenue",IF(D294="Other Expenditures","Other Expense",E293)))))</f>
        <v>Other Expense</v>
      </c>
      <c r="F294" s="36" t="str">
        <f aca="false">IF(OR(D294="Revenue",D294="Cost of Goods Sold",D294="Expenditures",D294="Other Revenue",D294="Other Expenditures"),E294,IF(AND(LEN(D294)&gt;2,MID(D294,2,1)=" ",ISNUMBER(VALUE(LEFT(D294,1)))),D294,F293))</f>
        <v>Other Expense</v>
      </c>
      <c r="G294" s="36" t="n">
        <f aca="false">IF(AND(D294&lt;&gt;"",ISNUMBER(B294),LEFT(D294,9)&lt;&gt;"Total for",D294&lt;&gt;"Gross Profit",D294&lt;&gt;"Net Operating Revenue",D294&lt;&gt;"Net Other Revenue",D294&lt;&gt;"Net Revenue"),1,0)</f>
        <v>0</v>
      </c>
      <c r="H294" s="36" t="str">
        <f aca="false">IF(G294=1,IF(AND(LEN(D294)&gt;7,ISNUMBER(VALUE(LEFT(D294,6))),MID(D294,7,1)=" "),LEFT(D294,6),D294),"")</f>
        <v/>
      </c>
      <c r="I294" s="36" t="str">
        <f aca="false">IF(G294=1,IF(COUNTIF('Forecast Detail'!$C$8:$C$400,H294)=0,"UNMAPPED","OK"),"")</f>
        <v/>
      </c>
    </row>
    <row r="295" customFormat="false" ht="15" hidden="false" customHeight="false" outlineLevel="0" collapsed="false">
      <c r="D295" s="36" t="str">
        <f aca="false">TRIM(A295)</f>
        <v/>
      </c>
      <c r="E295" s="36" t="str">
        <f aca="false">IF(D295="Revenue","Revenue",IF(D295="Cost of Goods Sold","COGS",IF(D295="Expenditures","Expense",IF(D295="Other Revenue","Other Revenue",IF(D295="Other Expenditures","Other Expense",E294)))))</f>
        <v>Other Expense</v>
      </c>
      <c r="F295" s="36" t="str">
        <f aca="false">IF(OR(D295="Revenue",D295="Cost of Goods Sold",D295="Expenditures",D295="Other Revenue",D295="Other Expenditures"),E295,IF(AND(LEN(D295)&gt;2,MID(D295,2,1)=" ",ISNUMBER(VALUE(LEFT(D295,1)))),D295,F294))</f>
        <v>Other Expense</v>
      </c>
      <c r="G295" s="36" t="n">
        <f aca="false">IF(AND(D295&lt;&gt;"",ISNUMBER(B295),LEFT(D295,9)&lt;&gt;"Total for",D295&lt;&gt;"Gross Profit",D295&lt;&gt;"Net Operating Revenue",D295&lt;&gt;"Net Other Revenue",D295&lt;&gt;"Net Revenue"),1,0)</f>
        <v>0</v>
      </c>
      <c r="H295" s="36" t="str">
        <f aca="false">IF(G295=1,IF(AND(LEN(D295)&gt;7,ISNUMBER(VALUE(LEFT(D295,6))),MID(D295,7,1)=" "),LEFT(D295,6),D295),"")</f>
        <v/>
      </c>
      <c r="I295" s="36" t="str">
        <f aca="false">IF(G295=1,IF(COUNTIF('Forecast Detail'!$C$8:$C$400,H295)=0,"UNMAPPED","OK"),"")</f>
        <v/>
      </c>
    </row>
    <row r="296" customFormat="false" ht="15" hidden="false" customHeight="false" outlineLevel="0" collapsed="false">
      <c r="D296" s="36" t="str">
        <f aca="false">TRIM(A296)</f>
        <v/>
      </c>
      <c r="E296" s="36" t="str">
        <f aca="false">IF(D296="Revenue","Revenue",IF(D296="Cost of Goods Sold","COGS",IF(D296="Expenditures","Expense",IF(D296="Other Revenue","Other Revenue",IF(D296="Other Expenditures","Other Expense",E295)))))</f>
        <v>Other Expense</v>
      </c>
      <c r="F296" s="36" t="str">
        <f aca="false">IF(OR(D296="Revenue",D296="Cost of Goods Sold",D296="Expenditures",D296="Other Revenue",D296="Other Expenditures"),E296,IF(AND(LEN(D296)&gt;2,MID(D296,2,1)=" ",ISNUMBER(VALUE(LEFT(D296,1)))),D296,F295))</f>
        <v>Other Expense</v>
      </c>
      <c r="G296" s="36" t="n">
        <f aca="false">IF(AND(D296&lt;&gt;"",ISNUMBER(B296),LEFT(D296,9)&lt;&gt;"Total for",D296&lt;&gt;"Gross Profit",D296&lt;&gt;"Net Operating Revenue",D296&lt;&gt;"Net Other Revenue",D296&lt;&gt;"Net Revenue"),1,0)</f>
        <v>0</v>
      </c>
      <c r="H296" s="36" t="str">
        <f aca="false">IF(G296=1,IF(AND(LEN(D296)&gt;7,ISNUMBER(VALUE(LEFT(D296,6))),MID(D296,7,1)=" "),LEFT(D296,6),D296),"")</f>
        <v/>
      </c>
      <c r="I296" s="36" t="str">
        <f aca="false">IF(G296=1,IF(COUNTIF('Forecast Detail'!$C$8:$C$400,H296)=0,"UNMAPPED","OK"),"")</f>
        <v/>
      </c>
    </row>
    <row r="297" customFormat="false" ht="15" hidden="false" customHeight="false" outlineLevel="0" collapsed="false">
      <c r="D297" s="36" t="str">
        <f aca="false">TRIM(A297)</f>
        <v/>
      </c>
      <c r="E297" s="36" t="str">
        <f aca="false">IF(D297="Revenue","Revenue",IF(D297="Cost of Goods Sold","COGS",IF(D297="Expenditures","Expense",IF(D297="Other Revenue","Other Revenue",IF(D297="Other Expenditures","Other Expense",E296)))))</f>
        <v>Other Expense</v>
      </c>
      <c r="F297" s="36" t="str">
        <f aca="false">IF(OR(D297="Revenue",D297="Cost of Goods Sold",D297="Expenditures",D297="Other Revenue",D297="Other Expenditures"),E297,IF(AND(LEN(D297)&gt;2,MID(D297,2,1)=" ",ISNUMBER(VALUE(LEFT(D297,1)))),D297,F296))</f>
        <v>Other Expense</v>
      </c>
      <c r="G297" s="36" t="n">
        <f aca="false">IF(AND(D297&lt;&gt;"",ISNUMBER(B297),LEFT(D297,9)&lt;&gt;"Total for",D297&lt;&gt;"Gross Profit",D297&lt;&gt;"Net Operating Revenue",D297&lt;&gt;"Net Other Revenue",D297&lt;&gt;"Net Revenue"),1,0)</f>
        <v>0</v>
      </c>
      <c r="H297" s="36" t="str">
        <f aca="false">IF(G297=1,IF(AND(LEN(D297)&gt;7,ISNUMBER(VALUE(LEFT(D297,6))),MID(D297,7,1)=" "),LEFT(D297,6),D297),"")</f>
        <v/>
      </c>
      <c r="I297" s="36" t="str">
        <f aca="false">IF(G297=1,IF(COUNTIF('Forecast Detail'!$C$8:$C$400,H297)=0,"UNMAPPED","OK"),"")</f>
        <v/>
      </c>
    </row>
    <row r="298" customFormat="false" ht="15" hidden="false" customHeight="false" outlineLevel="0" collapsed="false">
      <c r="D298" s="36" t="str">
        <f aca="false">TRIM(A298)</f>
        <v/>
      </c>
      <c r="E298" s="36" t="str">
        <f aca="false">IF(D298="Revenue","Revenue",IF(D298="Cost of Goods Sold","COGS",IF(D298="Expenditures","Expense",IF(D298="Other Revenue","Other Revenue",IF(D298="Other Expenditures","Other Expense",E297)))))</f>
        <v>Other Expense</v>
      </c>
      <c r="F298" s="36" t="str">
        <f aca="false">IF(OR(D298="Revenue",D298="Cost of Goods Sold",D298="Expenditures",D298="Other Revenue",D298="Other Expenditures"),E298,IF(AND(LEN(D298)&gt;2,MID(D298,2,1)=" ",ISNUMBER(VALUE(LEFT(D298,1)))),D298,F297))</f>
        <v>Other Expense</v>
      </c>
      <c r="G298" s="36" t="n">
        <f aca="false">IF(AND(D298&lt;&gt;"",ISNUMBER(B298),LEFT(D298,9)&lt;&gt;"Total for",D298&lt;&gt;"Gross Profit",D298&lt;&gt;"Net Operating Revenue",D298&lt;&gt;"Net Other Revenue",D298&lt;&gt;"Net Revenue"),1,0)</f>
        <v>0</v>
      </c>
      <c r="H298" s="36" t="str">
        <f aca="false">IF(G298=1,IF(AND(LEN(D298)&gt;7,ISNUMBER(VALUE(LEFT(D298,6))),MID(D298,7,1)=" "),LEFT(D298,6),D298),"")</f>
        <v/>
      </c>
      <c r="I298" s="36" t="str">
        <f aca="false">IF(G298=1,IF(COUNTIF('Forecast Detail'!$C$8:$C$400,H298)=0,"UNMAPPED","OK"),"")</f>
        <v/>
      </c>
    </row>
    <row r="299" customFormat="false" ht="15" hidden="false" customHeight="false" outlineLevel="0" collapsed="false">
      <c r="D299" s="36" t="str">
        <f aca="false">TRIM(A299)</f>
        <v/>
      </c>
      <c r="E299" s="36" t="str">
        <f aca="false">IF(D299="Revenue","Revenue",IF(D299="Cost of Goods Sold","COGS",IF(D299="Expenditures","Expense",IF(D299="Other Revenue","Other Revenue",IF(D299="Other Expenditures","Other Expense",E298)))))</f>
        <v>Other Expense</v>
      </c>
      <c r="F299" s="36" t="str">
        <f aca="false">IF(OR(D299="Revenue",D299="Cost of Goods Sold",D299="Expenditures",D299="Other Revenue",D299="Other Expenditures"),E299,IF(AND(LEN(D299)&gt;2,MID(D299,2,1)=" ",ISNUMBER(VALUE(LEFT(D299,1)))),D299,F298))</f>
        <v>Other Expense</v>
      </c>
      <c r="G299" s="36" t="n">
        <f aca="false">IF(AND(D299&lt;&gt;"",ISNUMBER(B299),LEFT(D299,9)&lt;&gt;"Total for",D299&lt;&gt;"Gross Profit",D299&lt;&gt;"Net Operating Revenue",D299&lt;&gt;"Net Other Revenue",D299&lt;&gt;"Net Revenue"),1,0)</f>
        <v>0</v>
      </c>
      <c r="H299" s="36" t="str">
        <f aca="false">IF(G299=1,IF(AND(LEN(D299)&gt;7,ISNUMBER(VALUE(LEFT(D299,6))),MID(D299,7,1)=" "),LEFT(D299,6),D299),"")</f>
        <v/>
      </c>
      <c r="I299" s="36" t="str">
        <f aca="false">IF(G299=1,IF(COUNTIF('Forecast Detail'!$C$8:$C$400,H299)=0,"UNMAPPED","OK"),"")</f>
        <v/>
      </c>
    </row>
    <row r="300" customFormat="false" ht="15" hidden="false" customHeight="false" outlineLevel="0" collapsed="false">
      <c r="D300" s="36" t="str">
        <f aca="false">TRIM(A300)</f>
        <v/>
      </c>
      <c r="E300" s="36" t="str">
        <f aca="false">IF(D300="Revenue","Revenue",IF(D300="Cost of Goods Sold","COGS",IF(D300="Expenditures","Expense",IF(D300="Other Revenue","Other Revenue",IF(D300="Other Expenditures","Other Expense",E299)))))</f>
        <v>Other Expense</v>
      </c>
      <c r="F300" s="36" t="str">
        <f aca="false">IF(OR(D300="Revenue",D300="Cost of Goods Sold",D300="Expenditures",D300="Other Revenue",D300="Other Expenditures"),E300,IF(AND(LEN(D300)&gt;2,MID(D300,2,1)=" ",ISNUMBER(VALUE(LEFT(D300,1)))),D300,F299))</f>
        <v>Other Expense</v>
      </c>
      <c r="G300" s="36" t="n">
        <f aca="false">IF(AND(D300&lt;&gt;"",ISNUMBER(B300),LEFT(D300,9)&lt;&gt;"Total for",D300&lt;&gt;"Gross Profit",D300&lt;&gt;"Net Operating Revenue",D300&lt;&gt;"Net Other Revenue",D300&lt;&gt;"Net Revenue"),1,0)</f>
        <v>0</v>
      </c>
      <c r="H300" s="36" t="str">
        <f aca="false">IF(G300=1,IF(AND(LEN(D300)&gt;7,ISNUMBER(VALUE(LEFT(D300,6))),MID(D300,7,1)=" "),LEFT(D300,6),D300),"")</f>
        <v/>
      </c>
      <c r="I300" s="36" t="str">
        <f aca="false">IF(G300=1,IF(COUNTIF('Forecast Detail'!$C$8:$C$400,H300)=0,"UNMAPPED","OK"),"")</f>
        <v/>
      </c>
    </row>
    <row r="301" customFormat="false" ht="15" hidden="false" customHeight="false" outlineLevel="0" collapsed="false">
      <c r="D301" s="36" t="str">
        <f aca="false">TRIM(A301)</f>
        <v/>
      </c>
      <c r="E301" s="36" t="str">
        <f aca="false">IF(D301="Revenue","Revenue",IF(D301="Cost of Goods Sold","COGS",IF(D301="Expenditures","Expense",IF(D301="Other Revenue","Other Revenue",IF(D301="Other Expenditures","Other Expense",E300)))))</f>
        <v>Other Expense</v>
      </c>
      <c r="F301" s="36" t="str">
        <f aca="false">IF(OR(D301="Revenue",D301="Cost of Goods Sold",D301="Expenditures",D301="Other Revenue",D301="Other Expenditures"),E301,IF(AND(LEN(D301)&gt;2,MID(D301,2,1)=" ",ISNUMBER(VALUE(LEFT(D301,1)))),D301,F300))</f>
        <v>Other Expense</v>
      </c>
      <c r="G301" s="36" t="n">
        <f aca="false">IF(AND(D301&lt;&gt;"",ISNUMBER(B301),LEFT(D301,9)&lt;&gt;"Total for",D301&lt;&gt;"Gross Profit",D301&lt;&gt;"Net Operating Revenue",D301&lt;&gt;"Net Other Revenue",D301&lt;&gt;"Net Revenue"),1,0)</f>
        <v>0</v>
      </c>
      <c r="H301" s="36" t="str">
        <f aca="false">IF(G301=1,IF(AND(LEN(D301)&gt;7,ISNUMBER(VALUE(LEFT(D301,6))),MID(D301,7,1)=" "),LEFT(D301,6),D301),"")</f>
        <v/>
      </c>
      <c r="I301" s="36" t="str">
        <f aca="false">IF(G301=1,IF(COUNTIF('Forecast Detail'!$C$8:$C$400,H301)=0,"UNMAPPED","OK"),"")</f>
        <v/>
      </c>
    </row>
    <row r="302" customFormat="false" ht="15" hidden="false" customHeight="false" outlineLevel="0" collapsed="false">
      <c r="D302" s="36" t="str">
        <f aca="false">TRIM(A302)</f>
        <v/>
      </c>
      <c r="E302" s="36" t="str">
        <f aca="false">IF(D302="Revenue","Revenue",IF(D302="Cost of Goods Sold","COGS",IF(D302="Expenditures","Expense",IF(D302="Other Revenue","Other Revenue",IF(D302="Other Expenditures","Other Expense",E301)))))</f>
        <v>Other Expense</v>
      </c>
      <c r="F302" s="36" t="str">
        <f aca="false">IF(OR(D302="Revenue",D302="Cost of Goods Sold",D302="Expenditures",D302="Other Revenue",D302="Other Expenditures"),E302,IF(AND(LEN(D302)&gt;2,MID(D302,2,1)=" ",ISNUMBER(VALUE(LEFT(D302,1)))),D302,F301))</f>
        <v>Other Expense</v>
      </c>
      <c r="G302" s="36" t="n">
        <f aca="false">IF(AND(D302&lt;&gt;"",ISNUMBER(B302),LEFT(D302,9)&lt;&gt;"Total for",D302&lt;&gt;"Gross Profit",D302&lt;&gt;"Net Operating Revenue",D302&lt;&gt;"Net Other Revenue",D302&lt;&gt;"Net Revenue"),1,0)</f>
        <v>0</v>
      </c>
      <c r="H302" s="36" t="str">
        <f aca="false">IF(G302=1,IF(AND(LEN(D302)&gt;7,ISNUMBER(VALUE(LEFT(D302,6))),MID(D302,7,1)=" "),LEFT(D302,6),D302),"")</f>
        <v/>
      </c>
      <c r="I302" s="36" t="str">
        <f aca="false">IF(G302=1,IF(COUNTIF('Forecast Detail'!$C$8:$C$400,H302)=0,"UNMAPPED","OK"),"")</f>
        <v/>
      </c>
    </row>
    <row r="303" customFormat="false" ht="15" hidden="false" customHeight="false" outlineLevel="0" collapsed="false">
      <c r="D303" s="36" t="str">
        <f aca="false">TRIM(A303)</f>
        <v/>
      </c>
      <c r="E303" s="36" t="str">
        <f aca="false">IF(D303="Revenue","Revenue",IF(D303="Cost of Goods Sold","COGS",IF(D303="Expenditures","Expense",IF(D303="Other Revenue","Other Revenue",IF(D303="Other Expenditures","Other Expense",E302)))))</f>
        <v>Other Expense</v>
      </c>
      <c r="F303" s="36" t="str">
        <f aca="false">IF(OR(D303="Revenue",D303="Cost of Goods Sold",D303="Expenditures",D303="Other Revenue",D303="Other Expenditures"),E303,IF(AND(LEN(D303)&gt;2,MID(D303,2,1)=" ",ISNUMBER(VALUE(LEFT(D303,1)))),D303,F302))</f>
        <v>Other Expense</v>
      </c>
      <c r="G303" s="36" t="n">
        <f aca="false">IF(AND(D303&lt;&gt;"",ISNUMBER(B303),LEFT(D303,9)&lt;&gt;"Total for",D303&lt;&gt;"Gross Profit",D303&lt;&gt;"Net Operating Revenue",D303&lt;&gt;"Net Other Revenue",D303&lt;&gt;"Net Revenue"),1,0)</f>
        <v>0</v>
      </c>
      <c r="H303" s="36" t="str">
        <f aca="false">IF(G303=1,IF(AND(LEN(D303)&gt;7,ISNUMBER(VALUE(LEFT(D303,6))),MID(D303,7,1)=" "),LEFT(D303,6),D303),"")</f>
        <v/>
      </c>
      <c r="I303" s="36" t="str">
        <f aca="false">IF(G303=1,IF(COUNTIF('Forecast Detail'!$C$8:$C$400,H303)=0,"UNMAPPED","OK"),"")</f>
        <v/>
      </c>
    </row>
    <row r="304" customFormat="false" ht="15" hidden="false" customHeight="false" outlineLevel="0" collapsed="false">
      <c r="D304" s="36" t="str">
        <f aca="false">TRIM(A304)</f>
        <v/>
      </c>
      <c r="E304" s="36" t="str">
        <f aca="false">IF(D304="Revenue","Revenue",IF(D304="Cost of Goods Sold","COGS",IF(D304="Expenditures","Expense",IF(D304="Other Revenue","Other Revenue",IF(D304="Other Expenditures","Other Expense",E303)))))</f>
        <v>Other Expense</v>
      </c>
      <c r="F304" s="36" t="str">
        <f aca="false">IF(OR(D304="Revenue",D304="Cost of Goods Sold",D304="Expenditures",D304="Other Revenue",D304="Other Expenditures"),E304,IF(AND(LEN(D304)&gt;2,MID(D304,2,1)=" ",ISNUMBER(VALUE(LEFT(D304,1)))),D304,F303))</f>
        <v>Other Expense</v>
      </c>
      <c r="G304" s="36" t="n">
        <f aca="false">IF(AND(D304&lt;&gt;"",ISNUMBER(B304),LEFT(D304,9)&lt;&gt;"Total for",D304&lt;&gt;"Gross Profit",D304&lt;&gt;"Net Operating Revenue",D304&lt;&gt;"Net Other Revenue",D304&lt;&gt;"Net Revenue"),1,0)</f>
        <v>0</v>
      </c>
      <c r="H304" s="36" t="str">
        <f aca="false">IF(G304=1,IF(AND(LEN(D304)&gt;7,ISNUMBER(VALUE(LEFT(D304,6))),MID(D304,7,1)=" "),LEFT(D304,6),D304),"")</f>
        <v/>
      </c>
      <c r="I304" s="36" t="str">
        <f aca="false">IF(G304=1,IF(COUNTIF('Forecast Detail'!$C$8:$C$400,H304)=0,"UNMAPPED","OK"),"")</f>
        <v/>
      </c>
    </row>
    <row r="305" customFormat="false" ht="15" hidden="false" customHeight="false" outlineLevel="0" collapsed="false">
      <c r="D305" s="36" t="str">
        <f aca="false">TRIM(A305)</f>
        <v/>
      </c>
      <c r="E305" s="36" t="str">
        <f aca="false">IF(D305="Revenue","Revenue",IF(D305="Cost of Goods Sold","COGS",IF(D305="Expenditures","Expense",IF(D305="Other Revenue","Other Revenue",IF(D305="Other Expenditures","Other Expense",E304)))))</f>
        <v>Other Expense</v>
      </c>
      <c r="F305" s="36" t="str">
        <f aca="false">IF(OR(D305="Revenue",D305="Cost of Goods Sold",D305="Expenditures",D305="Other Revenue",D305="Other Expenditures"),E305,IF(AND(LEN(D305)&gt;2,MID(D305,2,1)=" ",ISNUMBER(VALUE(LEFT(D305,1)))),D305,F304))</f>
        <v>Other Expense</v>
      </c>
      <c r="G305" s="36" t="n">
        <f aca="false">IF(AND(D305&lt;&gt;"",ISNUMBER(B305),LEFT(D305,9)&lt;&gt;"Total for",D305&lt;&gt;"Gross Profit",D305&lt;&gt;"Net Operating Revenue",D305&lt;&gt;"Net Other Revenue",D305&lt;&gt;"Net Revenue"),1,0)</f>
        <v>0</v>
      </c>
      <c r="H305" s="36" t="str">
        <f aca="false">IF(G305=1,IF(AND(LEN(D305)&gt;7,ISNUMBER(VALUE(LEFT(D305,6))),MID(D305,7,1)=" "),LEFT(D305,6),D305),"")</f>
        <v/>
      </c>
      <c r="I305" s="36" t="str">
        <f aca="false">IF(G305=1,IF(COUNTIF('Forecast Detail'!$C$8:$C$400,H305)=0,"UNMAPPED","OK"),"")</f>
        <v/>
      </c>
    </row>
    <row r="306" customFormat="false" ht="15" hidden="false" customHeight="false" outlineLevel="0" collapsed="false">
      <c r="D306" s="36" t="str">
        <f aca="false">TRIM(A306)</f>
        <v/>
      </c>
      <c r="E306" s="36" t="str">
        <f aca="false">IF(D306="Revenue","Revenue",IF(D306="Cost of Goods Sold","COGS",IF(D306="Expenditures","Expense",IF(D306="Other Revenue","Other Revenue",IF(D306="Other Expenditures","Other Expense",E305)))))</f>
        <v>Other Expense</v>
      </c>
      <c r="F306" s="36" t="str">
        <f aca="false">IF(OR(D306="Revenue",D306="Cost of Goods Sold",D306="Expenditures",D306="Other Revenue",D306="Other Expenditures"),E306,IF(AND(LEN(D306)&gt;2,MID(D306,2,1)=" ",ISNUMBER(VALUE(LEFT(D306,1)))),D306,F305))</f>
        <v>Other Expense</v>
      </c>
      <c r="G306" s="36" t="n">
        <f aca="false">IF(AND(D306&lt;&gt;"",ISNUMBER(B306),LEFT(D306,9)&lt;&gt;"Total for",D306&lt;&gt;"Gross Profit",D306&lt;&gt;"Net Operating Revenue",D306&lt;&gt;"Net Other Revenue",D306&lt;&gt;"Net Revenue"),1,0)</f>
        <v>0</v>
      </c>
      <c r="H306" s="36" t="str">
        <f aca="false">IF(G306=1,IF(AND(LEN(D306)&gt;7,ISNUMBER(VALUE(LEFT(D306,6))),MID(D306,7,1)=" "),LEFT(D306,6),D306),"")</f>
        <v/>
      </c>
      <c r="I306" s="36" t="str">
        <f aca="false">IF(G306=1,IF(COUNTIF('Forecast Detail'!$C$8:$C$400,H306)=0,"UNMAPPED","OK"),"")</f>
        <v/>
      </c>
    </row>
    <row r="307" customFormat="false" ht="15" hidden="false" customHeight="false" outlineLevel="0" collapsed="false">
      <c r="D307" s="36" t="str">
        <f aca="false">TRIM(A307)</f>
        <v/>
      </c>
      <c r="E307" s="36" t="str">
        <f aca="false">IF(D307="Revenue","Revenue",IF(D307="Cost of Goods Sold","COGS",IF(D307="Expenditures","Expense",IF(D307="Other Revenue","Other Revenue",IF(D307="Other Expenditures","Other Expense",E306)))))</f>
        <v>Other Expense</v>
      </c>
      <c r="F307" s="36" t="str">
        <f aca="false">IF(OR(D307="Revenue",D307="Cost of Goods Sold",D307="Expenditures",D307="Other Revenue",D307="Other Expenditures"),E307,IF(AND(LEN(D307)&gt;2,MID(D307,2,1)=" ",ISNUMBER(VALUE(LEFT(D307,1)))),D307,F306))</f>
        <v>Other Expense</v>
      </c>
      <c r="G307" s="36" t="n">
        <f aca="false">IF(AND(D307&lt;&gt;"",ISNUMBER(B307),LEFT(D307,9)&lt;&gt;"Total for",D307&lt;&gt;"Gross Profit",D307&lt;&gt;"Net Operating Revenue",D307&lt;&gt;"Net Other Revenue",D307&lt;&gt;"Net Revenue"),1,0)</f>
        <v>0</v>
      </c>
      <c r="H307" s="36" t="str">
        <f aca="false">IF(G307=1,IF(AND(LEN(D307)&gt;7,ISNUMBER(VALUE(LEFT(D307,6))),MID(D307,7,1)=" "),LEFT(D307,6),D307),"")</f>
        <v/>
      </c>
      <c r="I307" s="36" t="str">
        <f aca="false">IF(G307=1,IF(COUNTIF('Forecast Detail'!$C$8:$C$400,H307)=0,"UNMAPPED","OK"),"")</f>
        <v/>
      </c>
    </row>
    <row r="308" customFormat="false" ht="15" hidden="false" customHeight="false" outlineLevel="0" collapsed="false">
      <c r="D308" s="36" t="str">
        <f aca="false">TRIM(A308)</f>
        <v/>
      </c>
      <c r="E308" s="36" t="str">
        <f aca="false">IF(D308="Revenue","Revenue",IF(D308="Cost of Goods Sold","COGS",IF(D308="Expenditures","Expense",IF(D308="Other Revenue","Other Revenue",IF(D308="Other Expenditures","Other Expense",E307)))))</f>
        <v>Other Expense</v>
      </c>
      <c r="F308" s="36" t="str">
        <f aca="false">IF(OR(D308="Revenue",D308="Cost of Goods Sold",D308="Expenditures",D308="Other Revenue",D308="Other Expenditures"),E308,IF(AND(LEN(D308)&gt;2,MID(D308,2,1)=" ",ISNUMBER(VALUE(LEFT(D308,1)))),D308,F307))</f>
        <v>Other Expense</v>
      </c>
      <c r="G308" s="36" t="n">
        <f aca="false">IF(AND(D308&lt;&gt;"",ISNUMBER(B308),LEFT(D308,9)&lt;&gt;"Total for",D308&lt;&gt;"Gross Profit",D308&lt;&gt;"Net Operating Revenue",D308&lt;&gt;"Net Other Revenue",D308&lt;&gt;"Net Revenue"),1,0)</f>
        <v>0</v>
      </c>
      <c r="H308" s="36" t="str">
        <f aca="false">IF(G308=1,IF(AND(LEN(D308)&gt;7,ISNUMBER(VALUE(LEFT(D308,6))),MID(D308,7,1)=" "),LEFT(D308,6),D308),"")</f>
        <v/>
      </c>
      <c r="I308" s="36" t="str">
        <f aca="false">IF(G308=1,IF(COUNTIF('Forecast Detail'!$C$8:$C$400,H308)=0,"UNMAPPED","OK"),"")</f>
        <v/>
      </c>
    </row>
    <row r="309" customFormat="false" ht="15" hidden="false" customHeight="false" outlineLevel="0" collapsed="false">
      <c r="D309" s="36" t="str">
        <f aca="false">TRIM(A309)</f>
        <v/>
      </c>
      <c r="E309" s="36" t="str">
        <f aca="false">IF(D309="Revenue","Revenue",IF(D309="Cost of Goods Sold","COGS",IF(D309="Expenditures","Expense",IF(D309="Other Revenue","Other Revenue",IF(D309="Other Expenditures","Other Expense",E308)))))</f>
        <v>Other Expense</v>
      </c>
      <c r="F309" s="36" t="str">
        <f aca="false">IF(OR(D309="Revenue",D309="Cost of Goods Sold",D309="Expenditures",D309="Other Revenue",D309="Other Expenditures"),E309,IF(AND(LEN(D309)&gt;2,MID(D309,2,1)=" ",ISNUMBER(VALUE(LEFT(D309,1)))),D309,F308))</f>
        <v>Other Expense</v>
      </c>
      <c r="G309" s="36" t="n">
        <f aca="false">IF(AND(D309&lt;&gt;"",ISNUMBER(B309),LEFT(D309,9)&lt;&gt;"Total for",D309&lt;&gt;"Gross Profit",D309&lt;&gt;"Net Operating Revenue",D309&lt;&gt;"Net Other Revenue",D309&lt;&gt;"Net Revenue"),1,0)</f>
        <v>0</v>
      </c>
      <c r="H309" s="36" t="str">
        <f aca="false">IF(G309=1,IF(AND(LEN(D309)&gt;7,ISNUMBER(VALUE(LEFT(D309,6))),MID(D309,7,1)=" "),LEFT(D309,6),D309),"")</f>
        <v/>
      </c>
      <c r="I309" s="36" t="str">
        <f aca="false">IF(G309=1,IF(COUNTIF('Forecast Detail'!$C$8:$C$400,H309)=0,"UNMAPPED","OK"),"")</f>
        <v/>
      </c>
    </row>
    <row r="310" customFormat="false" ht="15" hidden="false" customHeight="false" outlineLevel="0" collapsed="false">
      <c r="D310" s="36" t="str">
        <f aca="false">TRIM(A310)</f>
        <v/>
      </c>
      <c r="E310" s="36" t="str">
        <f aca="false">IF(D310="Revenue","Revenue",IF(D310="Cost of Goods Sold","COGS",IF(D310="Expenditures","Expense",IF(D310="Other Revenue","Other Revenue",IF(D310="Other Expenditures","Other Expense",E309)))))</f>
        <v>Other Expense</v>
      </c>
      <c r="F310" s="36" t="str">
        <f aca="false">IF(OR(D310="Revenue",D310="Cost of Goods Sold",D310="Expenditures",D310="Other Revenue",D310="Other Expenditures"),E310,IF(AND(LEN(D310)&gt;2,MID(D310,2,1)=" ",ISNUMBER(VALUE(LEFT(D310,1)))),D310,F309))</f>
        <v>Other Expense</v>
      </c>
      <c r="G310" s="36" t="n">
        <f aca="false">IF(AND(D310&lt;&gt;"",ISNUMBER(B310),LEFT(D310,9)&lt;&gt;"Total for",D310&lt;&gt;"Gross Profit",D310&lt;&gt;"Net Operating Revenue",D310&lt;&gt;"Net Other Revenue",D310&lt;&gt;"Net Revenue"),1,0)</f>
        <v>0</v>
      </c>
      <c r="H310" s="36" t="str">
        <f aca="false">IF(G310=1,IF(AND(LEN(D310)&gt;7,ISNUMBER(VALUE(LEFT(D310,6))),MID(D310,7,1)=" "),LEFT(D310,6),D310),"")</f>
        <v/>
      </c>
      <c r="I310" s="36" t="str">
        <f aca="false">IF(G310=1,IF(COUNTIF('Forecast Detail'!$C$8:$C$400,H310)=0,"UNMAPPED","OK"),"")</f>
        <v/>
      </c>
    </row>
    <row r="311" customFormat="false" ht="15" hidden="false" customHeight="false" outlineLevel="0" collapsed="false">
      <c r="D311" s="36" t="str">
        <f aca="false">TRIM(A311)</f>
        <v/>
      </c>
      <c r="E311" s="36" t="str">
        <f aca="false">IF(D311="Revenue","Revenue",IF(D311="Cost of Goods Sold","COGS",IF(D311="Expenditures","Expense",IF(D311="Other Revenue","Other Revenue",IF(D311="Other Expenditures","Other Expense",E310)))))</f>
        <v>Other Expense</v>
      </c>
      <c r="F311" s="36" t="str">
        <f aca="false">IF(OR(D311="Revenue",D311="Cost of Goods Sold",D311="Expenditures",D311="Other Revenue",D311="Other Expenditures"),E311,IF(AND(LEN(D311)&gt;2,MID(D311,2,1)=" ",ISNUMBER(VALUE(LEFT(D311,1)))),D311,F310))</f>
        <v>Other Expense</v>
      </c>
      <c r="G311" s="36" t="n">
        <f aca="false">IF(AND(D311&lt;&gt;"",ISNUMBER(B311),LEFT(D311,9)&lt;&gt;"Total for",D311&lt;&gt;"Gross Profit",D311&lt;&gt;"Net Operating Revenue",D311&lt;&gt;"Net Other Revenue",D311&lt;&gt;"Net Revenue"),1,0)</f>
        <v>0</v>
      </c>
      <c r="H311" s="36" t="str">
        <f aca="false">IF(G311=1,IF(AND(LEN(D311)&gt;7,ISNUMBER(VALUE(LEFT(D311,6))),MID(D311,7,1)=" "),LEFT(D311,6),D311),"")</f>
        <v/>
      </c>
      <c r="I311" s="36" t="str">
        <f aca="false">IF(G311=1,IF(COUNTIF('Forecast Detail'!$C$8:$C$400,H311)=0,"UNMAPPED","OK"),"")</f>
        <v/>
      </c>
    </row>
    <row r="312" customFormat="false" ht="15" hidden="false" customHeight="false" outlineLevel="0" collapsed="false">
      <c r="D312" s="36" t="str">
        <f aca="false">TRIM(A312)</f>
        <v/>
      </c>
      <c r="E312" s="36" t="str">
        <f aca="false">IF(D312="Revenue","Revenue",IF(D312="Cost of Goods Sold","COGS",IF(D312="Expenditures","Expense",IF(D312="Other Revenue","Other Revenue",IF(D312="Other Expenditures","Other Expense",E311)))))</f>
        <v>Other Expense</v>
      </c>
      <c r="F312" s="36" t="str">
        <f aca="false">IF(OR(D312="Revenue",D312="Cost of Goods Sold",D312="Expenditures",D312="Other Revenue",D312="Other Expenditures"),E312,IF(AND(LEN(D312)&gt;2,MID(D312,2,1)=" ",ISNUMBER(VALUE(LEFT(D312,1)))),D312,F311))</f>
        <v>Other Expense</v>
      </c>
      <c r="G312" s="36" t="n">
        <f aca="false">IF(AND(D312&lt;&gt;"",ISNUMBER(B312),LEFT(D312,9)&lt;&gt;"Total for",D312&lt;&gt;"Gross Profit",D312&lt;&gt;"Net Operating Revenue",D312&lt;&gt;"Net Other Revenue",D312&lt;&gt;"Net Revenue"),1,0)</f>
        <v>0</v>
      </c>
      <c r="H312" s="36" t="str">
        <f aca="false">IF(G312=1,IF(AND(LEN(D312)&gt;7,ISNUMBER(VALUE(LEFT(D312,6))),MID(D312,7,1)=" "),LEFT(D312,6),D312),"")</f>
        <v/>
      </c>
      <c r="I312" s="36" t="str">
        <f aca="false">IF(G312=1,IF(COUNTIF('Forecast Detail'!$C$8:$C$400,H312)=0,"UNMAPPED","OK"),"")</f>
        <v/>
      </c>
    </row>
    <row r="313" customFormat="false" ht="15" hidden="false" customHeight="false" outlineLevel="0" collapsed="false">
      <c r="D313" s="36" t="str">
        <f aca="false">TRIM(A313)</f>
        <v/>
      </c>
      <c r="E313" s="36" t="str">
        <f aca="false">IF(D313="Revenue","Revenue",IF(D313="Cost of Goods Sold","COGS",IF(D313="Expenditures","Expense",IF(D313="Other Revenue","Other Revenue",IF(D313="Other Expenditures","Other Expense",E312)))))</f>
        <v>Other Expense</v>
      </c>
      <c r="F313" s="36" t="str">
        <f aca="false">IF(OR(D313="Revenue",D313="Cost of Goods Sold",D313="Expenditures",D313="Other Revenue",D313="Other Expenditures"),E313,IF(AND(LEN(D313)&gt;2,MID(D313,2,1)=" ",ISNUMBER(VALUE(LEFT(D313,1)))),D313,F312))</f>
        <v>Other Expense</v>
      </c>
      <c r="G313" s="36" t="n">
        <f aca="false">IF(AND(D313&lt;&gt;"",ISNUMBER(B313),LEFT(D313,9)&lt;&gt;"Total for",D313&lt;&gt;"Gross Profit",D313&lt;&gt;"Net Operating Revenue",D313&lt;&gt;"Net Other Revenue",D313&lt;&gt;"Net Revenue"),1,0)</f>
        <v>0</v>
      </c>
      <c r="H313" s="36" t="str">
        <f aca="false">IF(G313=1,IF(AND(LEN(D313)&gt;7,ISNUMBER(VALUE(LEFT(D313,6))),MID(D313,7,1)=" "),LEFT(D313,6),D313),"")</f>
        <v/>
      </c>
      <c r="I313" s="36" t="str">
        <f aca="false">IF(G313=1,IF(COUNTIF('Forecast Detail'!$C$8:$C$400,H313)=0,"UNMAPPED","OK"),"")</f>
        <v/>
      </c>
    </row>
    <row r="314" customFormat="false" ht="15" hidden="false" customHeight="false" outlineLevel="0" collapsed="false">
      <c r="D314" s="36" t="str">
        <f aca="false">TRIM(A314)</f>
        <v/>
      </c>
      <c r="E314" s="36" t="str">
        <f aca="false">IF(D314="Revenue","Revenue",IF(D314="Cost of Goods Sold","COGS",IF(D314="Expenditures","Expense",IF(D314="Other Revenue","Other Revenue",IF(D314="Other Expenditures","Other Expense",E313)))))</f>
        <v>Other Expense</v>
      </c>
      <c r="F314" s="36" t="str">
        <f aca="false">IF(OR(D314="Revenue",D314="Cost of Goods Sold",D314="Expenditures",D314="Other Revenue",D314="Other Expenditures"),E314,IF(AND(LEN(D314)&gt;2,MID(D314,2,1)=" ",ISNUMBER(VALUE(LEFT(D314,1)))),D314,F313))</f>
        <v>Other Expense</v>
      </c>
      <c r="G314" s="36" t="n">
        <f aca="false">IF(AND(D314&lt;&gt;"",ISNUMBER(B314),LEFT(D314,9)&lt;&gt;"Total for",D314&lt;&gt;"Gross Profit",D314&lt;&gt;"Net Operating Revenue",D314&lt;&gt;"Net Other Revenue",D314&lt;&gt;"Net Revenue"),1,0)</f>
        <v>0</v>
      </c>
      <c r="H314" s="36" t="str">
        <f aca="false">IF(G314=1,IF(AND(LEN(D314)&gt;7,ISNUMBER(VALUE(LEFT(D314,6))),MID(D314,7,1)=" "),LEFT(D314,6),D314),"")</f>
        <v/>
      </c>
      <c r="I314" s="36" t="str">
        <f aca="false">IF(G314=1,IF(COUNTIF('Forecast Detail'!$C$8:$C$400,H314)=0,"UNMAPPED","OK"),"")</f>
        <v/>
      </c>
    </row>
    <row r="315" customFormat="false" ht="15" hidden="false" customHeight="false" outlineLevel="0" collapsed="false">
      <c r="D315" s="36" t="str">
        <f aca="false">TRIM(A315)</f>
        <v/>
      </c>
      <c r="E315" s="36" t="str">
        <f aca="false">IF(D315="Revenue","Revenue",IF(D315="Cost of Goods Sold","COGS",IF(D315="Expenditures","Expense",IF(D315="Other Revenue","Other Revenue",IF(D315="Other Expenditures","Other Expense",E314)))))</f>
        <v>Other Expense</v>
      </c>
      <c r="F315" s="36" t="str">
        <f aca="false">IF(OR(D315="Revenue",D315="Cost of Goods Sold",D315="Expenditures",D315="Other Revenue",D315="Other Expenditures"),E315,IF(AND(LEN(D315)&gt;2,MID(D315,2,1)=" ",ISNUMBER(VALUE(LEFT(D315,1)))),D315,F314))</f>
        <v>Other Expense</v>
      </c>
      <c r="G315" s="36" t="n">
        <f aca="false">IF(AND(D315&lt;&gt;"",ISNUMBER(B315),LEFT(D315,9)&lt;&gt;"Total for",D315&lt;&gt;"Gross Profit",D315&lt;&gt;"Net Operating Revenue",D315&lt;&gt;"Net Other Revenue",D315&lt;&gt;"Net Revenue"),1,0)</f>
        <v>0</v>
      </c>
      <c r="H315" s="36" t="str">
        <f aca="false">IF(G315=1,IF(AND(LEN(D315)&gt;7,ISNUMBER(VALUE(LEFT(D315,6))),MID(D315,7,1)=" "),LEFT(D315,6),D315),"")</f>
        <v/>
      </c>
      <c r="I315" s="36" t="str">
        <f aca="false">IF(G315=1,IF(COUNTIF('Forecast Detail'!$C$8:$C$400,H315)=0,"UNMAPPED","OK"),"")</f>
        <v/>
      </c>
    </row>
    <row r="316" customFormat="false" ht="15" hidden="false" customHeight="false" outlineLevel="0" collapsed="false">
      <c r="D316" s="36" t="str">
        <f aca="false">TRIM(A316)</f>
        <v/>
      </c>
      <c r="E316" s="36" t="str">
        <f aca="false">IF(D316="Revenue","Revenue",IF(D316="Cost of Goods Sold","COGS",IF(D316="Expenditures","Expense",IF(D316="Other Revenue","Other Revenue",IF(D316="Other Expenditures","Other Expense",E315)))))</f>
        <v>Other Expense</v>
      </c>
      <c r="F316" s="36" t="str">
        <f aca="false">IF(OR(D316="Revenue",D316="Cost of Goods Sold",D316="Expenditures",D316="Other Revenue",D316="Other Expenditures"),E316,IF(AND(LEN(D316)&gt;2,MID(D316,2,1)=" ",ISNUMBER(VALUE(LEFT(D316,1)))),D316,F315))</f>
        <v>Other Expense</v>
      </c>
      <c r="G316" s="36" t="n">
        <f aca="false">IF(AND(D316&lt;&gt;"",ISNUMBER(B316),LEFT(D316,9)&lt;&gt;"Total for",D316&lt;&gt;"Gross Profit",D316&lt;&gt;"Net Operating Revenue",D316&lt;&gt;"Net Other Revenue",D316&lt;&gt;"Net Revenue"),1,0)</f>
        <v>0</v>
      </c>
      <c r="H316" s="36" t="str">
        <f aca="false">IF(G316=1,IF(AND(LEN(D316)&gt;7,ISNUMBER(VALUE(LEFT(D316,6))),MID(D316,7,1)=" "),LEFT(D316,6),D316),"")</f>
        <v/>
      </c>
      <c r="I316" s="36" t="str">
        <f aca="false">IF(G316=1,IF(COUNTIF('Forecast Detail'!$C$8:$C$400,H316)=0,"UNMAPPED","OK"),"")</f>
        <v/>
      </c>
    </row>
    <row r="317" customFormat="false" ht="15" hidden="false" customHeight="false" outlineLevel="0" collapsed="false">
      <c r="D317" s="36" t="str">
        <f aca="false">TRIM(A317)</f>
        <v/>
      </c>
      <c r="E317" s="36" t="str">
        <f aca="false">IF(D317="Revenue","Revenue",IF(D317="Cost of Goods Sold","COGS",IF(D317="Expenditures","Expense",IF(D317="Other Revenue","Other Revenue",IF(D317="Other Expenditures","Other Expense",E316)))))</f>
        <v>Other Expense</v>
      </c>
      <c r="F317" s="36" t="str">
        <f aca="false">IF(OR(D317="Revenue",D317="Cost of Goods Sold",D317="Expenditures",D317="Other Revenue",D317="Other Expenditures"),E317,IF(AND(LEN(D317)&gt;2,MID(D317,2,1)=" ",ISNUMBER(VALUE(LEFT(D317,1)))),D317,F316))</f>
        <v>Other Expense</v>
      </c>
      <c r="G317" s="36" t="n">
        <f aca="false">IF(AND(D317&lt;&gt;"",ISNUMBER(B317),LEFT(D317,9)&lt;&gt;"Total for",D317&lt;&gt;"Gross Profit",D317&lt;&gt;"Net Operating Revenue",D317&lt;&gt;"Net Other Revenue",D317&lt;&gt;"Net Revenue"),1,0)</f>
        <v>0</v>
      </c>
      <c r="H317" s="36" t="str">
        <f aca="false">IF(G317=1,IF(AND(LEN(D317)&gt;7,ISNUMBER(VALUE(LEFT(D317,6))),MID(D317,7,1)=" "),LEFT(D317,6),D317),"")</f>
        <v/>
      </c>
      <c r="I317" s="36" t="str">
        <f aca="false">IF(G317=1,IF(COUNTIF('Forecast Detail'!$C$8:$C$400,H317)=0,"UNMAPPED","OK"),"")</f>
        <v/>
      </c>
    </row>
    <row r="318" customFormat="false" ht="15" hidden="false" customHeight="false" outlineLevel="0" collapsed="false">
      <c r="D318" s="36" t="str">
        <f aca="false">TRIM(A318)</f>
        <v/>
      </c>
      <c r="E318" s="36" t="str">
        <f aca="false">IF(D318="Revenue","Revenue",IF(D318="Cost of Goods Sold","COGS",IF(D318="Expenditures","Expense",IF(D318="Other Revenue","Other Revenue",IF(D318="Other Expenditures","Other Expense",E317)))))</f>
        <v>Other Expense</v>
      </c>
      <c r="F318" s="36" t="str">
        <f aca="false">IF(OR(D318="Revenue",D318="Cost of Goods Sold",D318="Expenditures",D318="Other Revenue",D318="Other Expenditures"),E318,IF(AND(LEN(D318)&gt;2,MID(D318,2,1)=" ",ISNUMBER(VALUE(LEFT(D318,1)))),D318,F317))</f>
        <v>Other Expense</v>
      </c>
      <c r="G318" s="36" t="n">
        <f aca="false">IF(AND(D318&lt;&gt;"",ISNUMBER(B318),LEFT(D318,9)&lt;&gt;"Total for",D318&lt;&gt;"Gross Profit",D318&lt;&gt;"Net Operating Revenue",D318&lt;&gt;"Net Other Revenue",D318&lt;&gt;"Net Revenue"),1,0)</f>
        <v>0</v>
      </c>
      <c r="H318" s="36" t="str">
        <f aca="false">IF(G318=1,IF(AND(LEN(D318)&gt;7,ISNUMBER(VALUE(LEFT(D318,6))),MID(D318,7,1)=" "),LEFT(D318,6),D318),"")</f>
        <v/>
      </c>
      <c r="I318" s="36" t="str">
        <f aca="false">IF(G318=1,IF(COUNTIF('Forecast Detail'!$C$8:$C$400,H318)=0,"UNMAPPED","OK"),"")</f>
        <v/>
      </c>
    </row>
    <row r="319" customFormat="false" ht="15" hidden="false" customHeight="false" outlineLevel="0" collapsed="false">
      <c r="D319" s="36" t="str">
        <f aca="false">TRIM(A319)</f>
        <v/>
      </c>
      <c r="E319" s="36" t="str">
        <f aca="false">IF(D319="Revenue","Revenue",IF(D319="Cost of Goods Sold","COGS",IF(D319="Expenditures","Expense",IF(D319="Other Revenue","Other Revenue",IF(D319="Other Expenditures","Other Expense",E318)))))</f>
        <v>Other Expense</v>
      </c>
      <c r="F319" s="36" t="str">
        <f aca="false">IF(OR(D319="Revenue",D319="Cost of Goods Sold",D319="Expenditures",D319="Other Revenue",D319="Other Expenditures"),E319,IF(AND(LEN(D319)&gt;2,MID(D319,2,1)=" ",ISNUMBER(VALUE(LEFT(D319,1)))),D319,F318))</f>
        <v>Other Expense</v>
      </c>
      <c r="G319" s="36" t="n">
        <f aca="false">IF(AND(D319&lt;&gt;"",ISNUMBER(B319),LEFT(D319,9)&lt;&gt;"Total for",D319&lt;&gt;"Gross Profit",D319&lt;&gt;"Net Operating Revenue",D319&lt;&gt;"Net Other Revenue",D319&lt;&gt;"Net Revenue"),1,0)</f>
        <v>0</v>
      </c>
      <c r="H319" s="36" t="str">
        <f aca="false">IF(G319=1,IF(AND(LEN(D319)&gt;7,ISNUMBER(VALUE(LEFT(D319,6))),MID(D319,7,1)=" "),LEFT(D319,6),D319),"")</f>
        <v/>
      </c>
      <c r="I319" s="36" t="str">
        <f aca="false">IF(G319=1,IF(COUNTIF('Forecast Detail'!$C$8:$C$400,H319)=0,"UNMAPPED","OK"),"")</f>
        <v/>
      </c>
    </row>
    <row r="320" customFormat="false" ht="15" hidden="false" customHeight="false" outlineLevel="0" collapsed="false">
      <c r="D320" s="36" t="str">
        <f aca="false">TRIM(A320)</f>
        <v/>
      </c>
      <c r="E320" s="36" t="str">
        <f aca="false">IF(D320="Revenue","Revenue",IF(D320="Cost of Goods Sold","COGS",IF(D320="Expenditures","Expense",IF(D320="Other Revenue","Other Revenue",IF(D320="Other Expenditures","Other Expense",E319)))))</f>
        <v>Other Expense</v>
      </c>
      <c r="F320" s="36" t="str">
        <f aca="false">IF(OR(D320="Revenue",D320="Cost of Goods Sold",D320="Expenditures",D320="Other Revenue",D320="Other Expenditures"),E320,IF(AND(LEN(D320)&gt;2,MID(D320,2,1)=" ",ISNUMBER(VALUE(LEFT(D320,1)))),D320,F319))</f>
        <v>Other Expense</v>
      </c>
      <c r="G320" s="36" t="n">
        <f aca="false">IF(AND(D320&lt;&gt;"",ISNUMBER(B320),LEFT(D320,9)&lt;&gt;"Total for",D320&lt;&gt;"Gross Profit",D320&lt;&gt;"Net Operating Revenue",D320&lt;&gt;"Net Other Revenue",D320&lt;&gt;"Net Revenue"),1,0)</f>
        <v>0</v>
      </c>
      <c r="H320" s="36" t="str">
        <f aca="false">IF(G320=1,IF(AND(LEN(D320)&gt;7,ISNUMBER(VALUE(LEFT(D320,6))),MID(D320,7,1)=" "),LEFT(D320,6),D320),"")</f>
        <v/>
      </c>
      <c r="I320" s="36" t="str">
        <f aca="false">IF(G320=1,IF(COUNTIF('Forecast Detail'!$C$8:$C$400,H320)=0,"UNMAPPED","OK"),"")</f>
        <v/>
      </c>
    </row>
    <row r="321" customFormat="false" ht="15" hidden="false" customHeight="false" outlineLevel="0" collapsed="false">
      <c r="D321" s="36" t="str">
        <f aca="false">TRIM(A321)</f>
        <v/>
      </c>
      <c r="E321" s="36" t="str">
        <f aca="false">IF(D321="Revenue","Revenue",IF(D321="Cost of Goods Sold","COGS",IF(D321="Expenditures","Expense",IF(D321="Other Revenue","Other Revenue",IF(D321="Other Expenditures","Other Expense",E320)))))</f>
        <v>Other Expense</v>
      </c>
      <c r="F321" s="36" t="str">
        <f aca="false">IF(OR(D321="Revenue",D321="Cost of Goods Sold",D321="Expenditures",D321="Other Revenue",D321="Other Expenditures"),E321,IF(AND(LEN(D321)&gt;2,MID(D321,2,1)=" ",ISNUMBER(VALUE(LEFT(D321,1)))),D321,F320))</f>
        <v>Other Expense</v>
      </c>
      <c r="G321" s="36" t="n">
        <f aca="false">IF(AND(D321&lt;&gt;"",ISNUMBER(B321),LEFT(D321,9)&lt;&gt;"Total for",D321&lt;&gt;"Gross Profit",D321&lt;&gt;"Net Operating Revenue",D321&lt;&gt;"Net Other Revenue",D321&lt;&gt;"Net Revenue"),1,0)</f>
        <v>0</v>
      </c>
      <c r="H321" s="36" t="str">
        <f aca="false">IF(G321=1,IF(AND(LEN(D321)&gt;7,ISNUMBER(VALUE(LEFT(D321,6))),MID(D321,7,1)=" "),LEFT(D321,6),D321),"")</f>
        <v/>
      </c>
      <c r="I321" s="36" t="str">
        <f aca="false">IF(G321=1,IF(COUNTIF('Forecast Detail'!$C$8:$C$400,H321)=0,"UNMAPPED","OK"),"")</f>
        <v/>
      </c>
    </row>
    <row r="322" customFormat="false" ht="15" hidden="false" customHeight="false" outlineLevel="0" collapsed="false">
      <c r="D322" s="36" t="str">
        <f aca="false">TRIM(A322)</f>
        <v/>
      </c>
      <c r="E322" s="36" t="str">
        <f aca="false">IF(D322="Revenue","Revenue",IF(D322="Cost of Goods Sold","COGS",IF(D322="Expenditures","Expense",IF(D322="Other Revenue","Other Revenue",IF(D322="Other Expenditures","Other Expense",E321)))))</f>
        <v>Other Expense</v>
      </c>
      <c r="F322" s="36" t="str">
        <f aca="false">IF(OR(D322="Revenue",D322="Cost of Goods Sold",D322="Expenditures",D322="Other Revenue",D322="Other Expenditures"),E322,IF(AND(LEN(D322)&gt;2,MID(D322,2,1)=" ",ISNUMBER(VALUE(LEFT(D322,1)))),D322,F321))</f>
        <v>Other Expense</v>
      </c>
      <c r="G322" s="36" t="n">
        <f aca="false">IF(AND(D322&lt;&gt;"",ISNUMBER(B322),LEFT(D322,9)&lt;&gt;"Total for",D322&lt;&gt;"Gross Profit",D322&lt;&gt;"Net Operating Revenue",D322&lt;&gt;"Net Other Revenue",D322&lt;&gt;"Net Revenue"),1,0)</f>
        <v>0</v>
      </c>
      <c r="H322" s="36" t="str">
        <f aca="false">IF(G322=1,IF(AND(LEN(D322)&gt;7,ISNUMBER(VALUE(LEFT(D322,6))),MID(D322,7,1)=" "),LEFT(D322,6),D322),"")</f>
        <v/>
      </c>
      <c r="I322" s="36" t="str">
        <f aca="false">IF(G322=1,IF(COUNTIF('Forecast Detail'!$C$8:$C$400,H322)=0,"UNMAPPED","OK"),"")</f>
        <v/>
      </c>
    </row>
    <row r="323" customFormat="false" ht="15" hidden="false" customHeight="false" outlineLevel="0" collapsed="false">
      <c r="D323" s="36" t="str">
        <f aca="false">TRIM(A323)</f>
        <v/>
      </c>
      <c r="E323" s="36" t="str">
        <f aca="false">IF(D323="Revenue","Revenue",IF(D323="Cost of Goods Sold","COGS",IF(D323="Expenditures","Expense",IF(D323="Other Revenue","Other Revenue",IF(D323="Other Expenditures","Other Expense",E322)))))</f>
        <v>Other Expense</v>
      </c>
      <c r="F323" s="36" t="str">
        <f aca="false">IF(OR(D323="Revenue",D323="Cost of Goods Sold",D323="Expenditures",D323="Other Revenue",D323="Other Expenditures"),E323,IF(AND(LEN(D323)&gt;2,MID(D323,2,1)=" ",ISNUMBER(VALUE(LEFT(D323,1)))),D323,F322))</f>
        <v>Other Expense</v>
      </c>
      <c r="G323" s="36" t="n">
        <f aca="false">IF(AND(D323&lt;&gt;"",ISNUMBER(B323),LEFT(D323,9)&lt;&gt;"Total for",D323&lt;&gt;"Gross Profit",D323&lt;&gt;"Net Operating Revenue",D323&lt;&gt;"Net Other Revenue",D323&lt;&gt;"Net Revenue"),1,0)</f>
        <v>0</v>
      </c>
      <c r="H323" s="36" t="str">
        <f aca="false">IF(G323=1,IF(AND(LEN(D323)&gt;7,ISNUMBER(VALUE(LEFT(D323,6))),MID(D323,7,1)=" "),LEFT(D323,6),D323),"")</f>
        <v/>
      </c>
      <c r="I323" s="36" t="str">
        <f aca="false">IF(G323=1,IF(COUNTIF('Forecast Detail'!$C$8:$C$400,H323)=0,"UNMAPPED","OK"),"")</f>
        <v/>
      </c>
    </row>
    <row r="324" customFormat="false" ht="15" hidden="false" customHeight="false" outlineLevel="0" collapsed="false">
      <c r="D324" s="36" t="str">
        <f aca="false">TRIM(A324)</f>
        <v/>
      </c>
      <c r="E324" s="36" t="str">
        <f aca="false">IF(D324="Revenue","Revenue",IF(D324="Cost of Goods Sold","COGS",IF(D324="Expenditures","Expense",IF(D324="Other Revenue","Other Revenue",IF(D324="Other Expenditures","Other Expense",E323)))))</f>
        <v>Other Expense</v>
      </c>
      <c r="F324" s="36" t="str">
        <f aca="false">IF(OR(D324="Revenue",D324="Cost of Goods Sold",D324="Expenditures",D324="Other Revenue",D324="Other Expenditures"),E324,IF(AND(LEN(D324)&gt;2,MID(D324,2,1)=" ",ISNUMBER(VALUE(LEFT(D324,1)))),D324,F323))</f>
        <v>Other Expense</v>
      </c>
      <c r="G324" s="36" t="n">
        <f aca="false">IF(AND(D324&lt;&gt;"",ISNUMBER(B324),LEFT(D324,9)&lt;&gt;"Total for",D324&lt;&gt;"Gross Profit",D324&lt;&gt;"Net Operating Revenue",D324&lt;&gt;"Net Other Revenue",D324&lt;&gt;"Net Revenue"),1,0)</f>
        <v>0</v>
      </c>
      <c r="H324" s="36" t="str">
        <f aca="false">IF(G324=1,IF(AND(LEN(D324)&gt;7,ISNUMBER(VALUE(LEFT(D324,6))),MID(D324,7,1)=" "),LEFT(D324,6),D324),"")</f>
        <v/>
      </c>
      <c r="I324" s="36" t="str">
        <f aca="false">IF(G324=1,IF(COUNTIF('Forecast Detail'!$C$8:$C$400,H324)=0,"UNMAPPED","OK"),"")</f>
        <v/>
      </c>
    </row>
    <row r="325" customFormat="false" ht="15" hidden="false" customHeight="false" outlineLevel="0" collapsed="false">
      <c r="D325" s="36" t="str">
        <f aca="false">TRIM(A325)</f>
        <v/>
      </c>
      <c r="E325" s="36" t="str">
        <f aca="false">IF(D325="Revenue","Revenue",IF(D325="Cost of Goods Sold","COGS",IF(D325="Expenditures","Expense",IF(D325="Other Revenue","Other Revenue",IF(D325="Other Expenditures","Other Expense",E324)))))</f>
        <v>Other Expense</v>
      </c>
      <c r="F325" s="36" t="str">
        <f aca="false">IF(OR(D325="Revenue",D325="Cost of Goods Sold",D325="Expenditures",D325="Other Revenue",D325="Other Expenditures"),E325,IF(AND(LEN(D325)&gt;2,MID(D325,2,1)=" ",ISNUMBER(VALUE(LEFT(D325,1)))),D325,F324))</f>
        <v>Other Expense</v>
      </c>
      <c r="G325" s="36" t="n">
        <f aca="false">IF(AND(D325&lt;&gt;"",ISNUMBER(B325),LEFT(D325,9)&lt;&gt;"Total for",D325&lt;&gt;"Gross Profit",D325&lt;&gt;"Net Operating Revenue",D325&lt;&gt;"Net Other Revenue",D325&lt;&gt;"Net Revenue"),1,0)</f>
        <v>0</v>
      </c>
      <c r="H325" s="36" t="str">
        <f aca="false">IF(G325=1,IF(AND(LEN(D325)&gt;7,ISNUMBER(VALUE(LEFT(D325,6))),MID(D325,7,1)=" "),LEFT(D325,6),D325),"")</f>
        <v/>
      </c>
      <c r="I325" s="36" t="str">
        <f aca="false">IF(G325=1,IF(COUNTIF('Forecast Detail'!$C$8:$C$400,H325)=0,"UNMAPPED","OK"),"")</f>
        <v/>
      </c>
    </row>
    <row r="326" customFormat="false" ht="15" hidden="false" customHeight="false" outlineLevel="0" collapsed="false">
      <c r="D326" s="36" t="str">
        <f aca="false">TRIM(A326)</f>
        <v/>
      </c>
      <c r="E326" s="36" t="str">
        <f aca="false">IF(D326="Revenue","Revenue",IF(D326="Cost of Goods Sold","COGS",IF(D326="Expenditures","Expense",IF(D326="Other Revenue","Other Revenue",IF(D326="Other Expenditures","Other Expense",E325)))))</f>
        <v>Other Expense</v>
      </c>
      <c r="F326" s="36" t="str">
        <f aca="false">IF(OR(D326="Revenue",D326="Cost of Goods Sold",D326="Expenditures",D326="Other Revenue",D326="Other Expenditures"),E326,IF(AND(LEN(D326)&gt;2,MID(D326,2,1)=" ",ISNUMBER(VALUE(LEFT(D326,1)))),D326,F325))</f>
        <v>Other Expense</v>
      </c>
      <c r="G326" s="36" t="n">
        <f aca="false">IF(AND(D326&lt;&gt;"",ISNUMBER(B326),LEFT(D326,9)&lt;&gt;"Total for",D326&lt;&gt;"Gross Profit",D326&lt;&gt;"Net Operating Revenue",D326&lt;&gt;"Net Other Revenue",D326&lt;&gt;"Net Revenue"),1,0)</f>
        <v>0</v>
      </c>
      <c r="H326" s="36" t="str">
        <f aca="false">IF(G326=1,IF(AND(LEN(D326)&gt;7,ISNUMBER(VALUE(LEFT(D326,6))),MID(D326,7,1)=" "),LEFT(D326,6),D326),"")</f>
        <v/>
      </c>
      <c r="I326" s="36" t="str">
        <f aca="false">IF(G326=1,IF(COUNTIF('Forecast Detail'!$C$8:$C$400,H326)=0,"UNMAPPED","OK"),"")</f>
        <v/>
      </c>
    </row>
    <row r="327" customFormat="false" ht="15" hidden="false" customHeight="false" outlineLevel="0" collapsed="false">
      <c r="D327" s="36" t="str">
        <f aca="false">TRIM(A327)</f>
        <v/>
      </c>
      <c r="E327" s="36" t="str">
        <f aca="false">IF(D327="Revenue","Revenue",IF(D327="Cost of Goods Sold","COGS",IF(D327="Expenditures","Expense",IF(D327="Other Revenue","Other Revenue",IF(D327="Other Expenditures","Other Expense",E326)))))</f>
        <v>Other Expense</v>
      </c>
      <c r="F327" s="36" t="str">
        <f aca="false">IF(OR(D327="Revenue",D327="Cost of Goods Sold",D327="Expenditures",D327="Other Revenue",D327="Other Expenditures"),E327,IF(AND(LEN(D327)&gt;2,MID(D327,2,1)=" ",ISNUMBER(VALUE(LEFT(D327,1)))),D327,F326))</f>
        <v>Other Expense</v>
      </c>
      <c r="G327" s="36" t="n">
        <f aca="false">IF(AND(D327&lt;&gt;"",ISNUMBER(B327),LEFT(D327,9)&lt;&gt;"Total for",D327&lt;&gt;"Gross Profit",D327&lt;&gt;"Net Operating Revenue",D327&lt;&gt;"Net Other Revenue",D327&lt;&gt;"Net Revenue"),1,0)</f>
        <v>0</v>
      </c>
      <c r="H327" s="36" t="str">
        <f aca="false">IF(G327=1,IF(AND(LEN(D327)&gt;7,ISNUMBER(VALUE(LEFT(D327,6))),MID(D327,7,1)=" "),LEFT(D327,6),D327),"")</f>
        <v/>
      </c>
      <c r="I327" s="36" t="str">
        <f aca="false">IF(G327=1,IF(COUNTIF('Forecast Detail'!$C$8:$C$400,H327)=0,"UNMAPPED","OK"),"")</f>
        <v/>
      </c>
    </row>
    <row r="328" customFormat="false" ht="15" hidden="false" customHeight="false" outlineLevel="0" collapsed="false">
      <c r="D328" s="36" t="str">
        <f aca="false">TRIM(A328)</f>
        <v/>
      </c>
      <c r="E328" s="36" t="str">
        <f aca="false">IF(D328="Revenue","Revenue",IF(D328="Cost of Goods Sold","COGS",IF(D328="Expenditures","Expense",IF(D328="Other Revenue","Other Revenue",IF(D328="Other Expenditures","Other Expense",E327)))))</f>
        <v>Other Expense</v>
      </c>
      <c r="F328" s="36" t="str">
        <f aca="false">IF(OR(D328="Revenue",D328="Cost of Goods Sold",D328="Expenditures",D328="Other Revenue",D328="Other Expenditures"),E328,IF(AND(LEN(D328)&gt;2,MID(D328,2,1)=" ",ISNUMBER(VALUE(LEFT(D328,1)))),D328,F327))</f>
        <v>Other Expense</v>
      </c>
      <c r="G328" s="36" t="n">
        <f aca="false">IF(AND(D328&lt;&gt;"",ISNUMBER(B328),LEFT(D328,9)&lt;&gt;"Total for",D328&lt;&gt;"Gross Profit",D328&lt;&gt;"Net Operating Revenue",D328&lt;&gt;"Net Other Revenue",D328&lt;&gt;"Net Revenue"),1,0)</f>
        <v>0</v>
      </c>
      <c r="H328" s="36" t="str">
        <f aca="false">IF(G328=1,IF(AND(LEN(D328)&gt;7,ISNUMBER(VALUE(LEFT(D328,6))),MID(D328,7,1)=" "),LEFT(D328,6),D328),"")</f>
        <v/>
      </c>
      <c r="I328" s="36" t="str">
        <f aca="false">IF(G328=1,IF(COUNTIF('Forecast Detail'!$C$8:$C$400,H328)=0,"UNMAPPED","OK"),"")</f>
        <v/>
      </c>
    </row>
    <row r="329" customFormat="false" ht="15" hidden="false" customHeight="false" outlineLevel="0" collapsed="false">
      <c r="D329" s="36" t="str">
        <f aca="false">TRIM(A329)</f>
        <v/>
      </c>
      <c r="E329" s="36" t="str">
        <f aca="false">IF(D329="Revenue","Revenue",IF(D329="Cost of Goods Sold","COGS",IF(D329="Expenditures","Expense",IF(D329="Other Revenue","Other Revenue",IF(D329="Other Expenditures","Other Expense",E328)))))</f>
        <v>Other Expense</v>
      </c>
      <c r="F329" s="36" t="str">
        <f aca="false">IF(OR(D329="Revenue",D329="Cost of Goods Sold",D329="Expenditures",D329="Other Revenue",D329="Other Expenditures"),E329,IF(AND(LEN(D329)&gt;2,MID(D329,2,1)=" ",ISNUMBER(VALUE(LEFT(D329,1)))),D329,F328))</f>
        <v>Other Expense</v>
      </c>
      <c r="G329" s="36" t="n">
        <f aca="false">IF(AND(D329&lt;&gt;"",ISNUMBER(B329),LEFT(D329,9)&lt;&gt;"Total for",D329&lt;&gt;"Gross Profit",D329&lt;&gt;"Net Operating Revenue",D329&lt;&gt;"Net Other Revenue",D329&lt;&gt;"Net Revenue"),1,0)</f>
        <v>0</v>
      </c>
      <c r="H329" s="36" t="str">
        <f aca="false">IF(G329=1,IF(AND(LEN(D329)&gt;7,ISNUMBER(VALUE(LEFT(D329,6))),MID(D329,7,1)=" "),LEFT(D329,6),D329),"")</f>
        <v/>
      </c>
      <c r="I329" s="36" t="str">
        <f aca="false">IF(G329=1,IF(COUNTIF('Forecast Detail'!$C$8:$C$400,H329)=0,"UNMAPPED","OK"),"")</f>
        <v/>
      </c>
    </row>
    <row r="330" customFormat="false" ht="15" hidden="false" customHeight="false" outlineLevel="0" collapsed="false">
      <c r="D330" s="36" t="str">
        <f aca="false">TRIM(A330)</f>
        <v/>
      </c>
      <c r="E330" s="36" t="str">
        <f aca="false">IF(D330="Revenue","Revenue",IF(D330="Cost of Goods Sold","COGS",IF(D330="Expenditures","Expense",IF(D330="Other Revenue","Other Revenue",IF(D330="Other Expenditures","Other Expense",E329)))))</f>
        <v>Other Expense</v>
      </c>
      <c r="F330" s="36" t="str">
        <f aca="false">IF(OR(D330="Revenue",D330="Cost of Goods Sold",D330="Expenditures",D330="Other Revenue",D330="Other Expenditures"),E330,IF(AND(LEN(D330)&gt;2,MID(D330,2,1)=" ",ISNUMBER(VALUE(LEFT(D330,1)))),D330,F329))</f>
        <v>Other Expense</v>
      </c>
      <c r="G330" s="36" t="n">
        <f aca="false">IF(AND(D330&lt;&gt;"",ISNUMBER(B330),LEFT(D330,9)&lt;&gt;"Total for",D330&lt;&gt;"Gross Profit",D330&lt;&gt;"Net Operating Revenue",D330&lt;&gt;"Net Other Revenue",D330&lt;&gt;"Net Revenue"),1,0)</f>
        <v>0</v>
      </c>
      <c r="H330" s="36" t="str">
        <f aca="false">IF(G330=1,IF(AND(LEN(D330)&gt;7,ISNUMBER(VALUE(LEFT(D330,6))),MID(D330,7,1)=" "),LEFT(D330,6),D330),"")</f>
        <v/>
      </c>
      <c r="I330" s="36" t="str">
        <f aca="false">IF(G330=1,IF(COUNTIF('Forecast Detail'!$C$8:$C$400,H330)=0,"UNMAPPED","OK"),"")</f>
        <v/>
      </c>
    </row>
    <row r="331" customFormat="false" ht="15" hidden="false" customHeight="false" outlineLevel="0" collapsed="false">
      <c r="D331" s="36" t="str">
        <f aca="false">TRIM(A331)</f>
        <v/>
      </c>
      <c r="E331" s="36" t="str">
        <f aca="false">IF(D331="Revenue","Revenue",IF(D331="Cost of Goods Sold","COGS",IF(D331="Expenditures","Expense",IF(D331="Other Revenue","Other Revenue",IF(D331="Other Expenditures","Other Expense",E330)))))</f>
        <v>Other Expense</v>
      </c>
      <c r="F331" s="36" t="str">
        <f aca="false">IF(OR(D331="Revenue",D331="Cost of Goods Sold",D331="Expenditures",D331="Other Revenue",D331="Other Expenditures"),E331,IF(AND(LEN(D331)&gt;2,MID(D331,2,1)=" ",ISNUMBER(VALUE(LEFT(D331,1)))),D331,F330))</f>
        <v>Other Expense</v>
      </c>
      <c r="G331" s="36" t="n">
        <f aca="false">IF(AND(D331&lt;&gt;"",ISNUMBER(B331),LEFT(D331,9)&lt;&gt;"Total for",D331&lt;&gt;"Gross Profit",D331&lt;&gt;"Net Operating Revenue",D331&lt;&gt;"Net Other Revenue",D331&lt;&gt;"Net Revenue"),1,0)</f>
        <v>0</v>
      </c>
      <c r="H331" s="36" t="str">
        <f aca="false">IF(G331=1,IF(AND(LEN(D331)&gt;7,ISNUMBER(VALUE(LEFT(D331,6))),MID(D331,7,1)=" "),LEFT(D331,6),D331),"")</f>
        <v/>
      </c>
      <c r="I331" s="36" t="str">
        <f aca="false">IF(G331=1,IF(COUNTIF('Forecast Detail'!$C$8:$C$400,H331)=0,"UNMAPPED","OK"),"")</f>
        <v/>
      </c>
    </row>
    <row r="332" customFormat="false" ht="15" hidden="false" customHeight="false" outlineLevel="0" collapsed="false">
      <c r="D332" s="36" t="str">
        <f aca="false">TRIM(A332)</f>
        <v/>
      </c>
      <c r="E332" s="36" t="str">
        <f aca="false">IF(D332="Revenue","Revenue",IF(D332="Cost of Goods Sold","COGS",IF(D332="Expenditures","Expense",IF(D332="Other Revenue","Other Revenue",IF(D332="Other Expenditures","Other Expense",E331)))))</f>
        <v>Other Expense</v>
      </c>
      <c r="F332" s="36" t="str">
        <f aca="false">IF(OR(D332="Revenue",D332="Cost of Goods Sold",D332="Expenditures",D332="Other Revenue",D332="Other Expenditures"),E332,IF(AND(LEN(D332)&gt;2,MID(D332,2,1)=" ",ISNUMBER(VALUE(LEFT(D332,1)))),D332,F331))</f>
        <v>Other Expense</v>
      </c>
      <c r="G332" s="36" t="n">
        <f aca="false">IF(AND(D332&lt;&gt;"",ISNUMBER(B332),LEFT(D332,9)&lt;&gt;"Total for",D332&lt;&gt;"Gross Profit",D332&lt;&gt;"Net Operating Revenue",D332&lt;&gt;"Net Other Revenue",D332&lt;&gt;"Net Revenue"),1,0)</f>
        <v>0</v>
      </c>
      <c r="H332" s="36" t="str">
        <f aca="false">IF(G332=1,IF(AND(LEN(D332)&gt;7,ISNUMBER(VALUE(LEFT(D332,6))),MID(D332,7,1)=" "),LEFT(D332,6),D332),"")</f>
        <v/>
      </c>
      <c r="I332" s="36" t="str">
        <f aca="false">IF(G332=1,IF(COUNTIF('Forecast Detail'!$C$8:$C$400,H332)=0,"UNMAPPED","OK"),"")</f>
        <v/>
      </c>
    </row>
    <row r="333" customFormat="false" ht="15" hidden="false" customHeight="false" outlineLevel="0" collapsed="false">
      <c r="D333" s="36" t="str">
        <f aca="false">TRIM(A333)</f>
        <v/>
      </c>
      <c r="E333" s="36" t="str">
        <f aca="false">IF(D333="Revenue","Revenue",IF(D333="Cost of Goods Sold","COGS",IF(D333="Expenditures","Expense",IF(D333="Other Revenue","Other Revenue",IF(D333="Other Expenditures","Other Expense",E332)))))</f>
        <v>Other Expense</v>
      </c>
      <c r="F333" s="36" t="str">
        <f aca="false">IF(OR(D333="Revenue",D333="Cost of Goods Sold",D333="Expenditures",D333="Other Revenue",D333="Other Expenditures"),E333,IF(AND(LEN(D333)&gt;2,MID(D333,2,1)=" ",ISNUMBER(VALUE(LEFT(D333,1)))),D333,F332))</f>
        <v>Other Expense</v>
      </c>
      <c r="G333" s="36" t="n">
        <f aca="false">IF(AND(D333&lt;&gt;"",ISNUMBER(B333),LEFT(D333,9)&lt;&gt;"Total for",D333&lt;&gt;"Gross Profit",D333&lt;&gt;"Net Operating Revenue",D333&lt;&gt;"Net Other Revenue",D333&lt;&gt;"Net Revenue"),1,0)</f>
        <v>0</v>
      </c>
      <c r="H333" s="36" t="str">
        <f aca="false">IF(G333=1,IF(AND(LEN(D333)&gt;7,ISNUMBER(VALUE(LEFT(D333,6))),MID(D333,7,1)=" "),LEFT(D333,6),D333),"")</f>
        <v/>
      </c>
      <c r="I333" s="36" t="str">
        <f aca="false">IF(G333=1,IF(COUNTIF('Forecast Detail'!$C$8:$C$400,H333)=0,"UNMAPPED","OK"),"")</f>
        <v/>
      </c>
    </row>
    <row r="334" customFormat="false" ht="15" hidden="false" customHeight="false" outlineLevel="0" collapsed="false">
      <c r="D334" s="36" t="str">
        <f aca="false">TRIM(A334)</f>
        <v/>
      </c>
      <c r="E334" s="36" t="str">
        <f aca="false">IF(D334="Revenue","Revenue",IF(D334="Cost of Goods Sold","COGS",IF(D334="Expenditures","Expense",IF(D334="Other Revenue","Other Revenue",IF(D334="Other Expenditures","Other Expense",E333)))))</f>
        <v>Other Expense</v>
      </c>
      <c r="F334" s="36" t="str">
        <f aca="false">IF(OR(D334="Revenue",D334="Cost of Goods Sold",D334="Expenditures",D334="Other Revenue",D334="Other Expenditures"),E334,IF(AND(LEN(D334)&gt;2,MID(D334,2,1)=" ",ISNUMBER(VALUE(LEFT(D334,1)))),D334,F333))</f>
        <v>Other Expense</v>
      </c>
      <c r="G334" s="36" t="n">
        <f aca="false">IF(AND(D334&lt;&gt;"",ISNUMBER(B334),LEFT(D334,9)&lt;&gt;"Total for",D334&lt;&gt;"Gross Profit",D334&lt;&gt;"Net Operating Revenue",D334&lt;&gt;"Net Other Revenue",D334&lt;&gt;"Net Revenue"),1,0)</f>
        <v>0</v>
      </c>
      <c r="H334" s="36" t="str">
        <f aca="false">IF(G334=1,IF(AND(LEN(D334)&gt;7,ISNUMBER(VALUE(LEFT(D334,6))),MID(D334,7,1)=" "),LEFT(D334,6),D334),"")</f>
        <v/>
      </c>
      <c r="I334" s="36" t="str">
        <f aca="false">IF(G334=1,IF(COUNTIF('Forecast Detail'!$C$8:$C$400,H334)=0,"UNMAPPED","OK"),"")</f>
        <v/>
      </c>
    </row>
    <row r="335" customFormat="false" ht="15" hidden="false" customHeight="false" outlineLevel="0" collapsed="false">
      <c r="D335" s="36" t="str">
        <f aca="false">TRIM(A335)</f>
        <v/>
      </c>
      <c r="E335" s="36" t="str">
        <f aca="false">IF(D335="Revenue","Revenue",IF(D335="Cost of Goods Sold","COGS",IF(D335="Expenditures","Expense",IF(D335="Other Revenue","Other Revenue",IF(D335="Other Expenditures","Other Expense",E334)))))</f>
        <v>Other Expense</v>
      </c>
      <c r="F335" s="36" t="str">
        <f aca="false">IF(OR(D335="Revenue",D335="Cost of Goods Sold",D335="Expenditures",D335="Other Revenue",D335="Other Expenditures"),E335,IF(AND(LEN(D335)&gt;2,MID(D335,2,1)=" ",ISNUMBER(VALUE(LEFT(D335,1)))),D335,F334))</f>
        <v>Other Expense</v>
      </c>
      <c r="G335" s="36" t="n">
        <f aca="false">IF(AND(D335&lt;&gt;"",ISNUMBER(B335),LEFT(D335,9)&lt;&gt;"Total for",D335&lt;&gt;"Gross Profit",D335&lt;&gt;"Net Operating Revenue",D335&lt;&gt;"Net Other Revenue",D335&lt;&gt;"Net Revenue"),1,0)</f>
        <v>0</v>
      </c>
      <c r="H335" s="36" t="str">
        <f aca="false">IF(G335=1,IF(AND(LEN(D335)&gt;7,ISNUMBER(VALUE(LEFT(D335,6))),MID(D335,7,1)=" "),LEFT(D335,6),D335),"")</f>
        <v/>
      </c>
      <c r="I335" s="36" t="str">
        <f aca="false">IF(G335=1,IF(COUNTIF('Forecast Detail'!$C$8:$C$400,H335)=0,"UNMAPPED","OK"),"")</f>
        <v/>
      </c>
    </row>
    <row r="336" customFormat="false" ht="15" hidden="false" customHeight="false" outlineLevel="0" collapsed="false">
      <c r="D336" s="36" t="str">
        <f aca="false">TRIM(A336)</f>
        <v/>
      </c>
      <c r="E336" s="36" t="str">
        <f aca="false">IF(D336="Revenue","Revenue",IF(D336="Cost of Goods Sold","COGS",IF(D336="Expenditures","Expense",IF(D336="Other Revenue","Other Revenue",IF(D336="Other Expenditures","Other Expense",E335)))))</f>
        <v>Other Expense</v>
      </c>
      <c r="F336" s="36" t="str">
        <f aca="false">IF(OR(D336="Revenue",D336="Cost of Goods Sold",D336="Expenditures",D336="Other Revenue",D336="Other Expenditures"),E336,IF(AND(LEN(D336)&gt;2,MID(D336,2,1)=" ",ISNUMBER(VALUE(LEFT(D336,1)))),D336,F335))</f>
        <v>Other Expense</v>
      </c>
      <c r="G336" s="36" t="n">
        <f aca="false">IF(AND(D336&lt;&gt;"",ISNUMBER(B336),LEFT(D336,9)&lt;&gt;"Total for",D336&lt;&gt;"Gross Profit",D336&lt;&gt;"Net Operating Revenue",D336&lt;&gt;"Net Other Revenue",D336&lt;&gt;"Net Revenue"),1,0)</f>
        <v>0</v>
      </c>
      <c r="H336" s="36" t="str">
        <f aca="false">IF(G336=1,IF(AND(LEN(D336)&gt;7,ISNUMBER(VALUE(LEFT(D336,6))),MID(D336,7,1)=" "),LEFT(D336,6),D336),"")</f>
        <v/>
      </c>
      <c r="I336" s="36" t="str">
        <f aca="false">IF(G336=1,IF(COUNTIF('Forecast Detail'!$C$8:$C$400,H336)=0,"UNMAPPED","OK"),"")</f>
        <v/>
      </c>
    </row>
    <row r="337" customFormat="false" ht="15" hidden="false" customHeight="false" outlineLevel="0" collapsed="false">
      <c r="D337" s="36" t="str">
        <f aca="false">TRIM(A337)</f>
        <v/>
      </c>
      <c r="E337" s="36" t="str">
        <f aca="false">IF(D337="Revenue","Revenue",IF(D337="Cost of Goods Sold","COGS",IF(D337="Expenditures","Expense",IF(D337="Other Revenue","Other Revenue",IF(D337="Other Expenditures","Other Expense",E336)))))</f>
        <v>Other Expense</v>
      </c>
      <c r="F337" s="36" t="str">
        <f aca="false">IF(OR(D337="Revenue",D337="Cost of Goods Sold",D337="Expenditures",D337="Other Revenue",D337="Other Expenditures"),E337,IF(AND(LEN(D337)&gt;2,MID(D337,2,1)=" ",ISNUMBER(VALUE(LEFT(D337,1)))),D337,F336))</f>
        <v>Other Expense</v>
      </c>
      <c r="G337" s="36" t="n">
        <f aca="false">IF(AND(D337&lt;&gt;"",ISNUMBER(B337),LEFT(D337,9)&lt;&gt;"Total for",D337&lt;&gt;"Gross Profit",D337&lt;&gt;"Net Operating Revenue",D337&lt;&gt;"Net Other Revenue",D337&lt;&gt;"Net Revenue"),1,0)</f>
        <v>0</v>
      </c>
      <c r="H337" s="36" t="str">
        <f aca="false">IF(G337=1,IF(AND(LEN(D337)&gt;7,ISNUMBER(VALUE(LEFT(D337,6))),MID(D337,7,1)=" "),LEFT(D337,6),D337),"")</f>
        <v/>
      </c>
      <c r="I337" s="36" t="str">
        <f aca="false">IF(G337=1,IF(COUNTIF('Forecast Detail'!$C$8:$C$400,H337)=0,"UNMAPPED","OK"),"")</f>
        <v/>
      </c>
    </row>
    <row r="338" customFormat="false" ht="15" hidden="false" customHeight="false" outlineLevel="0" collapsed="false">
      <c r="D338" s="36" t="str">
        <f aca="false">TRIM(A338)</f>
        <v/>
      </c>
      <c r="E338" s="36" t="str">
        <f aca="false">IF(D338="Revenue","Revenue",IF(D338="Cost of Goods Sold","COGS",IF(D338="Expenditures","Expense",IF(D338="Other Revenue","Other Revenue",IF(D338="Other Expenditures","Other Expense",E337)))))</f>
        <v>Other Expense</v>
      </c>
      <c r="F338" s="36" t="str">
        <f aca="false">IF(OR(D338="Revenue",D338="Cost of Goods Sold",D338="Expenditures",D338="Other Revenue",D338="Other Expenditures"),E338,IF(AND(LEN(D338)&gt;2,MID(D338,2,1)=" ",ISNUMBER(VALUE(LEFT(D338,1)))),D338,F337))</f>
        <v>Other Expense</v>
      </c>
      <c r="G338" s="36" t="n">
        <f aca="false">IF(AND(D338&lt;&gt;"",ISNUMBER(B338),LEFT(D338,9)&lt;&gt;"Total for",D338&lt;&gt;"Gross Profit",D338&lt;&gt;"Net Operating Revenue",D338&lt;&gt;"Net Other Revenue",D338&lt;&gt;"Net Revenue"),1,0)</f>
        <v>0</v>
      </c>
      <c r="H338" s="36" t="str">
        <f aca="false">IF(G338=1,IF(AND(LEN(D338)&gt;7,ISNUMBER(VALUE(LEFT(D338,6))),MID(D338,7,1)=" "),LEFT(D338,6),D338),"")</f>
        <v/>
      </c>
      <c r="I338" s="36" t="str">
        <f aca="false">IF(G338=1,IF(COUNTIF('Forecast Detail'!$C$8:$C$400,H338)=0,"UNMAPPED","OK"),"")</f>
        <v/>
      </c>
    </row>
    <row r="339" customFormat="false" ht="15" hidden="false" customHeight="false" outlineLevel="0" collapsed="false">
      <c r="D339" s="36" t="str">
        <f aca="false">TRIM(A339)</f>
        <v/>
      </c>
      <c r="E339" s="36" t="str">
        <f aca="false">IF(D339="Revenue","Revenue",IF(D339="Cost of Goods Sold","COGS",IF(D339="Expenditures","Expense",IF(D339="Other Revenue","Other Revenue",IF(D339="Other Expenditures","Other Expense",E338)))))</f>
        <v>Other Expense</v>
      </c>
      <c r="F339" s="36" t="str">
        <f aca="false">IF(OR(D339="Revenue",D339="Cost of Goods Sold",D339="Expenditures",D339="Other Revenue",D339="Other Expenditures"),E339,IF(AND(LEN(D339)&gt;2,MID(D339,2,1)=" ",ISNUMBER(VALUE(LEFT(D339,1)))),D339,F338))</f>
        <v>Other Expense</v>
      </c>
      <c r="G339" s="36" t="n">
        <f aca="false">IF(AND(D339&lt;&gt;"",ISNUMBER(B339),LEFT(D339,9)&lt;&gt;"Total for",D339&lt;&gt;"Gross Profit",D339&lt;&gt;"Net Operating Revenue",D339&lt;&gt;"Net Other Revenue",D339&lt;&gt;"Net Revenue"),1,0)</f>
        <v>0</v>
      </c>
      <c r="H339" s="36" t="str">
        <f aca="false">IF(G339=1,IF(AND(LEN(D339)&gt;7,ISNUMBER(VALUE(LEFT(D339,6))),MID(D339,7,1)=" "),LEFT(D339,6),D339),"")</f>
        <v/>
      </c>
      <c r="I339" s="36" t="str">
        <f aca="false">IF(G339=1,IF(COUNTIF('Forecast Detail'!$C$8:$C$400,H339)=0,"UNMAPPED","OK"),"")</f>
        <v/>
      </c>
    </row>
    <row r="340" customFormat="false" ht="15" hidden="false" customHeight="false" outlineLevel="0" collapsed="false">
      <c r="D340" s="36" t="str">
        <f aca="false">TRIM(A340)</f>
        <v/>
      </c>
      <c r="E340" s="36" t="str">
        <f aca="false">IF(D340="Revenue","Revenue",IF(D340="Cost of Goods Sold","COGS",IF(D340="Expenditures","Expense",IF(D340="Other Revenue","Other Revenue",IF(D340="Other Expenditures","Other Expense",E339)))))</f>
        <v>Other Expense</v>
      </c>
      <c r="F340" s="36" t="str">
        <f aca="false">IF(OR(D340="Revenue",D340="Cost of Goods Sold",D340="Expenditures",D340="Other Revenue",D340="Other Expenditures"),E340,IF(AND(LEN(D340)&gt;2,MID(D340,2,1)=" ",ISNUMBER(VALUE(LEFT(D340,1)))),D340,F339))</f>
        <v>Other Expense</v>
      </c>
      <c r="G340" s="36" t="n">
        <f aca="false">IF(AND(D340&lt;&gt;"",ISNUMBER(B340),LEFT(D340,9)&lt;&gt;"Total for",D340&lt;&gt;"Gross Profit",D340&lt;&gt;"Net Operating Revenue",D340&lt;&gt;"Net Other Revenue",D340&lt;&gt;"Net Revenue"),1,0)</f>
        <v>0</v>
      </c>
      <c r="H340" s="36" t="str">
        <f aca="false">IF(G340=1,IF(AND(LEN(D340)&gt;7,ISNUMBER(VALUE(LEFT(D340,6))),MID(D340,7,1)=" "),LEFT(D340,6),D340),"")</f>
        <v/>
      </c>
      <c r="I340" s="36" t="str">
        <f aca="false">IF(G340=1,IF(COUNTIF('Forecast Detail'!$C$8:$C$400,H340)=0,"UNMAPPED","OK"),"")</f>
        <v/>
      </c>
    </row>
    <row r="341" customFormat="false" ht="15" hidden="false" customHeight="false" outlineLevel="0" collapsed="false">
      <c r="D341" s="36" t="str">
        <f aca="false">TRIM(A341)</f>
        <v/>
      </c>
      <c r="E341" s="36" t="str">
        <f aca="false">IF(D341="Revenue","Revenue",IF(D341="Cost of Goods Sold","COGS",IF(D341="Expenditures","Expense",IF(D341="Other Revenue","Other Revenue",IF(D341="Other Expenditures","Other Expense",E340)))))</f>
        <v>Other Expense</v>
      </c>
      <c r="F341" s="36" t="str">
        <f aca="false">IF(OR(D341="Revenue",D341="Cost of Goods Sold",D341="Expenditures",D341="Other Revenue",D341="Other Expenditures"),E341,IF(AND(LEN(D341)&gt;2,MID(D341,2,1)=" ",ISNUMBER(VALUE(LEFT(D341,1)))),D341,F340))</f>
        <v>Other Expense</v>
      </c>
      <c r="G341" s="36" t="n">
        <f aca="false">IF(AND(D341&lt;&gt;"",ISNUMBER(B341),LEFT(D341,9)&lt;&gt;"Total for",D341&lt;&gt;"Gross Profit",D341&lt;&gt;"Net Operating Revenue",D341&lt;&gt;"Net Other Revenue",D341&lt;&gt;"Net Revenue"),1,0)</f>
        <v>0</v>
      </c>
      <c r="H341" s="36" t="str">
        <f aca="false">IF(G341=1,IF(AND(LEN(D341)&gt;7,ISNUMBER(VALUE(LEFT(D341,6))),MID(D341,7,1)=" "),LEFT(D341,6),D341),"")</f>
        <v/>
      </c>
      <c r="I341" s="36" t="str">
        <f aca="false">IF(G341=1,IF(COUNTIF('Forecast Detail'!$C$8:$C$400,H341)=0,"UNMAPPED","OK"),"")</f>
        <v/>
      </c>
    </row>
    <row r="342" customFormat="false" ht="15" hidden="false" customHeight="false" outlineLevel="0" collapsed="false">
      <c r="D342" s="36" t="str">
        <f aca="false">TRIM(A342)</f>
        <v/>
      </c>
      <c r="E342" s="36" t="str">
        <f aca="false">IF(D342="Revenue","Revenue",IF(D342="Cost of Goods Sold","COGS",IF(D342="Expenditures","Expense",IF(D342="Other Revenue","Other Revenue",IF(D342="Other Expenditures","Other Expense",E341)))))</f>
        <v>Other Expense</v>
      </c>
      <c r="F342" s="36" t="str">
        <f aca="false">IF(OR(D342="Revenue",D342="Cost of Goods Sold",D342="Expenditures",D342="Other Revenue",D342="Other Expenditures"),E342,IF(AND(LEN(D342)&gt;2,MID(D342,2,1)=" ",ISNUMBER(VALUE(LEFT(D342,1)))),D342,F341))</f>
        <v>Other Expense</v>
      </c>
      <c r="G342" s="36" t="n">
        <f aca="false">IF(AND(D342&lt;&gt;"",ISNUMBER(B342),LEFT(D342,9)&lt;&gt;"Total for",D342&lt;&gt;"Gross Profit",D342&lt;&gt;"Net Operating Revenue",D342&lt;&gt;"Net Other Revenue",D342&lt;&gt;"Net Revenue"),1,0)</f>
        <v>0</v>
      </c>
      <c r="H342" s="36" t="str">
        <f aca="false">IF(G342=1,IF(AND(LEN(D342)&gt;7,ISNUMBER(VALUE(LEFT(D342,6))),MID(D342,7,1)=" "),LEFT(D342,6),D342),"")</f>
        <v/>
      </c>
      <c r="I342" s="36" t="str">
        <f aca="false">IF(G342=1,IF(COUNTIF('Forecast Detail'!$C$8:$C$400,H342)=0,"UNMAPPED","OK"),"")</f>
        <v/>
      </c>
    </row>
    <row r="343" customFormat="false" ht="15" hidden="false" customHeight="false" outlineLevel="0" collapsed="false">
      <c r="D343" s="36" t="str">
        <f aca="false">TRIM(A343)</f>
        <v/>
      </c>
      <c r="E343" s="36" t="str">
        <f aca="false">IF(D343="Revenue","Revenue",IF(D343="Cost of Goods Sold","COGS",IF(D343="Expenditures","Expense",IF(D343="Other Revenue","Other Revenue",IF(D343="Other Expenditures","Other Expense",E342)))))</f>
        <v>Other Expense</v>
      </c>
      <c r="F343" s="36" t="str">
        <f aca="false">IF(OR(D343="Revenue",D343="Cost of Goods Sold",D343="Expenditures",D343="Other Revenue",D343="Other Expenditures"),E343,IF(AND(LEN(D343)&gt;2,MID(D343,2,1)=" ",ISNUMBER(VALUE(LEFT(D343,1)))),D343,F342))</f>
        <v>Other Expense</v>
      </c>
      <c r="G343" s="36" t="n">
        <f aca="false">IF(AND(D343&lt;&gt;"",ISNUMBER(B343),LEFT(D343,9)&lt;&gt;"Total for",D343&lt;&gt;"Gross Profit",D343&lt;&gt;"Net Operating Revenue",D343&lt;&gt;"Net Other Revenue",D343&lt;&gt;"Net Revenue"),1,0)</f>
        <v>0</v>
      </c>
      <c r="H343" s="36" t="str">
        <f aca="false">IF(G343=1,IF(AND(LEN(D343)&gt;7,ISNUMBER(VALUE(LEFT(D343,6))),MID(D343,7,1)=" "),LEFT(D343,6),D343),"")</f>
        <v/>
      </c>
      <c r="I343" s="36" t="str">
        <f aca="false">IF(G343=1,IF(COUNTIF('Forecast Detail'!$C$8:$C$400,H343)=0,"UNMAPPED","OK"),"")</f>
        <v/>
      </c>
    </row>
    <row r="344" customFormat="false" ht="15" hidden="false" customHeight="false" outlineLevel="0" collapsed="false">
      <c r="D344" s="36" t="str">
        <f aca="false">TRIM(A344)</f>
        <v/>
      </c>
      <c r="E344" s="36" t="str">
        <f aca="false">IF(D344="Revenue","Revenue",IF(D344="Cost of Goods Sold","COGS",IF(D344="Expenditures","Expense",IF(D344="Other Revenue","Other Revenue",IF(D344="Other Expenditures","Other Expense",E343)))))</f>
        <v>Other Expense</v>
      </c>
      <c r="F344" s="36" t="str">
        <f aca="false">IF(OR(D344="Revenue",D344="Cost of Goods Sold",D344="Expenditures",D344="Other Revenue",D344="Other Expenditures"),E344,IF(AND(LEN(D344)&gt;2,MID(D344,2,1)=" ",ISNUMBER(VALUE(LEFT(D344,1)))),D344,F343))</f>
        <v>Other Expense</v>
      </c>
      <c r="G344" s="36" t="n">
        <f aca="false">IF(AND(D344&lt;&gt;"",ISNUMBER(B344),LEFT(D344,9)&lt;&gt;"Total for",D344&lt;&gt;"Gross Profit",D344&lt;&gt;"Net Operating Revenue",D344&lt;&gt;"Net Other Revenue",D344&lt;&gt;"Net Revenue"),1,0)</f>
        <v>0</v>
      </c>
      <c r="H344" s="36" t="str">
        <f aca="false">IF(G344=1,IF(AND(LEN(D344)&gt;7,ISNUMBER(VALUE(LEFT(D344,6))),MID(D344,7,1)=" "),LEFT(D344,6),D344),"")</f>
        <v/>
      </c>
      <c r="I344" s="36" t="str">
        <f aca="false">IF(G344=1,IF(COUNTIF('Forecast Detail'!$C$8:$C$400,H344)=0,"UNMAPPED","OK"),"")</f>
        <v/>
      </c>
    </row>
    <row r="345" customFormat="false" ht="15" hidden="false" customHeight="false" outlineLevel="0" collapsed="false">
      <c r="D345" s="36" t="str">
        <f aca="false">TRIM(A345)</f>
        <v/>
      </c>
      <c r="E345" s="36" t="str">
        <f aca="false">IF(D345="Revenue","Revenue",IF(D345="Cost of Goods Sold","COGS",IF(D345="Expenditures","Expense",IF(D345="Other Revenue","Other Revenue",IF(D345="Other Expenditures","Other Expense",E344)))))</f>
        <v>Other Expense</v>
      </c>
      <c r="F345" s="36" t="str">
        <f aca="false">IF(OR(D345="Revenue",D345="Cost of Goods Sold",D345="Expenditures",D345="Other Revenue",D345="Other Expenditures"),E345,IF(AND(LEN(D345)&gt;2,MID(D345,2,1)=" ",ISNUMBER(VALUE(LEFT(D345,1)))),D345,F344))</f>
        <v>Other Expense</v>
      </c>
      <c r="G345" s="36" t="n">
        <f aca="false">IF(AND(D345&lt;&gt;"",ISNUMBER(B345),LEFT(D345,9)&lt;&gt;"Total for",D345&lt;&gt;"Gross Profit",D345&lt;&gt;"Net Operating Revenue",D345&lt;&gt;"Net Other Revenue",D345&lt;&gt;"Net Revenue"),1,0)</f>
        <v>0</v>
      </c>
      <c r="H345" s="36" t="str">
        <f aca="false">IF(G345=1,IF(AND(LEN(D345)&gt;7,ISNUMBER(VALUE(LEFT(D345,6))),MID(D345,7,1)=" "),LEFT(D345,6),D345),"")</f>
        <v/>
      </c>
      <c r="I345" s="36" t="str">
        <f aca="false">IF(G345=1,IF(COUNTIF('Forecast Detail'!$C$8:$C$400,H345)=0,"UNMAPPED","OK"),"")</f>
        <v/>
      </c>
    </row>
    <row r="346" customFormat="false" ht="15" hidden="false" customHeight="false" outlineLevel="0" collapsed="false">
      <c r="D346" s="36" t="str">
        <f aca="false">TRIM(A346)</f>
        <v/>
      </c>
      <c r="E346" s="36" t="str">
        <f aca="false">IF(D346="Revenue","Revenue",IF(D346="Cost of Goods Sold","COGS",IF(D346="Expenditures","Expense",IF(D346="Other Revenue","Other Revenue",IF(D346="Other Expenditures","Other Expense",E345)))))</f>
        <v>Other Expense</v>
      </c>
      <c r="F346" s="36" t="str">
        <f aca="false">IF(OR(D346="Revenue",D346="Cost of Goods Sold",D346="Expenditures",D346="Other Revenue",D346="Other Expenditures"),E346,IF(AND(LEN(D346)&gt;2,MID(D346,2,1)=" ",ISNUMBER(VALUE(LEFT(D346,1)))),D346,F345))</f>
        <v>Other Expense</v>
      </c>
      <c r="G346" s="36" t="n">
        <f aca="false">IF(AND(D346&lt;&gt;"",ISNUMBER(B346),LEFT(D346,9)&lt;&gt;"Total for",D346&lt;&gt;"Gross Profit",D346&lt;&gt;"Net Operating Revenue",D346&lt;&gt;"Net Other Revenue",D346&lt;&gt;"Net Revenue"),1,0)</f>
        <v>0</v>
      </c>
      <c r="H346" s="36" t="str">
        <f aca="false">IF(G346=1,IF(AND(LEN(D346)&gt;7,ISNUMBER(VALUE(LEFT(D346,6))),MID(D346,7,1)=" "),LEFT(D346,6),D346),"")</f>
        <v/>
      </c>
      <c r="I346" s="36" t="str">
        <f aca="false">IF(G346=1,IF(COUNTIF('Forecast Detail'!$C$8:$C$400,H346)=0,"UNMAPPED","OK"),"")</f>
        <v/>
      </c>
    </row>
    <row r="347" customFormat="false" ht="15" hidden="false" customHeight="false" outlineLevel="0" collapsed="false">
      <c r="D347" s="36" t="str">
        <f aca="false">TRIM(A347)</f>
        <v/>
      </c>
      <c r="E347" s="36" t="str">
        <f aca="false">IF(D347="Revenue","Revenue",IF(D347="Cost of Goods Sold","COGS",IF(D347="Expenditures","Expense",IF(D347="Other Revenue","Other Revenue",IF(D347="Other Expenditures","Other Expense",E346)))))</f>
        <v>Other Expense</v>
      </c>
      <c r="F347" s="36" t="str">
        <f aca="false">IF(OR(D347="Revenue",D347="Cost of Goods Sold",D347="Expenditures",D347="Other Revenue",D347="Other Expenditures"),E347,IF(AND(LEN(D347)&gt;2,MID(D347,2,1)=" ",ISNUMBER(VALUE(LEFT(D347,1)))),D347,F346))</f>
        <v>Other Expense</v>
      </c>
      <c r="G347" s="36" t="n">
        <f aca="false">IF(AND(D347&lt;&gt;"",ISNUMBER(B347),LEFT(D347,9)&lt;&gt;"Total for",D347&lt;&gt;"Gross Profit",D347&lt;&gt;"Net Operating Revenue",D347&lt;&gt;"Net Other Revenue",D347&lt;&gt;"Net Revenue"),1,0)</f>
        <v>0</v>
      </c>
      <c r="H347" s="36" t="str">
        <f aca="false">IF(G347=1,IF(AND(LEN(D347)&gt;7,ISNUMBER(VALUE(LEFT(D347,6))),MID(D347,7,1)=" "),LEFT(D347,6),D347),"")</f>
        <v/>
      </c>
      <c r="I347" s="36" t="str">
        <f aca="false">IF(G347=1,IF(COUNTIF('Forecast Detail'!$C$8:$C$400,H347)=0,"UNMAPPED","OK"),"")</f>
        <v/>
      </c>
    </row>
    <row r="348" customFormat="false" ht="15" hidden="false" customHeight="false" outlineLevel="0" collapsed="false">
      <c r="D348" s="36" t="str">
        <f aca="false">TRIM(A348)</f>
        <v/>
      </c>
      <c r="E348" s="36" t="str">
        <f aca="false">IF(D348="Revenue","Revenue",IF(D348="Cost of Goods Sold","COGS",IF(D348="Expenditures","Expense",IF(D348="Other Revenue","Other Revenue",IF(D348="Other Expenditures","Other Expense",E347)))))</f>
        <v>Other Expense</v>
      </c>
      <c r="F348" s="36" t="str">
        <f aca="false">IF(OR(D348="Revenue",D348="Cost of Goods Sold",D348="Expenditures",D348="Other Revenue",D348="Other Expenditures"),E348,IF(AND(LEN(D348)&gt;2,MID(D348,2,1)=" ",ISNUMBER(VALUE(LEFT(D348,1)))),D348,F347))</f>
        <v>Other Expense</v>
      </c>
      <c r="G348" s="36" t="n">
        <f aca="false">IF(AND(D348&lt;&gt;"",ISNUMBER(B348),LEFT(D348,9)&lt;&gt;"Total for",D348&lt;&gt;"Gross Profit",D348&lt;&gt;"Net Operating Revenue",D348&lt;&gt;"Net Other Revenue",D348&lt;&gt;"Net Revenue"),1,0)</f>
        <v>0</v>
      </c>
      <c r="H348" s="36" t="str">
        <f aca="false">IF(G348=1,IF(AND(LEN(D348)&gt;7,ISNUMBER(VALUE(LEFT(D348,6))),MID(D348,7,1)=" "),LEFT(D348,6),D348),"")</f>
        <v/>
      </c>
      <c r="I348" s="36" t="str">
        <f aca="false">IF(G348=1,IF(COUNTIF('Forecast Detail'!$C$8:$C$400,H348)=0,"UNMAPPED","OK"),"")</f>
        <v/>
      </c>
    </row>
    <row r="349" customFormat="false" ht="15" hidden="false" customHeight="false" outlineLevel="0" collapsed="false">
      <c r="D349" s="36" t="str">
        <f aca="false">TRIM(A349)</f>
        <v/>
      </c>
      <c r="E349" s="36" t="str">
        <f aca="false">IF(D349="Revenue","Revenue",IF(D349="Cost of Goods Sold","COGS",IF(D349="Expenditures","Expense",IF(D349="Other Revenue","Other Revenue",IF(D349="Other Expenditures","Other Expense",E348)))))</f>
        <v>Other Expense</v>
      </c>
      <c r="F349" s="36" t="str">
        <f aca="false">IF(OR(D349="Revenue",D349="Cost of Goods Sold",D349="Expenditures",D349="Other Revenue",D349="Other Expenditures"),E349,IF(AND(LEN(D349)&gt;2,MID(D349,2,1)=" ",ISNUMBER(VALUE(LEFT(D349,1)))),D349,F348))</f>
        <v>Other Expense</v>
      </c>
      <c r="G349" s="36" t="n">
        <f aca="false">IF(AND(D349&lt;&gt;"",ISNUMBER(B349),LEFT(D349,9)&lt;&gt;"Total for",D349&lt;&gt;"Gross Profit",D349&lt;&gt;"Net Operating Revenue",D349&lt;&gt;"Net Other Revenue",D349&lt;&gt;"Net Revenue"),1,0)</f>
        <v>0</v>
      </c>
      <c r="H349" s="36" t="str">
        <f aca="false">IF(G349=1,IF(AND(LEN(D349)&gt;7,ISNUMBER(VALUE(LEFT(D349,6))),MID(D349,7,1)=" "),LEFT(D349,6),D349),"")</f>
        <v/>
      </c>
      <c r="I349" s="36" t="str">
        <f aca="false">IF(G349=1,IF(COUNTIF('Forecast Detail'!$C$8:$C$400,H349)=0,"UNMAPPED","OK"),"")</f>
        <v/>
      </c>
    </row>
    <row r="350" customFormat="false" ht="15" hidden="false" customHeight="false" outlineLevel="0" collapsed="false">
      <c r="D350" s="36" t="str">
        <f aca="false">TRIM(A350)</f>
        <v/>
      </c>
      <c r="E350" s="36" t="str">
        <f aca="false">IF(D350="Revenue","Revenue",IF(D350="Cost of Goods Sold","COGS",IF(D350="Expenditures","Expense",IF(D350="Other Revenue","Other Revenue",IF(D350="Other Expenditures","Other Expense",E349)))))</f>
        <v>Other Expense</v>
      </c>
      <c r="F350" s="36" t="str">
        <f aca="false">IF(OR(D350="Revenue",D350="Cost of Goods Sold",D350="Expenditures",D350="Other Revenue",D350="Other Expenditures"),E350,IF(AND(LEN(D350)&gt;2,MID(D350,2,1)=" ",ISNUMBER(VALUE(LEFT(D350,1)))),D350,F349))</f>
        <v>Other Expense</v>
      </c>
      <c r="G350" s="36" t="n">
        <f aca="false">IF(AND(D350&lt;&gt;"",ISNUMBER(B350),LEFT(D350,9)&lt;&gt;"Total for",D350&lt;&gt;"Gross Profit",D350&lt;&gt;"Net Operating Revenue",D350&lt;&gt;"Net Other Revenue",D350&lt;&gt;"Net Revenue"),1,0)</f>
        <v>0</v>
      </c>
      <c r="H350" s="36" t="str">
        <f aca="false">IF(G350=1,IF(AND(LEN(D350)&gt;7,ISNUMBER(VALUE(LEFT(D350,6))),MID(D350,7,1)=" "),LEFT(D350,6),D350),"")</f>
        <v/>
      </c>
      <c r="I350" s="36" t="str">
        <f aca="false">IF(G350=1,IF(COUNTIF('Forecast Detail'!$C$8:$C$400,H350)=0,"UNMAPPED","OK"),"")</f>
        <v/>
      </c>
    </row>
    <row r="351" customFormat="false" ht="15" hidden="false" customHeight="false" outlineLevel="0" collapsed="false">
      <c r="D351" s="36" t="str">
        <f aca="false">TRIM(A351)</f>
        <v/>
      </c>
      <c r="E351" s="36" t="str">
        <f aca="false">IF(D351="Revenue","Revenue",IF(D351="Cost of Goods Sold","COGS",IF(D351="Expenditures","Expense",IF(D351="Other Revenue","Other Revenue",IF(D351="Other Expenditures","Other Expense",E350)))))</f>
        <v>Other Expense</v>
      </c>
      <c r="F351" s="36" t="str">
        <f aca="false">IF(OR(D351="Revenue",D351="Cost of Goods Sold",D351="Expenditures",D351="Other Revenue",D351="Other Expenditures"),E351,IF(AND(LEN(D351)&gt;2,MID(D351,2,1)=" ",ISNUMBER(VALUE(LEFT(D351,1)))),D351,F350))</f>
        <v>Other Expense</v>
      </c>
      <c r="G351" s="36" t="n">
        <f aca="false">IF(AND(D351&lt;&gt;"",ISNUMBER(B351),LEFT(D351,9)&lt;&gt;"Total for",D351&lt;&gt;"Gross Profit",D351&lt;&gt;"Net Operating Revenue",D351&lt;&gt;"Net Other Revenue",D351&lt;&gt;"Net Revenue"),1,0)</f>
        <v>0</v>
      </c>
      <c r="H351" s="36" t="str">
        <f aca="false">IF(G351=1,IF(AND(LEN(D351)&gt;7,ISNUMBER(VALUE(LEFT(D351,6))),MID(D351,7,1)=" "),LEFT(D351,6),D351),"")</f>
        <v/>
      </c>
      <c r="I351" s="36" t="str">
        <f aca="false">IF(G351=1,IF(COUNTIF('Forecast Detail'!$C$8:$C$400,H351)=0,"UNMAPPED","OK"),"")</f>
        <v/>
      </c>
    </row>
    <row r="352" customFormat="false" ht="15" hidden="false" customHeight="false" outlineLevel="0" collapsed="false">
      <c r="D352" s="36" t="str">
        <f aca="false">TRIM(A352)</f>
        <v/>
      </c>
      <c r="E352" s="36" t="str">
        <f aca="false">IF(D352="Revenue","Revenue",IF(D352="Cost of Goods Sold","COGS",IF(D352="Expenditures","Expense",IF(D352="Other Revenue","Other Revenue",IF(D352="Other Expenditures","Other Expense",E351)))))</f>
        <v>Other Expense</v>
      </c>
      <c r="F352" s="36" t="str">
        <f aca="false">IF(OR(D352="Revenue",D352="Cost of Goods Sold",D352="Expenditures",D352="Other Revenue",D352="Other Expenditures"),E352,IF(AND(LEN(D352)&gt;2,MID(D352,2,1)=" ",ISNUMBER(VALUE(LEFT(D352,1)))),D352,F351))</f>
        <v>Other Expense</v>
      </c>
      <c r="G352" s="36" t="n">
        <f aca="false">IF(AND(D352&lt;&gt;"",ISNUMBER(B352),LEFT(D352,9)&lt;&gt;"Total for",D352&lt;&gt;"Gross Profit",D352&lt;&gt;"Net Operating Revenue",D352&lt;&gt;"Net Other Revenue",D352&lt;&gt;"Net Revenue"),1,0)</f>
        <v>0</v>
      </c>
      <c r="H352" s="36" t="str">
        <f aca="false">IF(G352=1,IF(AND(LEN(D352)&gt;7,ISNUMBER(VALUE(LEFT(D352,6))),MID(D352,7,1)=" "),LEFT(D352,6),D352),"")</f>
        <v/>
      </c>
      <c r="I352" s="36" t="str">
        <f aca="false">IF(G352=1,IF(COUNTIF('Forecast Detail'!$C$8:$C$400,H352)=0,"UNMAPPED","OK"),"")</f>
        <v/>
      </c>
    </row>
    <row r="353" customFormat="false" ht="15" hidden="false" customHeight="false" outlineLevel="0" collapsed="false">
      <c r="D353" s="36" t="str">
        <f aca="false">TRIM(A353)</f>
        <v/>
      </c>
      <c r="E353" s="36" t="str">
        <f aca="false">IF(D353="Revenue","Revenue",IF(D353="Cost of Goods Sold","COGS",IF(D353="Expenditures","Expense",IF(D353="Other Revenue","Other Revenue",IF(D353="Other Expenditures","Other Expense",E352)))))</f>
        <v>Other Expense</v>
      </c>
      <c r="F353" s="36" t="str">
        <f aca="false">IF(OR(D353="Revenue",D353="Cost of Goods Sold",D353="Expenditures",D353="Other Revenue",D353="Other Expenditures"),E353,IF(AND(LEN(D353)&gt;2,MID(D353,2,1)=" ",ISNUMBER(VALUE(LEFT(D353,1)))),D353,F352))</f>
        <v>Other Expense</v>
      </c>
      <c r="G353" s="36" t="n">
        <f aca="false">IF(AND(D353&lt;&gt;"",ISNUMBER(B353),LEFT(D353,9)&lt;&gt;"Total for",D353&lt;&gt;"Gross Profit",D353&lt;&gt;"Net Operating Revenue",D353&lt;&gt;"Net Other Revenue",D353&lt;&gt;"Net Revenue"),1,0)</f>
        <v>0</v>
      </c>
      <c r="H353" s="36" t="str">
        <f aca="false">IF(G353=1,IF(AND(LEN(D353)&gt;7,ISNUMBER(VALUE(LEFT(D353,6))),MID(D353,7,1)=" "),LEFT(D353,6),D353),"")</f>
        <v/>
      </c>
      <c r="I353" s="36" t="str">
        <f aca="false">IF(G353=1,IF(COUNTIF('Forecast Detail'!$C$8:$C$400,H353)=0,"UNMAPPED","OK"),"")</f>
        <v/>
      </c>
    </row>
    <row r="354" customFormat="false" ht="15" hidden="false" customHeight="false" outlineLevel="0" collapsed="false">
      <c r="D354" s="36" t="str">
        <f aca="false">TRIM(A354)</f>
        <v/>
      </c>
      <c r="E354" s="36" t="str">
        <f aca="false">IF(D354="Revenue","Revenue",IF(D354="Cost of Goods Sold","COGS",IF(D354="Expenditures","Expense",IF(D354="Other Revenue","Other Revenue",IF(D354="Other Expenditures","Other Expense",E353)))))</f>
        <v>Other Expense</v>
      </c>
      <c r="F354" s="36" t="str">
        <f aca="false">IF(OR(D354="Revenue",D354="Cost of Goods Sold",D354="Expenditures",D354="Other Revenue",D354="Other Expenditures"),E354,IF(AND(LEN(D354)&gt;2,MID(D354,2,1)=" ",ISNUMBER(VALUE(LEFT(D354,1)))),D354,F353))</f>
        <v>Other Expense</v>
      </c>
      <c r="G354" s="36" t="n">
        <f aca="false">IF(AND(D354&lt;&gt;"",ISNUMBER(B354),LEFT(D354,9)&lt;&gt;"Total for",D354&lt;&gt;"Gross Profit",D354&lt;&gt;"Net Operating Revenue",D354&lt;&gt;"Net Other Revenue",D354&lt;&gt;"Net Revenue"),1,0)</f>
        <v>0</v>
      </c>
      <c r="H354" s="36" t="str">
        <f aca="false">IF(G354=1,IF(AND(LEN(D354)&gt;7,ISNUMBER(VALUE(LEFT(D354,6))),MID(D354,7,1)=" "),LEFT(D354,6),D354),"")</f>
        <v/>
      </c>
      <c r="I354" s="36" t="str">
        <f aca="false">IF(G354=1,IF(COUNTIF('Forecast Detail'!$C$8:$C$400,H354)=0,"UNMAPPED","OK"),"")</f>
        <v/>
      </c>
    </row>
    <row r="355" customFormat="false" ht="15" hidden="false" customHeight="false" outlineLevel="0" collapsed="false">
      <c r="D355" s="36" t="str">
        <f aca="false">TRIM(A355)</f>
        <v/>
      </c>
      <c r="E355" s="36" t="str">
        <f aca="false">IF(D355="Revenue","Revenue",IF(D355="Cost of Goods Sold","COGS",IF(D355="Expenditures","Expense",IF(D355="Other Revenue","Other Revenue",IF(D355="Other Expenditures","Other Expense",E354)))))</f>
        <v>Other Expense</v>
      </c>
      <c r="F355" s="36" t="str">
        <f aca="false">IF(OR(D355="Revenue",D355="Cost of Goods Sold",D355="Expenditures",D355="Other Revenue",D355="Other Expenditures"),E355,IF(AND(LEN(D355)&gt;2,MID(D355,2,1)=" ",ISNUMBER(VALUE(LEFT(D355,1)))),D355,F354))</f>
        <v>Other Expense</v>
      </c>
      <c r="G355" s="36" t="n">
        <f aca="false">IF(AND(D355&lt;&gt;"",ISNUMBER(B355),LEFT(D355,9)&lt;&gt;"Total for",D355&lt;&gt;"Gross Profit",D355&lt;&gt;"Net Operating Revenue",D355&lt;&gt;"Net Other Revenue",D355&lt;&gt;"Net Revenue"),1,0)</f>
        <v>0</v>
      </c>
      <c r="H355" s="36" t="str">
        <f aca="false">IF(G355=1,IF(AND(LEN(D355)&gt;7,ISNUMBER(VALUE(LEFT(D355,6))),MID(D355,7,1)=" "),LEFT(D355,6),D355),"")</f>
        <v/>
      </c>
      <c r="I355" s="36" t="str">
        <f aca="false">IF(G355=1,IF(COUNTIF('Forecast Detail'!$C$8:$C$400,H355)=0,"UNMAPPED","OK"),"")</f>
        <v/>
      </c>
    </row>
    <row r="356" customFormat="false" ht="15" hidden="false" customHeight="false" outlineLevel="0" collapsed="false">
      <c r="D356" s="36" t="str">
        <f aca="false">TRIM(A356)</f>
        <v/>
      </c>
      <c r="E356" s="36" t="str">
        <f aca="false">IF(D356="Revenue","Revenue",IF(D356="Cost of Goods Sold","COGS",IF(D356="Expenditures","Expense",IF(D356="Other Revenue","Other Revenue",IF(D356="Other Expenditures","Other Expense",E355)))))</f>
        <v>Other Expense</v>
      </c>
      <c r="F356" s="36" t="str">
        <f aca="false">IF(OR(D356="Revenue",D356="Cost of Goods Sold",D356="Expenditures",D356="Other Revenue",D356="Other Expenditures"),E356,IF(AND(LEN(D356)&gt;2,MID(D356,2,1)=" ",ISNUMBER(VALUE(LEFT(D356,1)))),D356,F355))</f>
        <v>Other Expense</v>
      </c>
      <c r="G356" s="36" t="n">
        <f aca="false">IF(AND(D356&lt;&gt;"",ISNUMBER(B356),LEFT(D356,9)&lt;&gt;"Total for",D356&lt;&gt;"Gross Profit",D356&lt;&gt;"Net Operating Revenue",D356&lt;&gt;"Net Other Revenue",D356&lt;&gt;"Net Revenue"),1,0)</f>
        <v>0</v>
      </c>
      <c r="H356" s="36" t="str">
        <f aca="false">IF(G356=1,IF(AND(LEN(D356)&gt;7,ISNUMBER(VALUE(LEFT(D356,6))),MID(D356,7,1)=" "),LEFT(D356,6),D356),"")</f>
        <v/>
      </c>
      <c r="I356" s="36" t="str">
        <f aca="false">IF(G356=1,IF(COUNTIF('Forecast Detail'!$C$8:$C$400,H356)=0,"UNMAPPED","OK"),"")</f>
        <v/>
      </c>
    </row>
    <row r="357" customFormat="false" ht="15" hidden="false" customHeight="false" outlineLevel="0" collapsed="false">
      <c r="D357" s="36" t="str">
        <f aca="false">TRIM(A357)</f>
        <v/>
      </c>
      <c r="E357" s="36" t="str">
        <f aca="false">IF(D357="Revenue","Revenue",IF(D357="Cost of Goods Sold","COGS",IF(D357="Expenditures","Expense",IF(D357="Other Revenue","Other Revenue",IF(D357="Other Expenditures","Other Expense",E356)))))</f>
        <v>Other Expense</v>
      </c>
      <c r="F357" s="36" t="str">
        <f aca="false">IF(OR(D357="Revenue",D357="Cost of Goods Sold",D357="Expenditures",D357="Other Revenue",D357="Other Expenditures"),E357,IF(AND(LEN(D357)&gt;2,MID(D357,2,1)=" ",ISNUMBER(VALUE(LEFT(D357,1)))),D357,F356))</f>
        <v>Other Expense</v>
      </c>
      <c r="G357" s="36" t="n">
        <f aca="false">IF(AND(D357&lt;&gt;"",ISNUMBER(B357),LEFT(D357,9)&lt;&gt;"Total for",D357&lt;&gt;"Gross Profit",D357&lt;&gt;"Net Operating Revenue",D357&lt;&gt;"Net Other Revenue",D357&lt;&gt;"Net Revenue"),1,0)</f>
        <v>0</v>
      </c>
      <c r="H357" s="36" t="str">
        <f aca="false">IF(G357=1,IF(AND(LEN(D357)&gt;7,ISNUMBER(VALUE(LEFT(D357,6))),MID(D357,7,1)=" "),LEFT(D357,6),D357),"")</f>
        <v/>
      </c>
      <c r="I357" s="36" t="str">
        <f aca="false">IF(G357=1,IF(COUNTIF('Forecast Detail'!$C$8:$C$400,H357)=0,"UNMAPPED","OK"),"")</f>
        <v/>
      </c>
    </row>
    <row r="358" customFormat="false" ht="15" hidden="false" customHeight="false" outlineLevel="0" collapsed="false">
      <c r="D358" s="36" t="str">
        <f aca="false">TRIM(A358)</f>
        <v/>
      </c>
      <c r="E358" s="36" t="str">
        <f aca="false">IF(D358="Revenue","Revenue",IF(D358="Cost of Goods Sold","COGS",IF(D358="Expenditures","Expense",IF(D358="Other Revenue","Other Revenue",IF(D358="Other Expenditures","Other Expense",E357)))))</f>
        <v>Other Expense</v>
      </c>
      <c r="F358" s="36" t="str">
        <f aca="false">IF(OR(D358="Revenue",D358="Cost of Goods Sold",D358="Expenditures",D358="Other Revenue",D358="Other Expenditures"),E358,IF(AND(LEN(D358)&gt;2,MID(D358,2,1)=" ",ISNUMBER(VALUE(LEFT(D358,1)))),D358,F357))</f>
        <v>Other Expense</v>
      </c>
      <c r="G358" s="36" t="n">
        <f aca="false">IF(AND(D358&lt;&gt;"",ISNUMBER(B358),LEFT(D358,9)&lt;&gt;"Total for",D358&lt;&gt;"Gross Profit",D358&lt;&gt;"Net Operating Revenue",D358&lt;&gt;"Net Other Revenue",D358&lt;&gt;"Net Revenue"),1,0)</f>
        <v>0</v>
      </c>
      <c r="H358" s="36" t="str">
        <f aca="false">IF(G358=1,IF(AND(LEN(D358)&gt;7,ISNUMBER(VALUE(LEFT(D358,6))),MID(D358,7,1)=" "),LEFT(D358,6),D358),"")</f>
        <v/>
      </c>
      <c r="I358" s="36" t="str">
        <f aca="false">IF(G358=1,IF(COUNTIF('Forecast Detail'!$C$8:$C$400,H358)=0,"UNMAPPED","OK"),"")</f>
        <v/>
      </c>
    </row>
    <row r="359" customFormat="false" ht="15" hidden="false" customHeight="false" outlineLevel="0" collapsed="false">
      <c r="D359" s="36" t="str">
        <f aca="false">TRIM(A359)</f>
        <v/>
      </c>
      <c r="E359" s="36" t="str">
        <f aca="false">IF(D359="Revenue","Revenue",IF(D359="Cost of Goods Sold","COGS",IF(D359="Expenditures","Expense",IF(D359="Other Revenue","Other Revenue",IF(D359="Other Expenditures","Other Expense",E358)))))</f>
        <v>Other Expense</v>
      </c>
      <c r="F359" s="36" t="str">
        <f aca="false">IF(OR(D359="Revenue",D359="Cost of Goods Sold",D359="Expenditures",D359="Other Revenue",D359="Other Expenditures"),E359,IF(AND(LEN(D359)&gt;2,MID(D359,2,1)=" ",ISNUMBER(VALUE(LEFT(D359,1)))),D359,F358))</f>
        <v>Other Expense</v>
      </c>
      <c r="G359" s="36" t="n">
        <f aca="false">IF(AND(D359&lt;&gt;"",ISNUMBER(B359),LEFT(D359,9)&lt;&gt;"Total for",D359&lt;&gt;"Gross Profit",D359&lt;&gt;"Net Operating Revenue",D359&lt;&gt;"Net Other Revenue",D359&lt;&gt;"Net Revenue"),1,0)</f>
        <v>0</v>
      </c>
      <c r="H359" s="36" t="str">
        <f aca="false">IF(G359=1,IF(AND(LEN(D359)&gt;7,ISNUMBER(VALUE(LEFT(D359,6))),MID(D359,7,1)=" "),LEFT(D359,6),D359),"")</f>
        <v/>
      </c>
      <c r="I359" s="36" t="str">
        <f aca="false">IF(G359=1,IF(COUNTIF('Forecast Detail'!$C$8:$C$400,H359)=0,"UNMAPPED","OK"),"")</f>
        <v/>
      </c>
    </row>
    <row r="360" customFormat="false" ht="15" hidden="false" customHeight="false" outlineLevel="0" collapsed="false">
      <c r="D360" s="36" t="str">
        <f aca="false">TRIM(A360)</f>
        <v/>
      </c>
      <c r="E360" s="36" t="str">
        <f aca="false">IF(D360="Revenue","Revenue",IF(D360="Cost of Goods Sold","COGS",IF(D360="Expenditures","Expense",IF(D360="Other Revenue","Other Revenue",IF(D360="Other Expenditures","Other Expense",E359)))))</f>
        <v>Other Expense</v>
      </c>
      <c r="F360" s="36" t="str">
        <f aca="false">IF(OR(D360="Revenue",D360="Cost of Goods Sold",D360="Expenditures",D360="Other Revenue",D360="Other Expenditures"),E360,IF(AND(LEN(D360)&gt;2,MID(D360,2,1)=" ",ISNUMBER(VALUE(LEFT(D360,1)))),D360,F359))</f>
        <v>Other Expense</v>
      </c>
      <c r="G360" s="36" t="n">
        <f aca="false">IF(AND(D360&lt;&gt;"",ISNUMBER(B360),LEFT(D360,9)&lt;&gt;"Total for",D360&lt;&gt;"Gross Profit",D360&lt;&gt;"Net Operating Revenue",D360&lt;&gt;"Net Other Revenue",D360&lt;&gt;"Net Revenue"),1,0)</f>
        <v>0</v>
      </c>
      <c r="H360" s="36" t="str">
        <f aca="false">IF(G360=1,IF(AND(LEN(D360)&gt;7,ISNUMBER(VALUE(LEFT(D360,6))),MID(D360,7,1)=" "),LEFT(D360,6),D360),"")</f>
        <v/>
      </c>
      <c r="I360" s="36" t="str">
        <f aca="false">IF(G360=1,IF(COUNTIF('Forecast Detail'!$C$8:$C$400,H360)=0,"UNMAPPED","OK"),"")</f>
        <v/>
      </c>
    </row>
    <row r="361" customFormat="false" ht="15" hidden="false" customHeight="false" outlineLevel="0" collapsed="false">
      <c r="D361" s="36" t="str">
        <f aca="false">TRIM(A361)</f>
        <v/>
      </c>
      <c r="E361" s="36" t="str">
        <f aca="false">IF(D361="Revenue","Revenue",IF(D361="Cost of Goods Sold","COGS",IF(D361="Expenditures","Expense",IF(D361="Other Revenue","Other Revenue",IF(D361="Other Expenditures","Other Expense",E360)))))</f>
        <v>Other Expense</v>
      </c>
      <c r="F361" s="36" t="str">
        <f aca="false">IF(OR(D361="Revenue",D361="Cost of Goods Sold",D361="Expenditures",D361="Other Revenue",D361="Other Expenditures"),E361,IF(AND(LEN(D361)&gt;2,MID(D361,2,1)=" ",ISNUMBER(VALUE(LEFT(D361,1)))),D361,F360))</f>
        <v>Other Expense</v>
      </c>
      <c r="G361" s="36" t="n">
        <f aca="false">IF(AND(D361&lt;&gt;"",ISNUMBER(B361),LEFT(D361,9)&lt;&gt;"Total for",D361&lt;&gt;"Gross Profit",D361&lt;&gt;"Net Operating Revenue",D361&lt;&gt;"Net Other Revenue",D361&lt;&gt;"Net Revenue"),1,0)</f>
        <v>0</v>
      </c>
      <c r="H361" s="36" t="str">
        <f aca="false">IF(G361=1,IF(AND(LEN(D361)&gt;7,ISNUMBER(VALUE(LEFT(D361,6))),MID(D361,7,1)=" "),LEFT(D361,6),D361),"")</f>
        <v/>
      </c>
      <c r="I361" s="36" t="str">
        <f aca="false">IF(G361=1,IF(COUNTIF('Forecast Detail'!$C$8:$C$400,H361)=0,"UNMAPPED","OK"),"")</f>
        <v/>
      </c>
    </row>
    <row r="362" customFormat="false" ht="15" hidden="false" customHeight="false" outlineLevel="0" collapsed="false">
      <c r="D362" s="36" t="str">
        <f aca="false">TRIM(A362)</f>
        <v/>
      </c>
      <c r="E362" s="36" t="str">
        <f aca="false">IF(D362="Revenue","Revenue",IF(D362="Cost of Goods Sold","COGS",IF(D362="Expenditures","Expense",IF(D362="Other Revenue","Other Revenue",IF(D362="Other Expenditures","Other Expense",E361)))))</f>
        <v>Other Expense</v>
      </c>
      <c r="F362" s="36" t="str">
        <f aca="false">IF(OR(D362="Revenue",D362="Cost of Goods Sold",D362="Expenditures",D362="Other Revenue",D362="Other Expenditures"),E362,IF(AND(LEN(D362)&gt;2,MID(D362,2,1)=" ",ISNUMBER(VALUE(LEFT(D362,1)))),D362,F361))</f>
        <v>Other Expense</v>
      </c>
      <c r="G362" s="36" t="n">
        <f aca="false">IF(AND(D362&lt;&gt;"",ISNUMBER(B362),LEFT(D362,9)&lt;&gt;"Total for",D362&lt;&gt;"Gross Profit",D362&lt;&gt;"Net Operating Revenue",D362&lt;&gt;"Net Other Revenue",D362&lt;&gt;"Net Revenue"),1,0)</f>
        <v>0</v>
      </c>
      <c r="H362" s="36" t="str">
        <f aca="false">IF(G362=1,IF(AND(LEN(D362)&gt;7,ISNUMBER(VALUE(LEFT(D362,6))),MID(D362,7,1)=" "),LEFT(D362,6),D362),"")</f>
        <v/>
      </c>
      <c r="I362" s="36" t="str">
        <f aca="false">IF(G362=1,IF(COUNTIF('Forecast Detail'!$C$8:$C$400,H362)=0,"UNMAPPED","OK"),"")</f>
        <v/>
      </c>
    </row>
    <row r="363" customFormat="false" ht="15" hidden="false" customHeight="false" outlineLevel="0" collapsed="false">
      <c r="D363" s="36" t="str">
        <f aca="false">TRIM(A363)</f>
        <v/>
      </c>
      <c r="E363" s="36" t="str">
        <f aca="false">IF(D363="Revenue","Revenue",IF(D363="Cost of Goods Sold","COGS",IF(D363="Expenditures","Expense",IF(D363="Other Revenue","Other Revenue",IF(D363="Other Expenditures","Other Expense",E362)))))</f>
        <v>Other Expense</v>
      </c>
      <c r="F363" s="36" t="str">
        <f aca="false">IF(OR(D363="Revenue",D363="Cost of Goods Sold",D363="Expenditures",D363="Other Revenue",D363="Other Expenditures"),E363,IF(AND(LEN(D363)&gt;2,MID(D363,2,1)=" ",ISNUMBER(VALUE(LEFT(D363,1)))),D363,F362))</f>
        <v>Other Expense</v>
      </c>
      <c r="G363" s="36" t="n">
        <f aca="false">IF(AND(D363&lt;&gt;"",ISNUMBER(B363),LEFT(D363,9)&lt;&gt;"Total for",D363&lt;&gt;"Gross Profit",D363&lt;&gt;"Net Operating Revenue",D363&lt;&gt;"Net Other Revenue",D363&lt;&gt;"Net Revenue"),1,0)</f>
        <v>0</v>
      </c>
      <c r="H363" s="36" t="str">
        <f aca="false">IF(G363=1,IF(AND(LEN(D363)&gt;7,ISNUMBER(VALUE(LEFT(D363,6))),MID(D363,7,1)=" "),LEFT(D363,6),D363),"")</f>
        <v/>
      </c>
      <c r="I363" s="36" t="str">
        <f aca="false">IF(G363=1,IF(COUNTIF('Forecast Detail'!$C$8:$C$400,H363)=0,"UNMAPPED","OK"),"")</f>
        <v/>
      </c>
    </row>
    <row r="364" customFormat="false" ht="15" hidden="false" customHeight="false" outlineLevel="0" collapsed="false">
      <c r="D364" s="36" t="str">
        <f aca="false">TRIM(A364)</f>
        <v/>
      </c>
      <c r="E364" s="36" t="str">
        <f aca="false">IF(D364="Revenue","Revenue",IF(D364="Cost of Goods Sold","COGS",IF(D364="Expenditures","Expense",IF(D364="Other Revenue","Other Revenue",IF(D364="Other Expenditures","Other Expense",E363)))))</f>
        <v>Other Expense</v>
      </c>
      <c r="F364" s="36" t="str">
        <f aca="false">IF(OR(D364="Revenue",D364="Cost of Goods Sold",D364="Expenditures",D364="Other Revenue",D364="Other Expenditures"),E364,IF(AND(LEN(D364)&gt;2,MID(D364,2,1)=" ",ISNUMBER(VALUE(LEFT(D364,1)))),D364,F363))</f>
        <v>Other Expense</v>
      </c>
      <c r="G364" s="36" t="n">
        <f aca="false">IF(AND(D364&lt;&gt;"",ISNUMBER(B364),LEFT(D364,9)&lt;&gt;"Total for",D364&lt;&gt;"Gross Profit",D364&lt;&gt;"Net Operating Revenue",D364&lt;&gt;"Net Other Revenue",D364&lt;&gt;"Net Revenue"),1,0)</f>
        <v>0</v>
      </c>
      <c r="H364" s="36" t="str">
        <f aca="false">IF(G364=1,IF(AND(LEN(D364)&gt;7,ISNUMBER(VALUE(LEFT(D364,6))),MID(D364,7,1)=" "),LEFT(D364,6),D364),"")</f>
        <v/>
      </c>
      <c r="I364" s="36" t="str">
        <f aca="false">IF(G364=1,IF(COUNTIF('Forecast Detail'!$C$8:$C$400,H364)=0,"UNMAPPED","OK"),"")</f>
        <v/>
      </c>
    </row>
    <row r="365" customFormat="false" ht="15" hidden="false" customHeight="false" outlineLevel="0" collapsed="false">
      <c r="D365" s="36" t="str">
        <f aca="false">TRIM(A365)</f>
        <v/>
      </c>
      <c r="E365" s="36" t="str">
        <f aca="false">IF(D365="Revenue","Revenue",IF(D365="Cost of Goods Sold","COGS",IF(D365="Expenditures","Expense",IF(D365="Other Revenue","Other Revenue",IF(D365="Other Expenditures","Other Expense",E364)))))</f>
        <v>Other Expense</v>
      </c>
      <c r="F365" s="36" t="str">
        <f aca="false">IF(OR(D365="Revenue",D365="Cost of Goods Sold",D365="Expenditures",D365="Other Revenue",D365="Other Expenditures"),E365,IF(AND(LEN(D365)&gt;2,MID(D365,2,1)=" ",ISNUMBER(VALUE(LEFT(D365,1)))),D365,F364))</f>
        <v>Other Expense</v>
      </c>
      <c r="G365" s="36" t="n">
        <f aca="false">IF(AND(D365&lt;&gt;"",ISNUMBER(B365),LEFT(D365,9)&lt;&gt;"Total for",D365&lt;&gt;"Gross Profit",D365&lt;&gt;"Net Operating Revenue",D365&lt;&gt;"Net Other Revenue",D365&lt;&gt;"Net Revenue"),1,0)</f>
        <v>0</v>
      </c>
      <c r="H365" s="36" t="str">
        <f aca="false">IF(G365=1,IF(AND(LEN(D365)&gt;7,ISNUMBER(VALUE(LEFT(D365,6))),MID(D365,7,1)=" "),LEFT(D365,6),D365),"")</f>
        <v/>
      </c>
      <c r="I365" s="36" t="str">
        <f aca="false">IF(G365=1,IF(COUNTIF('Forecast Detail'!$C$8:$C$400,H365)=0,"UNMAPPED","OK"),"")</f>
        <v/>
      </c>
    </row>
    <row r="366" customFormat="false" ht="15" hidden="false" customHeight="false" outlineLevel="0" collapsed="false">
      <c r="D366" s="36" t="str">
        <f aca="false">TRIM(A366)</f>
        <v/>
      </c>
      <c r="E366" s="36" t="str">
        <f aca="false">IF(D366="Revenue","Revenue",IF(D366="Cost of Goods Sold","COGS",IF(D366="Expenditures","Expense",IF(D366="Other Revenue","Other Revenue",IF(D366="Other Expenditures","Other Expense",E365)))))</f>
        <v>Other Expense</v>
      </c>
      <c r="F366" s="36" t="str">
        <f aca="false">IF(OR(D366="Revenue",D366="Cost of Goods Sold",D366="Expenditures",D366="Other Revenue",D366="Other Expenditures"),E366,IF(AND(LEN(D366)&gt;2,MID(D366,2,1)=" ",ISNUMBER(VALUE(LEFT(D366,1)))),D366,F365))</f>
        <v>Other Expense</v>
      </c>
      <c r="G366" s="36" t="n">
        <f aca="false">IF(AND(D366&lt;&gt;"",ISNUMBER(B366),LEFT(D366,9)&lt;&gt;"Total for",D366&lt;&gt;"Gross Profit",D366&lt;&gt;"Net Operating Revenue",D366&lt;&gt;"Net Other Revenue",D366&lt;&gt;"Net Revenue"),1,0)</f>
        <v>0</v>
      </c>
      <c r="H366" s="36" t="str">
        <f aca="false">IF(G366=1,IF(AND(LEN(D366)&gt;7,ISNUMBER(VALUE(LEFT(D366,6))),MID(D366,7,1)=" "),LEFT(D366,6),D366),"")</f>
        <v/>
      </c>
      <c r="I366" s="36" t="str">
        <f aca="false">IF(G366=1,IF(COUNTIF('Forecast Detail'!$C$8:$C$400,H366)=0,"UNMAPPED","OK"),"")</f>
        <v/>
      </c>
    </row>
    <row r="367" customFormat="false" ht="15" hidden="false" customHeight="false" outlineLevel="0" collapsed="false">
      <c r="D367" s="36" t="str">
        <f aca="false">TRIM(A367)</f>
        <v/>
      </c>
      <c r="E367" s="36" t="str">
        <f aca="false">IF(D367="Revenue","Revenue",IF(D367="Cost of Goods Sold","COGS",IF(D367="Expenditures","Expense",IF(D367="Other Revenue","Other Revenue",IF(D367="Other Expenditures","Other Expense",E366)))))</f>
        <v>Other Expense</v>
      </c>
      <c r="F367" s="36" t="str">
        <f aca="false">IF(OR(D367="Revenue",D367="Cost of Goods Sold",D367="Expenditures",D367="Other Revenue",D367="Other Expenditures"),E367,IF(AND(LEN(D367)&gt;2,MID(D367,2,1)=" ",ISNUMBER(VALUE(LEFT(D367,1)))),D367,F366))</f>
        <v>Other Expense</v>
      </c>
      <c r="G367" s="36" t="n">
        <f aca="false">IF(AND(D367&lt;&gt;"",ISNUMBER(B367),LEFT(D367,9)&lt;&gt;"Total for",D367&lt;&gt;"Gross Profit",D367&lt;&gt;"Net Operating Revenue",D367&lt;&gt;"Net Other Revenue",D367&lt;&gt;"Net Revenue"),1,0)</f>
        <v>0</v>
      </c>
      <c r="H367" s="36" t="str">
        <f aca="false">IF(G367=1,IF(AND(LEN(D367)&gt;7,ISNUMBER(VALUE(LEFT(D367,6))),MID(D367,7,1)=" "),LEFT(D367,6),D367),"")</f>
        <v/>
      </c>
      <c r="I367" s="36" t="str">
        <f aca="false">IF(G367=1,IF(COUNTIF('Forecast Detail'!$C$8:$C$400,H367)=0,"UNMAPPED","OK"),"")</f>
        <v/>
      </c>
    </row>
    <row r="368" customFormat="false" ht="15" hidden="false" customHeight="false" outlineLevel="0" collapsed="false">
      <c r="D368" s="36" t="str">
        <f aca="false">TRIM(A368)</f>
        <v/>
      </c>
      <c r="E368" s="36" t="str">
        <f aca="false">IF(D368="Revenue","Revenue",IF(D368="Cost of Goods Sold","COGS",IF(D368="Expenditures","Expense",IF(D368="Other Revenue","Other Revenue",IF(D368="Other Expenditures","Other Expense",E367)))))</f>
        <v>Other Expense</v>
      </c>
      <c r="F368" s="36" t="str">
        <f aca="false">IF(OR(D368="Revenue",D368="Cost of Goods Sold",D368="Expenditures",D368="Other Revenue",D368="Other Expenditures"),E368,IF(AND(LEN(D368)&gt;2,MID(D368,2,1)=" ",ISNUMBER(VALUE(LEFT(D368,1)))),D368,F367))</f>
        <v>Other Expense</v>
      </c>
      <c r="G368" s="36" t="n">
        <f aca="false">IF(AND(D368&lt;&gt;"",ISNUMBER(B368),LEFT(D368,9)&lt;&gt;"Total for",D368&lt;&gt;"Gross Profit",D368&lt;&gt;"Net Operating Revenue",D368&lt;&gt;"Net Other Revenue",D368&lt;&gt;"Net Revenue"),1,0)</f>
        <v>0</v>
      </c>
      <c r="H368" s="36" t="str">
        <f aca="false">IF(G368=1,IF(AND(LEN(D368)&gt;7,ISNUMBER(VALUE(LEFT(D368,6))),MID(D368,7,1)=" "),LEFT(D368,6),D368),"")</f>
        <v/>
      </c>
      <c r="I368" s="36" t="str">
        <f aca="false">IF(G368=1,IF(COUNTIF('Forecast Detail'!$C$8:$C$400,H368)=0,"UNMAPPED","OK"),"")</f>
        <v/>
      </c>
    </row>
    <row r="369" customFormat="false" ht="15" hidden="false" customHeight="false" outlineLevel="0" collapsed="false">
      <c r="D369" s="36" t="str">
        <f aca="false">TRIM(A369)</f>
        <v/>
      </c>
      <c r="E369" s="36" t="str">
        <f aca="false">IF(D369="Revenue","Revenue",IF(D369="Cost of Goods Sold","COGS",IF(D369="Expenditures","Expense",IF(D369="Other Revenue","Other Revenue",IF(D369="Other Expenditures","Other Expense",E368)))))</f>
        <v>Other Expense</v>
      </c>
      <c r="F369" s="36" t="str">
        <f aca="false">IF(OR(D369="Revenue",D369="Cost of Goods Sold",D369="Expenditures",D369="Other Revenue",D369="Other Expenditures"),E369,IF(AND(LEN(D369)&gt;2,MID(D369,2,1)=" ",ISNUMBER(VALUE(LEFT(D369,1)))),D369,F368))</f>
        <v>Other Expense</v>
      </c>
      <c r="G369" s="36" t="n">
        <f aca="false">IF(AND(D369&lt;&gt;"",ISNUMBER(B369),LEFT(D369,9)&lt;&gt;"Total for",D369&lt;&gt;"Gross Profit",D369&lt;&gt;"Net Operating Revenue",D369&lt;&gt;"Net Other Revenue",D369&lt;&gt;"Net Revenue"),1,0)</f>
        <v>0</v>
      </c>
      <c r="H369" s="36" t="str">
        <f aca="false">IF(G369=1,IF(AND(LEN(D369)&gt;7,ISNUMBER(VALUE(LEFT(D369,6))),MID(D369,7,1)=" "),LEFT(D369,6),D369),"")</f>
        <v/>
      </c>
      <c r="I369" s="36" t="str">
        <f aca="false">IF(G369=1,IF(COUNTIF('Forecast Detail'!$C$8:$C$400,H369)=0,"UNMAPPED","OK"),"")</f>
        <v/>
      </c>
    </row>
    <row r="370" customFormat="false" ht="15" hidden="false" customHeight="false" outlineLevel="0" collapsed="false">
      <c r="D370" s="36" t="str">
        <f aca="false">TRIM(A370)</f>
        <v/>
      </c>
      <c r="E370" s="36" t="str">
        <f aca="false">IF(D370="Revenue","Revenue",IF(D370="Cost of Goods Sold","COGS",IF(D370="Expenditures","Expense",IF(D370="Other Revenue","Other Revenue",IF(D370="Other Expenditures","Other Expense",E369)))))</f>
        <v>Other Expense</v>
      </c>
      <c r="F370" s="36" t="str">
        <f aca="false">IF(OR(D370="Revenue",D370="Cost of Goods Sold",D370="Expenditures",D370="Other Revenue",D370="Other Expenditures"),E370,IF(AND(LEN(D370)&gt;2,MID(D370,2,1)=" ",ISNUMBER(VALUE(LEFT(D370,1)))),D370,F369))</f>
        <v>Other Expense</v>
      </c>
      <c r="G370" s="36" t="n">
        <f aca="false">IF(AND(D370&lt;&gt;"",ISNUMBER(B370),LEFT(D370,9)&lt;&gt;"Total for",D370&lt;&gt;"Gross Profit",D370&lt;&gt;"Net Operating Revenue",D370&lt;&gt;"Net Other Revenue",D370&lt;&gt;"Net Revenue"),1,0)</f>
        <v>0</v>
      </c>
      <c r="H370" s="36" t="str">
        <f aca="false">IF(G370=1,IF(AND(LEN(D370)&gt;7,ISNUMBER(VALUE(LEFT(D370,6))),MID(D370,7,1)=" "),LEFT(D370,6),D370),"")</f>
        <v/>
      </c>
      <c r="I370" s="36" t="str">
        <f aca="false">IF(G370=1,IF(COUNTIF('Forecast Detail'!$C$8:$C$400,H370)=0,"UNMAPPED","OK"),"")</f>
        <v/>
      </c>
    </row>
    <row r="371" customFormat="false" ht="15" hidden="false" customHeight="false" outlineLevel="0" collapsed="false">
      <c r="D371" s="36" t="str">
        <f aca="false">TRIM(A371)</f>
        <v/>
      </c>
      <c r="E371" s="36" t="str">
        <f aca="false">IF(D371="Revenue","Revenue",IF(D371="Cost of Goods Sold","COGS",IF(D371="Expenditures","Expense",IF(D371="Other Revenue","Other Revenue",IF(D371="Other Expenditures","Other Expense",E370)))))</f>
        <v>Other Expense</v>
      </c>
      <c r="F371" s="36" t="str">
        <f aca="false">IF(OR(D371="Revenue",D371="Cost of Goods Sold",D371="Expenditures",D371="Other Revenue",D371="Other Expenditures"),E371,IF(AND(LEN(D371)&gt;2,MID(D371,2,1)=" ",ISNUMBER(VALUE(LEFT(D371,1)))),D371,F370))</f>
        <v>Other Expense</v>
      </c>
      <c r="G371" s="36" t="n">
        <f aca="false">IF(AND(D371&lt;&gt;"",ISNUMBER(B371),LEFT(D371,9)&lt;&gt;"Total for",D371&lt;&gt;"Gross Profit",D371&lt;&gt;"Net Operating Revenue",D371&lt;&gt;"Net Other Revenue",D371&lt;&gt;"Net Revenue"),1,0)</f>
        <v>0</v>
      </c>
      <c r="H371" s="36" t="str">
        <f aca="false">IF(G371=1,IF(AND(LEN(D371)&gt;7,ISNUMBER(VALUE(LEFT(D371,6))),MID(D371,7,1)=" "),LEFT(D371,6),D371),"")</f>
        <v/>
      </c>
      <c r="I371" s="36" t="str">
        <f aca="false">IF(G371=1,IF(COUNTIF('Forecast Detail'!$C$8:$C$400,H371)=0,"UNMAPPED","OK"),"")</f>
        <v/>
      </c>
    </row>
    <row r="372" customFormat="false" ht="15" hidden="false" customHeight="false" outlineLevel="0" collapsed="false">
      <c r="D372" s="36" t="str">
        <f aca="false">TRIM(A372)</f>
        <v/>
      </c>
      <c r="E372" s="36" t="str">
        <f aca="false">IF(D372="Revenue","Revenue",IF(D372="Cost of Goods Sold","COGS",IF(D372="Expenditures","Expense",IF(D372="Other Revenue","Other Revenue",IF(D372="Other Expenditures","Other Expense",E371)))))</f>
        <v>Other Expense</v>
      </c>
      <c r="F372" s="36" t="str">
        <f aca="false">IF(OR(D372="Revenue",D372="Cost of Goods Sold",D372="Expenditures",D372="Other Revenue",D372="Other Expenditures"),E372,IF(AND(LEN(D372)&gt;2,MID(D372,2,1)=" ",ISNUMBER(VALUE(LEFT(D372,1)))),D372,F371))</f>
        <v>Other Expense</v>
      </c>
      <c r="G372" s="36" t="n">
        <f aca="false">IF(AND(D372&lt;&gt;"",ISNUMBER(B372),LEFT(D372,9)&lt;&gt;"Total for",D372&lt;&gt;"Gross Profit",D372&lt;&gt;"Net Operating Revenue",D372&lt;&gt;"Net Other Revenue",D372&lt;&gt;"Net Revenue"),1,0)</f>
        <v>0</v>
      </c>
      <c r="H372" s="36" t="str">
        <f aca="false">IF(G372=1,IF(AND(LEN(D372)&gt;7,ISNUMBER(VALUE(LEFT(D372,6))),MID(D372,7,1)=" "),LEFT(D372,6),D372),"")</f>
        <v/>
      </c>
      <c r="I372" s="36" t="str">
        <f aca="false">IF(G372=1,IF(COUNTIF('Forecast Detail'!$C$8:$C$400,H372)=0,"UNMAPPED","OK"),"")</f>
        <v/>
      </c>
    </row>
    <row r="373" customFormat="false" ht="15" hidden="false" customHeight="false" outlineLevel="0" collapsed="false">
      <c r="D373" s="36" t="str">
        <f aca="false">TRIM(A373)</f>
        <v/>
      </c>
      <c r="E373" s="36" t="str">
        <f aca="false">IF(D373="Revenue","Revenue",IF(D373="Cost of Goods Sold","COGS",IF(D373="Expenditures","Expense",IF(D373="Other Revenue","Other Revenue",IF(D373="Other Expenditures","Other Expense",E372)))))</f>
        <v>Other Expense</v>
      </c>
      <c r="F373" s="36" t="str">
        <f aca="false">IF(OR(D373="Revenue",D373="Cost of Goods Sold",D373="Expenditures",D373="Other Revenue",D373="Other Expenditures"),E373,IF(AND(LEN(D373)&gt;2,MID(D373,2,1)=" ",ISNUMBER(VALUE(LEFT(D373,1)))),D373,F372))</f>
        <v>Other Expense</v>
      </c>
      <c r="G373" s="36" t="n">
        <f aca="false">IF(AND(D373&lt;&gt;"",ISNUMBER(B373),LEFT(D373,9)&lt;&gt;"Total for",D373&lt;&gt;"Gross Profit",D373&lt;&gt;"Net Operating Revenue",D373&lt;&gt;"Net Other Revenue",D373&lt;&gt;"Net Revenue"),1,0)</f>
        <v>0</v>
      </c>
      <c r="H373" s="36" t="str">
        <f aca="false">IF(G373=1,IF(AND(LEN(D373)&gt;7,ISNUMBER(VALUE(LEFT(D373,6))),MID(D373,7,1)=" "),LEFT(D373,6),D373),"")</f>
        <v/>
      </c>
      <c r="I373" s="36" t="str">
        <f aca="false">IF(G373=1,IF(COUNTIF('Forecast Detail'!$C$8:$C$400,H373)=0,"UNMAPPED","OK"),"")</f>
        <v/>
      </c>
    </row>
    <row r="374" customFormat="false" ht="15" hidden="false" customHeight="false" outlineLevel="0" collapsed="false">
      <c r="D374" s="36" t="str">
        <f aca="false">TRIM(A374)</f>
        <v/>
      </c>
      <c r="E374" s="36" t="str">
        <f aca="false">IF(D374="Revenue","Revenue",IF(D374="Cost of Goods Sold","COGS",IF(D374="Expenditures","Expense",IF(D374="Other Revenue","Other Revenue",IF(D374="Other Expenditures","Other Expense",E373)))))</f>
        <v>Other Expense</v>
      </c>
      <c r="F374" s="36" t="str">
        <f aca="false">IF(OR(D374="Revenue",D374="Cost of Goods Sold",D374="Expenditures",D374="Other Revenue",D374="Other Expenditures"),E374,IF(AND(LEN(D374)&gt;2,MID(D374,2,1)=" ",ISNUMBER(VALUE(LEFT(D374,1)))),D374,F373))</f>
        <v>Other Expense</v>
      </c>
      <c r="G374" s="36" t="n">
        <f aca="false">IF(AND(D374&lt;&gt;"",ISNUMBER(B374),LEFT(D374,9)&lt;&gt;"Total for",D374&lt;&gt;"Gross Profit",D374&lt;&gt;"Net Operating Revenue",D374&lt;&gt;"Net Other Revenue",D374&lt;&gt;"Net Revenue"),1,0)</f>
        <v>0</v>
      </c>
      <c r="H374" s="36" t="str">
        <f aca="false">IF(G374=1,IF(AND(LEN(D374)&gt;7,ISNUMBER(VALUE(LEFT(D374,6))),MID(D374,7,1)=" "),LEFT(D374,6),D374),"")</f>
        <v/>
      </c>
      <c r="I374" s="36" t="str">
        <f aca="false">IF(G374=1,IF(COUNTIF('Forecast Detail'!$C$8:$C$400,H374)=0,"UNMAPPED","OK"),"")</f>
        <v/>
      </c>
    </row>
    <row r="375" customFormat="false" ht="15" hidden="false" customHeight="false" outlineLevel="0" collapsed="false">
      <c r="D375" s="36" t="str">
        <f aca="false">TRIM(A375)</f>
        <v/>
      </c>
      <c r="E375" s="36" t="str">
        <f aca="false">IF(D375="Revenue","Revenue",IF(D375="Cost of Goods Sold","COGS",IF(D375="Expenditures","Expense",IF(D375="Other Revenue","Other Revenue",IF(D375="Other Expenditures","Other Expense",E374)))))</f>
        <v>Other Expense</v>
      </c>
      <c r="F375" s="36" t="str">
        <f aca="false">IF(OR(D375="Revenue",D375="Cost of Goods Sold",D375="Expenditures",D375="Other Revenue",D375="Other Expenditures"),E375,IF(AND(LEN(D375)&gt;2,MID(D375,2,1)=" ",ISNUMBER(VALUE(LEFT(D375,1)))),D375,F374))</f>
        <v>Other Expense</v>
      </c>
      <c r="G375" s="36" t="n">
        <f aca="false">IF(AND(D375&lt;&gt;"",ISNUMBER(B375),LEFT(D375,9)&lt;&gt;"Total for",D375&lt;&gt;"Gross Profit",D375&lt;&gt;"Net Operating Revenue",D375&lt;&gt;"Net Other Revenue",D375&lt;&gt;"Net Revenue"),1,0)</f>
        <v>0</v>
      </c>
      <c r="H375" s="36" t="str">
        <f aca="false">IF(G375=1,IF(AND(LEN(D375)&gt;7,ISNUMBER(VALUE(LEFT(D375,6))),MID(D375,7,1)=" "),LEFT(D375,6),D375),"")</f>
        <v/>
      </c>
      <c r="I375" s="36" t="str">
        <f aca="false">IF(G375=1,IF(COUNTIF('Forecast Detail'!$C$8:$C$400,H375)=0,"UNMAPPED","OK"),"")</f>
        <v/>
      </c>
    </row>
    <row r="376" customFormat="false" ht="15" hidden="false" customHeight="false" outlineLevel="0" collapsed="false">
      <c r="D376" s="36" t="str">
        <f aca="false">TRIM(A376)</f>
        <v/>
      </c>
      <c r="E376" s="36" t="str">
        <f aca="false">IF(D376="Revenue","Revenue",IF(D376="Cost of Goods Sold","COGS",IF(D376="Expenditures","Expense",IF(D376="Other Revenue","Other Revenue",IF(D376="Other Expenditures","Other Expense",E375)))))</f>
        <v>Other Expense</v>
      </c>
      <c r="F376" s="36" t="str">
        <f aca="false">IF(OR(D376="Revenue",D376="Cost of Goods Sold",D376="Expenditures",D376="Other Revenue",D376="Other Expenditures"),E376,IF(AND(LEN(D376)&gt;2,MID(D376,2,1)=" ",ISNUMBER(VALUE(LEFT(D376,1)))),D376,F375))</f>
        <v>Other Expense</v>
      </c>
      <c r="G376" s="36" t="n">
        <f aca="false">IF(AND(D376&lt;&gt;"",ISNUMBER(B376),LEFT(D376,9)&lt;&gt;"Total for",D376&lt;&gt;"Gross Profit",D376&lt;&gt;"Net Operating Revenue",D376&lt;&gt;"Net Other Revenue",D376&lt;&gt;"Net Revenue"),1,0)</f>
        <v>0</v>
      </c>
      <c r="H376" s="36" t="str">
        <f aca="false">IF(G376=1,IF(AND(LEN(D376)&gt;7,ISNUMBER(VALUE(LEFT(D376,6))),MID(D376,7,1)=" "),LEFT(D376,6),D376),"")</f>
        <v/>
      </c>
      <c r="I376" s="36" t="str">
        <f aca="false">IF(G376=1,IF(COUNTIF('Forecast Detail'!$C$8:$C$400,H376)=0,"UNMAPPED","OK"),"")</f>
        <v/>
      </c>
    </row>
    <row r="377" customFormat="false" ht="15" hidden="false" customHeight="false" outlineLevel="0" collapsed="false">
      <c r="D377" s="36" t="str">
        <f aca="false">TRIM(A377)</f>
        <v/>
      </c>
      <c r="E377" s="36" t="str">
        <f aca="false">IF(D377="Revenue","Revenue",IF(D377="Cost of Goods Sold","COGS",IF(D377="Expenditures","Expense",IF(D377="Other Revenue","Other Revenue",IF(D377="Other Expenditures","Other Expense",E376)))))</f>
        <v>Other Expense</v>
      </c>
      <c r="F377" s="36" t="str">
        <f aca="false">IF(OR(D377="Revenue",D377="Cost of Goods Sold",D377="Expenditures",D377="Other Revenue",D377="Other Expenditures"),E377,IF(AND(LEN(D377)&gt;2,MID(D377,2,1)=" ",ISNUMBER(VALUE(LEFT(D377,1)))),D377,F376))</f>
        <v>Other Expense</v>
      </c>
      <c r="G377" s="36" t="n">
        <f aca="false">IF(AND(D377&lt;&gt;"",ISNUMBER(B377),LEFT(D377,9)&lt;&gt;"Total for",D377&lt;&gt;"Gross Profit",D377&lt;&gt;"Net Operating Revenue",D377&lt;&gt;"Net Other Revenue",D377&lt;&gt;"Net Revenue"),1,0)</f>
        <v>0</v>
      </c>
      <c r="H377" s="36" t="str">
        <f aca="false">IF(G377=1,IF(AND(LEN(D377)&gt;7,ISNUMBER(VALUE(LEFT(D377,6))),MID(D377,7,1)=" "),LEFT(D377,6),D377),"")</f>
        <v/>
      </c>
      <c r="I377" s="36" t="str">
        <f aca="false">IF(G377=1,IF(COUNTIF('Forecast Detail'!$C$8:$C$400,H377)=0,"UNMAPPED","OK"),"")</f>
        <v/>
      </c>
    </row>
    <row r="378" customFormat="false" ht="15" hidden="false" customHeight="false" outlineLevel="0" collapsed="false">
      <c r="D378" s="36" t="str">
        <f aca="false">TRIM(A378)</f>
        <v/>
      </c>
      <c r="E378" s="36" t="str">
        <f aca="false">IF(D378="Revenue","Revenue",IF(D378="Cost of Goods Sold","COGS",IF(D378="Expenditures","Expense",IF(D378="Other Revenue","Other Revenue",IF(D378="Other Expenditures","Other Expense",E377)))))</f>
        <v>Other Expense</v>
      </c>
      <c r="F378" s="36" t="str">
        <f aca="false">IF(OR(D378="Revenue",D378="Cost of Goods Sold",D378="Expenditures",D378="Other Revenue",D378="Other Expenditures"),E378,IF(AND(LEN(D378)&gt;2,MID(D378,2,1)=" ",ISNUMBER(VALUE(LEFT(D378,1)))),D378,F377))</f>
        <v>Other Expense</v>
      </c>
      <c r="G378" s="36" t="n">
        <f aca="false">IF(AND(D378&lt;&gt;"",ISNUMBER(B378),LEFT(D378,9)&lt;&gt;"Total for",D378&lt;&gt;"Gross Profit",D378&lt;&gt;"Net Operating Revenue",D378&lt;&gt;"Net Other Revenue",D378&lt;&gt;"Net Revenue"),1,0)</f>
        <v>0</v>
      </c>
      <c r="H378" s="36" t="str">
        <f aca="false">IF(G378=1,IF(AND(LEN(D378)&gt;7,ISNUMBER(VALUE(LEFT(D378,6))),MID(D378,7,1)=" "),LEFT(D378,6),D378),"")</f>
        <v/>
      </c>
      <c r="I378" s="36" t="str">
        <f aca="false">IF(G378=1,IF(COUNTIF('Forecast Detail'!$C$8:$C$400,H378)=0,"UNMAPPED","OK"),"")</f>
        <v/>
      </c>
    </row>
    <row r="379" customFormat="false" ht="15" hidden="false" customHeight="false" outlineLevel="0" collapsed="false">
      <c r="D379" s="36" t="str">
        <f aca="false">TRIM(A379)</f>
        <v/>
      </c>
      <c r="E379" s="36" t="str">
        <f aca="false">IF(D379="Revenue","Revenue",IF(D379="Cost of Goods Sold","COGS",IF(D379="Expenditures","Expense",IF(D379="Other Revenue","Other Revenue",IF(D379="Other Expenditures","Other Expense",E378)))))</f>
        <v>Other Expense</v>
      </c>
      <c r="F379" s="36" t="str">
        <f aca="false">IF(OR(D379="Revenue",D379="Cost of Goods Sold",D379="Expenditures",D379="Other Revenue",D379="Other Expenditures"),E379,IF(AND(LEN(D379)&gt;2,MID(D379,2,1)=" ",ISNUMBER(VALUE(LEFT(D379,1)))),D379,F378))</f>
        <v>Other Expense</v>
      </c>
      <c r="G379" s="36" t="n">
        <f aca="false">IF(AND(D379&lt;&gt;"",ISNUMBER(B379),LEFT(D379,9)&lt;&gt;"Total for",D379&lt;&gt;"Gross Profit",D379&lt;&gt;"Net Operating Revenue",D379&lt;&gt;"Net Other Revenue",D379&lt;&gt;"Net Revenue"),1,0)</f>
        <v>0</v>
      </c>
      <c r="H379" s="36" t="str">
        <f aca="false">IF(G379=1,IF(AND(LEN(D379)&gt;7,ISNUMBER(VALUE(LEFT(D379,6))),MID(D379,7,1)=" "),LEFT(D379,6),D379),"")</f>
        <v/>
      </c>
      <c r="I379" s="36" t="str">
        <f aca="false">IF(G379=1,IF(COUNTIF('Forecast Detail'!$C$8:$C$400,H379)=0,"UNMAPPED","OK"),"")</f>
        <v/>
      </c>
    </row>
    <row r="380" customFormat="false" ht="15" hidden="false" customHeight="false" outlineLevel="0" collapsed="false">
      <c r="D380" s="36" t="str">
        <f aca="false">TRIM(A380)</f>
        <v/>
      </c>
      <c r="E380" s="36" t="str">
        <f aca="false">IF(D380="Revenue","Revenue",IF(D380="Cost of Goods Sold","COGS",IF(D380="Expenditures","Expense",IF(D380="Other Revenue","Other Revenue",IF(D380="Other Expenditures","Other Expense",E379)))))</f>
        <v>Other Expense</v>
      </c>
      <c r="F380" s="36" t="str">
        <f aca="false">IF(OR(D380="Revenue",D380="Cost of Goods Sold",D380="Expenditures",D380="Other Revenue",D380="Other Expenditures"),E380,IF(AND(LEN(D380)&gt;2,MID(D380,2,1)=" ",ISNUMBER(VALUE(LEFT(D380,1)))),D380,F379))</f>
        <v>Other Expense</v>
      </c>
      <c r="G380" s="36" t="n">
        <f aca="false">IF(AND(D380&lt;&gt;"",ISNUMBER(B380),LEFT(D380,9)&lt;&gt;"Total for",D380&lt;&gt;"Gross Profit",D380&lt;&gt;"Net Operating Revenue",D380&lt;&gt;"Net Other Revenue",D380&lt;&gt;"Net Revenue"),1,0)</f>
        <v>0</v>
      </c>
      <c r="H380" s="36" t="str">
        <f aca="false">IF(G380=1,IF(AND(LEN(D380)&gt;7,ISNUMBER(VALUE(LEFT(D380,6))),MID(D380,7,1)=" "),LEFT(D380,6),D380),"")</f>
        <v/>
      </c>
      <c r="I380" s="36" t="str">
        <f aca="false">IF(G380=1,IF(COUNTIF('Forecast Detail'!$C$8:$C$400,H380)=0,"UNMAPPED","OK"),"")</f>
        <v/>
      </c>
    </row>
    <row r="381" customFormat="false" ht="15" hidden="false" customHeight="false" outlineLevel="0" collapsed="false">
      <c r="D381" s="36" t="str">
        <f aca="false">TRIM(A381)</f>
        <v/>
      </c>
      <c r="E381" s="36" t="str">
        <f aca="false">IF(D381="Revenue","Revenue",IF(D381="Cost of Goods Sold","COGS",IF(D381="Expenditures","Expense",IF(D381="Other Revenue","Other Revenue",IF(D381="Other Expenditures","Other Expense",E380)))))</f>
        <v>Other Expense</v>
      </c>
      <c r="F381" s="36" t="str">
        <f aca="false">IF(OR(D381="Revenue",D381="Cost of Goods Sold",D381="Expenditures",D381="Other Revenue",D381="Other Expenditures"),E381,IF(AND(LEN(D381)&gt;2,MID(D381,2,1)=" ",ISNUMBER(VALUE(LEFT(D381,1)))),D381,F380))</f>
        <v>Other Expense</v>
      </c>
      <c r="G381" s="36" t="n">
        <f aca="false">IF(AND(D381&lt;&gt;"",ISNUMBER(B381),LEFT(D381,9)&lt;&gt;"Total for",D381&lt;&gt;"Gross Profit",D381&lt;&gt;"Net Operating Revenue",D381&lt;&gt;"Net Other Revenue",D381&lt;&gt;"Net Revenue"),1,0)</f>
        <v>0</v>
      </c>
      <c r="H381" s="36" t="str">
        <f aca="false">IF(G381=1,IF(AND(LEN(D381)&gt;7,ISNUMBER(VALUE(LEFT(D381,6))),MID(D381,7,1)=" "),LEFT(D381,6),D381),"")</f>
        <v/>
      </c>
      <c r="I381" s="36" t="str">
        <f aca="false">IF(G381=1,IF(COUNTIF('Forecast Detail'!$C$8:$C$400,H381)=0,"UNMAPPED","OK"),"")</f>
        <v/>
      </c>
    </row>
    <row r="382" customFormat="false" ht="15" hidden="false" customHeight="false" outlineLevel="0" collapsed="false">
      <c r="D382" s="36" t="str">
        <f aca="false">TRIM(A382)</f>
        <v/>
      </c>
      <c r="E382" s="36" t="str">
        <f aca="false">IF(D382="Revenue","Revenue",IF(D382="Cost of Goods Sold","COGS",IF(D382="Expenditures","Expense",IF(D382="Other Revenue","Other Revenue",IF(D382="Other Expenditures","Other Expense",E381)))))</f>
        <v>Other Expense</v>
      </c>
      <c r="F382" s="36" t="str">
        <f aca="false">IF(OR(D382="Revenue",D382="Cost of Goods Sold",D382="Expenditures",D382="Other Revenue",D382="Other Expenditures"),E382,IF(AND(LEN(D382)&gt;2,MID(D382,2,1)=" ",ISNUMBER(VALUE(LEFT(D382,1)))),D382,F381))</f>
        <v>Other Expense</v>
      </c>
      <c r="G382" s="36" t="n">
        <f aca="false">IF(AND(D382&lt;&gt;"",ISNUMBER(B382),LEFT(D382,9)&lt;&gt;"Total for",D382&lt;&gt;"Gross Profit",D382&lt;&gt;"Net Operating Revenue",D382&lt;&gt;"Net Other Revenue",D382&lt;&gt;"Net Revenue"),1,0)</f>
        <v>0</v>
      </c>
      <c r="H382" s="36" t="str">
        <f aca="false">IF(G382=1,IF(AND(LEN(D382)&gt;7,ISNUMBER(VALUE(LEFT(D382,6))),MID(D382,7,1)=" "),LEFT(D382,6),D382),"")</f>
        <v/>
      </c>
      <c r="I382" s="36" t="str">
        <f aca="false">IF(G382=1,IF(COUNTIF('Forecast Detail'!$C$8:$C$400,H382)=0,"UNMAPPED","OK"),"")</f>
        <v/>
      </c>
    </row>
    <row r="383" customFormat="false" ht="15" hidden="false" customHeight="false" outlineLevel="0" collapsed="false">
      <c r="D383" s="36" t="str">
        <f aca="false">TRIM(A383)</f>
        <v/>
      </c>
      <c r="E383" s="36" t="str">
        <f aca="false">IF(D383="Revenue","Revenue",IF(D383="Cost of Goods Sold","COGS",IF(D383="Expenditures","Expense",IF(D383="Other Revenue","Other Revenue",IF(D383="Other Expenditures","Other Expense",E382)))))</f>
        <v>Other Expense</v>
      </c>
      <c r="F383" s="36" t="str">
        <f aca="false">IF(OR(D383="Revenue",D383="Cost of Goods Sold",D383="Expenditures",D383="Other Revenue",D383="Other Expenditures"),E383,IF(AND(LEN(D383)&gt;2,MID(D383,2,1)=" ",ISNUMBER(VALUE(LEFT(D383,1)))),D383,F382))</f>
        <v>Other Expense</v>
      </c>
      <c r="G383" s="36" t="n">
        <f aca="false">IF(AND(D383&lt;&gt;"",ISNUMBER(B383),LEFT(D383,9)&lt;&gt;"Total for",D383&lt;&gt;"Gross Profit",D383&lt;&gt;"Net Operating Revenue",D383&lt;&gt;"Net Other Revenue",D383&lt;&gt;"Net Revenue"),1,0)</f>
        <v>0</v>
      </c>
      <c r="H383" s="36" t="str">
        <f aca="false">IF(G383=1,IF(AND(LEN(D383)&gt;7,ISNUMBER(VALUE(LEFT(D383,6))),MID(D383,7,1)=" "),LEFT(D383,6),D383),"")</f>
        <v/>
      </c>
      <c r="I383" s="36" t="str">
        <f aca="false">IF(G383=1,IF(COUNTIF('Forecast Detail'!$C$8:$C$400,H383)=0,"UNMAPPED","OK"),"")</f>
        <v/>
      </c>
    </row>
    <row r="384" customFormat="false" ht="15" hidden="false" customHeight="false" outlineLevel="0" collapsed="false">
      <c r="D384" s="36" t="str">
        <f aca="false">TRIM(A384)</f>
        <v/>
      </c>
      <c r="E384" s="36" t="str">
        <f aca="false">IF(D384="Revenue","Revenue",IF(D384="Cost of Goods Sold","COGS",IF(D384="Expenditures","Expense",IF(D384="Other Revenue","Other Revenue",IF(D384="Other Expenditures","Other Expense",E383)))))</f>
        <v>Other Expense</v>
      </c>
      <c r="F384" s="36" t="str">
        <f aca="false">IF(OR(D384="Revenue",D384="Cost of Goods Sold",D384="Expenditures",D384="Other Revenue",D384="Other Expenditures"),E384,IF(AND(LEN(D384)&gt;2,MID(D384,2,1)=" ",ISNUMBER(VALUE(LEFT(D384,1)))),D384,F383))</f>
        <v>Other Expense</v>
      </c>
      <c r="G384" s="36" t="n">
        <f aca="false">IF(AND(D384&lt;&gt;"",ISNUMBER(B384),LEFT(D384,9)&lt;&gt;"Total for",D384&lt;&gt;"Gross Profit",D384&lt;&gt;"Net Operating Revenue",D384&lt;&gt;"Net Other Revenue",D384&lt;&gt;"Net Revenue"),1,0)</f>
        <v>0</v>
      </c>
      <c r="H384" s="36" t="str">
        <f aca="false">IF(G384=1,IF(AND(LEN(D384)&gt;7,ISNUMBER(VALUE(LEFT(D384,6))),MID(D384,7,1)=" "),LEFT(D384,6),D384),"")</f>
        <v/>
      </c>
      <c r="I384" s="36" t="str">
        <f aca="false">IF(G384=1,IF(COUNTIF('Forecast Detail'!$C$8:$C$400,H384)=0,"UNMAPPED","OK"),"")</f>
        <v/>
      </c>
    </row>
    <row r="385" customFormat="false" ht="15" hidden="false" customHeight="false" outlineLevel="0" collapsed="false">
      <c r="D385" s="36" t="str">
        <f aca="false">TRIM(A385)</f>
        <v/>
      </c>
      <c r="E385" s="36" t="str">
        <f aca="false">IF(D385="Revenue","Revenue",IF(D385="Cost of Goods Sold","COGS",IF(D385="Expenditures","Expense",IF(D385="Other Revenue","Other Revenue",IF(D385="Other Expenditures","Other Expense",E384)))))</f>
        <v>Other Expense</v>
      </c>
      <c r="F385" s="36" t="str">
        <f aca="false">IF(OR(D385="Revenue",D385="Cost of Goods Sold",D385="Expenditures",D385="Other Revenue",D385="Other Expenditures"),E385,IF(AND(LEN(D385)&gt;2,MID(D385,2,1)=" ",ISNUMBER(VALUE(LEFT(D385,1)))),D385,F384))</f>
        <v>Other Expense</v>
      </c>
      <c r="G385" s="36" t="n">
        <f aca="false">IF(AND(D385&lt;&gt;"",ISNUMBER(B385),LEFT(D385,9)&lt;&gt;"Total for",D385&lt;&gt;"Gross Profit",D385&lt;&gt;"Net Operating Revenue",D385&lt;&gt;"Net Other Revenue",D385&lt;&gt;"Net Revenue"),1,0)</f>
        <v>0</v>
      </c>
      <c r="H385" s="36" t="str">
        <f aca="false">IF(G385=1,IF(AND(LEN(D385)&gt;7,ISNUMBER(VALUE(LEFT(D385,6))),MID(D385,7,1)=" "),LEFT(D385,6),D385),"")</f>
        <v/>
      </c>
      <c r="I385" s="36" t="str">
        <f aca="false">IF(G385=1,IF(COUNTIF('Forecast Detail'!$C$8:$C$400,H385)=0,"UNMAPPED","OK"),"")</f>
        <v/>
      </c>
    </row>
    <row r="386" customFormat="false" ht="15" hidden="false" customHeight="false" outlineLevel="0" collapsed="false">
      <c r="D386" s="36" t="str">
        <f aca="false">TRIM(A386)</f>
        <v/>
      </c>
      <c r="E386" s="36" t="str">
        <f aca="false">IF(D386="Revenue","Revenue",IF(D386="Cost of Goods Sold","COGS",IF(D386="Expenditures","Expense",IF(D386="Other Revenue","Other Revenue",IF(D386="Other Expenditures","Other Expense",E385)))))</f>
        <v>Other Expense</v>
      </c>
      <c r="F386" s="36" t="str">
        <f aca="false">IF(OR(D386="Revenue",D386="Cost of Goods Sold",D386="Expenditures",D386="Other Revenue",D386="Other Expenditures"),E386,IF(AND(LEN(D386)&gt;2,MID(D386,2,1)=" ",ISNUMBER(VALUE(LEFT(D386,1)))),D386,F385))</f>
        <v>Other Expense</v>
      </c>
      <c r="G386" s="36" t="n">
        <f aca="false">IF(AND(D386&lt;&gt;"",ISNUMBER(B386),LEFT(D386,9)&lt;&gt;"Total for",D386&lt;&gt;"Gross Profit",D386&lt;&gt;"Net Operating Revenue",D386&lt;&gt;"Net Other Revenue",D386&lt;&gt;"Net Revenue"),1,0)</f>
        <v>0</v>
      </c>
      <c r="H386" s="36" t="str">
        <f aca="false">IF(G386=1,IF(AND(LEN(D386)&gt;7,ISNUMBER(VALUE(LEFT(D386,6))),MID(D386,7,1)=" "),LEFT(D386,6),D386),"")</f>
        <v/>
      </c>
      <c r="I386" s="36" t="str">
        <f aca="false">IF(G386=1,IF(COUNTIF('Forecast Detail'!$C$8:$C$400,H386)=0,"UNMAPPED","OK"),"")</f>
        <v/>
      </c>
    </row>
    <row r="387" customFormat="false" ht="15" hidden="false" customHeight="false" outlineLevel="0" collapsed="false">
      <c r="D387" s="36" t="str">
        <f aca="false">TRIM(A387)</f>
        <v/>
      </c>
      <c r="E387" s="36" t="str">
        <f aca="false">IF(D387="Revenue","Revenue",IF(D387="Cost of Goods Sold","COGS",IF(D387="Expenditures","Expense",IF(D387="Other Revenue","Other Revenue",IF(D387="Other Expenditures","Other Expense",E386)))))</f>
        <v>Other Expense</v>
      </c>
      <c r="F387" s="36" t="str">
        <f aca="false">IF(OR(D387="Revenue",D387="Cost of Goods Sold",D387="Expenditures",D387="Other Revenue",D387="Other Expenditures"),E387,IF(AND(LEN(D387)&gt;2,MID(D387,2,1)=" ",ISNUMBER(VALUE(LEFT(D387,1)))),D387,F386))</f>
        <v>Other Expense</v>
      </c>
      <c r="G387" s="36" t="n">
        <f aca="false">IF(AND(D387&lt;&gt;"",ISNUMBER(B387),LEFT(D387,9)&lt;&gt;"Total for",D387&lt;&gt;"Gross Profit",D387&lt;&gt;"Net Operating Revenue",D387&lt;&gt;"Net Other Revenue",D387&lt;&gt;"Net Revenue"),1,0)</f>
        <v>0</v>
      </c>
      <c r="H387" s="36" t="str">
        <f aca="false">IF(G387=1,IF(AND(LEN(D387)&gt;7,ISNUMBER(VALUE(LEFT(D387,6))),MID(D387,7,1)=" "),LEFT(D387,6),D387),"")</f>
        <v/>
      </c>
      <c r="I387" s="36" t="str">
        <f aca="false">IF(G387=1,IF(COUNTIF('Forecast Detail'!$C$8:$C$400,H387)=0,"UNMAPPED","OK"),"")</f>
        <v/>
      </c>
    </row>
    <row r="388" customFormat="false" ht="15" hidden="false" customHeight="false" outlineLevel="0" collapsed="false">
      <c r="D388" s="36" t="str">
        <f aca="false">TRIM(A388)</f>
        <v/>
      </c>
      <c r="E388" s="36" t="str">
        <f aca="false">IF(D388="Revenue","Revenue",IF(D388="Cost of Goods Sold","COGS",IF(D388="Expenditures","Expense",IF(D388="Other Revenue","Other Revenue",IF(D388="Other Expenditures","Other Expense",E387)))))</f>
        <v>Other Expense</v>
      </c>
      <c r="F388" s="36" t="str">
        <f aca="false">IF(OR(D388="Revenue",D388="Cost of Goods Sold",D388="Expenditures",D388="Other Revenue",D388="Other Expenditures"),E388,IF(AND(LEN(D388)&gt;2,MID(D388,2,1)=" ",ISNUMBER(VALUE(LEFT(D388,1)))),D388,F387))</f>
        <v>Other Expense</v>
      </c>
      <c r="G388" s="36" t="n">
        <f aca="false">IF(AND(D388&lt;&gt;"",ISNUMBER(B388),LEFT(D388,9)&lt;&gt;"Total for",D388&lt;&gt;"Gross Profit",D388&lt;&gt;"Net Operating Revenue",D388&lt;&gt;"Net Other Revenue",D388&lt;&gt;"Net Revenue"),1,0)</f>
        <v>0</v>
      </c>
      <c r="H388" s="36" t="str">
        <f aca="false">IF(G388=1,IF(AND(LEN(D388)&gt;7,ISNUMBER(VALUE(LEFT(D388,6))),MID(D388,7,1)=" "),LEFT(D388,6),D388),"")</f>
        <v/>
      </c>
      <c r="I388" s="36" t="str">
        <f aca="false">IF(G388=1,IF(COUNTIF('Forecast Detail'!$C$8:$C$400,H388)=0,"UNMAPPED","OK"),"")</f>
        <v/>
      </c>
    </row>
    <row r="389" customFormat="false" ht="15" hidden="false" customHeight="false" outlineLevel="0" collapsed="false">
      <c r="D389" s="36" t="str">
        <f aca="false">TRIM(A389)</f>
        <v/>
      </c>
      <c r="E389" s="36" t="str">
        <f aca="false">IF(D389="Revenue","Revenue",IF(D389="Cost of Goods Sold","COGS",IF(D389="Expenditures","Expense",IF(D389="Other Revenue","Other Revenue",IF(D389="Other Expenditures","Other Expense",E388)))))</f>
        <v>Other Expense</v>
      </c>
      <c r="F389" s="36" t="str">
        <f aca="false">IF(OR(D389="Revenue",D389="Cost of Goods Sold",D389="Expenditures",D389="Other Revenue",D389="Other Expenditures"),E389,IF(AND(LEN(D389)&gt;2,MID(D389,2,1)=" ",ISNUMBER(VALUE(LEFT(D389,1)))),D389,F388))</f>
        <v>Other Expense</v>
      </c>
      <c r="G389" s="36" t="n">
        <f aca="false">IF(AND(D389&lt;&gt;"",ISNUMBER(B389),LEFT(D389,9)&lt;&gt;"Total for",D389&lt;&gt;"Gross Profit",D389&lt;&gt;"Net Operating Revenue",D389&lt;&gt;"Net Other Revenue",D389&lt;&gt;"Net Revenue"),1,0)</f>
        <v>0</v>
      </c>
      <c r="H389" s="36" t="str">
        <f aca="false">IF(G389=1,IF(AND(LEN(D389)&gt;7,ISNUMBER(VALUE(LEFT(D389,6))),MID(D389,7,1)=" "),LEFT(D389,6),D389),"")</f>
        <v/>
      </c>
      <c r="I389" s="36" t="str">
        <f aca="false">IF(G389=1,IF(COUNTIF('Forecast Detail'!$C$8:$C$400,H389)=0,"UNMAPPED","OK"),"")</f>
        <v/>
      </c>
    </row>
    <row r="390" customFormat="false" ht="15" hidden="false" customHeight="false" outlineLevel="0" collapsed="false">
      <c r="D390" s="36" t="str">
        <f aca="false">TRIM(A390)</f>
        <v/>
      </c>
      <c r="E390" s="36" t="str">
        <f aca="false">IF(D390="Revenue","Revenue",IF(D390="Cost of Goods Sold","COGS",IF(D390="Expenditures","Expense",IF(D390="Other Revenue","Other Revenue",IF(D390="Other Expenditures","Other Expense",E389)))))</f>
        <v>Other Expense</v>
      </c>
      <c r="F390" s="36" t="str">
        <f aca="false">IF(OR(D390="Revenue",D390="Cost of Goods Sold",D390="Expenditures",D390="Other Revenue",D390="Other Expenditures"),E390,IF(AND(LEN(D390)&gt;2,MID(D390,2,1)=" ",ISNUMBER(VALUE(LEFT(D390,1)))),D390,F389))</f>
        <v>Other Expense</v>
      </c>
      <c r="G390" s="36" t="n">
        <f aca="false">IF(AND(D390&lt;&gt;"",ISNUMBER(B390),LEFT(D390,9)&lt;&gt;"Total for",D390&lt;&gt;"Gross Profit",D390&lt;&gt;"Net Operating Revenue",D390&lt;&gt;"Net Other Revenue",D390&lt;&gt;"Net Revenue"),1,0)</f>
        <v>0</v>
      </c>
      <c r="H390" s="36" t="str">
        <f aca="false">IF(G390=1,IF(AND(LEN(D390)&gt;7,ISNUMBER(VALUE(LEFT(D390,6))),MID(D390,7,1)=" "),LEFT(D390,6),D390),"")</f>
        <v/>
      </c>
      <c r="I390" s="36" t="str">
        <f aca="false">IF(G390=1,IF(COUNTIF('Forecast Detail'!$C$8:$C$400,H390)=0,"UNMAPPED","OK"),"")</f>
        <v/>
      </c>
    </row>
    <row r="391" customFormat="false" ht="15" hidden="false" customHeight="false" outlineLevel="0" collapsed="false">
      <c r="D391" s="36" t="str">
        <f aca="false">TRIM(A391)</f>
        <v/>
      </c>
      <c r="E391" s="36" t="str">
        <f aca="false">IF(D391="Revenue","Revenue",IF(D391="Cost of Goods Sold","COGS",IF(D391="Expenditures","Expense",IF(D391="Other Revenue","Other Revenue",IF(D391="Other Expenditures","Other Expense",E390)))))</f>
        <v>Other Expense</v>
      </c>
      <c r="F391" s="36" t="str">
        <f aca="false">IF(OR(D391="Revenue",D391="Cost of Goods Sold",D391="Expenditures",D391="Other Revenue",D391="Other Expenditures"),E391,IF(AND(LEN(D391)&gt;2,MID(D391,2,1)=" ",ISNUMBER(VALUE(LEFT(D391,1)))),D391,F390))</f>
        <v>Other Expense</v>
      </c>
      <c r="G391" s="36" t="n">
        <f aca="false">IF(AND(D391&lt;&gt;"",ISNUMBER(B391),LEFT(D391,9)&lt;&gt;"Total for",D391&lt;&gt;"Gross Profit",D391&lt;&gt;"Net Operating Revenue",D391&lt;&gt;"Net Other Revenue",D391&lt;&gt;"Net Revenue"),1,0)</f>
        <v>0</v>
      </c>
      <c r="H391" s="36" t="str">
        <f aca="false">IF(G391=1,IF(AND(LEN(D391)&gt;7,ISNUMBER(VALUE(LEFT(D391,6))),MID(D391,7,1)=" "),LEFT(D391,6),D391),"")</f>
        <v/>
      </c>
      <c r="I391" s="36" t="str">
        <f aca="false">IF(G391=1,IF(COUNTIF('Forecast Detail'!$C$8:$C$400,H391)=0,"UNMAPPED","OK"),"")</f>
        <v/>
      </c>
    </row>
    <row r="392" customFormat="false" ht="15" hidden="false" customHeight="false" outlineLevel="0" collapsed="false">
      <c r="D392" s="36" t="str">
        <f aca="false">TRIM(A392)</f>
        <v/>
      </c>
      <c r="E392" s="36" t="str">
        <f aca="false">IF(D392="Revenue","Revenue",IF(D392="Cost of Goods Sold","COGS",IF(D392="Expenditures","Expense",IF(D392="Other Revenue","Other Revenue",IF(D392="Other Expenditures","Other Expense",E391)))))</f>
        <v>Other Expense</v>
      </c>
      <c r="F392" s="36" t="str">
        <f aca="false">IF(OR(D392="Revenue",D392="Cost of Goods Sold",D392="Expenditures",D392="Other Revenue",D392="Other Expenditures"),E392,IF(AND(LEN(D392)&gt;2,MID(D392,2,1)=" ",ISNUMBER(VALUE(LEFT(D392,1)))),D392,F391))</f>
        <v>Other Expense</v>
      </c>
      <c r="G392" s="36" t="n">
        <f aca="false">IF(AND(D392&lt;&gt;"",ISNUMBER(B392),LEFT(D392,9)&lt;&gt;"Total for",D392&lt;&gt;"Gross Profit",D392&lt;&gt;"Net Operating Revenue",D392&lt;&gt;"Net Other Revenue",D392&lt;&gt;"Net Revenue"),1,0)</f>
        <v>0</v>
      </c>
      <c r="H392" s="36" t="str">
        <f aca="false">IF(G392=1,IF(AND(LEN(D392)&gt;7,ISNUMBER(VALUE(LEFT(D392,6))),MID(D392,7,1)=" "),LEFT(D392,6),D392),"")</f>
        <v/>
      </c>
      <c r="I392" s="36" t="str">
        <f aca="false">IF(G392=1,IF(COUNTIF('Forecast Detail'!$C$8:$C$400,H392)=0,"UNMAPPED","OK"),"")</f>
        <v/>
      </c>
    </row>
    <row r="393" customFormat="false" ht="15" hidden="false" customHeight="false" outlineLevel="0" collapsed="false">
      <c r="D393" s="36" t="str">
        <f aca="false">TRIM(A393)</f>
        <v/>
      </c>
      <c r="E393" s="36" t="str">
        <f aca="false">IF(D393="Revenue","Revenue",IF(D393="Cost of Goods Sold","COGS",IF(D393="Expenditures","Expense",IF(D393="Other Revenue","Other Revenue",IF(D393="Other Expenditures","Other Expense",E392)))))</f>
        <v>Other Expense</v>
      </c>
      <c r="F393" s="36" t="str">
        <f aca="false">IF(OR(D393="Revenue",D393="Cost of Goods Sold",D393="Expenditures",D393="Other Revenue",D393="Other Expenditures"),E393,IF(AND(LEN(D393)&gt;2,MID(D393,2,1)=" ",ISNUMBER(VALUE(LEFT(D393,1)))),D393,F392))</f>
        <v>Other Expense</v>
      </c>
      <c r="G393" s="36" t="n">
        <f aca="false">IF(AND(D393&lt;&gt;"",ISNUMBER(B393),LEFT(D393,9)&lt;&gt;"Total for",D393&lt;&gt;"Gross Profit",D393&lt;&gt;"Net Operating Revenue",D393&lt;&gt;"Net Other Revenue",D393&lt;&gt;"Net Revenue"),1,0)</f>
        <v>0</v>
      </c>
      <c r="H393" s="36" t="str">
        <f aca="false">IF(G393=1,IF(AND(LEN(D393)&gt;7,ISNUMBER(VALUE(LEFT(D393,6))),MID(D393,7,1)=" "),LEFT(D393,6),D393),"")</f>
        <v/>
      </c>
      <c r="I393" s="36" t="str">
        <f aca="false">IF(G393=1,IF(COUNTIF('Forecast Detail'!$C$8:$C$400,H393)=0,"UNMAPPED","OK"),"")</f>
        <v/>
      </c>
    </row>
    <row r="394" customFormat="false" ht="15" hidden="false" customHeight="false" outlineLevel="0" collapsed="false">
      <c r="D394" s="36" t="str">
        <f aca="false">TRIM(A394)</f>
        <v/>
      </c>
      <c r="E394" s="36" t="str">
        <f aca="false">IF(D394="Revenue","Revenue",IF(D394="Cost of Goods Sold","COGS",IF(D394="Expenditures","Expense",IF(D394="Other Revenue","Other Revenue",IF(D394="Other Expenditures","Other Expense",E393)))))</f>
        <v>Other Expense</v>
      </c>
      <c r="F394" s="36" t="str">
        <f aca="false">IF(OR(D394="Revenue",D394="Cost of Goods Sold",D394="Expenditures",D394="Other Revenue",D394="Other Expenditures"),E394,IF(AND(LEN(D394)&gt;2,MID(D394,2,1)=" ",ISNUMBER(VALUE(LEFT(D394,1)))),D394,F393))</f>
        <v>Other Expense</v>
      </c>
      <c r="G394" s="36" t="n">
        <f aca="false">IF(AND(D394&lt;&gt;"",ISNUMBER(B394),LEFT(D394,9)&lt;&gt;"Total for",D394&lt;&gt;"Gross Profit",D394&lt;&gt;"Net Operating Revenue",D394&lt;&gt;"Net Other Revenue",D394&lt;&gt;"Net Revenue"),1,0)</f>
        <v>0</v>
      </c>
      <c r="H394" s="36" t="str">
        <f aca="false">IF(G394=1,IF(AND(LEN(D394)&gt;7,ISNUMBER(VALUE(LEFT(D394,6))),MID(D394,7,1)=" "),LEFT(D394,6),D394),"")</f>
        <v/>
      </c>
      <c r="I394" s="36" t="str">
        <f aca="false">IF(G394=1,IF(COUNTIF('Forecast Detail'!$C$8:$C$400,H394)=0,"UNMAPPED","OK"),"")</f>
        <v/>
      </c>
    </row>
    <row r="395" customFormat="false" ht="15" hidden="false" customHeight="false" outlineLevel="0" collapsed="false">
      <c r="D395" s="36" t="str">
        <f aca="false">TRIM(A395)</f>
        <v/>
      </c>
      <c r="E395" s="36" t="str">
        <f aca="false">IF(D395="Revenue","Revenue",IF(D395="Cost of Goods Sold","COGS",IF(D395="Expenditures","Expense",IF(D395="Other Revenue","Other Revenue",IF(D395="Other Expenditures","Other Expense",E394)))))</f>
        <v>Other Expense</v>
      </c>
      <c r="F395" s="36" t="str">
        <f aca="false">IF(OR(D395="Revenue",D395="Cost of Goods Sold",D395="Expenditures",D395="Other Revenue",D395="Other Expenditures"),E395,IF(AND(LEN(D395)&gt;2,MID(D395,2,1)=" ",ISNUMBER(VALUE(LEFT(D395,1)))),D395,F394))</f>
        <v>Other Expense</v>
      </c>
      <c r="G395" s="36" t="n">
        <f aca="false">IF(AND(D395&lt;&gt;"",ISNUMBER(B395),LEFT(D395,9)&lt;&gt;"Total for",D395&lt;&gt;"Gross Profit",D395&lt;&gt;"Net Operating Revenue",D395&lt;&gt;"Net Other Revenue",D395&lt;&gt;"Net Revenue"),1,0)</f>
        <v>0</v>
      </c>
      <c r="H395" s="36" t="str">
        <f aca="false">IF(G395=1,IF(AND(LEN(D395)&gt;7,ISNUMBER(VALUE(LEFT(D395,6))),MID(D395,7,1)=" "),LEFT(D395,6),D395),"")</f>
        <v/>
      </c>
      <c r="I395" s="36" t="str">
        <f aca="false">IF(G395=1,IF(COUNTIF('Forecast Detail'!$C$8:$C$400,H395)=0,"UNMAPPED","OK"),"")</f>
        <v/>
      </c>
    </row>
    <row r="396" customFormat="false" ht="15" hidden="false" customHeight="false" outlineLevel="0" collapsed="false">
      <c r="D396" s="36" t="str">
        <f aca="false">TRIM(A396)</f>
        <v/>
      </c>
      <c r="E396" s="36" t="str">
        <f aca="false">IF(D396="Revenue","Revenue",IF(D396="Cost of Goods Sold","COGS",IF(D396="Expenditures","Expense",IF(D396="Other Revenue","Other Revenue",IF(D396="Other Expenditures","Other Expense",E395)))))</f>
        <v>Other Expense</v>
      </c>
      <c r="F396" s="36" t="str">
        <f aca="false">IF(OR(D396="Revenue",D396="Cost of Goods Sold",D396="Expenditures",D396="Other Revenue",D396="Other Expenditures"),E396,IF(AND(LEN(D396)&gt;2,MID(D396,2,1)=" ",ISNUMBER(VALUE(LEFT(D396,1)))),D396,F395))</f>
        <v>Other Expense</v>
      </c>
      <c r="G396" s="36" t="n">
        <f aca="false">IF(AND(D396&lt;&gt;"",ISNUMBER(B396),LEFT(D396,9)&lt;&gt;"Total for",D396&lt;&gt;"Gross Profit",D396&lt;&gt;"Net Operating Revenue",D396&lt;&gt;"Net Other Revenue",D396&lt;&gt;"Net Revenue"),1,0)</f>
        <v>0</v>
      </c>
      <c r="H396" s="36" t="str">
        <f aca="false">IF(G396=1,IF(AND(LEN(D396)&gt;7,ISNUMBER(VALUE(LEFT(D396,6))),MID(D396,7,1)=" "),LEFT(D396,6),D396),"")</f>
        <v/>
      </c>
      <c r="I396" s="36" t="str">
        <f aca="false">IF(G396=1,IF(COUNTIF('Forecast Detail'!$C$8:$C$400,H396)=0,"UNMAPPED","OK"),"")</f>
        <v/>
      </c>
    </row>
    <row r="397" customFormat="false" ht="15" hidden="false" customHeight="false" outlineLevel="0" collapsed="false">
      <c r="D397" s="36" t="str">
        <f aca="false">TRIM(A397)</f>
        <v/>
      </c>
      <c r="E397" s="36" t="str">
        <f aca="false">IF(D397="Revenue","Revenue",IF(D397="Cost of Goods Sold","COGS",IF(D397="Expenditures","Expense",IF(D397="Other Revenue","Other Revenue",IF(D397="Other Expenditures","Other Expense",E396)))))</f>
        <v>Other Expense</v>
      </c>
      <c r="F397" s="36" t="str">
        <f aca="false">IF(OR(D397="Revenue",D397="Cost of Goods Sold",D397="Expenditures",D397="Other Revenue",D397="Other Expenditures"),E397,IF(AND(LEN(D397)&gt;2,MID(D397,2,1)=" ",ISNUMBER(VALUE(LEFT(D397,1)))),D397,F396))</f>
        <v>Other Expense</v>
      </c>
      <c r="G397" s="36" t="n">
        <f aca="false">IF(AND(D397&lt;&gt;"",ISNUMBER(B397),LEFT(D397,9)&lt;&gt;"Total for",D397&lt;&gt;"Gross Profit",D397&lt;&gt;"Net Operating Revenue",D397&lt;&gt;"Net Other Revenue",D397&lt;&gt;"Net Revenue"),1,0)</f>
        <v>0</v>
      </c>
      <c r="H397" s="36" t="str">
        <f aca="false">IF(G397=1,IF(AND(LEN(D397)&gt;7,ISNUMBER(VALUE(LEFT(D397,6))),MID(D397,7,1)=" "),LEFT(D397,6),D397),"")</f>
        <v/>
      </c>
      <c r="I397" s="36" t="str">
        <f aca="false">IF(G397=1,IF(COUNTIF('Forecast Detail'!$C$8:$C$400,H397)=0,"UNMAPPED","OK"),"")</f>
        <v/>
      </c>
    </row>
    <row r="398" customFormat="false" ht="15" hidden="false" customHeight="false" outlineLevel="0" collapsed="false">
      <c r="D398" s="36" t="str">
        <f aca="false">TRIM(A398)</f>
        <v/>
      </c>
      <c r="E398" s="36" t="str">
        <f aca="false">IF(D398="Revenue","Revenue",IF(D398="Cost of Goods Sold","COGS",IF(D398="Expenditures","Expense",IF(D398="Other Revenue","Other Revenue",IF(D398="Other Expenditures","Other Expense",E397)))))</f>
        <v>Other Expense</v>
      </c>
      <c r="F398" s="36" t="str">
        <f aca="false">IF(OR(D398="Revenue",D398="Cost of Goods Sold",D398="Expenditures",D398="Other Revenue",D398="Other Expenditures"),E398,IF(AND(LEN(D398)&gt;2,MID(D398,2,1)=" ",ISNUMBER(VALUE(LEFT(D398,1)))),D398,F397))</f>
        <v>Other Expense</v>
      </c>
      <c r="G398" s="36" t="n">
        <f aca="false">IF(AND(D398&lt;&gt;"",ISNUMBER(B398),LEFT(D398,9)&lt;&gt;"Total for",D398&lt;&gt;"Gross Profit",D398&lt;&gt;"Net Operating Revenue",D398&lt;&gt;"Net Other Revenue",D398&lt;&gt;"Net Revenue"),1,0)</f>
        <v>0</v>
      </c>
      <c r="H398" s="36" t="str">
        <f aca="false">IF(G398=1,IF(AND(LEN(D398)&gt;7,ISNUMBER(VALUE(LEFT(D398,6))),MID(D398,7,1)=" "),LEFT(D398,6),D398),"")</f>
        <v/>
      </c>
      <c r="I398" s="36" t="str">
        <f aca="false">IF(G398=1,IF(COUNTIF('Forecast Detail'!$C$8:$C$400,H398)=0,"UNMAPPED","OK"),"")</f>
        <v/>
      </c>
    </row>
    <row r="399" customFormat="false" ht="15" hidden="false" customHeight="false" outlineLevel="0" collapsed="false">
      <c r="D399" s="36" t="str">
        <f aca="false">TRIM(A399)</f>
        <v/>
      </c>
      <c r="E399" s="36" t="str">
        <f aca="false">IF(D399="Revenue","Revenue",IF(D399="Cost of Goods Sold","COGS",IF(D399="Expenditures","Expense",IF(D399="Other Revenue","Other Revenue",IF(D399="Other Expenditures","Other Expense",E398)))))</f>
        <v>Other Expense</v>
      </c>
      <c r="F399" s="36" t="str">
        <f aca="false">IF(OR(D399="Revenue",D399="Cost of Goods Sold",D399="Expenditures",D399="Other Revenue",D399="Other Expenditures"),E399,IF(AND(LEN(D399)&gt;2,MID(D399,2,1)=" ",ISNUMBER(VALUE(LEFT(D399,1)))),D399,F398))</f>
        <v>Other Expense</v>
      </c>
      <c r="G399" s="36" t="n">
        <f aca="false">IF(AND(D399&lt;&gt;"",ISNUMBER(B399),LEFT(D399,9)&lt;&gt;"Total for",D399&lt;&gt;"Gross Profit",D399&lt;&gt;"Net Operating Revenue",D399&lt;&gt;"Net Other Revenue",D399&lt;&gt;"Net Revenue"),1,0)</f>
        <v>0</v>
      </c>
      <c r="H399" s="36" t="str">
        <f aca="false">IF(G399=1,IF(AND(LEN(D399)&gt;7,ISNUMBER(VALUE(LEFT(D399,6))),MID(D399,7,1)=" "),LEFT(D399,6),D399),"")</f>
        <v/>
      </c>
      <c r="I399" s="36" t="str">
        <f aca="false">IF(G399=1,IF(COUNTIF('Forecast Detail'!$C$8:$C$400,H399)=0,"UNMAPPED","OK"),"")</f>
        <v/>
      </c>
    </row>
    <row r="400" customFormat="false" ht="15" hidden="false" customHeight="false" outlineLevel="0" collapsed="false">
      <c r="D400" s="36" t="str">
        <f aca="false">TRIM(A400)</f>
        <v/>
      </c>
      <c r="E400" s="36" t="str">
        <f aca="false">IF(D400="Revenue","Revenue",IF(D400="Cost of Goods Sold","COGS",IF(D400="Expenditures","Expense",IF(D400="Other Revenue","Other Revenue",IF(D400="Other Expenditures","Other Expense",E399)))))</f>
        <v>Other Expense</v>
      </c>
      <c r="F400" s="36" t="str">
        <f aca="false">IF(OR(D400="Revenue",D400="Cost of Goods Sold",D400="Expenditures",D400="Other Revenue",D400="Other Expenditures"),E400,IF(AND(LEN(D400)&gt;2,MID(D400,2,1)=" ",ISNUMBER(VALUE(LEFT(D400,1)))),D400,F399))</f>
        <v>Other Expense</v>
      </c>
      <c r="G400" s="36" t="n">
        <f aca="false">IF(AND(D400&lt;&gt;"",ISNUMBER(B400),LEFT(D400,9)&lt;&gt;"Total for",D400&lt;&gt;"Gross Profit",D400&lt;&gt;"Net Operating Revenue",D400&lt;&gt;"Net Other Revenue",D400&lt;&gt;"Net Revenue"),1,0)</f>
        <v>0</v>
      </c>
      <c r="H400" s="36" t="str">
        <f aca="false">IF(G400=1,IF(AND(LEN(D400)&gt;7,ISNUMBER(VALUE(LEFT(D400,6))),MID(D400,7,1)=" "),LEFT(D400,6),D400),"")</f>
        <v/>
      </c>
      <c r="I400" s="36" t="str">
        <f aca="false">IF(G400=1,IF(COUNTIF('Forecast Detail'!$C$8:$C$400,H400)=0,"UNMAPPED","OK"),"")</f>
        <v/>
      </c>
    </row>
    <row r="401" customFormat="false" ht="15" hidden="false" customHeight="false" outlineLevel="0" collapsed="false">
      <c r="D401" s="36" t="str">
        <f aca="false">TRIM(A401)</f>
        <v/>
      </c>
      <c r="E401" s="36" t="str">
        <f aca="false">IF(D401="Revenue","Revenue",IF(D401="Cost of Goods Sold","COGS",IF(D401="Expenditures","Expense",IF(D401="Other Revenue","Other Revenue",IF(D401="Other Expenditures","Other Expense",E400)))))</f>
        <v>Other Expense</v>
      </c>
      <c r="F401" s="36" t="str">
        <f aca="false">IF(OR(D401="Revenue",D401="Cost of Goods Sold",D401="Expenditures",D401="Other Revenue",D401="Other Expenditures"),E401,IF(AND(LEN(D401)&gt;2,MID(D401,2,1)=" ",ISNUMBER(VALUE(LEFT(D401,1)))),D401,F400))</f>
        <v>Other Expense</v>
      </c>
      <c r="G401" s="36" t="n">
        <f aca="false">IF(AND(D401&lt;&gt;"",ISNUMBER(B401),LEFT(D401,9)&lt;&gt;"Total for",D401&lt;&gt;"Gross Profit",D401&lt;&gt;"Net Operating Revenue",D401&lt;&gt;"Net Other Revenue",D401&lt;&gt;"Net Revenue"),1,0)</f>
        <v>0</v>
      </c>
      <c r="H401" s="36" t="str">
        <f aca="false">IF(G401=1,IF(AND(LEN(D401)&gt;7,ISNUMBER(VALUE(LEFT(D401,6))),MID(D401,7,1)=" "),LEFT(D401,6),D401),"")</f>
        <v/>
      </c>
      <c r="I401" s="36" t="str">
        <f aca="false">IF(G401=1,IF(COUNTIF('Forecast Detail'!$C$8:$C$400,H401)=0,"UNMAPPED","OK"),"")</f>
        <v/>
      </c>
    </row>
    <row r="402" customFormat="false" ht="15" hidden="false" customHeight="false" outlineLevel="0" collapsed="false">
      <c r="D402" s="36" t="str">
        <f aca="false">TRIM(A402)</f>
        <v/>
      </c>
      <c r="E402" s="36" t="str">
        <f aca="false">IF(D402="Revenue","Revenue",IF(D402="Cost of Goods Sold","COGS",IF(D402="Expenditures","Expense",IF(D402="Other Revenue","Other Revenue",IF(D402="Other Expenditures","Other Expense",E401)))))</f>
        <v>Other Expense</v>
      </c>
      <c r="F402" s="36" t="str">
        <f aca="false">IF(OR(D402="Revenue",D402="Cost of Goods Sold",D402="Expenditures",D402="Other Revenue",D402="Other Expenditures"),E402,IF(AND(LEN(D402)&gt;2,MID(D402,2,1)=" ",ISNUMBER(VALUE(LEFT(D402,1)))),D402,F401))</f>
        <v>Other Expense</v>
      </c>
      <c r="G402" s="36" t="n">
        <f aca="false">IF(AND(D402&lt;&gt;"",ISNUMBER(B402),LEFT(D402,9)&lt;&gt;"Total for",D402&lt;&gt;"Gross Profit",D402&lt;&gt;"Net Operating Revenue",D402&lt;&gt;"Net Other Revenue",D402&lt;&gt;"Net Revenue"),1,0)</f>
        <v>0</v>
      </c>
      <c r="H402" s="36" t="str">
        <f aca="false">IF(G402=1,IF(AND(LEN(D402)&gt;7,ISNUMBER(VALUE(LEFT(D402,6))),MID(D402,7,1)=" "),LEFT(D402,6),D402),"")</f>
        <v/>
      </c>
      <c r="I402" s="36" t="str">
        <f aca="false">IF(G402=1,IF(COUNTIF('Forecast Detail'!$C$8:$C$400,H402)=0,"UNMAPPED","OK"),"")</f>
        <v/>
      </c>
    </row>
    <row r="403" customFormat="false" ht="15" hidden="false" customHeight="false" outlineLevel="0" collapsed="false">
      <c r="D403" s="36" t="str">
        <f aca="false">TRIM(A403)</f>
        <v/>
      </c>
      <c r="E403" s="36" t="str">
        <f aca="false">IF(D403="Revenue","Revenue",IF(D403="Cost of Goods Sold","COGS",IF(D403="Expenditures","Expense",IF(D403="Other Revenue","Other Revenue",IF(D403="Other Expenditures","Other Expense",E402)))))</f>
        <v>Other Expense</v>
      </c>
      <c r="F403" s="36" t="str">
        <f aca="false">IF(OR(D403="Revenue",D403="Cost of Goods Sold",D403="Expenditures",D403="Other Revenue",D403="Other Expenditures"),E403,IF(AND(LEN(D403)&gt;2,MID(D403,2,1)=" ",ISNUMBER(VALUE(LEFT(D403,1)))),D403,F402))</f>
        <v>Other Expense</v>
      </c>
      <c r="G403" s="36" t="n">
        <f aca="false">IF(AND(D403&lt;&gt;"",ISNUMBER(B403),LEFT(D403,9)&lt;&gt;"Total for",D403&lt;&gt;"Gross Profit",D403&lt;&gt;"Net Operating Revenue",D403&lt;&gt;"Net Other Revenue",D403&lt;&gt;"Net Revenue"),1,0)</f>
        <v>0</v>
      </c>
      <c r="H403" s="36" t="str">
        <f aca="false">IF(G403=1,IF(AND(LEN(D403)&gt;7,ISNUMBER(VALUE(LEFT(D403,6))),MID(D403,7,1)=" "),LEFT(D403,6),D403),"")</f>
        <v/>
      </c>
      <c r="I403" s="36" t="str">
        <f aca="false">IF(G403=1,IF(COUNTIF('Forecast Detail'!$C$8:$C$400,H403)=0,"UNMAPPED","OK"),"")</f>
        <v/>
      </c>
    </row>
    <row r="404" customFormat="false" ht="15" hidden="false" customHeight="false" outlineLevel="0" collapsed="false">
      <c r="D404" s="36" t="str">
        <f aca="false">TRIM(A404)</f>
        <v/>
      </c>
      <c r="E404" s="36" t="str">
        <f aca="false">IF(D404="Revenue","Revenue",IF(D404="Cost of Goods Sold","COGS",IF(D404="Expenditures","Expense",IF(D404="Other Revenue","Other Revenue",IF(D404="Other Expenditures","Other Expense",E403)))))</f>
        <v>Other Expense</v>
      </c>
      <c r="F404" s="36" t="str">
        <f aca="false">IF(OR(D404="Revenue",D404="Cost of Goods Sold",D404="Expenditures",D404="Other Revenue",D404="Other Expenditures"),E404,IF(AND(LEN(D404)&gt;2,MID(D404,2,1)=" ",ISNUMBER(VALUE(LEFT(D404,1)))),D404,F403))</f>
        <v>Other Expense</v>
      </c>
      <c r="G404" s="36" t="n">
        <f aca="false">IF(AND(D404&lt;&gt;"",ISNUMBER(B404),LEFT(D404,9)&lt;&gt;"Total for",D404&lt;&gt;"Gross Profit",D404&lt;&gt;"Net Operating Revenue",D404&lt;&gt;"Net Other Revenue",D404&lt;&gt;"Net Revenue"),1,0)</f>
        <v>0</v>
      </c>
      <c r="H404" s="36" t="str">
        <f aca="false">IF(G404=1,IF(AND(LEN(D404)&gt;7,ISNUMBER(VALUE(LEFT(D404,6))),MID(D404,7,1)=" "),LEFT(D404,6),D404),"")</f>
        <v/>
      </c>
      <c r="I404" s="36" t="str">
        <f aca="false">IF(G404=1,IF(COUNTIF('Forecast Detail'!$C$8:$C$400,H404)=0,"UNMAPPED","OK"),"")</f>
        <v/>
      </c>
    </row>
    <row r="405" customFormat="false" ht="15" hidden="false" customHeight="false" outlineLevel="0" collapsed="false">
      <c r="D405" s="36" t="str">
        <f aca="false">TRIM(A405)</f>
        <v/>
      </c>
      <c r="E405" s="36" t="str">
        <f aca="false">IF(D405="Revenue","Revenue",IF(D405="Cost of Goods Sold","COGS",IF(D405="Expenditures","Expense",IF(D405="Other Revenue","Other Revenue",IF(D405="Other Expenditures","Other Expense",E404)))))</f>
        <v>Other Expense</v>
      </c>
      <c r="F405" s="36" t="str">
        <f aca="false">IF(OR(D405="Revenue",D405="Cost of Goods Sold",D405="Expenditures",D405="Other Revenue",D405="Other Expenditures"),E405,IF(AND(LEN(D405)&gt;2,MID(D405,2,1)=" ",ISNUMBER(VALUE(LEFT(D405,1)))),D405,F404))</f>
        <v>Other Expense</v>
      </c>
      <c r="G405" s="36" t="n">
        <f aca="false">IF(AND(D405&lt;&gt;"",ISNUMBER(B405),LEFT(D405,9)&lt;&gt;"Total for",D405&lt;&gt;"Gross Profit",D405&lt;&gt;"Net Operating Revenue",D405&lt;&gt;"Net Other Revenue",D405&lt;&gt;"Net Revenue"),1,0)</f>
        <v>0</v>
      </c>
      <c r="H405" s="36" t="str">
        <f aca="false">IF(G405=1,IF(AND(LEN(D405)&gt;7,ISNUMBER(VALUE(LEFT(D405,6))),MID(D405,7,1)=" "),LEFT(D405,6),D405),"")</f>
        <v/>
      </c>
      <c r="I405" s="36" t="str">
        <f aca="false">IF(G405=1,IF(COUNTIF('Forecast Detail'!$C$8:$C$400,H405)=0,"UNMAPPED","OK"),"")</f>
        <v/>
      </c>
    </row>
    <row r="406" customFormat="false" ht="15" hidden="false" customHeight="false" outlineLevel="0" collapsed="false">
      <c r="D406" s="36" t="str">
        <f aca="false">TRIM(A406)</f>
        <v/>
      </c>
      <c r="E406" s="36" t="str">
        <f aca="false">IF(D406="Revenue","Revenue",IF(D406="Cost of Goods Sold","COGS",IF(D406="Expenditures","Expense",IF(D406="Other Revenue","Other Revenue",IF(D406="Other Expenditures","Other Expense",E405)))))</f>
        <v>Other Expense</v>
      </c>
      <c r="F406" s="36" t="str">
        <f aca="false">IF(OR(D406="Revenue",D406="Cost of Goods Sold",D406="Expenditures",D406="Other Revenue",D406="Other Expenditures"),E406,IF(AND(LEN(D406)&gt;2,MID(D406,2,1)=" ",ISNUMBER(VALUE(LEFT(D406,1)))),D406,F405))</f>
        <v>Other Expense</v>
      </c>
      <c r="G406" s="36" t="n">
        <f aca="false">IF(AND(D406&lt;&gt;"",ISNUMBER(B406),LEFT(D406,9)&lt;&gt;"Total for",D406&lt;&gt;"Gross Profit",D406&lt;&gt;"Net Operating Revenue",D406&lt;&gt;"Net Other Revenue",D406&lt;&gt;"Net Revenue"),1,0)</f>
        <v>0</v>
      </c>
      <c r="H406" s="36" t="str">
        <f aca="false">IF(G406=1,IF(AND(LEN(D406)&gt;7,ISNUMBER(VALUE(LEFT(D406,6))),MID(D406,7,1)=" "),LEFT(D406,6),D406),"")</f>
        <v/>
      </c>
      <c r="I406" s="36" t="str">
        <f aca="false">IF(G406=1,IF(COUNTIF('Forecast Detail'!$C$8:$C$400,H406)=0,"UNMAPPED","OK"),"")</f>
        <v/>
      </c>
    </row>
    <row r="407" customFormat="false" ht="15" hidden="false" customHeight="false" outlineLevel="0" collapsed="false">
      <c r="D407" s="36" t="str">
        <f aca="false">TRIM(A407)</f>
        <v/>
      </c>
      <c r="E407" s="36" t="str">
        <f aca="false">IF(D407="Revenue","Revenue",IF(D407="Cost of Goods Sold","COGS",IF(D407="Expenditures","Expense",IF(D407="Other Revenue","Other Revenue",IF(D407="Other Expenditures","Other Expense",E406)))))</f>
        <v>Other Expense</v>
      </c>
      <c r="F407" s="36" t="str">
        <f aca="false">IF(OR(D407="Revenue",D407="Cost of Goods Sold",D407="Expenditures",D407="Other Revenue",D407="Other Expenditures"),E407,IF(AND(LEN(D407)&gt;2,MID(D407,2,1)=" ",ISNUMBER(VALUE(LEFT(D407,1)))),D407,F406))</f>
        <v>Other Expense</v>
      </c>
      <c r="G407" s="36" t="n">
        <f aca="false">IF(AND(D407&lt;&gt;"",ISNUMBER(B407),LEFT(D407,9)&lt;&gt;"Total for",D407&lt;&gt;"Gross Profit",D407&lt;&gt;"Net Operating Revenue",D407&lt;&gt;"Net Other Revenue",D407&lt;&gt;"Net Revenue"),1,0)</f>
        <v>0</v>
      </c>
      <c r="H407" s="36" t="str">
        <f aca="false">IF(G407=1,IF(AND(LEN(D407)&gt;7,ISNUMBER(VALUE(LEFT(D407,6))),MID(D407,7,1)=" "),LEFT(D407,6),D407),"")</f>
        <v/>
      </c>
      <c r="I407" s="36" t="str">
        <f aca="false">IF(G407=1,IF(COUNTIF('Forecast Detail'!$C$8:$C$400,H407)=0,"UNMAPPED","OK"),"")</f>
        <v/>
      </c>
    </row>
    <row r="408" customFormat="false" ht="15" hidden="false" customHeight="false" outlineLevel="0" collapsed="false">
      <c r="D408" s="36" t="str">
        <f aca="false">TRIM(A408)</f>
        <v/>
      </c>
      <c r="E408" s="36" t="str">
        <f aca="false">IF(D408="Revenue","Revenue",IF(D408="Cost of Goods Sold","COGS",IF(D408="Expenditures","Expense",IF(D408="Other Revenue","Other Revenue",IF(D408="Other Expenditures","Other Expense",E407)))))</f>
        <v>Other Expense</v>
      </c>
      <c r="F408" s="36" t="str">
        <f aca="false">IF(OR(D408="Revenue",D408="Cost of Goods Sold",D408="Expenditures",D408="Other Revenue",D408="Other Expenditures"),E408,IF(AND(LEN(D408)&gt;2,MID(D408,2,1)=" ",ISNUMBER(VALUE(LEFT(D408,1)))),D408,F407))</f>
        <v>Other Expense</v>
      </c>
      <c r="G408" s="36" t="n">
        <f aca="false">IF(AND(D408&lt;&gt;"",ISNUMBER(B408),LEFT(D408,9)&lt;&gt;"Total for",D408&lt;&gt;"Gross Profit",D408&lt;&gt;"Net Operating Revenue",D408&lt;&gt;"Net Other Revenue",D408&lt;&gt;"Net Revenue"),1,0)</f>
        <v>0</v>
      </c>
      <c r="H408" s="36" t="str">
        <f aca="false">IF(G408=1,IF(AND(LEN(D408)&gt;7,ISNUMBER(VALUE(LEFT(D408,6))),MID(D408,7,1)=" "),LEFT(D408,6),D408),"")</f>
        <v/>
      </c>
      <c r="I408" s="36" t="str">
        <f aca="false">IF(G408=1,IF(COUNTIF('Forecast Detail'!$C$8:$C$400,H408)=0,"UNMAPPED","OK"),"")</f>
        <v/>
      </c>
    </row>
    <row r="409" customFormat="false" ht="15" hidden="false" customHeight="false" outlineLevel="0" collapsed="false">
      <c r="D409" s="36" t="str">
        <f aca="false">TRIM(A409)</f>
        <v/>
      </c>
      <c r="E409" s="36" t="str">
        <f aca="false">IF(D409="Revenue","Revenue",IF(D409="Cost of Goods Sold","COGS",IF(D409="Expenditures","Expense",IF(D409="Other Revenue","Other Revenue",IF(D409="Other Expenditures","Other Expense",E408)))))</f>
        <v>Other Expense</v>
      </c>
      <c r="F409" s="36" t="str">
        <f aca="false">IF(OR(D409="Revenue",D409="Cost of Goods Sold",D409="Expenditures",D409="Other Revenue",D409="Other Expenditures"),E409,IF(AND(LEN(D409)&gt;2,MID(D409,2,1)=" ",ISNUMBER(VALUE(LEFT(D409,1)))),D409,F408))</f>
        <v>Other Expense</v>
      </c>
      <c r="G409" s="36" t="n">
        <f aca="false">IF(AND(D409&lt;&gt;"",ISNUMBER(B409),LEFT(D409,9)&lt;&gt;"Total for",D409&lt;&gt;"Gross Profit",D409&lt;&gt;"Net Operating Revenue",D409&lt;&gt;"Net Other Revenue",D409&lt;&gt;"Net Revenue"),1,0)</f>
        <v>0</v>
      </c>
      <c r="H409" s="36" t="str">
        <f aca="false">IF(G409=1,IF(AND(LEN(D409)&gt;7,ISNUMBER(VALUE(LEFT(D409,6))),MID(D409,7,1)=" "),LEFT(D409,6),D409),"")</f>
        <v/>
      </c>
      <c r="I409" s="36" t="str">
        <f aca="false">IF(G409=1,IF(COUNTIF('Forecast Detail'!$C$8:$C$400,H409)=0,"UNMAPPED","OK"),"")</f>
        <v/>
      </c>
    </row>
    <row r="410" customFormat="false" ht="15" hidden="false" customHeight="false" outlineLevel="0" collapsed="false">
      <c r="D410" s="36" t="str">
        <f aca="false">TRIM(A410)</f>
        <v/>
      </c>
      <c r="E410" s="36" t="str">
        <f aca="false">IF(D410="Revenue","Revenue",IF(D410="Cost of Goods Sold","COGS",IF(D410="Expenditures","Expense",IF(D410="Other Revenue","Other Revenue",IF(D410="Other Expenditures","Other Expense",E409)))))</f>
        <v>Other Expense</v>
      </c>
      <c r="F410" s="36" t="str">
        <f aca="false">IF(OR(D410="Revenue",D410="Cost of Goods Sold",D410="Expenditures",D410="Other Revenue",D410="Other Expenditures"),E410,IF(AND(LEN(D410)&gt;2,MID(D410,2,1)=" ",ISNUMBER(VALUE(LEFT(D410,1)))),D410,F409))</f>
        <v>Other Expense</v>
      </c>
      <c r="G410" s="36" t="n">
        <f aca="false">IF(AND(D410&lt;&gt;"",ISNUMBER(B410),LEFT(D410,9)&lt;&gt;"Total for",D410&lt;&gt;"Gross Profit",D410&lt;&gt;"Net Operating Revenue",D410&lt;&gt;"Net Other Revenue",D410&lt;&gt;"Net Revenue"),1,0)</f>
        <v>0</v>
      </c>
      <c r="H410" s="36" t="str">
        <f aca="false">IF(G410=1,IF(AND(LEN(D410)&gt;7,ISNUMBER(VALUE(LEFT(D410,6))),MID(D410,7,1)=" "),LEFT(D410,6),D410),"")</f>
        <v/>
      </c>
      <c r="I410" s="36" t="str">
        <f aca="false">IF(G410=1,IF(COUNTIF('Forecast Detail'!$C$8:$C$400,H410)=0,"UNMAPPED","OK"),"")</f>
        <v/>
      </c>
    </row>
    <row r="411" customFormat="false" ht="15" hidden="false" customHeight="false" outlineLevel="0" collapsed="false">
      <c r="D411" s="36" t="str">
        <f aca="false">TRIM(A411)</f>
        <v/>
      </c>
      <c r="E411" s="36" t="str">
        <f aca="false">IF(D411="Revenue","Revenue",IF(D411="Cost of Goods Sold","COGS",IF(D411="Expenditures","Expense",IF(D411="Other Revenue","Other Revenue",IF(D411="Other Expenditures","Other Expense",E410)))))</f>
        <v>Other Expense</v>
      </c>
      <c r="F411" s="36" t="str">
        <f aca="false">IF(OR(D411="Revenue",D411="Cost of Goods Sold",D411="Expenditures",D411="Other Revenue",D411="Other Expenditures"),E411,IF(AND(LEN(D411)&gt;2,MID(D411,2,1)=" ",ISNUMBER(VALUE(LEFT(D411,1)))),D411,F410))</f>
        <v>Other Expense</v>
      </c>
      <c r="G411" s="36" t="n">
        <f aca="false">IF(AND(D411&lt;&gt;"",ISNUMBER(B411),LEFT(D411,9)&lt;&gt;"Total for",D411&lt;&gt;"Gross Profit",D411&lt;&gt;"Net Operating Revenue",D411&lt;&gt;"Net Other Revenue",D411&lt;&gt;"Net Revenue"),1,0)</f>
        <v>0</v>
      </c>
      <c r="H411" s="36" t="str">
        <f aca="false">IF(G411=1,IF(AND(LEN(D411)&gt;7,ISNUMBER(VALUE(LEFT(D411,6))),MID(D411,7,1)=" "),LEFT(D411,6),D411),"")</f>
        <v/>
      </c>
      <c r="I411" s="36" t="str">
        <f aca="false">IF(G411=1,IF(COUNTIF('Forecast Detail'!$C$8:$C$400,H411)=0,"UNMAPPED","OK"),"")</f>
        <v/>
      </c>
    </row>
    <row r="412" customFormat="false" ht="15" hidden="false" customHeight="false" outlineLevel="0" collapsed="false">
      <c r="D412" s="36" t="str">
        <f aca="false">TRIM(A412)</f>
        <v/>
      </c>
      <c r="E412" s="36" t="str">
        <f aca="false">IF(D412="Revenue","Revenue",IF(D412="Cost of Goods Sold","COGS",IF(D412="Expenditures","Expense",IF(D412="Other Revenue","Other Revenue",IF(D412="Other Expenditures","Other Expense",E411)))))</f>
        <v>Other Expense</v>
      </c>
      <c r="F412" s="36" t="str">
        <f aca="false">IF(OR(D412="Revenue",D412="Cost of Goods Sold",D412="Expenditures",D412="Other Revenue",D412="Other Expenditures"),E412,IF(AND(LEN(D412)&gt;2,MID(D412,2,1)=" ",ISNUMBER(VALUE(LEFT(D412,1)))),D412,F411))</f>
        <v>Other Expense</v>
      </c>
      <c r="G412" s="36" t="n">
        <f aca="false">IF(AND(D412&lt;&gt;"",ISNUMBER(B412),LEFT(D412,9)&lt;&gt;"Total for",D412&lt;&gt;"Gross Profit",D412&lt;&gt;"Net Operating Revenue",D412&lt;&gt;"Net Other Revenue",D412&lt;&gt;"Net Revenue"),1,0)</f>
        <v>0</v>
      </c>
      <c r="H412" s="36" t="str">
        <f aca="false">IF(G412=1,IF(AND(LEN(D412)&gt;7,ISNUMBER(VALUE(LEFT(D412,6))),MID(D412,7,1)=" "),LEFT(D412,6),D412),"")</f>
        <v/>
      </c>
      <c r="I412" s="36" t="str">
        <f aca="false">IF(G412=1,IF(COUNTIF('Forecast Detail'!$C$8:$C$400,H412)=0,"UNMAPPED","OK"),"")</f>
        <v/>
      </c>
    </row>
    <row r="413" customFormat="false" ht="15" hidden="false" customHeight="false" outlineLevel="0" collapsed="false">
      <c r="D413" s="36" t="str">
        <f aca="false">TRIM(A413)</f>
        <v/>
      </c>
      <c r="E413" s="36" t="str">
        <f aca="false">IF(D413="Revenue","Revenue",IF(D413="Cost of Goods Sold","COGS",IF(D413="Expenditures","Expense",IF(D413="Other Revenue","Other Revenue",IF(D413="Other Expenditures","Other Expense",E412)))))</f>
        <v>Other Expense</v>
      </c>
      <c r="F413" s="36" t="str">
        <f aca="false">IF(OR(D413="Revenue",D413="Cost of Goods Sold",D413="Expenditures",D413="Other Revenue",D413="Other Expenditures"),E413,IF(AND(LEN(D413)&gt;2,MID(D413,2,1)=" ",ISNUMBER(VALUE(LEFT(D413,1)))),D413,F412))</f>
        <v>Other Expense</v>
      </c>
      <c r="G413" s="36" t="n">
        <f aca="false">IF(AND(D413&lt;&gt;"",ISNUMBER(B413),LEFT(D413,9)&lt;&gt;"Total for",D413&lt;&gt;"Gross Profit",D413&lt;&gt;"Net Operating Revenue",D413&lt;&gt;"Net Other Revenue",D413&lt;&gt;"Net Revenue"),1,0)</f>
        <v>0</v>
      </c>
      <c r="H413" s="36" t="str">
        <f aca="false">IF(G413=1,IF(AND(LEN(D413)&gt;7,ISNUMBER(VALUE(LEFT(D413,6))),MID(D413,7,1)=" "),LEFT(D413,6),D413),"")</f>
        <v/>
      </c>
      <c r="I413" s="36" t="str">
        <f aca="false">IF(G413=1,IF(COUNTIF('Forecast Detail'!$C$8:$C$400,H413)=0,"UNMAPPED","OK"),"")</f>
        <v/>
      </c>
    </row>
    <row r="414" customFormat="false" ht="15" hidden="false" customHeight="false" outlineLevel="0" collapsed="false">
      <c r="D414" s="36" t="str">
        <f aca="false">TRIM(A414)</f>
        <v/>
      </c>
      <c r="E414" s="36" t="str">
        <f aca="false">IF(D414="Revenue","Revenue",IF(D414="Cost of Goods Sold","COGS",IF(D414="Expenditures","Expense",IF(D414="Other Revenue","Other Revenue",IF(D414="Other Expenditures","Other Expense",E413)))))</f>
        <v>Other Expense</v>
      </c>
      <c r="F414" s="36" t="str">
        <f aca="false">IF(OR(D414="Revenue",D414="Cost of Goods Sold",D414="Expenditures",D414="Other Revenue",D414="Other Expenditures"),E414,IF(AND(LEN(D414)&gt;2,MID(D414,2,1)=" ",ISNUMBER(VALUE(LEFT(D414,1)))),D414,F413))</f>
        <v>Other Expense</v>
      </c>
      <c r="G414" s="36" t="n">
        <f aca="false">IF(AND(D414&lt;&gt;"",ISNUMBER(B414),LEFT(D414,9)&lt;&gt;"Total for",D414&lt;&gt;"Gross Profit",D414&lt;&gt;"Net Operating Revenue",D414&lt;&gt;"Net Other Revenue",D414&lt;&gt;"Net Revenue"),1,0)</f>
        <v>0</v>
      </c>
      <c r="H414" s="36" t="str">
        <f aca="false">IF(G414=1,IF(AND(LEN(D414)&gt;7,ISNUMBER(VALUE(LEFT(D414,6))),MID(D414,7,1)=" "),LEFT(D414,6),D414),"")</f>
        <v/>
      </c>
      <c r="I414" s="36" t="str">
        <f aca="false">IF(G414=1,IF(COUNTIF('Forecast Detail'!$C$8:$C$400,H414)=0,"UNMAPPED","OK"),"")</f>
        <v/>
      </c>
    </row>
    <row r="415" customFormat="false" ht="15" hidden="false" customHeight="false" outlineLevel="0" collapsed="false">
      <c r="D415" s="36" t="str">
        <f aca="false">TRIM(A415)</f>
        <v/>
      </c>
      <c r="E415" s="36" t="str">
        <f aca="false">IF(D415="Revenue","Revenue",IF(D415="Cost of Goods Sold","COGS",IF(D415="Expenditures","Expense",IF(D415="Other Revenue","Other Revenue",IF(D415="Other Expenditures","Other Expense",E414)))))</f>
        <v>Other Expense</v>
      </c>
      <c r="F415" s="36" t="str">
        <f aca="false">IF(OR(D415="Revenue",D415="Cost of Goods Sold",D415="Expenditures",D415="Other Revenue",D415="Other Expenditures"),E415,IF(AND(LEN(D415)&gt;2,MID(D415,2,1)=" ",ISNUMBER(VALUE(LEFT(D415,1)))),D415,F414))</f>
        <v>Other Expense</v>
      </c>
      <c r="G415" s="36" t="n">
        <f aca="false">IF(AND(D415&lt;&gt;"",ISNUMBER(B415),LEFT(D415,9)&lt;&gt;"Total for",D415&lt;&gt;"Gross Profit",D415&lt;&gt;"Net Operating Revenue",D415&lt;&gt;"Net Other Revenue",D415&lt;&gt;"Net Revenue"),1,0)</f>
        <v>0</v>
      </c>
      <c r="H415" s="36" t="str">
        <f aca="false">IF(G415=1,IF(AND(LEN(D415)&gt;7,ISNUMBER(VALUE(LEFT(D415,6))),MID(D415,7,1)=" "),LEFT(D415,6),D415),"")</f>
        <v/>
      </c>
      <c r="I415" s="36" t="str">
        <f aca="false">IF(G415=1,IF(COUNTIF('Forecast Detail'!$C$8:$C$400,H415)=0,"UNMAPPED","OK"),"")</f>
        <v/>
      </c>
    </row>
    <row r="416" customFormat="false" ht="15" hidden="false" customHeight="false" outlineLevel="0" collapsed="false">
      <c r="D416" s="36" t="str">
        <f aca="false">TRIM(A416)</f>
        <v/>
      </c>
      <c r="E416" s="36" t="str">
        <f aca="false">IF(D416="Revenue","Revenue",IF(D416="Cost of Goods Sold","COGS",IF(D416="Expenditures","Expense",IF(D416="Other Revenue","Other Revenue",IF(D416="Other Expenditures","Other Expense",E415)))))</f>
        <v>Other Expense</v>
      </c>
      <c r="F416" s="36" t="str">
        <f aca="false">IF(OR(D416="Revenue",D416="Cost of Goods Sold",D416="Expenditures",D416="Other Revenue",D416="Other Expenditures"),E416,IF(AND(LEN(D416)&gt;2,MID(D416,2,1)=" ",ISNUMBER(VALUE(LEFT(D416,1)))),D416,F415))</f>
        <v>Other Expense</v>
      </c>
      <c r="G416" s="36" t="n">
        <f aca="false">IF(AND(D416&lt;&gt;"",ISNUMBER(B416),LEFT(D416,9)&lt;&gt;"Total for",D416&lt;&gt;"Gross Profit",D416&lt;&gt;"Net Operating Revenue",D416&lt;&gt;"Net Other Revenue",D416&lt;&gt;"Net Revenue"),1,0)</f>
        <v>0</v>
      </c>
      <c r="H416" s="36" t="str">
        <f aca="false">IF(G416=1,IF(AND(LEN(D416)&gt;7,ISNUMBER(VALUE(LEFT(D416,6))),MID(D416,7,1)=" "),LEFT(D416,6),D416),"")</f>
        <v/>
      </c>
      <c r="I416" s="36" t="str">
        <f aca="false">IF(G416=1,IF(COUNTIF('Forecast Detail'!$C$8:$C$400,H416)=0,"UNMAPPED","OK"),"")</f>
        <v/>
      </c>
    </row>
    <row r="417" customFormat="false" ht="15" hidden="false" customHeight="false" outlineLevel="0" collapsed="false">
      <c r="D417" s="36" t="str">
        <f aca="false">TRIM(A417)</f>
        <v/>
      </c>
      <c r="E417" s="36" t="str">
        <f aca="false">IF(D417="Revenue","Revenue",IF(D417="Cost of Goods Sold","COGS",IF(D417="Expenditures","Expense",IF(D417="Other Revenue","Other Revenue",IF(D417="Other Expenditures","Other Expense",E416)))))</f>
        <v>Other Expense</v>
      </c>
      <c r="F417" s="36" t="str">
        <f aca="false">IF(OR(D417="Revenue",D417="Cost of Goods Sold",D417="Expenditures",D417="Other Revenue",D417="Other Expenditures"),E417,IF(AND(LEN(D417)&gt;2,MID(D417,2,1)=" ",ISNUMBER(VALUE(LEFT(D417,1)))),D417,F416))</f>
        <v>Other Expense</v>
      </c>
      <c r="G417" s="36" t="n">
        <f aca="false">IF(AND(D417&lt;&gt;"",ISNUMBER(B417),LEFT(D417,9)&lt;&gt;"Total for",D417&lt;&gt;"Gross Profit",D417&lt;&gt;"Net Operating Revenue",D417&lt;&gt;"Net Other Revenue",D417&lt;&gt;"Net Revenue"),1,0)</f>
        <v>0</v>
      </c>
      <c r="H417" s="36" t="str">
        <f aca="false">IF(G417=1,IF(AND(LEN(D417)&gt;7,ISNUMBER(VALUE(LEFT(D417,6))),MID(D417,7,1)=" "),LEFT(D417,6),D417),"")</f>
        <v/>
      </c>
      <c r="I417" s="36" t="str">
        <f aca="false">IF(G417=1,IF(COUNTIF('Forecast Detail'!$C$8:$C$400,H417)=0,"UNMAPPED","OK"),"")</f>
        <v/>
      </c>
    </row>
    <row r="418" customFormat="false" ht="15" hidden="false" customHeight="false" outlineLevel="0" collapsed="false">
      <c r="D418" s="36" t="str">
        <f aca="false">TRIM(A418)</f>
        <v/>
      </c>
      <c r="E418" s="36" t="str">
        <f aca="false">IF(D418="Revenue","Revenue",IF(D418="Cost of Goods Sold","COGS",IF(D418="Expenditures","Expense",IF(D418="Other Revenue","Other Revenue",IF(D418="Other Expenditures","Other Expense",E417)))))</f>
        <v>Other Expense</v>
      </c>
      <c r="F418" s="36" t="str">
        <f aca="false">IF(OR(D418="Revenue",D418="Cost of Goods Sold",D418="Expenditures",D418="Other Revenue",D418="Other Expenditures"),E418,IF(AND(LEN(D418)&gt;2,MID(D418,2,1)=" ",ISNUMBER(VALUE(LEFT(D418,1)))),D418,F417))</f>
        <v>Other Expense</v>
      </c>
      <c r="G418" s="36" t="n">
        <f aca="false">IF(AND(D418&lt;&gt;"",ISNUMBER(B418),LEFT(D418,9)&lt;&gt;"Total for",D418&lt;&gt;"Gross Profit",D418&lt;&gt;"Net Operating Revenue",D418&lt;&gt;"Net Other Revenue",D418&lt;&gt;"Net Revenue"),1,0)</f>
        <v>0</v>
      </c>
      <c r="H418" s="36" t="str">
        <f aca="false">IF(G418=1,IF(AND(LEN(D418)&gt;7,ISNUMBER(VALUE(LEFT(D418,6))),MID(D418,7,1)=" "),LEFT(D418,6),D418),"")</f>
        <v/>
      </c>
      <c r="I418" s="36" t="str">
        <f aca="false">IF(G418=1,IF(COUNTIF('Forecast Detail'!$C$8:$C$400,H418)=0,"UNMAPPED","OK"),"")</f>
        <v/>
      </c>
    </row>
    <row r="419" customFormat="false" ht="15" hidden="false" customHeight="false" outlineLevel="0" collapsed="false">
      <c r="D419" s="36" t="str">
        <f aca="false">TRIM(A419)</f>
        <v/>
      </c>
      <c r="E419" s="36" t="str">
        <f aca="false">IF(D419="Revenue","Revenue",IF(D419="Cost of Goods Sold","COGS",IF(D419="Expenditures","Expense",IF(D419="Other Revenue","Other Revenue",IF(D419="Other Expenditures","Other Expense",E418)))))</f>
        <v>Other Expense</v>
      </c>
      <c r="F419" s="36" t="str">
        <f aca="false">IF(OR(D419="Revenue",D419="Cost of Goods Sold",D419="Expenditures",D419="Other Revenue",D419="Other Expenditures"),E419,IF(AND(LEN(D419)&gt;2,MID(D419,2,1)=" ",ISNUMBER(VALUE(LEFT(D419,1)))),D419,F418))</f>
        <v>Other Expense</v>
      </c>
      <c r="G419" s="36" t="n">
        <f aca="false">IF(AND(D419&lt;&gt;"",ISNUMBER(B419),LEFT(D419,9)&lt;&gt;"Total for",D419&lt;&gt;"Gross Profit",D419&lt;&gt;"Net Operating Revenue",D419&lt;&gt;"Net Other Revenue",D419&lt;&gt;"Net Revenue"),1,0)</f>
        <v>0</v>
      </c>
      <c r="H419" s="36" t="str">
        <f aca="false">IF(G419=1,IF(AND(LEN(D419)&gt;7,ISNUMBER(VALUE(LEFT(D419,6))),MID(D419,7,1)=" "),LEFT(D419,6),D419),"")</f>
        <v/>
      </c>
      <c r="I419" s="36" t="str">
        <f aca="false">IF(G419=1,IF(COUNTIF('Forecast Detail'!$C$8:$C$400,H419)=0,"UNMAPPED","OK"),"")</f>
        <v/>
      </c>
    </row>
    <row r="420" customFormat="false" ht="15" hidden="false" customHeight="false" outlineLevel="0" collapsed="false">
      <c r="D420" s="36" t="str">
        <f aca="false">TRIM(A420)</f>
        <v/>
      </c>
      <c r="E420" s="36" t="str">
        <f aca="false">IF(D420="Revenue","Revenue",IF(D420="Cost of Goods Sold","COGS",IF(D420="Expenditures","Expense",IF(D420="Other Revenue","Other Revenue",IF(D420="Other Expenditures","Other Expense",E419)))))</f>
        <v>Other Expense</v>
      </c>
      <c r="F420" s="36" t="str">
        <f aca="false">IF(OR(D420="Revenue",D420="Cost of Goods Sold",D420="Expenditures",D420="Other Revenue",D420="Other Expenditures"),E420,IF(AND(LEN(D420)&gt;2,MID(D420,2,1)=" ",ISNUMBER(VALUE(LEFT(D420,1)))),D420,F419))</f>
        <v>Other Expense</v>
      </c>
      <c r="G420" s="36" t="n">
        <f aca="false">IF(AND(D420&lt;&gt;"",ISNUMBER(B420),LEFT(D420,9)&lt;&gt;"Total for",D420&lt;&gt;"Gross Profit",D420&lt;&gt;"Net Operating Revenue",D420&lt;&gt;"Net Other Revenue",D420&lt;&gt;"Net Revenue"),1,0)</f>
        <v>0</v>
      </c>
      <c r="H420" s="36" t="str">
        <f aca="false">IF(G420=1,IF(AND(LEN(D420)&gt;7,ISNUMBER(VALUE(LEFT(D420,6))),MID(D420,7,1)=" "),LEFT(D420,6),D420),"")</f>
        <v/>
      </c>
      <c r="I420" s="36" t="str">
        <f aca="false">IF(G420=1,IF(COUNTIF('Forecast Detail'!$C$8:$C$400,H420)=0,"UNMAPPED","OK"),"")</f>
        <v/>
      </c>
    </row>
    <row r="421" customFormat="false" ht="15" hidden="false" customHeight="false" outlineLevel="0" collapsed="false">
      <c r="D421" s="36" t="str">
        <f aca="false">TRIM(A421)</f>
        <v/>
      </c>
      <c r="E421" s="36" t="str">
        <f aca="false">IF(D421="Revenue","Revenue",IF(D421="Cost of Goods Sold","COGS",IF(D421="Expenditures","Expense",IF(D421="Other Revenue","Other Revenue",IF(D421="Other Expenditures","Other Expense",E420)))))</f>
        <v>Other Expense</v>
      </c>
      <c r="F421" s="36" t="str">
        <f aca="false">IF(OR(D421="Revenue",D421="Cost of Goods Sold",D421="Expenditures",D421="Other Revenue",D421="Other Expenditures"),E421,IF(AND(LEN(D421)&gt;2,MID(D421,2,1)=" ",ISNUMBER(VALUE(LEFT(D421,1)))),D421,F420))</f>
        <v>Other Expense</v>
      </c>
      <c r="G421" s="36" t="n">
        <f aca="false">IF(AND(D421&lt;&gt;"",ISNUMBER(B421),LEFT(D421,9)&lt;&gt;"Total for",D421&lt;&gt;"Gross Profit",D421&lt;&gt;"Net Operating Revenue",D421&lt;&gt;"Net Other Revenue",D421&lt;&gt;"Net Revenue"),1,0)</f>
        <v>0</v>
      </c>
      <c r="H421" s="36" t="str">
        <f aca="false">IF(G421=1,IF(AND(LEN(D421)&gt;7,ISNUMBER(VALUE(LEFT(D421,6))),MID(D421,7,1)=" "),LEFT(D421,6),D421),"")</f>
        <v/>
      </c>
      <c r="I421" s="36" t="str">
        <f aca="false">IF(G421=1,IF(COUNTIF('Forecast Detail'!$C$8:$C$400,H421)=0,"UNMAPPED","OK"),"")</f>
        <v/>
      </c>
    </row>
    <row r="422" customFormat="false" ht="15" hidden="false" customHeight="false" outlineLevel="0" collapsed="false">
      <c r="D422" s="36" t="str">
        <f aca="false">TRIM(A422)</f>
        <v/>
      </c>
      <c r="E422" s="36" t="str">
        <f aca="false">IF(D422="Revenue","Revenue",IF(D422="Cost of Goods Sold","COGS",IF(D422="Expenditures","Expense",IF(D422="Other Revenue","Other Revenue",IF(D422="Other Expenditures","Other Expense",E421)))))</f>
        <v>Other Expense</v>
      </c>
      <c r="F422" s="36" t="str">
        <f aca="false">IF(OR(D422="Revenue",D422="Cost of Goods Sold",D422="Expenditures",D422="Other Revenue",D422="Other Expenditures"),E422,IF(AND(LEN(D422)&gt;2,MID(D422,2,1)=" ",ISNUMBER(VALUE(LEFT(D422,1)))),D422,F421))</f>
        <v>Other Expense</v>
      </c>
      <c r="G422" s="36" t="n">
        <f aca="false">IF(AND(D422&lt;&gt;"",ISNUMBER(B422),LEFT(D422,9)&lt;&gt;"Total for",D422&lt;&gt;"Gross Profit",D422&lt;&gt;"Net Operating Revenue",D422&lt;&gt;"Net Other Revenue",D422&lt;&gt;"Net Revenue"),1,0)</f>
        <v>0</v>
      </c>
      <c r="H422" s="36" t="str">
        <f aca="false">IF(G422=1,IF(AND(LEN(D422)&gt;7,ISNUMBER(VALUE(LEFT(D422,6))),MID(D422,7,1)=" "),LEFT(D422,6),D422),"")</f>
        <v/>
      </c>
      <c r="I422" s="36" t="str">
        <f aca="false">IF(G422=1,IF(COUNTIF('Forecast Detail'!$C$8:$C$400,H422)=0,"UNMAPPED","OK"),"")</f>
        <v/>
      </c>
    </row>
    <row r="423" customFormat="false" ht="15" hidden="false" customHeight="false" outlineLevel="0" collapsed="false">
      <c r="D423" s="36" t="str">
        <f aca="false">TRIM(A423)</f>
        <v/>
      </c>
      <c r="E423" s="36" t="str">
        <f aca="false">IF(D423="Revenue","Revenue",IF(D423="Cost of Goods Sold","COGS",IF(D423="Expenditures","Expense",IF(D423="Other Revenue","Other Revenue",IF(D423="Other Expenditures","Other Expense",E422)))))</f>
        <v>Other Expense</v>
      </c>
      <c r="F423" s="36" t="str">
        <f aca="false">IF(OR(D423="Revenue",D423="Cost of Goods Sold",D423="Expenditures",D423="Other Revenue",D423="Other Expenditures"),E423,IF(AND(LEN(D423)&gt;2,MID(D423,2,1)=" ",ISNUMBER(VALUE(LEFT(D423,1)))),D423,F422))</f>
        <v>Other Expense</v>
      </c>
      <c r="G423" s="36" t="n">
        <f aca="false">IF(AND(D423&lt;&gt;"",ISNUMBER(B423),LEFT(D423,9)&lt;&gt;"Total for",D423&lt;&gt;"Gross Profit",D423&lt;&gt;"Net Operating Revenue",D423&lt;&gt;"Net Other Revenue",D423&lt;&gt;"Net Revenue"),1,0)</f>
        <v>0</v>
      </c>
      <c r="H423" s="36" t="str">
        <f aca="false">IF(G423=1,IF(AND(LEN(D423)&gt;7,ISNUMBER(VALUE(LEFT(D423,6))),MID(D423,7,1)=" "),LEFT(D423,6),D423),"")</f>
        <v/>
      </c>
      <c r="I423" s="36" t="str">
        <f aca="false">IF(G423=1,IF(COUNTIF('Forecast Detail'!$C$8:$C$400,H423)=0,"UNMAPPED","OK"),"")</f>
        <v/>
      </c>
    </row>
    <row r="424" customFormat="false" ht="15" hidden="false" customHeight="false" outlineLevel="0" collapsed="false">
      <c r="D424" s="36" t="str">
        <f aca="false">TRIM(A424)</f>
        <v/>
      </c>
      <c r="E424" s="36" t="str">
        <f aca="false">IF(D424="Revenue","Revenue",IF(D424="Cost of Goods Sold","COGS",IF(D424="Expenditures","Expense",IF(D424="Other Revenue","Other Revenue",IF(D424="Other Expenditures","Other Expense",E423)))))</f>
        <v>Other Expense</v>
      </c>
      <c r="F424" s="36" t="str">
        <f aca="false">IF(OR(D424="Revenue",D424="Cost of Goods Sold",D424="Expenditures",D424="Other Revenue",D424="Other Expenditures"),E424,IF(AND(LEN(D424)&gt;2,MID(D424,2,1)=" ",ISNUMBER(VALUE(LEFT(D424,1)))),D424,F423))</f>
        <v>Other Expense</v>
      </c>
      <c r="G424" s="36" t="n">
        <f aca="false">IF(AND(D424&lt;&gt;"",ISNUMBER(B424),LEFT(D424,9)&lt;&gt;"Total for",D424&lt;&gt;"Gross Profit",D424&lt;&gt;"Net Operating Revenue",D424&lt;&gt;"Net Other Revenue",D424&lt;&gt;"Net Revenue"),1,0)</f>
        <v>0</v>
      </c>
      <c r="H424" s="36" t="str">
        <f aca="false">IF(G424=1,IF(AND(LEN(D424)&gt;7,ISNUMBER(VALUE(LEFT(D424,6))),MID(D424,7,1)=" "),LEFT(D424,6),D424),"")</f>
        <v/>
      </c>
      <c r="I424" s="36" t="str">
        <f aca="false">IF(G424=1,IF(COUNTIF('Forecast Detail'!$C$8:$C$400,H424)=0,"UNMAPPED","OK"),"")</f>
        <v/>
      </c>
    </row>
    <row r="425" customFormat="false" ht="15" hidden="false" customHeight="false" outlineLevel="0" collapsed="false">
      <c r="D425" s="36" t="str">
        <f aca="false">TRIM(A425)</f>
        <v/>
      </c>
      <c r="E425" s="36" t="str">
        <f aca="false">IF(D425="Revenue","Revenue",IF(D425="Cost of Goods Sold","COGS",IF(D425="Expenditures","Expense",IF(D425="Other Revenue","Other Revenue",IF(D425="Other Expenditures","Other Expense",E424)))))</f>
        <v>Other Expense</v>
      </c>
      <c r="F425" s="36" t="str">
        <f aca="false">IF(OR(D425="Revenue",D425="Cost of Goods Sold",D425="Expenditures",D425="Other Revenue",D425="Other Expenditures"),E425,IF(AND(LEN(D425)&gt;2,MID(D425,2,1)=" ",ISNUMBER(VALUE(LEFT(D425,1)))),D425,F424))</f>
        <v>Other Expense</v>
      </c>
      <c r="G425" s="36" t="n">
        <f aca="false">IF(AND(D425&lt;&gt;"",ISNUMBER(B425),LEFT(D425,9)&lt;&gt;"Total for",D425&lt;&gt;"Gross Profit",D425&lt;&gt;"Net Operating Revenue",D425&lt;&gt;"Net Other Revenue",D425&lt;&gt;"Net Revenue"),1,0)</f>
        <v>0</v>
      </c>
      <c r="H425" s="36" t="str">
        <f aca="false">IF(G425=1,IF(AND(LEN(D425)&gt;7,ISNUMBER(VALUE(LEFT(D425,6))),MID(D425,7,1)=" "),LEFT(D425,6),D425),"")</f>
        <v/>
      </c>
      <c r="I425" s="36" t="str">
        <f aca="false">IF(G425=1,IF(COUNTIF('Forecast Detail'!$C$8:$C$400,H425)=0,"UNMAPPED","OK"),"")</f>
        <v/>
      </c>
    </row>
    <row r="426" customFormat="false" ht="15" hidden="false" customHeight="false" outlineLevel="0" collapsed="false">
      <c r="D426" s="36" t="str">
        <f aca="false">TRIM(A426)</f>
        <v/>
      </c>
      <c r="E426" s="36" t="str">
        <f aca="false">IF(D426="Revenue","Revenue",IF(D426="Cost of Goods Sold","COGS",IF(D426="Expenditures","Expense",IF(D426="Other Revenue","Other Revenue",IF(D426="Other Expenditures","Other Expense",E425)))))</f>
        <v>Other Expense</v>
      </c>
      <c r="F426" s="36" t="str">
        <f aca="false">IF(OR(D426="Revenue",D426="Cost of Goods Sold",D426="Expenditures",D426="Other Revenue",D426="Other Expenditures"),E426,IF(AND(LEN(D426)&gt;2,MID(D426,2,1)=" ",ISNUMBER(VALUE(LEFT(D426,1)))),D426,F425))</f>
        <v>Other Expense</v>
      </c>
      <c r="G426" s="36" t="n">
        <f aca="false">IF(AND(D426&lt;&gt;"",ISNUMBER(B426),LEFT(D426,9)&lt;&gt;"Total for",D426&lt;&gt;"Gross Profit",D426&lt;&gt;"Net Operating Revenue",D426&lt;&gt;"Net Other Revenue",D426&lt;&gt;"Net Revenue"),1,0)</f>
        <v>0</v>
      </c>
      <c r="H426" s="36" t="str">
        <f aca="false">IF(G426=1,IF(AND(LEN(D426)&gt;7,ISNUMBER(VALUE(LEFT(D426,6))),MID(D426,7,1)=" "),LEFT(D426,6),D426),"")</f>
        <v/>
      </c>
      <c r="I426" s="36" t="str">
        <f aca="false">IF(G426=1,IF(COUNTIF('Forecast Detail'!$C$8:$C$400,H426)=0,"UNMAPPED","OK"),"")</f>
        <v/>
      </c>
    </row>
    <row r="427" customFormat="false" ht="15" hidden="false" customHeight="false" outlineLevel="0" collapsed="false">
      <c r="D427" s="36" t="str">
        <f aca="false">TRIM(A427)</f>
        <v/>
      </c>
      <c r="E427" s="36" t="str">
        <f aca="false">IF(D427="Revenue","Revenue",IF(D427="Cost of Goods Sold","COGS",IF(D427="Expenditures","Expense",IF(D427="Other Revenue","Other Revenue",IF(D427="Other Expenditures","Other Expense",E426)))))</f>
        <v>Other Expense</v>
      </c>
      <c r="F427" s="36" t="str">
        <f aca="false">IF(OR(D427="Revenue",D427="Cost of Goods Sold",D427="Expenditures",D427="Other Revenue",D427="Other Expenditures"),E427,IF(AND(LEN(D427)&gt;2,MID(D427,2,1)=" ",ISNUMBER(VALUE(LEFT(D427,1)))),D427,F426))</f>
        <v>Other Expense</v>
      </c>
      <c r="G427" s="36" t="n">
        <f aca="false">IF(AND(D427&lt;&gt;"",ISNUMBER(B427),LEFT(D427,9)&lt;&gt;"Total for",D427&lt;&gt;"Gross Profit",D427&lt;&gt;"Net Operating Revenue",D427&lt;&gt;"Net Other Revenue",D427&lt;&gt;"Net Revenue"),1,0)</f>
        <v>0</v>
      </c>
      <c r="H427" s="36" t="str">
        <f aca="false">IF(G427=1,IF(AND(LEN(D427)&gt;7,ISNUMBER(VALUE(LEFT(D427,6))),MID(D427,7,1)=" "),LEFT(D427,6),D427),"")</f>
        <v/>
      </c>
      <c r="I427" s="36" t="str">
        <f aca="false">IF(G427=1,IF(COUNTIF('Forecast Detail'!$C$8:$C$400,H427)=0,"UNMAPPED","OK"),"")</f>
        <v/>
      </c>
    </row>
    <row r="428" customFormat="false" ht="15" hidden="false" customHeight="false" outlineLevel="0" collapsed="false">
      <c r="D428" s="36" t="str">
        <f aca="false">TRIM(A428)</f>
        <v/>
      </c>
      <c r="E428" s="36" t="str">
        <f aca="false">IF(D428="Revenue","Revenue",IF(D428="Cost of Goods Sold","COGS",IF(D428="Expenditures","Expense",IF(D428="Other Revenue","Other Revenue",IF(D428="Other Expenditures","Other Expense",E427)))))</f>
        <v>Other Expense</v>
      </c>
      <c r="F428" s="36" t="str">
        <f aca="false">IF(OR(D428="Revenue",D428="Cost of Goods Sold",D428="Expenditures",D428="Other Revenue",D428="Other Expenditures"),E428,IF(AND(LEN(D428)&gt;2,MID(D428,2,1)=" ",ISNUMBER(VALUE(LEFT(D428,1)))),D428,F427))</f>
        <v>Other Expense</v>
      </c>
      <c r="G428" s="36" t="n">
        <f aca="false">IF(AND(D428&lt;&gt;"",ISNUMBER(B428),LEFT(D428,9)&lt;&gt;"Total for",D428&lt;&gt;"Gross Profit",D428&lt;&gt;"Net Operating Revenue",D428&lt;&gt;"Net Other Revenue",D428&lt;&gt;"Net Revenue"),1,0)</f>
        <v>0</v>
      </c>
      <c r="H428" s="36" t="str">
        <f aca="false">IF(G428=1,IF(AND(LEN(D428)&gt;7,ISNUMBER(VALUE(LEFT(D428,6))),MID(D428,7,1)=" "),LEFT(D428,6),D428),"")</f>
        <v/>
      </c>
      <c r="I428" s="36" t="str">
        <f aca="false">IF(G428=1,IF(COUNTIF('Forecast Detail'!$C$8:$C$400,H428)=0,"UNMAPPED","OK"),"")</f>
        <v/>
      </c>
    </row>
    <row r="429" customFormat="false" ht="15" hidden="false" customHeight="false" outlineLevel="0" collapsed="false">
      <c r="D429" s="36" t="str">
        <f aca="false">TRIM(A429)</f>
        <v/>
      </c>
      <c r="E429" s="36" t="str">
        <f aca="false">IF(D429="Revenue","Revenue",IF(D429="Cost of Goods Sold","COGS",IF(D429="Expenditures","Expense",IF(D429="Other Revenue","Other Revenue",IF(D429="Other Expenditures","Other Expense",E428)))))</f>
        <v>Other Expense</v>
      </c>
      <c r="F429" s="36" t="str">
        <f aca="false">IF(OR(D429="Revenue",D429="Cost of Goods Sold",D429="Expenditures",D429="Other Revenue",D429="Other Expenditures"),E429,IF(AND(LEN(D429)&gt;2,MID(D429,2,1)=" ",ISNUMBER(VALUE(LEFT(D429,1)))),D429,F428))</f>
        <v>Other Expense</v>
      </c>
      <c r="G429" s="36" t="n">
        <f aca="false">IF(AND(D429&lt;&gt;"",ISNUMBER(B429),LEFT(D429,9)&lt;&gt;"Total for",D429&lt;&gt;"Gross Profit",D429&lt;&gt;"Net Operating Revenue",D429&lt;&gt;"Net Other Revenue",D429&lt;&gt;"Net Revenue"),1,0)</f>
        <v>0</v>
      </c>
      <c r="H429" s="36" t="str">
        <f aca="false">IF(G429=1,IF(AND(LEN(D429)&gt;7,ISNUMBER(VALUE(LEFT(D429,6))),MID(D429,7,1)=" "),LEFT(D429,6),D429),"")</f>
        <v/>
      </c>
      <c r="I429" s="36" t="str">
        <f aca="false">IF(G429=1,IF(COUNTIF('Forecast Detail'!$C$8:$C$400,H429)=0,"UNMAPPED","OK"),"")</f>
        <v/>
      </c>
    </row>
    <row r="430" customFormat="false" ht="15" hidden="false" customHeight="false" outlineLevel="0" collapsed="false">
      <c r="D430" s="36" t="str">
        <f aca="false">TRIM(A430)</f>
        <v/>
      </c>
      <c r="E430" s="36" t="str">
        <f aca="false">IF(D430="Revenue","Revenue",IF(D430="Cost of Goods Sold","COGS",IF(D430="Expenditures","Expense",IF(D430="Other Revenue","Other Revenue",IF(D430="Other Expenditures","Other Expense",E429)))))</f>
        <v>Other Expense</v>
      </c>
      <c r="F430" s="36" t="str">
        <f aca="false">IF(OR(D430="Revenue",D430="Cost of Goods Sold",D430="Expenditures",D430="Other Revenue",D430="Other Expenditures"),E430,IF(AND(LEN(D430)&gt;2,MID(D430,2,1)=" ",ISNUMBER(VALUE(LEFT(D430,1)))),D430,F429))</f>
        <v>Other Expense</v>
      </c>
      <c r="G430" s="36" t="n">
        <f aca="false">IF(AND(D430&lt;&gt;"",ISNUMBER(B430),LEFT(D430,9)&lt;&gt;"Total for",D430&lt;&gt;"Gross Profit",D430&lt;&gt;"Net Operating Revenue",D430&lt;&gt;"Net Other Revenue",D430&lt;&gt;"Net Revenue"),1,0)</f>
        <v>0</v>
      </c>
      <c r="H430" s="36" t="str">
        <f aca="false">IF(G430=1,IF(AND(LEN(D430)&gt;7,ISNUMBER(VALUE(LEFT(D430,6))),MID(D430,7,1)=" "),LEFT(D430,6),D430),"")</f>
        <v/>
      </c>
      <c r="I430" s="36" t="str">
        <f aca="false">IF(G430=1,IF(COUNTIF('Forecast Detail'!$C$8:$C$400,H430)=0,"UNMAPPED","OK"),"")</f>
        <v/>
      </c>
    </row>
    <row r="431" customFormat="false" ht="15" hidden="false" customHeight="false" outlineLevel="0" collapsed="false">
      <c r="D431" s="36" t="str">
        <f aca="false">TRIM(A431)</f>
        <v/>
      </c>
      <c r="E431" s="36" t="str">
        <f aca="false">IF(D431="Revenue","Revenue",IF(D431="Cost of Goods Sold","COGS",IF(D431="Expenditures","Expense",IF(D431="Other Revenue","Other Revenue",IF(D431="Other Expenditures","Other Expense",E430)))))</f>
        <v>Other Expense</v>
      </c>
      <c r="F431" s="36" t="str">
        <f aca="false">IF(OR(D431="Revenue",D431="Cost of Goods Sold",D431="Expenditures",D431="Other Revenue",D431="Other Expenditures"),E431,IF(AND(LEN(D431)&gt;2,MID(D431,2,1)=" ",ISNUMBER(VALUE(LEFT(D431,1)))),D431,F430))</f>
        <v>Other Expense</v>
      </c>
      <c r="G431" s="36" t="n">
        <f aca="false">IF(AND(D431&lt;&gt;"",ISNUMBER(B431),LEFT(D431,9)&lt;&gt;"Total for",D431&lt;&gt;"Gross Profit",D431&lt;&gt;"Net Operating Revenue",D431&lt;&gt;"Net Other Revenue",D431&lt;&gt;"Net Revenue"),1,0)</f>
        <v>0</v>
      </c>
      <c r="H431" s="36" t="str">
        <f aca="false">IF(G431=1,IF(AND(LEN(D431)&gt;7,ISNUMBER(VALUE(LEFT(D431,6))),MID(D431,7,1)=" "),LEFT(D431,6),D431),"")</f>
        <v/>
      </c>
      <c r="I431" s="36" t="str">
        <f aca="false">IF(G431=1,IF(COUNTIF('Forecast Detail'!$C$8:$C$400,H431)=0,"UNMAPPED","OK"),"")</f>
        <v/>
      </c>
    </row>
    <row r="432" customFormat="false" ht="15" hidden="false" customHeight="false" outlineLevel="0" collapsed="false">
      <c r="D432" s="36" t="str">
        <f aca="false">TRIM(A432)</f>
        <v/>
      </c>
      <c r="E432" s="36" t="str">
        <f aca="false">IF(D432="Revenue","Revenue",IF(D432="Cost of Goods Sold","COGS",IF(D432="Expenditures","Expense",IF(D432="Other Revenue","Other Revenue",IF(D432="Other Expenditures","Other Expense",E431)))))</f>
        <v>Other Expense</v>
      </c>
      <c r="F432" s="36" t="str">
        <f aca="false">IF(OR(D432="Revenue",D432="Cost of Goods Sold",D432="Expenditures",D432="Other Revenue",D432="Other Expenditures"),E432,IF(AND(LEN(D432)&gt;2,MID(D432,2,1)=" ",ISNUMBER(VALUE(LEFT(D432,1)))),D432,F431))</f>
        <v>Other Expense</v>
      </c>
      <c r="G432" s="36" t="n">
        <f aca="false">IF(AND(D432&lt;&gt;"",ISNUMBER(B432),LEFT(D432,9)&lt;&gt;"Total for",D432&lt;&gt;"Gross Profit",D432&lt;&gt;"Net Operating Revenue",D432&lt;&gt;"Net Other Revenue",D432&lt;&gt;"Net Revenue"),1,0)</f>
        <v>0</v>
      </c>
      <c r="H432" s="36" t="str">
        <f aca="false">IF(G432=1,IF(AND(LEN(D432)&gt;7,ISNUMBER(VALUE(LEFT(D432,6))),MID(D432,7,1)=" "),LEFT(D432,6),D432),"")</f>
        <v/>
      </c>
      <c r="I432" s="36" t="str">
        <f aca="false">IF(G432=1,IF(COUNTIF('Forecast Detail'!$C$8:$C$400,H432)=0,"UNMAPPED","OK"),"")</f>
        <v/>
      </c>
    </row>
    <row r="433" customFormat="false" ht="15" hidden="false" customHeight="false" outlineLevel="0" collapsed="false">
      <c r="D433" s="36" t="str">
        <f aca="false">TRIM(A433)</f>
        <v/>
      </c>
      <c r="E433" s="36" t="str">
        <f aca="false">IF(D433="Revenue","Revenue",IF(D433="Cost of Goods Sold","COGS",IF(D433="Expenditures","Expense",IF(D433="Other Revenue","Other Revenue",IF(D433="Other Expenditures","Other Expense",E432)))))</f>
        <v>Other Expense</v>
      </c>
      <c r="F433" s="36" t="str">
        <f aca="false">IF(OR(D433="Revenue",D433="Cost of Goods Sold",D433="Expenditures",D433="Other Revenue",D433="Other Expenditures"),E433,IF(AND(LEN(D433)&gt;2,MID(D433,2,1)=" ",ISNUMBER(VALUE(LEFT(D433,1)))),D433,F432))</f>
        <v>Other Expense</v>
      </c>
      <c r="G433" s="36" t="n">
        <f aca="false">IF(AND(D433&lt;&gt;"",ISNUMBER(B433),LEFT(D433,9)&lt;&gt;"Total for",D433&lt;&gt;"Gross Profit",D433&lt;&gt;"Net Operating Revenue",D433&lt;&gt;"Net Other Revenue",D433&lt;&gt;"Net Revenue"),1,0)</f>
        <v>0</v>
      </c>
      <c r="H433" s="36" t="str">
        <f aca="false">IF(G433=1,IF(AND(LEN(D433)&gt;7,ISNUMBER(VALUE(LEFT(D433,6))),MID(D433,7,1)=" "),LEFT(D433,6),D433),"")</f>
        <v/>
      </c>
      <c r="I433" s="36" t="str">
        <f aca="false">IF(G433=1,IF(COUNTIF('Forecast Detail'!$C$8:$C$400,H433)=0,"UNMAPPED","OK"),"")</f>
        <v/>
      </c>
    </row>
    <row r="434" customFormat="false" ht="15" hidden="false" customHeight="false" outlineLevel="0" collapsed="false">
      <c r="D434" s="36" t="str">
        <f aca="false">TRIM(A434)</f>
        <v/>
      </c>
      <c r="E434" s="36" t="str">
        <f aca="false">IF(D434="Revenue","Revenue",IF(D434="Cost of Goods Sold","COGS",IF(D434="Expenditures","Expense",IF(D434="Other Revenue","Other Revenue",IF(D434="Other Expenditures","Other Expense",E433)))))</f>
        <v>Other Expense</v>
      </c>
      <c r="F434" s="36" t="str">
        <f aca="false">IF(OR(D434="Revenue",D434="Cost of Goods Sold",D434="Expenditures",D434="Other Revenue",D434="Other Expenditures"),E434,IF(AND(LEN(D434)&gt;2,MID(D434,2,1)=" ",ISNUMBER(VALUE(LEFT(D434,1)))),D434,F433))</f>
        <v>Other Expense</v>
      </c>
      <c r="G434" s="36" t="n">
        <f aca="false">IF(AND(D434&lt;&gt;"",ISNUMBER(B434),LEFT(D434,9)&lt;&gt;"Total for",D434&lt;&gt;"Gross Profit",D434&lt;&gt;"Net Operating Revenue",D434&lt;&gt;"Net Other Revenue",D434&lt;&gt;"Net Revenue"),1,0)</f>
        <v>0</v>
      </c>
      <c r="H434" s="36" t="str">
        <f aca="false">IF(G434=1,IF(AND(LEN(D434)&gt;7,ISNUMBER(VALUE(LEFT(D434,6))),MID(D434,7,1)=" "),LEFT(D434,6),D434),"")</f>
        <v/>
      </c>
      <c r="I434" s="36" t="str">
        <f aca="false">IF(G434=1,IF(COUNTIF('Forecast Detail'!$C$8:$C$400,H434)=0,"UNMAPPED","OK"),"")</f>
        <v/>
      </c>
    </row>
    <row r="435" customFormat="false" ht="15" hidden="false" customHeight="false" outlineLevel="0" collapsed="false">
      <c r="D435" s="36" t="str">
        <f aca="false">TRIM(A435)</f>
        <v/>
      </c>
      <c r="E435" s="36" t="str">
        <f aca="false">IF(D435="Revenue","Revenue",IF(D435="Cost of Goods Sold","COGS",IF(D435="Expenditures","Expense",IF(D435="Other Revenue","Other Revenue",IF(D435="Other Expenditures","Other Expense",E434)))))</f>
        <v>Other Expense</v>
      </c>
      <c r="F435" s="36" t="str">
        <f aca="false">IF(OR(D435="Revenue",D435="Cost of Goods Sold",D435="Expenditures",D435="Other Revenue",D435="Other Expenditures"),E435,IF(AND(LEN(D435)&gt;2,MID(D435,2,1)=" ",ISNUMBER(VALUE(LEFT(D435,1)))),D435,F434))</f>
        <v>Other Expense</v>
      </c>
      <c r="G435" s="36" t="n">
        <f aca="false">IF(AND(D435&lt;&gt;"",ISNUMBER(B435),LEFT(D435,9)&lt;&gt;"Total for",D435&lt;&gt;"Gross Profit",D435&lt;&gt;"Net Operating Revenue",D435&lt;&gt;"Net Other Revenue",D435&lt;&gt;"Net Revenue"),1,0)</f>
        <v>0</v>
      </c>
      <c r="H435" s="36" t="str">
        <f aca="false">IF(G435=1,IF(AND(LEN(D435)&gt;7,ISNUMBER(VALUE(LEFT(D435,6))),MID(D435,7,1)=" "),LEFT(D435,6),D435),"")</f>
        <v/>
      </c>
      <c r="I435" s="36" t="str">
        <f aca="false">IF(G435=1,IF(COUNTIF('Forecast Detail'!$C$8:$C$400,H435)=0,"UNMAPPED","OK"),"")</f>
        <v/>
      </c>
    </row>
    <row r="436" customFormat="false" ht="15" hidden="false" customHeight="false" outlineLevel="0" collapsed="false">
      <c r="D436" s="36" t="str">
        <f aca="false">TRIM(A436)</f>
        <v/>
      </c>
      <c r="E436" s="36" t="str">
        <f aca="false">IF(D436="Revenue","Revenue",IF(D436="Cost of Goods Sold","COGS",IF(D436="Expenditures","Expense",IF(D436="Other Revenue","Other Revenue",IF(D436="Other Expenditures","Other Expense",E435)))))</f>
        <v>Other Expense</v>
      </c>
      <c r="F436" s="36" t="str">
        <f aca="false">IF(OR(D436="Revenue",D436="Cost of Goods Sold",D436="Expenditures",D436="Other Revenue",D436="Other Expenditures"),E436,IF(AND(LEN(D436)&gt;2,MID(D436,2,1)=" ",ISNUMBER(VALUE(LEFT(D436,1)))),D436,F435))</f>
        <v>Other Expense</v>
      </c>
      <c r="G436" s="36" t="n">
        <f aca="false">IF(AND(D436&lt;&gt;"",ISNUMBER(B436),LEFT(D436,9)&lt;&gt;"Total for",D436&lt;&gt;"Gross Profit",D436&lt;&gt;"Net Operating Revenue",D436&lt;&gt;"Net Other Revenue",D436&lt;&gt;"Net Revenue"),1,0)</f>
        <v>0</v>
      </c>
      <c r="H436" s="36" t="str">
        <f aca="false">IF(G436=1,IF(AND(LEN(D436)&gt;7,ISNUMBER(VALUE(LEFT(D436,6))),MID(D436,7,1)=" "),LEFT(D436,6),D436),"")</f>
        <v/>
      </c>
      <c r="I436" s="36" t="str">
        <f aca="false">IF(G436=1,IF(COUNTIF('Forecast Detail'!$C$8:$C$400,H436)=0,"UNMAPPED","OK"),"")</f>
        <v/>
      </c>
    </row>
    <row r="437" customFormat="false" ht="15" hidden="false" customHeight="false" outlineLevel="0" collapsed="false">
      <c r="D437" s="36" t="str">
        <f aca="false">TRIM(A437)</f>
        <v/>
      </c>
      <c r="E437" s="36" t="str">
        <f aca="false">IF(D437="Revenue","Revenue",IF(D437="Cost of Goods Sold","COGS",IF(D437="Expenditures","Expense",IF(D437="Other Revenue","Other Revenue",IF(D437="Other Expenditures","Other Expense",E436)))))</f>
        <v>Other Expense</v>
      </c>
      <c r="F437" s="36" t="str">
        <f aca="false">IF(OR(D437="Revenue",D437="Cost of Goods Sold",D437="Expenditures",D437="Other Revenue",D437="Other Expenditures"),E437,IF(AND(LEN(D437)&gt;2,MID(D437,2,1)=" ",ISNUMBER(VALUE(LEFT(D437,1)))),D437,F436))</f>
        <v>Other Expense</v>
      </c>
      <c r="G437" s="36" t="n">
        <f aca="false">IF(AND(D437&lt;&gt;"",ISNUMBER(B437),LEFT(D437,9)&lt;&gt;"Total for",D437&lt;&gt;"Gross Profit",D437&lt;&gt;"Net Operating Revenue",D437&lt;&gt;"Net Other Revenue",D437&lt;&gt;"Net Revenue"),1,0)</f>
        <v>0</v>
      </c>
      <c r="H437" s="36" t="str">
        <f aca="false">IF(G437=1,IF(AND(LEN(D437)&gt;7,ISNUMBER(VALUE(LEFT(D437,6))),MID(D437,7,1)=" "),LEFT(D437,6),D437),"")</f>
        <v/>
      </c>
      <c r="I437" s="36" t="str">
        <f aca="false">IF(G437=1,IF(COUNTIF('Forecast Detail'!$C$8:$C$400,H437)=0,"UNMAPPED","OK"),"")</f>
        <v/>
      </c>
    </row>
    <row r="438" customFormat="false" ht="15" hidden="false" customHeight="false" outlineLevel="0" collapsed="false">
      <c r="D438" s="36" t="str">
        <f aca="false">TRIM(A438)</f>
        <v/>
      </c>
      <c r="E438" s="36" t="str">
        <f aca="false">IF(D438="Revenue","Revenue",IF(D438="Cost of Goods Sold","COGS",IF(D438="Expenditures","Expense",IF(D438="Other Revenue","Other Revenue",IF(D438="Other Expenditures","Other Expense",E437)))))</f>
        <v>Other Expense</v>
      </c>
      <c r="F438" s="36" t="str">
        <f aca="false">IF(OR(D438="Revenue",D438="Cost of Goods Sold",D438="Expenditures",D438="Other Revenue",D438="Other Expenditures"),E438,IF(AND(LEN(D438)&gt;2,MID(D438,2,1)=" ",ISNUMBER(VALUE(LEFT(D438,1)))),D438,F437))</f>
        <v>Other Expense</v>
      </c>
      <c r="G438" s="36" t="n">
        <f aca="false">IF(AND(D438&lt;&gt;"",ISNUMBER(B438),LEFT(D438,9)&lt;&gt;"Total for",D438&lt;&gt;"Gross Profit",D438&lt;&gt;"Net Operating Revenue",D438&lt;&gt;"Net Other Revenue",D438&lt;&gt;"Net Revenue"),1,0)</f>
        <v>0</v>
      </c>
      <c r="H438" s="36" t="str">
        <f aca="false">IF(G438=1,IF(AND(LEN(D438)&gt;7,ISNUMBER(VALUE(LEFT(D438,6))),MID(D438,7,1)=" "),LEFT(D438,6),D438),"")</f>
        <v/>
      </c>
      <c r="I438" s="36" t="str">
        <f aca="false">IF(G438=1,IF(COUNTIF('Forecast Detail'!$C$8:$C$400,H438)=0,"UNMAPPED","OK"),"")</f>
        <v/>
      </c>
    </row>
    <row r="439" customFormat="false" ht="15" hidden="false" customHeight="false" outlineLevel="0" collapsed="false">
      <c r="D439" s="36" t="str">
        <f aca="false">TRIM(A439)</f>
        <v/>
      </c>
      <c r="E439" s="36" t="str">
        <f aca="false">IF(D439="Revenue","Revenue",IF(D439="Cost of Goods Sold","COGS",IF(D439="Expenditures","Expense",IF(D439="Other Revenue","Other Revenue",IF(D439="Other Expenditures","Other Expense",E438)))))</f>
        <v>Other Expense</v>
      </c>
      <c r="F439" s="36" t="str">
        <f aca="false">IF(OR(D439="Revenue",D439="Cost of Goods Sold",D439="Expenditures",D439="Other Revenue",D439="Other Expenditures"),E439,IF(AND(LEN(D439)&gt;2,MID(D439,2,1)=" ",ISNUMBER(VALUE(LEFT(D439,1)))),D439,F438))</f>
        <v>Other Expense</v>
      </c>
      <c r="G439" s="36" t="n">
        <f aca="false">IF(AND(D439&lt;&gt;"",ISNUMBER(B439),LEFT(D439,9)&lt;&gt;"Total for",D439&lt;&gt;"Gross Profit",D439&lt;&gt;"Net Operating Revenue",D439&lt;&gt;"Net Other Revenue",D439&lt;&gt;"Net Revenue"),1,0)</f>
        <v>0</v>
      </c>
      <c r="H439" s="36" t="str">
        <f aca="false">IF(G439=1,IF(AND(LEN(D439)&gt;7,ISNUMBER(VALUE(LEFT(D439,6))),MID(D439,7,1)=" "),LEFT(D439,6),D439),"")</f>
        <v/>
      </c>
      <c r="I439" s="36" t="str">
        <f aca="false">IF(G439=1,IF(COUNTIF('Forecast Detail'!$C$8:$C$400,H439)=0,"UNMAPPED","OK"),"")</f>
        <v/>
      </c>
    </row>
    <row r="440" customFormat="false" ht="15" hidden="false" customHeight="false" outlineLevel="0" collapsed="false">
      <c r="D440" s="36" t="str">
        <f aca="false">TRIM(A440)</f>
        <v/>
      </c>
      <c r="E440" s="36" t="str">
        <f aca="false">IF(D440="Revenue","Revenue",IF(D440="Cost of Goods Sold","COGS",IF(D440="Expenditures","Expense",IF(D440="Other Revenue","Other Revenue",IF(D440="Other Expenditures","Other Expense",E439)))))</f>
        <v>Other Expense</v>
      </c>
      <c r="F440" s="36" t="str">
        <f aca="false">IF(OR(D440="Revenue",D440="Cost of Goods Sold",D440="Expenditures",D440="Other Revenue",D440="Other Expenditures"),E440,IF(AND(LEN(D440)&gt;2,MID(D440,2,1)=" ",ISNUMBER(VALUE(LEFT(D440,1)))),D440,F439))</f>
        <v>Other Expense</v>
      </c>
      <c r="G440" s="36" t="n">
        <f aca="false">IF(AND(D440&lt;&gt;"",ISNUMBER(B440),LEFT(D440,9)&lt;&gt;"Total for",D440&lt;&gt;"Gross Profit",D440&lt;&gt;"Net Operating Revenue",D440&lt;&gt;"Net Other Revenue",D440&lt;&gt;"Net Revenue"),1,0)</f>
        <v>0</v>
      </c>
      <c r="H440" s="36" t="str">
        <f aca="false">IF(G440=1,IF(AND(LEN(D440)&gt;7,ISNUMBER(VALUE(LEFT(D440,6))),MID(D440,7,1)=" "),LEFT(D440,6),D440),"")</f>
        <v/>
      </c>
      <c r="I440" s="36" t="str">
        <f aca="false">IF(G440=1,IF(COUNTIF('Forecast Detail'!$C$8:$C$400,H440)=0,"UNMAPPED","OK"),"")</f>
        <v/>
      </c>
    </row>
    <row r="441" customFormat="false" ht="15" hidden="false" customHeight="false" outlineLevel="0" collapsed="false">
      <c r="D441" s="36" t="str">
        <f aca="false">TRIM(A441)</f>
        <v/>
      </c>
      <c r="E441" s="36" t="str">
        <f aca="false">IF(D441="Revenue","Revenue",IF(D441="Cost of Goods Sold","COGS",IF(D441="Expenditures","Expense",IF(D441="Other Revenue","Other Revenue",IF(D441="Other Expenditures","Other Expense",E440)))))</f>
        <v>Other Expense</v>
      </c>
      <c r="F441" s="36" t="str">
        <f aca="false">IF(OR(D441="Revenue",D441="Cost of Goods Sold",D441="Expenditures",D441="Other Revenue",D441="Other Expenditures"),E441,IF(AND(LEN(D441)&gt;2,MID(D441,2,1)=" ",ISNUMBER(VALUE(LEFT(D441,1)))),D441,F440))</f>
        <v>Other Expense</v>
      </c>
      <c r="G441" s="36" t="n">
        <f aca="false">IF(AND(D441&lt;&gt;"",ISNUMBER(B441),LEFT(D441,9)&lt;&gt;"Total for",D441&lt;&gt;"Gross Profit",D441&lt;&gt;"Net Operating Revenue",D441&lt;&gt;"Net Other Revenue",D441&lt;&gt;"Net Revenue"),1,0)</f>
        <v>0</v>
      </c>
      <c r="H441" s="36" t="str">
        <f aca="false">IF(G441=1,IF(AND(LEN(D441)&gt;7,ISNUMBER(VALUE(LEFT(D441,6))),MID(D441,7,1)=" "),LEFT(D441,6),D441),"")</f>
        <v/>
      </c>
      <c r="I441" s="36" t="str">
        <f aca="false">IF(G441=1,IF(COUNTIF('Forecast Detail'!$C$8:$C$400,H441)=0,"UNMAPPED","OK"),"")</f>
        <v/>
      </c>
    </row>
    <row r="442" customFormat="false" ht="15" hidden="false" customHeight="false" outlineLevel="0" collapsed="false">
      <c r="D442" s="36" t="str">
        <f aca="false">TRIM(A442)</f>
        <v/>
      </c>
      <c r="E442" s="36" t="str">
        <f aca="false">IF(D442="Revenue","Revenue",IF(D442="Cost of Goods Sold","COGS",IF(D442="Expenditures","Expense",IF(D442="Other Revenue","Other Revenue",IF(D442="Other Expenditures","Other Expense",E441)))))</f>
        <v>Other Expense</v>
      </c>
      <c r="F442" s="36" t="str">
        <f aca="false">IF(OR(D442="Revenue",D442="Cost of Goods Sold",D442="Expenditures",D442="Other Revenue",D442="Other Expenditures"),E442,IF(AND(LEN(D442)&gt;2,MID(D442,2,1)=" ",ISNUMBER(VALUE(LEFT(D442,1)))),D442,F441))</f>
        <v>Other Expense</v>
      </c>
      <c r="G442" s="36" t="n">
        <f aca="false">IF(AND(D442&lt;&gt;"",ISNUMBER(B442),LEFT(D442,9)&lt;&gt;"Total for",D442&lt;&gt;"Gross Profit",D442&lt;&gt;"Net Operating Revenue",D442&lt;&gt;"Net Other Revenue",D442&lt;&gt;"Net Revenue"),1,0)</f>
        <v>0</v>
      </c>
      <c r="H442" s="36" t="str">
        <f aca="false">IF(G442=1,IF(AND(LEN(D442)&gt;7,ISNUMBER(VALUE(LEFT(D442,6))),MID(D442,7,1)=" "),LEFT(D442,6),D442),"")</f>
        <v/>
      </c>
      <c r="I442" s="36" t="str">
        <f aca="false">IF(G442=1,IF(COUNTIF('Forecast Detail'!$C$8:$C$400,H442)=0,"UNMAPPED","OK"),"")</f>
        <v/>
      </c>
    </row>
    <row r="443" customFormat="false" ht="15" hidden="false" customHeight="false" outlineLevel="0" collapsed="false">
      <c r="D443" s="36" t="str">
        <f aca="false">TRIM(A443)</f>
        <v/>
      </c>
      <c r="E443" s="36" t="str">
        <f aca="false">IF(D443="Revenue","Revenue",IF(D443="Cost of Goods Sold","COGS",IF(D443="Expenditures","Expense",IF(D443="Other Revenue","Other Revenue",IF(D443="Other Expenditures","Other Expense",E442)))))</f>
        <v>Other Expense</v>
      </c>
      <c r="F443" s="36" t="str">
        <f aca="false">IF(OR(D443="Revenue",D443="Cost of Goods Sold",D443="Expenditures",D443="Other Revenue",D443="Other Expenditures"),E443,IF(AND(LEN(D443)&gt;2,MID(D443,2,1)=" ",ISNUMBER(VALUE(LEFT(D443,1)))),D443,F442))</f>
        <v>Other Expense</v>
      </c>
      <c r="G443" s="36" t="n">
        <f aca="false">IF(AND(D443&lt;&gt;"",ISNUMBER(B443),LEFT(D443,9)&lt;&gt;"Total for",D443&lt;&gt;"Gross Profit",D443&lt;&gt;"Net Operating Revenue",D443&lt;&gt;"Net Other Revenue",D443&lt;&gt;"Net Revenue"),1,0)</f>
        <v>0</v>
      </c>
      <c r="H443" s="36" t="str">
        <f aca="false">IF(G443=1,IF(AND(LEN(D443)&gt;7,ISNUMBER(VALUE(LEFT(D443,6))),MID(D443,7,1)=" "),LEFT(D443,6),D443),"")</f>
        <v/>
      </c>
      <c r="I443" s="36" t="str">
        <f aca="false">IF(G443=1,IF(COUNTIF('Forecast Detail'!$C$8:$C$400,H443)=0,"UNMAPPED","OK"),"")</f>
        <v/>
      </c>
    </row>
    <row r="444" customFormat="false" ht="15" hidden="false" customHeight="false" outlineLevel="0" collapsed="false">
      <c r="D444" s="36" t="str">
        <f aca="false">TRIM(A444)</f>
        <v/>
      </c>
      <c r="E444" s="36" t="str">
        <f aca="false">IF(D444="Revenue","Revenue",IF(D444="Cost of Goods Sold","COGS",IF(D444="Expenditures","Expense",IF(D444="Other Revenue","Other Revenue",IF(D444="Other Expenditures","Other Expense",E443)))))</f>
        <v>Other Expense</v>
      </c>
      <c r="F444" s="36" t="str">
        <f aca="false">IF(OR(D444="Revenue",D444="Cost of Goods Sold",D444="Expenditures",D444="Other Revenue",D444="Other Expenditures"),E444,IF(AND(LEN(D444)&gt;2,MID(D444,2,1)=" ",ISNUMBER(VALUE(LEFT(D444,1)))),D444,F443))</f>
        <v>Other Expense</v>
      </c>
      <c r="G444" s="36" t="n">
        <f aca="false">IF(AND(D444&lt;&gt;"",ISNUMBER(B444),LEFT(D444,9)&lt;&gt;"Total for",D444&lt;&gt;"Gross Profit",D444&lt;&gt;"Net Operating Revenue",D444&lt;&gt;"Net Other Revenue",D444&lt;&gt;"Net Revenue"),1,0)</f>
        <v>0</v>
      </c>
      <c r="H444" s="36" t="str">
        <f aca="false">IF(G444=1,IF(AND(LEN(D444)&gt;7,ISNUMBER(VALUE(LEFT(D444,6))),MID(D444,7,1)=" "),LEFT(D444,6),D444),"")</f>
        <v/>
      </c>
      <c r="I444" s="36" t="str">
        <f aca="false">IF(G444=1,IF(COUNTIF('Forecast Detail'!$C$8:$C$400,H444)=0,"UNMAPPED","OK"),"")</f>
        <v/>
      </c>
    </row>
    <row r="445" customFormat="false" ht="15" hidden="false" customHeight="false" outlineLevel="0" collapsed="false">
      <c r="D445" s="36" t="str">
        <f aca="false">TRIM(A445)</f>
        <v/>
      </c>
      <c r="E445" s="36" t="str">
        <f aca="false">IF(D445="Revenue","Revenue",IF(D445="Cost of Goods Sold","COGS",IF(D445="Expenditures","Expense",IF(D445="Other Revenue","Other Revenue",IF(D445="Other Expenditures","Other Expense",E444)))))</f>
        <v>Other Expense</v>
      </c>
      <c r="F445" s="36" t="str">
        <f aca="false">IF(OR(D445="Revenue",D445="Cost of Goods Sold",D445="Expenditures",D445="Other Revenue",D445="Other Expenditures"),E445,IF(AND(LEN(D445)&gt;2,MID(D445,2,1)=" ",ISNUMBER(VALUE(LEFT(D445,1)))),D445,F444))</f>
        <v>Other Expense</v>
      </c>
      <c r="G445" s="36" t="n">
        <f aca="false">IF(AND(D445&lt;&gt;"",ISNUMBER(B445),LEFT(D445,9)&lt;&gt;"Total for",D445&lt;&gt;"Gross Profit",D445&lt;&gt;"Net Operating Revenue",D445&lt;&gt;"Net Other Revenue",D445&lt;&gt;"Net Revenue"),1,0)</f>
        <v>0</v>
      </c>
      <c r="H445" s="36" t="str">
        <f aca="false">IF(G445=1,IF(AND(LEN(D445)&gt;7,ISNUMBER(VALUE(LEFT(D445,6))),MID(D445,7,1)=" "),LEFT(D445,6),D445),"")</f>
        <v/>
      </c>
      <c r="I445" s="36" t="str">
        <f aca="false">IF(G445=1,IF(COUNTIF('Forecast Detail'!$C$8:$C$400,H445)=0,"UNMAPPED","OK"),"")</f>
        <v/>
      </c>
    </row>
    <row r="446" customFormat="false" ht="15" hidden="false" customHeight="false" outlineLevel="0" collapsed="false">
      <c r="D446" s="36" t="str">
        <f aca="false">TRIM(A446)</f>
        <v/>
      </c>
      <c r="E446" s="36" t="str">
        <f aca="false">IF(D446="Revenue","Revenue",IF(D446="Cost of Goods Sold","COGS",IF(D446="Expenditures","Expense",IF(D446="Other Revenue","Other Revenue",IF(D446="Other Expenditures","Other Expense",E445)))))</f>
        <v>Other Expense</v>
      </c>
      <c r="F446" s="36" t="str">
        <f aca="false">IF(OR(D446="Revenue",D446="Cost of Goods Sold",D446="Expenditures",D446="Other Revenue",D446="Other Expenditures"),E446,IF(AND(LEN(D446)&gt;2,MID(D446,2,1)=" ",ISNUMBER(VALUE(LEFT(D446,1)))),D446,F445))</f>
        <v>Other Expense</v>
      </c>
      <c r="G446" s="36" t="n">
        <f aca="false">IF(AND(D446&lt;&gt;"",ISNUMBER(B446),LEFT(D446,9)&lt;&gt;"Total for",D446&lt;&gt;"Gross Profit",D446&lt;&gt;"Net Operating Revenue",D446&lt;&gt;"Net Other Revenue",D446&lt;&gt;"Net Revenue"),1,0)</f>
        <v>0</v>
      </c>
      <c r="H446" s="36" t="str">
        <f aca="false">IF(G446=1,IF(AND(LEN(D446)&gt;7,ISNUMBER(VALUE(LEFT(D446,6))),MID(D446,7,1)=" "),LEFT(D446,6),D446),"")</f>
        <v/>
      </c>
      <c r="I446" s="36" t="str">
        <f aca="false">IF(G446=1,IF(COUNTIF('Forecast Detail'!$C$8:$C$400,H446)=0,"UNMAPPED","OK"),"")</f>
        <v/>
      </c>
    </row>
    <row r="447" customFormat="false" ht="15" hidden="false" customHeight="false" outlineLevel="0" collapsed="false">
      <c r="D447" s="36" t="str">
        <f aca="false">TRIM(A447)</f>
        <v/>
      </c>
      <c r="E447" s="36" t="str">
        <f aca="false">IF(D447="Revenue","Revenue",IF(D447="Cost of Goods Sold","COGS",IF(D447="Expenditures","Expense",IF(D447="Other Revenue","Other Revenue",IF(D447="Other Expenditures","Other Expense",E446)))))</f>
        <v>Other Expense</v>
      </c>
      <c r="F447" s="36" t="str">
        <f aca="false">IF(OR(D447="Revenue",D447="Cost of Goods Sold",D447="Expenditures",D447="Other Revenue",D447="Other Expenditures"),E447,IF(AND(LEN(D447)&gt;2,MID(D447,2,1)=" ",ISNUMBER(VALUE(LEFT(D447,1)))),D447,F446))</f>
        <v>Other Expense</v>
      </c>
      <c r="G447" s="36" t="n">
        <f aca="false">IF(AND(D447&lt;&gt;"",ISNUMBER(B447),LEFT(D447,9)&lt;&gt;"Total for",D447&lt;&gt;"Gross Profit",D447&lt;&gt;"Net Operating Revenue",D447&lt;&gt;"Net Other Revenue",D447&lt;&gt;"Net Revenue"),1,0)</f>
        <v>0</v>
      </c>
      <c r="H447" s="36" t="str">
        <f aca="false">IF(G447=1,IF(AND(LEN(D447)&gt;7,ISNUMBER(VALUE(LEFT(D447,6))),MID(D447,7,1)=" "),LEFT(D447,6),D447),"")</f>
        <v/>
      </c>
      <c r="I447" s="36" t="str">
        <f aca="false">IF(G447=1,IF(COUNTIF('Forecast Detail'!$C$8:$C$400,H447)=0,"UNMAPPED","OK"),"")</f>
        <v/>
      </c>
    </row>
    <row r="448" customFormat="false" ht="15" hidden="false" customHeight="false" outlineLevel="0" collapsed="false">
      <c r="D448" s="36" t="str">
        <f aca="false">TRIM(A448)</f>
        <v/>
      </c>
      <c r="E448" s="36" t="str">
        <f aca="false">IF(D448="Revenue","Revenue",IF(D448="Cost of Goods Sold","COGS",IF(D448="Expenditures","Expense",IF(D448="Other Revenue","Other Revenue",IF(D448="Other Expenditures","Other Expense",E447)))))</f>
        <v>Other Expense</v>
      </c>
      <c r="F448" s="36" t="str">
        <f aca="false">IF(OR(D448="Revenue",D448="Cost of Goods Sold",D448="Expenditures",D448="Other Revenue",D448="Other Expenditures"),E448,IF(AND(LEN(D448)&gt;2,MID(D448,2,1)=" ",ISNUMBER(VALUE(LEFT(D448,1)))),D448,F447))</f>
        <v>Other Expense</v>
      </c>
      <c r="G448" s="36" t="n">
        <f aca="false">IF(AND(D448&lt;&gt;"",ISNUMBER(B448),LEFT(D448,9)&lt;&gt;"Total for",D448&lt;&gt;"Gross Profit",D448&lt;&gt;"Net Operating Revenue",D448&lt;&gt;"Net Other Revenue",D448&lt;&gt;"Net Revenue"),1,0)</f>
        <v>0</v>
      </c>
      <c r="H448" s="36" t="str">
        <f aca="false">IF(G448=1,IF(AND(LEN(D448)&gt;7,ISNUMBER(VALUE(LEFT(D448,6))),MID(D448,7,1)=" "),LEFT(D448,6),D448),"")</f>
        <v/>
      </c>
      <c r="I448" s="36" t="str">
        <f aca="false">IF(G448=1,IF(COUNTIF('Forecast Detail'!$C$8:$C$400,H448)=0,"UNMAPPED","OK"),"")</f>
        <v/>
      </c>
    </row>
    <row r="449" customFormat="false" ht="15" hidden="false" customHeight="false" outlineLevel="0" collapsed="false">
      <c r="D449" s="36" t="str">
        <f aca="false">TRIM(A449)</f>
        <v/>
      </c>
      <c r="E449" s="36" t="str">
        <f aca="false">IF(D449="Revenue","Revenue",IF(D449="Cost of Goods Sold","COGS",IF(D449="Expenditures","Expense",IF(D449="Other Revenue","Other Revenue",IF(D449="Other Expenditures","Other Expense",E448)))))</f>
        <v>Other Expense</v>
      </c>
      <c r="F449" s="36" t="str">
        <f aca="false">IF(OR(D449="Revenue",D449="Cost of Goods Sold",D449="Expenditures",D449="Other Revenue",D449="Other Expenditures"),E449,IF(AND(LEN(D449)&gt;2,MID(D449,2,1)=" ",ISNUMBER(VALUE(LEFT(D449,1)))),D449,F448))</f>
        <v>Other Expense</v>
      </c>
      <c r="G449" s="36" t="n">
        <f aca="false">IF(AND(D449&lt;&gt;"",ISNUMBER(B449),LEFT(D449,9)&lt;&gt;"Total for",D449&lt;&gt;"Gross Profit",D449&lt;&gt;"Net Operating Revenue",D449&lt;&gt;"Net Other Revenue",D449&lt;&gt;"Net Revenue"),1,0)</f>
        <v>0</v>
      </c>
      <c r="H449" s="36" t="str">
        <f aca="false">IF(G449=1,IF(AND(LEN(D449)&gt;7,ISNUMBER(VALUE(LEFT(D449,6))),MID(D449,7,1)=" "),LEFT(D449,6),D449),"")</f>
        <v/>
      </c>
      <c r="I449" s="36" t="str">
        <f aca="false">IF(G449=1,IF(COUNTIF('Forecast Detail'!$C$8:$C$400,H449)=0,"UNMAPPED","OK"),"")</f>
        <v/>
      </c>
    </row>
    <row r="450" customFormat="false" ht="15" hidden="false" customHeight="false" outlineLevel="0" collapsed="false">
      <c r="D450" s="36" t="str">
        <f aca="false">TRIM(A450)</f>
        <v/>
      </c>
      <c r="E450" s="36" t="str">
        <f aca="false">IF(D450="Revenue","Revenue",IF(D450="Cost of Goods Sold","COGS",IF(D450="Expenditures","Expense",IF(D450="Other Revenue","Other Revenue",IF(D450="Other Expenditures","Other Expense",E449)))))</f>
        <v>Other Expense</v>
      </c>
      <c r="F450" s="36" t="str">
        <f aca="false">IF(OR(D450="Revenue",D450="Cost of Goods Sold",D450="Expenditures",D450="Other Revenue",D450="Other Expenditures"),E450,IF(AND(LEN(D450)&gt;2,MID(D450,2,1)=" ",ISNUMBER(VALUE(LEFT(D450,1)))),D450,F449))</f>
        <v>Other Expense</v>
      </c>
      <c r="G450" s="36" t="n">
        <f aca="false">IF(AND(D450&lt;&gt;"",ISNUMBER(B450),LEFT(D450,9)&lt;&gt;"Total for",D450&lt;&gt;"Gross Profit",D450&lt;&gt;"Net Operating Revenue",D450&lt;&gt;"Net Other Revenue",D450&lt;&gt;"Net Revenue"),1,0)</f>
        <v>0</v>
      </c>
      <c r="H450" s="36" t="str">
        <f aca="false">IF(G450=1,IF(AND(LEN(D450)&gt;7,ISNUMBER(VALUE(LEFT(D450,6))),MID(D450,7,1)=" "),LEFT(D450,6),D450),"")</f>
        <v/>
      </c>
      <c r="I450" s="36" t="str">
        <f aca="false">IF(G450=1,IF(COUNTIF('Forecast Detail'!$C$8:$C$400,H450)=0,"UNMAPPED","OK"),"")</f>
        <v/>
      </c>
    </row>
    <row r="451" customFormat="false" ht="15" hidden="false" customHeight="false" outlineLevel="0" collapsed="false">
      <c r="D451" s="36" t="str">
        <f aca="false">TRIM(A451)</f>
        <v/>
      </c>
      <c r="E451" s="36" t="str">
        <f aca="false">IF(D451="Revenue","Revenue",IF(D451="Cost of Goods Sold","COGS",IF(D451="Expenditures","Expense",IF(D451="Other Revenue","Other Revenue",IF(D451="Other Expenditures","Other Expense",E450)))))</f>
        <v>Other Expense</v>
      </c>
      <c r="F451" s="36" t="str">
        <f aca="false">IF(OR(D451="Revenue",D451="Cost of Goods Sold",D451="Expenditures",D451="Other Revenue",D451="Other Expenditures"),E451,IF(AND(LEN(D451)&gt;2,MID(D451,2,1)=" ",ISNUMBER(VALUE(LEFT(D451,1)))),D451,F450))</f>
        <v>Other Expense</v>
      </c>
      <c r="G451" s="36" t="n">
        <f aca="false">IF(AND(D451&lt;&gt;"",ISNUMBER(B451),LEFT(D451,9)&lt;&gt;"Total for",D451&lt;&gt;"Gross Profit",D451&lt;&gt;"Net Operating Revenue",D451&lt;&gt;"Net Other Revenue",D451&lt;&gt;"Net Revenue"),1,0)</f>
        <v>0</v>
      </c>
      <c r="H451" s="36" t="str">
        <f aca="false">IF(G451=1,IF(AND(LEN(D451)&gt;7,ISNUMBER(VALUE(LEFT(D451,6))),MID(D451,7,1)=" "),LEFT(D451,6),D451),"")</f>
        <v/>
      </c>
      <c r="I451" s="36" t="str">
        <f aca="false">IF(G451=1,IF(COUNTIF('Forecast Detail'!$C$8:$C$400,H451)=0,"UNMAPPED","OK"),"")</f>
        <v/>
      </c>
    </row>
    <row r="452" customFormat="false" ht="15" hidden="false" customHeight="false" outlineLevel="0" collapsed="false">
      <c r="D452" s="36" t="str">
        <f aca="false">TRIM(A452)</f>
        <v/>
      </c>
      <c r="E452" s="36" t="str">
        <f aca="false">IF(D452="Revenue","Revenue",IF(D452="Cost of Goods Sold","COGS",IF(D452="Expenditures","Expense",IF(D452="Other Revenue","Other Revenue",IF(D452="Other Expenditures","Other Expense",E451)))))</f>
        <v>Other Expense</v>
      </c>
      <c r="F452" s="36" t="str">
        <f aca="false">IF(OR(D452="Revenue",D452="Cost of Goods Sold",D452="Expenditures",D452="Other Revenue",D452="Other Expenditures"),E452,IF(AND(LEN(D452)&gt;2,MID(D452,2,1)=" ",ISNUMBER(VALUE(LEFT(D452,1)))),D452,F451))</f>
        <v>Other Expense</v>
      </c>
      <c r="G452" s="36" t="n">
        <f aca="false">IF(AND(D452&lt;&gt;"",ISNUMBER(B452),LEFT(D452,9)&lt;&gt;"Total for",D452&lt;&gt;"Gross Profit",D452&lt;&gt;"Net Operating Revenue",D452&lt;&gt;"Net Other Revenue",D452&lt;&gt;"Net Revenue"),1,0)</f>
        <v>0</v>
      </c>
      <c r="H452" s="36" t="str">
        <f aca="false">IF(G452=1,IF(AND(LEN(D452)&gt;7,ISNUMBER(VALUE(LEFT(D452,6))),MID(D452,7,1)=" "),LEFT(D452,6),D452),"")</f>
        <v/>
      </c>
      <c r="I452" s="36" t="str">
        <f aca="false">IF(G452=1,IF(COUNTIF('Forecast Detail'!$C$8:$C$400,H452)=0,"UNMAPPED","OK"),"")</f>
        <v/>
      </c>
    </row>
    <row r="453" customFormat="false" ht="15" hidden="false" customHeight="false" outlineLevel="0" collapsed="false">
      <c r="D453" s="36" t="str">
        <f aca="false">TRIM(A453)</f>
        <v/>
      </c>
      <c r="E453" s="36" t="str">
        <f aca="false">IF(D453="Revenue","Revenue",IF(D453="Cost of Goods Sold","COGS",IF(D453="Expenditures","Expense",IF(D453="Other Revenue","Other Revenue",IF(D453="Other Expenditures","Other Expense",E452)))))</f>
        <v>Other Expense</v>
      </c>
      <c r="F453" s="36" t="str">
        <f aca="false">IF(OR(D453="Revenue",D453="Cost of Goods Sold",D453="Expenditures",D453="Other Revenue",D453="Other Expenditures"),E453,IF(AND(LEN(D453)&gt;2,MID(D453,2,1)=" ",ISNUMBER(VALUE(LEFT(D453,1)))),D453,F452))</f>
        <v>Other Expense</v>
      </c>
      <c r="G453" s="36" t="n">
        <f aca="false">IF(AND(D453&lt;&gt;"",ISNUMBER(B453),LEFT(D453,9)&lt;&gt;"Total for",D453&lt;&gt;"Gross Profit",D453&lt;&gt;"Net Operating Revenue",D453&lt;&gt;"Net Other Revenue",D453&lt;&gt;"Net Revenue"),1,0)</f>
        <v>0</v>
      </c>
      <c r="H453" s="36" t="str">
        <f aca="false">IF(G453=1,IF(AND(LEN(D453)&gt;7,ISNUMBER(VALUE(LEFT(D453,6))),MID(D453,7,1)=" "),LEFT(D453,6),D453),"")</f>
        <v/>
      </c>
      <c r="I453" s="36" t="str">
        <f aca="false">IF(G453=1,IF(COUNTIF('Forecast Detail'!$C$8:$C$400,H453)=0,"UNMAPPED","OK"),"")</f>
        <v/>
      </c>
    </row>
    <row r="454" customFormat="false" ht="15" hidden="false" customHeight="false" outlineLevel="0" collapsed="false">
      <c r="D454" s="36" t="str">
        <f aca="false">TRIM(A454)</f>
        <v/>
      </c>
      <c r="E454" s="36" t="str">
        <f aca="false">IF(D454="Revenue","Revenue",IF(D454="Cost of Goods Sold","COGS",IF(D454="Expenditures","Expense",IF(D454="Other Revenue","Other Revenue",IF(D454="Other Expenditures","Other Expense",E453)))))</f>
        <v>Other Expense</v>
      </c>
      <c r="F454" s="36" t="str">
        <f aca="false">IF(OR(D454="Revenue",D454="Cost of Goods Sold",D454="Expenditures",D454="Other Revenue",D454="Other Expenditures"),E454,IF(AND(LEN(D454)&gt;2,MID(D454,2,1)=" ",ISNUMBER(VALUE(LEFT(D454,1)))),D454,F453))</f>
        <v>Other Expense</v>
      </c>
      <c r="G454" s="36" t="n">
        <f aca="false">IF(AND(D454&lt;&gt;"",ISNUMBER(B454),LEFT(D454,9)&lt;&gt;"Total for",D454&lt;&gt;"Gross Profit",D454&lt;&gt;"Net Operating Revenue",D454&lt;&gt;"Net Other Revenue",D454&lt;&gt;"Net Revenue"),1,0)</f>
        <v>0</v>
      </c>
      <c r="H454" s="36" t="str">
        <f aca="false">IF(G454=1,IF(AND(LEN(D454)&gt;7,ISNUMBER(VALUE(LEFT(D454,6))),MID(D454,7,1)=" "),LEFT(D454,6),D454),"")</f>
        <v/>
      </c>
      <c r="I454" s="36" t="str">
        <f aca="false">IF(G454=1,IF(COUNTIF('Forecast Detail'!$C$8:$C$400,H454)=0,"UNMAPPED","OK"),"")</f>
        <v/>
      </c>
    </row>
    <row r="455" customFormat="false" ht="15" hidden="false" customHeight="false" outlineLevel="0" collapsed="false">
      <c r="D455" s="36" t="str">
        <f aca="false">TRIM(A455)</f>
        <v/>
      </c>
      <c r="E455" s="36" t="str">
        <f aca="false">IF(D455="Revenue","Revenue",IF(D455="Cost of Goods Sold","COGS",IF(D455="Expenditures","Expense",IF(D455="Other Revenue","Other Revenue",IF(D455="Other Expenditures","Other Expense",E454)))))</f>
        <v>Other Expense</v>
      </c>
      <c r="F455" s="36" t="str">
        <f aca="false">IF(OR(D455="Revenue",D455="Cost of Goods Sold",D455="Expenditures",D455="Other Revenue",D455="Other Expenditures"),E455,IF(AND(LEN(D455)&gt;2,MID(D455,2,1)=" ",ISNUMBER(VALUE(LEFT(D455,1)))),D455,F454))</f>
        <v>Other Expense</v>
      </c>
      <c r="G455" s="36" t="n">
        <f aca="false">IF(AND(D455&lt;&gt;"",ISNUMBER(B455),LEFT(D455,9)&lt;&gt;"Total for",D455&lt;&gt;"Gross Profit",D455&lt;&gt;"Net Operating Revenue",D455&lt;&gt;"Net Other Revenue",D455&lt;&gt;"Net Revenue"),1,0)</f>
        <v>0</v>
      </c>
      <c r="H455" s="36" t="str">
        <f aca="false">IF(G455=1,IF(AND(LEN(D455)&gt;7,ISNUMBER(VALUE(LEFT(D455,6))),MID(D455,7,1)=" "),LEFT(D455,6),D455),"")</f>
        <v/>
      </c>
      <c r="I455" s="36" t="str">
        <f aca="false">IF(G455=1,IF(COUNTIF('Forecast Detail'!$C$8:$C$400,H455)=0,"UNMAPPED","OK"),"")</f>
        <v/>
      </c>
    </row>
    <row r="456" customFormat="false" ht="15" hidden="false" customHeight="false" outlineLevel="0" collapsed="false">
      <c r="D456" s="36" t="str">
        <f aca="false">TRIM(A456)</f>
        <v/>
      </c>
      <c r="E456" s="36" t="str">
        <f aca="false">IF(D456="Revenue","Revenue",IF(D456="Cost of Goods Sold","COGS",IF(D456="Expenditures","Expense",IF(D456="Other Revenue","Other Revenue",IF(D456="Other Expenditures","Other Expense",E455)))))</f>
        <v>Other Expense</v>
      </c>
      <c r="F456" s="36" t="str">
        <f aca="false">IF(OR(D456="Revenue",D456="Cost of Goods Sold",D456="Expenditures",D456="Other Revenue",D456="Other Expenditures"),E456,IF(AND(LEN(D456)&gt;2,MID(D456,2,1)=" ",ISNUMBER(VALUE(LEFT(D456,1)))),D456,F455))</f>
        <v>Other Expense</v>
      </c>
      <c r="G456" s="36" t="n">
        <f aca="false">IF(AND(D456&lt;&gt;"",ISNUMBER(B456),LEFT(D456,9)&lt;&gt;"Total for",D456&lt;&gt;"Gross Profit",D456&lt;&gt;"Net Operating Revenue",D456&lt;&gt;"Net Other Revenue",D456&lt;&gt;"Net Revenue"),1,0)</f>
        <v>0</v>
      </c>
      <c r="H456" s="36" t="str">
        <f aca="false">IF(G456=1,IF(AND(LEN(D456)&gt;7,ISNUMBER(VALUE(LEFT(D456,6))),MID(D456,7,1)=" "),LEFT(D456,6),D456),"")</f>
        <v/>
      </c>
      <c r="I456" s="36" t="str">
        <f aca="false">IF(G456=1,IF(COUNTIF('Forecast Detail'!$C$8:$C$400,H456)=0,"UNMAPPED","OK"),"")</f>
        <v/>
      </c>
    </row>
    <row r="457" customFormat="false" ht="15" hidden="false" customHeight="false" outlineLevel="0" collapsed="false">
      <c r="D457" s="36" t="str">
        <f aca="false">TRIM(A457)</f>
        <v/>
      </c>
      <c r="E457" s="36" t="str">
        <f aca="false">IF(D457="Revenue","Revenue",IF(D457="Cost of Goods Sold","COGS",IF(D457="Expenditures","Expense",IF(D457="Other Revenue","Other Revenue",IF(D457="Other Expenditures","Other Expense",E456)))))</f>
        <v>Other Expense</v>
      </c>
      <c r="F457" s="36" t="str">
        <f aca="false">IF(OR(D457="Revenue",D457="Cost of Goods Sold",D457="Expenditures",D457="Other Revenue",D457="Other Expenditures"),E457,IF(AND(LEN(D457)&gt;2,MID(D457,2,1)=" ",ISNUMBER(VALUE(LEFT(D457,1)))),D457,F456))</f>
        <v>Other Expense</v>
      </c>
      <c r="G457" s="36" t="n">
        <f aca="false">IF(AND(D457&lt;&gt;"",ISNUMBER(B457),LEFT(D457,9)&lt;&gt;"Total for",D457&lt;&gt;"Gross Profit",D457&lt;&gt;"Net Operating Revenue",D457&lt;&gt;"Net Other Revenue",D457&lt;&gt;"Net Revenue"),1,0)</f>
        <v>0</v>
      </c>
      <c r="H457" s="36" t="str">
        <f aca="false">IF(G457=1,IF(AND(LEN(D457)&gt;7,ISNUMBER(VALUE(LEFT(D457,6))),MID(D457,7,1)=" "),LEFT(D457,6),D457),"")</f>
        <v/>
      </c>
      <c r="I457" s="36" t="str">
        <f aca="false">IF(G457=1,IF(COUNTIF('Forecast Detail'!$C$8:$C$400,H457)=0,"UNMAPPED","OK"),"")</f>
        <v/>
      </c>
    </row>
    <row r="458" customFormat="false" ht="15" hidden="false" customHeight="false" outlineLevel="0" collapsed="false">
      <c r="D458" s="36" t="str">
        <f aca="false">TRIM(A458)</f>
        <v/>
      </c>
      <c r="E458" s="36" t="str">
        <f aca="false">IF(D458="Revenue","Revenue",IF(D458="Cost of Goods Sold","COGS",IF(D458="Expenditures","Expense",IF(D458="Other Revenue","Other Revenue",IF(D458="Other Expenditures","Other Expense",E457)))))</f>
        <v>Other Expense</v>
      </c>
      <c r="F458" s="36" t="str">
        <f aca="false">IF(OR(D458="Revenue",D458="Cost of Goods Sold",D458="Expenditures",D458="Other Revenue",D458="Other Expenditures"),E458,IF(AND(LEN(D458)&gt;2,MID(D458,2,1)=" ",ISNUMBER(VALUE(LEFT(D458,1)))),D458,F457))</f>
        <v>Other Expense</v>
      </c>
      <c r="G458" s="36" t="n">
        <f aca="false">IF(AND(D458&lt;&gt;"",ISNUMBER(B458),LEFT(D458,9)&lt;&gt;"Total for",D458&lt;&gt;"Gross Profit",D458&lt;&gt;"Net Operating Revenue",D458&lt;&gt;"Net Other Revenue",D458&lt;&gt;"Net Revenue"),1,0)</f>
        <v>0</v>
      </c>
      <c r="H458" s="36" t="str">
        <f aca="false">IF(G458=1,IF(AND(LEN(D458)&gt;7,ISNUMBER(VALUE(LEFT(D458,6))),MID(D458,7,1)=" "),LEFT(D458,6),D458),"")</f>
        <v/>
      </c>
      <c r="I458" s="36" t="str">
        <f aca="false">IF(G458=1,IF(COUNTIF('Forecast Detail'!$C$8:$C$400,H458)=0,"UNMAPPED","OK"),"")</f>
        <v/>
      </c>
    </row>
    <row r="459" customFormat="false" ht="15" hidden="false" customHeight="false" outlineLevel="0" collapsed="false">
      <c r="D459" s="36" t="str">
        <f aca="false">TRIM(A459)</f>
        <v/>
      </c>
      <c r="E459" s="36" t="str">
        <f aca="false">IF(D459="Revenue","Revenue",IF(D459="Cost of Goods Sold","COGS",IF(D459="Expenditures","Expense",IF(D459="Other Revenue","Other Revenue",IF(D459="Other Expenditures","Other Expense",E458)))))</f>
        <v>Other Expense</v>
      </c>
      <c r="F459" s="36" t="str">
        <f aca="false">IF(OR(D459="Revenue",D459="Cost of Goods Sold",D459="Expenditures",D459="Other Revenue",D459="Other Expenditures"),E459,IF(AND(LEN(D459)&gt;2,MID(D459,2,1)=" ",ISNUMBER(VALUE(LEFT(D459,1)))),D459,F458))</f>
        <v>Other Expense</v>
      </c>
      <c r="G459" s="36" t="n">
        <f aca="false">IF(AND(D459&lt;&gt;"",ISNUMBER(B459),LEFT(D459,9)&lt;&gt;"Total for",D459&lt;&gt;"Gross Profit",D459&lt;&gt;"Net Operating Revenue",D459&lt;&gt;"Net Other Revenue",D459&lt;&gt;"Net Revenue"),1,0)</f>
        <v>0</v>
      </c>
      <c r="H459" s="36" t="str">
        <f aca="false">IF(G459=1,IF(AND(LEN(D459)&gt;7,ISNUMBER(VALUE(LEFT(D459,6))),MID(D459,7,1)=" "),LEFT(D459,6),D459),"")</f>
        <v/>
      </c>
      <c r="I459" s="36" t="str">
        <f aca="false">IF(G459=1,IF(COUNTIF('Forecast Detail'!$C$8:$C$400,H459)=0,"UNMAPPED","OK"),"")</f>
        <v/>
      </c>
    </row>
    <row r="460" customFormat="false" ht="15" hidden="false" customHeight="false" outlineLevel="0" collapsed="false">
      <c r="D460" s="36" t="str">
        <f aca="false">TRIM(A460)</f>
        <v/>
      </c>
      <c r="E460" s="36" t="str">
        <f aca="false">IF(D460="Revenue","Revenue",IF(D460="Cost of Goods Sold","COGS",IF(D460="Expenditures","Expense",IF(D460="Other Revenue","Other Revenue",IF(D460="Other Expenditures","Other Expense",E459)))))</f>
        <v>Other Expense</v>
      </c>
      <c r="F460" s="36" t="str">
        <f aca="false">IF(OR(D460="Revenue",D460="Cost of Goods Sold",D460="Expenditures",D460="Other Revenue",D460="Other Expenditures"),E460,IF(AND(LEN(D460)&gt;2,MID(D460,2,1)=" ",ISNUMBER(VALUE(LEFT(D460,1)))),D460,F459))</f>
        <v>Other Expense</v>
      </c>
      <c r="G460" s="36" t="n">
        <f aca="false">IF(AND(D460&lt;&gt;"",ISNUMBER(B460),LEFT(D460,9)&lt;&gt;"Total for",D460&lt;&gt;"Gross Profit",D460&lt;&gt;"Net Operating Revenue",D460&lt;&gt;"Net Other Revenue",D460&lt;&gt;"Net Revenue"),1,0)</f>
        <v>0</v>
      </c>
      <c r="H460" s="36" t="str">
        <f aca="false">IF(G460=1,IF(AND(LEN(D460)&gt;7,ISNUMBER(VALUE(LEFT(D460,6))),MID(D460,7,1)=" "),LEFT(D460,6),D460),"")</f>
        <v/>
      </c>
      <c r="I460" s="36" t="str">
        <f aca="false">IF(G460=1,IF(COUNTIF('Forecast Detail'!$C$8:$C$400,H460)=0,"UNMAPPED","OK"),"")</f>
        <v/>
      </c>
    </row>
    <row r="461" customFormat="false" ht="15" hidden="false" customHeight="false" outlineLevel="0" collapsed="false">
      <c r="D461" s="36" t="str">
        <f aca="false">TRIM(A461)</f>
        <v/>
      </c>
      <c r="E461" s="36" t="str">
        <f aca="false">IF(D461="Revenue","Revenue",IF(D461="Cost of Goods Sold","COGS",IF(D461="Expenditures","Expense",IF(D461="Other Revenue","Other Revenue",IF(D461="Other Expenditures","Other Expense",E460)))))</f>
        <v>Other Expense</v>
      </c>
      <c r="F461" s="36" t="str">
        <f aca="false">IF(OR(D461="Revenue",D461="Cost of Goods Sold",D461="Expenditures",D461="Other Revenue",D461="Other Expenditures"),E461,IF(AND(LEN(D461)&gt;2,MID(D461,2,1)=" ",ISNUMBER(VALUE(LEFT(D461,1)))),D461,F460))</f>
        <v>Other Expense</v>
      </c>
      <c r="G461" s="36" t="n">
        <f aca="false">IF(AND(D461&lt;&gt;"",ISNUMBER(B461),LEFT(D461,9)&lt;&gt;"Total for",D461&lt;&gt;"Gross Profit",D461&lt;&gt;"Net Operating Revenue",D461&lt;&gt;"Net Other Revenue",D461&lt;&gt;"Net Revenue"),1,0)</f>
        <v>0</v>
      </c>
      <c r="H461" s="36" t="str">
        <f aca="false">IF(G461=1,IF(AND(LEN(D461)&gt;7,ISNUMBER(VALUE(LEFT(D461,6))),MID(D461,7,1)=" "),LEFT(D461,6),D461),"")</f>
        <v/>
      </c>
      <c r="I461" s="36" t="str">
        <f aca="false">IF(G461=1,IF(COUNTIF('Forecast Detail'!$C$8:$C$400,H461)=0,"UNMAPPED","OK"),"")</f>
        <v/>
      </c>
    </row>
    <row r="462" customFormat="false" ht="15" hidden="false" customHeight="false" outlineLevel="0" collapsed="false">
      <c r="D462" s="36" t="str">
        <f aca="false">TRIM(A462)</f>
        <v/>
      </c>
      <c r="E462" s="36" t="str">
        <f aca="false">IF(D462="Revenue","Revenue",IF(D462="Cost of Goods Sold","COGS",IF(D462="Expenditures","Expense",IF(D462="Other Revenue","Other Revenue",IF(D462="Other Expenditures","Other Expense",E461)))))</f>
        <v>Other Expense</v>
      </c>
      <c r="F462" s="36" t="str">
        <f aca="false">IF(OR(D462="Revenue",D462="Cost of Goods Sold",D462="Expenditures",D462="Other Revenue",D462="Other Expenditures"),E462,IF(AND(LEN(D462)&gt;2,MID(D462,2,1)=" ",ISNUMBER(VALUE(LEFT(D462,1)))),D462,F461))</f>
        <v>Other Expense</v>
      </c>
      <c r="G462" s="36" t="n">
        <f aca="false">IF(AND(D462&lt;&gt;"",ISNUMBER(B462),LEFT(D462,9)&lt;&gt;"Total for",D462&lt;&gt;"Gross Profit",D462&lt;&gt;"Net Operating Revenue",D462&lt;&gt;"Net Other Revenue",D462&lt;&gt;"Net Revenue"),1,0)</f>
        <v>0</v>
      </c>
      <c r="H462" s="36" t="str">
        <f aca="false">IF(G462=1,IF(AND(LEN(D462)&gt;7,ISNUMBER(VALUE(LEFT(D462,6))),MID(D462,7,1)=" "),LEFT(D462,6),D462),"")</f>
        <v/>
      </c>
      <c r="I462" s="36" t="str">
        <f aca="false">IF(G462=1,IF(COUNTIF('Forecast Detail'!$C$8:$C$400,H462)=0,"UNMAPPED","OK"),"")</f>
        <v/>
      </c>
    </row>
    <row r="463" customFormat="false" ht="15" hidden="false" customHeight="false" outlineLevel="0" collapsed="false">
      <c r="D463" s="36" t="str">
        <f aca="false">TRIM(A463)</f>
        <v/>
      </c>
      <c r="E463" s="36" t="str">
        <f aca="false">IF(D463="Revenue","Revenue",IF(D463="Cost of Goods Sold","COGS",IF(D463="Expenditures","Expense",IF(D463="Other Revenue","Other Revenue",IF(D463="Other Expenditures","Other Expense",E462)))))</f>
        <v>Other Expense</v>
      </c>
      <c r="F463" s="36" t="str">
        <f aca="false">IF(OR(D463="Revenue",D463="Cost of Goods Sold",D463="Expenditures",D463="Other Revenue",D463="Other Expenditures"),E463,IF(AND(LEN(D463)&gt;2,MID(D463,2,1)=" ",ISNUMBER(VALUE(LEFT(D463,1)))),D463,F462))</f>
        <v>Other Expense</v>
      </c>
      <c r="G463" s="36" t="n">
        <f aca="false">IF(AND(D463&lt;&gt;"",ISNUMBER(B463),LEFT(D463,9)&lt;&gt;"Total for",D463&lt;&gt;"Gross Profit",D463&lt;&gt;"Net Operating Revenue",D463&lt;&gt;"Net Other Revenue",D463&lt;&gt;"Net Revenue"),1,0)</f>
        <v>0</v>
      </c>
      <c r="H463" s="36" t="str">
        <f aca="false">IF(G463=1,IF(AND(LEN(D463)&gt;7,ISNUMBER(VALUE(LEFT(D463,6))),MID(D463,7,1)=" "),LEFT(D463,6),D463),"")</f>
        <v/>
      </c>
      <c r="I463" s="36" t="str">
        <f aca="false">IF(G463=1,IF(COUNTIF('Forecast Detail'!$C$8:$C$400,H463)=0,"UNMAPPED","OK"),"")</f>
        <v/>
      </c>
    </row>
    <row r="464" customFormat="false" ht="15" hidden="false" customHeight="false" outlineLevel="0" collapsed="false">
      <c r="D464" s="36" t="str">
        <f aca="false">TRIM(A464)</f>
        <v/>
      </c>
      <c r="E464" s="36" t="str">
        <f aca="false">IF(D464="Revenue","Revenue",IF(D464="Cost of Goods Sold","COGS",IF(D464="Expenditures","Expense",IF(D464="Other Revenue","Other Revenue",IF(D464="Other Expenditures","Other Expense",E463)))))</f>
        <v>Other Expense</v>
      </c>
      <c r="F464" s="36" t="str">
        <f aca="false">IF(OR(D464="Revenue",D464="Cost of Goods Sold",D464="Expenditures",D464="Other Revenue",D464="Other Expenditures"),E464,IF(AND(LEN(D464)&gt;2,MID(D464,2,1)=" ",ISNUMBER(VALUE(LEFT(D464,1)))),D464,F463))</f>
        <v>Other Expense</v>
      </c>
      <c r="G464" s="36" t="n">
        <f aca="false">IF(AND(D464&lt;&gt;"",ISNUMBER(B464),LEFT(D464,9)&lt;&gt;"Total for",D464&lt;&gt;"Gross Profit",D464&lt;&gt;"Net Operating Revenue",D464&lt;&gt;"Net Other Revenue",D464&lt;&gt;"Net Revenue"),1,0)</f>
        <v>0</v>
      </c>
      <c r="H464" s="36" t="str">
        <f aca="false">IF(G464=1,IF(AND(LEN(D464)&gt;7,ISNUMBER(VALUE(LEFT(D464,6))),MID(D464,7,1)=" "),LEFT(D464,6),D464),"")</f>
        <v/>
      </c>
      <c r="I464" s="36" t="str">
        <f aca="false">IF(G464=1,IF(COUNTIF('Forecast Detail'!$C$8:$C$400,H464)=0,"UNMAPPED","OK"),"")</f>
        <v/>
      </c>
    </row>
    <row r="465" customFormat="false" ht="15" hidden="false" customHeight="false" outlineLevel="0" collapsed="false">
      <c r="D465" s="36" t="str">
        <f aca="false">TRIM(A465)</f>
        <v/>
      </c>
      <c r="E465" s="36" t="str">
        <f aca="false">IF(D465="Revenue","Revenue",IF(D465="Cost of Goods Sold","COGS",IF(D465="Expenditures","Expense",IF(D465="Other Revenue","Other Revenue",IF(D465="Other Expenditures","Other Expense",E464)))))</f>
        <v>Other Expense</v>
      </c>
      <c r="F465" s="36" t="str">
        <f aca="false">IF(OR(D465="Revenue",D465="Cost of Goods Sold",D465="Expenditures",D465="Other Revenue",D465="Other Expenditures"),E465,IF(AND(LEN(D465)&gt;2,MID(D465,2,1)=" ",ISNUMBER(VALUE(LEFT(D465,1)))),D465,F464))</f>
        <v>Other Expense</v>
      </c>
      <c r="G465" s="36" t="n">
        <f aca="false">IF(AND(D465&lt;&gt;"",ISNUMBER(B465),LEFT(D465,9)&lt;&gt;"Total for",D465&lt;&gt;"Gross Profit",D465&lt;&gt;"Net Operating Revenue",D465&lt;&gt;"Net Other Revenue",D465&lt;&gt;"Net Revenue"),1,0)</f>
        <v>0</v>
      </c>
      <c r="H465" s="36" t="str">
        <f aca="false">IF(G465=1,IF(AND(LEN(D465)&gt;7,ISNUMBER(VALUE(LEFT(D465,6))),MID(D465,7,1)=" "),LEFT(D465,6),D465),"")</f>
        <v/>
      </c>
      <c r="I465" s="36" t="str">
        <f aca="false">IF(G465=1,IF(COUNTIF('Forecast Detail'!$C$8:$C$400,H465)=0,"UNMAPPED","OK"),"")</f>
        <v/>
      </c>
    </row>
    <row r="466" customFormat="false" ht="15" hidden="false" customHeight="false" outlineLevel="0" collapsed="false">
      <c r="D466" s="36" t="str">
        <f aca="false">TRIM(A466)</f>
        <v/>
      </c>
      <c r="E466" s="36" t="str">
        <f aca="false">IF(D466="Revenue","Revenue",IF(D466="Cost of Goods Sold","COGS",IF(D466="Expenditures","Expense",IF(D466="Other Revenue","Other Revenue",IF(D466="Other Expenditures","Other Expense",E465)))))</f>
        <v>Other Expense</v>
      </c>
      <c r="F466" s="36" t="str">
        <f aca="false">IF(OR(D466="Revenue",D466="Cost of Goods Sold",D466="Expenditures",D466="Other Revenue",D466="Other Expenditures"),E466,IF(AND(LEN(D466)&gt;2,MID(D466,2,1)=" ",ISNUMBER(VALUE(LEFT(D466,1)))),D466,F465))</f>
        <v>Other Expense</v>
      </c>
      <c r="G466" s="36" t="n">
        <f aca="false">IF(AND(D466&lt;&gt;"",ISNUMBER(B466),LEFT(D466,9)&lt;&gt;"Total for",D466&lt;&gt;"Gross Profit",D466&lt;&gt;"Net Operating Revenue",D466&lt;&gt;"Net Other Revenue",D466&lt;&gt;"Net Revenue"),1,0)</f>
        <v>0</v>
      </c>
      <c r="H466" s="36" t="str">
        <f aca="false">IF(G466=1,IF(AND(LEN(D466)&gt;7,ISNUMBER(VALUE(LEFT(D466,6))),MID(D466,7,1)=" "),LEFT(D466,6),D466),"")</f>
        <v/>
      </c>
      <c r="I466" s="36" t="str">
        <f aca="false">IF(G466=1,IF(COUNTIF('Forecast Detail'!$C$8:$C$400,H466)=0,"UNMAPPED","OK"),"")</f>
        <v/>
      </c>
    </row>
    <row r="467" customFormat="false" ht="15" hidden="false" customHeight="false" outlineLevel="0" collapsed="false">
      <c r="D467" s="36" t="str">
        <f aca="false">TRIM(A467)</f>
        <v/>
      </c>
      <c r="E467" s="36" t="str">
        <f aca="false">IF(D467="Revenue","Revenue",IF(D467="Cost of Goods Sold","COGS",IF(D467="Expenditures","Expense",IF(D467="Other Revenue","Other Revenue",IF(D467="Other Expenditures","Other Expense",E466)))))</f>
        <v>Other Expense</v>
      </c>
      <c r="F467" s="36" t="str">
        <f aca="false">IF(OR(D467="Revenue",D467="Cost of Goods Sold",D467="Expenditures",D467="Other Revenue",D467="Other Expenditures"),E467,IF(AND(LEN(D467)&gt;2,MID(D467,2,1)=" ",ISNUMBER(VALUE(LEFT(D467,1)))),D467,F466))</f>
        <v>Other Expense</v>
      </c>
      <c r="G467" s="36" t="n">
        <f aca="false">IF(AND(D467&lt;&gt;"",ISNUMBER(B467),LEFT(D467,9)&lt;&gt;"Total for",D467&lt;&gt;"Gross Profit",D467&lt;&gt;"Net Operating Revenue",D467&lt;&gt;"Net Other Revenue",D467&lt;&gt;"Net Revenue"),1,0)</f>
        <v>0</v>
      </c>
      <c r="H467" s="36" t="str">
        <f aca="false">IF(G467=1,IF(AND(LEN(D467)&gt;7,ISNUMBER(VALUE(LEFT(D467,6))),MID(D467,7,1)=" "),LEFT(D467,6),D467),"")</f>
        <v/>
      </c>
      <c r="I467" s="36" t="str">
        <f aca="false">IF(G467=1,IF(COUNTIF('Forecast Detail'!$C$8:$C$400,H467)=0,"UNMAPPED","OK"),"")</f>
        <v/>
      </c>
    </row>
    <row r="468" customFormat="false" ht="15" hidden="false" customHeight="false" outlineLevel="0" collapsed="false">
      <c r="D468" s="36" t="str">
        <f aca="false">TRIM(A468)</f>
        <v/>
      </c>
      <c r="E468" s="36" t="str">
        <f aca="false">IF(D468="Revenue","Revenue",IF(D468="Cost of Goods Sold","COGS",IF(D468="Expenditures","Expense",IF(D468="Other Revenue","Other Revenue",IF(D468="Other Expenditures","Other Expense",E467)))))</f>
        <v>Other Expense</v>
      </c>
      <c r="F468" s="36" t="str">
        <f aca="false">IF(OR(D468="Revenue",D468="Cost of Goods Sold",D468="Expenditures",D468="Other Revenue",D468="Other Expenditures"),E468,IF(AND(LEN(D468)&gt;2,MID(D468,2,1)=" ",ISNUMBER(VALUE(LEFT(D468,1)))),D468,F467))</f>
        <v>Other Expense</v>
      </c>
      <c r="G468" s="36" t="n">
        <f aca="false">IF(AND(D468&lt;&gt;"",ISNUMBER(B468),LEFT(D468,9)&lt;&gt;"Total for",D468&lt;&gt;"Gross Profit",D468&lt;&gt;"Net Operating Revenue",D468&lt;&gt;"Net Other Revenue",D468&lt;&gt;"Net Revenue"),1,0)</f>
        <v>0</v>
      </c>
      <c r="H468" s="36" t="str">
        <f aca="false">IF(G468=1,IF(AND(LEN(D468)&gt;7,ISNUMBER(VALUE(LEFT(D468,6))),MID(D468,7,1)=" "),LEFT(D468,6),D468),"")</f>
        <v/>
      </c>
      <c r="I468" s="36" t="str">
        <f aca="false">IF(G468=1,IF(COUNTIF('Forecast Detail'!$C$8:$C$400,H468)=0,"UNMAPPED","OK"),"")</f>
        <v/>
      </c>
    </row>
    <row r="469" customFormat="false" ht="15" hidden="false" customHeight="false" outlineLevel="0" collapsed="false">
      <c r="D469" s="36" t="str">
        <f aca="false">TRIM(A469)</f>
        <v/>
      </c>
      <c r="E469" s="36" t="str">
        <f aca="false">IF(D469="Revenue","Revenue",IF(D469="Cost of Goods Sold","COGS",IF(D469="Expenditures","Expense",IF(D469="Other Revenue","Other Revenue",IF(D469="Other Expenditures","Other Expense",E468)))))</f>
        <v>Other Expense</v>
      </c>
      <c r="F469" s="36" t="str">
        <f aca="false">IF(OR(D469="Revenue",D469="Cost of Goods Sold",D469="Expenditures",D469="Other Revenue",D469="Other Expenditures"),E469,IF(AND(LEN(D469)&gt;2,MID(D469,2,1)=" ",ISNUMBER(VALUE(LEFT(D469,1)))),D469,F468))</f>
        <v>Other Expense</v>
      </c>
      <c r="G469" s="36" t="n">
        <f aca="false">IF(AND(D469&lt;&gt;"",ISNUMBER(B469),LEFT(D469,9)&lt;&gt;"Total for",D469&lt;&gt;"Gross Profit",D469&lt;&gt;"Net Operating Revenue",D469&lt;&gt;"Net Other Revenue",D469&lt;&gt;"Net Revenue"),1,0)</f>
        <v>0</v>
      </c>
      <c r="H469" s="36" t="str">
        <f aca="false">IF(G469=1,IF(AND(LEN(D469)&gt;7,ISNUMBER(VALUE(LEFT(D469,6))),MID(D469,7,1)=" "),LEFT(D469,6),D469),"")</f>
        <v/>
      </c>
      <c r="I469" s="36" t="str">
        <f aca="false">IF(G469=1,IF(COUNTIF('Forecast Detail'!$C$8:$C$400,H469)=0,"UNMAPPED","OK"),"")</f>
        <v/>
      </c>
    </row>
    <row r="470" customFormat="false" ht="15" hidden="false" customHeight="false" outlineLevel="0" collapsed="false">
      <c r="D470" s="36" t="str">
        <f aca="false">TRIM(A470)</f>
        <v/>
      </c>
      <c r="E470" s="36" t="str">
        <f aca="false">IF(D470="Revenue","Revenue",IF(D470="Cost of Goods Sold","COGS",IF(D470="Expenditures","Expense",IF(D470="Other Revenue","Other Revenue",IF(D470="Other Expenditures","Other Expense",E469)))))</f>
        <v>Other Expense</v>
      </c>
      <c r="F470" s="36" t="str">
        <f aca="false">IF(OR(D470="Revenue",D470="Cost of Goods Sold",D470="Expenditures",D470="Other Revenue",D470="Other Expenditures"),E470,IF(AND(LEN(D470)&gt;2,MID(D470,2,1)=" ",ISNUMBER(VALUE(LEFT(D470,1)))),D470,F469))</f>
        <v>Other Expense</v>
      </c>
      <c r="G470" s="36" t="n">
        <f aca="false">IF(AND(D470&lt;&gt;"",ISNUMBER(B470),LEFT(D470,9)&lt;&gt;"Total for",D470&lt;&gt;"Gross Profit",D470&lt;&gt;"Net Operating Revenue",D470&lt;&gt;"Net Other Revenue",D470&lt;&gt;"Net Revenue"),1,0)</f>
        <v>0</v>
      </c>
      <c r="H470" s="36" t="str">
        <f aca="false">IF(G470=1,IF(AND(LEN(D470)&gt;7,ISNUMBER(VALUE(LEFT(D470,6))),MID(D470,7,1)=" "),LEFT(D470,6),D470),"")</f>
        <v/>
      </c>
      <c r="I470" s="36" t="str">
        <f aca="false">IF(G470=1,IF(COUNTIF('Forecast Detail'!$C$8:$C$400,H470)=0,"UNMAPPED","OK"),"")</f>
        <v/>
      </c>
    </row>
    <row r="471" customFormat="false" ht="15" hidden="false" customHeight="false" outlineLevel="0" collapsed="false">
      <c r="D471" s="36" t="str">
        <f aca="false">TRIM(A471)</f>
        <v/>
      </c>
      <c r="E471" s="36" t="str">
        <f aca="false">IF(D471="Revenue","Revenue",IF(D471="Cost of Goods Sold","COGS",IF(D471="Expenditures","Expense",IF(D471="Other Revenue","Other Revenue",IF(D471="Other Expenditures","Other Expense",E470)))))</f>
        <v>Other Expense</v>
      </c>
      <c r="F471" s="36" t="str">
        <f aca="false">IF(OR(D471="Revenue",D471="Cost of Goods Sold",D471="Expenditures",D471="Other Revenue",D471="Other Expenditures"),E471,IF(AND(LEN(D471)&gt;2,MID(D471,2,1)=" ",ISNUMBER(VALUE(LEFT(D471,1)))),D471,F470))</f>
        <v>Other Expense</v>
      </c>
      <c r="G471" s="36" t="n">
        <f aca="false">IF(AND(D471&lt;&gt;"",ISNUMBER(B471),LEFT(D471,9)&lt;&gt;"Total for",D471&lt;&gt;"Gross Profit",D471&lt;&gt;"Net Operating Revenue",D471&lt;&gt;"Net Other Revenue",D471&lt;&gt;"Net Revenue"),1,0)</f>
        <v>0</v>
      </c>
      <c r="H471" s="36" t="str">
        <f aca="false">IF(G471=1,IF(AND(LEN(D471)&gt;7,ISNUMBER(VALUE(LEFT(D471,6))),MID(D471,7,1)=" "),LEFT(D471,6),D471),"")</f>
        <v/>
      </c>
      <c r="I471" s="36" t="str">
        <f aca="false">IF(G471=1,IF(COUNTIF('Forecast Detail'!$C$8:$C$400,H471)=0,"UNMAPPED","OK"),"")</f>
        <v/>
      </c>
    </row>
    <row r="472" customFormat="false" ht="15" hidden="false" customHeight="false" outlineLevel="0" collapsed="false">
      <c r="D472" s="36" t="str">
        <f aca="false">TRIM(A472)</f>
        <v/>
      </c>
      <c r="E472" s="36" t="str">
        <f aca="false">IF(D472="Revenue","Revenue",IF(D472="Cost of Goods Sold","COGS",IF(D472="Expenditures","Expense",IF(D472="Other Revenue","Other Revenue",IF(D472="Other Expenditures","Other Expense",E471)))))</f>
        <v>Other Expense</v>
      </c>
      <c r="F472" s="36" t="str">
        <f aca="false">IF(OR(D472="Revenue",D472="Cost of Goods Sold",D472="Expenditures",D472="Other Revenue",D472="Other Expenditures"),E472,IF(AND(LEN(D472)&gt;2,MID(D472,2,1)=" ",ISNUMBER(VALUE(LEFT(D472,1)))),D472,F471))</f>
        <v>Other Expense</v>
      </c>
      <c r="G472" s="36" t="n">
        <f aca="false">IF(AND(D472&lt;&gt;"",ISNUMBER(B472),LEFT(D472,9)&lt;&gt;"Total for",D472&lt;&gt;"Gross Profit",D472&lt;&gt;"Net Operating Revenue",D472&lt;&gt;"Net Other Revenue",D472&lt;&gt;"Net Revenue"),1,0)</f>
        <v>0</v>
      </c>
      <c r="H472" s="36" t="str">
        <f aca="false">IF(G472=1,IF(AND(LEN(D472)&gt;7,ISNUMBER(VALUE(LEFT(D472,6))),MID(D472,7,1)=" "),LEFT(D472,6),D472),"")</f>
        <v/>
      </c>
      <c r="I472" s="36" t="str">
        <f aca="false">IF(G472=1,IF(COUNTIF('Forecast Detail'!$C$8:$C$400,H472)=0,"UNMAPPED","OK"),"")</f>
        <v/>
      </c>
    </row>
    <row r="473" customFormat="false" ht="15" hidden="false" customHeight="false" outlineLevel="0" collapsed="false">
      <c r="D473" s="36" t="str">
        <f aca="false">TRIM(A473)</f>
        <v/>
      </c>
      <c r="E473" s="36" t="str">
        <f aca="false">IF(D473="Revenue","Revenue",IF(D473="Cost of Goods Sold","COGS",IF(D473="Expenditures","Expense",IF(D473="Other Revenue","Other Revenue",IF(D473="Other Expenditures","Other Expense",E472)))))</f>
        <v>Other Expense</v>
      </c>
      <c r="F473" s="36" t="str">
        <f aca="false">IF(OR(D473="Revenue",D473="Cost of Goods Sold",D473="Expenditures",D473="Other Revenue",D473="Other Expenditures"),E473,IF(AND(LEN(D473)&gt;2,MID(D473,2,1)=" ",ISNUMBER(VALUE(LEFT(D473,1)))),D473,F472))</f>
        <v>Other Expense</v>
      </c>
      <c r="G473" s="36" t="n">
        <f aca="false">IF(AND(D473&lt;&gt;"",ISNUMBER(B473),LEFT(D473,9)&lt;&gt;"Total for",D473&lt;&gt;"Gross Profit",D473&lt;&gt;"Net Operating Revenue",D473&lt;&gt;"Net Other Revenue",D473&lt;&gt;"Net Revenue"),1,0)</f>
        <v>0</v>
      </c>
      <c r="H473" s="36" t="str">
        <f aca="false">IF(G473=1,IF(AND(LEN(D473)&gt;7,ISNUMBER(VALUE(LEFT(D473,6))),MID(D473,7,1)=" "),LEFT(D473,6),D473),"")</f>
        <v/>
      </c>
      <c r="I473" s="36" t="str">
        <f aca="false">IF(G473=1,IF(COUNTIF('Forecast Detail'!$C$8:$C$400,H473)=0,"UNMAPPED","OK"),"")</f>
        <v/>
      </c>
    </row>
    <row r="474" customFormat="false" ht="15" hidden="false" customHeight="false" outlineLevel="0" collapsed="false">
      <c r="D474" s="36" t="str">
        <f aca="false">TRIM(A474)</f>
        <v/>
      </c>
      <c r="E474" s="36" t="str">
        <f aca="false">IF(D474="Revenue","Revenue",IF(D474="Cost of Goods Sold","COGS",IF(D474="Expenditures","Expense",IF(D474="Other Revenue","Other Revenue",IF(D474="Other Expenditures","Other Expense",E473)))))</f>
        <v>Other Expense</v>
      </c>
      <c r="F474" s="36" t="str">
        <f aca="false">IF(OR(D474="Revenue",D474="Cost of Goods Sold",D474="Expenditures",D474="Other Revenue",D474="Other Expenditures"),E474,IF(AND(LEN(D474)&gt;2,MID(D474,2,1)=" ",ISNUMBER(VALUE(LEFT(D474,1)))),D474,F473))</f>
        <v>Other Expense</v>
      </c>
      <c r="G474" s="36" t="n">
        <f aca="false">IF(AND(D474&lt;&gt;"",ISNUMBER(B474),LEFT(D474,9)&lt;&gt;"Total for",D474&lt;&gt;"Gross Profit",D474&lt;&gt;"Net Operating Revenue",D474&lt;&gt;"Net Other Revenue",D474&lt;&gt;"Net Revenue"),1,0)</f>
        <v>0</v>
      </c>
      <c r="H474" s="36" t="str">
        <f aca="false">IF(G474=1,IF(AND(LEN(D474)&gt;7,ISNUMBER(VALUE(LEFT(D474,6))),MID(D474,7,1)=" "),LEFT(D474,6),D474),"")</f>
        <v/>
      </c>
      <c r="I474" s="36" t="str">
        <f aca="false">IF(G474=1,IF(COUNTIF('Forecast Detail'!$C$8:$C$400,H474)=0,"UNMAPPED","OK"),"")</f>
        <v/>
      </c>
    </row>
    <row r="475" customFormat="false" ht="15" hidden="false" customHeight="false" outlineLevel="0" collapsed="false">
      <c r="D475" s="36" t="str">
        <f aca="false">TRIM(A475)</f>
        <v/>
      </c>
      <c r="E475" s="36" t="str">
        <f aca="false">IF(D475="Revenue","Revenue",IF(D475="Cost of Goods Sold","COGS",IF(D475="Expenditures","Expense",IF(D475="Other Revenue","Other Revenue",IF(D475="Other Expenditures","Other Expense",E474)))))</f>
        <v>Other Expense</v>
      </c>
      <c r="F475" s="36" t="str">
        <f aca="false">IF(OR(D475="Revenue",D475="Cost of Goods Sold",D475="Expenditures",D475="Other Revenue",D475="Other Expenditures"),E475,IF(AND(LEN(D475)&gt;2,MID(D475,2,1)=" ",ISNUMBER(VALUE(LEFT(D475,1)))),D475,F474))</f>
        <v>Other Expense</v>
      </c>
      <c r="G475" s="36" t="n">
        <f aca="false">IF(AND(D475&lt;&gt;"",ISNUMBER(B475),LEFT(D475,9)&lt;&gt;"Total for",D475&lt;&gt;"Gross Profit",D475&lt;&gt;"Net Operating Revenue",D475&lt;&gt;"Net Other Revenue",D475&lt;&gt;"Net Revenue"),1,0)</f>
        <v>0</v>
      </c>
      <c r="H475" s="36" t="str">
        <f aca="false">IF(G475=1,IF(AND(LEN(D475)&gt;7,ISNUMBER(VALUE(LEFT(D475,6))),MID(D475,7,1)=" "),LEFT(D475,6),D475),"")</f>
        <v/>
      </c>
      <c r="I475" s="36" t="str">
        <f aca="false">IF(G475=1,IF(COUNTIF('Forecast Detail'!$C$8:$C$400,H475)=0,"UNMAPPED","OK"),"")</f>
        <v/>
      </c>
    </row>
    <row r="476" customFormat="false" ht="15" hidden="false" customHeight="false" outlineLevel="0" collapsed="false">
      <c r="D476" s="36" t="str">
        <f aca="false">TRIM(A476)</f>
        <v/>
      </c>
      <c r="E476" s="36" t="str">
        <f aca="false">IF(D476="Revenue","Revenue",IF(D476="Cost of Goods Sold","COGS",IF(D476="Expenditures","Expense",IF(D476="Other Revenue","Other Revenue",IF(D476="Other Expenditures","Other Expense",E475)))))</f>
        <v>Other Expense</v>
      </c>
      <c r="F476" s="36" t="str">
        <f aca="false">IF(OR(D476="Revenue",D476="Cost of Goods Sold",D476="Expenditures",D476="Other Revenue",D476="Other Expenditures"),E476,IF(AND(LEN(D476)&gt;2,MID(D476,2,1)=" ",ISNUMBER(VALUE(LEFT(D476,1)))),D476,F475))</f>
        <v>Other Expense</v>
      </c>
      <c r="G476" s="36" t="n">
        <f aca="false">IF(AND(D476&lt;&gt;"",ISNUMBER(B476),LEFT(D476,9)&lt;&gt;"Total for",D476&lt;&gt;"Gross Profit",D476&lt;&gt;"Net Operating Revenue",D476&lt;&gt;"Net Other Revenue",D476&lt;&gt;"Net Revenue"),1,0)</f>
        <v>0</v>
      </c>
      <c r="H476" s="36" t="str">
        <f aca="false">IF(G476=1,IF(AND(LEN(D476)&gt;7,ISNUMBER(VALUE(LEFT(D476,6))),MID(D476,7,1)=" "),LEFT(D476,6),D476),"")</f>
        <v/>
      </c>
      <c r="I476" s="36" t="str">
        <f aca="false">IF(G476=1,IF(COUNTIF('Forecast Detail'!$C$8:$C$400,H476)=0,"UNMAPPED","OK"),"")</f>
        <v/>
      </c>
    </row>
    <row r="477" customFormat="false" ht="15" hidden="false" customHeight="false" outlineLevel="0" collapsed="false">
      <c r="D477" s="36" t="str">
        <f aca="false">TRIM(A477)</f>
        <v/>
      </c>
      <c r="E477" s="36" t="str">
        <f aca="false">IF(D477="Revenue","Revenue",IF(D477="Cost of Goods Sold","COGS",IF(D477="Expenditures","Expense",IF(D477="Other Revenue","Other Revenue",IF(D477="Other Expenditures","Other Expense",E476)))))</f>
        <v>Other Expense</v>
      </c>
      <c r="F477" s="36" t="str">
        <f aca="false">IF(OR(D477="Revenue",D477="Cost of Goods Sold",D477="Expenditures",D477="Other Revenue",D477="Other Expenditures"),E477,IF(AND(LEN(D477)&gt;2,MID(D477,2,1)=" ",ISNUMBER(VALUE(LEFT(D477,1)))),D477,F476))</f>
        <v>Other Expense</v>
      </c>
      <c r="G477" s="36" t="n">
        <f aca="false">IF(AND(D477&lt;&gt;"",ISNUMBER(B477),LEFT(D477,9)&lt;&gt;"Total for",D477&lt;&gt;"Gross Profit",D477&lt;&gt;"Net Operating Revenue",D477&lt;&gt;"Net Other Revenue",D477&lt;&gt;"Net Revenue"),1,0)</f>
        <v>0</v>
      </c>
      <c r="H477" s="36" t="str">
        <f aca="false">IF(G477=1,IF(AND(LEN(D477)&gt;7,ISNUMBER(VALUE(LEFT(D477,6))),MID(D477,7,1)=" "),LEFT(D477,6),D477),"")</f>
        <v/>
      </c>
      <c r="I477" s="36" t="str">
        <f aca="false">IF(G477=1,IF(COUNTIF('Forecast Detail'!$C$8:$C$400,H477)=0,"UNMAPPED","OK"),"")</f>
        <v/>
      </c>
    </row>
    <row r="478" customFormat="false" ht="15" hidden="false" customHeight="false" outlineLevel="0" collapsed="false">
      <c r="D478" s="36" t="str">
        <f aca="false">TRIM(A478)</f>
        <v/>
      </c>
      <c r="E478" s="36" t="str">
        <f aca="false">IF(D478="Revenue","Revenue",IF(D478="Cost of Goods Sold","COGS",IF(D478="Expenditures","Expense",IF(D478="Other Revenue","Other Revenue",IF(D478="Other Expenditures","Other Expense",E477)))))</f>
        <v>Other Expense</v>
      </c>
      <c r="F478" s="36" t="str">
        <f aca="false">IF(OR(D478="Revenue",D478="Cost of Goods Sold",D478="Expenditures",D478="Other Revenue",D478="Other Expenditures"),E478,IF(AND(LEN(D478)&gt;2,MID(D478,2,1)=" ",ISNUMBER(VALUE(LEFT(D478,1)))),D478,F477))</f>
        <v>Other Expense</v>
      </c>
      <c r="G478" s="36" t="n">
        <f aca="false">IF(AND(D478&lt;&gt;"",ISNUMBER(B478),LEFT(D478,9)&lt;&gt;"Total for",D478&lt;&gt;"Gross Profit",D478&lt;&gt;"Net Operating Revenue",D478&lt;&gt;"Net Other Revenue",D478&lt;&gt;"Net Revenue"),1,0)</f>
        <v>0</v>
      </c>
      <c r="H478" s="36" t="str">
        <f aca="false">IF(G478=1,IF(AND(LEN(D478)&gt;7,ISNUMBER(VALUE(LEFT(D478,6))),MID(D478,7,1)=" "),LEFT(D478,6),D478),"")</f>
        <v/>
      </c>
      <c r="I478" s="36" t="str">
        <f aca="false">IF(G478=1,IF(COUNTIF('Forecast Detail'!$C$8:$C$400,H478)=0,"UNMAPPED","OK"),"")</f>
        <v/>
      </c>
    </row>
    <row r="479" customFormat="false" ht="15" hidden="false" customHeight="false" outlineLevel="0" collapsed="false">
      <c r="D479" s="36" t="str">
        <f aca="false">TRIM(A479)</f>
        <v/>
      </c>
      <c r="E479" s="36" t="str">
        <f aca="false">IF(D479="Revenue","Revenue",IF(D479="Cost of Goods Sold","COGS",IF(D479="Expenditures","Expense",IF(D479="Other Revenue","Other Revenue",IF(D479="Other Expenditures","Other Expense",E478)))))</f>
        <v>Other Expense</v>
      </c>
      <c r="F479" s="36" t="str">
        <f aca="false">IF(OR(D479="Revenue",D479="Cost of Goods Sold",D479="Expenditures",D479="Other Revenue",D479="Other Expenditures"),E479,IF(AND(LEN(D479)&gt;2,MID(D479,2,1)=" ",ISNUMBER(VALUE(LEFT(D479,1)))),D479,F478))</f>
        <v>Other Expense</v>
      </c>
      <c r="G479" s="36" t="n">
        <f aca="false">IF(AND(D479&lt;&gt;"",ISNUMBER(B479),LEFT(D479,9)&lt;&gt;"Total for",D479&lt;&gt;"Gross Profit",D479&lt;&gt;"Net Operating Revenue",D479&lt;&gt;"Net Other Revenue",D479&lt;&gt;"Net Revenue"),1,0)</f>
        <v>0</v>
      </c>
      <c r="H479" s="36" t="str">
        <f aca="false">IF(G479=1,IF(AND(LEN(D479)&gt;7,ISNUMBER(VALUE(LEFT(D479,6))),MID(D479,7,1)=" "),LEFT(D479,6),D479),"")</f>
        <v/>
      </c>
      <c r="I479" s="36" t="str">
        <f aca="false">IF(G479=1,IF(COUNTIF('Forecast Detail'!$C$8:$C$400,H479)=0,"UNMAPPED","OK"),"")</f>
        <v/>
      </c>
    </row>
    <row r="480" customFormat="false" ht="15" hidden="false" customHeight="false" outlineLevel="0" collapsed="false">
      <c r="D480" s="36" t="str">
        <f aca="false">TRIM(A480)</f>
        <v/>
      </c>
      <c r="E480" s="36" t="str">
        <f aca="false">IF(D480="Revenue","Revenue",IF(D480="Cost of Goods Sold","COGS",IF(D480="Expenditures","Expense",IF(D480="Other Revenue","Other Revenue",IF(D480="Other Expenditures","Other Expense",E479)))))</f>
        <v>Other Expense</v>
      </c>
      <c r="F480" s="36" t="str">
        <f aca="false">IF(OR(D480="Revenue",D480="Cost of Goods Sold",D480="Expenditures",D480="Other Revenue",D480="Other Expenditures"),E480,IF(AND(LEN(D480)&gt;2,MID(D480,2,1)=" ",ISNUMBER(VALUE(LEFT(D480,1)))),D480,F479))</f>
        <v>Other Expense</v>
      </c>
      <c r="G480" s="36" t="n">
        <f aca="false">IF(AND(D480&lt;&gt;"",ISNUMBER(B480),LEFT(D480,9)&lt;&gt;"Total for",D480&lt;&gt;"Gross Profit",D480&lt;&gt;"Net Operating Revenue",D480&lt;&gt;"Net Other Revenue",D480&lt;&gt;"Net Revenue"),1,0)</f>
        <v>0</v>
      </c>
      <c r="H480" s="36" t="str">
        <f aca="false">IF(G480=1,IF(AND(LEN(D480)&gt;7,ISNUMBER(VALUE(LEFT(D480,6))),MID(D480,7,1)=" "),LEFT(D480,6),D480),"")</f>
        <v/>
      </c>
      <c r="I480" s="36" t="str">
        <f aca="false">IF(G480=1,IF(COUNTIF('Forecast Detail'!$C$8:$C$400,H480)=0,"UNMAPPED","OK"),"")</f>
        <v/>
      </c>
    </row>
    <row r="481" customFormat="false" ht="15" hidden="false" customHeight="false" outlineLevel="0" collapsed="false">
      <c r="D481" s="36" t="str">
        <f aca="false">TRIM(A481)</f>
        <v/>
      </c>
      <c r="E481" s="36" t="str">
        <f aca="false">IF(D481="Revenue","Revenue",IF(D481="Cost of Goods Sold","COGS",IF(D481="Expenditures","Expense",IF(D481="Other Revenue","Other Revenue",IF(D481="Other Expenditures","Other Expense",E480)))))</f>
        <v>Other Expense</v>
      </c>
      <c r="F481" s="36" t="str">
        <f aca="false">IF(OR(D481="Revenue",D481="Cost of Goods Sold",D481="Expenditures",D481="Other Revenue",D481="Other Expenditures"),E481,IF(AND(LEN(D481)&gt;2,MID(D481,2,1)=" ",ISNUMBER(VALUE(LEFT(D481,1)))),D481,F480))</f>
        <v>Other Expense</v>
      </c>
      <c r="G481" s="36" t="n">
        <f aca="false">IF(AND(D481&lt;&gt;"",ISNUMBER(B481),LEFT(D481,9)&lt;&gt;"Total for",D481&lt;&gt;"Gross Profit",D481&lt;&gt;"Net Operating Revenue",D481&lt;&gt;"Net Other Revenue",D481&lt;&gt;"Net Revenue"),1,0)</f>
        <v>0</v>
      </c>
      <c r="H481" s="36" t="str">
        <f aca="false">IF(G481=1,IF(AND(LEN(D481)&gt;7,ISNUMBER(VALUE(LEFT(D481,6))),MID(D481,7,1)=" "),LEFT(D481,6),D481),"")</f>
        <v/>
      </c>
      <c r="I481" s="36" t="str">
        <f aca="false">IF(G481=1,IF(COUNTIF('Forecast Detail'!$C$8:$C$400,H481)=0,"UNMAPPED","OK"),"")</f>
        <v/>
      </c>
    </row>
    <row r="482" customFormat="false" ht="15" hidden="false" customHeight="false" outlineLevel="0" collapsed="false">
      <c r="D482" s="36" t="str">
        <f aca="false">TRIM(A482)</f>
        <v/>
      </c>
      <c r="E482" s="36" t="str">
        <f aca="false">IF(D482="Revenue","Revenue",IF(D482="Cost of Goods Sold","COGS",IF(D482="Expenditures","Expense",IF(D482="Other Revenue","Other Revenue",IF(D482="Other Expenditures","Other Expense",E481)))))</f>
        <v>Other Expense</v>
      </c>
      <c r="F482" s="36" t="str">
        <f aca="false">IF(OR(D482="Revenue",D482="Cost of Goods Sold",D482="Expenditures",D482="Other Revenue",D482="Other Expenditures"),E482,IF(AND(LEN(D482)&gt;2,MID(D482,2,1)=" ",ISNUMBER(VALUE(LEFT(D482,1)))),D482,F481))</f>
        <v>Other Expense</v>
      </c>
      <c r="G482" s="36" t="n">
        <f aca="false">IF(AND(D482&lt;&gt;"",ISNUMBER(B482),LEFT(D482,9)&lt;&gt;"Total for",D482&lt;&gt;"Gross Profit",D482&lt;&gt;"Net Operating Revenue",D482&lt;&gt;"Net Other Revenue",D482&lt;&gt;"Net Revenue"),1,0)</f>
        <v>0</v>
      </c>
      <c r="H482" s="36" t="str">
        <f aca="false">IF(G482=1,IF(AND(LEN(D482)&gt;7,ISNUMBER(VALUE(LEFT(D482,6))),MID(D482,7,1)=" "),LEFT(D482,6),D482),"")</f>
        <v/>
      </c>
      <c r="I482" s="36" t="str">
        <f aca="false">IF(G482=1,IF(COUNTIF('Forecast Detail'!$C$8:$C$400,H482)=0,"UNMAPPED","OK"),"")</f>
        <v/>
      </c>
    </row>
    <row r="483" customFormat="false" ht="15" hidden="false" customHeight="false" outlineLevel="0" collapsed="false">
      <c r="D483" s="36" t="str">
        <f aca="false">TRIM(A483)</f>
        <v/>
      </c>
      <c r="E483" s="36" t="str">
        <f aca="false">IF(D483="Revenue","Revenue",IF(D483="Cost of Goods Sold","COGS",IF(D483="Expenditures","Expense",IF(D483="Other Revenue","Other Revenue",IF(D483="Other Expenditures","Other Expense",E482)))))</f>
        <v>Other Expense</v>
      </c>
      <c r="F483" s="36" t="str">
        <f aca="false">IF(OR(D483="Revenue",D483="Cost of Goods Sold",D483="Expenditures",D483="Other Revenue",D483="Other Expenditures"),E483,IF(AND(LEN(D483)&gt;2,MID(D483,2,1)=" ",ISNUMBER(VALUE(LEFT(D483,1)))),D483,F482))</f>
        <v>Other Expense</v>
      </c>
      <c r="G483" s="36" t="n">
        <f aca="false">IF(AND(D483&lt;&gt;"",ISNUMBER(B483),LEFT(D483,9)&lt;&gt;"Total for",D483&lt;&gt;"Gross Profit",D483&lt;&gt;"Net Operating Revenue",D483&lt;&gt;"Net Other Revenue",D483&lt;&gt;"Net Revenue"),1,0)</f>
        <v>0</v>
      </c>
      <c r="H483" s="36" t="str">
        <f aca="false">IF(G483=1,IF(AND(LEN(D483)&gt;7,ISNUMBER(VALUE(LEFT(D483,6))),MID(D483,7,1)=" "),LEFT(D483,6),D483),"")</f>
        <v/>
      </c>
      <c r="I483" s="36" t="str">
        <f aca="false">IF(G483=1,IF(COUNTIF('Forecast Detail'!$C$8:$C$400,H483)=0,"UNMAPPED","OK"),"")</f>
        <v/>
      </c>
    </row>
    <row r="484" customFormat="false" ht="15" hidden="false" customHeight="false" outlineLevel="0" collapsed="false">
      <c r="D484" s="36" t="str">
        <f aca="false">TRIM(A484)</f>
        <v/>
      </c>
      <c r="E484" s="36" t="str">
        <f aca="false">IF(D484="Revenue","Revenue",IF(D484="Cost of Goods Sold","COGS",IF(D484="Expenditures","Expense",IF(D484="Other Revenue","Other Revenue",IF(D484="Other Expenditures","Other Expense",E483)))))</f>
        <v>Other Expense</v>
      </c>
      <c r="F484" s="36" t="str">
        <f aca="false">IF(OR(D484="Revenue",D484="Cost of Goods Sold",D484="Expenditures",D484="Other Revenue",D484="Other Expenditures"),E484,IF(AND(LEN(D484)&gt;2,MID(D484,2,1)=" ",ISNUMBER(VALUE(LEFT(D484,1)))),D484,F483))</f>
        <v>Other Expense</v>
      </c>
      <c r="G484" s="36" t="n">
        <f aca="false">IF(AND(D484&lt;&gt;"",ISNUMBER(B484),LEFT(D484,9)&lt;&gt;"Total for",D484&lt;&gt;"Gross Profit",D484&lt;&gt;"Net Operating Revenue",D484&lt;&gt;"Net Other Revenue",D484&lt;&gt;"Net Revenue"),1,0)</f>
        <v>0</v>
      </c>
      <c r="H484" s="36" t="str">
        <f aca="false">IF(G484=1,IF(AND(LEN(D484)&gt;7,ISNUMBER(VALUE(LEFT(D484,6))),MID(D484,7,1)=" "),LEFT(D484,6),D484),"")</f>
        <v/>
      </c>
      <c r="I484" s="36" t="str">
        <f aca="false">IF(G484=1,IF(COUNTIF('Forecast Detail'!$C$8:$C$400,H484)=0,"UNMAPPED","OK"),"")</f>
        <v/>
      </c>
    </row>
    <row r="485" customFormat="false" ht="15" hidden="false" customHeight="false" outlineLevel="0" collapsed="false">
      <c r="D485" s="36" t="str">
        <f aca="false">TRIM(A485)</f>
        <v/>
      </c>
      <c r="E485" s="36" t="str">
        <f aca="false">IF(D485="Revenue","Revenue",IF(D485="Cost of Goods Sold","COGS",IF(D485="Expenditures","Expense",IF(D485="Other Revenue","Other Revenue",IF(D485="Other Expenditures","Other Expense",E484)))))</f>
        <v>Other Expense</v>
      </c>
      <c r="F485" s="36" t="str">
        <f aca="false">IF(OR(D485="Revenue",D485="Cost of Goods Sold",D485="Expenditures",D485="Other Revenue",D485="Other Expenditures"),E485,IF(AND(LEN(D485)&gt;2,MID(D485,2,1)=" ",ISNUMBER(VALUE(LEFT(D485,1)))),D485,F484))</f>
        <v>Other Expense</v>
      </c>
      <c r="G485" s="36" t="n">
        <f aca="false">IF(AND(D485&lt;&gt;"",ISNUMBER(B485),LEFT(D485,9)&lt;&gt;"Total for",D485&lt;&gt;"Gross Profit",D485&lt;&gt;"Net Operating Revenue",D485&lt;&gt;"Net Other Revenue",D485&lt;&gt;"Net Revenue"),1,0)</f>
        <v>0</v>
      </c>
      <c r="H485" s="36" t="str">
        <f aca="false">IF(G485=1,IF(AND(LEN(D485)&gt;7,ISNUMBER(VALUE(LEFT(D485,6))),MID(D485,7,1)=" "),LEFT(D485,6),D485),"")</f>
        <v/>
      </c>
      <c r="I485" s="36" t="str">
        <f aca="false">IF(G485=1,IF(COUNTIF('Forecast Detail'!$C$8:$C$400,H485)=0,"UNMAPPED","OK"),"")</f>
        <v/>
      </c>
    </row>
    <row r="486" customFormat="false" ht="15" hidden="false" customHeight="false" outlineLevel="0" collapsed="false">
      <c r="D486" s="36" t="str">
        <f aca="false">TRIM(A486)</f>
        <v/>
      </c>
      <c r="E486" s="36" t="str">
        <f aca="false">IF(D486="Revenue","Revenue",IF(D486="Cost of Goods Sold","COGS",IF(D486="Expenditures","Expense",IF(D486="Other Revenue","Other Revenue",IF(D486="Other Expenditures","Other Expense",E485)))))</f>
        <v>Other Expense</v>
      </c>
      <c r="F486" s="36" t="str">
        <f aca="false">IF(OR(D486="Revenue",D486="Cost of Goods Sold",D486="Expenditures",D486="Other Revenue",D486="Other Expenditures"),E486,IF(AND(LEN(D486)&gt;2,MID(D486,2,1)=" ",ISNUMBER(VALUE(LEFT(D486,1)))),D486,F485))</f>
        <v>Other Expense</v>
      </c>
      <c r="G486" s="36" t="n">
        <f aca="false">IF(AND(D486&lt;&gt;"",ISNUMBER(B486),LEFT(D486,9)&lt;&gt;"Total for",D486&lt;&gt;"Gross Profit",D486&lt;&gt;"Net Operating Revenue",D486&lt;&gt;"Net Other Revenue",D486&lt;&gt;"Net Revenue"),1,0)</f>
        <v>0</v>
      </c>
      <c r="H486" s="36" t="str">
        <f aca="false">IF(G486=1,IF(AND(LEN(D486)&gt;7,ISNUMBER(VALUE(LEFT(D486,6))),MID(D486,7,1)=" "),LEFT(D486,6),D486),"")</f>
        <v/>
      </c>
      <c r="I486" s="36" t="str">
        <f aca="false">IF(G486=1,IF(COUNTIF('Forecast Detail'!$C$8:$C$400,H486)=0,"UNMAPPED","OK"),"")</f>
        <v/>
      </c>
    </row>
    <row r="487" customFormat="false" ht="15" hidden="false" customHeight="false" outlineLevel="0" collapsed="false">
      <c r="D487" s="36" t="str">
        <f aca="false">TRIM(A487)</f>
        <v/>
      </c>
      <c r="E487" s="36" t="str">
        <f aca="false">IF(D487="Revenue","Revenue",IF(D487="Cost of Goods Sold","COGS",IF(D487="Expenditures","Expense",IF(D487="Other Revenue","Other Revenue",IF(D487="Other Expenditures","Other Expense",E486)))))</f>
        <v>Other Expense</v>
      </c>
      <c r="F487" s="36" t="str">
        <f aca="false">IF(OR(D487="Revenue",D487="Cost of Goods Sold",D487="Expenditures",D487="Other Revenue",D487="Other Expenditures"),E487,IF(AND(LEN(D487)&gt;2,MID(D487,2,1)=" ",ISNUMBER(VALUE(LEFT(D487,1)))),D487,F486))</f>
        <v>Other Expense</v>
      </c>
      <c r="G487" s="36" t="n">
        <f aca="false">IF(AND(D487&lt;&gt;"",ISNUMBER(B487),LEFT(D487,9)&lt;&gt;"Total for",D487&lt;&gt;"Gross Profit",D487&lt;&gt;"Net Operating Revenue",D487&lt;&gt;"Net Other Revenue",D487&lt;&gt;"Net Revenue"),1,0)</f>
        <v>0</v>
      </c>
      <c r="H487" s="36" t="str">
        <f aca="false">IF(G487=1,IF(AND(LEN(D487)&gt;7,ISNUMBER(VALUE(LEFT(D487,6))),MID(D487,7,1)=" "),LEFT(D487,6),D487),"")</f>
        <v/>
      </c>
      <c r="I487" s="36" t="str">
        <f aca="false">IF(G487=1,IF(COUNTIF('Forecast Detail'!$C$8:$C$400,H487)=0,"UNMAPPED","OK"),"")</f>
        <v/>
      </c>
    </row>
    <row r="488" customFormat="false" ht="15" hidden="false" customHeight="false" outlineLevel="0" collapsed="false">
      <c r="D488" s="36" t="str">
        <f aca="false">TRIM(A488)</f>
        <v/>
      </c>
      <c r="E488" s="36" t="str">
        <f aca="false">IF(D488="Revenue","Revenue",IF(D488="Cost of Goods Sold","COGS",IF(D488="Expenditures","Expense",IF(D488="Other Revenue","Other Revenue",IF(D488="Other Expenditures","Other Expense",E487)))))</f>
        <v>Other Expense</v>
      </c>
      <c r="F488" s="36" t="str">
        <f aca="false">IF(OR(D488="Revenue",D488="Cost of Goods Sold",D488="Expenditures",D488="Other Revenue",D488="Other Expenditures"),E488,IF(AND(LEN(D488)&gt;2,MID(D488,2,1)=" ",ISNUMBER(VALUE(LEFT(D488,1)))),D488,F487))</f>
        <v>Other Expense</v>
      </c>
      <c r="G488" s="36" t="n">
        <f aca="false">IF(AND(D488&lt;&gt;"",ISNUMBER(B488),LEFT(D488,9)&lt;&gt;"Total for",D488&lt;&gt;"Gross Profit",D488&lt;&gt;"Net Operating Revenue",D488&lt;&gt;"Net Other Revenue",D488&lt;&gt;"Net Revenue"),1,0)</f>
        <v>0</v>
      </c>
      <c r="H488" s="36" t="str">
        <f aca="false">IF(G488=1,IF(AND(LEN(D488)&gt;7,ISNUMBER(VALUE(LEFT(D488,6))),MID(D488,7,1)=" "),LEFT(D488,6),D488),"")</f>
        <v/>
      </c>
      <c r="I488" s="36" t="str">
        <f aca="false">IF(G488=1,IF(COUNTIF('Forecast Detail'!$C$8:$C$400,H488)=0,"UNMAPPED","OK"),"")</f>
        <v/>
      </c>
    </row>
    <row r="489" customFormat="false" ht="15" hidden="false" customHeight="false" outlineLevel="0" collapsed="false">
      <c r="D489" s="36" t="str">
        <f aca="false">TRIM(A489)</f>
        <v/>
      </c>
      <c r="E489" s="36" t="str">
        <f aca="false">IF(D489="Revenue","Revenue",IF(D489="Cost of Goods Sold","COGS",IF(D489="Expenditures","Expense",IF(D489="Other Revenue","Other Revenue",IF(D489="Other Expenditures","Other Expense",E488)))))</f>
        <v>Other Expense</v>
      </c>
      <c r="F489" s="36" t="str">
        <f aca="false">IF(OR(D489="Revenue",D489="Cost of Goods Sold",D489="Expenditures",D489="Other Revenue",D489="Other Expenditures"),E489,IF(AND(LEN(D489)&gt;2,MID(D489,2,1)=" ",ISNUMBER(VALUE(LEFT(D489,1)))),D489,F488))</f>
        <v>Other Expense</v>
      </c>
      <c r="G489" s="36" t="n">
        <f aca="false">IF(AND(D489&lt;&gt;"",ISNUMBER(B489),LEFT(D489,9)&lt;&gt;"Total for",D489&lt;&gt;"Gross Profit",D489&lt;&gt;"Net Operating Revenue",D489&lt;&gt;"Net Other Revenue",D489&lt;&gt;"Net Revenue"),1,0)</f>
        <v>0</v>
      </c>
      <c r="H489" s="36" t="str">
        <f aca="false">IF(G489=1,IF(AND(LEN(D489)&gt;7,ISNUMBER(VALUE(LEFT(D489,6))),MID(D489,7,1)=" "),LEFT(D489,6),D489),"")</f>
        <v/>
      </c>
      <c r="I489" s="36" t="str">
        <f aca="false">IF(G489=1,IF(COUNTIF('Forecast Detail'!$C$8:$C$400,H489)=0,"UNMAPPED","OK"),"")</f>
        <v/>
      </c>
    </row>
    <row r="490" customFormat="false" ht="15" hidden="false" customHeight="false" outlineLevel="0" collapsed="false">
      <c r="D490" s="36" t="str">
        <f aca="false">TRIM(A490)</f>
        <v/>
      </c>
      <c r="E490" s="36" t="str">
        <f aca="false">IF(D490="Revenue","Revenue",IF(D490="Cost of Goods Sold","COGS",IF(D490="Expenditures","Expense",IF(D490="Other Revenue","Other Revenue",IF(D490="Other Expenditures","Other Expense",E489)))))</f>
        <v>Other Expense</v>
      </c>
      <c r="F490" s="36" t="str">
        <f aca="false">IF(OR(D490="Revenue",D490="Cost of Goods Sold",D490="Expenditures",D490="Other Revenue",D490="Other Expenditures"),E490,IF(AND(LEN(D490)&gt;2,MID(D490,2,1)=" ",ISNUMBER(VALUE(LEFT(D490,1)))),D490,F489))</f>
        <v>Other Expense</v>
      </c>
      <c r="G490" s="36" t="n">
        <f aca="false">IF(AND(D490&lt;&gt;"",ISNUMBER(B490),LEFT(D490,9)&lt;&gt;"Total for",D490&lt;&gt;"Gross Profit",D490&lt;&gt;"Net Operating Revenue",D490&lt;&gt;"Net Other Revenue",D490&lt;&gt;"Net Revenue"),1,0)</f>
        <v>0</v>
      </c>
      <c r="H490" s="36" t="str">
        <f aca="false">IF(G490=1,IF(AND(LEN(D490)&gt;7,ISNUMBER(VALUE(LEFT(D490,6))),MID(D490,7,1)=" "),LEFT(D490,6),D490),"")</f>
        <v/>
      </c>
      <c r="I490" s="36" t="str">
        <f aca="false">IF(G490=1,IF(COUNTIF('Forecast Detail'!$C$8:$C$400,H490)=0,"UNMAPPED","OK"),"")</f>
        <v/>
      </c>
    </row>
    <row r="491" customFormat="false" ht="15" hidden="false" customHeight="false" outlineLevel="0" collapsed="false">
      <c r="D491" s="36" t="str">
        <f aca="false">TRIM(A491)</f>
        <v/>
      </c>
      <c r="E491" s="36" t="str">
        <f aca="false">IF(D491="Revenue","Revenue",IF(D491="Cost of Goods Sold","COGS",IF(D491="Expenditures","Expense",IF(D491="Other Revenue","Other Revenue",IF(D491="Other Expenditures","Other Expense",E490)))))</f>
        <v>Other Expense</v>
      </c>
      <c r="F491" s="36" t="str">
        <f aca="false">IF(OR(D491="Revenue",D491="Cost of Goods Sold",D491="Expenditures",D491="Other Revenue",D491="Other Expenditures"),E491,IF(AND(LEN(D491)&gt;2,MID(D491,2,1)=" ",ISNUMBER(VALUE(LEFT(D491,1)))),D491,F490))</f>
        <v>Other Expense</v>
      </c>
      <c r="G491" s="36" t="n">
        <f aca="false">IF(AND(D491&lt;&gt;"",ISNUMBER(B491),LEFT(D491,9)&lt;&gt;"Total for",D491&lt;&gt;"Gross Profit",D491&lt;&gt;"Net Operating Revenue",D491&lt;&gt;"Net Other Revenue",D491&lt;&gt;"Net Revenue"),1,0)</f>
        <v>0</v>
      </c>
      <c r="H491" s="36" t="str">
        <f aca="false">IF(G491=1,IF(AND(LEN(D491)&gt;7,ISNUMBER(VALUE(LEFT(D491,6))),MID(D491,7,1)=" "),LEFT(D491,6),D491),"")</f>
        <v/>
      </c>
      <c r="I491" s="36" t="str">
        <f aca="false">IF(G491=1,IF(COUNTIF('Forecast Detail'!$C$8:$C$400,H491)=0,"UNMAPPED","OK"),"")</f>
        <v/>
      </c>
    </row>
    <row r="492" customFormat="false" ht="15" hidden="false" customHeight="false" outlineLevel="0" collapsed="false">
      <c r="D492" s="36" t="str">
        <f aca="false">TRIM(A492)</f>
        <v/>
      </c>
      <c r="E492" s="36" t="str">
        <f aca="false">IF(D492="Revenue","Revenue",IF(D492="Cost of Goods Sold","COGS",IF(D492="Expenditures","Expense",IF(D492="Other Revenue","Other Revenue",IF(D492="Other Expenditures","Other Expense",E491)))))</f>
        <v>Other Expense</v>
      </c>
      <c r="F492" s="36" t="str">
        <f aca="false">IF(OR(D492="Revenue",D492="Cost of Goods Sold",D492="Expenditures",D492="Other Revenue",D492="Other Expenditures"),E492,IF(AND(LEN(D492)&gt;2,MID(D492,2,1)=" ",ISNUMBER(VALUE(LEFT(D492,1)))),D492,F491))</f>
        <v>Other Expense</v>
      </c>
      <c r="G492" s="36" t="n">
        <f aca="false">IF(AND(D492&lt;&gt;"",ISNUMBER(B492),LEFT(D492,9)&lt;&gt;"Total for",D492&lt;&gt;"Gross Profit",D492&lt;&gt;"Net Operating Revenue",D492&lt;&gt;"Net Other Revenue",D492&lt;&gt;"Net Revenue"),1,0)</f>
        <v>0</v>
      </c>
      <c r="H492" s="36" t="str">
        <f aca="false">IF(G492=1,IF(AND(LEN(D492)&gt;7,ISNUMBER(VALUE(LEFT(D492,6))),MID(D492,7,1)=" "),LEFT(D492,6),D492),"")</f>
        <v/>
      </c>
      <c r="I492" s="36" t="str">
        <f aca="false">IF(G492=1,IF(COUNTIF('Forecast Detail'!$C$8:$C$400,H492)=0,"UNMAPPED","OK"),"")</f>
        <v/>
      </c>
    </row>
    <row r="493" customFormat="false" ht="15" hidden="false" customHeight="false" outlineLevel="0" collapsed="false">
      <c r="D493" s="36" t="str">
        <f aca="false">TRIM(A493)</f>
        <v/>
      </c>
      <c r="E493" s="36" t="str">
        <f aca="false">IF(D493="Revenue","Revenue",IF(D493="Cost of Goods Sold","COGS",IF(D493="Expenditures","Expense",IF(D493="Other Revenue","Other Revenue",IF(D493="Other Expenditures","Other Expense",E492)))))</f>
        <v>Other Expense</v>
      </c>
      <c r="F493" s="36" t="str">
        <f aca="false">IF(OR(D493="Revenue",D493="Cost of Goods Sold",D493="Expenditures",D493="Other Revenue",D493="Other Expenditures"),E493,IF(AND(LEN(D493)&gt;2,MID(D493,2,1)=" ",ISNUMBER(VALUE(LEFT(D493,1)))),D493,F492))</f>
        <v>Other Expense</v>
      </c>
      <c r="G493" s="36" t="n">
        <f aca="false">IF(AND(D493&lt;&gt;"",ISNUMBER(B493),LEFT(D493,9)&lt;&gt;"Total for",D493&lt;&gt;"Gross Profit",D493&lt;&gt;"Net Operating Revenue",D493&lt;&gt;"Net Other Revenue",D493&lt;&gt;"Net Revenue"),1,0)</f>
        <v>0</v>
      </c>
      <c r="H493" s="36" t="str">
        <f aca="false">IF(G493=1,IF(AND(LEN(D493)&gt;7,ISNUMBER(VALUE(LEFT(D493,6))),MID(D493,7,1)=" "),LEFT(D493,6),D493),"")</f>
        <v/>
      </c>
      <c r="I493" s="36" t="str">
        <f aca="false">IF(G493=1,IF(COUNTIF('Forecast Detail'!$C$8:$C$400,H493)=0,"UNMAPPED","OK"),"")</f>
        <v/>
      </c>
    </row>
    <row r="494" customFormat="false" ht="15" hidden="false" customHeight="false" outlineLevel="0" collapsed="false">
      <c r="D494" s="36" t="str">
        <f aca="false">TRIM(A494)</f>
        <v/>
      </c>
      <c r="E494" s="36" t="str">
        <f aca="false">IF(D494="Revenue","Revenue",IF(D494="Cost of Goods Sold","COGS",IF(D494="Expenditures","Expense",IF(D494="Other Revenue","Other Revenue",IF(D494="Other Expenditures","Other Expense",E493)))))</f>
        <v>Other Expense</v>
      </c>
      <c r="F494" s="36" t="str">
        <f aca="false">IF(OR(D494="Revenue",D494="Cost of Goods Sold",D494="Expenditures",D494="Other Revenue",D494="Other Expenditures"),E494,IF(AND(LEN(D494)&gt;2,MID(D494,2,1)=" ",ISNUMBER(VALUE(LEFT(D494,1)))),D494,F493))</f>
        <v>Other Expense</v>
      </c>
      <c r="G494" s="36" t="n">
        <f aca="false">IF(AND(D494&lt;&gt;"",ISNUMBER(B494),LEFT(D494,9)&lt;&gt;"Total for",D494&lt;&gt;"Gross Profit",D494&lt;&gt;"Net Operating Revenue",D494&lt;&gt;"Net Other Revenue",D494&lt;&gt;"Net Revenue"),1,0)</f>
        <v>0</v>
      </c>
      <c r="H494" s="36" t="str">
        <f aca="false">IF(G494=1,IF(AND(LEN(D494)&gt;7,ISNUMBER(VALUE(LEFT(D494,6))),MID(D494,7,1)=" "),LEFT(D494,6),D494),"")</f>
        <v/>
      </c>
      <c r="I494" s="36" t="str">
        <f aca="false">IF(G494=1,IF(COUNTIF('Forecast Detail'!$C$8:$C$400,H494)=0,"UNMAPPED","OK"),"")</f>
        <v/>
      </c>
    </row>
    <row r="495" customFormat="false" ht="15" hidden="false" customHeight="false" outlineLevel="0" collapsed="false">
      <c r="D495" s="36" t="str">
        <f aca="false">TRIM(A495)</f>
        <v/>
      </c>
      <c r="E495" s="36" t="str">
        <f aca="false">IF(D495="Revenue","Revenue",IF(D495="Cost of Goods Sold","COGS",IF(D495="Expenditures","Expense",IF(D495="Other Revenue","Other Revenue",IF(D495="Other Expenditures","Other Expense",E494)))))</f>
        <v>Other Expense</v>
      </c>
      <c r="F495" s="36" t="str">
        <f aca="false">IF(OR(D495="Revenue",D495="Cost of Goods Sold",D495="Expenditures",D495="Other Revenue",D495="Other Expenditures"),E495,IF(AND(LEN(D495)&gt;2,MID(D495,2,1)=" ",ISNUMBER(VALUE(LEFT(D495,1)))),D495,F494))</f>
        <v>Other Expense</v>
      </c>
      <c r="G495" s="36" t="n">
        <f aca="false">IF(AND(D495&lt;&gt;"",ISNUMBER(B495),LEFT(D495,9)&lt;&gt;"Total for",D495&lt;&gt;"Gross Profit",D495&lt;&gt;"Net Operating Revenue",D495&lt;&gt;"Net Other Revenue",D495&lt;&gt;"Net Revenue"),1,0)</f>
        <v>0</v>
      </c>
      <c r="H495" s="36" t="str">
        <f aca="false">IF(G495=1,IF(AND(LEN(D495)&gt;7,ISNUMBER(VALUE(LEFT(D495,6))),MID(D495,7,1)=" "),LEFT(D495,6),D495),"")</f>
        <v/>
      </c>
      <c r="I495" s="36" t="str">
        <f aca="false">IF(G495=1,IF(COUNTIF('Forecast Detail'!$C$8:$C$400,H495)=0,"UNMAPPED","OK"),"")</f>
        <v/>
      </c>
    </row>
    <row r="496" customFormat="false" ht="15" hidden="false" customHeight="false" outlineLevel="0" collapsed="false">
      <c r="D496" s="36" t="str">
        <f aca="false">TRIM(A496)</f>
        <v/>
      </c>
      <c r="E496" s="36" t="str">
        <f aca="false">IF(D496="Revenue","Revenue",IF(D496="Cost of Goods Sold","COGS",IF(D496="Expenditures","Expense",IF(D496="Other Revenue","Other Revenue",IF(D496="Other Expenditures","Other Expense",E495)))))</f>
        <v>Other Expense</v>
      </c>
      <c r="F496" s="36" t="str">
        <f aca="false">IF(OR(D496="Revenue",D496="Cost of Goods Sold",D496="Expenditures",D496="Other Revenue",D496="Other Expenditures"),E496,IF(AND(LEN(D496)&gt;2,MID(D496,2,1)=" ",ISNUMBER(VALUE(LEFT(D496,1)))),D496,F495))</f>
        <v>Other Expense</v>
      </c>
      <c r="G496" s="36" t="n">
        <f aca="false">IF(AND(D496&lt;&gt;"",ISNUMBER(B496),LEFT(D496,9)&lt;&gt;"Total for",D496&lt;&gt;"Gross Profit",D496&lt;&gt;"Net Operating Revenue",D496&lt;&gt;"Net Other Revenue",D496&lt;&gt;"Net Revenue"),1,0)</f>
        <v>0</v>
      </c>
      <c r="H496" s="36" t="str">
        <f aca="false">IF(G496=1,IF(AND(LEN(D496)&gt;7,ISNUMBER(VALUE(LEFT(D496,6))),MID(D496,7,1)=" "),LEFT(D496,6),D496),"")</f>
        <v/>
      </c>
      <c r="I496" s="36" t="str">
        <f aca="false">IF(G496=1,IF(COUNTIF('Forecast Detail'!$C$8:$C$400,H496)=0,"UNMAPPED","OK"),"")</f>
        <v/>
      </c>
    </row>
    <row r="497" customFormat="false" ht="15" hidden="false" customHeight="false" outlineLevel="0" collapsed="false">
      <c r="D497" s="36" t="str">
        <f aca="false">TRIM(A497)</f>
        <v/>
      </c>
      <c r="E497" s="36" t="str">
        <f aca="false">IF(D497="Revenue","Revenue",IF(D497="Cost of Goods Sold","COGS",IF(D497="Expenditures","Expense",IF(D497="Other Revenue","Other Revenue",IF(D497="Other Expenditures","Other Expense",E496)))))</f>
        <v>Other Expense</v>
      </c>
      <c r="F497" s="36" t="str">
        <f aca="false">IF(OR(D497="Revenue",D497="Cost of Goods Sold",D497="Expenditures",D497="Other Revenue",D497="Other Expenditures"),E497,IF(AND(LEN(D497)&gt;2,MID(D497,2,1)=" ",ISNUMBER(VALUE(LEFT(D497,1)))),D497,F496))</f>
        <v>Other Expense</v>
      </c>
      <c r="G497" s="36" t="n">
        <f aca="false">IF(AND(D497&lt;&gt;"",ISNUMBER(B497),LEFT(D497,9)&lt;&gt;"Total for",D497&lt;&gt;"Gross Profit",D497&lt;&gt;"Net Operating Revenue",D497&lt;&gt;"Net Other Revenue",D497&lt;&gt;"Net Revenue"),1,0)</f>
        <v>0</v>
      </c>
      <c r="H497" s="36" t="str">
        <f aca="false">IF(G497=1,IF(AND(LEN(D497)&gt;7,ISNUMBER(VALUE(LEFT(D497,6))),MID(D497,7,1)=" "),LEFT(D497,6),D497),"")</f>
        <v/>
      </c>
      <c r="I497" s="36" t="str">
        <f aca="false">IF(G497=1,IF(COUNTIF('Forecast Detail'!$C$8:$C$400,H497)=0,"UNMAPPED","OK"),"")</f>
        <v/>
      </c>
    </row>
    <row r="498" customFormat="false" ht="15" hidden="false" customHeight="false" outlineLevel="0" collapsed="false">
      <c r="D498" s="36" t="str">
        <f aca="false">TRIM(A498)</f>
        <v/>
      </c>
      <c r="E498" s="36" t="str">
        <f aca="false">IF(D498="Revenue","Revenue",IF(D498="Cost of Goods Sold","COGS",IF(D498="Expenditures","Expense",IF(D498="Other Revenue","Other Revenue",IF(D498="Other Expenditures","Other Expense",E497)))))</f>
        <v>Other Expense</v>
      </c>
      <c r="F498" s="36" t="str">
        <f aca="false">IF(OR(D498="Revenue",D498="Cost of Goods Sold",D498="Expenditures",D498="Other Revenue",D498="Other Expenditures"),E498,IF(AND(LEN(D498)&gt;2,MID(D498,2,1)=" ",ISNUMBER(VALUE(LEFT(D498,1)))),D498,F497))</f>
        <v>Other Expense</v>
      </c>
      <c r="G498" s="36" t="n">
        <f aca="false">IF(AND(D498&lt;&gt;"",ISNUMBER(B498),LEFT(D498,9)&lt;&gt;"Total for",D498&lt;&gt;"Gross Profit",D498&lt;&gt;"Net Operating Revenue",D498&lt;&gt;"Net Other Revenue",D498&lt;&gt;"Net Revenue"),1,0)</f>
        <v>0</v>
      </c>
      <c r="H498" s="36" t="str">
        <f aca="false">IF(G498=1,IF(AND(LEN(D498)&gt;7,ISNUMBER(VALUE(LEFT(D498,6))),MID(D498,7,1)=" "),LEFT(D498,6),D498),"")</f>
        <v/>
      </c>
      <c r="I498" s="36" t="str">
        <f aca="false">IF(G498=1,IF(COUNTIF('Forecast Detail'!$C$8:$C$400,H498)=0,"UNMAPPED","OK"),"")</f>
        <v/>
      </c>
    </row>
    <row r="499" customFormat="false" ht="15" hidden="false" customHeight="false" outlineLevel="0" collapsed="false">
      <c r="D499" s="36" t="str">
        <f aca="false">TRIM(A499)</f>
        <v/>
      </c>
      <c r="E499" s="36" t="str">
        <f aca="false">IF(D499="Revenue","Revenue",IF(D499="Cost of Goods Sold","COGS",IF(D499="Expenditures","Expense",IF(D499="Other Revenue","Other Revenue",IF(D499="Other Expenditures","Other Expense",E498)))))</f>
        <v>Other Expense</v>
      </c>
      <c r="F499" s="36" t="str">
        <f aca="false">IF(OR(D499="Revenue",D499="Cost of Goods Sold",D499="Expenditures",D499="Other Revenue",D499="Other Expenditures"),E499,IF(AND(LEN(D499)&gt;2,MID(D499,2,1)=" ",ISNUMBER(VALUE(LEFT(D499,1)))),D499,F498))</f>
        <v>Other Expense</v>
      </c>
      <c r="G499" s="36" t="n">
        <f aca="false">IF(AND(D499&lt;&gt;"",ISNUMBER(B499),LEFT(D499,9)&lt;&gt;"Total for",D499&lt;&gt;"Gross Profit",D499&lt;&gt;"Net Operating Revenue",D499&lt;&gt;"Net Other Revenue",D499&lt;&gt;"Net Revenue"),1,0)</f>
        <v>0</v>
      </c>
      <c r="H499" s="36" t="str">
        <f aca="false">IF(G499=1,IF(AND(LEN(D499)&gt;7,ISNUMBER(VALUE(LEFT(D499,6))),MID(D499,7,1)=" "),LEFT(D499,6),D499),"")</f>
        <v/>
      </c>
      <c r="I499" s="36" t="str">
        <f aca="false">IF(G499=1,IF(COUNTIF('Forecast Detail'!$C$8:$C$400,H499)=0,"UNMAPPED","OK"),"")</f>
        <v/>
      </c>
    </row>
    <row r="500" customFormat="false" ht="15" hidden="false" customHeight="false" outlineLevel="0" collapsed="false">
      <c r="D500" s="36" t="str">
        <f aca="false">TRIM(A500)</f>
        <v/>
      </c>
      <c r="E500" s="36" t="str">
        <f aca="false">IF(D500="Revenue","Revenue",IF(D500="Cost of Goods Sold","COGS",IF(D500="Expenditures","Expense",IF(D500="Other Revenue","Other Revenue",IF(D500="Other Expenditures","Other Expense",E499)))))</f>
        <v>Other Expense</v>
      </c>
      <c r="F500" s="36" t="str">
        <f aca="false">IF(OR(D500="Revenue",D500="Cost of Goods Sold",D500="Expenditures",D500="Other Revenue",D500="Other Expenditures"),E500,IF(AND(LEN(D500)&gt;2,MID(D500,2,1)=" ",ISNUMBER(VALUE(LEFT(D500,1)))),D500,F499))</f>
        <v>Other Expense</v>
      </c>
      <c r="G500" s="36" t="n">
        <f aca="false">IF(AND(D500&lt;&gt;"",ISNUMBER(B500),LEFT(D500,9)&lt;&gt;"Total for",D500&lt;&gt;"Gross Profit",D500&lt;&gt;"Net Operating Revenue",D500&lt;&gt;"Net Other Revenue",D500&lt;&gt;"Net Revenue"),1,0)</f>
        <v>0</v>
      </c>
      <c r="H500" s="36" t="str">
        <f aca="false">IF(G500=1,IF(AND(LEN(D500)&gt;7,ISNUMBER(VALUE(LEFT(D500,6))),MID(D500,7,1)=" "),LEFT(D500,6),D500),"")</f>
        <v/>
      </c>
      <c r="I500" s="36" t="str">
        <f aca="false">IF(G500=1,IF(COUNTIF('Forecast Detail'!$C$8:$C$400,H500)=0,"UNMAPPED","OK"),"")</f>
        <v/>
      </c>
    </row>
    <row r="501" customFormat="false" ht="15" hidden="false" customHeight="false" outlineLevel="0" collapsed="false">
      <c r="D501" s="36" t="str">
        <f aca="false">TRIM(A501)</f>
        <v/>
      </c>
      <c r="E501" s="36" t="str">
        <f aca="false">IF(D501="Revenue","Revenue",IF(D501="Cost of Goods Sold","COGS",IF(D501="Expenditures","Expense",IF(D501="Other Revenue","Other Revenue",IF(D501="Other Expenditures","Other Expense",E500)))))</f>
        <v>Other Expense</v>
      </c>
      <c r="F501" s="36" t="str">
        <f aca="false">IF(OR(D501="Revenue",D501="Cost of Goods Sold",D501="Expenditures",D501="Other Revenue",D501="Other Expenditures"),E501,IF(AND(LEN(D501)&gt;2,MID(D501,2,1)=" ",ISNUMBER(VALUE(LEFT(D501,1)))),D501,F500))</f>
        <v>Other Expense</v>
      </c>
      <c r="G501" s="36" t="n">
        <f aca="false">IF(AND(D501&lt;&gt;"",ISNUMBER(B501),LEFT(D501,9)&lt;&gt;"Total for",D501&lt;&gt;"Gross Profit",D501&lt;&gt;"Net Operating Revenue",D501&lt;&gt;"Net Other Revenue",D501&lt;&gt;"Net Revenue"),1,0)</f>
        <v>0</v>
      </c>
      <c r="H501" s="36" t="str">
        <f aca="false">IF(G501=1,IF(AND(LEN(D501)&gt;7,ISNUMBER(VALUE(LEFT(D501,6))),MID(D501,7,1)=" "),LEFT(D501,6),D501),"")</f>
        <v/>
      </c>
      <c r="I501" s="36" t="str">
        <f aca="false">IF(G501=1,IF(COUNTIF('Forecast Detail'!$C$8:$C$400,H501)=0,"UNMAPPED","OK"),"")</f>
        <v/>
      </c>
    </row>
    <row r="502" customFormat="false" ht="15" hidden="false" customHeight="false" outlineLevel="0" collapsed="false">
      <c r="D502" s="36" t="str">
        <f aca="false">TRIM(A502)</f>
        <v/>
      </c>
      <c r="E502" s="36" t="str">
        <f aca="false">IF(D502="Revenue","Revenue",IF(D502="Cost of Goods Sold","COGS",IF(D502="Expenditures","Expense",IF(D502="Other Revenue","Other Revenue",IF(D502="Other Expenditures","Other Expense",E501)))))</f>
        <v>Other Expense</v>
      </c>
      <c r="F502" s="36" t="str">
        <f aca="false">IF(OR(D502="Revenue",D502="Cost of Goods Sold",D502="Expenditures",D502="Other Revenue",D502="Other Expenditures"),E502,IF(AND(LEN(D502)&gt;2,MID(D502,2,1)=" ",ISNUMBER(VALUE(LEFT(D502,1)))),D502,F501))</f>
        <v>Other Expense</v>
      </c>
      <c r="G502" s="36" t="n">
        <f aca="false">IF(AND(D502&lt;&gt;"",ISNUMBER(B502),LEFT(D502,9)&lt;&gt;"Total for",D502&lt;&gt;"Gross Profit",D502&lt;&gt;"Net Operating Revenue",D502&lt;&gt;"Net Other Revenue",D502&lt;&gt;"Net Revenue"),1,0)</f>
        <v>0</v>
      </c>
      <c r="H502" s="36" t="str">
        <f aca="false">IF(G502=1,IF(AND(LEN(D502)&gt;7,ISNUMBER(VALUE(LEFT(D502,6))),MID(D502,7,1)=" "),LEFT(D502,6),D502),"")</f>
        <v/>
      </c>
      <c r="I502" s="36" t="str">
        <f aca="false">IF(G502=1,IF(COUNTIF('Forecast Detail'!$C$8:$C$400,H502)=0,"UNMAPPED","OK"),"")</f>
        <v/>
      </c>
    </row>
    <row r="503" customFormat="false" ht="15" hidden="false" customHeight="false" outlineLevel="0" collapsed="false">
      <c r="D503" s="36" t="str">
        <f aca="false">TRIM(A503)</f>
        <v/>
      </c>
      <c r="E503" s="36" t="str">
        <f aca="false">IF(D503="Revenue","Revenue",IF(D503="Cost of Goods Sold","COGS",IF(D503="Expenditures","Expense",IF(D503="Other Revenue","Other Revenue",IF(D503="Other Expenditures","Other Expense",E502)))))</f>
        <v>Other Expense</v>
      </c>
      <c r="F503" s="36" t="str">
        <f aca="false">IF(OR(D503="Revenue",D503="Cost of Goods Sold",D503="Expenditures",D503="Other Revenue",D503="Other Expenditures"),E503,IF(AND(LEN(D503)&gt;2,MID(D503,2,1)=" ",ISNUMBER(VALUE(LEFT(D503,1)))),D503,F502))</f>
        <v>Other Expense</v>
      </c>
      <c r="G503" s="36" t="n">
        <f aca="false">IF(AND(D503&lt;&gt;"",ISNUMBER(B503),LEFT(D503,9)&lt;&gt;"Total for",D503&lt;&gt;"Gross Profit",D503&lt;&gt;"Net Operating Revenue",D503&lt;&gt;"Net Other Revenue",D503&lt;&gt;"Net Revenue"),1,0)</f>
        <v>0</v>
      </c>
      <c r="H503" s="36" t="str">
        <f aca="false">IF(G503=1,IF(AND(LEN(D503)&gt;7,ISNUMBER(VALUE(LEFT(D503,6))),MID(D503,7,1)=" "),LEFT(D503,6),D503),"")</f>
        <v/>
      </c>
      <c r="I503" s="36" t="str">
        <f aca="false">IF(G503=1,IF(COUNTIF('Forecast Detail'!$C$8:$C$400,H503)=0,"UNMAPPED","OK"),"")</f>
        <v/>
      </c>
    </row>
    <row r="504" customFormat="false" ht="15" hidden="false" customHeight="false" outlineLevel="0" collapsed="false">
      <c r="D504" s="36" t="str">
        <f aca="false">TRIM(A504)</f>
        <v/>
      </c>
      <c r="E504" s="36" t="str">
        <f aca="false">IF(D504="Revenue","Revenue",IF(D504="Cost of Goods Sold","COGS",IF(D504="Expenditures","Expense",IF(D504="Other Revenue","Other Revenue",IF(D504="Other Expenditures","Other Expense",E503)))))</f>
        <v>Other Expense</v>
      </c>
      <c r="F504" s="36" t="str">
        <f aca="false">IF(OR(D504="Revenue",D504="Cost of Goods Sold",D504="Expenditures",D504="Other Revenue",D504="Other Expenditures"),E504,IF(AND(LEN(D504)&gt;2,MID(D504,2,1)=" ",ISNUMBER(VALUE(LEFT(D504,1)))),D504,F503))</f>
        <v>Other Expense</v>
      </c>
      <c r="G504" s="36" t="n">
        <f aca="false">IF(AND(D504&lt;&gt;"",ISNUMBER(B504),LEFT(D504,9)&lt;&gt;"Total for",D504&lt;&gt;"Gross Profit",D504&lt;&gt;"Net Operating Revenue",D504&lt;&gt;"Net Other Revenue",D504&lt;&gt;"Net Revenue"),1,0)</f>
        <v>0</v>
      </c>
      <c r="H504" s="36" t="str">
        <f aca="false">IF(G504=1,IF(AND(LEN(D504)&gt;7,ISNUMBER(VALUE(LEFT(D504,6))),MID(D504,7,1)=" "),LEFT(D504,6),D504),"")</f>
        <v/>
      </c>
      <c r="I504" s="36" t="str">
        <f aca="false">IF(G504=1,IF(COUNTIF('Forecast Detail'!$C$8:$C$400,H504)=0,"UNMAPPED","OK"),"")</f>
        <v/>
      </c>
    </row>
    <row r="505" customFormat="false" ht="15" hidden="false" customHeight="false" outlineLevel="0" collapsed="false">
      <c r="D505" s="36" t="str">
        <f aca="false">TRIM(A505)</f>
        <v/>
      </c>
      <c r="E505" s="36" t="str">
        <f aca="false">IF(D505="Revenue","Revenue",IF(D505="Cost of Goods Sold","COGS",IF(D505="Expenditures","Expense",IF(D505="Other Revenue","Other Revenue",IF(D505="Other Expenditures","Other Expense",E504)))))</f>
        <v>Other Expense</v>
      </c>
      <c r="F505" s="36" t="str">
        <f aca="false">IF(OR(D505="Revenue",D505="Cost of Goods Sold",D505="Expenditures",D505="Other Revenue",D505="Other Expenditures"),E505,IF(AND(LEN(D505)&gt;2,MID(D505,2,1)=" ",ISNUMBER(VALUE(LEFT(D505,1)))),D505,F504))</f>
        <v>Other Expense</v>
      </c>
      <c r="G505" s="36" t="n">
        <f aca="false">IF(AND(D505&lt;&gt;"",ISNUMBER(B505),LEFT(D505,9)&lt;&gt;"Total for",D505&lt;&gt;"Gross Profit",D505&lt;&gt;"Net Operating Revenue",D505&lt;&gt;"Net Other Revenue",D505&lt;&gt;"Net Revenue"),1,0)</f>
        <v>0</v>
      </c>
      <c r="H505" s="36" t="str">
        <f aca="false">IF(G505=1,IF(AND(LEN(D505)&gt;7,ISNUMBER(VALUE(LEFT(D505,6))),MID(D505,7,1)=" "),LEFT(D505,6),D505),"")</f>
        <v/>
      </c>
      <c r="I505" s="36" t="str">
        <f aca="false">IF(G505=1,IF(COUNTIF('Forecast Detail'!$C$8:$C$400,H505)=0,"UNMAPPED","OK"),"")</f>
        <v/>
      </c>
    </row>
    <row r="506" customFormat="false" ht="15" hidden="false" customHeight="false" outlineLevel="0" collapsed="false">
      <c r="D506" s="36" t="str">
        <f aca="false">TRIM(A506)</f>
        <v/>
      </c>
      <c r="E506" s="36" t="str">
        <f aca="false">IF(D506="Revenue","Revenue",IF(D506="Cost of Goods Sold","COGS",IF(D506="Expenditures","Expense",IF(D506="Other Revenue","Other Revenue",IF(D506="Other Expenditures","Other Expense",E505)))))</f>
        <v>Other Expense</v>
      </c>
      <c r="F506" s="36" t="str">
        <f aca="false">IF(OR(D506="Revenue",D506="Cost of Goods Sold",D506="Expenditures",D506="Other Revenue",D506="Other Expenditures"),E506,IF(AND(LEN(D506)&gt;2,MID(D506,2,1)=" ",ISNUMBER(VALUE(LEFT(D506,1)))),D506,F505))</f>
        <v>Other Expense</v>
      </c>
      <c r="G506" s="36" t="n">
        <f aca="false">IF(AND(D506&lt;&gt;"",ISNUMBER(B506),LEFT(D506,9)&lt;&gt;"Total for",D506&lt;&gt;"Gross Profit",D506&lt;&gt;"Net Operating Revenue",D506&lt;&gt;"Net Other Revenue",D506&lt;&gt;"Net Revenue"),1,0)</f>
        <v>0</v>
      </c>
      <c r="H506" s="36" t="str">
        <f aca="false">IF(G506=1,IF(AND(LEN(D506)&gt;7,ISNUMBER(VALUE(LEFT(D506,6))),MID(D506,7,1)=" "),LEFT(D506,6),D506),"")</f>
        <v/>
      </c>
      <c r="I506" s="36" t="str">
        <f aca="false">IF(G506=1,IF(COUNTIF('Forecast Detail'!$C$8:$C$400,H506)=0,"UNMAPPED","OK"),"")</f>
        <v/>
      </c>
    </row>
    <row r="507" customFormat="false" ht="15" hidden="false" customHeight="false" outlineLevel="0" collapsed="false">
      <c r="D507" s="36" t="str">
        <f aca="false">TRIM(A507)</f>
        <v/>
      </c>
      <c r="E507" s="36" t="str">
        <f aca="false">IF(D507="Revenue","Revenue",IF(D507="Cost of Goods Sold","COGS",IF(D507="Expenditures","Expense",IF(D507="Other Revenue","Other Revenue",IF(D507="Other Expenditures","Other Expense",E506)))))</f>
        <v>Other Expense</v>
      </c>
      <c r="F507" s="36" t="str">
        <f aca="false">IF(OR(D507="Revenue",D507="Cost of Goods Sold",D507="Expenditures",D507="Other Revenue",D507="Other Expenditures"),E507,IF(AND(LEN(D507)&gt;2,MID(D507,2,1)=" ",ISNUMBER(VALUE(LEFT(D507,1)))),D507,F506))</f>
        <v>Other Expense</v>
      </c>
      <c r="G507" s="36" t="n">
        <f aca="false">IF(AND(D507&lt;&gt;"",ISNUMBER(B507),LEFT(D507,9)&lt;&gt;"Total for",D507&lt;&gt;"Gross Profit",D507&lt;&gt;"Net Operating Revenue",D507&lt;&gt;"Net Other Revenue",D507&lt;&gt;"Net Revenue"),1,0)</f>
        <v>0</v>
      </c>
      <c r="H507" s="36" t="str">
        <f aca="false">IF(G507=1,IF(AND(LEN(D507)&gt;7,ISNUMBER(VALUE(LEFT(D507,6))),MID(D507,7,1)=" "),LEFT(D507,6),D507),"")</f>
        <v/>
      </c>
      <c r="I507" s="36" t="str">
        <f aca="false">IF(G507=1,IF(COUNTIF('Forecast Detail'!$C$8:$C$400,H507)=0,"UNMAPPED","OK"),"")</f>
        <v/>
      </c>
    </row>
    <row r="508" customFormat="false" ht="15" hidden="false" customHeight="false" outlineLevel="0" collapsed="false">
      <c r="D508" s="36" t="str">
        <f aca="false">TRIM(A508)</f>
        <v/>
      </c>
      <c r="E508" s="36" t="str">
        <f aca="false">IF(D508="Revenue","Revenue",IF(D508="Cost of Goods Sold","COGS",IF(D508="Expenditures","Expense",IF(D508="Other Revenue","Other Revenue",IF(D508="Other Expenditures","Other Expense",E507)))))</f>
        <v>Other Expense</v>
      </c>
      <c r="F508" s="36" t="str">
        <f aca="false">IF(OR(D508="Revenue",D508="Cost of Goods Sold",D508="Expenditures",D508="Other Revenue",D508="Other Expenditures"),E508,IF(AND(LEN(D508)&gt;2,MID(D508,2,1)=" ",ISNUMBER(VALUE(LEFT(D508,1)))),D508,F507))</f>
        <v>Other Expense</v>
      </c>
      <c r="G508" s="36" t="n">
        <f aca="false">IF(AND(D508&lt;&gt;"",ISNUMBER(B508),LEFT(D508,9)&lt;&gt;"Total for",D508&lt;&gt;"Gross Profit",D508&lt;&gt;"Net Operating Revenue",D508&lt;&gt;"Net Other Revenue",D508&lt;&gt;"Net Revenue"),1,0)</f>
        <v>0</v>
      </c>
      <c r="H508" s="36" t="str">
        <f aca="false">IF(G508=1,IF(AND(LEN(D508)&gt;7,ISNUMBER(VALUE(LEFT(D508,6))),MID(D508,7,1)=" "),LEFT(D508,6),D508),"")</f>
        <v/>
      </c>
      <c r="I508" s="36" t="str">
        <f aca="false">IF(G508=1,IF(COUNTIF('Forecast Detail'!$C$8:$C$400,H508)=0,"UNMAPPED","OK"),"")</f>
        <v/>
      </c>
    </row>
    <row r="509" customFormat="false" ht="15" hidden="false" customHeight="false" outlineLevel="0" collapsed="false">
      <c r="D509" s="36" t="str">
        <f aca="false">TRIM(A509)</f>
        <v/>
      </c>
      <c r="E509" s="36" t="str">
        <f aca="false">IF(D509="Revenue","Revenue",IF(D509="Cost of Goods Sold","COGS",IF(D509="Expenditures","Expense",IF(D509="Other Revenue","Other Revenue",IF(D509="Other Expenditures","Other Expense",E508)))))</f>
        <v>Other Expense</v>
      </c>
      <c r="F509" s="36" t="str">
        <f aca="false">IF(OR(D509="Revenue",D509="Cost of Goods Sold",D509="Expenditures",D509="Other Revenue",D509="Other Expenditures"),E509,IF(AND(LEN(D509)&gt;2,MID(D509,2,1)=" ",ISNUMBER(VALUE(LEFT(D509,1)))),D509,F508))</f>
        <v>Other Expense</v>
      </c>
      <c r="G509" s="36" t="n">
        <f aca="false">IF(AND(D509&lt;&gt;"",ISNUMBER(B509),LEFT(D509,9)&lt;&gt;"Total for",D509&lt;&gt;"Gross Profit",D509&lt;&gt;"Net Operating Revenue",D509&lt;&gt;"Net Other Revenue",D509&lt;&gt;"Net Revenue"),1,0)</f>
        <v>0</v>
      </c>
      <c r="H509" s="36" t="str">
        <f aca="false">IF(G509=1,IF(AND(LEN(D509)&gt;7,ISNUMBER(VALUE(LEFT(D509,6))),MID(D509,7,1)=" "),LEFT(D509,6),D509),"")</f>
        <v/>
      </c>
      <c r="I509" s="36" t="str">
        <f aca="false">IF(G509=1,IF(COUNTIF('Forecast Detail'!$C$8:$C$400,H509)=0,"UNMAPPED","OK"),"")</f>
        <v/>
      </c>
    </row>
    <row r="510" customFormat="false" ht="15" hidden="false" customHeight="false" outlineLevel="0" collapsed="false">
      <c r="D510" s="36" t="str">
        <f aca="false">TRIM(A510)</f>
        <v/>
      </c>
      <c r="E510" s="36" t="str">
        <f aca="false">IF(D510="Revenue","Revenue",IF(D510="Cost of Goods Sold","COGS",IF(D510="Expenditures","Expense",IF(D510="Other Revenue","Other Revenue",IF(D510="Other Expenditures","Other Expense",E509)))))</f>
        <v>Other Expense</v>
      </c>
      <c r="F510" s="36" t="str">
        <f aca="false">IF(OR(D510="Revenue",D510="Cost of Goods Sold",D510="Expenditures",D510="Other Revenue",D510="Other Expenditures"),E510,IF(AND(LEN(D510)&gt;2,MID(D510,2,1)=" ",ISNUMBER(VALUE(LEFT(D510,1)))),D510,F509))</f>
        <v>Other Expense</v>
      </c>
      <c r="G510" s="36" t="n">
        <f aca="false">IF(AND(D510&lt;&gt;"",ISNUMBER(B510),LEFT(D510,9)&lt;&gt;"Total for",D510&lt;&gt;"Gross Profit",D510&lt;&gt;"Net Operating Revenue",D510&lt;&gt;"Net Other Revenue",D510&lt;&gt;"Net Revenue"),1,0)</f>
        <v>0</v>
      </c>
      <c r="H510" s="36" t="str">
        <f aca="false">IF(G510=1,IF(AND(LEN(D510)&gt;7,ISNUMBER(VALUE(LEFT(D510,6))),MID(D510,7,1)=" "),LEFT(D510,6),D510),"")</f>
        <v/>
      </c>
      <c r="I510" s="36" t="str">
        <f aca="false">IF(G510=1,IF(COUNTIF('Forecast Detail'!$C$8:$C$400,H510)=0,"UNMAPPED","OK"),"")</f>
        <v/>
      </c>
    </row>
    <row r="511" customFormat="false" ht="15" hidden="false" customHeight="false" outlineLevel="0" collapsed="false">
      <c r="D511" s="36" t="str">
        <f aca="false">TRIM(A511)</f>
        <v/>
      </c>
      <c r="E511" s="36" t="str">
        <f aca="false">IF(D511="Revenue","Revenue",IF(D511="Cost of Goods Sold","COGS",IF(D511="Expenditures","Expense",IF(D511="Other Revenue","Other Revenue",IF(D511="Other Expenditures","Other Expense",E510)))))</f>
        <v>Other Expense</v>
      </c>
      <c r="F511" s="36" t="str">
        <f aca="false">IF(OR(D511="Revenue",D511="Cost of Goods Sold",D511="Expenditures",D511="Other Revenue",D511="Other Expenditures"),E511,IF(AND(LEN(D511)&gt;2,MID(D511,2,1)=" ",ISNUMBER(VALUE(LEFT(D511,1)))),D511,F510))</f>
        <v>Other Expense</v>
      </c>
      <c r="G511" s="36" t="n">
        <f aca="false">IF(AND(D511&lt;&gt;"",ISNUMBER(B511),LEFT(D511,9)&lt;&gt;"Total for",D511&lt;&gt;"Gross Profit",D511&lt;&gt;"Net Operating Revenue",D511&lt;&gt;"Net Other Revenue",D511&lt;&gt;"Net Revenue"),1,0)</f>
        <v>0</v>
      </c>
      <c r="H511" s="36" t="str">
        <f aca="false">IF(G511=1,IF(AND(LEN(D511)&gt;7,ISNUMBER(VALUE(LEFT(D511,6))),MID(D511,7,1)=" "),LEFT(D511,6),D511),"")</f>
        <v/>
      </c>
      <c r="I511" s="36" t="str">
        <f aca="false">IF(G511=1,IF(COUNTIF('Forecast Detail'!$C$8:$C$400,H511)=0,"UNMAPPED","OK"),"")</f>
        <v/>
      </c>
    </row>
    <row r="512" customFormat="false" ht="15" hidden="false" customHeight="false" outlineLevel="0" collapsed="false">
      <c r="D512" s="36" t="str">
        <f aca="false">TRIM(A512)</f>
        <v/>
      </c>
      <c r="E512" s="36" t="str">
        <f aca="false">IF(D512="Revenue","Revenue",IF(D512="Cost of Goods Sold","COGS",IF(D512="Expenditures","Expense",IF(D512="Other Revenue","Other Revenue",IF(D512="Other Expenditures","Other Expense",E511)))))</f>
        <v>Other Expense</v>
      </c>
      <c r="F512" s="36" t="str">
        <f aca="false">IF(OR(D512="Revenue",D512="Cost of Goods Sold",D512="Expenditures",D512="Other Revenue",D512="Other Expenditures"),E512,IF(AND(LEN(D512)&gt;2,MID(D512,2,1)=" ",ISNUMBER(VALUE(LEFT(D512,1)))),D512,F511))</f>
        <v>Other Expense</v>
      </c>
      <c r="G512" s="36" t="n">
        <f aca="false">IF(AND(D512&lt;&gt;"",ISNUMBER(B512),LEFT(D512,9)&lt;&gt;"Total for",D512&lt;&gt;"Gross Profit",D512&lt;&gt;"Net Operating Revenue",D512&lt;&gt;"Net Other Revenue",D512&lt;&gt;"Net Revenue"),1,0)</f>
        <v>0</v>
      </c>
      <c r="H512" s="36" t="str">
        <f aca="false">IF(G512=1,IF(AND(LEN(D512)&gt;7,ISNUMBER(VALUE(LEFT(D512,6))),MID(D512,7,1)=" "),LEFT(D512,6),D512),"")</f>
        <v/>
      </c>
      <c r="I512" s="36" t="str">
        <f aca="false">IF(G512=1,IF(COUNTIF('Forecast Detail'!$C$8:$C$400,H512)=0,"UNMAPPED","OK"),"")</f>
        <v/>
      </c>
    </row>
    <row r="513" customFormat="false" ht="15" hidden="false" customHeight="false" outlineLevel="0" collapsed="false">
      <c r="D513" s="36" t="str">
        <f aca="false">TRIM(A513)</f>
        <v/>
      </c>
      <c r="E513" s="36" t="str">
        <f aca="false">IF(D513="Revenue","Revenue",IF(D513="Cost of Goods Sold","COGS",IF(D513="Expenditures","Expense",IF(D513="Other Revenue","Other Revenue",IF(D513="Other Expenditures","Other Expense",E512)))))</f>
        <v>Other Expense</v>
      </c>
      <c r="F513" s="36" t="str">
        <f aca="false">IF(OR(D513="Revenue",D513="Cost of Goods Sold",D513="Expenditures",D513="Other Revenue",D513="Other Expenditures"),E513,IF(AND(LEN(D513)&gt;2,MID(D513,2,1)=" ",ISNUMBER(VALUE(LEFT(D513,1)))),D513,F512))</f>
        <v>Other Expense</v>
      </c>
      <c r="G513" s="36" t="n">
        <f aca="false">IF(AND(D513&lt;&gt;"",ISNUMBER(B513),LEFT(D513,9)&lt;&gt;"Total for",D513&lt;&gt;"Gross Profit",D513&lt;&gt;"Net Operating Revenue",D513&lt;&gt;"Net Other Revenue",D513&lt;&gt;"Net Revenue"),1,0)</f>
        <v>0</v>
      </c>
      <c r="H513" s="36" t="str">
        <f aca="false">IF(G513=1,IF(AND(LEN(D513)&gt;7,ISNUMBER(VALUE(LEFT(D513,6))),MID(D513,7,1)=" "),LEFT(D513,6),D513),"")</f>
        <v/>
      </c>
      <c r="I513" s="36" t="str">
        <f aca="false">IF(G513=1,IF(COUNTIF('Forecast Detail'!$C$8:$C$400,H513)=0,"UNMAPPED","OK"),"")</f>
        <v/>
      </c>
    </row>
    <row r="514" customFormat="false" ht="15" hidden="false" customHeight="false" outlineLevel="0" collapsed="false">
      <c r="D514" s="36" t="str">
        <f aca="false">TRIM(A514)</f>
        <v/>
      </c>
      <c r="E514" s="36" t="str">
        <f aca="false">IF(D514="Revenue","Revenue",IF(D514="Cost of Goods Sold","COGS",IF(D514="Expenditures","Expense",IF(D514="Other Revenue","Other Revenue",IF(D514="Other Expenditures","Other Expense",E513)))))</f>
        <v>Other Expense</v>
      </c>
      <c r="F514" s="36" t="str">
        <f aca="false">IF(OR(D514="Revenue",D514="Cost of Goods Sold",D514="Expenditures",D514="Other Revenue",D514="Other Expenditures"),E514,IF(AND(LEN(D514)&gt;2,MID(D514,2,1)=" ",ISNUMBER(VALUE(LEFT(D514,1)))),D514,F513))</f>
        <v>Other Expense</v>
      </c>
      <c r="G514" s="36" t="n">
        <f aca="false">IF(AND(D514&lt;&gt;"",ISNUMBER(B514),LEFT(D514,9)&lt;&gt;"Total for",D514&lt;&gt;"Gross Profit",D514&lt;&gt;"Net Operating Revenue",D514&lt;&gt;"Net Other Revenue",D514&lt;&gt;"Net Revenue"),1,0)</f>
        <v>0</v>
      </c>
      <c r="H514" s="36" t="str">
        <f aca="false">IF(G514=1,IF(AND(LEN(D514)&gt;7,ISNUMBER(VALUE(LEFT(D514,6))),MID(D514,7,1)=" "),LEFT(D514,6),D514),"")</f>
        <v/>
      </c>
      <c r="I514" s="36" t="str">
        <f aca="false">IF(G514=1,IF(COUNTIF('Forecast Detail'!$C$8:$C$400,H514)=0,"UNMAPPED","OK"),"")</f>
        <v/>
      </c>
    </row>
    <row r="515" customFormat="false" ht="15" hidden="false" customHeight="false" outlineLevel="0" collapsed="false">
      <c r="D515" s="36" t="str">
        <f aca="false">TRIM(A515)</f>
        <v/>
      </c>
      <c r="E515" s="36" t="str">
        <f aca="false">IF(D515="Revenue","Revenue",IF(D515="Cost of Goods Sold","COGS",IF(D515="Expenditures","Expense",IF(D515="Other Revenue","Other Revenue",IF(D515="Other Expenditures","Other Expense",E514)))))</f>
        <v>Other Expense</v>
      </c>
      <c r="F515" s="36" t="str">
        <f aca="false">IF(OR(D515="Revenue",D515="Cost of Goods Sold",D515="Expenditures",D515="Other Revenue",D515="Other Expenditures"),E515,IF(AND(LEN(D515)&gt;2,MID(D515,2,1)=" ",ISNUMBER(VALUE(LEFT(D515,1)))),D515,F514))</f>
        <v>Other Expense</v>
      </c>
      <c r="G515" s="36" t="n">
        <f aca="false">IF(AND(D515&lt;&gt;"",ISNUMBER(B515),LEFT(D515,9)&lt;&gt;"Total for",D515&lt;&gt;"Gross Profit",D515&lt;&gt;"Net Operating Revenue",D515&lt;&gt;"Net Other Revenue",D515&lt;&gt;"Net Revenue"),1,0)</f>
        <v>0</v>
      </c>
      <c r="H515" s="36" t="str">
        <f aca="false">IF(G515=1,IF(AND(LEN(D515)&gt;7,ISNUMBER(VALUE(LEFT(D515,6))),MID(D515,7,1)=" "),LEFT(D515,6),D515),"")</f>
        <v/>
      </c>
      <c r="I515" s="36" t="str">
        <f aca="false">IF(G515=1,IF(COUNTIF('Forecast Detail'!$C$8:$C$400,H515)=0,"UNMAPPED","OK"),"")</f>
        <v/>
      </c>
    </row>
    <row r="516" customFormat="false" ht="15" hidden="false" customHeight="false" outlineLevel="0" collapsed="false">
      <c r="D516" s="36" t="str">
        <f aca="false">TRIM(A516)</f>
        <v/>
      </c>
      <c r="E516" s="36" t="str">
        <f aca="false">IF(D516="Revenue","Revenue",IF(D516="Cost of Goods Sold","COGS",IF(D516="Expenditures","Expense",IF(D516="Other Revenue","Other Revenue",IF(D516="Other Expenditures","Other Expense",E515)))))</f>
        <v>Other Expense</v>
      </c>
      <c r="F516" s="36" t="str">
        <f aca="false">IF(OR(D516="Revenue",D516="Cost of Goods Sold",D516="Expenditures",D516="Other Revenue",D516="Other Expenditures"),E516,IF(AND(LEN(D516)&gt;2,MID(D516,2,1)=" ",ISNUMBER(VALUE(LEFT(D516,1)))),D516,F515))</f>
        <v>Other Expense</v>
      </c>
      <c r="G516" s="36" t="n">
        <f aca="false">IF(AND(D516&lt;&gt;"",ISNUMBER(B516),LEFT(D516,9)&lt;&gt;"Total for",D516&lt;&gt;"Gross Profit",D516&lt;&gt;"Net Operating Revenue",D516&lt;&gt;"Net Other Revenue",D516&lt;&gt;"Net Revenue"),1,0)</f>
        <v>0</v>
      </c>
      <c r="H516" s="36" t="str">
        <f aca="false">IF(G516=1,IF(AND(LEN(D516)&gt;7,ISNUMBER(VALUE(LEFT(D516,6))),MID(D516,7,1)=" "),LEFT(D516,6),D516),"")</f>
        <v/>
      </c>
      <c r="I516" s="36" t="str">
        <f aca="false">IF(G516=1,IF(COUNTIF('Forecast Detail'!$C$8:$C$400,H516)=0,"UNMAPPED","OK"),"")</f>
        <v/>
      </c>
    </row>
    <row r="517" customFormat="false" ht="15" hidden="false" customHeight="false" outlineLevel="0" collapsed="false">
      <c r="D517" s="36" t="str">
        <f aca="false">TRIM(A517)</f>
        <v/>
      </c>
      <c r="E517" s="36" t="str">
        <f aca="false">IF(D517="Revenue","Revenue",IF(D517="Cost of Goods Sold","COGS",IF(D517="Expenditures","Expense",IF(D517="Other Revenue","Other Revenue",IF(D517="Other Expenditures","Other Expense",E516)))))</f>
        <v>Other Expense</v>
      </c>
      <c r="F517" s="36" t="str">
        <f aca="false">IF(OR(D517="Revenue",D517="Cost of Goods Sold",D517="Expenditures",D517="Other Revenue",D517="Other Expenditures"),E517,IF(AND(LEN(D517)&gt;2,MID(D517,2,1)=" ",ISNUMBER(VALUE(LEFT(D517,1)))),D517,F516))</f>
        <v>Other Expense</v>
      </c>
      <c r="G517" s="36" t="n">
        <f aca="false">IF(AND(D517&lt;&gt;"",ISNUMBER(B517),LEFT(D517,9)&lt;&gt;"Total for",D517&lt;&gt;"Gross Profit",D517&lt;&gt;"Net Operating Revenue",D517&lt;&gt;"Net Other Revenue",D517&lt;&gt;"Net Revenue"),1,0)</f>
        <v>0</v>
      </c>
      <c r="H517" s="36" t="str">
        <f aca="false">IF(G517=1,IF(AND(LEN(D517)&gt;7,ISNUMBER(VALUE(LEFT(D517,6))),MID(D517,7,1)=" "),LEFT(D517,6),D517),"")</f>
        <v/>
      </c>
      <c r="I517" s="36" t="str">
        <f aca="false">IF(G517=1,IF(COUNTIF('Forecast Detail'!$C$8:$C$400,H517)=0,"UNMAPPED","OK"),"")</f>
        <v/>
      </c>
    </row>
    <row r="518" customFormat="false" ht="15" hidden="false" customHeight="false" outlineLevel="0" collapsed="false">
      <c r="D518" s="36" t="str">
        <f aca="false">TRIM(A518)</f>
        <v/>
      </c>
      <c r="E518" s="36" t="str">
        <f aca="false">IF(D518="Revenue","Revenue",IF(D518="Cost of Goods Sold","COGS",IF(D518="Expenditures","Expense",IF(D518="Other Revenue","Other Revenue",IF(D518="Other Expenditures","Other Expense",E517)))))</f>
        <v>Other Expense</v>
      </c>
      <c r="F518" s="36" t="str">
        <f aca="false">IF(OR(D518="Revenue",D518="Cost of Goods Sold",D518="Expenditures",D518="Other Revenue",D518="Other Expenditures"),E518,IF(AND(LEN(D518)&gt;2,MID(D518,2,1)=" ",ISNUMBER(VALUE(LEFT(D518,1)))),D518,F517))</f>
        <v>Other Expense</v>
      </c>
      <c r="G518" s="36" t="n">
        <f aca="false">IF(AND(D518&lt;&gt;"",ISNUMBER(B518),LEFT(D518,9)&lt;&gt;"Total for",D518&lt;&gt;"Gross Profit",D518&lt;&gt;"Net Operating Revenue",D518&lt;&gt;"Net Other Revenue",D518&lt;&gt;"Net Revenue"),1,0)</f>
        <v>0</v>
      </c>
      <c r="H518" s="36" t="str">
        <f aca="false">IF(G518=1,IF(AND(LEN(D518)&gt;7,ISNUMBER(VALUE(LEFT(D518,6))),MID(D518,7,1)=" "),LEFT(D518,6),D518),"")</f>
        <v/>
      </c>
      <c r="I518" s="36" t="str">
        <f aca="false">IF(G518=1,IF(COUNTIF('Forecast Detail'!$C$8:$C$400,H518)=0,"UNMAPPED","OK"),"")</f>
        <v/>
      </c>
    </row>
    <row r="519" customFormat="false" ht="15" hidden="false" customHeight="false" outlineLevel="0" collapsed="false">
      <c r="D519" s="36" t="str">
        <f aca="false">TRIM(A519)</f>
        <v/>
      </c>
      <c r="E519" s="36" t="str">
        <f aca="false">IF(D519="Revenue","Revenue",IF(D519="Cost of Goods Sold","COGS",IF(D519="Expenditures","Expense",IF(D519="Other Revenue","Other Revenue",IF(D519="Other Expenditures","Other Expense",E518)))))</f>
        <v>Other Expense</v>
      </c>
      <c r="F519" s="36" t="str">
        <f aca="false">IF(OR(D519="Revenue",D519="Cost of Goods Sold",D519="Expenditures",D519="Other Revenue",D519="Other Expenditures"),E519,IF(AND(LEN(D519)&gt;2,MID(D519,2,1)=" ",ISNUMBER(VALUE(LEFT(D519,1)))),D519,F518))</f>
        <v>Other Expense</v>
      </c>
      <c r="G519" s="36" t="n">
        <f aca="false">IF(AND(D519&lt;&gt;"",ISNUMBER(B519),LEFT(D519,9)&lt;&gt;"Total for",D519&lt;&gt;"Gross Profit",D519&lt;&gt;"Net Operating Revenue",D519&lt;&gt;"Net Other Revenue",D519&lt;&gt;"Net Revenue"),1,0)</f>
        <v>0</v>
      </c>
      <c r="H519" s="36" t="str">
        <f aca="false">IF(G519=1,IF(AND(LEN(D519)&gt;7,ISNUMBER(VALUE(LEFT(D519,6))),MID(D519,7,1)=" "),LEFT(D519,6),D519),"")</f>
        <v/>
      </c>
      <c r="I519" s="36" t="str">
        <f aca="false">IF(G519=1,IF(COUNTIF('Forecast Detail'!$C$8:$C$400,H519)=0,"UNMAPPED","OK"),"")</f>
        <v/>
      </c>
    </row>
    <row r="520" customFormat="false" ht="15" hidden="false" customHeight="false" outlineLevel="0" collapsed="false">
      <c r="D520" s="36" t="str">
        <f aca="false">TRIM(A520)</f>
        <v/>
      </c>
      <c r="E520" s="36" t="str">
        <f aca="false">IF(D520="Revenue","Revenue",IF(D520="Cost of Goods Sold","COGS",IF(D520="Expenditures","Expense",IF(D520="Other Revenue","Other Revenue",IF(D520="Other Expenditures","Other Expense",E519)))))</f>
        <v>Other Expense</v>
      </c>
      <c r="F520" s="36" t="str">
        <f aca="false">IF(OR(D520="Revenue",D520="Cost of Goods Sold",D520="Expenditures",D520="Other Revenue",D520="Other Expenditures"),E520,IF(AND(LEN(D520)&gt;2,MID(D520,2,1)=" ",ISNUMBER(VALUE(LEFT(D520,1)))),D520,F519))</f>
        <v>Other Expense</v>
      </c>
      <c r="G520" s="36" t="n">
        <f aca="false">IF(AND(D520&lt;&gt;"",ISNUMBER(B520),LEFT(D520,9)&lt;&gt;"Total for",D520&lt;&gt;"Gross Profit",D520&lt;&gt;"Net Operating Revenue",D520&lt;&gt;"Net Other Revenue",D520&lt;&gt;"Net Revenue"),1,0)</f>
        <v>0</v>
      </c>
      <c r="H520" s="36" t="str">
        <f aca="false">IF(G520=1,IF(AND(LEN(D520)&gt;7,ISNUMBER(VALUE(LEFT(D520,6))),MID(D520,7,1)=" "),LEFT(D520,6),D520),"")</f>
        <v/>
      </c>
      <c r="I520" s="36" t="str">
        <f aca="false">IF(G520=1,IF(COUNTIF('Forecast Detail'!$C$8:$C$400,H520)=0,"UNMAPPED","OK"),"")</f>
        <v/>
      </c>
    </row>
    <row r="521" customFormat="false" ht="15" hidden="false" customHeight="false" outlineLevel="0" collapsed="false">
      <c r="D521" s="36" t="str">
        <f aca="false">TRIM(A521)</f>
        <v/>
      </c>
      <c r="E521" s="36" t="str">
        <f aca="false">IF(D521="Revenue","Revenue",IF(D521="Cost of Goods Sold","COGS",IF(D521="Expenditures","Expense",IF(D521="Other Revenue","Other Revenue",IF(D521="Other Expenditures","Other Expense",E520)))))</f>
        <v>Other Expense</v>
      </c>
      <c r="F521" s="36" t="str">
        <f aca="false">IF(OR(D521="Revenue",D521="Cost of Goods Sold",D521="Expenditures",D521="Other Revenue",D521="Other Expenditures"),E521,IF(AND(LEN(D521)&gt;2,MID(D521,2,1)=" ",ISNUMBER(VALUE(LEFT(D521,1)))),D521,F520))</f>
        <v>Other Expense</v>
      </c>
      <c r="G521" s="36" t="n">
        <f aca="false">IF(AND(D521&lt;&gt;"",ISNUMBER(B521),LEFT(D521,9)&lt;&gt;"Total for",D521&lt;&gt;"Gross Profit",D521&lt;&gt;"Net Operating Revenue",D521&lt;&gt;"Net Other Revenue",D521&lt;&gt;"Net Revenue"),1,0)</f>
        <v>0</v>
      </c>
      <c r="H521" s="36" t="str">
        <f aca="false">IF(G521=1,IF(AND(LEN(D521)&gt;7,ISNUMBER(VALUE(LEFT(D521,6))),MID(D521,7,1)=" "),LEFT(D521,6),D521),"")</f>
        <v/>
      </c>
      <c r="I521" s="36" t="str">
        <f aca="false">IF(G521=1,IF(COUNTIF('Forecast Detail'!$C$8:$C$400,H521)=0,"UNMAPPED","OK"),"")</f>
        <v/>
      </c>
    </row>
    <row r="522" customFormat="false" ht="15" hidden="false" customHeight="false" outlineLevel="0" collapsed="false">
      <c r="D522" s="36" t="str">
        <f aca="false">TRIM(A522)</f>
        <v/>
      </c>
      <c r="E522" s="36" t="str">
        <f aca="false">IF(D522="Revenue","Revenue",IF(D522="Cost of Goods Sold","COGS",IF(D522="Expenditures","Expense",IF(D522="Other Revenue","Other Revenue",IF(D522="Other Expenditures","Other Expense",E521)))))</f>
        <v>Other Expense</v>
      </c>
      <c r="F522" s="36" t="str">
        <f aca="false">IF(OR(D522="Revenue",D522="Cost of Goods Sold",D522="Expenditures",D522="Other Revenue",D522="Other Expenditures"),E522,IF(AND(LEN(D522)&gt;2,MID(D522,2,1)=" ",ISNUMBER(VALUE(LEFT(D522,1)))),D522,F521))</f>
        <v>Other Expense</v>
      </c>
      <c r="G522" s="36" t="n">
        <f aca="false">IF(AND(D522&lt;&gt;"",ISNUMBER(B522),LEFT(D522,9)&lt;&gt;"Total for",D522&lt;&gt;"Gross Profit",D522&lt;&gt;"Net Operating Revenue",D522&lt;&gt;"Net Other Revenue",D522&lt;&gt;"Net Revenue"),1,0)</f>
        <v>0</v>
      </c>
      <c r="H522" s="36" t="str">
        <f aca="false">IF(G522=1,IF(AND(LEN(D522)&gt;7,ISNUMBER(VALUE(LEFT(D522,6))),MID(D522,7,1)=" "),LEFT(D522,6),D522),"")</f>
        <v/>
      </c>
      <c r="I522" s="36" t="str">
        <f aca="false">IF(G522=1,IF(COUNTIF('Forecast Detail'!$C$8:$C$400,H522)=0,"UNMAPPED","OK"),"")</f>
        <v/>
      </c>
    </row>
    <row r="523" customFormat="false" ht="15" hidden="false" customHeight="false" outlineLevel="0" collapsed="false">
      <c r="D523" s="36" t="str">
        <f aca="false">TRIM(A523)</f>
        <v/>
      </c>
      <c r="E523" s="36" t="str">
        <f aca="false">IF(D523="Revenue","Revenue",IF(D523="Cost of Goods Sold","COGS",IF(D523="Expenditures","Expense",IF(D523="Other Revenue","Other Revenue",IF(D523="Other Expenditures","Other Expense",E522)))))</f>
        <v>Other Expense</v>
      </c>
      <c r="F523" s="36" t="str">
        <f aca="false">IF(OR(D523="Revenue",D523="Cost of Goods Sold",D523="Expenditures",D523="Other Revenue",D523="Other Expenditures"),E523,IF(AND(LEN(D523)&gt;2,MID(D523,2,1)=" ",ISNUMBER(VALUE(LEFT(D523,1)))),D523,F522))</f>
        <v>Other Expense</v>
      </c>
      <c r="G523" s="36" t="n">
        <f aca="false">IF(AND(D523&lt;&gt;"",ISNUMBER(B523),LEFT(D523,9)&lt;&gt;"Total for",D523&lt;&gt;"Gross Profit",D523&lt;&gt;"Net Operating Revenue",D523&lt;&gt;"Net Other Revenue",D523&lt;&gt;"Net Revenue"),1,0)</f>
        <v>0</v>
      </c>
      <c r="H523" s="36" t="str">
        <f aca="false">IF(G523=1,IF(AND(LEN(D523)&gt;7,ISNUMBER(VALUE(LEFT(D523,6))),MID(D523,7,1)=" "),LEFT(D523,6),D523),"")</f>
        <v/>
      </c>
      <c r="I523" s="36" t="str">
        <f aca="false">IF(G523=1,IF(COUNTIF('Forecast Detail'!$C$8:$C$400,H523)=0,"UNMAPPED","OK"),"")</f>
        <v/>
      </c>
    </row>
    <row r="524" customFormat="false" ht="15" hidden="false" customHeight="false" outlineLevel="0" collapsed="false">
      <c r="D524" s="36" t="str">
        <f aca="false">TRIM(A524)</f>
        <v/>
      </c>
      <c r="E524" s="36" t="str">
        <f aca="false">IF(D524="Revenue","Revenue",IF(D524="Cost of Goods Sold","COGS",IF(D524="Expenditures","Expense",IF(D524="Other Revenue","Other Revenue",IF(D524="Other Expenditures","Other Expense",E523)))))</f>
        <v>Other Expense</v>
      </c>
      <c r="F524" s="36" t="str">
        <f aca="false">IF(OR(D524="Revenue",D524="Cost of Goods Sold",D524="Expenditures",D524="Other Revenue",D524="Other Expenditures"),E524,IF(AND(LEN(D524)&gt;2,MID(D524,2,1)=" ",ISNUMBER(VALUE(LEFT(D524,1)))),D524,F523))</f>
        <v>Other Expense</v>
      </c>
      <c r="G524" s="36" t="n">
        <f aca="false">IF(AND(D524&lt;&gt;"",ISNUMBER(B524),LEFT(D524,9)&lt;&gt;"Total for",D524&lt;&gt;"Gross Profit",D524&lt;&gt;"Net Operating Revenue",D524&lt;&gt;"Net Other Revenue",D524&lt;&gt;"Net Revenue"),1,0)</f>
        <v>0</v>
      </c>
      <c r="H524" s="36" t="str">
        <f aca="false">IF(G524=1,IF(AND(LEN(D524)&gt;7,ISNUMBER(VALUE(LEFT(D524,6))),MID(D524,7,1)=" "),LEFT(D524,6),D524),"")</f>
        <v/>
      </c>
      <c r="I524" s="36" t="str">
        <f aca="false">IF(G524=1,IF(COUNTIF('Forecast Detail'!$C$8:$C$400,H524)=0,"UNMAPPED","OK"),"")</f>
        <v/>
      </c>
    </row>
    <row r="525" customFormat="false" ht="15" hidden="false" customHeight="false" outlineLevel="0" collapsed="false">
      <c r="D525" s="36" t="str">
        <f aca="false">TRIM(A525)</f>
        <v/>
      </c>
      <c r="E525" s="36" t="str">
        <f aca="false">IF(D525="Revenue","Revenue",IF(D525="Cost of Goods Sold","COGS",IF(D525="Expenditures","Expense",IF(D525="Other Revenue","Other Revenue",IF(D525="Other Expenditures","Other Expense",E524)))))</f>
        <v>Other Expense</v>
      </c>
      <c r="F525" s="36" t="str">
        <f aca="false">IF(OR(D525="Revenue",D525="Cost of Goods Sold",D525="Expenditures",D525="Other Revenue",D525="Other Expenditures"),E525,IF(AND(LEN(D525)&gt;2,MID(D525,2,1)=" ",ISNUMBER(VALUE(LEFT(D525,1)))),D525,F524))</f>
        <v>Other Expense</v>
      </c>
      <c r="G525" s="36" t="n">
        <f aca="false">IF(AND(D525&lt;&gt;"",ISNUMBER(B525),LEFT(D525,9)&lt;&gt;"Total for",D525&lt;&gt;"Gross Profit",D525&lt;&gt;"Net Operating Revenue",D525&lt;&gt;"Net Other Revenue",D525&lt;&gt;"Net Revenue"),1,0)</f>
        <v>0</v>
      </c>
      <c r="H525" s="36" t="str">
        <f aca="false">IF(G525=1,IF(AND(LEN(D525)&gt;7,ISNUMBER(VALUE(LEFT(D525,6))),MID(D525,7,1)=" "),LEFT(D525,6),D525),"")</f>
        <v/>
      </c>
      <c r="I525" s="36" t="str">
        <f aca="false">IF(G525=1,IF(COUNTIF('Forecast Detail'!$C$8:$C$400,H525)=0,"UNMAPPED","OK"),"")</f>
        <v/>
      </c>
    </row>
    <row r="526" customFormat="false" ht="15" hidden="false" customHeight="false" outlineLevel="0" collapsed="false">
      <c r="D526" s="36" t="str">
        <f aca="false">TRIM(A526)</f>
        <v/>
      </c>
      <c r="E526" s="36" t="str">
        <f aca="false">IF(D526="Revenue","Revenue",IF(D526="Cost of Goods Sold","COGS",IF(D526="Expenditures","Expense",IF(D526="Other Revenue","Other Revenue",IF(D526="Other Expenditures","Other Expense",E525)))))</f>
        <v>Other Expense</v>
      </c>
      <c r="F526" s="36" t="str">
        <f aca="false">IF(OR(D526="Revenue",D526="Cost of Goods Sold",D526="Expenditures",D526="Other Revenue",D526="Other Expenditures"),E526,IF(AND(LEN(D526)&gt;2,MID(D526,2,1)=" ",ISNUMBER(VALUE(LEFT(D526,1)))),D526,F525))</f>
        <v>Other Expense</v>
      </c>
      <c r="G526" s="36" t="n">
        <f aca="false">IF(AND(D526&lt;&gt;"",ISNUMBER(B526),LEFT(D526,9)&lt;&gt;"Total for",D526&lt;&gt;"Gross Profit",D526&lt;&gt;"Net Operating Revenue",D526&lt;&gt;"Net Other Revenue",D526&lt;&gt;"Net Revenue"),1,0)</f>
        <v>0</v>
      </c>
      <c r="H526" s="36" t="str">
        <f aca="false">IF(G526=1,IF(AND(LEN(D526)&gt;7,ISNUMBER(VALUE(LEFT(D526,6))),MID(D526,7,1)=" "),LEFT(D526,6),D526),"")</f>
        <v/>
      </c>
      <c r="I526" s="36" t="str">
        <f aca="false">IF(G526=1,IF(COUNTIF('Forecast Detail'!$C$8:$C$400,H526)=0,"UNMAPPED","OK"),"")</f>
        <v/>
      </c>
    </row>
    <row r="527" customFormat="false" ht="15" hidden="false" customHeight="false" outlineLevel="0" collapsed="false">
      <c r="D527" s="36" t="str">
        <f aca="false">TRIM(A527)</f>
        <v/>
      </c>
      <c r="E527" s="36" t="str">
        <f aca="false">IF(D527="Revenue","Revenue",IF(D527="Cost of Goods Sold","COGS",IF(D527="Expenditures","Expense",IF(D527="Other Revenue","Other Revenue",IF(D527="Other Expenditures","Other Expense",E526)))))</f>
        <v>Other Expense</v>
      </c>
      <c r="F527" s="36" t="str">
        <f aca="false">IF(OR(D527="Revenue",D527="Cost of Goods Sold",D527="Expenditures",D527="Other Revenue",D527="Other Expenditures"),E527,IF(AND(LEN(D527)&gt;2,MID(D527,2,1)=" ",ISNUMBER(VALUE(LEFT(D527,1)))),D527,F526))</f>
        <v>Other Expense</v>
      </c>
      <c r="G527" s="36" t="n">
        <f aca="false">IF(AND(D527&lt;&gt;"",ISNUMBER(B527),LEFT(D527,9)&lt;&gt;"Total for",D527&lt;&gt;"Gross Profit",D527&lt;&gt;"Net Operating Revenue",D527&lt;&gt;"Net Other Revenue",D527&lt;&gt;"Net Revenue"),1,0)</f>
        <v>0</v>
      </c>
      <c r="H527" s="36" t="str">
        <f aca="false">IF(G527=1,IF(AND(LEN(D527)&gt;7,ISNUMBER(VALUE(LEFT(D527,6))),MID(D527,7,1)=" "),LEFT(D527,6),D527),"")</f>
        <v/>
      </c>
      <c r="I527" s="36" t="str">
        <f aca="false">IF(G527=1,IF(COUNTIF('Forecast Detail'!$C$8:$C$400,H527)=0,"UNMAPPED","OK"),"")</f>
        <v/>
      </c>
    </row>
    <row r="528" customFormat="false" ht="15" hidden="false" customHeight="false" outlineLevel="0" collapsed="false">
      <c r="D528" s="36" t="str">
        <f aca="false">TRIM(A528)</f>
        <v/>
      </c>
      <c r="E528" s="36" t="str">
        <f aca="false">IF(D528="Revenue","Revenue",IF(D528="Cost of Goods Sold","COGS",IF(D528="Expenditures","Expense",IF(D528="Other Revenue","Other Revenue",IF(D528="Other Expenditures","Other Expense",E527)))))</f>
        <v>Other Expense</v>
      </c>
      <c r="F528" s="36" t="str">
        <f aca="false">IF(OR(D528="Revenue",D528="Cost of Goods Sold",D528="Expenditures",D528="Other Revenue",D528="Other Expenditures"),E528,IF(AND(LEN(D528)&gt;2,MID(D528,2,1)=" ",ISNUMBER(VALUE(LEFT(D528,1)))),D528,F527))</f>
        <v>Other Expense</v>
      </c>
      <c r="G528" s="36" t="n">
        <f aca="false">IF(AND(D528&lt;&gt;"",ISNUMBER(B528),LEFT(D528,9)&lt;&gt;"Total for",D528&lt;&gt;"Gross Profit",D528&lt;&gt;"Net Operating Revenue",D528&lt;&gt;"Net Other Revenue",D528&lt;&gt;"Net Revenue"),1,0)</f>
        <v>0</v>
      </c>
      <c r="H528" s="36" t="str">
        <f aca="false">IF(G528=1,IF(AND(LEN(D528)&gt;7,ISNUMBER(VALUE(LEFT(D528,6))),MID(D528,7,1)=" "),LEFT(D528,6),D528),"")</f>
        <v/>
      </c>
      <c r="I528" s="36" t="str">
        <f aca="false">IF(G528=1,IF(COUNTIF('Forecast Detail'!$C$8:$C$400,H528)=0,"UNMAPPED","OK"),"")</f>
        <v/>
      </c>
    </row>
    <row r="529" customFormat="false" ht="15" hidden="false" customHeight="false" outlineLevel="0" collapsed="false">
      <c r="D529" s="36" t="str">
        <f aca="false">TRIM(A529)</f>
        <v/>
      </c>
      <c r="E529" s="36" t="str">
        <f aca="false">IF(D529="Revenue","Revenue",IF(D529="Cost of Goods Sold","COGS",IF(D529="Expenditures","Expense",IF(D529="Other Revenue","Other Revenue",IF(D529="Other Expenditures","Other Expense",E528)))))</f>
        <v>Other Expense</v>
      </c>
      <c r="F529" s="36" t="str">
        <f aca="false">IF(OR(D529="Revenue",D529="Cost of Goods Sold",D529="Expenditures",D529="Other Revenue",D529="Other Expenditures"),E529,IF(AND(LEN(D529)&gt;2,MID(D529,2,1)=" ",ISNUMBER(VALUE(LEFT(D529,1)))),D529,F528))</f>
        <v>Other Expense</v>
      </c>
      <c r="G529" s="36" t="n">
        <f aca="false">IF(AND(D529&lt;&gt;"",ISNUMBER(B529),LEFT(D529,9)&lt;&gt;"Total for",D529&lt;&gt;"Gross Profit",D529&lt;&gt;"Net Operating Revenue",D529&lt;&gt;"Net Other Revenue",D529&lt;&gt;"Net Revenue"),1,0)</f>
        <v>0</v>
      </c>
      <c r="H529" s="36" t="str">
        <f aca="false">IF(G529=1,IF(AND(LEN(D529)&gt;7,ISNUMBER(VALUE(LEFT(D529,6))),MID(D529,7,1)=" "),LEFT(D529,6),D529),"")</f>
        <v/>
      </c>
      <c r="I529" s="36" t="str">
        <f aca="false">IF(G529=1,IF(COUNTIF('Forecast Detail'!$C$8:$C$400,H529)=0,"UNMAPPED","OK"),"")</f>
        <v/>
      </c>
    </row>
    <row r="530" customFormat="false" ht="15" hidden="false" customHeight="false" outlineLevel="0" collapsed="false">
      <c r="D530" s="36" t="str">
        <f aca="false">TRIM(A530)</f>
        <v/>
      </c>
      <c r="E530" s="36" t="str">
        <f aca="false">IF(D530="Revenue","Revenue",IF(D530="Cost of Goods Sold","COGS",IF(D530="Expenditures","Expense",IF(D530="Other Revenue","Other Revenue",IF(D530="Other Expenditures","Other Expense",E529)))))</f>
        <v>Other Expense</v>
      </c>
      <c r="F530" s="36" t="str">
        <f aca="false">IF(OR(D530="Revenue",D530="Cost of Goods Sold",D530="Expenditures",D530="Other Revenue",D530="Other Expenditures"),E530,IF(AND(LEN(D530)&gt;2,MID(D530,2,1)=" ",ISNUMBER(VALUE(LEFT(D530,1)))),D530,F529))</f>
        <v>Other Expense</v>
      </c>
      <c r="G530" s="36" t="n">
        <f aca="false">IF(AND(D530&lt;&gt;"",ISNUMBER(B530),LEFT(D530,9)&lt;&gt;"Total for",D530&lt;&gt;"Gross Profit",D530&lt;&gt;"Net Operating Revenue",D530&lt;&gt;"Net Other Revenue",D530&lt;&gt;"Net Revenue"),1,0)</f>
        <v>0</v>
      </c>
      <c r="H530" s="36" t="str">
        <f aca="false">IF(G530=1,IF(AND(LEN(D530)&gt;7,ISNUMBER(VALUE(LEFT(D530,6))),MID(D530,7,1)=" "),LEFT(D530,6),D530),"")</f>
        <v/>
      </c>
      <c r="I530" s="36" t="str">
        <f aca="false">IF(G530=1,IF(COUNTIF('Forecast Detail'!$C$8:$C$400,H530)=0,"UNMAPPED","OK"),"")</f>
        <v/>
      </c>
    </row>
    <row r="531" customFormat="false" ht="15" hidden="false" customHeight="false" outlineLevel="0" collapsed="false">
      <c r="D531" s="36" t="str">
        <f aca="false">TRIM(A531)</f>
        <v/>
      </c>
      <c r="E531" s="36" t="str">
        <f aca="false">IF(D531="Revenue","Revenue",IF(D531="Cost of Goods Sold","COGS",IF(D531="Expenditures","Expense",IF(D531="Other Revenue","Other Revenue",IF(D531="Other Expenditures","Other Expense",E530)))))</f>
        <v>Other Expense</v>
      </c>
      <c r="F531" s="36" t="str">
        <f aca="false">IF(OR(D531="Revenue",D531="Cost of Goods Sold",D531="Expenditures",D531="Other Revenue",D531="Other Expenditures"),E531,IF(AND(LEN(D531)&gt;2,MID(D531,2,1)=" ",ISNUMBER(VALUE(LEFT(D531,1)))),D531,F530))</f>
        <v>Other Expense</v>
      </c>
      <c r="G531" s="36" t="n">
        <f aca="false">IF(AND(D531&lt;&gt;"",ISNUMBER(B531),LEFT(D531,9)&lt;&gt;"Total for",D531&lt;&gt;"Gross Profit",D531&lt;&gt;"Net Operating Revenue",D531&lt;&gt;"Net Other Revenue",D531&lt;&gt;"Net Revenue"),1,0)</f>
        <v>0</v>
      </c>
      <c r="H531" s="36" t="str">
        <f aca="false">IF(G531=1,IF(AND(LEN(D531)&gt;7,ISNUMBER(VALUE(LEFT(D531,6))),MID(D531,7,1)=" "),LEFT(D531,6),D531),"")</f>
        <v/>
      </c>
      <c r="I531" s="36" t="str">
        <f aca="false">IF(G531=1,IF(COUNTIF('Forecast Detail'!$C$8:$C$400,H531)=0,"UNMAPPED","OK"),"")</f>
        <v/>
      </c>
    </row>
    <row r="532" customFormat="false" ht="15" hidden="false" customHeight="false" outlineLevel="0" collapsed="false">
      <c r="D532" s="36" t="str">
        <f aca="false">TRIM(A532)</f>
        <v/>
      </c>
      <c r="E532" s="36" t="str">
        <f aca="false">IF(D532="Revenue","Revenue",IF(D532="Cost of Goods Sold","COGS",IF(D532="Expenditures","Expense",IF(D532="Other Revenue","Other Revenue",IF(D532="Other Expenditures","Other Expense",E531)))))</f>
        <v>Other Expense</v>
      </c>
      <c r="F532" s="36" t="str">
        <f aca="false">IF(OR(D532="Revenue",D532="Cost of Goods Sold",D532="Expenditures",D532="Other Revenue",D532="Other Expenditures"),E532,IF(AND(LEN(D532)&gt;2,MID(D532,2,1)=" ",ISNUMBER(VALUE(LEFT(D532,1)))),D532,F531))</f>
        <v>Other Expense</v>
      </c>
      <c r="G532" s="36" t="n">
        <f aca="false">IF(AND(D532&lt;&gt;"",ISNUMBER(B532),LEFT(D532,9)&lt;&gt;"Total for",D532&lt;&gt;"Gross Profit",D532&lt;&gt;"Net Operating Revenue",D532&lt;&gt;"Net Other Revenue",D532&lt;&gt;"Net Revenue"),1,0)</f>
        <v>0</v>
      </c>
      <c r="H532" s="36" t="str">
        <f aca="false">IF(G532=1,IF(AND(LEN(D532)&gt;7,ISNUMBER(VALUE(LEFT(D532,6))),MID(D532,7,1)=" "),LEFT(D532,6),D532),"")</f>
        <v/>
      </c>
      <c r="I532" s="36" t="str">
        <f aca="false">IF(G532=1,IF(COUNTIF('Forecast Detail'!$C$8:$C$400,H532)=0,"UNMAPPED","OK"),"")</f>
        <v/>
      </c>
    </row>
    <row r="533" customFormat="false" ht="15" hidden="false" customHeight="false" outlineLevel="0" collapsed="false">
      <c r="D533" s="36" t="str">
        <f aca="false">TRIM(A533)</f>
        <v/>
      </c>
      <c r="E533" s="36" t="str">
        <f aca="false">IF(D533="Revenue","Revenue",IF(D533="Cost of Goods Sold","COGS",IF(D533="Expenditures","Expense",IF(D533="Other Revenue","Other Revenue",IF(D533="Other Expenditures","Other Expense",E532)))))</f>
        <v>Other Expense</v>
      </c>
      <c r="F533" s="36" t="str">
        <f aca="false">IF(OR(D533="Revenue",D533="Cost of Goods Sold",D533="Expenditures",D533="Other Revenue",D533="Other Expenditures"),E533,IF(AND(LEN(D533)&gt;2,MID(D533,2,1)=" ",ISNUMBER(VALUE(LEFT(D533,1)))),D533,F532))</f>
        <v>Other Expense</v>
      </c>
      <c r="G533" s="36" t="n">
        <f aca="false">IF(AND(D533&lt;&gt;"",ISNUMBER(B533),LEFT(D533,9)&lt;&gt;"Total for",D533&lt;&gt;"Gross Profit",D533&lt;&gt;"Net Operating Revenue",D533&lt;&gt;"Net Other Revenue",D533&lt;&gt;"Net Revenue"),1,0)</f>
        <v>0</v>
      </c>
      <c r="H533" s="36" t="str">
        <f aca="false">IF(G533=1,IF(AND(LEN(D533)&gt;7,ISNUMBER(VALUE(LEFT(D533,6))),MID(D533,7,1)=" "),LEFT(D533,6),D533),"")</f>
        <v/>
      </c>
      <c r="I533" s="36" t="str">
        <f aca="false">IF(G533=1,IF(COUNTIF('Forecast Detail'!$C$8:$C$400,H533)=0,"UNMAPPED","OK"),"")</f>
        <v/>
      </c>
    </row>
    <row r="534" customFormat="false" ht="15" hidden="false" customHeight="false" outlineLevel="0" collapsed="false">
      <c r="D534" s="36" t="str">
        <f aca="false">TRIM(A534)</f>
        <v/>
      </c>
      <c r="E534" s="36" t="str">
        <f aca="false">IF(D534="Revenue","Revenue",IF(D534="Cost of Goods Sold","COGS",IF(D534="Expenditures","Expense",IF(D534="Other Revenue","Other Revenue",IF(D534="Other Expenditures","Other Expense",E533)))))</f>
        <v>Other Expense</v>
      </c>
      <c r="F534" s="36" t="str">
        <f aca="false">IF(OR(D534="Revenue",D534="Cost of Goods Sold",D534="Expenditures",D534="Other Revenue",D534="Other Expenditures"),E534,IF(AND(LEN(D534)&gt;2,MID(D534,2,1)=" ",ISNUMBER(VALUE(LEFT(D534,1)))),D534,F533))</f>
        <v>Other Expense</v>
      </c>
      <c r="G534" s="36" t="n">
        <f aca="false">IF(AND(D534&lt;&gt;"",ISNUMBER(B534),LEFT(D534,9)&lt;&gt;"Total for",D534&lt;&gt;"Gross Profit",D534&lt;&gt;"Net Operating Revenue",D534&lt;&gt;"Net Other Revenue",D534&lt;&gt;"Net Revenue"),1,0)</f>
        <v>0</v>
      </c>
      <c r="H534" s="36" t="str">
        <f aca="false">IF(G534=1,IF(AND(LEN(D534)&gt;7,ISNUMBER(VALUE(LEFT(D534,6))),MID(D534,7,1)=" "),LEFT(D534,6),D534),"")</f>
        <v/>
      </c>
      <c r="I534" s="36" t="str">
        <f aca="false">IF(G534=1,IF(COUNTIF('Forecast Detail'!$C$8:$C$400,H534)=0,"UNMAPPED","OK"),"")</f>
        <v/>
      </c>
    </row>
    <row r="535" customFormat="false" ht="15" hidden="false" customHeight="false" outlineLevel="0" collapsed="false">
      <c r="D535" s="36" t="str">
        <f aca="false">TRIM(A535)</f>
        <v/>
      </c>
      <c r="E535" s="36" t="str">
        <f aca="false">IF(D535="Revenue","Revenue",IF(D535="Cost of Goods Sold","COGS",IF(D535="Expenditures","Expense",IF(D535="Other Revenue","Other Revenue",IF(D535="Other Expenditures","Other Expense",E534)))))</f>
        <v>Other Expense</v>
      </c>
      <c r="F535" s="36" t="str">
        <f aca="false">IF(OR(D535="Revenue",D535="Cost of Goods Sold",D535="Expenditures",D535="Other Revenue",D535="Other Expenditures"),E535,IF(AND(LEN(D535)&gt;2,MID(D535,2,1)=" ",ISNUMBER(VALUE(LEFT(D535,1)))),D535,F534))</f>
        <v>Other Expense</v>
      </c>
      <c r="G535" s="36" t="n">
        <f aca="false">IF(AND(D535&lt;&gt;"",ISNUMBER(B535),LEFT(D535,9)&lt;&gt;"Total for",D535&lt;&gt;"Gross Profit",D535&lt;&gt;"Net Operating Revenue",D535&lt;&gt;"Net Other Revenue",D535&lt;&gt;"Net Revenue"),1,0)</f>
        <v>0</v>
      </c>
      <c r="H535" s="36" t="str">
        <f aca="false">IF(G535=1,IF(AND(LEN(D535)&gt;7,ISNUMBER(VALUE(LEFT(D535,6))),MID(D535,7,1)=" "),LEFT(D535,6),D535),"")</f>
        <v/>
      </c>
      <c r="I535" s="36" t="str">
        <f aca="false">IF(G535=1,IF(COUNTIF('Forecast Detail'!$C$8:$C$400,H535)=0,"UNMAPPED","OK"),"")</f>
        <v/>
      </c>
    </row>
    <row r="536" customFormat="false" ht="15" hidden="false" customHeight="false" outlineLevel="0" collapsed="false">
      <c r="D536" s="36" t="str">
        <f aca="false">TRIM(A536)</f>
        <v/>
      </c>
      <c r="E536" s="36" t="str">
        <f aca="false">IF(D536="Revenue","Revenue",IF(D536="Cost of Goods Sold","COGS",IF(D536="Expenditures","Expense",IF(D536="Other Revenue","Other Revenue",IF(D536="Other Expenditures","Other Expense",E535)))))</f>
        <v>Other Expense</v>
      </c>
      <c r="F536" s="36" t="str">
        <f aca="false">IF(OR(D536="Revenue",D536="Cost of Goods Sold",D536="Expenditures",D536="Other Revenue",D536="Other Expenditures"),E536,IF(AND(LEN(D536)&gt;2,MID(D536,2,1)=" ",ISNUMBER(VALUE(LEFT(D536,1)))),D536,F535))</f>
        <v>Other Expense</v>
      </c>
      <c r="G536" s="36" t="n">
        <f aca="false">IF(AND(D536&lt;&gt;"",ISNUMBER(B536),LEFT(D536,9)&lt;&gt;"Total for",D536&lt;&gt;"Gross Profit",D536&lt;&gt;"Net Operating Revenue",D536&lt;&gt;"Net Other Revenue",D536&lt;&gt;"Net Revenue"),1,0)</f>
        <v>0</v>
      </c>
      <c r="H536" s="36" t="str">
        <f aca="false">IF(G536=1,IF(AND(LEN(D536)&gt;7,ISNUMBER(VALUE(LEFT(D536,6))),MID(D536,7,1)=" "),LEFT(D536,6),D536),"")</f>
        <v/>
      </c>
      <c r="I536" s="36" t="str">
        <f aca="false">IF(G536=1,IF(COUNTIF('Forecast Detail'!$C$8:$C$400,H536)=0,"UNMAPPED","OK"),"")</f>
        <v/>
      </c>
    </row>
    <row r="537" customFormat="false" ht="15" hidden="false" customHeight="false" outlineLevel="0" collapsed="false">
      <c r="D537" s="36" t="str">
        <f aca="false">TRIM(A537)</f>
        <v/>
      </c>
      <c r="E537" s="36" t="str">
        <f aca="false">IF(D537="Revenue","Revenue",IF(D537="Cost of Goods Sold","COGS",IF(D537="Expenditures","Expense",IF(D537="Other Revenue","Other Revenue",IF(D537="Other Expenditures","Other Expense",E536)))))</f>
        <v>Other Expense</v>
      </c>
      <c r="F537" s="36" t="str">
        <f aca="false">IF(OR(D537="Revenue",D537="Cost of Goods Sold",D537="Expenditures",D537="Other Revenue",D537="Other Expenditures"),E537,IF(AND(LEN(D537)&gt;2,MID(D537,2,1)=" ",ISNUMBER(VALUE(LEFT(D537,1)))),D537,F536))</f>
        <v>Other Expense</v>
      </c>
      <c r="G537" s="36" t="n">
        <f aca="false">IF(AND(D537&lt;&gt;"",ISNUMBER(B537),LEFT(D537,9)&lt;&gt;"Total for",D537&lt;&gt;"Gross Profit",D537&lt;&gt;"Net Operating Revenue",D537&lt;&gt;"Net Other Revenue",D537&lt;&gt;"Net Revenue"),1,0)</f>
        <v>0</v>
      </c>
      <c r="H537" s="36" t="str">
        <f aca="false">IF(G537=1,IF(AND(LEN(D537)&gt;7,ISNUMBER(VALUE(LEFT(D537,6))),MID(D537,7,1)=" "),LEFT(D537,6),D537),"")</f>
        <v/>
      </c>
      <c r="I537" s="36" t="str">
        <f aca="false">IF(G537=1,IF(COUNTIF('Forecast Detail'!$C$8:$C$400,H537)=0,"UNMAPPED","OK"),"")</f>
        <v/>
      </c>
    </row>
    <row r="538" customFormat="false" ht="15" hidden="false" customHeight="false" outlineLevel="0" collapsed="false">
      <c r="D538" s="36" t="str">
        <f aca="false">TRIM(A538)</f>
        <v/>
      </c>
      <c r="E538" s="36" t="str">
        <f aca="false">IF(D538="Revenue","Revenue",IF(D538="Cost of Goods Sold","COGS",IF(D538="Expenditures","Expense",IF(D538="Other Revenue","Other Revenue",IF(D538="Other Expenditures","Other Expense",E537)))))</f>
        <v>Other Expense</v>
      </c>
      <c r="F538" s="36" t="str">
        <f aca="false">IF(OR(D538="Revenue",D538="Cost of Goods Sold",D538="Expenditures",D538="Other Revenue",D538="Other Expenditures"),E538,IF(AND(LEN(D538)&gt;2,MID(D538,2,1)=" ",ISNUMBER(VALUE(LEFT(D538,1)))),D538,F537))</f>
        <v>Other Expense</v>
      </c>
      <c r="G538" s="36" t="n">
        <f aca="false">IF(AND(D538&lt;&gt;"",ISNUMBER(B538),LEFT(D538,9)&lt;&gt;"Total for",D538&lt;&gt;"Gross Profit",D538&lt;&gt;"Net Operating Revenue",D538&lt;&gt;"Net Other Revenue",D538&lt;&gt;"Net Revenue"),1,0)</f>
        <v>0</v>
      </c>
      <c r="H538" s="36" t="str">
        <f aca="false">IF(G538=1,IF(AND(LEN(D538)&gt;7,ISNUMBER(VALUE(LEFT(D538,6))),MID(D538,7,1)=" "),LEFT(D538,6),D538),"")</f>
        <v/>
      </c>
      <c r="I538" s="36" t="str">
        <f aca="false">IF(G538=1,IF(COUNTIF('Forecast Detail'!$C$8:$C$400,H538)=0,"UNMAPPED","OK"),"")</f>
        <v/>
      </c>
    </row>
    <row r="539" customFormat="false" ht="15" hidden="false" customHeight="false" outlineLevel="0" collapsed="false">
      <c r="D539" s="36" t="str">
        <f aca="false">TRIM(A539)</f>
        <v/>
      </c>
      <c r="E539" s="36" t="str">
        <f aca="false">IF(D539="Revenue","Revenue",IF(D539="Cost of Goods Sold","COGS",IF(D539="Expenditures","Expense",IF(D539="Other Revenue","Other Revenue",IF(D539="Other Expenditures","Other Expense",E538)))))</f>
        <v>Other Expense</v>
      </c>
      <c r="F539" s="36" t="str">
        <f aca="false">IF(OR(D539="Revenue",D539="Cost of Goods Sold",D539="Expenditures",D539="Other Revenue",D539="Other Expenditures"),E539,IF(AND(LEN(D539)&gt;2,MID(D539,2,1)=" ",ISNUMBER(VALUE(LEFT(D539,1)))),D539,F538))</f>
        <v>Other Expense</v>
      </c>
      <c r="G539" s="36" t="n">
        <f aca="false">IF(AND(D539&lt;&gt;"",ISNUMBER(B539),LEFT(D539,9)&lt;&gt;"Total for",D539&lt;&gt;"Gross Profit",D539&lt;&gt;"Net Operating Revenue",D539&lt;&gt;"Net Other Revenue",D539&lt;&gt;"Net Revenue"),1,0)</f>
        <v>0</v>
      </c>
      <c r="H539" s="36" t="str">
        <f aca="false">IF(G539=1,IF(AND(LEN(D539)&gt;7,ISNUMBER(VALUE(LEFT(D539,6))),MID(D539,7,1)=" "),LEFT(D539,6),D539),"")</f>
        <v/>
      </c>
      <c r="I539" s="36" t="str">
        <f aca="false">IF(G539=1,IF(COUNTIF('Forecast Detail'!$C$8:$C$400,H539)=0,"UNMAPPED","OK"),"")</f>
        <v/>
      </c>
    </row>
    <row r="540" customFormat="false" ht="15" hidden="false" customHeight="false" outlineLevel="0" collapsed="false">
      <c r="D540" s="36" t="str">
        <f aca="false">TRIM(A540)</f>
        <v/>
      </c>
      <c r="E540" s="36" t="str">
        <f aca="false">IF(D540="Revenue","Revenue",IF(D540="Cost of Goods Sold","COGS",IF(D540="Expenditures","Expense",IF(D540="Other Revenue","Other Revenue",IF(D540="Other Expenditures","Other Expense",E539)))))</f>
        <v>Other Expense</v>
      </c>
      <c r="F540" s="36" t="str">
        <f aca="false">IF(OR(D540="Revenue",D540="Cost of Goods Sold",D540="Expenditures",D540="Other Revenue",D540="Other Expenditures"),E540,IF(AND(LEN(D540)&gt;2,MID(D540,2,1)=" ",ISNUMBER(VALUE(LEFT(D540,1)))),D540,F539))</f>
        <v>Other Expense</v>
      </c>
      <c r="G540" s="36" t="n">
        <f aca="false">IF(AND(D540&lt;&gt;"",ISNUMBER(B540),LEFT(D540,9)&lt;&gt;"Total for",D540&lt;&gt;"Gross Profit",D540&lt;&gt;"Net Operating Revenue",D540&lt;&gt;"Net Other Revenue",D540&lt;&gt;"Net Revenue"),1,0)</f>
        <v>0</v>
      </c>
      <c r="H540" s="36" t="str">
        <f aca="false">IF(G540=1,IF(AND(LEN(D540)&gt;7,ISNUMBER(VALUE(LEFT(D540,6))),MID(D540,7,1)=" "),LEFT(D540,6),D540),"")</f>
        <v/>
      </c>
      <c r="I540" s="36" t="str">
        <f aca="false">IF(G540=1,IF(COUNTIF('Forecast Detail'!$C$8:$C$400,H540)=0,"UNMAPPED","OK"),"")</f>
        <v/>
      </c>
    </row>
    <row r="541" customFormat="false" ht="15" hidden="false" customHeight="false" outlineLevel="0" collapsed="false">
      <c r="D541" s="36" t="str">
        <f aca="false">TRIM(A541)</f>
        <v/>
      </c>
      <c r="E541" s="36" t="str">
        <f aca="false">IF(D541="Revenue","Revenue",IF(D541="Cost of Goods Sold","COGS",IF(D541="Expenditures","Expense",IF(D541="Other Revenue","Other Revenue",IF(D541="Other Expenditures","Other Expense",E540)))))</f>
        <v>Other Expense</v>
      </c>
      <c r="F541" s="36" t="str">
        <f aca="false">IF(OR(D541="Revenue",D541="Cost of Goods Sold",D541="Expenditures",D541="Other Revenue",D541="Other Expenditures"),E541,IF(AND(LEN(D541)&gt;2,MID(D541,2,1)=" ",ISNUMBER(VALUE(LEFT(D541,1)))),D541,F540))</f>
        <v>Other Expense</v>
      </c>
      <c r="G541" s="36" t="n">
        <f aca="false">IF(AND(D541&lt;&gt;"",ISNUMBER(B541),LEFT(D541,9)&lt;&gt;"Total for",D541&lt;&gt;"Gross Profit",D541&lt;&gt;"Net Operating Revenue",D541&lt;&gt;"Net Other Revenue",D541&lt;&gt;"Net Revenue"),1,0)</f>
        <v>0</v>
      </c>
      <c r="H541" s="36" t="str">
        <f aca="false">IF(G541=1,IF(AND(LEN(D541)&gt;7,ISNUMBER(VALUE(LEFT(D541,6))),MID(D541,7,1)=" "),LEFT(D541,6),D541),"")</f>
        <v/>
      </c>
      <c r="I541" s="36" t="str">
        <f aca="false">IF(G541=1,IF(COUNTIF('Forecast Detail'!$C$8:$C$400,H541)=0,"UNMAPPED","OK"),"")</f>
        <v/>
      </c>
    </row>
    <row r="542" customFormat="false" ht="15" hidden="false" customHeight="false" outlineLevel="0" collapsed="false">
      <c r="D542" s="36" t="str">
        <f aca="false">TRIM(A542)</f>
        <v/>
      </c>
      <c r="E542" s="36" t="str">
        <f aca="false">IF(D542="Revenue","Revenue",IF(D542="Cost of Goods Sold","COGS",IF(D542="Expenditures","Expense",IF(D542="Other Revenue","Other Revenue",IF(D542="Other Expenditures","Other Expense",E541)))))</f>
        <v>Other Expense</v>
      </c>
      <c r="F542" s="36" t="str">
        <f aca="false">IF(OR(D542="Revenue",D542="Cost of Goods Sold",D542="Expenditures",D542="Other Revenue",D542="Other Expenditures"),E542,IF(AND(LEN(D542)&gt;2,MID(D542,2,1)=" ",ISNUMBER(VALUE(LEFT(D542,1)))),D542,F541))</f>
        <v>Other Expense</v>
      </c>
      <c r="G542" s="36" t="n">
        <f aca="false">IF(AND(D542&lt;&gt;"",ISNUMBER(B542),LEFT(D542,9)&lt;&gt;"Total for",D542&lt;&gt;"Gross Profit",D542&lt;&gt;"Net Operating Revenue",D542&lt;&gt;"Net Other Revenue",D542&lt;&gt;"Net Revenue"),1,0)</f>
        <v>0</v>
      </c>
      <c r="H542" s="36" t="str">
        <f aca="false">IF(G542=1,IF(AND(LEN(D542)&gt;7,ISNUMBER(VALUE(LEFT(D542,6))),MID(D542,7,1)=" "),LEFT(D542,6),D542),"")</f>
        <v/>
      </c>
      <c r="I542" s="36" t="str">
        <f aca="false">IF(G542=1,IF(COUNTIF('Forecast Detail'!$C$8:$C$400,H542)=0,"UNMAPPED","OK"),"")</f>
        <v/>
      </c>
    </row>
    <row r="543" customFormat="false" ht="15" hidden="false" customHeight="false" outlineLevel="0" collapsed="false">
      <c r="D543" s="36" t="str">
        <f aca="false">TRIM(A543)</f>
        <v/>
      </c>
      <c r="E543" s="36" t="str">
        <f aca="false">IF(D543="Revenue","Revenue",IF(D543="Cost of Goods Sold","COGS",IF(D543="Expenditures","Expense",IF(D543="Other Revenue","Other Revenue",IF(D543="Other Expenditures","Other Expense",E542)))))</f>
        <v>Other Expense</v>
      </c>
      <c r="F543" s="36" t="str">
        <f aca="false">IF(OR(D543="Revenue",D543="Cost of Goods Sold",D543="Expenditures",D543="Other Revenue",D543="Other Expenditures"),E543,IF(AND(LEN(D543)&gt;2,MID(D543,2,1)=" ",ISNUMBER(VALUE(LEFT(D543,1)))),D543,F542))</f>
        <v>Other Expense</v>
      </c>
      <c r="G543" s="36" t="n">
        <f aca="false">IF(AND(D543&lt;&gt;"",ISNUMBER(B543),LEFT(D543,9)&lt;&gt;"Total for",D543&lt;&gt;"Gross Profit",D543&lt;&gt;"Net Operating Revenue",D543&lt;&gt;"Net Other Revenue",D543&lt;&gt;"Net Revenue"),1,0)</f>
        <v>0</v>
      </c>
      <c r="H543" s="36" t="str">
        <f aca="false">IF(G543=1,IF(AND(LEN(D543)&gt;7,ISNUMBER(VALUE(LEFT(D543,6))),MID(D543,7,1)=" "),LEFT(D543,6),D543),"")</f>
        <v/>
      </c>
      <c r="I543" s="36" t="str">
        <f aca="false">IF(G543=1,IF(COUNTIF('Forecast Detail'!$C$8:$C$400,H543)=0,"UNMAPPED","OK"),"")</f>
        <v/>
      </c>
    </row>
    <row r="544" customFormat="false" ht="15" hidden="false" customHeight="false" outlineLevel="0" collapsed="false">
      <c r="D544" s="36" t="str">
        <f aca="false">TRIM(A544)</f>
        <v/>
      </c>
      <c r="E544" s="36" t="str">
        <f aca="false">IF(D544="Revenue","Revenue",IF(D544="Cost of Goods Sold","COGS",IF(D544="Expenditures","Expense",IF(D544="Other Revenue","Other Revenue",IF(D544="Other Expenditures","Other Expense",E543)))))</f>
        <v>Other Expense</v>
      </c>
      <c r="F544" s="36" t="str">
        <f aca="false">IF(OR(D544="Revenue",D544="Cost of Goods Sold",D544="Expenditures",D544="Other Revenue",D544="Other Expenditures"),E544,IF(AND(LEN(D544)&gt;2,MID(D544,2,1)=" ",ISNUMBER(VALUE(LEFT(D544,1)))),D544,F543))</f>
        <v>Other Expense</v>
      </c>
      <c r="G544" s="36" t="n">
        <f aca="false">IF(AND(D544&lt;&gt;"",ISNUMBER(B544),LEFT(D544,9)&lt;&gt;"Total for",D544&lt;&gt;"Gross Profit",D544&lt;&gt;"Net Operating Revenue",D544&lt;&gt;"Net Other Revenue",D544&lt;&gt;"Net Revenue"),1,0)</f>
        <v>0</v>
      </c>
      <c r="H544" s="36" t="str">
        <f aca="false">IF(G544=1,IF(AND(LEN(D544)&gt;7,ISNUMBER(VALUE(LEFT(D544,6))),MID(D544,7,1)=" "),LEFT(D544,6),D544),"")</f>
        <v/>
      </c>
      <c r="I544" s="36" t="str">
        <f aca="false">IF(G544=1,IF(COUNTIF('Forecast Detail'!$C$8:$C$400,H544)=0,"UNMAPPED","OK"),"")</f>
        <v/>
      </c>
    </row>
    <row r="545" customFormat="false" ht="15" hidden="false" customHeight="false" outlineLevel="0" collapsed="false">
      <c r="D545" s="36" t="str">
        <f aca="false">TRIM(A545)</f>
        <v/>
      </c>
      <c r="E545" s="36" t="str">
        <f aca="false">IF(D545="Revenue","Revenue",IF(D545="Cost of Goods Sold","COGS",IF(D545="Expenditures","Expense",IF(D545="Other Revenue","Other Revenue",IF(D545="Other Expenditures","Other Expense",E544)))))</f>
        <v>Other Expense</v>
      </c>
      <c r="F545" s="36" t="str">
        <f aca="false">IF(OR(D545="Revenue",D545="Cost of Goods Sold",D545="Expenditures",D545="Other Revenue",D545="Other Expenditures"),E545,IF(AND(LEN(D545)&gt;2,MID(D545,2,1)=" ",ISNUMBER(VALUE(LEFT(D545,1)))),D545,F544))</f>
        <v>Other Expense</v>
      </c>
      <c r="G545" s="36" t="n">
        <f aca="false">IF(AND(D545&lt;&gt;"",ISNUMBER(B545),LEFT(D545,9)&lt;&gt;"Total for",D545&lt;&gt;"Gross Profit",D545&lt;&gt;"Net Operating Revenue",D545&lt;&gt;"Net Other Revenue",D545&lt;&gt;"Net Revenue"),1,0)</f>
        <v>0</v>
      </c>
      <c r="H545" s="36" t="str">
        <f aca="false">IF(G545=1,IF(AND(LEN(D545)&gt;7,ISNUMBER(VALUE(LEFT(D545,6))),MID(D545,7,1)=" "),LEFT(D545,6),D545),"")</f>
        <v/>
      </c>
      <c r="I545" s="36" t="str">
        <f aca="false">IF(G545=1,IF(COUNTIF('Forecast Detail'!$C$8:$C$400,H545)=0,"UNMAPPED","OK"),"")</f>
        <v/>
      </c>
    </row>
    <row r="546" customFormat="false" ht="15" hidden="false" customHeight="false" outlineLevel="0" collapsed="false">
      <c r="D546" s="36" t="str">
        <f aca="false">TRIM(A546)</f>
        <v/>
      </c>
      <c r="E546" s="36" t="str">
        <f aca="false">IF(D546="Revenue","Revenue",IF(D546="Cost of Goods Sold","COGS",IF(D546="Expenditures","Expense",IF(D546="Other Revenue","Other Revenue",IF(D546="Other Expenditures","Other Expense",E545)))))</f>
        <v>Other Expense</v>
      </c>
      <c r="F546" s="36" t="str">
        <f aca="false">IF(OR(D546="Revenue",D546="Cost of Goods Sold",D546="Expenditures",D546="Other Revenue",D546="Other Expenditures"),E546,IF(AND(LEN(D546)&gt;2,MID(D546,2,1)=" ",ISNUMBER(VALUE(LEFT(D546,1)))),D546,F545))</f>
        <v>Other Expense</v>
      </c>
      <c r="G546" s="36" t="n">
        <f aca="false">IF(AND(D546&lt;&gt;"",ISNUMBER(B546),LEFT(D546,9)&lt;&gt;"Total for",D546&lt;&gt;"Gross Profit",D546&lt;&gt;"Net Operating Revenue",D546&lt;&gt;"Net Other Revenue",D546&lt;&gt;"Net Revenue"),1,0)</f>
        <v>0</v>
      </c>
      <c r="H546" s="36" t="str">
        <f aca="false">IF(G546=1,IF(AND(LEN(D546)&gt;7,ISNUMBER(VALUE(LEFT(D546,6))),MID(D546,7,1)=" "),LEFT(D546,6),D546),"")</f>
        <v/>
      </c>
      <c r="I546" s="36" t="str">
        <f aca="false">IF(G546=1,IF(COUNTIF('Forecast Detail'!$C$8:$C$400,H546)=0,"UNMAPPED","OK"),"")</f>
        <v/>
      </c>
    </row>
    <row r="547" customFormat="false" ht="15" hidden="false" customHeight="false" outlineLevel="0" collapsed="false">
      <c r="D547" s="36" t="str">
        <f aca="false">TRIM(A547)</f>
        <v/>
      </c>
      <c r="E547" s="36" t="str">
        <f aca="false">IF(D547="Revenue","Revenue",IF(D547="Cost of Goods Sold","COGS",IF(D547="Expenditures","Expense",IF(D547="Other Revenue","Other Revenue",IF(D547="Other Expenditures","Other Expense",E546)))))</f>
        <v>Other Expense</v>
      </c>
      <c r="F547" s="36" t="str">
        <f aca="false">IF(OR(D547="Revenue",D547="Cost of Goods Sold",D547="Expenditures",D547="Other Revenue",D547="Other Expenditures"),E547,IF(AND(LEN(D547)&gt;2,MID(D547,2,1)=" ",ISNUMBER(VALUE(LEFT(D547,1)))),D547,F546))</f>
        <v>Other Expense</v>
      </c>
      <c r="G547" s="36" t="n">
        <f aca="false">IF(AND(D547&lt;&gt;"",ISNUMBER(B547),LEFT(D547,9)&lt;&gt;"Total for",D547&lt;&gt;"Gross Profit",D547&lt;&gt;"Net Operating Revenue",D547&lt;&gt;"Net Other Revenue",D547&lt;&gt;"Net Revenue"),1,0)</f>
        <v>0</v>
      </c>
      <c r="H547" s="36" t="str">
        <f aca="false">IF(G547=1,IF(AND(LEN(D547)&gt;7,ISNUMBER(VALUE(LEFT(D547,6))),MID(D547,7,1)=" "),LEFT(D547,6),D547),"")</f>
        <v/>
      </c>
      <c r="I547" s="36" t="str">
        <f aca="false">IF(G547=1,IF(COUNTIF('Forecast Detail'!$C$8:$C$400,H547)=0,"UNMAPPED","OK"),"")</f>
        <v/>
      </c>
    </row>
    <row r="548" customFormat="false" ht="15" hidden="false" customHeight="false" outlineLevel="0" collapsed="false">
      <c r="D548" s="36" t="str">
        <f aca="false">TRIM(A548)</f>
        <v/>
      </c>
      <c r="E548" s="36" t="str">
        <f aca="false">IF(D548="Revenue","Revenue",IF(D548="Cost of Goods Sold","COGS",IF(D548="Expenditures","Expense",IF(D548="Other Revenue","Other Revenue",IF(D548="Other Expenditures","Other Expense",E547)))))</f>
        <v>Other Expense</v>
      </c>
      <c r="F548" s="36" t="str">
        <f aca="false">IF(OR(D548="Revenue",D548="Cost of Goods Sold",D548="Expenditures",D548="Other Revenue",D548="Other Expenditures"),E548,IF(AND(LEN(D548)&gt;2,MID(D548,2,1)=" ",ISNUMBER(VALUE(LEFT(D548,1)))),D548,F547))</f>
        <v>Other Expense</v>
      </c>
      <c r="G548" s="36" t="n">
        <f aca="false">IF(AND(D548&lt;&gt;"",ISNUMBER(B548),LEFT(D548,9)&lt;&gt;"Total for",D548&lt;&gt;"Gross Profit",D548&lt;&gt;"Net Operating Revenue",D548&lt;&gt;"Net Other Revenue",D548&lt;&gt;"Net Revenue"),1,0)</f>
        <v>0</v>
      </c>
      <c r="H548" s="36" t="str">
        <f aca="false">IF(G548=1,IF(AND(LEN(D548)&gt;7,ISNUMBER(VALUE(LEFT(D548,6))),MID(D548,7,1)=" "),LEFT(D548,6),D548),"")</f>
        <v/>
      </c>
      <c r="I548" s="36" t="str">
        <f aca="false">IF(G548=1,IF(COUNTIF('Forecast Detail'!$C$8:$C$400,H548)=0,"UNMAPPED","OK"),"")</f>
        <v/>
      </c>
    </row>
    <row r="549" customFormat="false" ht="15" hidden="false" customHeight="false" outlineLevel="0" collapsed="false">
      <c r="D549" s="36" t="str">
        <f aca="false">TRIM(A549)</f>
        <v/>
      </c>
      <c r="E549" s="36" t="str">
        <f aca="false">IF(D549="Revenue","Revenue",IF(D549="Cost of Goods Sold","COGS",IF(D549="Expenditures","Expense",IF(D549="Other Revenue","Other Revenue",IF(D549="Other Expenditures","Other Expense",E548)))))</f>
        <v>Other Expense</v>
      </c>
      <c r="F549" s="36" t="str">
        <f aca="false">IF(OR(D549="Revenue",D549="Cost of Goods Sold",D549="Expenditures",D549="Other Revenue",D549="Other Expenditures"),E549,IF(AND(LEN(D549)&gt;2,MID(D549,2,1)=" ",ISNUMBER(VALUE(LEFT(D549,1)))),D549,F548))</f>
        <v>Other Expense</v>
      </c>
      <c r="G549" s="36" t="n">
        <f aca="false">IF(AND(D549&lt;&gt;"",ISNUMBER(B549),LEFT(D549,9)&lt;&gt;"Total for",D549&lt;&gt;"Gross Profit",D549&lt;&gt;"Net Operating Revenue",D549&lt;&gt;"Net Other Revenue",D549&lt;&gt;"Net Revenue"),1,0)</f>
        <v>0</v>
      </c>
      <c r="H549" s="36" t="str">
        <f aca="false">IF(G549=1,IF(AND(LEN(D549)&gt;7,ISNUMBER(VALUE(LEFT(D549,6))),MID(D549,7,1)=" "),LEFT(D549,6),D549),"")</f>
        <v/>
      </c>
      <c r="I549" s="36" t="str">
        <f aca="false">IF(G549=1,IF(COUNTIF('Forecast Detail'!$C$8:$C$400,H549)=0,"UNMAPPED","OK"),"")</f>
        <v/>
      </c>
    </row>
    <row r="550" customFormat="false" ht="15" hidden="false" customHeight="false" outlineLevel="0" collapsed="false">
      <c r="D550" s="36" t="str">
        <f aca="false">TRIM(A550)</f>
        <v/>
      </c>
      <c r="E550" s="36" t="str">
        <f aca="false">IF(D550="Revenue","Revenue",IF(D550="Cost of Goods Sold","COGS",IF(D550="Expenditures","Expense",IF(D550="Other Revenue","Other Revenue",IF(D550="Other Expenditures","Other Expense",E549)))))</f>
        <v>Other Expense</v>
      </c>
      <c r="F550" s="36" t="str">
        <f aca="false">IF(OR(D550="Revenue",D550="Cost of Goods Sold",D550="Expenditures",D550="Other Revenue",D550="Other Expenditures"),E550,IF(AND(LEN(D550)&gt;2,MID(D550,2,1)=" ",ISNUMBER(VALUE(LEFT(D550,1)))),D550,F549))</f>
        <v>Other Expense</v>
      </c>
      <c r="G550" s="36" t="n">
        <f aca="false">IF(AND(D550&lt;&gt;"",ISNUMBER(B550),LEFT(D550,9)&lt;&gt;"Total for",D550&lt;&gt;"Gross Profit",D550&lt;&gt;"Net Operating Revenue",D550&lt;&gt;"Net Other Revenue",D550&lt;&gt;"Net Revenue"),1,0)</f>
        <v>0</v>
      </c>
      <c r="H550" s="36" t="str">
        <f aca="false">IF(G550=1,IF(AND(LEN(D550)&gt;7,ISNUMBER(VALUE(LEFT(D550,6))),MID(D550,7,1)=" "),LEFT(D550,6),D550),"")</f>
        <v/>
      </c>
      <c r="I550" s="36" t="str">
        <f aca="false">IF(G550=1,IF(COUNTIF('Forecast Detail'!$C$8:$C$400,H550)=0,"UNMAPPED","OK"),"")</f>
        <v/>
      </c>
    </row>
    <row r="551" customFormat="false" ht="15" hidden="false" customHeight="false" outlineLevel="0" collapsed="false">
      <c r="D551" s="36" t="str">
        <f aca="false">TRIM(A551)</f>
        <v/>
      </c>
      <c r="E551" s="36" t="str">
        <f aca="false">IF(D551="Revenue","Revenue",IF(D551="Cost of Goods Sold","COGS",IF(D551="Expenditures","Expense",IF(D551="Other Revenue","Other Revenue",IF(D551="Other Expenditures","Other Expense",E550)))))</f>
        <v>Other Expense</v>
      </c>
      <c r="F551" s="36" t="str">
        <f aca="false">IF(OR(D551="Revenue",D551="Cost of Goods Sold",D551="Expenditures",D551="Other Revenue",D551="Other Expenditures"),E551,IF(AND(LEN(D551)&gt;2,MID(D551,2,1)=" ",ISNUMBER(VALUE(LEFT(D551,1)))),D551,F550))</f>
        <v>Other Expense</v>
      </c>
      <c r="G551" s="36" t="n">
        <f aca="false">IF(AND(D551&lt;&gt;"",ISNUMBER(B551),LEFT(D551,9)&lt;&gt;"Total for",D551&lt;&gt;"Gross Profit",D551&lt;&gt;"Net Operating Revenue",D551&lt;&gt;"Net Other Revenue",D551&lt;&gt;"Net Revenue"),1,0)</f>
        <v>0</v>
      </c>
      <c r="H551" s="36" t="str">
        <f aca="false">IF(G551=1,IF(AND(LEN(D551)&gt;7,ISNUMBER(VALUE(LEFT(D551,6))),MID(D551,7,1)=" "),LEFT(D551,6),D551),"")</f>
        <v/>
      </c>
      <c r="I551" s="36" t="str">
        <f aca="false">IF(G551=1,IF(COUNTIF('Forecast Detail'!$C$8:$C$400,H551)=0,"UNMAPPED","OK"),"")</f>
        <v/>
      </c>
    </row>
    <row r="552" customFormat="false" ht="15" hidden="false" customHeight="false" outlineLevel="0" collapsed="false">
      <c r="D552" s="36" t="str">
        <f aca="false">TRIM(A552)</f>
        <v/>
      </c>
      <c r="E552" s="36" t="str">
        <f aca="false">IF(D552="Revenue","Revenue",IF(D552="Cost of Goods Sold","COGS",IF(D552="Expenditures","Expense",IF(D552="Other Revenue","Other Revenue",IF(D552="Other Expenditures","Other Expense",E551)))))</f>
        <v>Other Expense</v>
      </c>
      <c r="F552" s="36" t="str">
        <f aca="false">IF(OR(D552="Revenue",D552="Cost of Goods Sold",D552="Expenditures",D552="Other Revenue",D552="Other Expenditures"),E552,IF(AND(LEN(D552)&gt;2,MID(D552,2,1)=" ",ISNUMBER(VALUE(LEFT(D552,1)))),D552,F551))</f>
        <v>Other Expense</v>
      </c>
      <c r="G552" s="36" t="n">
        <f aca="false">IF(AND(D552&lt;&gt;"",ISNUMBER(B552),LEFT(D552,9)&lt;&gt;"Total for",D552&lt;&gt;"Gross Profit",D552&lt;&gt;"Net Operating Revenue",D552&lt;&gt;"Net Other Revenue",D552&lt;&gt;"Net Revenue"),1,0)</f>
        <v>0</v>
      </c>
      <c r="H552" s="36" t="str">
        <f aca="false">IF(G552=1,IF(AND(LEN(D552)&gt;7,ISNUMBER(VALUE(LEFT(D552,6))),MID(D552,7,1)=" "),LEFT(D552,6),D552),"")</f>
        <v/>
      </c>
      <c r="I552" s="36" t="str">
        <f aca="false">IF(G552=1,IF(COUNTIF('Forecast Detail'!$C$8:$C$400,H552)=0,"UNMAPPED","OK"),"")</f>
        <v/>
      </c>
    </row>
    <row r="553" customFormat="false" ht="15" hidden="false" customHeight="false" outlineLevel="0" collapsed="false">
      <c r="D553" s="36" t="str">
        <f aca="false">TRIM(A553)</f>
        <v/>
      </c>
      <c r="E553" s="36" t="str">
        <f aca="false">IF(D553="Revenue","Revenue",IF(D553="Cost of Goods Sold","COGS",IF(D553="Expenditures","Expense",IF(D553="Other Revenue","Other Revenue",IF(D553="Other Expenditures","Other Expense",E552)))))</f>
        <v>Other Expense</v>
      </c>
      <c r="F553" s="36" t="str">
        <f aca="false">IF(OR(D553="Revenue",D553="Cost of Goods Sold",D553="Expenditures",D553="Other Revenue",D553="Other Expenditures"),E553,IF(AND(LEN(D553)&gt;2,MID(D553,2,1)=" ",ISNUMBER(VALUE(LEFT(D553,1)))),D553,F552))</f>
        <v>Other Expense</v>
      </c>
      <c r="G553" s="36" t="n">
        <f aca="false">IF(AND(D553&lt;&gt;"",ISNUMBER(B553),LEFT(D553,9)&lt;&gt;"Total for",D553&lt;&gt;"Gross Profit",D553&lt;&gt;"Net Operating Revenue",D553&lt;&gt;"Net Other Revenue",D553&lt;&gt;"Net Revenue"),1,0)</f>
        <v>0</v>
      </c>
      <c r="H553" s="36" t="str">
        <f aca="false">IF(G553=1,IF(AND(LEN(D553)&gt;7,ISNUMBER(VALUE(LEFT(D553,6))),MID(D553,7,1)=" "),LEFT(D553,6),D553),"")</f>
        <v/>
      </c>
      <c r="I553" s="36" t="str">
        <f aca="false">IF(G553=1,IF(COUNTIF('Forecast Detail'!$C$8:$C$400,H553)=0,"UNMAPPED","OK"),"")</f>
        <v/>
      </c>
    </row>
    <row r="554" customFormat="false" ht="15" hidden="false" customHeight="false" outlineLevel="0" collapsed="false">
      <c r="D554" s="36" t="str">
        <f aca="false">TRIM(A554)</f>
        <v/>
      </c>
      <c r="E554" s="36" t="str">
        <f aca="false">IF(D554="Revenue","Revenue",IF(D554="Cost of Goods Sold","COGS",IF(D554="Expenditures","Expense",IF(D554="Other Revenue","Other Revenue",IF(D554="Other Expenditures","Other Expense",E553)))))</f>
        <v>Other Expense</v>
      </c>
      <c r="F554" s="36" t="str">
        <f aca="false">IF(OR(D554="Revenue",D554="Cost of Goods Sold",D554="Expenditures",D554="Other Revenue",D554="Other Expenditures"),E554,IF(AND(LEN(D554)&gt;2,MID(D554,2,1)=" ",ISNUMBER(VALUE(LEFT(D554,1)))),D554,F553))</f>
        <v>Other Expense</v>
      </c>
      <c r="G554" s="36" t="n">
        <f aca="false">IF(AND(D554&lt;&gt;"",ISNUMBER(B554),LEFT(D554,9)&lt;&gt;"Total for",D554&lt;&gt;"Gross Profit",D554&lt;&gt;"Net Operating Revenue",D554&lt;&gt;"Net Other Revenue",D554&lt;&gt;"Net Revenue"),1,0)</f>
        <v>0</v>
      </c>
      <c r="H554" s="36" t="str">
        <f aca="false">IF(G554=1,IF(AND(LEN(D554)&gt;7,ISNUMBER(VALUE(LEFT(D554,6))),MID(D554,7,1)=" "),LEFT(D554,6),D554),"")</f>
        <v/>
      </c>
      <c r="I554" s="36" t="str">
        <f aca="false">IF(G554=1,IF(COUNTIF('Forecast Detail'!$C$8:$C$400,H554)=0,"UNMAPPED","OK"),"")</f>
        <v/>
      </c>
    </row>
    <row r="555" customFormat="false" ht="15" hidden="false" customHeight="false" outlineLevel="0" collapsed="false">
      <c r="D555" s="36" t="str">
        <f aca="false">TRIM(A555)</f>
        <v/>
      </c>
      <c r="E555" s="36" t="str">
        <f aca="false">IF(D555="Revenue","Revenue",IF(D555="Cost of Goods Sold","COGS",IF(D555="Expenditures","Expense",IF(D555="Other Revenue","Other Revenue",IF(D555="Other Expenditures","Other Expense",E554)))))</f>
        <v>Other Expense</v>
      </c>
      <c r="F555" s="36" t="str">
        <f aca="false">IF(OR(D555="Revenue",D555="Cost of Goods Sold",D555="Expenditures",D555="Other Revenue",D555="Other Expenditures"),E555,IF(AND(LEN(D555)&gt;2,MID(D555,2,1)=" ",ISNUMBER(VALUE(LEFT(D555,1)))),D555,F554))</f>
        <v>Other Expense</v>
      </c>
      <c r="G555" s="36" t="n">
        <f aca="false">IF(AND(D555&lt;&gt;"",ISNUMBER(B555),LEFT(D555,9)&lt;&gt;"Total for",D555&lt;&gt;"Gross Profit",D555&lt;&gt;"Net Operating Revenue",D555&lt;&gt;"Net Other Revenue",D555&lt;&gt;"Net Revenue"),1,0)</f>
        <v>0</v>
      </c>
      <c r="H555" s="36" t="str">
        <f aca="false">IF(G555=1,IF(AND(LEN(D555)&gt;7,ISNUMBER(VALUE(LEFT(D555,6))),MID(D555,7,1)=" "),LEFT(D555,6),D555),"")</f>
        <v/>
      </c>
      <c r="I555" s="36" t="str">
        <f aca="false">IF(G555=1,IF(COUNTIF('Forecast Detail'!$C$8:$C$400,H555)=0,"UNMAPPED","OK"),"")</f>
        <v/>
      </c>
    </row>
    <row r="556" customFormat="false" ht="15" hidden="false" customHeight="false" outlineLevel="0" collapsed="false">
      <c r="D556" s="36" t="str">
        <f aca="false">TRIM(A556)</f>
        <v/>
      </c>
      <c r="E556" s="36" t="str">
        <f aca="false">IF(D556="Revenue","Revenue",IF(D556="Cost of Goods Sold","COGS",IF(D556="Expenditures","Expense",IF(D556="Other Revenue","Other Revenue",IF(D556="Other Expenditures","Other Expense",E555)))))</f>
        <v>Other Expense</v>
      </c>
      <c r="F556" s="36" t="str">
        <f aca="false">IF(OR(D556="Revenue",D556="Cost of Goods Sold",D556="Expenditures",D556="Other Revenue",D556="Other Expenditures"),E556,IF(AND(LEN(D556)&gt;2,MID(D556,2,1)=" ",ISNUMBER(VALUE(LEFT(D556,1)))),D556,F555))</f>
        <v>Other Expense</v>
      </c>
      <c r="G556" s="36" t="n">
        <f aca="false">IF(AND(D556&lt;&gt;"",ISNUMBER(B556),LEFT(D556,9)&lt;&gt;"Total for",D556&lt;&gt;"Gross Profit",D556&lt;&gt;"Net Operating Revenue",D556&lt;&gt;"Net Other Revenue",D556&lt;&gt;"Net Revenue"),1,0)</f>
        <v>0</v>
      </c>
      <c r="H556" s="36" t="str">
        <f aca="false">IF(G556=1,IF(AND(LEN(D556)&gt;7,ISNUMBER(VALUE(LEFT(D556,6))),MID(D556,7,1)=" "),LEFT(D556,6),D556),"")</f>
        <v/>
      </c>
      <c r="I556" s="36" t="str">
        <f aca="false">IF(G556=1,IF(COUNTIF('Forecast Detail'!$C$8:$C$400,H556)=0,"UNMAPPED","OK"),"")</f>
        <v/>
      </c>
    </row>
    <row r="557" customFormat="false" ht="15" hidden="false" customHeight="false" outlineLevel="0" collapsed="false">
      <c r="D557" s="36" t="str">
        <f aca="false">TRIM(A557)</f>
        <v/>
      </c>
      <c r="E557" s="36" t="str">
        <f aca="false">IF(D557="Revenue","Revenue",IF(D557="Cost of Goods Sold","COGS",IF(D557="Expenditures","Expense",IF(D557="Other Revenue","Other Revenue",IF(D557="Other Expenditures","Other Expense",E556)))))</f>
        <v>Other Expense</v>
      </c>
      <c r="F557" s="36" t="str">
        <f aca="false">IF(OR(D557="Revenue",D557="Cost of Goods Sold",D557="Expenditures",D557="Other Revenue",D557="Other Expenditures"),E557,IF(AND(LEN(D557)&gt;2,MID(D557,2,1)=" ",ISNUMBER(VALUE(LEFT(D557,1)))),D557,F556))</f>
        <v>Other Expense</v>
      </c>
      <c r="G557" s="36" t="n">
        <f aca="false">IF(AND(D557&lt;&gt;"",ISNUMBER(B557),LEFT(D557,9)&lt;&gt;"Total for",D557&lt;&gt;"Gross Profit",D557&lt;&gt;"Net Operating Revenue",D557&lt;&gt;"Net Other Revenue",D557&lt;&gt;"Net Revenue"),1,0)</f>
        <v>0</v>
      </c>
      <c r="H557" s="36" t="str">
        <f aca="false">IF(G557=1,IF(AND(LEN(D557)&gt;7,ISNUMBER(VALUE(LEFT(D557,6))),MID(D557,7,1)=" "),LEFT(D557,6),D557),"")</f>
        <v/>
      </c>
      <c r="I557" s="36" t="str">
        <f aca="false">IF(G557=1,IF(COUNTIF('Forecast Detail'!$C$8:$C$400,H557)=0,"UNMAPPED","OK"),"")</f>
        <v/>
      </c>
    </row>
    <row r="558" customFormat="false" ht="15" hidden="false" customHeight="false" outlineLevel="0" collapsed="false">
      <c r="D558" s="36" t="str">
        <f aca="false">TRIM(A558)</f>
        <v/>
      </c>
      <c r="E558" s="36" t="str">
        <f aca="false">IF(D558="Revenue","Revenue",IF(D558="Cost of Goods Sold","COGS",IF(D558="Expenditures","Expense",IF(D558="Other Revenue","Other Revenue",IF(D558="Other Expenditures","Other Expense",E557)))))</f>
        <v>Other Expense</v>
      </c>
      <c r="F558" s="36" t="str">
        <f aca="false">IF(OR(D558="Revenue",D558="Cost of Goods Sold",D558="Expenditures",D558="Other Revenue",D558="Other Expenditures"),E558,IF(AND(LEN(D558)&gt;2,MID(D558,2,1)=" ",ISNUMBER(VALUE(LEFT(D558,1)))),D558,F557))</f>
        <v>Other Expense</v>
      </c>
      <c r="G558" s="36" t="n">
        <f aca="false">IF(AND(D558&lt;&gt;"",ISNUMBER(B558),LEFT(D558,9)&lt;&gt;"Total for",D558&lt;&gt;"Gross Profit",D558&lt;&gt;"Net Operating Revenue",D558&lt;&gt;"Net Other Revenue",D558&lt;&gt;"Net Revenue"),1,0)</f>
        <v>0</v>
      </c>
      <c r="H558" s="36" t="str">
        <f aca="false">IF(G558=1,IF(AND(LEN(D558)&gt;7,ISNUMBER(VALUE(LEFT(D558,6))),MID(D558,7,1)=" "),LEFT(D558,6),D558),"")</f>
        <v/>
      </c>
      <c r="I558" s="36" t="str">
        <f aca="false">IF(G558=1,IF(COUNTIF('Forecast Detail'!$C$8:$C$400,H558)=0,"UNMAPPED","OK"),"")</f>
        <v/>
      </c>
    </row>
    <row r="559" customFormat="false" ht="15" hidden="false" customHeight="false" outlineLevel="0" collapsed="false">
      <c r="D559" s="36" t="str">
        <f aca="false">TRIM(A559)</f>
        <v/>
      </c>
      <c r="E559" s="36" t="str">
        <f aca="false">IF(D559="Revenue","Revenue",IF(D559="Cost of Goods Sold","COGS",IF(D559="Expenditures","Expense",IF(D559="Other Revenue","Other Revenue",IF(D559="Other Expenditures","Other Expense",E558)))))</f>
        <v>Other Expense</v>
      </c>
      <c r="F559" s="36" t="str">
        <f aca="false">IF(OR(D559="Revenue",D559="Cost of Goods Sold",D559="Expenditures",D559="Other Revenue",D559="Other Expenditures"),E559,IF(AND(LEN(D559)&gt;2,MID(D559,2,1)=" ",ISNUMBER(VALUE(LEFT(D559,1)))),D559,F558))</f>
        <v>Other Expense</v>
      </c>
      <c r="G559" s="36" t="n">
        <f aca="false">IF(AND(D559&lt;&gt;"",ISNUMBER(B559),LEFT(D559,9)&lt;&gt;"Total for",D559&lt;&gt;"Gross Profit",D559&lt;&gt;"Net Operating Revenue",D559&lt;&gt;"Net Other Revenue",D559&lt;&gt;"Net Revenue"),1,0)</f>
        <v>0</v>
      </c>
      <c r="H559" s="36" t="str">
        <f aca="false">IF(G559=1,IF(AND(LEN(D559)&gt;7,ISNUMBER(VALUE(LEFT(D559,6))),MID(D559,7,1)=" "),LEFT(D559,6),D559),"")</f>
        <v/>
      </c>
      <c r="I559" s="36" t="str">
        <f aca="false">IF(G559=1,IF(COUNTIF('Forecast Detail'!$C$8:$C$400,H559)=0,"UNMAPPED","OK"),"")</f>
        <v/>
      </c>
    </row>
    <row r="560" customFormat="false" ht="15" hidden="false" customHeight="false" outlineLevel="0" collapsed="false">
      <c r="D560" s="36" t="str">
        <f aca="false">TRIM(A560)</f>
        <v/>
      </c>
      <c r="E560" s="36" t="str">
        <f aca="false">IF(D560="Revenue","Revenue",IF(D560="Cost of Goods Sold","COGS",IF(D560="Expenditures","Expense",IF(D560="Other Revenue","Other Revenue",IF(D560="Other Expenditures","Other Expense",E559)))))</f>
        <v>Other Expense</v>
      </c>
      <c r="F560" s="36" t="str">
        <f aca="false">IF(OR(D560="Revenue",D560="Cost of Goods Sold",D560="Expenditures",D560="Other Revenue",D560="Other Expenditures"),E560,IF(AND(LEN(D560)&gt;2,MID(D560,2,1)=" ",ISNUMBER(VALUE(LEFT(D560,1)))),D560,F559))</f>
        <v>Other Expense</v>
      </c>
      <c r="G560" s="36" t="n">
        <f aca="false">IF(AND(D560&lt;&gt;"",ISNUMBER(B560),LEFT(D560,9)&lt;&gt;"Total for",D560&lt;&gt;"Gross Profit",D560&lt;&gt;"Net Operating Revenue",D560&lt;&gt;"Net Other Revenue",D560&lt;&gt;"Net Revenue"),1,0)</f>
        <v>0</v>
      </c>
      <c r="H560" s="36" t="str">
        <f aca="false">IF(G560=1,IF(AND(LEN(D560)&gt;7,ISNUMBER(VALUE(LEFT(D560,6))),MID(D560,7,1)=" "),LEFT(D560,6),D560),"")</f>
        <v/>
      </c>
      <c r="I560" s="36" t="str">
        <f aca="false">IF(G560=1,IF(COUNTIF('Forecast Detail'!$C$8:$C$400,H560)=0,"UNMAPPED","OK"),"")</f>
        <v/>
      </c>
    </row>
    <row r="561" customFormat="false" ht="15" hidden="false" customHeight="false" outlineLevel="0" collapsed="false">
      <c r="D561" s="36" t="str">
        <f aca="false">TRIM(A561)</f>
        <v/>
      </c>
      <c r="E561" s="36" t="str">
        <f aca="false">IF(D561="Revenue","Revenue",IF(D561="Cost of Goods Sold","COGS",IF(D561="Expenditures","Expense",IF(D561="Other Revenue","Other Revenue",IF(D561="Other Expenditures","Other Expense",E560)))))</f>
        <v>Other Expense</v>
      </c>
      <c r="F561" s="36" t="str">
        <f aca="false">IF(OR(D561="Revenue",D561="Cost of Goods Sold",D561="Expenditures",D561="Other Revenue",D561="Other Expenditures"),E561,IF(AND(LEN(D561)&gt;2,MID(D561,2,1)=" ",ISNUMBER(VALUE(LEFT(D561,1)))),D561,F560))</f>
        <v>Other Expense</v>
      </c>
      <c r="G561" s="36" t="n">
        <f aca="false">IF(AND(D561&lt;&gt;"",ISNUMBER(B561),LEFT(D561,9)&lt;&gt;"Total for",D561&lt;&gt;"Gross Profit",D561&lt;&gt;"Net Operating Revenue",D561&lt;&gt;"Net Other Revenue",D561&lt;&gt;"Net Revenue"),1,0)</f>
        <v>0</v>
      </c>
      <c r="H561" s="36" t="str">
        <f aca="false">IF(G561=1,IF(AND(LEN(D561)&gt;7,ISNUMBER(VALUE(LEFT(D561,6))),MID(D561,7,1)=" "),LEFT(D561,6),D561),"")</f>
        <v/>
      </c>
      <c r="I561" s="36" t="str">
        <f aca="false">IF(G561=1,IF(COUNTIF('Forecast Detail'!$C$8:$C$400,H561)=0,"UNMAPPED","OK"),"")</f>
        <v/>
      </c>
    </row>
    <row r="562" customFormat="false" ht="15" hidden="false" customHeight="false" outlineLevel="0" collapsed="false">
      <c r="D562" s="36" t="str">
        <f aca="false">TRIM(A562)</f>
        <v/>
      </c>
      <c r="E562" s="36" t="str">
        <f aca="false">IF(D562="Revenue","Revenue",IF(D562="Cost of Goods Sold","COGS",IF(D562="Expenditures","Expense",IF(D562="Other Revenue","Other Revenue",IF(D562="Other Expenditures","Other Expense",E561)))))</f>
        <v>Other Expense</v>
      </c>
      <c r="F562" s="36" t="str">
        <f aca="false">IF(OR(D562="Revenue",D562="Cost of Goods Sold",D562="Expenditures",D562="Other Revenue",D562="Other Expenditures"),E562,IF(AND(LEN(D562)&gt;2,MID(D562,2,1)=" ",ISNUMBER(VALUE(LEFT(D562,1)))),D562,F561))</f>
        <v>Other Expense</v>
      </c>
      <c r="G562" s="36" t="n">
        <f aca="false">IF(AND(D562&lt;&gt;"",ISNUMBER(B562),LEFT(D562,9)&lt;&gt;"Total for",D562&lt;&gt;"Gross Profit",D562&lt;&gt;"Net Operating Revenue",D562&lt;&gt;"Net Other Revenue",D562&lt;&gt;"Net Revenue"),1,0)</f>
        <v>0</v>
      </c>
      <c r="H562" s="36" t="str">
        <f aca="false">IF(G562=1,IF(AND(LEN(D562)&gt;7,ISNUMBER(VALUE(LEFT(D562,6))),MID(D562,7,1)=" "),LEFT(D562,6),D562),"")</f>
        <v/>
      </c>
      <c r="I562" s="36" t="str">
        <f aca="false">IF(G562=1,IF(COUNTIF('Forecast Detail'!$C$8:$C$400,H562)=0,"UNMAPPED","OK"),"")</f>
        <v/>
      </c>
    </row>
    <row r="563" customFormat="false" ht="15" hidden="false" customHeight="false" outlineLevel="0" collapsed="false">
      <c r="D563" s="36" t="str">
        <f aca="false">TRIM(A563)</f>
        <v/>
      </c>
      <c r="E563" s="36" t="str">
        <f aca="false">IF(D563="Revenue","Revenue",IF(D563="Cost of Goods Sold","COGS",IF(D563="Expenditures","Expense",IF(D563="Other Revenue","Other Revenue",IF(D563="Other Expenditures","Other Expense",E562)))))</f>
        <v>Other Expense</v>
      </c>
      <c r="F563" s="36" t="str">
        <f aca="false">IF(OR(D563="Revenue",D563="Cost of Goods Sold",D563="Expenditures",D563="Other Revenue",D563="Other Expenditures"),E563,IF(AND(LEN(D563)&gt;2,MID(D563,2,1)=" ",ISNUMBER(VALUE(LEFT(D563,1)))),D563,F562))</f>
        <v>Other Expense</v>
      </c>
      <c r="G563" s="36" t="n">
        <f aca="false">IF(AND(D563&lt;&gt;"",ISNUMBER(B563),LEFT(D563,9)&lt;&gt;"Total for",D563&lt;&gt;"Gross Profit",D563&lt;&gt;"Net Operating Revenue",D563&lt;&gt;"Net Other Revenue",D563&lt;&gt;"Net Revenue"),1,0)</f>
        <v>0</v>
      </c>
      <c r="H563" s="36" t="str">
        <f aca="false">IF(G563=1,IF(AND(LEN(D563)&gt;7,ISNUMBER(VALUE(LEFT(D563,6))),MID(D563,7,1)=" "),LEFT(D563,6),D563),"")</f>
        <v/>
      </c>
      <c r="I563" s="36" t="str">
        <f aca="false">IF(G563=1,IF(COUNTIF('Forecast Detail'!$C$8:$C$400,H563)=0,"UNMAPPED","OK"),"")</f>
        <v/>
      </c>
    </row>
    <row r="564" customFormat="false" ht="15" hidden="false" customHeight="false" outlineLevel="0" collapsed="false">
      <c r="D564" s="36" t="str">
        <f aca="false">TRIM(A564)</f>
        <v/>
      </c>
      <c r="E564" s="36" t="str">
        <f aca="false">IF(D564="Revenue","Revenue",IF(D564="Cost of Goods Sold","COGS",IF(D564="Expenditures","Expense",IF(D564="Other Revenue","Other Revenue",IF(D564="Other Expenditures","Other Expense",E563)))))</f>
        <v>Other Expense</v>
      </c>
      <c r="F564" s="36" t="str">
        <f aca="false">IF(OR(D564="Revenue",D564="Cost of Goods Sold",D564="Expenditures",D564="Other Revenue",D564="Other Expenditures"),E564,IF(AND(LEN(D564)&gt;2,MID(D564,2,1)=" ",ISNUMBER(VALUE(LEFT(D564,1)))),D564,F563))</f>
        <v>Other Expense</v>
      </c>
      <c r="G564" s="36" t="n">
        <f aca="false">IF(AND(D564&lt;&gt;"",ISNUMBER(B564),LEFT(D564,9)&lt;&gt;"Total for",D564&lt;&gt;"Gross Profit",D564&lt;&gt;"Net Operating Revenue",D564&lt;&gt;"Net Other Revenue",D564&lt;&gt;"Net Revenue"),1,0)</f>
        <v>0</v>
      </c>
      <c r="H564" s="36" t="str">
        <f aca="false">IF(G564=1,IF(AND(LEN(D564)&gt;7,ISNUMBER(VALUE(LEFT(D564,6))),MID(D564,7,1)=" "),LEFT(D564,6),D564),"")</f>
        <v/>
      </c>
      <c r="I564" s="36" t="str">
        <f aca="false">IF(G564=1,IF(COUNTIF('Forecast Detail'!$C$8:$C$400,H564)=0,"UNMAPPED","OK"),"")</f>
        <v/>
      </c>
    </row>
    <row r="565" customFormat="false" ht="15" hidden="false" customHeight="false" outlineLevel="0" collapsed="false">
      <c r="D565" s="36" t="str">
        <f aca="false">TRIM(A565)</f>
        <v/>
      </c>
      <c r="E565" s="36" t="str">
        <f aca="false">IF(D565="Revenue","Revenue",IF(D565="Cost of Goods Sold","COGS",IF(D565="Expenditures","Expense",IF(D565="Other Revenue","Other Revenue",IF(D565="Other Expenditures","Other Expense",E564)))))</f>
        <v>Other Expense</v>
      </c>
      <c r="F565" s="36" t="str">
        <f aca="false">IF(OR(D565="Revenue",D565="Cost of Goods Sold",D565="Expenditures",D565="Other Revenue",D565="Other Expenditures"),E565,IF(AND(LEN(D565)&gt;2,MID(D565,2,1)=" ",ISNUMBER(VALUE(LEFT(D565,1)))),D565,F564))</f>
        <v>Other Expense</v>
      </c>
      <c r="G565" s="36" t="n">
        <f aca="false">IF(AND(D565&lt;&gt;"",ISNUMBER(B565),LEFT(D565,9)&lt;&gt;"Total for",D565&lt;&gt;"Gross Profit",D565&lt;&gt;"Net Operating Revenue",D565&lt;&gt;"Net Other Revenue",D565&lt;&gt;"Net Revenue"),1,0)</f>
        <v>0</v>
      </c>
      <c r="H565" s="36" t="str">
        <f aca="false">IF(G565=1,IF(AND(LEN(D565)&gt;7,ISNUMBER(VALUE(LEFT(D565,6))),MID(D565,7,1)=" "),LEFT(D565,6),D565),"")</f>
        <v/>
      </c>
      <c r="I565" s="36" t="str">
        <f aca="false">IF(G565=1,IF(COUNTIF('Forecast Detail'!$C$8:$C$400,H565)=0,"UNMAPPED","OK"),"")</f>
        <v/>
      </c>
    </row>
    <row r="566" customFormat="false" ht="15" hidden="false" customHeight="false" outlineLevel="0" collapsed="false">
      <c r="D566" s="36" t="str">
        <f aca="false">TRIM(A566)</f>
        <v/>
      </c>
      <c r="E566" s="36" t="str">
        <f aca="false">IF(D566="Revenue","Revenue",IF(D566="Cost of Goods Sold","COGS",IF(D566="Expenditures","Expense",IF(D566="Other Revenue","Other Revenue",IF(D566="Other Expenditures","Other Expense",E565)))))</f>
        <v>Other Expense</v>
      </c>
      <c r="F566" s="36" t="str">
        <f aca="false">IF(OR(D566="Revenue",D566="Cost of Goods Sold",D566="Expenditures",D566="Other Revenue",D566="Other Expenditures"),E566,IF(AND(LEN(D566)&gt;2,MID(D566,2,1)=" ",ISNUMBER(VALUE(LEFT(D566,1)))),D566,F565))</f>
        <v>Other Expense</v>
      </c>
      <c r="G566" s="36" t="n">
        <f aca="false">IF(AND(D566&lt;&gt;"",ISNUMBER(B566),LEFT(D566,9)&lt;&gt;"Total for",D566&lt;&gt;"Gross Profit",D566&lt;&gt;"Net Operating Revenue",D566&lt;&gt;"Net Other Revenue",D566&lt;&gt;"Net Revenue"),1,0)</f>
        <v>0</v>
      </c>
      <c r="H566" s="36" t="str">
        <f aca="false">IF(G566=1,IF(AND(LEN(D566)&gt;7,ISNUMBER(VALUE(LEFT(D566,6))),MID(D566,7,1)=" "),LEFT(D566,6),D566),"")</f>
        <v/>
      </c>
      <c r="I566" s="36" t="str">
        <f aca="false">IF(G566=1,IF(COUNTIF('Forecast Detail'!$C$8:$C$400,H566)=0,"UNMAPPED","OK"),"")</f>
        <v/>
      </c>
    </row>
    <row r="567" customFormat="false" ht="15" hidden="false" customHeight="false" outlineLevel="0" collapsed="false">
      <c r="D567" s="36" t="str">
        <f aca="false">TRIM(A567)</f>
        <v/>
      </c>
      <c r="E567" s="36" t="str">
        <f aca="false">IF(D567="Revenue","Revenue",IF(D567="Cost of Goods Sold","COGS",IF(D567="Expenditures","Expense",IF(D567="Other Revenue","Other Revenue",IF(D567="Other Expenditures","Other Expense",E566)))))</f>
        <v>Other Expense</v>
      </c>
      <c r="F567" s="36" t="str">
        <f aca="false">IF(OR(D567="Revenue",D567="Cost of Goods Sold",D567="Expenditures",D567="Other Revenue",D567="Other Expenditures"),E567,IF(AND(LEN(D567)&gt;2,MID(D567,2,1)=" ",ISNUMBER(VALUE(LEFT(D567,1)))),D567,F566))</f>
        <v>Other Expense</v>
      </c>
      <c r="G567" s="36" t="n">
        <f aca="false">IF(AND(D567&lt;&gt;"",ISNUMBER(B567),LEFT(D567,9)&lt;&gt;"Total for",D567&lt;&gt;"Gross Profit",D567&lt;&gt;"Net Operating Revenue",D567&lt;&gt;"Net Other Revenue",D567&lt;&gt;"Net Revenue"),1,0)</f>
        <v>0</v>
      </c>
      <c r="H567" s="36" t="str">
        <f aca="false">IF(G567=1,IF(AND(LEN(D567)&gt;7,ISNUMBER(VALUE(LEFT(D567,6))),MID(D567,7,1)=" "),LEFT(D567,6),D567),"")</f>
        <v/>
      </c>
      <c r="I567" s="36" t="str">
        <f aca="false">IF(G567=1,IF(COUNTIF('Forecast Detail'!$C$8:$C$400,H567)=0,"UNMAPPED","OK"),"")</f>
        <v/>
      </c>
    </row>
    <row r="568" customFormat="false" ht="15" hidden="false" customHeight="false" outlineLevel="0" collapsed="false">
      <c r="D568" s="36" t="str">
        <f aca="false">TRIM(A568)</f>
        <v/>
      </c>
      <c r="E568" s="36" t="str">
        <f aca="false">IF(D568="Revenue","Revenue",IF(D568="Cost of Goods Sold","COGS",IF(D568="Expenditures","Expense",IF(D568="Other Revenue","Other Revenue",IF(D568="Other Expenditures","Other Expense",E567)))))</f>
        <v>Other Expense</v>
      </c>
      <c r="F568" s="36" t="str">
        <f aca="false">IF(OR(D568="Revenue",D568="Cost of Goods Sold",D568="Expenditures",D568="Other Revenue",D568="Other Expenditures"),E568,IF(AND(LEN(D568)&gt;2,MID(D568,2,1)=" ",ISNUMBER(VALUE(LEFT(D568,1)))),D568,F567))</f>
        <v>Other Expense</v>
      </c>
      <c r="G568" s="36" t="n">
        <f aca="false">IF(AND(D568&lt;&gt;"",ISNUMBER(B568),LEFT(D568,9)&lt;&gt;"Total for",D568&lt;&gt;"Gross Profit",D568&lt;&gt;"Net Operating Revenue",D568&lt;&gt;"Net Other Revenue",D568&lt;&gt;"Net Revenue"),1,0)</f>
        <v>0</v>
      </c>
      <c r="H568" s="36" t="str">
        <f aca="false">IF(G568=1,IF(AND(LEN(D568)&gt;7,ISNUMBER(VALUE(LEFT(D568,6))),MID(D568,7,1)=" "),LEFT(D568,6),D568),"")</f>
        <v/>
      </c>
      <c r="I568" s="36" t="str">
        <f aca="false">IF(G568=1,IF(COUNTIF('Forecast Detail'!$C$8:$C$400,H568)=0,"UNMAPPED","OK"),"")</f>
        <v/>
      </c>
    </row>
    <row r="569" customFormat="false" ht="15" hidden="false" customHeight="false" outlineLevel="0" collapsed="false">
      <c r="D569" s="36" t="str">
        <f aca="false">TRIM(A569)</f>
        <v/>
      </c>
      <c r="E569" s="36" t="str">
        <f aca="false">IF(D569="Revenue","Revenue",IF(D569="Cost of Goods Sold","COGS",IF(D569="Expenditures","Expense",IF(D569="Other Revenue","Other Revenue",IF(D569="Other Expenditures","Other Expense",E568)))))</f>
        <v>Other Expense</v>
      </c>
      <c r="F569" s="36" t="str">
        <f aca="false">IF(OR(D569="Revenue",D569="Cost of Goods Sold",D569="Expenditures",D569="Other Revenue",D569="Other Expenditures"),E569,IF(AND(LEN(D569)&gt;2,MID(D569,2,1)=" ",ISNUMBER(VALUE(LEFT(D569,1)))),D569,F568))</f>
        <v>Other Expense</v>
      </c>
      <c r="G569" s="36" t="n">
        <f aca="false">IF(AND(D569&lt;&gt;"",ISNUMBER(B569),LEFT(D569,9)&lt;&gt;"Total for",D569&lt;&gt;"Gross Profit",D569&lt;&gt;"Net Operating Revenue",D569&lt;&gt;"Net Other Revenue",D569&lt;&gt;"Net Revenue"),1,0)</f>
        <v>0</v>
      </c>
      <c r="H569" s="36" t="str">
        <f aca="false">IF(G569=1,IF(AND(LEN(D569)&gt;7,ISNUMBER(VALUE(LEFT(D569,6))),MID(D569,7,1)=" "),LEFT(D569,6),D569),"")</f>
        <v/>
      </c>
      <c r="I569" s="36" t="str">
        <f aca="false">IF(G569=1,IF(COUNTIF('Forecast Detail'!$C$8:$C$400,H569)=0,"UNMAPPED","OK"),"")</f>
        <v/>
      </c>
    </row>
    <row r="570" customFormat="false" ht="15" hidden="false" customHeight="false" outlineLevel="0" collapsed="false">
      <c r="D570" s="36" t="str">
        <f aca="false">TRIM(A570)</f>
        <v/>
      </c>
      <c r="E570" s="36" t="str">
        <f aca="false">IF(D570="Revenue","Revenue",IF(D570="Cost of Goods Sold","COGS",IF(D570="Expenditures","Expense",IF(D570="Other Revenue","Other Revenue",IF(D570="Other Expenditures","Other Expense",E569)))))</f>
        <v>Other Expense</v>
      </c>
      <c r="F570" s="36" t="str">
        <f aca="false">IF(OR(D570="Revenue",D570="Cost of Goods Sold",D570="Expenditures",D570="Other Revenue",D570="Other Expenditures"),E570,IF(AND(LEN(D570)&gt;2,MID(D570,2,1)=" ",ISNUMBER(VALUE(LEFT(D570,1)))),D570,F569))</f>
        <v>Other Expense</v>
      </c>
      <c r="G570" s="36" t="n">
        <f aca="false">IF(AND(D570&lt;&gt;"",ISNUMBER(B570),LEFT(D570,9)&lt;&gt;"Total for",D570&lt;&gt;"Gross Profit",D570&lt;&gt;"Net Operating Revenue",D570&lt;&gt;"Net Other Revenue",D570&lt;&gt;"Net Revenue"),1,0)</f>
        <v>0</v>
      </c>
      <c r="H570" s="36" t="str">
        <f aca="false">IF(G570=1,IF(AND(LEN(D570)&gt;7,ISNUMBER(VALUE(LEFT(D570,6))),MID(D570,7,1)=" "),LEFT(D570,6),D570),"")</f>
        <v/>
      </c>
      <c r="I570" s="36" t="str">
        <f aca="false">IF(G570=1,IF(COUNTIF('Forecast Detail'!$C$8:$C$400,H570)=0,"UNMAPPED","OK"),"")</f>
        <v/>
      </c>
    </row>
    <row r="571" customFormat="false" ht="15" hidden="false" customHeight="false" outlineLevel="0" collapsed="false">
      <c r="D571" s="36" t="str">
        <f aca="false">TRIM(A571)</f>
        <v/>
      </c>
      <c r="E571" s="36" t="str">
        <f aca="false">IF(D571="Revenue","Revenue",IF(D571="Cost of Goods Sold","COGS",IF(D571="Expenditures","Expense",IF(D571="Other Revenue","Other Revenue",IF(D571="Other Expenditures","Other Expense",E570)))))</f>
        <v>Other Expense</v>
      </c>
      <c r="F571" s="36" t="str">
        <f aca="false">IF(OR(D571="Revenue",D571="Cost of Goods Sold",D571="Expenditures",D571="Other Revenue",D571="Other Expenditures"),E571,IF(AND(LEN(D571)&gt;2,MID(D571,2,1)=" ",ISNUMBER(VALUE(LEFT(D571,1)))),D571,F570))</f>
        <v>Other Expense</v>
      </c>
      <c r="G571" s="36" t="n">
        <f aca="false">IF(AND(D571&lt;&gt;"",ISNUMBER(B571),LEFT(D571,9)&lt;&gt;"Total for",D571&lt;&gt;"Gross Profit",D571&lt;&gt;"Net Operating Revenue",D571&lt;&gt;"Net Other Revenue",D571&lt;&gt;"Net Revenue"),1,0)</f>
        <v>0</v>
      </c>
      <c r="H571" s="36" t="str">
        <f aca="false">IF(G571=1,IF(AND(LEN(D571)&gt;7,ISNUMBER(VALUE(LEFT(D571,6))),MID(D571,7,1)=" "),LEFT(D571,6),D571),"")</f>
        <v/>
      </c>
      <c r="I571" s="36" t="str">
        <f aca="false">IF(G571=1,IF(COUNTIF('Forecast Detail'!$C$8:$C$400,H571)=0,"UNMAPPED","OK"),"")</f>
        <v/>
      </c>
    </row>
    <row r="572" customFormat="false" ht="15" hidden="false" customHeight="false" outlineLevel="0" collapsed="false">
      <c r="D572" s="36" t="str">
        <f aca="false">TRIM(A572)</f>
        <v/>
      </c>
      <c r="E572" s="36" t="str">
        <f aca="false">IF(D572="Revenue","Revenue",IF(D572="Cost of Goods Sold","COGS",IF(D572="Expenditures","Expense",IF(D572="Other Revenue","Other Revenue",IF(D572="Other Expenditures","Other Expense",E571)))))</f>
        <v>Other Expense</v>
      </c>
      <c r="F572" s="36" t="str">
        <f aca="false">IF(OR(D572="Revenue",D572="Cost of Goods Sold",D572="Expenditures",D572="Other Revenue",D572="Other Expenditures"),E572,IF(AND(LEN(D572)&gt;2,MID(D572,2,1)=" ",ISNUMBER(VALUE(LEFT(D572,1)))),D572,F571))</f>
        <v>Other Expense</v>
      </c>
      <c r="G572" s="36" t="n">
        <f aca="false">IF(AND(D572&lt;&gt;"",ISNUMBER(B572),LEFT(D572,9)&lt;&gt;"Total for",D572&lt;&gt;"Gross Profit",D572&lt;&gt;"Net Operating Revenue",D572&lt;&gt;"Net Other Revenue",D572&lt;&gt;"Net Revenue"),1,0)</f>
        <v>0</v>
      </c>
      <c r="H572" s="36" t="str">
        <f aca="false">IF(G572=1,IF(AND(LEN(D572)&gt;7,ISNUMBER(VALUE(LEFT(D572,6))),MID(D572,7,1)=" "),LEFT(D572,6),D572),"")</f>
        <v/>
      </c>
      <c r="I572" s="36" t="str">
        <f aca="false">IF(G572=1,IF(COUNTIF('Forecast Detail'!$C$8:$C$400,H572)=0,"UNMAPPED","OK"),"")</f>
        <v/>
      </c>
    </row>
    <row r="573" customFormat="false" ht="15" hidden="false" customHeight="false" outlineLevel="0" collapsed="false">
      <c r="D573" s="36" t="str">
        <f aca="false">TRIM(A573)</f>
        <v/>
      </c>
      <c r="E573" s="36" t="str">
        <f aca="false">IF(D573="Revenue","Revenue",IF(D573="Cost of Goods Sold","COGS",IF(D573="Expenditures","Expense",IF(D573="Other Revenue","Other Revenue",IF(D573="Other Expenditures","Other Expense",E572)))))</f>
        <v>Other Expense</v>
      </c>
      <c r="F573" s="36" t="str">
        <f aca="false">IF(OR(D573="Revenue",D573="Cost of Goods Sold",D573="Expenditures",D573="Other Revenue",D573="Other Expenditures"),E573,IF(AND(LEN(D573)&gt;2,MID(D573,2,1)=" ",ISNUMBER(VALUE(LEFT(D573,1)))),D573,F572))</f>
        <v>Other Expense</v>
      </c>
      <c r="G573" s="36" t="n">
        <f aca="false">IF(AND(D573&lt;&gt;"",ISNUMBER(B573),LEFT(D573,9)&lt;&gt;"Total for",D573&lt;&gt;"Gross Profit",D573&lt;&gt;"Net Operating Revenue",D573&lt;&gt;"Net Other Revenue",D573&lt;&gt;"Net Revenue"),1,0)</f>
        <v>0</v>
      </c>
      <c r="H573" s="36" t="str">
        <f aca="false">IF(G573=1,IF(AND(LEN(D573)&gt;7,ISNUMBER(VALUE(LEFT(D573,6))),MID(D573,7,1)=" "),LEFT(D573,6),D573),"")</f>
        <v/>
      </c>
      <c r="I573" s="36" t="str">
        <f aca="false">IF(G573=1,IF(COUNTIF('Forecast Detail'!$C$8:$C$400,H573)=0,"UNMAPPED","OK"),"")</f>
        <v/>
      </c>
    </row>
    <row r="574" customFormat="false" ht="15" hidden="false" customHeight="false" outlineLevel="0" collapsed="false">
      <c r="D574" s="36" t="str">
        <f aca="false">TRIM(A574)</f>
        <v/>
      </c>
      <c r="E574" s="36" t="str">
        <f aca="false">IF(D574="Revenue","Revenue",IF(D574="Cost of Goods Sold","COGS",IF(D574="Expenditures","Expense",IF(D574="Other Revenue","Other Revenue",IF(D574="Other Expenditures","Other Expense",E573)))))</f>
        <v>Other Expense</v>
      </c>
      <c r="F574" s="36" t="str">
        <f aca="false">IF(OR(D574="Revenue",D574="Cost of Goods Sold",D574="Expenditures",D574="Other Revenue",D574="Other Expenditures"),E574,IF(AND(LEN(D574)&gt;2,MID(D574,2,1)=" ",ISNUMBER(VALUE(LEFT(D574,1)))),D574,F573))</f>
        <v>Other Expense</v>
      </c>
      <c r="G574" s="36" t="n">
        <f aca="false">IF(AND(D574&lt;&gt;"",ISNUMBER(B574),LEFT(D574,9)&lt;&gt;"Total for",D574&lt;&gt;"Gross Profit",D574&lt;&gt;"Net Operating Revenue",D574&lt;&gt;"Net Other Revenue",D574&lt;&gt;"Net Revenue"),1,0)</f>
        <v>0</v>
      </c>
      <c r="H574" s="36" t="str">
        <f aca="false">IF(G574=1,IF(AND(LEN(D574)&gt;7,ISNUMBER(VALUE(LEFT(D574,6))),MID(D574,7,1)=" "),LEFT(D574,6),D574),"")</f>
        <v/>
      </c>
      <c r="I574" s="36" t="str">
        <f aca="false">IF(G574=1,IF(COUNTIF('Forecast Detail'!$C$8:$C$400,H574)=0,"UNMAPPED","OK"),"")</f>
        <v/>
      </c>
    </row>
    <row r="575" customFormat="false" ht="15" hidden="false" customHeight="false" outlineLevel="0" collapsed="false">
      <c r="D575" s="36" t="str">
        <f aca="false">TRIM(A575)</f>
        <v/>
      </c>
      <c r="E575" s="36" t="str">
        <f aca="false">IF(D575="Revenue","Revenue",IF(D575="Cost of Goods Sold","COGS",IF(D575="Expenditures","Expense",IF(D575="Other Revenue","Other Revenue",IF(D575="Other Expenditures","Other Expense",E574)))))</f>
        <v>Other Expense</v>
      </c>
      <c r="F575" s="36" t="str">
        <f aca="false">IF(OR(D575="Revenue",D575="Cost of Goods Sold",D575="Expenditures",D575="Other Revenue",D575="Other Expenditures"),E575,IF(AND(LEN(D575)&gt;2,MID(D575,2,1)=" ",ISNUMBER(VALUE(LEFT(D575,1)))),D575,F574))</f>
        <v>Other Expense</v>
      </c>
      <c r="G575" s="36" t="n">
        <f aca="false">IF(AND(D575&lt;&gt;"",ISNUMBER(B575),LEFT(D575,9)&lt;&gt;"Total for",D575&lt;&gt;"Gross Profit",D575&lt;&gt;"Net Operating Revenue",D575&lt;&gt;"Net Other Revenue",D575&lt;&gt;"Net Revenue"),1,0)</f>
        <v>0</v>
      </c>
      <c r="H575" s="36" t="str">
        <f aca="false">IF(G575=1,IF(AND(LEN(D575)&gt;7,ISNUMBER(VALUE(LEFT(D575,6))),MID(D575,7,1)=" "),LEFT(D575,6),D575),"")</f>
        <v/>
      </c>
      <c r="I575" s="36" t="str">
        <f aca="false">IF(G575=1,IF(COUNTIF('Forecast Detail'!$C$8:$C$400,H575)=0,"UNMAPPED","OK"),"")</f>
        <v/>
      </c>
    </row>
    <row r="576" customFormat="false" ht="15" hidden="false" customHeight="false" outlineLevel="0" collapsed="false">
      <c r="D576" s="36" t="str">
        <f aca="false">TRIM(A576)</f>
        <v/>
      </c>
      <c r="E576" s="36" t="str">
        <f aca="false">IF(D576="Revenue","Revenue",IF(D576="Cost of Goods Sold","COGS",IF(D576="Expenditures","Expense",IF(D576="Other Revenue","Other Revenue",IF(D576="Other Expenditures","Other Expense",E575)))))</f>
        <v>Other Expense</v>
      </c>
      <c r="F576" s="36" t="str">
        <f aca="false">IF(OR(D576="Revenue",D576="Cost of Goods Sold",D576="Expenditures",D576="Other Revenue",D576="Other Expenditures"),E576,IF(AND(LEN(D576)&gt;2,MID(D576,2,1)=" ",ISNUMBER(VALUE(LEFT(D576,1)))),D576,F575))</f>
        <v>Other Expense</v>
      </c>
      <c r="G576" s="36" t="n">
        <f aca="false">IF(AND(D576&lt;&gt;"",ISNUMBER(B576),LEFT(D576,9)&lt;&gt;"Total for",D576&lt;&gt;"Gross Profit",D576&lt;&gt;"Net Operating Revenue",D576&lt;&gt;"Net Other Revenue",D576&lt;&gt;"Net Revenue"),1,0)</f>
        <v>0</v>
      </c>
      <c r="H576" s="36" t="str">
        <f aca="false">IF(G576=1,IF(AND(LEN(D576)&gt;7,ISNUMBER(VALUE(LEFT(D576,6))),MID(D576,7,1)=" "),LEFT(D576,6),D576),"")</f>
        <v/>
      </c>
      <c r="I576" s="36" t="str">
        <f aca="false">IF(G576=1,IF(COUNTIF('Forecast Detail'!$C$8:$C$400,H576)=0,"UNMAPPED","OK"),"")</f>
        <v/>
      </c>
    </row>
    <row r="577" customFormat="false" ht="15" hidden="false" customHeight="false" outlineLevel="0" collapsed="false">
      <c r="D577" s="36" t="str">
        <f aca="false">TRIM(A577)</f>
        <v/>
      </c>
      <c r="E577" s="36" t="str">
        <f aca="false">IF(D577="Revenue","Revenue",IF(D577="Cost of Goods Sold","COGS",IF(D577="Expenditures","Expense",IF(D577="Other Revenue","Other Revenue",IF(D577="Other Expenditures","Other Expense",E576)))))</f>
        <v>Other Expense</v>
      </c>
      <c r="F577" s="36" t="str">
        <f aca="false">IF(OR(D577="Revenue",D577="Cost of Goods Sold",D577="Expenditures",D577="Other Revenue",D577="Other Expenditures"),E577,IF(AND(LEN(D577)&gt;2,MID(D577,2,1)=" ",ISNUMBER(VALUE(LEFT(D577,1)))),D577,F576))</f>
        <v>Other Expense</v>
      </c>
      <c r="G577" s="36" t="n">
        <f aca="false">IF(AND(D577&lt;&gt;"",ISNUMBER(B577),LEFT(D577,9)&lt;&gt;"Total for",D577&lt;&gt;"Gross Profit",D577&lt;&gt;"Net Operating Revenue",D577&lt;&gt;"Net Other Revenue",D577&lt;&gt;"Net Revenue"),1,0)</f>
        <v>0</v>
      </c>
      <c r="H577" s="36" t="str">
        <f aca="false">IF(G577=1,IF(AND(LEN(D577)&gt;7,ISNUMBER(VALUE(LEFT(D577,6))),MID(D577,7,1)=" "),LEFT(D577,6),D577),"")</f>
        <v/>
      </c>
      <c r="I577" s="36" t="str">
        <f aca="false">IF(G577=1,IF(COUNTIF('Forecast Detail'!$C$8:$C$400,H577)=0,"UNMAPPED","OK"),"")</f>
        <v/>
      </c>
    </row>
    <row r="578" customFormat="false" ht="15" hidden="false" customHeight="false" outlineLevel="0" collapsed="false">
      <c r="D578" s="36" t="str">
        <f aca="false">TRIM(A578)</f>
        <v/>
      </c>
      <c r="E578" s="36" t="str">
        <f aca="false">IF(D578="Revenue","Revenue",IF(D578="Cost of Goods Sold","COGS",IF(D578="Expenditures","Expense",IF(D578="Other Revenue","Other Revenue",IF(D578="Other Expenditures","Other Expense",E577)))))</f>
        <v>Other Expense</v>
      </c>
      <c r="F578" s="36" t="str">
        <f aca="false">IF(OR(D578="Revenue",D578="Cost of Goods Sold",D578="Expenditures",D578="Other Revenue",D578="Other Expenditures"),E578,IF(AND(LEN(D578)&gt;2,MID(D578,2,1)=" ",ISNUMBER(VALUE(LEFT(D578,1)))),D578,F577))</f>
        <v>Other Expense</v>
      </c>
      <c r="G578" s="36" t="n">
        <f aca="false">IF(AND(D578&lt;&gt;"",ISNUMBER(B578),LEFT(D578,9)&lt;&gt;"Total for",D578&lt;&gt;"Gross Profit",D578&lt;&gt;"Net Operating Revenue",D578&lt;&gt;"Net Other Revenue",D578&lt;&gt;"Net Revenue"),1,0)</f>
        <v>0</v>
      </c>
      <c r="H578" s="36" t="str">
        <f aca="false">IF(G578=1,IF(AND(LEN(D578)&gt;7,ISNUMBER(VALUE(LEFT(D578,6))),MID(D578,7,1)=" "),LEFT(D578,6),D578),"")</f>
        <v/>
      </c>
      <c r="I578" s="36" t="str">
        <f aca="false">IF(G578=1,IF(COUNTIF('Forecast Detail'!$C$8:$C$400,H578)=0,"UNMAPPED","OK"),"")</f>
        <v/>
      </c>
    </row>
    <row r="579" customFormat="false" ht="15" hidden="false" customHeight="false" outlineLevel="0" collapsed="false">
      <c r="D579" s="36" t="str">
        <f aca="false">TRIM(A579)</f>
        <v/>
      </c>
      <c r="E579" s="36" t="str">
        <f aca="false">IF(D579="Revenue","Revenue",IF(D579="Cost of Goods Sold","COGS",IF(D579="Expenditures","Expense",IF(D579="Other Revenue","Other Revenue",IF(D579="Other Expenditures","Other Expense",E578)))))</f>
        <v>Other Expense</v>
      </c>
      <c r="F579" s="36" t="str">
        <f aca="false">IF(OR(D579="Revenue",D579="Cost of Goods Sold",D579="Expenditures",D579="Other Revenue",D579="Other Expenditures"),E579,IF(AND(LEN(D579)&gt;2,MID(D579,2,1)=" ",ISNUMBER(VALUE(LEFT(D579,1)))),D579,F578))</f>
        <v>Other Expense</v>
      </c>
      <c r="G579" s="36" t="n">
        <f aca="false">IF(AND(D579&lt;&gt;"",ISNUMBER(B579),LEFT(D579,9)&lt;&gt;"Total for",D579&lt;&gt;"Gross Profit",D579&lt;&gt;"Net Operating Revenue",D579&lt;&gt;"Net Other Revenue",D579&lt;&gt;"Net Revenue"),1,0)</f>
        <v>0</v>
      </c>
      <c r="H579" s="36" t="str">
        <f aca="false">IF(G579=1,IF(AND(LEN(D579)&gt;7,ISNUMBER(VALUE(LEFT(D579,6))),MID(D579,7,1)=" "),LEFT(D579,6),D579),"")</f>
        <v/>
      </c>
      <c r="I579" s="36" t="str">
        <f aca="false">IF(G579=1,IF(COUNTIF('Forecast Detail'!$C$8:$C$400,H579)=0,"UNMAPPED","OK"),"")</f>
        <v/>
      </c>
    </row>
    <row r="580" customFormat="false" ht="15" hidden="false" customHeight="false" outlineLevel="0" collapsed="false">
      <c r="D580" s="36" t="str">
        <f aca="false">TRIM(A580)</f>
        <v/>
      </c>
      <c r="E580" s="36" t="str">
        <f aca="false">IF(D580="Revenue","Revenue",IF(D580="Cost of Goods Sold","COGS",IF(D580="Expenditures","Expense",IF(D580="Other Revenue","Other Revenue",IF(D580="Other Expenditures","Other Expense",E579)))))</f>
        <v>Other Expense</v>
      </c>
      <c r="F580" s="36" t="str">
        <f aca="false">IF(OR(D580="Revenue",D580="Cost of Goods Sold",D580="Expenditures",D580="Other Revenue",D580="Other Expenditures"),E580,IF(AND(LEN(D580)&gt;2,MID(D580,2,1)=" ",ISNUMBER(VALUE(LEFT(D580,1)))),D580,F579))</f>
        <v>Other Expense</v>
      </c>
      <c r="G580" s="36" t="n">
        <f aca="false">IF(AND(D580&lt;&gt;"",ISNUMBER(B580),LEFT(D580,9)&lt;&gt;"Total for",D580&lt;&gt;"Gross Profit",D580&lt;&gt;"Net Operating Revenue",D580&lt;&gt;"Net Other Revenue",D580&lt;&gt;"Net Revenue"),1,0)</f>
        <v>0</v>
      </c>
      <c r="H580" s="36" t="str">
        <f aca="false">IF(G580=1,IF(AND(LEN(D580)&gt;7,ISNUMBER(VALUE(LEFT(D580,6))),MID(D580,7,1)=" "),LEFT(D580,6),D580),"")</f>
        <v/>
      </c>
      <c r="I580" s="36" t="str">
        <f aca="false">IF(G580=1,IF(COUNTIF('Forecast Detail'!$C$8:$C$400,H580)=0,"UNMAPPED","OK"),"")</f>
        <v/>
      </c>
    </row>
    <row r="581" customFormat="false" ht="15" hidden="false" customHeight="false" outlineLevel="0" collapsed="false">
      <c r="D581" s="36" t="str">
        <f aca="false">TRIM(A581)</f>
        <v/>
      </c>
      <c r="E581" s="36" t="str">
        <f aca="false">IF(D581="Revenue","Revenue",IF(D581="Cost of Goods Sold","COGS",IF(D581="Expenditures","Expense",IF(D581="Other Revenue","Other Revenue",IF(D581="Other Expenditures","Other Expense",E580)))))</f>
        <v>Other Expense</v>
      </c>
      <c r="F581" s="36" t="str">
        <f aca="false">IF(OR(D581="Revenue",D581="Cost of Goods Sold",D581="Expenditures",D581="Other Revenue",D581="Other Expenditures"),E581,IF(AND(LEN(D581)&gt;2,MID(D581,2,1)=" ",ISNUMBER(VALUE(LEFT(D581,1)))),D581,F580))</f>
        <v>Other Expense</v>
      </c>
      <c r="G581" s="36" t="n">
        <f aca="false">IF(AND(D581&lt;&gt;"",ISNUMBER(B581),LEFT(D581,9)&lt;&gt;"Total for",D581&lt;&gt;"Gross Profit",D581&lt;&gt;"Net Operating Revenue",D581&lt;&gt;"Net Other Revenue",D581&lt;&gt;"Net Revenue"),1,0)</f>
        <v>0</v>
      </c>
      <c r="H581" s="36" t="str">
        <f aca="false">IF(G581=1,IF(AND(LEN(D581)&gt;7,ISNUMBER(VALUE(LEFT(D581,6))),MID(D581,7,1)=" "),LEFT(D581,6),D581),"")</f>
        <v/>
      </c>
      <c r="I581" s="36" t="str">
        <f aca="false">IF(G581=1,IF(COUNTIF('Forecast Detail'!$C$8:$C$400,H581)=0,"UNMAPPED","OK"),"")</f>
        <v/>
      </c>
    </row>
    <row r="582" customFormat="false" ht="15" hidden="false" customHeight="false" outlineLevel="0" collapsed="false">
      <c r="D582" s="36" t="str">
        <f aca="false">TRIM(A582)</f>
        <v/>
      </c>
      <c r="E582" s="36" t="str">
        <f aca="false">IF(D582="Revenue","Revenue",IF(D582="Cost of Goods Sold","COGS",IF(D582="Expenditures","Expense",IF(D582="Other Revenue","Other Revenue",IF(D582="Other Expenditures","Other Expense",E581)))))</f>
        <v>Other Expense</v>
      </c>
      <c r="F582" s="36" t="str">
        <f aca="false">IF(OR(D582="Revenue",D582="Cost of Goods Sold",D582="Expenditures",D582="Other Revenue",D582="Other Expenditures"),E582,IF(AND(LEN(D582)&gt;2,MID(D582,2,1)=" ",ISNUMBER(VALUE(LEFT(D582,1)))),D582,F581))</f>
        <v>Other Expense</v>
      </c>
      <c r="G582" s="36" t="n">
        <f aca="false">IF(AND(D582&lt;&gt;"",ISNUMBER(B582),LEFT(D582,9)&lt;&gt;"Total for",D582&lt;&gt;"Gross Profit",D582&lt;&gt;"Net Operating Revenue",D582&lt;&gt;"Net Other Revenue",D582&lt;&gt;"Net Revenue"),1,0)</f>
        <v>0</v>
      </c>
      <c r="H582" s="36" t="str">
        <f aca="false">IF(G582=1,IF(AND(LEN(D582)&gt;7,ISNUMBER(VALUE(LEFT(D582,6))),MID(D582,7,1)=" "),LEFT(D582,6),D582),"")</f>
        <v/>
      </c>
      <c r="I582" s="36" t="str">
        <f aca="false">IF(G582=1,IF(COUNTIF('Forecast Detail'!$C$8:$C$400,H582)=0,"UNMAPPED","OK"),"")</f>
        <v/>
      </c>
    </row>
    <row r="583" customFormat="false" ht="15" hidden="false" customHeight="false" outlineLevel="0" collapsed="false">
      <c r="D583" s="36" t="str">
        <f aca="false">TRIM(A583)</f>
        <v/>
      </c>
      <c r="E583" s="36" t="str">
        <f aca="false">IF(D583="Revenue","Revenue",IF(D583="Cost of Goods Sold","COGS",IF(D583="Expenditures","Expense",IF(D583="Other Revenue","Other Revenue",IF(D583="Other Expenditures","Other Expense",E582)))))</f>
        <v>Other Expense</v>
      </c>
      <c r="F583" s="36" t="str">
        <f aca="false">IF(OR(D583="Revenue",D583="Cost of Goods Sold",D583="Expenditures",D583="Other Revenue",D583="Other Expenditures"),E583,IF(AND(LEN(D583)&gt;2,MID(D583,2,1)=" ",ISNUMBER(VALUE(LEFT(D583,1)))),D583,F582))</f>
        <v>Other Expense</v>
      </c>
      <c r="G583" s="36" t="n">
        <f aca="false">IF(AND(D583&lt;&gt;"",ISNUMBER(B583),LEFT(D583,9)&lt;&gt;"Total for",D583&lt;&gt;"Gross Profit",D583&lt;&gt;"Net Operating Revenue",D583&lt;&gt;"Net Other Revenue",D583&lt;&gt;"Net Revenue"),1,0)</f>
        <v>0</v>
      </c>
      <c r="H583" s="36" t="str">
        <f aca="false">IF(G583=1,IF(AND(LEN(D583)&gt;7,ISNUMBER(VALUE(LEFT(D583,6))),MID(D583,7,1)=" "),LEFT(D583,6),D583),"")</f>
        <v/>
      </c>
      <c r="I583" s="36" t="str">
        <f aca="false">IF(G583=1,IF(COUNTIF('Forecast Detail'!$C$8:$C$400,H583)=0,"UNMAPPED","OK"),"")</f>
        <v/>
      </c>
    </row>
    <row r="584" customFormat="false" ht="15" hidden="false" customHeight="false" outlineLevel="0" collapsed="false">
      <c r="D584" s="36" t="str">
        <f aca="false">TRIM(A584)</f>
        <v/>
      </c>
      <c r="E584" s="36" t="str">
        <f aca="false">IF(D584="Revenue","Revenue",IF(D584="Cost of Goods Sold","COGS",IF(D584="Expenditures","Expense",IF(D584="Other Revenue","Other Revenue",IF(D584="Other Expenditures","Other Expense",E583)))))</f>
        <v>Other Expense</v>
      </c>
      <c r="F584" s="36" t="str">
        <f aca="false">IF(OR(D584="Revenue",D584="Cost of Goods Sold",D584="Expenditures",D584="Other Revenue",D584="Other Expenditures"),E584,IF(AND(LEN(D584)&gt;2,MID(D584,2,1)=" ",ISNUMBER(VALUE(LEFT(D584,1)))),D584,F583))</f>
        <v>Other Expense</v>
      </c>
      <c r="G584" s="36" t="n">
        <f aca="false">IF(AND(D584&lt;&gt;"",ISNUMBER(B584),LEFT(D584,9)&lt;&gt;"Total for",D584&lt;&gt;"Gross Profit",D584&lt;&gt;"Net Operating Revenue",D584&lt;&gt;"Net Other Revenue",D584&lt;&gt;"Net Revenue"),1,0)</f>
        <v>0</v>
      </c>
      <c r="H584" s="36" t="str">
        <f aca="false">IF(G584=1,IF(AND(LEN(D584)&gt;7,ISNUMBER(VALUE(LEFT(D584,6))),MID(D584,7,1)=" "),LEFT(D584,6),D584),"")</f>
        <v/>
      </c>
      <c r="I584" s="36" t="str">
        <f aca="false">IF(G584=1,IF(COUNTIF('Forecast Detail'!$C$8:$C$400,H584)=0,"UNMAPPED","OK"),"")</f>
        <v/>
      </c>
    </row>
    <row r="585" customFormat="false" ht="15" hidden="false" customHeight="false" outlineLevel="0" collapsed="false">
      <c r="D585" s="36" t="str">
        <f aca="false">TRIM(A585)</f>
        <v/>
      </c>
      <c r="E585" s="36" t="str">
        <f aca="false">IF(D585="Revenue","Revenue",IF(D585="Cost of Goods Sold","COGS",IF(D585="Expenditures","Expense",IF(D585="Other Revenue","Other Revenue",IF(D585="Other Expenditures","Other Expense",E584)))))</f>
        <v>Other Expense</v>
      </c>
      <c r="F585" s="36" t="str">
        <f aca="false">IF(OR(D585="Revenue",D585="Cost of Goods Sold",D585="Expenditures",D585="Other Revenue",D585="Other Expenditures"),E585,IF(AND(LEN(D585)&gt;2,MID(D585,2,1)=" ",ISNUMBER(VALUE(LEFT(D585,1)))),D585,F584))</f>
        <v>Other Expense</v>
      </c>
      <c r="G585" s="36" t="n">
        <f aca="false">IF(AND(D585&lt;&gt;"",ISNUMBER(B585),LEFT(D585,9)&lt;&gt;"Total for",D585&lt;&gt;"Gross Profit",D585&lt;&gt;"Net Operating Revenue",D585&lt;&gt;"Net Other Revenue",D585&lt;&gt;"Net Revenue"),1,0)</f>
        <v>0</v>
      </c>
      <c r="H585" s="36" t="str">
        <f aca="false">IF(G585=1,IF(AND(LEN(D585)&gt;7,ISNUMBER(VALUE(LEFT(D585,6))),MID(D585,7,1)=" "),LEFT(D585,6),D585),"")</f>
        <v/>
      </c>
      <c r="I585" s="36" t="str">
        <f aca="false">IF(G585=1,IF(COUNTIF('Forecast Detail'!$C$8:$C$400,H585)=0,"UNMAPPED","OK"),"")</f>
        <v/>
      </c>
    </row>
    <row r="586" customFormat="false" ht="15" hidden="false" customHeight="false" outlineLevel="0" collapsed="false">
      <c r="D586" s="36" t="str">
        <f aca="false">TRIM(A586)</f>
        <v/>
      </c>
      <c r="E586" s="36" t="str">
        <f aca="false">IF(D586="Revenue","Revenue",IF(D586="Cost of Goods Sold","COGS",IF(D586="Expenditures","Expense",IF(D586="Other Revenue","Other Revenue",IF(D586="Other Expenditures","Other Expense",E585)))))</f>
        <v>Other Expense</v>
      </c>
      <c r="F586" s="36" t="str">
        <f aca="false">IF(OR(D586="Revenue",D586="Cost of Goods Sold",D586="Expenditures",D586="Other Revenue",D586="Other Expenditures"),E586,IF(AND(LEN(D586)&gt;2,MID(D586,2,1)=" ",ISNUMBER(VALUE(LEFT(D586,1)))),D586,F585))</f>
        <v>Other Expense</v>
      </c>
      <c r="G586" s="36" t="n">
        <f aca="false">IF(AND(D586&lt;&gt;"",ISNUMBER(B586),LEFT(D586,9)&lt;&gt;"Total for",D586&lt;&gt;"Gross Profit",D586&lt;&gt;"Net Operating Revenue",D586&lt;&gt;"Net Other Revenue",D586&lt;&gt;"Net Revenue"),1,0)</f>
        <v>0</v>
      </c>
      <c r="H586" s="36" t="str">
        <f aca="false">IF(G586=1,IF(AND(LEN(D586)&gt;7,ISNUMBER(VALUE(LEFT(D586,6))),MID(D586,7,1)=" "),LEFT(D586,6),D586),"")</f>
        <v/>
      </c>
      <c r="I586" s="36" t="str">
        <f aca="false">IF(G586=1,IF(COUNTIF('Forecast Detail'!$C$8:$C$400,H586)=0,"UNMAPPED","OK"),"")</f>
        <v/>
      </c>
    </row>
    <row r="587" customFormat="false" ht="15" hidden="false" customHeight="false" outlineLevel="0" collapsed="false">
      <c r="D587" s="36" t="str">
        <f aca="false">TRIM(A587)</f>
        <v/>
      </c>
      <c r="E587" s="36" t="str">
        <f aca="false">IF(D587="Revenue","Revenue",IF(D587="Cost of Goods Sold","COGS",IF(D587="Expenditures","Expense",IF(D587="Other Revenue","Other Revenue",IF(D587="Other Expenditures","Other Expense",E586)))))</f>
        <v>Other Expense</v>
      </c>
      <c r="F587" s="36" t="str">
        <f aca="false">IF(OR(D587="Revenue",D587="Cost of Goods Sold",D587="Expenditures",D587="Other Revenue",D587="Other Expenditures"),E587,IF(AND(LEN(D587)&gt;2,MID(D587,2,1)=" ",ISNUMBER(VALUE(LEFT(D587,1)))),D587,F586))</f>
        <v>Other Expense</v>
      </c>
      <c r="G587" s="36" t="n">
        <f aca="false">IF(AND(D587&lt;&gt;"",ISNUMBER(B587),LEFT(D587,9)&lt;&gt;"Total for",D587&lt;&gt;"Gross Profit",D587&lt;&gt;"Net Operating Revenue",D587&lt;&gt;"Net Other Revenue",D587&lt;&gt;"Net Revenue"),1,0)</f>
        <v>0</v>
      </c>
      <c r="H587" s="36" t="str">
        <f aca="false">IF(G587=1,IF(AND(LEN(D587)&gt;7,ISNUMBER(VALUE(LEFT(D587,6))),MID(D587,7,1)=" "),LEFT(D587,6),D587),"")</f>
        <v/>
      </c>
      <c r="I587" s="36" t="str">
        <f aca="false">IF(G587=1,IF(COUNTIF('Forecast Detail'!$C$8:$C$400,H587)=0,"UNMAPPED","OK"),"")</f>
        <v/>
      </c>
    </row>
    <row r="588" customFormat="false" ht="15" hidden="false" customHeight="false" outlineLevel="0" collapsed="false">
      <c r="D588" s="36" t="str">
        <f aca="false">TRIM(A588)</f>
        <v/>
      </c>
      <c r="E588" s="36" t="str">
        <f aca="false">IF(D588="Revenue","Revenue",IF(D588="Cost of Goods Sold","COGS",IF(D588="Expenditures","Expense",IF(D588="Other Revenue","Other Revenue",IF(D588="Other Expenditures","Other Expense",E587)))))</f>
        <v>Other Expense</v>
      </c>
      <c r="F588" s="36" t="str">
        <f aca="false">IF(OR(D588="Revenue",D588="Cost of Goods Sold",D588="Expenditures",D588="Other Revenue",D588="Other Expenditures"),E588,IF(AND(LEN(D588)&gt;2,MID(D588,2,1)=" ",ISNUMBER(VALUE(LEFT(D588,1)))),D588,F587))</f>
        <v>Other Expense</v>
      </c>
      <c r="G588" s="36" t="n">
        <f aca="false">IF(AND(D588&lt;&gt;"",ISNUMBER(B588),LEFT(D588,9)&lt;&gt;"Total for",D588&lt;&gt;"Gross Profit",D588&lt;&gt;"Net Operating Revenue",D588&lt;&gt;"Net Other Revenue",D588&lt;&gt;"Net Revenue"),1,0)</f>
        <v>0</v>
      </c>
      <c r="H588" s="36" t="str">
        <f aca="false">IF(G588=1,IF(AND(LEN(D588)&gt;7,ISNUMBER(VALUE(LEFT(D588,6))),MID(D588,7,1)=" "),LEFT(D588,6),D588),"")</f>
        <v/>
      </c>
      <c r="I588" s="36" t="str">
        <f aca="false">IF(G588=1,IF(COUNTIF('Forecast Detail'!$C$8:$C$400,H588)=0,"UNMAPPED","OK"),"")</f>
        <v/>
      </c>
    </row>
    <row r="589" customFormat="false" ht="15" hidden="false" customHeight="false" outlineLevel="0" collapsed="false">
      <c r="D589" s="36" t="str">
        <f aca="false">TRIM(A589)</f>
        <v/>
      </c>
      <c r="E589" s="36" t="str">
        <f aca="false">IF(D589="Revenue","Revenue",IF(D589="Cost of Goods Sold","COGS",IF(D589="Expenditures","Expense",IF(D589="Other Revenue","Other Revenue",IF(D589="Other Expenditures","Other Expense",E588)))))</f>
        <v>Other Expense</v>
      </c>
      <c r="F589" s="36" t="str">
        <f aca="false">IF(OR(D589="Revenue",D589="Cost of Goods Sold",D589="Expenditures",D589="Other Revenue",D589="Other Expenditures"),E589,IF(AND(LEN(D589)&gt;2,MID(D589,2,1)=" ",ISNUMBER(VALUE(LEFT(D589,1)))),D589,F588))</f>
        <v>Other Expense</v>
      </c>
      <c r="G589" s="36" t="n">
        <f aca="false">IF(AND(D589&lt;&gt;"",ISNUMBER(B589),LEFT(D589,9)&lt;&gt;"Total for",D589&lt;&gt;"Gross Profit",D589&lt;&gt;"Net Operating Revenue",D589&lt;&gt;"Net Other Revenue",D589&lt;&gt;"Net Revenue"),1,0)</f>
        <v>0</v>
      </c>
      <c r="H589" s="36" t="str">
        <f aca="false">IF(G589=1,IF(AND(LEN(D589)&gt;7,ISNUMBER(VALUE(LEFT(D589,6))),MID(D589,7,1)=" "),LEFT(D589,6),D589),"")</f>
        <v/>
      </c>
      <c r="I589" s="36" t="str">
        <f aca="false">IF(G589=1,IF(COUNTIF('Forecast Detail'!$C$8:$C$400,H589)=0,"UNMAPPED","OK"),"")</f>
        <v/>
      </c>
    </row>
    <row r="590" customFormat="false" ht="15" hidden="false" customHeight="false" outlineLevel="0" collapsed="false">
      <c r="D590" s="36" t="str">
        <f aca="false">TRIM(A590)</f>
        <v/>
      </c>
      <c r="E590" s="36" t="str">
        <f aca="false">IF(D590="Revenue","Revenue",IF(D590="Cost of Goods Sold","COGS",IF(D590="Expenditures","Expense",IF(D590="Other Revenue","Other Revenue",IF(D590="Other Expenditures","Other Expense",E589)))))</f>
        <v>Other Expense</v>
      </c>
      <c r="F590" s="36" t="str">
        <f aca="false">IF(OR(D590="Revenue",D590="Cost of Goods Sold",D590="Expenditures",D590="Other Revenue",D590="Other Expenditures"),E590,IF(AND(LEN(D590)&gt;2,MID(D590,2,1)=" ",ISNUMBER(VALUE(LEFT(D590,1)))),D590,F589))</f>
        <v>Other Expense</v>
      </c>
      <c r="G590" s="36" t="n">
        <f aca="false">IF(AND(D590&lt;&gt;"",ISNUMBER(B590),LEFT(D590,9)&lt;&gt;"Total for",D590&lt;&gt;"Gross Profit",D590&lt;&gt;"Net Operating Revenue",D590&lt;&gt;"Net Other Revenue",D590&lt;&gt;"Net Revenue"),1,0)</f>
        <v>0</v>
      </c>
      <c r="H590" s="36" t="str">
        <f aca="false">IF(G590=1,IF(AND(LEN(D590)&gt;7,ISNUMBER(VALUE(LEFT(D590,6))),MID(D590,7,1)=" "),LEFT(D590,6),D590),"")</f>
        <v/>
      </c>
      <c r="I590" s="36" t="str">
        <f aca="false">IF(G590=1,IF(COUNTIF('Forecast Detail'!$C$8:$C$400,H590)=0,"UNMAPPED","OK"),"")</f>
        <v/>
      </c>
    </row>
    <row r="591" customFormat="false" ht="15" hidden="false" customHeight="false" outlineLevel="0" collapsed="false">
      <c r="D591" s="36" t="str">
        <f aca="false">TRIM(A591)</f>
        <v/>
      </c>
      <c r="E591" s="36" t="str">
        <f aca="false">IF(D591="Revenue","Revenue",IF(D591="Cost of Goods Sold","COGS",IF(D591="Expenditures","Expense",IF(D591="Other Revenue","Other Revenue",IF(D591="Other Expenditures","Other Expense",E590)))))</f>
        <v>Other Expense</v>
      </c>
      <c r="F591" s="36" t="str">
        <f aca="false">IF(OR(D591="Revenue",D591="Cost of Goods Sold",D591="Expenditures",D591="Other Revenue",D591="Other Expenditures"),E591,IF(AND(LEN(D591)&gt;2,MID(D591,2,1)=" ",ISNUMBER(VALUE(LEFT(D591,1)))),D591,F590))</f>
        <v>Other Expense</v>
      </c>
      <c r="G591" s="36" t="n">
        <f aca="false">IF(AND(D591&lt;&gt;"",ISNUMBER(B591),LEFT(D591,9)&lt;&gt;"Total for",D591&lt;&gt;"Gross Profit",D591&lt;&gt;"Net Operating Revenue",D591&lt;&gt;"Net Other Revenue",D591&lt;&gt;"Net Revenue"),1,0)</f>
        <v>0</v>
      </c>
      <c r="H591" s="36" t="str">
        <f aca="false">IF(G591=1,IF(AND(LEN(D591)&gt;7,ISNUMBER(VALUE(LEFT(D591,6))),MID(D591,7,1)=" "),LEFT(D591,6),D591),"")</f>
        <v/>
      </c>
      <c r="I591" s="36" t="str">
        <f aca="false">IF(G591=1,IF(COUNTIF('Forecast Detail'!$C$8:$C$400,H591)=0,"UNMAPPED","OK"),"")</f>
        <v/>
      </c>
    </row>
    <row r="592" customFormat="false" ht="15" hidden="false" customHeight="false" outlineLevel="0" collapsed="false">
      <c r="D592" s="36" t="str">
        <f aca="false">TRIM(A592)</f>
        <v/>
      </c>
      <c r="E592" s="36" t="str">
        <f aca="false">IF(D592="Revenue","Revenue",IF(D592="Cost of Goods Sold","COGS",IF(D592="Expenditures","Expense",IF(D592="Other Revenue","Other Revenue",IF(D592="Other Expenditures","Other Expense",E591)))))</f>
        <v>Other Expense</v>
      </c>
      <c r="F592" s="36" t="str">
        <f aca="false">IF(OR(D592="Revenue",D592="Cost of Goods Sold",D592="Expenditures",D592="Other Revenue",D592="Other Expenditures"),E592,IF(AND(LEN(D592)&gt;2,MID(D592,2,1)=" ",ISNUMBER(VALUE(LEFT(D592,1)))),D592,F591))</f>
        <v>Other Expense</v>
      </c>
      <c r="G592" s="36" t="n">
        <f aca="false">IF(AND(D592&lt;&gt;"",ISNUMBER(B592),LEFT(D592,9)&lt;&gt;"Total for",D592&lt;&gt;"Gross Profit",D592&lt;&gt;"Net Operating Revenue",D592&lt;&gt;"Net Other Revenue",D592&lt;&gt;"Net Revenue"),1,0)</f>
        <v>0</v>
      </c>
      <c r="H592" s="36" t="str">
        <f aca="false">IF(G592=1,IF(AND(LEN(D592)&gt;7,ISNUMBER(VALUE(LEFT(D592,6))),MID(D592,7,1)=" "),LEFT(D592,6),D592),"")</f>
        <v/>
      </c>
      <c r="I592" s="36" t="str">
        <f aca="false">IF(G592=1,IF(COUNTIF('Forecast Detail'!$C$8:$C$400,H592)=0,"UNMAPPED","OK"),"")</f>
        <v/>
      </c>
    </row>
    <row r="593" customFormat="false" ht="15" hidden="false" customHeight="false" outlineLevel="0" collapsed="false">
      <c r="D593" s="36" t="str">
        <f aca="false">TRIM(A593)</f>
        <v/>
      </c>
      <c r="E593" s="36" t="str">
        <f aca="false">IF(D593="Revenue","Revenue",IF(D593="Cost of Goods Sold","COGS",IF(D593="Expenditures","Expense",IF(D593="Other Revenue","Other Revenue",IF(D593="Other Expenditures","Other Expense",E592)))))</f>
        <v>Other Expense</v>
      </c>
      <c r="F593" s="36" t="str">
        <f aca="false">IF(OR(D593="Revenue",D593="Cost of Goods Sold",D593="Expenditures",D593="Other Revenue",D593="Other Expenditures"),E593,IF(AND(LEN(D593)&gt;2,MID(D593,2,1)=" ",ISNUMBER(VALUE(LEFT(D593,1)))),D593,F592))</f>
        <v>Other Expense</v>
      </c>
      <c r="G593" s="36" t="n">
        <f aca="false">IF(AND(D593&lt;&gt;"",ISNUMBER(B593),LEFT(D593,9)&lt;&gt;"Total for",D593&lt;&gt;"Gross Profit",D593&lt;&gt;"Net Operating Revenue",D593&lt;&gt;"Net Other Revenue",D593&lt;&gt;"Net Revenue"),1,0)</f>
        <v>0</v>
      </c>
      <c r="H593" s="36" t="str">
        <f aca="false">IF(G593=1,IF(AND(LEN(D593)&gt;7,ISNUMBER(VALUE(LEFT(D593,6))),MID(D593,7,1)=" "),LEFT(D593,6),D593),"")</f>
        <v/>
      </c>
      <c r="I593" s="36" t="str">
        <f aca="false">IF(G593=1,IF(COUNTIF('Forecast Detail'!$C$8:$C$400,H593)=0,"UNMAPPED","OK"),"")</f>
        <v/>
      </c>
    </row>
    <row r="594" customFormat="false" ht="15" hidden="false" customHeight="false" outlineLevel="0" collapsed="false">
      <c r="D594" s="36" t="str">
        <f aca="false">TRIM(A594)</f>
        <v/>
      </c>
      <c r="E594" s="36" t="str">
        <f aca="false">IF(D594="Revenue","Revenue",IF(D594="Cost of Goods Sold","COGS",IF(D594="Expenditures","Expense",IF(D594="Other Revenue","Other Revenue",IF(D594="Other Expenditures","Other Expense",E593)))))</f>
        <v>Other Expense</v>
      </c>
      <c r="F594" s="36" t="str">
        <f aca="false">IF(OR(D594="Revenue",D594="Cost of Goods Sold",D594="Expenditures",D594="Other Revenue",D594="Other Expenditures"),E594,IF(AND(LEN(D594)&gt;2,MID(D594,2,1)=" ",ISNUMBER(VALUE(LEFT(D594,1)))),D594,F593))</f>
        <v>Other Expense</v>
      </c>
      <c r="G594" s="36" t="n">
        <f aca="false">IF(AND(D594&lt;&gt;"",ISNUMBER(B594),LEFT(D594,9)&lt;&gt;"Total for",D594&lt;&gt;"Gross Profit",D594&lt;&gt;"Net Operating Revenue",D594&lt;&gt;"Net Other Revenue",D594&lt;&gt;"Net Revenue"),1,0)</f>
        <v>0</v>
      </c>
      <c r="H594" s="36" t="str">
        <f aca="false">IF(G594=1,IF(AND(LEN(D594)&gt;7,ISNUMBER(VALUE(LEFT(D594,6))),MID(D594,7,1)=" "),LEFT(D594,6),D594),"")</f>
        <v/>
      </c>
      <c r="I594" s="36" t="str">
        <f aca="false">IF(G594=1,IF(COUNTIF('Forecast Detail'!$C$8:$C$400,H594)=0,"UNMAPPED","OK"),"")</f>
        <v/>
      </c>
    </row>
    <row r="595" customFormat="false" ht="15" hidden="false" customHeight="false" outlineLevel="0" collapsed="false">
      <c r="D595" s="36" t="str">
        <f aca="false">TRIM(A595)</f>
        <v/>
      </c>
      <c r="E595" s="36" t="str">
        <f aca="false">IF(D595="Revenue","Revenue",IF(D595="Cost of Goods Sold","COGS",IF(D595="Expenditures","Expense",IF(D595="Other Revenue","Other Revenue",IF(D595="Other Expenditures","Other Expense",E594)))))</f>
        <v>Other Expense</v>
      </c>
      <c r="F595" s="36" t="str">
        <f aca="false">IF(OR(D595="Revenue",D595="Cost of Goods Sold",D595="Expenditures",D595="Other Revenue",D595="Other Expenditures"),E595,IF(AND(LEN(D595)&gt;2,MID(D595,2,1)=" ",ISNUMBER(VALUE(LEFT(D595,1)))),D595,F594))</f>
        <v>Other Expense</v>
      </c>
      <c r="G595" s="36" t="n">
        <f aca="false">IF(AND(D595&lt;&gt;"",ISNUMBER(B595),LEFT(D595,9)&lt;&gt;"Total for",D595&lt;&gt;"Gross Profit",D595&lt;&gt;"Net Operating Revenue",D595&lt;&gt;"Net Other Revenue",D595&lt;&gt;"Net Revenue"),1,0)</f>
        <v>0</v>
      </c>
      <c r="H595" s="36" t="str">
        <f aca="false">IF(G595=1,IF(AND(LEN(D595)&gt;7,ISNUMBER(VALUE(LEFT(D595,6))),MID(D595,7,1)=" "),LEFT(D595,6),D595),"")</f>
        <v/>
      </c>
      <c r="I595" s="36" t="str">
        <f aca="false">IF(G595=1,IF(COUNTIF('Forecast Detail'!$C$8:$C$400,H595)=0,"UNMAPPED","OK"),"")</f>
        <v/>
      </c>
    </row>
    <row r="596" customFormat="false" ht="15" hidden="false" customHeight="false" outlineLevel="0" collapsed="false">
      <c r="D596" s="36" t="str">
        <f aca="false">TRIM(A596)</f>
        <v/>
      </c>
      <c r="E596" s="36" t="str">
        <f aca="false">IF(D596="Revenue","Revenue",IF(D596="Cost of Goods Sold","COGS",IF(D596="Expenditures","Expense",IF(D596="Other Revenue","Other Revenue",IF(D596="Other Expenditures","Other Expense",E595)))))</f>
        <v>Other Expense</v>
      </c>
      <c r="F596" s="36" t="str">
        <f aca="false">IF(OR(D596="Revenue",D596="Cost of Goods Sold",D596="Expenditures",D596="Other Revenue",D596="Other Expenditures"),E596,IF(AND(LEN(D596)&gt;2,MID(D596,2,1)=" ",ISNUMBER(VALUE(LEFT(D596,1)))),D596,F595))</f>
        <v>Other Expense</v>
      </c>
      <c r="G596" s="36" t="n">
        <f aca="false">IF(AND(D596&lt;&gt;"",ISNUMBER(B596),LEFT(D596,9)&lt;&gt;"Total for",D596&lt;&gt;"Gross Profit",D596&lt;&gt;"Net Operating Revenue",D596&lt;&gt;"Net Other Revenue",D596&lt;&gt;"Net Revenue"),1,0)</f>
        <v>0</v>
      </c>
      <c r="H596" s="36" t="str">
        <f aca="false">IF(G596=1,IF(AND(LEN(D596)&gt;7,ISNUMBER(VALUE(LEFT(D596,6))),MID(D596,7,1)=" "),LEFT(D596,6),D596),"")</f>
        <v/>
      </c>
      <c r="I596" s="36" t="str">
        <f aca="false">IF(G596=1,IF(COUNTIF('Forecast Detail'!$C$8:$C$400,H596)=0,"UNMAPPED","OK"),"")</f>
        <v/>
      </c>
    </row>
    <row r="597" customFormat="false" ht="15" hidden="false" customHeight="false" outlineLevel="0" collapsed="false">
      <c r="D597" s="36" t="str">
        <f aca="false">TRIM(A597)</f>
        <v/>
      </c>
      <c r="E597" s="36" t="str">
        <f aca="false">IF(D597="Revenue","Revenue",IF(D597="Cost of Goods Sold","COGS",IF(D597="Expenditures","Expense",IF(D597="Other Revenue","Other Revenue",IF(D597="Other Expenditures","Other Expense",E596)))))</f>
        <v>Other Expense</v>
      </c>
      <c r="F597" s="36" t="str">
        <f aca="false">IF(OR(D597="Revenue",D597="Cost of Goods Sold",D597="Expenditures",D597="Other Revenue",D597="Other Expenditures"),E597,IF(AND(LEN(D597)&gt;2,MID(D597,2,1)=" ",ISNUMBER(VALUE(LEFT(D597,1)))),D597,F596))</f>
        <v>Other Expense</v>
      </c>
      <c r="G597" s="36" t="n">
        <f aca="false">IF(AND(D597&lt;&gt;"",ISNUMBER(B597),LEFT(D597,9)&lt;&gt;"Total for",D597&lt;&gt;"Gross Profit",D597&lt;&gt;"Net Operating Revenue",D597&lt;&gt;"Net Other Revenue",D597&lt;&gt;"Net Revenue"),1,0)</f>
        <v>0</v>
      </c>
      <c r="H597" s="36" t="str">
        <f aca="false">IF(G597=1,IF(AND(LEN(D597)&gt;7,ISNUMBER(VALUE(LEFT(D597,6))),MID(D597,7,1)=" "),LEFT(D597,6),D597),"")</f>
        <v/>
      </c>
      <c r="I597" s="36" t="str">
        <f aca="false">IF(G597=1,IF(COUNTIF('Forecast Detail'!$C$8:$C$400,H597)=0,"UNMAPPED","OK"),"")</f>
        <v/>
      </c>
    </row>
    <row r="598" customFormat="false" ht="15" hidden="false" customHeight="false" outlineLevel="0" collapsed="false">
      <c r="D598" s="36" t="str">
        <f aca="false">TRIM(A598)</f>
        <v/>
      </c>
      <c r="E598" s="36" t="str">
        <f aca="false">IF(D598="Revenue","Revenue",IF(D598="Cost of Goods Sold","COGS",IF(D598="Expenditures","Expense",IF(D598="Other Revenue","Other Revenue",IF(D598="Other Expenditures","Other Expense",E597)))))</f>
        <v>Other Expense</v>
      </c>
      <c r="F598" s="36" t="str">
        <f aca="false">IF(OR(D598="Revenue",D598="Cost of Goods Sold",D598="Expenditures",D598="Other Revenue",D598="Other Expenditures"),E598,IF(AND(LEN(D598)&gt;2,MID(D598,2,1)=" ",ISNUMBER(VALUE(LEFT(D598,1)))),D598,F597))</f>
        <v>Other Expense</v>
      </c>
      <c r="G598" s="36" t="n">
        <f aca="false">IF(AND(D598&lt;&gt;"",ISNUMBER(B598),LEFT(D598,9)&lt;&gt;"Total for",D598&lt;&gt;"Gross Profit",D598&lt;&gt;"Net Operating Revenue",D598&lt;&gt;"Net Other Revenue",D598&lt;&gt;"Net Revenue"),1,0)</f>
        <v>0</v>
      </c>
      <c r="H598" s="36" t="str">
        <f aca="false">IF(G598=1,IF(AND(LEN(D598)&gt;7,ISNUMBER(VALUE(LEFT(D598,6))),MID(D598,7,1)=" "),LEFT(D598,6),D598),"")</f>
        <v/>
      </c>
      <c r="I598" s="36" t="str">
        <f aca="false">IF(G598=1,IF(COUNTIF('Forecast Detail'!$C$8:$C$400,H598)=0,"UNMAPPED","OK"),"")</f>
        <v/>
      </c>
    </row>
    <row r="599" customFormat="false" ht="15" hidden="false" customHeight="false" outlineLevel="0" collapsed="false">
      <c r="D599" s="36" t="str">
        <f aca="false">TRIM(A599)</f>
        <v/>
      </c>
      <c r="E599" s="36" t="str">
        <f aca="false">IF(D599="Revenue","Revenue",IF(D599="Cost of Goods Sold","COGS",IF(D599="Expenditures","Expense",IF(D599="Other Revenue","Other Revenue",IF(D599="Other Expenditures","Other Expense",E598)))))</f>
        <v>Other Expense</v>
      </c>
      <c r="F599" s="36" t="str">
        <f aca="false">IF(OR(D599="Revenue",D599="Cost of Goods Sold",D599="Expenditures",D599="Other Revenue",D599="Other Expenditures"),E599,IF(AND(LEN(D599)&gt;2,MID(D599,2,1)=" ",ISNUMBER(VALUE(LEFT(D599,1)))),D599,F598))</f>
        <v>Other Expense</v>
      </c>
      <c r="G599" s="36" t="n">
        <f aca="false">IF(AND(D599&lt;&gt;"",ISNUMBER(B599),LEFT(D599,9)&lt;&gt;"Total for",D599&lt;&gt;"Gross Profit",D599&lt;&gt;"Net Operating Revenue",D599&lt;&gt;"Net Other Revenue",D599&lt;&gt;"Net Revenue"),1,0)</f>
        <v>0</v>
      </c>
      <c r="H599" s="36" t="str">
        <f aca="false">IF(G599=1,IF(AND(LEN(D599)&gt;7,ISNUMBER(VALUE(LEFT(D599,6))),MID(D599,7,1)=" "),LEFT(D599,6),D599),"")</f>
        <v/>
      </c>
      <c r="I599" s="36" t="str">
        <f aca="false">IF(G599=1,IF(COUNTIF('Forecast Detail'!$C$8:$C$400,H599)=0,"UNMAPPED","OK"),"")</f>
        <v/>
      </c>
    </row>
    <row r="600" customFormat="false" ht="15" hidden="false" customHeight="false" outlineLevel="0" collapsed="false">
      <c r="D600" s="36" t="str">
        <f aca="false">TRIM(A600)</f>
        <v/>
      </c>
      <c r="E600" s="36" t="str">
        <f aca="false">IF(D600="Revenue","Revenue",IF(D600="Cost of Goods Sold","COGS",IF(D600="Expenditures","Expense",IF(D600="Other Revenue","Other Revenue",IF(D600="Other Expenditures","Other Expense",E599)))))</f>
        <v>Other Expense</v>
      </c>
      <c r="F600" s="36" t="str">
        <f aca="false">IF(OR(D600="Revenue",D600="Cost of Goods Sold",D600="Expenditures",D600="Other Revenue",D600="Other Expenditures"),E600,IF(AND(LEN(D600)&gt;2,MID(D600,2,1)=" ",ISNUMBER(VALUE(LEFT(D600,1)))),D600,F599))</f>
        <v>Other Expense</v>
      </c>
      <c r="G600" s="36" t="n">
        <f aca="false">IF(AND(D600&lt;&gt;"",ISNUMBER(B600),LEFT(D600,9)&lt;&gt;"Total for",D600&lt;&gt;"Gross Profit",D600&lt;&gt;"Net Operating Revenue",D600&lt;&gt;"Net Other Revenue",D600&lt;&gt;"Net Revenue"),1,0)</f>
        <v>0</v>
      </c>
      <c r="H600" s="36" t="str">
        <f aca="false">IF(G600=1,IF(AND(LEN(D600)&gt;7,ISNUMBER(VALUE(LEFT(D600,6))),MID(D600,7,1)=" "),LEFT(D600,6),D600),"")</f>
        <v/>
      </c>
      <c r="I600" s="36" t="str">
        <f aca="false">IF(G600=1,IF(COUNTIF('Forecast Detail'!$C$8:$C$400,H600)=0,"UNMAPPED","OK"),"")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643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12" t="s">
        <v>644</v>
      </c>
    </row>
    <row r="4" customFormat="false" ht="15" hidden="false" customHeight="false" outlineLevel="0" collapsed="false">
      <c r="A4" s="6" t="s">
        <v>645</v>
      </c>
    </row>
    <row r="5" customFormat="false" ht="15" hidden="false" customHeight="false" outlineLevel="0" collapsed="false">
      <c r="A5" s="6" t="s">
        <v>646</v>
      </c>
    </row>
    <row r="6" customFormat="false" ht="15" hidden="false" customHeight="false" outlineLevel="0" collapsed="false">
      <c r="A6" s="6" t="s">
        <v>647</v>
      </c>
    </row>
    <row r="7" customFormat="false" ht="15" hidden="false" customHeight="false" outlineLevel="0" collapsed="false">
      <c r="A7" s="6" t="s">
        <v>648</v>
      </c>
    </row>
    <row r="8" customFormat="false" ht="15" hidden="false" customHeight="false" outlineLevel="0" collapsed="false">
      <c r="A8" s="6" t="s">
        <v>649</v>
      </c>
    </row>
    <row r="9" customFormat="false" ht="15" hidden="false" customHeight="false" outlineLevel="0" collapsed="false">
      <c r="A9" s="6" t="s">
        <v>650</v>
      </c>
    </row>
    <row r="10" customFormat="false" ht="15" hidden="false" customHeight="false" outlineLevel="0" collapsed="false">
      <c r="A10" s="6" t="s">
        <v>651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12" t="s">
        <v>652</v>
      </c>
    </row>
    <row r="13" customFormat="false" ht="15" hidden="false" customHeight="false" outlineLevel="0" collapsed="false">
      <c r="A13" s="6" t="s">
        <v>653</v>
      </c>
    </row>
    <row r="14" customFormat="false" ht="15" hidden="false" customHeight="false" outlineLevel="0" collapsed="false">
      <c r="A14" s="6" t="s">
        <v>654</v>
      </c>
    </row>
    <row r="15" customFormat="false" ht="15" hidden="false" customHeight="false" outlineLevel="0" collapsed="false">
      <c r="A15" s="6" t="s">
        <v>655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12" t="s">
        <v>656</v>
      </c>
    </row>
    <row r="18" customFormat="false" ht="15" hidden="false" customHeight="false" outlineLevel="0" collapsed="false">
      <c r="A18" s="6" t="s">
        <v>657</v>
      </c>
    </row>
    <row r="19" customFormat="false" ht="15" hidden="false" customHeight="false" outlineLevel="0" collapsed="false">
      <c r="A19" s="6" t="s">
        <v>658</v>
      </c>
    </row>
    <row r="20" customFormat="false" ht="15" hidden="false" customHeight="false" outlineLevel="0" collapsed="false">
      <c r="A20" s="6"/>
    </row>
    <row r="21" customFormat="false" ht="15" hidden="false" customHeight="false" outlineLevel="0" collapsed="false">
      <c r="A21" s="12" t="s">
        <v>659</v>
      </c>
    </row>
    <row r="22" customFormat="false" ht="15" hidden="false" customHeight="false" outlineLevel="0" collapsed="false">
      <c r="A22" s="6" t="s">
        <v>660</v>
      </c>
    </row>
    <row r="23" customFormat="false" ht="15" hidden="false" customHeight="false" outlineLevel="0" collapsed="false">
      <c r="A23" s="6" t="s">
        <v>661</v>
      </c>
    </row>
    <row r="24" customFormat="false" ht="15" hidden="false" customHeight="false" outlineLevel="0" collapsed="false">
      <c r="A24" s="6" t="s">
        <v>662</v>
      </c>
    </row>
    <row r="25" customFormat="false" ht="15" hidden="false" customHeight="false" outlineLevel="0" collapsed="false">
      <c r="A25" s="6" t="s">
        <v>663</v>
      </c>
    </row>
    <row r="26" customFormat="false" ht="15" hidden="false" customHeight="false" outlineLevel="0" collapsed="false">
      <c r="A26" s="6" t="s">
        <v>664</v>
      </c>
    </row>
    <row r="27" customFormat="false" ht="15" hidden="false" customHeight="false" outlineLevel="0" collapsed="false">
      <c r="A27" s="6" t="s">
        <v>665</v>
      </c>
    </row>
    <row r="28" customFormat="false" ht="15" hidden="false" customHeight="false" outlineLevel="0" collapsed="false">
      <c r="A28" s="6" t="s">
        <v>666</v>
      </c>
    </row>
    <row r="29" customFormat="false" ht="15" hidden="false" customHeight="false" outlineLevel="0" collapsed="false">
      <c r="A29" s="6" t="s">
        <v>667</v>
      </c>
    </row>
    <row r="30" customFormat="false" ht="15" hidden="false" customHeight="false" outlineLevel="0" collapsed="false">
      <c r="A30" s="6" t="s">
        <v>668</v>
      </c>
    </row>
    <row r="31" customFormat="false" ht="15" hidden="false" customHeight="false" outlineLevel="0" collapsed="false">
      <c r="A31" s="6" t="s">
        <v>669</v>
      </c>
    </row>
    <row r="32" customFormat="false" ht="15" hidden="false" customHeight="false" outlineLevel="0" collapsed="false">
      <c r="A32" s="6" t="s">
        <v>670</v>
      </c>
    </row>
    <row r="33" customFormat="false" ht="15" hidden="false" customHeight="false" outlineLevel="0" collapsed="false">
      <c r="A33" s="6"/>
    </row>
    <row r="34" customFormat="false" ht="15" hidden="false" customHeight="false" outlineLevel="0" collapsed="false">
      <c r="A34" s="12" t="s">
        <v>671</v>
      </c>
    </row>
    <row r="35" customFormat="false" ht="15" hidden="false" customHeight="false" outlineLevel="0" collapsed="false">
      <c r="A35" s="6" t="s">
        <v>672</v>
      </c>
    </row>
    <row r="36" customFormat="false" ht="15" hidden="false" customHeight="false" outlineLevel="0" collapsed="false">
      <c r="A36" s="6" t="s">
        <v>673</v>
      </c>
    </row>
    <row r="37" customFormat="false" ht="15" hidden="false" customHeight="false" outlineLevel="0" collapsed="false">
      <c r="A37" s="6" t="s">
        <v>674</v>
      </c>
    </row>
    <row r="38" customFormat="false" ht="15" hidden="false" customHeight="false" outlineLevel="0" collapsed="false">
      <c r="A38" s="6" t="s">
        <v>675</v>
      </c>
    </row>
    <row r="39" customFormat="false" ht="15" hidden="false" customHeight="false" outlineLevel="0" collapsed="false">
      <c r="A39" s="6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2026-09-29T03:31:55Z</dcterms:created>
  <dc:creator>openpyxl</dc:creator>
  <dc:description/>
  <dc:language>en-US</dc:language>
  <cp:lastModifiedBy/>
  <dcterms:modified xsi:type="dcterms:W3CDTF">2026-09-29T03:31:55Z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